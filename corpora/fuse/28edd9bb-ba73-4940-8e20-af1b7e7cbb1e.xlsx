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charts/chart6.xml" ContentType="application/vnd.openxmlformats-officedocument.drawingml.char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drawings/drawing6.xml" ContentType="application/vnd.openxmlformats-officedocument.drawing+xml"/>
  <Override PartName="/xl/drawings/drawing8.xml" ContentType="application/vnd.openxmlformats-officedocument.drawing+xml"/>
  <Override PartName="/xl/drawings/drawing19.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charts/chart2.xml" ContentType="application/vnd.openxmlformats-officedocument.drawingml.chart+xml"/>
  <Override PartName="/xl/drawings/drawing4.xml" ContentType="application/vnd.openxmlformats-officedocument.drawing+xml"/>
  <Override PartName="/xl/drawings/drawing17.xml" ContentType="application/vnd.openxmlformats-officedocument.drawing+xml"/>
  <Default Extension="rels" ContentType="application/vnd.openxmlformats-package.relationships+xml"/>
  <Default Extension="xml" ContentType="application/xml"/>
  <Override PartName="/xl/worksheets/sheet5.xml" ContentType="application/vnd.openxmlformats-officedocument.spreadsheetml.worksheet+xml"/>
  <Override PartName="/xl/drawings/drawing2.xml" ContentType="application/vnd.openxmlformats-officedocument.drawing+xml"/>
  <Override PartName="/xl/drawings/drawing15.xml" ContentType="application/vnd.openxmlformats-officedocument.drawing+xml"/>
  <Override PartName="/xl/worksheets/sheet3.xml" ContentType="application/vnd.openxmlformats-officedocument.spreadsheetml.worksheet+xml"/>
  <Override PartName="/xl/drawings/drawing13.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drawings/drawing11.xml" ContentType="application/vnd.openxmlformats-officedocument.drawing+xml"/>
  <Override PartName="/xl/drawings/drawing1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drawings/drawing10.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8.xml" ContentType="application/vnd.openxmlformats-officedocument.drawingml.chart+xml"/>
  <Override PartName="/xl/charts/chart9.xml" ContentType="application/vnd.openxmlformats-officedocument.drawingml.char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charts/chart7.xml" ContentType="application/vnd.openxmlformats-officedocument.drawingml.chart+xml"/>
  <Override PartName="/xl/drawings/drawing9.xml" ContentType="application/vnd.openxmlformats-officedocument.drawing+xml"/>
  <Override PartName="/xl/charts/chart10.xml" ContentType="application/vnd.openxmlformats-officedocument.drawingml.chart+xml"/>
  <Default Extension="png" ContentType="image/png"/>
  <Override PartName="/xl/worksheets/sheet14.xml" ContentType="application/vnd.openxmlformats-officedocument.spreadsheetml.worksheet+xml"/>
  <Override PartName="/xl/worksheets/sheet23.xml" ContentType="application/vnd.openxmlformats-officedocument.spreadsheetml.worksheet+xml"/>
  <Override PartName="/xl/charts/chart5.xml" ContentType="application/vnd.openxmlformats-officedocument.drawingml.chart+xml"/>
  <Override PartName="/xl/drawings/drawing7.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Default Extension="jpeg" ContentType="image/jpeg"/>
  <Override PartName="/xl/charts/chart3.xml" ContentType="application/vnd.openxmlformats-officedocument.drawingml.chart+xml"/>
  <Override PartName="/xl/drawings/drawing5.xml" ContentType="application/vnd.openxmlformats-officedocument.drawing+xml"/>
  <Override PartName="/xl/drawings/drawing18.xml" ContentType="application/vnd.openxmlformats-officedocument.drawing+xml"/>
  <Default Extension="emf" ContentType="image/x-emf"/>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drawings/drawing3.xml" ContentType="application/vnd.openxmlformats-officedocument.drawing+xml"/>
  <Override PartName="/xl/drawings/drawing16.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drawings/drawing14.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75" yWindow="-15" windowWidth="15315" windowHeight="7470" tabRatio="916"/>
  </bookViews>
  <sheets>
    <sheet name="Readme" sheetId="59" r:id="rId1"/>
    <sheet name="1. Building Information" sheetId="44" r:id="rId2"/>
    <sheet name="2. Indoor Water Demand" sheetId="45" r:id="rId3"/>
    <sheet name="3. Indoor Nonpotable Supply" sheetId="46" r:id="rId4"/>
    <sheet name="4. Outdoor Water Demand" sheetId="52" r:id="rId5"/>
    <sheet name="5. Outdoor Water Supply" sheetId="60" r:id="rId6"/>
    <sheet name="1. WQv and WQf" sheetId="2" state="hidden" r:id="rId7"/>
    <sheet name="Infiltration Trench_Dry Well" sheetId="3" state="hidden" r:id="rId8"/>
    <sheet name="Infiltration Basin" sheetId="38" state="hidden" r:id="rId9"/>
    <sheet name="Permeable Pavement" sheetId="27" state="hidden" r:id="rId10"/>
    <sheet name="Detention Pond" sheetId="39" state="hidden" r:id="rId11"/>
    <sheet name="Detention Vault" sheetId="30" state="hidden" r:id="rId12"/>
    <sheet name="Wet Ponds_Wetlands" sheetId="40" state="hidden" r:id="rId13"/>
    <sheet name="Swales-Flow" sheetId="25" state="hidden" r:id="rId14"/>
    <sheet name="Swales-Volume" sheetId="36" state="hidden" r:id="rId15"/>
    <sheet name="Buffer Strip" sheetId="41" state="hidden" r:id="rId16"/>
    <sheet name="VRF" sheetId="42" state="hidden" r:id="rId17"/>
    <sheet name="Bioretention" sheetId="35" state="hidden" r:id="rId18"/>
    <sheet name="Media Filter" sheetId="34" state="hidden" r:id="rId19"/>
    <sheet name="Backup" sheetId="49" state="hidden" r:id="rId20"/>
    <sheet name="6. Building Potential Summary" sheetId="54" r:id="rId21"/>
    <sheet name="7. Project Definition" sheetId="58" r:id="rId22"/>
    <sheet name="8. Printable Project Summary" sheetId="65" r:id="rId23"/>
    <sheet name="Calculator Backup" sheetId="64" r:id="rId24"/>
    <sheet name="Climate Data" sheetId="48" r:id="rId25"/>
    <sheet name="Rainwater" sheetId="61" r:id="rId26"/>
    <sheet name="Stormwater" sheetId="62" r:id="rId27"/>
    <sheet name="Building Occupancy" sheetId="50" state="hidden" r:id="rId28"/>
    <sheet name="Storage Curves" sheetId="56" r:id="rId29"/>
  </sheets>
  <definedNames>
    <definedName name="Input" localSheetId="6">'1. WQv and WQf'!$D$5:$D$6,'1. WQv and WQf'!$B$12:$B$21,'1. WQv and WQf'!$C$12:$C$21,'1. WQv and WQf'!$E$12:$I$21,'1. WQv and WQf'!$K$12:$T$21,'1. WQv and WQf'!$H$28,'1. WQv and WQf'!$Q$33,'1. WQv and WQf'!$Q$35</definedName>
    <definedName name="Input" localSheetId="4">'4. Outdoor Water Demand'!$C$17:$C$22,'4. Outdoor Water Demand'!$C$36:$C$37,'4. Outdoor Water Demand'!#REF!,'4. Outdoor Water Demand'!#REF!,'4. Outdoor Water Demand'!#REF!,'4. Outdoor Water Demand'!#REF!,'4. Outdoor Water Demand'!#REF!,'4. Outdoor Water Demand'!#REF!,'4. Outdoor Water Demand'!#REF!,'4. Outdoor Water Demand'!#REF!</definedName>
    <definedName name="Input" localSheetId="5">'5. Outdoor Water Supply'!#REF!,'5. Outdoor Water Supply'!#REF!,'5. Outdoor Water Supply'!#REF!,'5. Outdoor Water Supply'!#REF!,'5. Outdoor Water Supply'!#REF!,'5. Outdoor Water Supply'!#REF!,'5. Outdoor Water Supply'!#REF!,'5. Outdoor Water Supply'!#REF!,'5. Outdoor Water Supply'!#REF!,'5. Outdoor Water Supply'!#REF!</definedName>
    <definedName name="Input" localSheetId="21">'7. Project Definition'!#REF!,'7. Project Definition'!#REF!,'7. Project Definition'!#REF!,'7. Project Definition'!#REF!,'7. Project Definition'!#REF!,'7. Project Definition'!#REF!,'7. Project Definition'!#REF!,'7. Project Definition'!#REF!,'7. Project Definition'!#REF!,'7. Project Definition'!#REF!</definedName>
    <definedName name="Input" localSheetId="17">Bioretention!$C$11:$C$13,Bioretention!$C$16,Bioretention!$C$20,Bioretention!$C$25,Bioretention!$C$34:$C$36,Bioretention!$C$39,Bioretention!$C$43,Bioretention!$C$48</definedName>
    <definedName name="Input" localSheetId="15">'Buffer Strip'!$C$9</definedName>
    <definedName name="Input" localSheetId="10">'Detention Pond'!$C$9,'Detention Pond'!$C$13:$C$16</definedName>
    <definedName name="Input" localSheetId="11">'Detention Vault'!$C$10:$C$12,'Detention Vault'!$C$23:$C$24</definedName>
    <definedName name="Input" localSheetId="8">'Infiltration Basin'!$C$9:$C$10,'Infiltration Basin'!$C$15:$C$16,'Infiltration Basin'!$C$18</definedName>
    <definedName name="Input" localSheetId="7">'Infiltration Trench_Dry Well'!$C$10,'Infiltration Trench_Dry Well'!$C$12,'Infiltration Trench_Dry Well'!$C$16,'Infiltration Trench_Dry Well'!$C$19,'Infiltration Trench_Dry Well'!$C$23,'Infiltration Trench_Dry Well'!$C$34:$C$37,'Infiltration Trench_Dry Well'!$C$41,'Infiltration Trench_Dry Well'!$C$44</definedName>
    <definedName name="Input" localSheetId="18">'Media Filter'!$C$10:$C$13,'Media Filter'!$C$17,'Media Filter'!$C$24,'Media Filter'!$C$27,'Media Filter'!$C$35:$C$36</definedName>
    <definedName name="Input" localSheetId="9">'Permeable Pavement'!$C$10:$C$12,'Permeable Pavement'!$C$15,'Permeable Pavement'!$C$21:$C$22,'Permeable Pavement'!$C$27</definedName>
    <definedName name="Input" localSheetId="13">'Swales-Flow'!$C$10:$C$13,'Swales-Flow'!$C$22:$C$23,'Swales-Flow'!$C$30</definedName>
    <definedName name="Input" localSheetId="14">'Swales-Volume'!$C$10:$C$14,'Swales-Volume'!$C$17,'Swales-Volume'!$C$25,'Swales-Volume'!$C$31:$C$32</definedName>
    <definedName name="Input" localSheetId="16">VRF!$C$10,VRF!$C$16,VRF!$C$20,VRF!$C$26,VRF!$C$39,VRF!$C$41</definedName>
    <definedName name="Input" localSheetId="12">'Wet Ponds_Wetlands'!$C$9,'Wet Ponds_Wetlands'!$C$12,'Wet Ponds_Wetlands'!$C$17:$C$18,'Wet Ponds_Wetlands'!$C$20:$C$22</definedName>
    <definedName name="_xlnm.Print_Area" localSheetId="1">'1. Building Information'!$A$1:$M$123</definedName>
    <definedName name="_xlnm.Print_Area" localSheetId="6">'1. WQv and WQf'!$A$1:$U$94</definedName>
    <definedName name="_xlnm.Print_Area" localSheetId="2">'2. Indoor Water Demand'!$A$1:$M$105</definedName>
    <definedName name="_xlnm.Print_Area" localSheetId="3">'3. Indoor Nonpotable Supply'!$A$1:$L$79</definedName>
    <definedName name="_xlnm.Print_Area" localSheetId="4">'4. Outdoor Water Demand'!$A$1:$P$103</definedName>
    <definedName name="_xlnm.Print_Area" localSheetId="5">'5. Outdoor Water Supply'!$A$1:$U$76</definedName>
    <definedName name="_xlnm.Print_Area" localSheetId="20">'6. Building Potential Summary'!$A$1:$R$79</definedName>
    <definedName name="_xlnm.Print_Area" localSheetId="21">'7. Project Definition'!$A$1:$Q$51</definedName>
    <definedName name="_xlnm.Print_Area" localSheetId="22">'8. Printable Project Summary'!$A$1:$O$63</definedName>
    <definedName name="_xlnm.Print_Area" localSheetId="17">Bioretention!$A$1:$H$93</definedName>
    <definedName name="_xlnm.Print_Area" localSheetId="15">'Buffer Strip'!$A$1:$K$24</definedName>
    <definedName name="_xlnm.Print_Area" localSheetId="24">'Climate Data'!$A$1:$M$42</definedName>
    <definedName name="_xlnm.Print_Area" localSheetId="10">'Detention Pond'!$A$1:$E$58</definedName>
    <definedName name="_xlnm.Print_Area" localSheetId="11">'Detention Vault'!$A$1:$K$50</definedName>
    <definedName name="_xlnm.Print_Area" localSheetId="7">'Infiltration Trench_Dry Well'!$A$1:$H$84</definedName>
    <definedName name="_xlnm.Print_Area" localSheetId="18">'Media Filter'!$A$1:$H$75</definedName>
    <definedName name="_xlnm.Print_Area" localSheetId="9">'Permeable Pavement'!$A$1:$E$58</definedName>
    <definedName name="_xlnm.Print_Area" localSheetId="0">Readme!$A$1:$M$56</definedName>
    <definedName name="_xlnm.Print_Area" localSheetId="13">'Swales-Flow'!$A$1:$D$71</definedName>
    <definedName name="_xlnm.Print_Area" localSheetId="14">'Swales-Volume'!$A$1:$E$75</definedName>
    <definedName name="_xlnm.Print_Area" localSheetId="12">'Wet Ponds_Wetlands'!$A$1:$E$76</definedName>
  </definedNames>
  <calcPr calcId="125725"/>
</workbook>
</file>

<file path=xl/calcChain.xml><?xml version="1.0" encoding="utf-8"?>
<calcChain xmlns="http://schemas.openxmlformats.org/spreadsheetml/2006/main">
  <c r="S25" i="54"/>
  <c r="S26"/>
  <c r="S27"/>
  <c r="S28"/>
  <c r="S29"/>
  <c r="S30"/>
  <c r="S24"/>
  <c r="S17"/>
  <c r="S18"/>
  <c r="S19"/>
  <c r="S20"/>
  <c r="S21"/>
  <c r="S16"/>
  <c r="E25"/>
  <c r="E26"/>
  <c r="E27"/>
  <c r="E29"/>
  <c r="E30"/>
  <c r="E24"/>
  <c r="E17"/>
  <c r="E20"/>
  <c r="E21"/>
  <c r="E16"/>
  <c r="L7" i="65"/>
  <c r="L8"/>
  <c r="L9"/>
  <c r="L18"/>
  <c r="C16"/>
  <c r="C18"/>
  <c r="C17"/>
  <c r="C15"/>
  <c r="L6"/>
  <c r="C6"/>
  <c r="C7"/>
  <c r="C10"/>
  <c r="C9"/>
  <c r="C8"/>
  <c r="G6" i="62"/>
  <c r="G7"/>
  <c r="G7" i="61"/>
  <c r="F5" i="62"/>
  <c r="G6" i="61"/>
  <c r="F5"/>
  <c r="D28" i="58"/>
  <c r="B30"/>
  <c r="F87" i="46"/>
  <c r="C43" i="54"/>
  <c r="D30" i="58" s="1"/>
  <c r="C42" i="54"/>
  <c r="D29" i="58" s="1"/>
  <c r="Q41" i="54"/>
  <c r="P41"/>
  <c r="P28" i="58" s="1"/>
  <c r="P68" s="1"/>
  <c r="H41" i="54"/>
  <c r="G41"/>
  <c r="G28" i="58" s="1"/>
  <c r="G68" s="1"/>
  <c r="F41" i="54"/>
  <c r="B43"/>
  <c r="C44" l="1"/>
  <c r="H28" i="58"/>
  <c r="Q28"/>
  <c r="F28"/>
  <c r="I21" i="62"/>
  <c r="I18" i="61"/>
  <c r="I21"/>
  <c r="I18" i="62"/>
  <c r="D31" i="58"/>
  <c r="H93" i="46"/>
  <c r="H94"/>
  <c r="H95"/>
  <c r="H84"/>
  <c r="H85"/>
  <c r="H86"/>
  <c r="H87"/>
  <c r="H88"/>
  <c r="H89"/>
  <c r="H90"/>
  <c r="H91"/>
  <c r="H83"/>
  <c r="G94"/>
  <c r="G95"/>
  <c r="G93"/>
  <c r="G84"/>
  <c r="G85"/>
  <c r="G86"/>
  <c r="G91"/>
  <c r="G92"/>
  <c r="G83"/>
  <c r="F94"/>
  <c r="F95"/>
  <c r="F93"/>
  <c r="F88"/>
  <c r="F89"/>
  <c r="F90"/>
  <c r="D94"/>
  <c r="D95"/>
  <c r="D93"/>
  <c r="C94"/>
  <c r="C95"/>
  <c r="C93"/>
  <c r="E92"/>
  <c r="E96" s="1"/>
  <c r="C63" i="54" s="1"/>
  <c r="C91" i="46"/>
  <c r="B25" i="58"/>
  <c r="B95" i="46"/>
  <c r="B94"/>
  <c r="B93"/>
  <c r="C38" i="54"/>
  <c r="D25" i="58" s="1"/>
  <c r="C36" i="54"/>
  <c r="B38"/>
  <c r="B5"/>
  <c r="B5" i="60"/>
  <c r="C60"/>
  <c r="C61"/>
  <c r="C62"/>
  <c r="C63"/>
  <c r="C64"/>
  <c r="C65"/>
  <c r="C66"/>
  <c r="C67"/>
  <c r="C68"/>
  <c r="C69"/>
  <c r="C70"/>
  <c r="C59"/>
  <c r="D71"/>
  <c r="C50"/>
  <c r="B50"/>
  <c r="C48"/>
  <c r="B48"/>
  <c r="C46"/>
  <c r="B46"/>
  <c r="C17"/>
  <c r="B17"/>
  <c r="B15"/>
  <c r="C15"/>
  <c r="D38"/>
  <c r="C27"/>
  <c r="C28"/>
  <c r="C29"/>
  <c r="C30"/>
  <c r="C31"/>
  <c r="C32"/>
  <c r="C33"/>
  <c r="C34"/>
  <c r="C35"/>
  <c r="C36"/>
  <c r="C37"/>
  <c r="C26"/>
  <c r="D83" i="52"/>
  <c r="D70"/>
  <c r="D43" i="54" s="1"/>
  <c r="G43" s="1"/>
  <c r="G30" i="58" s="1"/>
  <c r="C37" i="52"/>
  <c r="C33"/>
  <c r="C29"/>
  <c r="C28"/>
  <c r="C23"/>
  <c r="B24"/>
  <c r="B29"/>
  <c r="C24"/>
  <c r="C19"/>
  <c r="C17"/>
  <c r="B19"/>
  <c r="B17"/>
  <c r="B5"/>
  <c r="E71" i="46"/>
  <c r="F91" s="1"/>
  <c r="C115" i="44"/>
  <c r="L17" i="65" s="1"/>
  <c r="C108" i="44"/>
  <c r="L16" i="65" s="1"/>
  <c r="C102" i="44"/>
  <c r="L15" i="65" s="1"/>
  <c r="B5" i="46"/>
  <c r="O43" i="45"/>
  <c r="O44"/>
  <c r="O45"/>
  <c r="O47"/>
  <c r="O48"/>
  <c r="O42"/>
  <c r="N46"/>
  <c r="N20"/>
  <c r="N21"/>
  <c r="O19"/>
  <c r="O22"/>
  <c r="O23"/>
  <c r="O18"/>
  <c r="K76" i="44"/>
  <c r="C102" i="45"/>
  <c r="D38" i="54" s="1"/>
  <c r="C90" i="45"/>
  <c r="D36" i="54" s="1"/>
  <c r="C95" i="45"/>
  <c r="C97" s="1"/>
  <c r="D37" i="54" s="1"/>
  <c r="C60" i="45"/>
  <c r="E67" s="1"/>
  <c r="C51" i="46" s="1"/>
  <c r="F51" s="1"/>
  <c r="D75" i="45"/>
  <c r="C75"/>
  <c r="E30" i="58" l="1"/>
  <c r="D39" i="54"/>
  <c r="D42" i="58"/>
  <c r="G20" i="62"/>
  <c r="G20" i="61"/>
  <c r="G18" i="62"/>
  <c r="G18" i="61"/>
  <c r="G16" i="62"/>
  <c r="G16" i="61"/>
  <c r="G26" i="62"/>
  <c r="G26" i="61"/>
  <c r="G24" i="62"/>
  <c r="G24" i="61"/>
  <c r="G22" i="62"/>
  <c r="G22" i="61"/>
  <c r="G19"/>
  <c r="G19" i="62"/>
  <c r="G17" i="61"/>
  <c r="G17" i="62"/>
  <c r="G27" i="61"/>
  <c r="G27" i="62"/>
  <c r="G25" i="61"/>
  <c r="G25" i="62"/>
  <c r="G23" i="61"/>
  <c r="G23" i="62"/>
  <c r="G21" i="61"/>
  <c r="G21" i="62"/>
  <c r="C19" i="60"/>
  <c r="G4" i="61" s="1"/>
  <c r="L43" i="54"/>
  <c r="L30" i="58" s="1"/>
  <c r="K43" i="54"/>
  <c r="K30" i="58" s="1"/>
  <c r="I19" i="62"/>
  <c r="Q68" i="58"/>
  <c r="I22" i="62"/>
  <c r="H68" i="58"/>
  <c r="I20" i="61"/>
  <c r="F68" i="58"/>
  <c r="C37" i="54"/>
  <c r="D24" i="58" s="1"/>
  <c r="H43" i="54"/>
  <c r="H30" i="58" s="1"/>
  <c r="P43" i="54"/>
  <c r="P30" i="58" s="1"/>
  <c r="J43" i="54"/>
  <c r="J30" i="58" s="1"/>
  <c r="F43" i="54"/>
  <c r="F30" i="58" s="1"/>
  <c r="N43" i="54"/>
  <c r="N30" i="58" s="1"/>
  <c r="O43" i="54"/>
  <c r="O30" i="58" s="1"/>
  <c r="M43" i="54"/>
  <c r="M30" i="58" s="1"/>
  <c r="Q43" i="54"/>
  <c r="Q30" i="58" s="1"/>
  <c r="I43" i="54"/>
  <c r="I30" i="58" s="1"/>
  <c r="E43" i="54"/>
  <c r="I20" i="62"/>
  <c r="E37" i="54"/>
  <c r="E24" i="58"/>
  <c r="E36" i="54"/>
  <c r="E23" i="58"/>
  <c r="I22" i="61"/>
  <c r="I19"/>
  <c r="E25" i="58"/>
  <c r="E38" i="54"/>
  <c r="D23" i="58"/>
  <c r="H92" i="46"/>
  <c r="H96" s="1"/>
  <c r="D63" i="54" s="1"/>
  <c r="I36"/>
  <c r="M36"/>
  <c r="Q36"/>
  <c r="G36"/>
  <c r="O36"/>
  <c r="J36"/>
  <c r="N36"/>
  <c r="F36"/>
  <c r="H36"/>
  <c r="L36"/>
  <c r="P36"/>
  <c r="K36"/>
  <c r="H38"/>
  <c r="H25" i="58" s="1"/>
  <c r="L38" i="54"/>
  <c r="L25" i="58" s="1"/>
  <c r="P38" i="54"/>
  <c r="P25" i="58" s="1"/>
  <c r="F38" i="54"/>
  <c r="F25" i="58" s="1"/>
  <c r="I38" i="54"/>
  <c r="I25" i="58" s="1"/>
  <c r="M38" i="54"/>
  <c r="M25" i="58" s="1"/>
  <c r="Q38" i="54"/>
  <c r="Q25" i="58" s="1"/>
  <c r="G38" i="54"/>
  <c r="G25" i="58" s="1"/>
  <c r="G72" s="1"/>
  <c r="K38" i="54"/>
  <c r="K25" i="58" s="1"/>
  <c r="O38" i="54"/>
  <c r="O25" i="58" s="1"/>
  <c r="J38" i="54"/>
  <c r="J25" i="58" s="1"/>
  <c r="N38" i="54"/>
  <c r="N25" i="58" s="1"/>
  <c r="H37" i="54"/>
  <c r="H24" i="58" s="1"/>
  <c r="H71" s="1"/>
  <c r="L37" i="54"/>
  <c r="L24" i="58" s="1"/>
  <c r="L71" s="1"/>
  <c r="P37" i="54"/>
  <c r="P24" i="58" s="1"/>
  <c r="P71" s="1"/>
  <c r="J37" i="54"/>
  <c r="J24" i="58" s="1"/>
  <c r="J71" s="1"/>
  <c r="I37" i="54"/>
  <c r="I24" i="58" s="1"/>
  <c r="I71" s="1"/>
  <c r="M37" i="54"/>
  <c r="M24" i="58" s="1"/>
  <c r="M71" s="1"/>
  <c r="Q37" i="54"/>
  <c r="Q24" i="58" s="1"/>
  <c r="Q71" s="1"/>
  <c r="G37" i="54"/>
  <c r="G24" i="58" s="1"/>
  <c r="G71" s="1"/>
  <c r="K37" i="54"/>
  <c r="K24" i="58" s="1"/>
  <c r="K71" s="1"/>
  <c r="O37" i="54"/>
  <c r="O24" i="58" s="1"/>
  <c r="O71" s="1"/>
  <c r="F37" i="54"/>
  <c r="F24" i="58" s="1"/>
  <c r="F71" s="1"/>
  <c r="N37" i="54"/>
  <c r="N24" i="58" s="1"/>
  <c r="N71" s="1"/>
  <c r="C71" i="60"/>
  <c r="C52"/>
  <c r="G4" i="62" s="1"/>
  <c r="C38" i="60"/>
  <c r="C34" i="52"/>
  <c r="E63" i="45"/>
  <c r="E72"/>
  <c r="E68"/>
  <c r="E64"/>
  <c r="E73"/>
  <c r="E69"/>
  <c r="E65"/>
  <c r="E74"/>
  <c r="E70"/>
  <c r="E66"/>
  <c r="E71"/>
  <c r="F67"/>
  <c r="E79" i="44"/>
  <c r="E80" s="1"/>
  <c r="B5" i="45"/>
  <c r="C54" i="52"/>
  <c r="D71" i="58" l="1"/>
  <c r="L30" i="65"/>
  <c r="M30" s="1"/>
  <c r="D72" i="58"/>
  <c r="N39" i="54"/>
  <c r="O39"/>
  <c r="H39"/>
  <c r="I39"/>
  <c r="L39"/>
  <c r="J39"/>
  <c r="M39"/>
  <c r="P39"/>
  <c r="Q39"/>
  <c r="K39"/>
  <c r="F39"/>
  <c r="G39"/>
  <c r="E39"/>
  <c r="D51" i="46"/>
  <c r="G51" s="1"/>
  <c r="J33" i="54"/>
  <c r="J34" s="1"/>
  <c r="G28" i="62"/>
  <c r="C20" i="60"/>
  <c r="G5" i="61" s="1"/>
  <c r="G28"/>
  <c r="K72" i="58"/>
  <c r="L72"/>
  <c r="M72"/>
  <c r="C39" i="54"/>
  <c r="Q72" i="58"/>
  <c r="F72"/>
  <c r="O72"/>
  <c r="P72"/>
  <c r="J72"/>
  <c r="I72"/>
  <c r="N72"/>
  <c r="H72"/>
  <c r="K23"/>
  <c r="H23"/>
  <c r="O23"/>
  <c r="I23"/>
  <c r="L23"/>
  <c r="J23"/>
  <c r="M23"/>
  <c r="F23"/>
  <c r="G23"/>
  <c r="P23"/>
  <c r="N23"/>
  <c r="Q23"/>
  <c r="C35" i="52"/>
  <c r="D78"/>
  <c r="D90" s="1"/>
  <c r="E29" i="60"/>
  <c r="C53"/>
  <c r="G5" i="62" s="1"/>
  <c r="G8" s="1"/>
  <c r="G9" s="1"/>
  <c r="C47" i="46"/>
  <c r="F47" s="1"/>
  <c r="E75" i="45"/>
  <c r="F74"/>
  <c r="C58" i="46"/>
  <c r="F58" s="1"/>
  <c r="F64" i="45"/>
  <c r="C48" i="46"/>
  <c r="F48" s="1"/>
  <c r="F70" i="45"/>
  <c r="C54" i="46"/>
  <c r="F54" s="1"/>
  <c r="F73" i="45"/>
  <c r="C57" i="46"/>
  <c r="F57" s="1"/>
  <c r="F66" i="45"/>
  <c r="C50" i="46"/>
  <c r="F50" s="1"/>
  <c r="F69" i="45"/>
  <c r="C53" i="46"/>
  <c r="F53" s="1"/>
  <c r="F72" i="45"/>
  <c r="C56" i="46"/>
  <c r="F56" s="1"/>
  <c r="F71" i="45"/>
  <c r="C55" i="46"/>
  <c r="F55" s="1"/>
  <c r="F65" i="45"/>
  <c r="C49" i="46"/>
  <c r="F49" s="1"/>
  <c r="F68" i="45"/>
  <c r="C52" i="46"/>
  <c r="F52" s="1"/>
  <c r="F63" i="45"/>
  <c r="E22"/>
  <c r="E28" i="60" l="1"/>
  <c r="H22" i="61" s="1"/>
  <c r="E33" i="60"/>
  <c r="H27" i="62" s="1"/>
  <c r="E30" i="60"/>
  <c r="H24" i="61" s="1"/>
  <c r="E27" i="60"/>
  <c r="F27" s="1"/>
  <c r="E37"/>
  <c r="H19" i="61" s="1"/>
  <c r="E35" i="60"/>
  <c r="O64" i="54" s="1"/>
  <c r="E31" i="60"/>
  <c r="H25" i="62" s="1"/>
  <c r="E36" i="60"/>
  <c r="F36" s="1"/>
  <c r="E34"/>
  <c r="H16" i="61" s="1"/>
  <c r="E26" i="60"/>
  <c r="H20" i="61" s="1"/>
  <c r="E32" i="60"/>
  <c r="H26" i="62" s="1"/>
  <c r="K63" i="54"/>
  <c r="K42" i="58" s="1"/>
  <c r="K62" s="1"/>
  <c r="C33" i="54"/>
  <c r="D21" i="58" s="1"/>
  <c r="C81" i="45"/>
  <c r="D33" i="54" s="1"/>
  <c r="D34" s="1"/>
  <c r="F33"/>
  <c r="F34" s="1"/>
  <c r="D52" i="46"/>
  <c r="G52" s="1"/>
  <c r="K33" i="54"/>
  <c r="K34" s="1"/>
  <c r="D49" i="46"/>
  <c r="G49" s="1"/>
  <c r="H33" i="54"/>
  <c r="H34" s="1"/>
  <c r="D55" i="46"/>
  <c r="G55" s="1"/>
  <c r="N33" i="54"/>
  <c r="N34" s="1"/>
  <c r="D56" i="46"/>
  <c r="G56" s="1"/>
  <c r="O33" i="54"/>
  <c r="O34" s="1"/>
  <c r="D53" i="46"/>
  <c r="G53" s="1"/>
  <c r="L33" i="54"/>
  <c r="L34" s="1"/>
  <c r="D50" i="46"/>
  <c r="G50" s="1"/>
  <c r="I33" i="54"/>
  <c r="I34" s="1"/>
  <c r="D57" i="46"/>
  <c r="G57" s="1"/>
  <c r="P33" i="54"/>
  <c r="P34" s="1"/>
  <c r="D54" i="46"/>
  <c r="G54" s="1"/>
  <c r="M33" i="54"/>
  <c r="M34" s="1"/>
  <c r="D48" i="46"/>
  <c r="G48" s="1"/>
  <c r="G33" i="54"/>
  <c r="G34" s="1"/>
  <c r="D58" i="46"/>
  <c r="G58" s="1"/>
  <c r="Q33" i="54"/>
  <c r="Q34" s="1"/>
  <c r="J21" i="58"/>
  <c r="J69" s="1"/>
  <c r="H25" i="61"/>
  <c r="H18" i="62"/>
  <c r="H18" i="61"/>
  <c r="G8"/>
  <c r="G9" s="1"/>
  <c r="H23"/>
  <c r="H23" i="62"/>
  <c r="H21"/>
  <c r="H21" i="61"/>
  <c r="F63" i="54"/>
  <c r="F42" i="58" s="1"/>
  <c r="F62" s="1"/>
  <c r="H63" i="54"/>
  <c r="H42" i="58" s="1"/>
  <c r="H62" s="1"/>
  <c r="L63" i="54"/>
  <c r="L42" i="58" s="1"/>
  <c r="L62" s="1"/>
  <c r="O63" i="54"/>
  <c r="O42" i="58" s="1"/>
  <c r="O62" s="1"/>
  <c r="C72" i="54"/>
  <c r="I63"/>
  <c r="I42" i="58" s="1"/>
  <c r="I62" s="1"/>
  <c r="P63" i="54"/>
  <c r="P42" i="58" s="1"/>
  <c r="P62" s="1"/>
  <c r="Q63" i="54"/>
  <c r="Q42" i="58" s="1"/>
  <c r="Q62" s="1"/>
  <c r="N63" i="54"/>
  <c r="N42" i="58" s="1"/>
  <c r="N62" s="1"/>
  <c r="M63" i="54"/>
  <c r="M42" i="58" s="1"/>
  <c r="M62" s="1"/>
  <c r="J63" i="54"/>
  <c r="J42" i="58" s="1"/>
  <c r="J62" s="1"/>
  <c r="G63" i="54"/>
  <c r="G42" i="58" s="1"/>
  <c r="G62" s="1"/>
  <c r="E42"/>
  <c r="G64" i="54"/>
  <c r="L64"/>
  <c r="P64"/>
  <c r="F29" i="60"/>
  <c r="I64" i="54"/>
  <c r="J64"/>
  <c r="K64"/>
  <c r="E66" i="60"/>
  <c r="E70"/>
  <c r="E67"/>
  <c r="E60"/>
  <c r="E62"/>
  <c r="E59"/>
  <c r="F65" i="54" s="1"/>
  <c r="E64" i="60"/>
  <c r="E61"/>
  <c r="E68"/>
  <c r="E65"/>
  <c r="E63"/>
  <c r="J65" i="54" s="1"/>
  <c r="E69" i="60"/>
  <c r="F59" i="46"/>
  <c r="C59"/>
  <c r="D47"/>
  <c r="D65" i="52"/>
  <c r="D42" i="54" s="1"/>
  <c r="E72" i="46"/>
  <c r="F92" s="1"/>
  <c r="E73"/>
  <c r="E74"/>
  <c r="E75"/>
  <c r="F32" i="60" l="1"/>
  <c r="H26" i="61"/>
  <c r="H24" i="62"/>
  <c r="C34" i="54"/>
  <c r="M64"/>
  <c r="H17" i="61"/>
  <c r="E38" i="60"/>
  <c r="C40" s="1"/>
  <c r="D64" i="54" s="1"/>
  <c r="F31" i="60"/>
  <c r="F30"/>
  <c r="F33"/>
  <c r="F64" i="54"/>
  <c r="H27" i="61"/>
  <c r="H17" i="62"/>
  <c r="F35" i="60"/>
  <c r="H20" i="62"/>
  <c r="F26" i="60"/>
  <c r="F28"/>
  <c r="H64" i="54"/>
  <c r="H22" i="62"/>
  <c r="Q64" i="54"/>
  <c r="F34" i="60"/>
  <c r="H16" i="62"/>
  <c r="H28" s="1"/>
  <c r="H19"/>
  <c r="N64" i="54"/>
  <c r="F37" i="60"/>
  <c r="C62" i="58"/>
  <c r="C29" i="65"/>
  <c r="D29" s="1"/>
  <c r="E33" i="54"/>
  <c r="E34" s="1"/>
  <c r="E21" i="58"/>
  <c r="Q21"/>
  <c r="Q69" s="1"/>
  <c r="G21"/>
  <c r="G69" s="1"/>
  <c r="M21"/>
  <c r="M69" s="1"/>
  <c r="P21"/>
  <c r="P69" s="1"/>
  <c r="I21"/>
  <c r="I69" s="1"/>
  <c r="L21"/>
  <c r="L69" s="1"/>
  <c r="O21"/>
  <c r="O69" s="1"/>
  <c r="N21"/>
  <c r="N69" s="1"/>
  <c r="H21"/>
  <c r="H69" s="1"/>
  <c r="K21"/>
  <c r="K69" s="1"/>
  <c r="F21"/>
  <c r="F69" s="1"/>
  <c r="F63" i="60"/>
  <c r="F69"/>
  <c r="P65" i="54"/>
  <c r="F60" i="60"/>
  <c r="G65" i="54"/>
  <c r="F68" i="60"/>
  <c r="O65" i="54"/>
  <c r="F66" i="60"/>
  <c r="M65" i="54"/>
  <c r="F65" i="60"/>
  <c r="L65" i="54"/>
  <c r="F64" i="60"/>
  <c r="K65" i="54"/>
  <c r="F67" i="60"/>
  <c r="N65" i="54"/>
  <c r="F61" i="60"/>
  <c r="H65" i="54"/>
  <c r="F62" i="60"/>
  <c r="I65" i="54"/>
  <c r="F70" i="60"/>
  <c r="Q65" i="54"/>
  <c r="H42"/>
  <c r="H44" s="1"/>
  <c r="E29" i="58"/>
  <c r="L28" i="65" s="1"/>
  <c r="M28" s="1"/>
  <c r="F42" i="54"/>
  <c r="F44" s="1"/>
  <c r="O42"/>
  <c r="O29" i="58" s="1"/>
  <c r="O70" s="1"/>
  <c r="M42" i="54"/>
  <c r="M29" i="58" s="1"/>
  <c r="M70" s="1"/>
  <c r="L42" i="54"/>
  <c r="L29" i="58" s="1"/>
  <c r="L70" s="1"/>
  <c r="P42" i="54"/>
  <c r="P44" s="1"/>
  <c r="J42"/>
  <c r="J29" i="58" s="1"/>
  <c r="J70" s="1"/>
  <c r="K42" i="54"/>
  <c r="K29" i="58" s="1"/>
  <c r="K70" s="1"/>
  <c r="I42" i="54"/>
  <c r="I29" i="58" s="1"/>
  <c r="I70" s="1"/>
  <c r="N42" i="54"/>
  <c r="N29" i="58" s="1"/>
  <c r="N70" s="1"/>
  <c r="Q42" i="54"/>
  <c r="Q44" s="1"/>
  <c r="E42"/>
  <c r="G42"/>
  <c r="G44" s="1"/>
  <c r="F59" i="60"/>
  <c r="E71"/>
  <c r="C73" s="1"/>
  <c r="D65" i="54" s="1"/>
  <c r="G47" i="46"/>
  <c r="G60" s="1"/>
  <c r="D60"/>
  <c r="C18"/>
  <c r="E18" s="1"/>
  <c r="H28" i="61" l="1"/>
  <c r="C74" i="54"/>
  <c r="D69" i="58"/>
  <c r="L29" i="65"/>
  <c r="M29" s="1"/>
  <c r="D70" i="58"/>
  <c r="P29"/>
  <c r="F29"/>
  <c r="Q29"/>
  <c r="H29"/>
  <c r="G29"/>
  <c r="L76" i="44"/>
  <c r="K77"/>
  <c r="L77"/>
  <c r="K78"/>
  <c r="L78"/>
  <c r="K63"/>
  <c r="K75"/>
  <c r="K72"/>
  <c r="L72"/>
  <c r="J18" i="45" s="1"/>
  <c r="D92" i="44"/>
  <c r="H46" i="45" s="1"/>
  <c r="K66" i="44"/>
  <c r="H23" i="45" s="1"/>
  <c r="K64" i="44"/>
  <c r="K65"/>
  <c r="K73"/>
  <c r="K68"/>
  <c r="K67"/>
  <c r="K69"/>
  <c r="K70"/>
  <c r="K71"/>
  <c r="K74"/>
  <c r="L66"/>
  <c r="L64"/>
  <c r="L65"/>
  <c r="L73"/>
  <c r="L68"/>
  <c r="L67"/>
  <c r="L74"/>
  <c r="L75"/>
  <c r="J23" i="45"/>
  <c r="M54" i="52"/>
  <c r="C18" i="3"/>
  <c r="D12" i="2"/>
  <c r="J12"/>
  <c r="U12"/>
  <c r="D13"/>
  <c r="J13"/>
  <c r="U13"/>
  <c r="D14"/>
  <c r="J14"/>
  <c r="U14"/>
  <c r="D15"/>
  <c r="J15"/>
  <c r="U15"/>
  <c r="D16"/>
  <c r="J16"/>
  <c r="U16"/>
  <c r="D17"/>
  <c r="J17"/>
  <c r="U17"/>
  <c r="D18"/>
  <c r="J18"/>
  <c r="U18"/>
  <c r="D19"/>
  <c r="J19"/>
  <c r="U19"/>
  <c r="D20"/>
  <c r="J20"/>
  <c r="U20"/>
  <c r="D21"/>
  <c r="J21"/>
  <c r="U21"/>
  <c r="C22"/>
  <c r="C23"/>
  <c r="C24"/>
  <c r="B32"/>
  <c r="D32"/>
  <c r="B33"/>
  <c r="D33"/>
  <c r="B34"/>
  <c r="D34"/>
  <c r="B35"/>
  <c r="D35"/>
  <c r="B36"/>
  <c r="D36"/>
  <c r="B37"/>
  <c r="D37"/>
  <c r="B38"/>
  <c r="D38"/>
  <c r="B39"/>
  <c r="D39"/>
  <c r="B40"/>
  <c r="D40"/>
  <c r="B41"/>
  <c r="D41"/>
  <c r="B46"/>
  <c r="D46"/>
  <c r="G46"/>
  <c r="K46"/>
  <c r="B47"/>
  <c r="D47"/>
  <c r="G47"/>
  <c r="K47"/>
  <c r="B48"/>
  <c r="D48"/>
  <c r="G48"/>
  <c r="K48"/>
  <c r="B49"/>
  <c r="D49"/>
  <c r="G49"/>
  <c r="K49"/>
  <c r="B50"/>
  <c r="D50"/>
  <c r="G50"/>
  <c r="K50"/>
  <c r="B51"/>
  <c r="D51"/>
  <c r="G51"/>
  <c r="K51"/>
  <c r="B52"/>
  <c r="D52"/>
  <c r="G52"/>
  <c r="K52"/>
  <c r="B53"/>
  <c r="D53"/>
  <c r="G53"/>
  <c r="K53"/>
  <c r="B54"/>
  <c r="D54"/>
  <c r="G54"/>
  <c r="K54"/>
  <c r="B55"/>
  <c r="D55"/>
  <c r="G55"/>
  <c r="K55"/>
  <c r="C20" i="3"/>
  <c r="C22"/>
  <c r="C26"/>
  <c r="C27"/>
  <c r="C28"/>
  <c r="C29"/>
  <c r="C30"/>
  <c r="C31"/>
  <c r="C43"/>
  <c r="C45"/>
  <c r="C47"/>
  <c r="C48"/>
  <c r="C13" i="38"/>
  <c r="C17"/>
  <c r="C19"/>
  <c r="C20"/>
  <c r="C21"/>
  <c r="C22"/>
  <c r="C23"/>
  <c r="C24"/>
  <c r="C13" i="27"/>
  <c r="C14"/>
  <c r="C17"/>
  <c r="C23"/>
  <c r="C24"/>
  <c r="C26"/>
  <c r="C28"/>
  <c r="C29"/>
  <c r="C30"/>
  <c r="C10" i="39"/>
  <c r="C17"/>
  <c r="C18"/>
  <c r="C19"/>
  <c r="C20"/>
  <c r="C21"/>
  <c r="C24"/>
  <c r="C25"/>
  <c r="C26"/>
  <c r="C27"/>
  <c r="C28"/>
  <c r="C29"/>
  <c r="C30"/>
  <c r="C15" i="30"/>
  <c r="C14"/>
  <c r="C18"/>
  <c r="C19"/>
  <c r="C20"/>
  <c r="C25"/>
  <c r="C14" i="40"/>
  <c r="C11"/>
  <c r="C13"/>
  <c r="C19"/>
  <c r="C23"/>
  <c r="C24"/>
  <c r="C25"/>
  <c r="C26"/>
  <c r="C27"/>
  <c r="C28"/>
  <c r="C29"/>
  <c r="C30"/>
  <c r="C31"/>
  <c r="C34"/>
  <c r="C35"/>
  <c r="C36"/>
  <c r="C37"/>
  <c r="C38"/>
  <c r="C39"/>
  <c r="C40"/>
  <c r="X75" i="25"/>
  <c r="V75"/>
  <c r="V81"/>
  <c r="V82"/>
  <c r="V83"/>
  <c r="V84"/>
  <c r="V85"/>
  <c r="V86"/>
  <c r="V87"/>
  <c r="V88"/>
  <c r="V89"/>
  <c r="V90"/>
  <c r="V91"/>
  <c r="V92"/>
  <c r="V93"/>
  <c r="V94"/>
  <c r="V95"/>
  <c r="V96"/>
  <c r="V97"/>
  <c r="V98"/>
  <c r="V99"/>
  <c r="V100"/>
  <c r="V101"/>
  <c r="V102"/>
  <c r="V103"/>
  <c r="V104"/>
  <c r="V105"/>
  <c r="V106"/>
  <c r="V107"/>
  <c r="V108"/>
  <c r="V109"/>
  <c r="V110"/>
  <c r="V111"/>
  <c r="V112"/>
  <c r="V113"/>
  <c r="V114"/>
  <c r="V115"/>
  <c r="W75"/>
  <c r="X115"/>
  <c r="Y115"/>
  <c r="Z115"/>
  <c r="Y75"/>
  <c r="U115"/>
  <c r="X97"/>
  <c r="Y97"/>
  <c r="Z97"/>
  <c r="U97"/>
  <c r="X106"/>
  <c r="Y106"/>
  <c r="Z106"/>
  <c r="U106"/>
  <c r="X101"/>
  <c r="Y101"/>
  <c r="Z101"/>
  <c r="U101"/>
  <c r="X99"/>
  <c r="Y99"/>
  <c r="Z99"/>
  <c r="U99"/>
  <c r="X98"/>
  <c r="Y98"/>
  <c r="Z98"/>
  <c r="U98"/>
  <c r="X150"/>
  <c r="Y150"/>
  <c r="Z150"/>
  <c r="U150"/>
  <c r="W98"/>
  <c r="W150"/>
  <c r="D23"/>
  <c r="C24"/>
  <c r="C25"/>
  <c r="C26"/>
  <c r="C28"/>
  <c r="C29"/>
  <c r="C31"/>
  <c r="C32"/>
  <c r="C33"/>
  <c r="P79"/>
  <c r="X80"/>
  <c r="Y80"/>
  <c r="Z80"/>
  <c r="U80"/>
  <c r="W80"/>
  <c r="X81"/>
  <c r="Y81"/>
  <c r="Z81"/>
  <c r="U81"/>
  <c r="W81"/>
  <c r="X82"/>
  <c r="Y82"/>
  <c r="Z82"/>
  <c r="U82"/>
  <c r="W82"/>
  <c r="X83"/>
  <c r="Y83"/>
  <c r="Z83"/>
  <c r="U83"/>
  <c r="W83"/>
  <c r="X84"/>
  <c r="Y84"/>
  <c r="Z84"/>
  <c r="U84"/>
  <c r="W84"/>
  <c r="X85"/>
  <c r="Y85"/>
  <c r="Z85"/>
  <c r="U85"/>
  <c r="W85"/>
  <c r="X86"/>
  <c r="Y86"/>
  <c r="Z86"/>
  <c r="U86"/>
  <c r="W86"/>
  <c r="X87"/>
  <c r="Y87"/>
  <c r="Z87"/>
  <c r="U87"/>
  <c r="W87"/>
  <c r="X88"/>
  <c r="Y88"/>
  <c r="Z88"/>
  <c r="U88"/>
  <c r="W88"/>
  <c r="X89"/>
  <c r="Y89"/>
  <c r="Z89"/>
  <c r="U89"/>
  <c r="W89"/>
  <c r="X90"/>
  <c r="Y90"/>
  <c r="Z90"/>
  <c r="U90"/>
  <c r="W90"/>
  <c r="X91"/>
  <c r="Y91"/>
  <c r="Z91"/>
  <c r="U91"/>
  <c r="W91"/>
  <c r="X92"/>
  <c r="Y92"/>
  <c r="Z92"/>
  <c r="U92"/>
  <c r="W92"/>
  <c r="X93"/>
  <c r="Y93"/>
  <c r="Z93"/>
  <c r="U93"/>
  <c r="W93"/>
  <c r="X94"/>
  <c r="Y94"/>
  <c r="Z94"/>
  <c r="U94"/>
  <c r="W94"/>
  <c r="X95"/>
  <c r="Y95"/>
  <c r="Z95"/>
  <c r="U95"/>
  <c r="W95"/>
  <c r="X96"/>
  <c r="Y96"/>
  <c r="Z96"/>
  <c r="U96"/>
  <c r="W96"/>
  <c r="W97"/>
  <c r="W99"/>
  <c r="X100"/>
  <c r="Y100"/>
  <c r="Z100"/>
  <c r="U100"/>
  <c r="W100"/>
  <c r="W101"/>
  <c r="X102"/>
  <c r="Y102"/>
  <c r="Z102"/>
  <c r="U102"/>
  <c r="W102"/>
  <c r="X103"/>
  <c r="Y103"/>
  <c r="Z103"/>
  <c r="U103"/>
  <c r="W103"/>
  <c r="X104"/>
  <c r="Y104"/>
  <c r="Z104"/>
  <c r="U104"/>
  <c r="W104"/>
  <c r="X105"/>
  <c r="Y105"/>
  <c r="Z105"/>
  <c r="U105"/>
  <c r="W105"/>
  <c r="W106"/>
  <c r="X107"/>
  <c r="Y107"/>
  <c r="Z107"/>
  <c r="U107"/>
  <c r="W107"/>
  <c r="X108"/>
  <c r="Y108"/>
  <c r="Z108"/>
  <c r="U108"/>
  <c r="W108"/>
  <c r="X109"/>
  <c r="Y109"/>
  <c r="Z109"/>
  <c r="U109"/>
  <c r="W109"/>
  <c r="X110"/>
  <c r="Y110"/>
  <c r="Z110"/>
  <c r="U110"/>
  <c r="W110"/>
  <c r="X111"/>
  <c r="Y111"/>
  <c r="Z111"/>
  <c r="U111"/>
  <c r="W111"/>
  <c r="X112"/>
  <c r="Y112"/>
  <c r="Z112"/>
  <c r="U112"/>
  <c r="W112"/>
  <c r="X113"/>
  <c r="Y113"/>
  <c r="Z113"/>
  <c r="U113"/>
  <c r="W113"/>
  <c r="X114"/>
  <c r="Y114"/>
  <c r="Z114"/>
  <c r="U114"/>
  <c r="W114"/>
  <c r="W115"/>
  <c r="V116"/>
  <c r="X116"/>
  <c r="V117"/>
  <c r="X117"/>
  <c r="V118"/>
  <c r="X118"/>
  <c r="V119"/>
  <c r="X119"/>
  <c r="V120"/>
  <c r="X120"/>
  <c r="V121"/>
  <c r="X121"/>
  <c r="V122"/>
  <c r="X122"/>
  <c r="V123"/>
  <c r="X123"/>
  <c r="V124"/>
  <c r="X124"/>
  <c r="V125"/>
  <c r="X125"/>
  <c r="V126"/>
  <c r="X126"/>
  <c r="V127"/>
  <c r="X127"/>
  <c r="V128"/>
  <c r="X128"/>
  <c r="V129"/>
  <c r="X129"/>
  <c r="V130"/>
  <c r="X130"/>
  <c r="V131"/>
  <c r="X131"/>
  <c r="V132"/>
  <c r="X132"/>
  <c r="V133"/>
  <c r="X133"/>
  <c r="V134"/>
  <c r="X134"/>
  <c r="V135"/>
  <c r="X135"/>
  <c r="V136"/>
  <c r="X136"/>
  <c r="V137"/>
  <c r="X137"/>
  <c r="V138"/>
  <c r="X138"/>
  <c r="V139"/>
  <c r="X139"/>
  <c r="V140"/>
  <c r="X140"/>
  <c r="V141"/>
  <c r="X141"/>
  <c r="V142"/>
  <c r="X142"/>
  <c r="V143"/>
  <c r="X143"/>
  <c r="V144"/>
  <c r="X144"/>
  <c r="V145"/>
  <c r="X145"/>
  <c r="V146"/>
  <c r="X146"/>
  <c r="V147"/>
  <c r="X147"/>
  <c r="V148"/>
  <c r="X148"/>
  <c r="V149"/>
  <c r="X149"/>
  <c r="V151"/>
  <c r="X151"/>
  <c r="Y151"/>
  <c r="Z151"/>
  <c r="U151"/>
  <c r="W151"/>
  <c r="V152"/>
  <c r="X152"/>
  <c r="Y152"/>
  <c r="Z152"/>
  <c r="U152"/>
  <c r="W152"/>
  <c r="V153"/>
  <c r="X153"/>
  <c r="Y153"/>
  <c r="Z153"/>
  <c r="U153"/>
  <c r="W153"/>
  <c r="V154"/>
  <c r="X154"/>
  <c r="Y154"/>
  <c r="Z154"/>
  <c r="U154"/>
  <c r="W154"/>
  <c r="V155"/>
  <c r="X155"/>
  <c r="Y155"/>
  <c r="Z155"/>
  <c r="U155"/>
  <c r="W155"/>
  <c r="O10" i="36"/>
  <c r="C15"/>
  <c r="C16"/>
  <c r="C23"/>
  <c r="C24"/>
  <c r="C26"/>
  <c r="C27"/>
  <c r="C28"/>
  <c r="C29"/>
  <c r="C33"/>
  <c r="C34"/>
  <c r="C36"/>
  <c r="C37"/>
  <c r="C38"/>
  <c r="W80"/>
  <c r="X80"/>
  <c r="Y80"/>
  <c r="Z80"/>
  <c r="Y85"/>
  <c r="Z85"/>
  <c r="AA85"/>
  <c r="V85"/>
  <c r="X85"/>
  <c r="W86"/>
  <c r="Y86"/>
  <c r="Z86"/>
  <c r="AA86"/>
  <c r="V86"/>
  <c r="X86"/>
  <c r="W87"/>
  <c r="Y87"/>
  <c r="Z87"/>
  <c r="AA87"/>
  <c r="V87"/>
  <c r="X87"/>
  <c r="W88"/>
  <c r="Y88"/>
  <c r="Z88"/>
  <c r="AA88"/>
  <c r="V88"/>
  <c r="X88"/>
  <c r="W89"/>
  <c r="Y89"/>
  <c r="Z89"/>
  <c r="AA89"/>
  <c r="V89"/>
  <c r="X89"/>
  <c r="W90"/>
  <c r="Y90"/>
  <c r="Z90"/>
  <c r="AA90"/>
  <c r="V90"/>
  <c r="X90"/>
  <c r="W91"/>
  <c r="Y91"/>
  <c r="Z91"/>
  <c r="AA91"/>
  <c r="V91"/>
  <c r="X91"/>
  <c r="W92"/>
  <c r="Y92"/>
  <c r="Z92"/>
  <c r="AA92"/>
  <c r="V92"/>
  <c r="X92"/>
  <c r="W93"/>
  <c r="Y93"/>
  <c r="Z93"/>
  <c r="AA93"/>
  <c r="V93"/>
  <c r="X93"/>
  <c r="W94"/>
  <c r="Y94"/>
  <c r="Z94"/>
  <c r="AA94"/>
  <c r="V94"/>
  <c r="X94"/>
  <c r="W95"/>
  <c r="Y95"/>
  <c r="Z95"/>
  <c r="AA95"/>
  <c r="V95"/>
  <c r="X95"/>
  <c r="W96"/>
  <c r="Y96"/>
  <c r="Z96"/>
  <c r="AA96"/>
  <c r="V96"/>
  <c r="X96"/>
  <c r="W97"/>
  <c r="Y97"/>
  <c r="Z97"/>
  <c r="AA97"/>
  <c r="V97"/>
  <c r="X97"/>
  <c r="W98"/>
  <c r="Y98"/>
  <c r="Z98"/>
  <c r="AA98"/>
  <c r="V98"/>
  <c r="X98"/>
  <c r="W99"/>
  <c r="Y99"/>
  <c r="Z99"/>
  <c r="AA99"/>
  <c r="V99"/>
  <c r="X99"/>
  <c r="W100"/>
  <c r="Y100"/>
  <c r="Z100"/>
  <c r="AA100"/>
  <c r="V100"/>
  <c r="X100"/>
  <c r="W101"/>
  <c r="Y101"/>
  <c r="Z101"/>
  <c r="AA101"/>
  <c r="V101"/>
  <c r="X101"/>
  <c r="W102"/>
  <c r="Y102"/>
  <c r="Z102"/>
  <c r="AA102"/>
  <c r="V102"/>
  <c r="X102"/>
  <c r="W103"/>
  <c r="Y103"/>
  <c r="Z103"/>
  <c r="AA103"/>
  <c r="V103"/>
  <c r="X103"/>
  <c r="W104"/>
  <c r="Y104"/>
  <c r="Z104"/>
  <c r="AA104"/>
  <c r="V104"/>
  <c r="X104"/>
  <c r="W105"/>
  <c r="Y105"/>
  <c r="Z105"/>
  <c r="AA105"/>
  <c r="V105"/>
  <c r="X105"/>
  <c r="W106"/>
  <c r="Y106"/>
  <c r="Z106"/>
  <c r="AA106"/>
  <c r="V106"/>
  <c r="X106"/>
  <c r="W107"/>
  <c r="Y107"/>
  <c r="Z107"/>
  <c r="AA107"/>
  <c r="V107"/>
  <c r="X107"/>
  <c r="W108"/>
  <c r="Y108"/>
  <c r="Z108"/>
  <c r="AA108"/>
  <c r="V108"/>
  <c r="X108"/>
  <c r="W109"/>
  <c r="Y109"/>
  <c r="Z109"/>
  <c r="AA109"/>
  <c r="V109"/>
  <c r="X109"/>
  <c r="W110"/>
  <c r="Y110"/>
  <c r="Z110"/>
  <c r="AA110"/>
  <c r="V110"/>
  <c r="X110"/>
  <c r="W111"/>
  <c r="Y111"/>
  <c r="Z111"/>
  <c r="AA111"/>
  <c r="V111"/>
  <c r="X111"/>
  <c r="W112"/>
  <c r="Y112"/>
  <c r="Z112"/>
  <c r="AA112"/>
  <c r="V112"/>
  <c r="X112"/>
  <c r="W113"/>
  <c r="Y113"/>
  <c r="Z113"/>
  <c r="AA113"/>
  <c r="V113"/>
  <c r="X113"/>
  <c r="W114"/>
  <c r="Y114"/>
  <c r="Z114"/>
  <c r="AA114"/>
  <c r="V114"/>
  <c r="X114"/>
  <c r="W115"/>
  <c r="Y115"/>
  <c r="Z115"/>
  <c r="AA115"/>
  <c r="V115"/>
  <c r="X115"/>
  <c r="W116"/>
  <c r="Y116"/>
  <c r="Z116"/>
  <c r="AA116"/>
  <c r="V116"/>
  <c r="X116"/>
  <c r="W117"/>
  <c r="Y117"/>
  <c r="Z117"/>
  <c r="AA117"/>
  <c r="V117"/>
  <c r="X117"/>
  <c r="W118"/>
  <c r="Y118"/>
  <c r="Z118"/>
  <c r="AA118"/>
  <c r="V118"/>
  <c r="X118"/>
  <c r="W119"/>
  <c r="Y119"/>
  <c r="Z119"/>
  <c r="AA119"/>
  <c r="V119"/>
  <c r="X119"/>
  <c r="W120"/>
  <c r="Y120"/>
  <c r="Z120"/>
  <c r="AA120"/>
  <c r="V120"/>
  <c r="X120"/>
  <c r="W121"/>
  <c r="Y121"/>
  <c r="Z121"/>
  <c r="AA121"/>
  <c r="V121"/>
  <c r="X121"/>
  <c r="W122"/>
  <c r="Y122"/>
  <c r="Z122"/>
  <c r="AA122"/>
  <c r="V122"/>
  <c r="X122"/>
  <c r="W123"/>
  <c r="Y123"/>
  <c r="Z123"/>
  <c r="AA123"/>
  <c r="V123"/>
  <c r="X123"/>
  <c r="W124"/>
  <c r="Y124"/>
  <c r="Z124"/>
  <c r="AA124"/>
  <c r="V124"/>
  <c r="X124"/>
  <c r="W125"/>
  <c r="Y125"/>
  <c r="Z125"/>
  <c r="AA125"/>
  <c r="V125"/>
  <c r="X125"/>
  <c r="W126"/>
  <c r="Y126"/>
  <c r="Z126"/>
  <c r="AA126"/>
  <c r="V126"/>
  <c r="X126"/>
  <c r="W127"/>
  <c r="Y127"/>
  <c r="Z127"/>
  <c r="AA127"/>
  <c r="V127"/>
  <c r="X127"/>
  <c r="W128"/>
  <c r="Y128"/>
  <c r="Z128"/>
  <c r="AA128"/>
  <c r="V128"/>
  <c r="X128"/>
  <c r="W129"/>
  <c r="Y129"/>
  <c r="Z129"/>
  <c r="AA129"/>
  <c r="V129"/>
  <c r="X129"/>
  <c r="W130"/>
  <c r="Y130"/>
  <c r="Z130"/>
  <c r="AA130"/>
  <c r="V130"/>
  <c r="X130"/>
  <c r="W131"/>
  <c r="Y131"/>
  <c r="Z131"/>
  <c r="AA131"/>
  <c r="V131"/>
  <c r="X131"/>
  <c r="W132"/>
  <c r="Y132"/>
  <c r="Z132"/>
  <c r="AA132"/>
  <c r="V132"/>
  <c r="X132"/>
  <c r="W133"/>
  <c r="Y133"/>
  <c r="Z133"/>
  <c r="AA133"/>
  <c r="V133"/>
  <c r="X133"/>
  <c r="W134"/>
  <c r="Y134"/>
  <c r="Z134"/>
  <c r="AA134"/>
  <c r="V134"/>
  <c r="X134"/>
  <c r="W135"/>
  <c r="Y135"/>
  <c r="Z135"/>
  <c r="AA135"/>
  <c r="V135"/>
  <c r="X135"/>
  <c r="W136"/>
  <c r="Y136"/>
  <c r="Z136"/>
  <c r="AA136"/>
  <c r="V136"/>
  <c r="X136"/>
  <c r="W137"/>
  <c r="Y137"/>
  <c r="Z137"/>
  <c r="AA137"/>
  <c r="V137"/>
  <c r="X137"/>
  <c r="W138"/>
  <c r="Y138"/>
  <c r="Z138"/>
  <c r="AA138"/>
  <c r="V138"/>
  <c r="X138"/>
  <c r="W139"/>
  <c r="Y139"/>
  <c r="Z139"/>
  <c r="AA139"/>
  <c r="V139"/>
  <c r="X139"/>
  <c r="W140"/>
  <c r="Y140"/>
  <c r="Z140"/>
  <c r="AA140"/>
  <c r="V140"/>
  <c r="X140"/>
  <c r="W141"/>
  <c r="Y141"/>
  <c r="Z141"/>
  <c r="AA141"/>
  <c r="V141"/>
  <c r="X141"/>
  <c r="W142"/>
  <c r="Y142"/>
  <c r="Z142"/>
  <c r="AA142"/>
  <c r="V142"/>
  <c r="X142"/>
  <c r="W143"/>
  <c r="Y143"/>
  <c r="Z143"/>
  <c r="AA143"/>
  <c r="V143"/>
  <c r="X143"/>
  <c r="W144"/>
  <c r="Y144"/>
  <c r="Z144"/>
  <c r="AA144"/>
  <c r="V144"/>
  <c r="X144"/>
  <c r="W145"/>
  <c r="Y145"/>
  <c r="Z145"/>
  <c r="AA145"/>
  <c r="V145"/>
  <c r="X145"/>
  <c r="W146"/>
  <c r="Y146"/>
  <c r="Z146"/>
  <c r="AA146"/>
  <c r="V146"/>
  <c r="X146"/>
  <c r="W147"/>
  <c r="Y147"/>
  <c r="Z147"/>
  <c r="AA147"/>
  <c r="V147"/>
  <c r="X147"/>
  <c r="W148"/>
  <c r="Y148"/>
  <c r="Z148"/>
  <c r="AA148"/>
  <c r="V148"/>
  <c r="X148"/>
  <c r="W149"/>
  <c r="Y149"/>
  <c r="Z149"/>
  <c r="AA149"/>
  <c r="V149"/>
  <c r="X149"/>
  <c r="W150"/>
  <c r="Y150"/>
  <c r="Z150"/>
  <c r="AA150"/>
  <c r="V150"/>
  <c r="X150"/>
  <c r="W151"/>
  <c r="Y151"/>
  <c r="Z151"/>
  <c r="AA151"/>
  <c r="V151"/>
  <c r="X151"/>
  <c r="W152"/>
  <c r="Y152"/>
  <c r="Z152"/>
  <c r="AA152"/>
  <c r="V152"/>
  <c r="X152"/>
  <c r="W153"/>
  <c r="Y153"/>
  <c r="Z153"/>
  <c r="AA153"/>
  <c r="V153"/>
  <c r="X153"/>
  <c r="W154"/>
  <c r="Y154"/>
  <c r="Z154"/>
  <c r="AA154"/>
  <c r="V154"/>
  <c r="X154"/>
  <c r="Y155"/>
  <c r="Z155"/>
  <c r="AA155"/>
  <c r="V155"/>
  <c r="X155"/>
  <c r="W156"/>
  <c r="Y156"/>
  <c r="Z156"/>
  <c r="AA156"/>
  <c r="V156"/>
  <c r="X156"/>
  <c r="W157"/>
  <c r="Y157"/>
  <c r="Z157"/>
  <c r="AA157"/>
  <c r="V157"/>
  <c r="X157"/>
  <c r="W158"/>
  <c r="Y158"/>
  <c r="Z158"/>
  <c r="AA158"/>
  <c r="V158"/>
  <c r="X158"/>
  <c r="W159"/>
  <c r="Y159"/>
  <c r="Z159"/>
  <c r="AA159"/>
  <c r="V159"/>
  <c r="X159"/>
  <c r="W160"/>
  <c r="Y160"/>
  <c r="Z160"/>
  <c r="AA160"/>
  <c r="V160"/>
  <c r="X160"/>
  <c r="C10" i="41"/>
  <c r="C12"/>
  <c r="C12" i="42"/>
  <c r="C13"/>
  <c r="C14"/>
  <c r="C19"/>
  <c r="C21"/>
  <c r="C24"/>
  <c r="C25"/>
  <c r="C27"/>
  <c r="C28"/>
  <c r="C31"/>
  <c r="C32"/>
  <c r="C33"/>
  <c r="I33"/>
  <c r="C34"/>
  <c r="I34"/>
  <c r="C46"/>
  <c r="C44"/>
  <c r="C47"/>
  <c r="C48"/>
  <c r="I35"/>
  <c r="I36"/>
  <c r="C50"/>
  <c r="C51"/>
  <c r="C14" i="35"/>
  <c r="C23"/>
  <c r="C24"/>
  <c r="C26"/>
  <c r="C28"/>
  <c r="C29"/>
  <c r="C47"/>
  <c r="I29"/>
  <c r="C31"/>
  <c r="C37"/>
  <c r="C51"/>
  <c r="I31"/>
  <c r="C49"/>
  <c r="C21" i="34"/>
  <c r="C20"/>
  <c r="C22"/>
  <c r="C23"/>
  <c r="C25"/>
  <c r="C28"/>
  <c r="C29"/>
  <c r="C31"/>
  <c r="C32"/>
  <c r="C37"/>
  <c r="Y149" i="25"/>
  <c r="Z149"/>
  <c r="U149"/>
  <c r="W149"/>
  <c r="Y148"/>
  <c r="Z148"/>
  <c r="U148"/>
  <c r="W148"/>
  <c r="Y147"/>
  <c r="Z147"/>
  <c r="U147"/>
  <c r="W147"/>
  <c r="Y146"/>
  <c r="Z146"/>
  <c r="U146"/>
  <c r="W146"/>
  <c r="Y145"/>
  <c r="Z145"/>
  <c r="U145"/>
  <c r="W145"/>
  <c r="Y144"/>
  <c r="Z144"/>
  <c r="U144"/>
  <c r="W144"/>
  <c r="Y143"/>
  <c r="Z143"/>
  <c r="U143"/>
  <c r="W143"/>
  <c r="Y142"/>
  <c r="Z142"/>
  <c r="U142"/>
  <c r="W142"/>
  <c r="Y141"/>
  <c r="Z141"/>
  <c r="U141"/>
  <c r="W141"/>
  <c r="Y140"/>
  <c r="Z140"/>
  <c r="U140"/>
  <c r="W140"/>
  <c r="Y139"/>
  <c r="Z139"/>
  <c r="U139"/>
  <c r="W139"/>
  <c r="Y138"/>
  <c r="Z138"/>
  <c r="U138"/>
  <c r="W138"/>
  <c r="Y137"/>
  <c r="Z137"/>
  <c r="U137"/>
  <c r="W137"/>
  <c r="Y136"/>
  <c r="Z136"/>
  <c r="U136"/>
  <c r="W136"/>
  <c r="Y135"/>
  <c r="Z135"/>
  <c r="U135"/>
  <c r="W135"/>
  <c r="Y134"/>
  <c r="Z134"/>
  <c r="U134"/>
  <c r="W134"/>
  <c r="Y133"/>
  <c r="Z133"/>
  <c r="U133"/>
  <c r="W133"/>
  <c r="Y132"/>
  <c r="Z132"/>
  <c r="U132"/>
  <c r="W132"/>
  <c r="Y131"/>
  <c r="Z131"/>
  <c r="U131"/>
  <c r="W131"/>
  <c r="Y130"/>
  <c r="Z130"/>
  <c r="U130"/>
  <c r="W130"/>
  <c r="Y129"/>
  <c r="Z129"/>
  <c r="U129"/>
  <c r="W129"/>
  <c r="Y128"/>
  <c r="Z128"/>
  <c r="U128"/>
  <c r="W128"/>
  <c r="Y127"/>
  <c r="Z127"/>
  <c r="U127"/>
  <c r="W127"/>
  <c r="Y126"/>
  <c r="Z126"/>
  <c r="U126"/>
  <c r="W126"/>
  <c r="Y125"/>
  <c r="Z125"/>
  <c r="U125"/>
  <c r="W125"/>
  <c r="Y124"/>
  <c r="Z124"/>
  <c r="U124"/>
  <c r="W124"/>
  <c r="Y123"/>
  <c r="Z123"/>
  <c r="U123"/>
  <c r="W123"/>
  <c r="Y122"/>
  <c r="Z122"/>
  <c r="U122"/>
  <c r="W122"/>
  <c r="Y121"/>
  <c r="Z121"/>
  <c r="U121"/>
  <c r="W121"/>
  <c r="Y120"/>
  <c r="Z120"/>
  <c r="U120"/>
  <c r="W120"/>
  <c r="Y119"/>
  <c r="Z119"/>
  <c r="U119"/>
  <c r="W119"/>
  <c r="Y118"/>
  <c r="Z118"/>
  <c r="U118"/>
  <c r="W118"/>
  <c r="Y117"/>
  <c r="Z117"/>
  <c r="U117"/>
  <c r="W117"/>
  <c r="Y116"/>
  <c r="Z116"/>
  <c r="U116"/>
  <c r="C16"/>
  <c r="C17"/>
  <c r="C20"/>
  <c r="C27"/>
  <c r="C34"/>
  <c r="W116"/>
  <c r="C76" i="54" l="1"/>
  <c r="G31" i="58"/>
  <c r="G70"/>
  <c r="P31"/>
  <c r="P70"/>
  <c r="H31"/>
  <c r="H70"/>
  <c r="F31"/>
  <c r="F70"/>
  <c r="Q31"/>
  <c r="Q70"/>
  <c r="H22" i="45"/>
  <c r="D44" i="52"/>
  <c r="D48"/>
  <c r="D52"/>
  <c r="D43"/>
  <c r="D47"/>
  <c r="D51"/>
  <c r="D46"/>
  <c r="D50"/>
  <c r="D42"/>
  <c r="E42" s="1"/>
  <c r="L42" s="1"/>
  <c r="F42" s="1"/>
  <c r="D45"/>
  <c r="D49"/>
  <c r="D53"/>
  <c r="I46" i="45"/>
  <c r="H18"/>
  <c r="K18" s="1"/>
  <c r="C16" i="54" s="1"/>
  <c r="H44" i="45"/>
  <c r="I44" s="1"/>
  <c r="C26" i="54" s="1"/>
  <c r="D26" s="1"/>
  <c r="K79" i="44"/>
  <c r="H20" i="45" s="1"/>
  <c r="H45"/>
  <c r="I45" s="1"/>
  <c r="C27" i="54" s="1"/>
  <c r="D27" s="1"/>
  <c r="H43" i="45"/>
  <c r="I43" s="1"/>
  <c r="H42"/>
  <c r="I42" s="1"/>
  <c r="H48"/>
  <c r="I48" s="1"/>
  <c r="C30" i="54" s="1"/>
  <c r="D30" s="1"/>
  <c r="H47" i="45"/>
  <c r="I47" s="1"/>
  <c r="J22"/>
  <c r="L79" i="44"/>
  <c r="J20" i="45" s="1"/>
  <c r="K23"/>
  <c r="C21" i="54" s="1"/>
  <c r="D21" s="1"/>
  <c r="K21" l="1"/>
  <c r="I21"/>
  <c r="Q21"/>
  <c r="L21"/>
  <c r="G21"/>
  <c r="F21"/>
  <c r="J21"/>
  <c r="M21"/>
  <c r="H21"/>
  <c r="P21"/>
  <c r="O21"/>
  <c r="N21"/>
  <c r="O30"/>
  <c r="M30"/>
  <c r="K30"/>
  <c r="G30"/>
  <c r="I30"/>
  <c r="P30"/>
  <c r="L30"/>
  <c r="N30"/>
  <c r="H30"/>
  <c r="F30"/>
  <c r="Q30"/>
  <c r="J30"/>
  <c r="N47" i="45"/>
  <c r="C29" i="54"/>
  <c r="D29" s="1"/>
  <c r="J27"/>
  <c r="L27"/>
  <c r="F27"/>
  <c r="P27"/>
  <c r="K27"/>
  <c r="Q27"/>
  <c r="O27"/>
  <c r="H27"/>
  <c r="M27"/>
  <c r="G27"/>
  <c r="I27"/>
  <c r="N27"/>
  <c r="O46" i="45"/>
  <c r="O49" s="1"/>
  <c r="C28" i="54"/>
  <c r="D19" i="58" s="1"/>
  <c r="N43" i="45"/>
  <c r="C25" i="54"/>
  <c r="D25" s="1"/>
  <c r="N42" i="45"/>
  <c r="C24" i="54"/>
  <c r="N26"/>
  <c r="H26"/>
  <c r="O26"/>
  <c r="P26"/>
  <c r="F26"/>
  <c r="Q26"/>
  <c r="K26"/>
  <c r="L26"/>
  <c r="M26"/>
  <c r="G26"/>
  <c r="I26"/>
  <c r="J26"/>
  <c r="N18" i="45"/>
  <c r="N44"/>
  <c r="N23"/>
  <c r="N48"/>
  <c r="N45"/>
  <c r="D54" i="52"/>
  <c r="J19" i="45"/>
  <c r="J21"/>
  <c r="H19"/>
  <c r="H21"/>
  <c r="F36" i="46"/>
  <c r="H36" s="1"/>
  <c r="K22" i="45"/>
  <c r="I49"/>
  <c r="C32" i="46"/>
  <c r="F37"/>
  <c r="H37" s="1"/>
  <c r="C33"/>
  <c r="E33" s="1"/>
  <c r="C34"/>
  <c r="E34" s="1"/>
  <c r="C85" s="1"/>
  <c r="F85" s="1"/>
  <c r="F38"/>
  <c r="H38" s="1"/>
  <c r="D90" s="1"/>
  <c r="G90" s="1"/>
  <c r="C35"/>
  <c r="E35" s="1"/>
  <c r="C86" s="1"/>
  <c r="F86" s="1"/>
  <c r="F22"/>
  <c r="H22" s="1"/>
  <c r="D89" s="1"/>
  <c r="G89" s="1"/>
  <c r="C16"/>
  <c r="L25" i="54" l="1"/>
  <c r="J25"/>
  <c r="H25"/>
  <c r="I25"/>
  <c r="F25"/>
  <c r="Q25"/>
  <c r="N25"/>
  <c r="G25"/>
  <c r="M25"/>
  <c r="O25"/>
  <c r="P25"/>
  <c r="K25"/>
  <c r="J29"/>
  <c r="H29"/>
  <c r="F29"/>
  <c r="K29"/>
  <c r="Q29"/>
  <c r="O29"/>
  <c r="P29"/>
  <c r="M29"/>
  <c r="G29"/>
  <c r="I29"/>
  <c r="L29"/>
  <c r="N29"/>
  <c r="C31"/>
  <c r="D24"/>
  <c r="D28"/>
  <c r="D16"/>
  <c r="N22" i="45"/>
  <c r="C20" i="54"/>
  <c r="D20" s="1"/>
  <c r="K20" i="45"/>
  <c r="K21"/>
  <c r="K19"/>
  <c r="C17" i="54" s="1"/>
  <c r="D17" s="1"/>
  <c r="C39" i="46"/>
  <c r="E32"/>
  <c r="F21"/>
  <c r="H21" s="1"/>
  <c r="D88" s="1"/>
  <c r="G88" s="1"/>
  <c r="N49" i="45"/>
  <c r="F39" i="46"/>
  <c r="H39"/>
  <c r="E16"/>
  <c r="E45" i="52"/>
  <c r="E28" i="54" l="1"/>
  <c r="E31" s="1"/>
  <c r="E19" i="58"/>
  <c r="D31" i="54"/>
  <c r="J24"/>
  <c r="F24"/>
  <c r="M24"/>
  <c r="K24"/>
  <c r="H24"/>
  <c r="O24"/>
  <c r="I24"/>
  <c r="P24"/>
  <c r="Q24"/>
  <c r="G24"/>
  <c r="L24"/>
  <c r="N24"/>
  <c r="O28"/>
  <c r="O19" i="58" s="1"/>
  <c r="J28" i="54"/>
  <c r="J19" i="58" s="1"/>
  <c r="M28" i="54"/>
  <c r="M19" i="58" s="1"/>
  <c r="Q28" i="54"/>
  <c r="Q19" i="58" s="1"/>
  <c r="N28" i="54"/>
  <c r="N19" i="58" s="1"/>
  <c r="K28" i="54"/>
  <c r="K19" i="58" s="1"/>
  <c r="L28" i="54"/>
  <c r="L19" i="58" s="1"/>
  <c r="H28" i="54"/>
  <c r="H19" i="58" s="1"/>
  <c r="G28" i="54"/>
  <c r="G19" i="58" s="1"/>
  <c r="F28" i="54"/>
  <c r="F19" i="58" s="1"/>
  <c r="P28" i="54"/>
  <c r="P19" i="58" s="1"/>
  <c r="I28" i="54"/>
  <c r="I19" i="58" s="1"/>
  <c r="E39" i="46"/>
  <c r="C83"/>
  <c r="F83" s="1"/>
  <c r="O21" i="45"/>
  <c r="C19" i="54"/>
  <c r="P16"/>
  <c r="L16"/>
  <c r="J16"/>
  <c r="H16"/>
  <c r="Q16"/>
  <c r="I16"/>
  <c r="G16"/>
  <c r="O16"/>
  <c r="N16"/>
  <c r="F16"/>
  <c r="M16"/>
  <c r="K16"/>
  <c r="F20"/>
  <c r="Q20"/>
  <c r="J20"/>
  <c r="O20"/>
  <c r="K20"/>
  <c r="G20"/>
  <c r="L20"/>
  <c r="P20"/>
  <c r="N20"/>
  <c r="H20"/>
  <c r="M20"/>
  <c r="I20"/>
  <c r="O20" i="45"/>
  <c r="C18" i="54"/>
  <c r="D18" s="1"/>
  <c r="E18" s="1"/>
  <c r="H17"/>
  <c r="O17"/>
  <c r="G17"/>
  <c r="I17"/>
  <c r="F17"/>
  <c r="N17"/>
  <c r="K17"/>
  <c r="L17"/>
  <c r="J17"/>
  <c r="Q17"/>
  <c r="M17"/>
  <c r="P17"/>
  <c r="N19" i="45"/>
  <c r="F19" i="46"/>
  <c r="H19" s="1"/>
  <c r="F20"/>
  <c r="H20" s="1"/>
  <c r="C17"/>
  <c r="E17" s="1"/>
  <c r="K24" i="45"/>
  <c r="G31" i="54" l="1"/>
  <c r="F31"/>
  <c r="Q31"/>
  <c r="Q18"/>
  <c r="F18"/>
  <c r="O31"/>
  <c r="L31"/>
  <c r="I31"/>
  <c r="M31"/>
  <c r="N31"/>
  <c r="P31"/>
  <c r="K31"/>
  <c r="H31"/>
  <c r="J31"/>
  <c r="O24" i="45"/>
  <c r="C84" i="46"/>
  <c r="F84" s="1"/>
  <c r="F96" s="1"/>
  <c r="D61" i="54" s="1"/>
  <c r="K18"/>
  <c r="D16" i="58"/>
  <c r="C22" i="54"/>
  <c r="D19"/>
  <c r="E19" s="1"/>
  <c r="D17" i="58"/>
  <c r="D87" i="46"/>
  <c r="N24" i="45"/>
  <c r="F23" i="46"/>
  <c r="E23"/>
  <c r="C23"/>
  <c r="H23"/>
  <c r="L45" i="52"/>
  <c r="F45" s="1"/>
  <c r="E46"/>
  <c r="L46" s="1"/>
  <c r="F46" s="1"/>
  <c r="G46" s="1"/>
  <c r="J41" i="54" s="1"/>
  <c r="J44" s="1"/>
  <c r="E50" i="52"/>
  <c r="L50" s="1"/>
  <c r="F50" s="1"/>
  <c r="G50" s="1"/>
  <c r="N41" i="54" s="1"/>
  <c r="N44" s="1"/>
  <c r="E52" i="52"/>
  <c r="L52" s="1"/>
  <c r="F52" s="1"/>
  <c r="E47"/>
  <c r="L47" s="1"/>
  <c r="F47" s="1"/>
  <c r="G47" s="1"/>
  <c r="K41" i="54" s="1"/>
  <c r="K44" s="1"/>
  <c r="E51" i="52"/>
  <c r="L51" s="1"/>
  <c r="F51" s="1"/>
  <c r="G51" s="1"/>
  <c r="O41" i="54" s="1"/>
  <c r="O44" s="1"/>
  <c r="E49" i="52"/>
  <c r="L49" s="1"/>
  <c r="F49" s="1"/>
  <c r="G49" s="1"/>
  <c r="M41" i="54" s="1"/>
  <c r="M44" s="1"/>
  <c r="E43" i="52"/>
  <c r="L43" s="1"/>
  <c r="E48"/>
  <c r="L48" s="1"/>
  <c r="F48" s="1"/>
  <c r="G48" s="1"/>
  <c r="L41" i="54" s="1"/>
  <c r="L44" s="1"/>
  <c r="E44" i="52"/>
  <c r="L44" s="1"/>
  <c r="F44" s="1"/>
  <c r="E53"/>
  <c r="L53" s="1"/>
  <c r="F53" s="1"/>
  <c r="O19" i="54" l="1"/>
  <c r="O17" i="58" s="1"/>
  <c r="D22" i="54"/>
  <c r="C45"/>
  <c r="D26" i="58"/>
  <c r="D32" s="1"/>
  <c r="C96" i="46"/>
  <c r="C61" i="54" s="1"/>
  <c r="J19"/>
  <c r="J17" i="58" s="1"/>
  <c r="L19" i="54"/>
  <c r="L17" i="58" s="1"/>
  <c r="H19" i="54"/>
  <c r="H17" i="58" s="1"/>
  <c r="K19" i="54"/>
  <c r="K17" i="58" s="1"/>
  <c r="Q19" i="54"/>
  <c r="Q17" i="58" s="1"/>
  <c r="L18" i="54"/>
  <c r="J18"/>
  <c r="M19"/>
  <c r="M17" i="58" s="1"/>
  <c r="P19" i="54"/>
  <c r="P17" i="58" s="1"/>
  <c r="F19" i="54"/>
  <c r="I19"/>
  <c r="I17" i="58" s="1"/>
  <c r="G19" i="54"/>
  <c r="G17" i="58" s="1"/>
  <c r="N19" i="54"/>
  <c r="N17" i="58" s="1"/>
  <c r="M18" i="54"/>
  <c r="K16" i="58"/>
  <c r="O28"/>
  <c r="O68" s="1"/>
  <c r="J28"/>
  <c r="J68" s="1"/>
  <c r="M28"/>
  <c r="M68" s="1"/>
  <c r="O18" i="54"/>
  <c r="I18"/>
  <c r="H18"/>
  <c r="G18"/>
  <c r="P18"/>
  <c r="E16" i="58"/>
  <c r="N28"/>
  <c r="N68" s="1"/>
  <c r="L28"/>
  <c r="L68" s="1"/>
  <c r="K28"/>
  <c r="K68" s="1"/>
  <c r="E17"/>
  <c r="E22" i="54"/>
  <c r="N18"/>
  <c r="D96" i="46"/>
  <c r="C62" i="54" s="1"/>
  <c r="G87" i="46"/>
  <c r="G96" s="1"/>
  <c r="D62" i="54" s="1"/>
  <c r="D66" s="1"/>
  <c r="F43" i="52"/>
  <c r="L54"/>
  <c r="H47"/>
  <c r="H46"/>
  <c r="G45"/>
  <c r="E54"/>
  <c r="H49"/>
  <c r="H48"/>
  <c r="H51"/>
  <c r="H50"/>
  <c r="M77" i="58" l="1"/>
  <c r="Q77"/>
  <c r="F77"/>
  <c r="H77"/>
  <c r="L77"/>
  <c r="P77"/>
  <c r="G77"/>
  <c r="K77"/>
  <c r="O77"/>
  <c r="J77"/>
  <c r="N77"/>
  <c r="O22" i="54"/>
  <c r="O45" s="1"/>
  <c r="Q22"/>
  <c r="P22"/>
  <c r="N22"/>
  <c r="G22"/>
  <c r="I22"/>
  <c r="H22"/>
  <c r="F17" i="58"/>
  <c r="F22" i="54"/>
  <c r="K22"/>
  <c r="M16" i="58"/>
  <c r="M67" s="1"/>
  <c r="M76" s="1"/>
  <c r="M22" i="54"/>
  <c r="L16" i="58"/>
  <c r="L67" s="1"/>
  <c r="L76" s="1"/>
  <c r="L22" i="54"/>
  <c r="J16" i="58"/>
  <c r="J67" s="1"/>
  <c r="J76" s="1"/>
  <c r="J22" i="54"/>
  <c r="D41" i="58"/>
  <c r="C68" i="54"/>
  <c r="D40" i="58"/>
  <c r="K67"/>
  <c r="K76" s="1"/>
  <c r="L26" i="65"/>
  <c r="D67" i="58"/>
  <c r="H62" i="54"/>
  <c r="H41" i="58" s="1"/>
  <c r="H66" s="1"/>
  <c r="M61" i="54"/>
  <c r="J61"/>
  <c r="O61"/>
  <c r="Q61"/>
  <c r="N61"/>
  <c r="H61"/>
  <c r="L61"/>
  <c r="F61"/>
  <c r="P61"/>
  <c r="G61"/>
  <c r="I61"/>
  <c r="E40" i="58"/>
  <c r="K61" i="54"/>
  <c r="C52"/>
  <c r="K26" i="58"/>
  <c r="J25" i="61" s="1"/>
  <c r="E26" i="58"/>
  <c r="O16"/>
  <c r="N16"/>
  <c r="I25" i="61"/>
  <c r="K31" i="58"/>
  <c r="I25" i="62"/>
  <c r="G16" i="58"/>
  <c r="I16"/>
  <c r="I27" i="62"/>
  <c r="M31" i="58"/>
  <c r="I27" i="61"/>
  <c r="I24" i="62"/>
  <c r="J31" i="58"/>
  <c r="I24" i="61"/>
  <c r="F16" i="58"/>
  <c r="P16"/>
  <c r="H16"/>
  <c r="Q16"/>
  <c r="I26" i="61"/>
  <c r="L31" i="58"/>
  <c r="I26" i="62"/>
  <c r="I16"/>
  <c r="N31" i="58"/>
  <c r="I16" i="61"/>
  <c r="I17" i="62"/>
  <c r="O31" i="58"/>
  <c r="I17" i="61"/>
  <c r="G54" i="52"/>
  <c r="I41" i="54"/>
  <c r="I44" s="1"/>
  <c r="I77" i="58" s="1"/>
  <c r="H45" i="52"/>
  <c r="F54"/>
  <c r="M26" i="65" l="1"/>
  <c r="I45" i="54"/>
  <c r="H45"/>
  <c r="P45"/>
  <c r="J45"/>
  <c r="J78" i="58"/>
  <c r="M45" i="54"/>
  <c r="M78" i="58"/>
  <c r="N45" i="54"/>
  <c r="F45"/>
  <c r="G45"/>
  <c r="L45"/>
  <c r="K45"/>
  <c r="K78" i="58"/>
  <c r="Q45" i="54"/>
  <c r="L78" i="58"/>
  <c r="M26"/>
  <c r="J27" i="61" s="1"/>
  <c r="K27" s="1"/>
  <c r="N27" s="1"/>
  <c r="H66" i="54"/>
  <c r="J26" i="58"/>
  <c r="J24" i="62" s="1"/>
  <c r="K24" s="1"/>
  <c r="O24" s="1"/>
  <c r="K32" i="58"/>
  <c r="L26"/>
  <c r="J26" i="62" s="1"/>
  <c r="K26" s="1"/>
  <c r="P26" s="1"/>
  <c r="L26" s="1"/>
  <c r="C63" i="58"/>
  <c r="C28" i="65"/>
  <c r="D28" s="1"/>
  <c r="G62" i="54"/>
  <c r="G41" i="58" s="1"/>
  <c r="G66" s="1"/>
  <c r="O26"/>
  <c r="O32" s="1"/>
  <c r="O67"/>
  <c r="O76" s="1"/>
  <c r="O78" s="1"/>
  <c r="N26"/>
  <c r="J16" i="62" s="1"/>
  <c r="K16" s="1"/>
  <c r="N67" i="58"/>
  <c r="N76" s="1"/>
  <c r="Q62" i="54"/>
  <c r="Q41" i="58" s="1"/>
  <c r="Q66" s="1"/>
  <c r="C70" i="54"/>
  <c r="P26" i="58"/>
  <c r="P32" s="1"/>
  <c r="P67"/>
  <c r="P76" s="1"/>
  <c r="G26"/>
  <c r="G67"/>
  <c r="G76" s="1"/>
  <c r="Q26"/>
  <c r="Q67"/>
  <c r="Q76" s="1"/>
  <c r="H26"/>
  <c r="H32" s="1"/>
  <c r="H67"/>
  <c r="H76" s="1"/>
  <c r="F26"/>
  <c r="F67"/>
  <c r="F76" s="1"/>
  <c r="I26"/>
  <c r="J23" i="61" s="1"/>
  <c r="I67" i="58"/>
  <c r="M62" i="54"/>
  <c r="M41" i="58" s="1"/>
  <c r="M66" s="1"/>
  <c r="L62" i="54"/>
  <c r="L41" i="58" s="1"/>
  <c r="L66" s="1"/>
  <c r="F62" i="54"/>
  <c r="F41" i="58" s="1"/>
  <c r="F66" s="1"/>
  <c r="K62" i="54"/>
  <c r="K41" i="58" s="1"/>
  <c r="K66" s="1"/>
  <c r="N62" i="54"/>
  <c r="N41" i="58" s="1"/>
  <c r="N66" s="1"/>
  <c r="O62" i="54"/>
  <c r="O41" i="58" s="1"/>
  <c r="O66" s="1"/>
  <c r="P62" i="54"/>
  <c r="P41" i="58" s="1"/>
  <c r="P66" s="1"/>
  <c r="J62" i="54"/>
  <c r="J41" i="58" s="1"/>
  <c r="J66" s="1"/>
  <c r="I62" i="54"/>
  <c r="I41" i="58" s="1"/>
  <c r="I66" s="1"/>
  <c r="E41"/>
  <c r="F40"/>
  <c r="F63" s="1"/>
  <c r="N40"/>
  <c r="N63" s="1"/>
  <c r="M40"/>
  <c r="M63" s="1"/>
  <c r="K40"/>
  <c r="K63" s="1"/>
  <c r="P40"/>
  <c r="P63" s="1"/>
  <c r="H40"/>
  <c r="H63" s="1"/>
  <c r="J40"/>
  <c r="J63" s="1"/>
  <c r="G40"/>
  <c r="G63" s="1"/>
  <c r="O40"/>
  <c r="O63" s="1"/>
  <c r="I40"/>
  <c r="I63" s="1"/>
  <c r="L40"/>
  <c r="L63" s="1"/>
  <c r="Q40"/>
  <c r="Q63" s="1"/>
  <c r="J25" i="62"/>
  <c r="K25" s="1"/>
  <c r="I28" i="58"/>
  <c r="I68" s="1"/>
  <c r="K25" i="61"/>
  <c r="D93" i="52"/>
  <c r="D97" s="1"/>
  <c r="D41" i="54"/>
  <c r="I45" i="52"/>
  <c r="I51"/>
  <c r="I50"/>
  <c r="I47"/>
  <c r="I46"/>
  <c r="I49"/>
  <c r="I48"/>
  <c r="N78" i="58" l="1"/>
  <c r="F78"/>
  <c r="Q78"/>
  <c r="C48" i="65" s="1"/>
  <c r="P78" i="58"/>
  <c r="H78"/>
  <c r="G78"/>
  <c r="M32"/>
  <c r="J27" i="62"/>
  <c r="K27" s="1"/>
  <c r="M27" s="1"/>
  <c r="M50" i="58" s="1"/>
  <c r="M65" s="1"/>
  <c r="J24" i="61"/>
  <c r="K24" s="1"/>
  <c r="N24" s="1"/>
  <c r="J32" i="58"/>
  <c r="K66" i="54"/>
  <c r="P66"/>
  <c r="L66"/>
  <c r="D44"/>
  <c r="D45" s="1"/>
  <c r="C48" s="1"/>
  <c r="O66"/>
  <c r="F66"/>
  <c r="J66"/>
  <c r="N66"/>
  <c r="N32" i="58"/>
  <c r="G66" i="54"/>
  <c r="Q66"/>
  <c r="I66"/>
  <c r="M66"/>
  <c r="J26" i="61"/>
  <c r="K26" s="1"/>
  <c r="N26" s="1"/>
  <c r="J21" i="62"/>
  <c r="K21" s="1"/>
  <c r="O21" s="1"/>
  <c r="G32" i="58"/>
  <c r="J20" i="61"/>
  <c r="K20" s="1"/>
  <c r="N20" s="1"/>
  <c r="F32" i="58"/>
  <c r="J19" i="62"/>
  <c r="K19" s="1"/>
  <c r="P19" s="1"/>
  <c r="L19" s="1"/>
  <c r="Q32" i="58"/>
  <c r="L32"/>
  <c r="I76"/>
  <c r="C66"/>
  <c r="C30" i="65"/>
  <c r="D30" s="1"/>
  <c r="J22" i="61"/>
  <c r="K22" s="1"/>
  <c r="O22" s="1"/>
  <c r="J23" i="62"/>
  <c r="J22"/>
  <c r="K22" s="1"/>
  <c r="P22" s="1"/>
  <c r="L22" s="1"/>
  <c r="J21" i="61"/>
  <c r="K21" s="1"/>
  <c r="N21" s="1"/>
  <c r="J17"/>
  <c r="K17" s="1"/>
  <c r="O17" s="1"/>
  <c r="J17" i="62"/>
  <c r="K17" s="1"/>
  <c r="O17" s="1"/>
  <c r="N26"/>
  <c r="J18" i="61"/>
  <c r="K18" s="1"/>
  <c r="P18" s="1"/>
  <c r="L18" s="1"/>
  <c r="O26" i="62"/>
  <c r="M26"/>
  <c r="L50" i="58" s="1"/>
  <c r="L65" s="1"/>
  <c r="J18" i="62"/>
  <c r="K18" s="1"/>
  <c r="N18" s="1"/>
  <c r="J16" i="61"/>
  <c r="K16" s="1"/>
  <c r="J20" i="62"/>
  <c r="K20" s="1"/>
  <c r="M20" s="1"/>
  <c r="F50" i="58" s="1"/>
  <c r="F65" s="1"/>
  <c r="J19" i="61"/>
  <c r="K19" s="1"/>
  <c r="P19" s="1"/>
  <c r="L19" s="1"/>
  <c r="M27"/>
  <c r="P27"/>
  <c r="L27" s="1"/>
  <c r="O27"/>
  <c r="O26"/>
  <c r="P25" i="62"/>
  <c r="L25" s="1"/>
  <c r="O25"/>
  <c r="M25"/>
  <c r="K50" i="58" s="1"/>
  <c r="K65" s="1"/>
  <c r="N25" i="62"/>
  <c r="M24"/>
  <c r="J50" i="58" s="1"/>
  <c r="J65" s="1"/>
  <c r="N24" i="62"/>
  <c r="P24"/>
  <c r="L24" s="1"/>
  <c r="M16"/>
  <c r="N16"/>
  <c r="P16"/>
  <c r="O16"/>
  <c r="E28" i="58"/>
  <c r="L27" i="65" s="1"/>
  <c r="L31" s="1"/>
  <c r="E41" i="54"/>
  <c r="I23" i="62"/>
  <c r="I28" s="1"/>
  <c r="I23" i="61"/>
  <c r="I28" s="1"/>
  <c r="I31" i="58"/>
  <c r="I32" s="1"/>
  <c r="O25" i="61"/>
  <c r="N25"/>
  <c r="P25"/>
  <c r="L25" s="1"/>
  <c r="M25"/>
  <c r="D95" i="52"/>
  <c r="L19" i="65" s="1"/>
  <c r="I78" i="58" l="1"/>
  <c r="P20" i="61"/>
  <c r="L20" s="1"/>
  <c r="M24"/>
  <c r="J49" i="58" s="1"/>
  <c r="J64" s="1"/>
  <c r="J75" s="1"/>
  <c r="N27" i="62"/>
  <c r="M20" i="61"/>
  <c r="F49" i="58" s="1"/>
  <c r="F64" s="1"/>
  <c r="F75" s="1"/>
  <c r="O20" i="61"/>
  <c r="P27" i="62"/>
  <c r="L27" s="1"/>
  <c r="O27"/>
  <c r="M19"/>
  <c r="Q50" i="58" s="1"/>
  <c r="Q65" s="1"/>
  <c r="P24" i="61"/>
  <c r="L24" s="1"/>
  <c r="O24"/>
  <c r="N21" i="62"/>
  <c r="O19"/>
  <c r="C54" i="54"/>
  <c r="E44"/>
  <c r="E45" s="1"/>
  <c r="C50" s="1"/>
  <c r="P26" i="61"/>
  <c r="L26" s="1"/>
  <c r="M21" i="62"/>
  <c r="G50" i="58" s="1"/>
  <c r="G65" s="1"/>
  <c r="M26" i="61"/>
  <c r="L49" i="58" s="1"/>
  <c r="L64" s="1"/>
  <c r="L75" s="1"/>
  <c r="N19" i="62"/>
  <c r="P21"/>
  <c r="L21" s="1"/>
  <c r="D52" i="54"/>
  <c r="M27" i="65"/>
  <c r="M49" i="58"/>
  <c r="M64" s="1"/>
  <c r="M75" s="1"/>
  <c r="K49"/>
  <c r="K64" s="1"/>
  <c r="K75" s="1"/>
  <c r="N17" i="62"/>
  <c r="N22" i="61"/>
  <c r="P22"/>
  <c r="L22" s="1"/>
  <c r="M22"/>
  <c r="P21"/>
  <c r="L21" s="1"/>
  <c r="O22" i="62"/>
  <c r="N22"/>
  <c r="N18" i="61"/>
  <c r="M22" i="62"/>
  <c r="H50" i="58" s="1"/>
  <c r="H65" s="1"/>
  <c r="P17" i="62"/>
  <c r="L17" s="1"/>
  <c r="P17" i="61"/>
  <c r="L17" s="1"/>
  <c r="O19"/>
  <c r="M17" i="62"/>
  <c r="O50" i="58" s="1"/>
  <c r="O65" s="1"/>
  <c r="M17" i="61"/>
  <c r="E31" i="58"/>
  <c r="E32" s="1"/>
  <c r="D68"/>
  <c r="M21" i="61"/>
  <c r="O21"/>
  <c r="O18"/>
  <c r="N17"/>
  <c r="M18"/>
  <c r="N20" i="62"/>
  <c r="P18"/>
  <c r="L18" s="1"/>
  <c r="J28" i="61"/>
  <c r="M18" i="62"/>
  <c r="P50" i="58" s="1"/>
  <c r="P65" s="1"/>
  <c r="O18" i="62"/>
  <c r="J28"/>
  <c r="P20"/>
  <c r="L20" s="1"/>
  <c r="O20"/>
  <c r="N19" i="61"/>
  <c r="M19"/>
  <c r="K23"/>
  <c r="O23" s="1"/>
  <c r="N50" i="58"/>
  <c r="N65" s="1"/>
  <c r="O16" i="61"/>
  <c r="N16"/>
  <c r="M16"/>
  <c r="N49" i="58" s="1"/>
  <c r="P16" i="61"/>
  <c r="L16" i="62"/>
  <c r="K23"/>
  <c r="D54" i="54" l="1"/>
  <c r="F79" i="58"/>
  <c r="D50" i="54"/>
  <c r="C42" i="65"/>
  <c r="K79" i="58"/>
  <c r="C43" i="65"/>
  <c r="L79" i="58"/>
  <c r="C44" i="65"/>
  <c r="M79" i="58"/>
  <c r="C41" i="65"/>
  <c r="J79" i="58"/>
  <c r="O49"/>
  <c r="O64" s="1"/>
  <c r="O75" s="1"/>
  <c r="H49"/>
  <c r="H64" s="1"/>
  <c r="H75" s="1"/>
  <c r="Q49"/>
  <c r="Q64" s="1"/>
  <c r="Q75" s="1"/>
  <c r="P49"/>
  <c r="P64" s="1"/>
  <c r="P75" s="1"/>
  <c r="G49"/>
  <c r="G64" s="1"/>
  <c r="G75" s="1"/>
  <c r="K28" i="61"/>
  <c r="M23"/>
  <c r="P23"/>
  <c r="L23" s="1"/>
  <c r="N23"/>
  <c r="O23" i="62"/>
  <c r="O28" s="1"/>
  <c r="M23"/>
  <c r="N23"/>
  <c r="N28" s="1"/>
  <c r="P23"/>
  <c r="K28"/>
  <c r="L16" i="61"/>
  <c r="O28"/>
  <c r="C37" i="65" l="1"/>
  <c r="C38"/>
  <c r="G79" i="58"/>
  <c r="C46" i="65"/>
  <c r="O79" i="58"/>
  <c r="C47" i="65"/>
  <c r="P79" i="58"/>
  <c r="C39" i="65"/>
  <c r="H79" i="58"/>
  <c r="Q79"/>
  <c r="I49"/>
  <c r="I64" s="1"/>
  <c r="N64"/>
  <c r="N75" s="1"/>
  <c r="M28" i="61"/>
  <c r="G10" s="1"/>
  <c r="L28"/>
  <c r="P28"/>
  <c r="I50" i="58"/>
  <c r="M28" i="62"/>
  <c r="G10" s="1"/>
  <c r="L23"/>
  <c r="L28" s="1"/>
  <c r="P28"/>
  <c r="C45" i="65" l="1"/>
  <c r="N79" i="58"/>
  <c r="E49"/>
  <c r="C26" i="65" s="1"/>
  <c r="E50" i="58"/>
  <c r="C27" i="65" s="1"/>
  <c r="D27" s="1"/>
  <c r="I65" i="58"/>
  <c r="I75" s="1"/>
  <c r="I79" l="1"/>
  <c r="C31" i="65"/>
  <c r="D26"/>
  <c r="C64" i="58"/>
  <c r="C65"/>
  <c r="C56"/>
  <c r="D56" i="65" s="1"/>
  <c r="C40" l="1"/>
  <c r="C49" s="1"/>
  <c r="C58" i="58"/>
  <c r="U56"/>
  <c r="C57"/>
  <c r="E56" i="65" s="1"/>
</calcChain>
</file>

<file path=xl/comments1.xml><?xml version="1.0" encoding="utf-8"?>
<comments xmlns="http://schemas.openxmlformats.org/spreadsheetml/2006/main">
  <authors>
    <author>jsiew</author>
  </authors>
  <commentList>
    <comment ref="U55" authorId="0">
      <text>
        <r>
          <rPr>
            <b/>
            <sz val="9"/>
            <color indexed="81"/>
            <rFont val="Tahoma"/>
            <family val="2"/>
          </rPr>
          <t>jsiew:</t>
        </r>
        <r>
          <rPr>
            <sz val="9"/>
            <color indexed="81"/>
            <rFont val="Tahoma"/>
            <family val="2"/>
          </rPr>
          <t xml:space="preserve">
Hide this. </t>
        </r>
      </text>
    </comment>
  </commentList>
</comments>
</file>

<file path=xl/sharedStrings.xml><?xml version="1.0" encoding="utf-8"?>
<sst xmlns="http://schemas.openxmlformats.org/spreadsheetml/2006/main" count="2608" uniqueCount="1435">
  <si>
    <t>Area Calculator</t>
  </si>
  <si>
    <t>Width of Trench</t>
  </si>
  <si>
    <t>Dimension Calculator</t>
  </si>
  <si>
    <t>Width</t>
  </si>
  <si>
    <t>Length</t>
  </si>
  <si>
    <t>feet</t>
  </si>
  <si>
    <t>Depth</t>
  </si>
  <si>
    <t>feet (generally 0.5 to 1)</t>
  </si>
  <si>
    <t>The design depth of flow in the swale. Note for maximum effectiveness swales should flow with no deeper than 2/3 the height of grass in the swale, or, generally, at a flow depth of 4".</t>
  </si>
  <si>
    <t>Residence Time</t>
  </si>
  <si>
    <t>Drainage Management Areas</t>
  </si>
  <si>
    <t>Number of DMAs Check</t>
  </si>
  <si>
    <t># of DMAs</t>
  </si>
  <si>
    <t>Drainage Management Area</t>
  </si>
  <si>
    <t>Drainage Management Area (square feet)</t>
  </si>
  <si>
    <t>a</t>
  </si>
  <si>
    <t>b</t>
  </si>
  <si>
    <t>c</t>
  </si>
  <si>
    <t>Manning's Equation - Trapezoidal Channel : V = (R^0.67)*(S^0.5)/n</t>
  </si>
  <si>
    <t>WQF: Manning's 0.02 &lt; "n" &lt; 0.04</t>
  </si>
  <si>
    <t>b (ft)</t>
  </si>
  <si>
    <t>z (side slope)</t>
  </si>
  <si>
    <t>S (ft / ft)</t>
  </si>
  <si>
    <t>Q = WQF</t>
  </si>
  <si>
    <t>y = Depth</t>
  </si>
  <si>
    <t>P</t>
  </si>
  <si>
    <t>R</t>
  </si>
  <si>
    <t>(ft^3 / sec)</t>
  </si>
  <si>
    <t>(ft)</t>
  </si>
  <si>
    <t>(ft/s)</t>
  </si>
  <si>
    <t>(ft2)</t>
  </si>
  <si>
    <t>Enter the proposed live storage depth of the vault. Generally 5 feet not including freeboard.</t>
  </si>
  <si>
    <t xml:space="preserve">feet </t>
  </si>
  <si>
    <t>INSTRUCTIONS</t>
  </si>
  <si>
    <t>DEFINITIONS</t>
  </si>
  <si>
    <t>Base Area Calculator</t>
  </si>
  <si>
    <t>CALCULATOR</t>
  </si>
  <si>
    <t>1.</t>
  </si>
  <si>
    <t>2.</t>
  </si>
  <si>
    <t xml:space="preserve">Enter the depth of ponding above the filter bed. A highly impermeable wetland soil layer should be provided at the surface of the VRF to prevent short-circuiting of the ponded runoff.  A perforated riser is used to convey the ponded water through the impermeable soil layer to the underlying rock filter media. </t>
  </si>
  <si>
    <t>Enter the depth of the gravel above the permanent pool level. This is the portion of the gravel that drains (i.e., the gravel depth above the outlet weir or standpipe).</t>
  </si>
  <si>
    <t xml:space="preserve">A sediment forebay should be used to isolate gross sediments as they enter the facility and to simplify sediment removal. </t>
  </si>
  <si>
    <t>A weir is a designed overflow facility, and is often the crest of the pond/wetland spillway.</t>
  </si>
  <si>
    <t>Spillway</t>
  </si>
  <si>
    <t xml:space="preserve">Gravel surfaces can be considered a permeable pavement system if designed in accordance with the storage layer requirements outlined in the permeable pavement sizer and fact sheet. The gravel should be an open graded crushed washed AASHTO No. 8 stone or larger.  The system should be designed to completely capture the WQv and either infiltrate it or detain it over a 48 hour period.    </t>
    <phoneticPr fontId="0" type="noConversion"/>
  </si>
  <si>
    <r>
      <t>Gravel</t>
    </r>
    <r>
      <rPr>
        <b/>
        <vertAlign val="superscript"/>
        <sz val="10"/>
        <rFont val="Arial"/>
        <family val="2"/>
      </rPr>
      <t>c</t>
    </r>
    <phoneticPr fontId="0" type="noConversion"/>
  </si>
  <si>
    <t xml:space="preserve">Choose jurisdication for performance measure. Projects in the Port of SF jurisdiction should select "1". Projects in SFPUC jurisdiction should select "2". </t>
    <phoneticPr fontId="0" type="noConversion"/>
  </si>
  <si>
    <t>Use DMA areas and drainage area constraints table to determine which BMPs are possible for which DMAs.</t>
    <phoneticPr fontId="0" type="noConversion"/>
  </si>
  <si>
    <t>Live Storage Volume</t>
  </si>
  <si>
    <t>September</t>
  </si>
  <si>
    <t>Water quality inlet</t>
  </si>
  <si>
    <t>Infiltration trench</t>
  </si>
  <si>
    <t>Vegetated rock filter</t>
  </si>
  <si>
    <t>no contraints</t>
  </si>
  <si>
    <t>Vegetated swale</t>
  </si>
  <si>
    <t>Permeable pavement</t>
  </si>
  <si>
    <t>Vegetated buffer strip</t>
  </si>
  <si>
    <r>
      <t>2(A</t>
    </r>
    <r>
      <rPr>
        <vertAlign val="subscript"/>
        <sz val="10"/>
        <rFont val="Arial"/>
        <family val="2"/>
      </rPr>
      <t>strip</t>
    </r>
    <r>
      <rPr>
        <sz val="10"/>
        <rFont val="Arial"/>
        <family val="2"/>
      </rPr>
      <t>)</t>
    </r>
  </si>
  <si>
    <t>Swirl separator</t>
  </si>
  <si>
    <t>Constructed wetland</t>
  </si>
  <si>
    <t>Drain insert</t>
  </si>
  <si>
    <t xml:space="preserve">Use steps 1 through 13 to determine the required area and drain rate for permeable pavement. </t>
  </si>
  <si>
    <t xml:space="preserve">Select Yes or No for whether a sedimentation chamber is included in the design.  Pretreatment is highly recommended for media filters.   </t>
  </si>
  <si>
    <t>3:1 or flatter (enter ratio of horizontal to vertical, for example, 3 for 3H:1V)</t>
  </si>
  <si>
    <t>Vegetated Swales Calculator - by Water Quality Volume</t>
  </si>
  <si>
    <t xml:space="preserve">The depth above the bioretention surface where runoff is ponded temporarily before filtering through the media. </t>
  </si>
  <si>
    <t>The depth of the engineered bioretention soil.</t>
  </si>
  <si>
    <t>The layer above the native soil subgrade that distributes loads and stores the runoff.  It is also called the subbase or reservoir layer and consists of AASHTO No. 3 stone (i.e., 0.5 to 2.5" diameter crushed aggregate).</t>
  </si>
  <si>
    <t>PERMEABLE PAVEMENT CALCULATOR</t>
  </si>
  <si>
    <t>% (2% recommended, use check dams to keep slope less than 5%)</t>
  </si>
  <si>
    <t>f</t>
  </si>
  <si>
    <t>t</t>
  </si>
  <si>
    <t xml:space="preserve">Required Residence Time </t>
  </si>
  <si>
    <t>feet (between 2 to 10 feet)</t>
  </si>
  <si>
    <t xml:space="preserve">Enter the proposed base width of your swale. The sizer assumes the swale is trapezoidal.  Base width should be between 2 to 10 feet. </t>
  </si>
  <si>
    <t>feet (recommend 0.5 to 1 ft, depth should be equal to check dam height)</t>
  </si>
  <si>
    <t>Ponding Depth above Swale - Pd</t>
  </si>
  <si>
    <t>Swale Length</t>
  </si>
  <si>
    <t>Treated Volume - Infiltration Trench</t>
  </si>
  <si>
    <t>Treated Volume - Dry Well</t>
  </si>
  <si>
    <t>For underdrained systems, specify the desired drain time. For the full benefit of pollutant reduction through detention, 48 hours is recommended.</t>
  </si>
  <si>
    <t xml:space="preserve">Enter the max ponding depth above the filter.  This is typically 6 to 18 inches.  At least 2" of freeboard should be provided between the max ponding depth and the overflow elevation.  </t>
  </si>
  <si>
    <t>The minimum filter area required to drain the WQv within the desired drain time is calculated here.</t>
  </si>
  <si>
    <t xml:space="preserve">The amount of the WQv stored in the filter chamber is calculated.  The remaining WQv must be stored in the sedimentation chamber. </t>
  </si>
  <si>
    <t>Depth of Engineered Soil (d)</t>
  </si>
  <si>
    <t>Hydraulic Conductivity (k)</t>
  </si>
  <si>
    <t>The need for underdrains is determined here based on entries in Steps 2 and 3.</t>
  </si>
  <si>
    <t>hours (recommend 24 to 48)</t>
  </si>
  <si>
    <t>Desired Drawdown Time - t</t>
  </si>
  <si>
    <t xml:space="preserve">The time for the storage area to drain the water quality volume. </t>
  </si>
  <si>
    <r>
      <t>hours (if less than desired drawdown time</t>
    </r>
    <r>
      <rPr>
        <sz val="10"/>
        <rFont val="Arial"/>
        <family val="2"/>
      </rPr>
      <t>, install outlet control)</t>
    </r>
  </si>
  <si>
    <t>gpm (discharge rate through underdrain system)</t>
  </si>
  <si>
    <t xml:space="preserve">Depth of Water Stored in Filter </t>
  </si>
  <si>
    <t>hours (generally 12 to 48)</t>
  </si>
  <si>
    <t>Sizing Ratio (Bioretention Area/Drainage Area)</t>
  </si>
  <si>
    <t>Underdrains Required?</t>
  </si>
  <si>
    <t xml:space="preserve">The length and width of the vault are calculated. </t>
  </si>
  <si>
    <t>feet (typically 0.5 to 2 ft)</t>
  </si>
  <si>
    <t>Hydraulic Conductivity of Filter Media - k</t>
  </si>
  <si>
    <t>Porosity of Filter Media - n</t>
  </si>
  <si>
    <t>Required Storage Volume in Sed Chamber</t>
  </si>
  <si>
    <r>
      <t>hours (if greater than 48</t>
    </r>
    <r>
      <rPr>
        <sz val="10"/>
        <rFont val="Arial"/>
        <family val="2"/>
      </rPr>
      <t xml:space="preserve"> hours, install underdrains)</t>
    </r>
  </si>
  <si>
    <r>
      <t>ft</t>
    </r>
    <r>
      <rPr>
        <vertAlign val="superscript"/>
        <sz val="10"/>
        <rFont val="Arial"/>
        <family val="2"/>
      </rPr>
      <t>2</t>
    </r>
  </si>
  <si>
    <t xml:space="preserve">Drainage Management Area </t>
  </si>
  <si>
    <t>Storage Layer</t>
  </si>
  <si>
    <t>Porosity of Storage Media - n</t>
  </si>
  <si>
    <t>Depth of Bedding Layer</t>
  </si>
  <si>
    <t>Underdrains Required</t>
  </si>
  <si>
    <t>ft</t>
  </si>
  <si>
    <t>Minimum PP Area</t>
  </si>
  <si>
    <t xml:space="preserve">The swale length needed to provide the required residence time is calculated here.  </t>
  </si>
  <si>
    <t>Offline or Online</t>
  </si>
  <si>
    <t>October</t>
  </si>
  <si>
    <t>November</t>
  </si>
  <si>
    <t>December</t>
  </si>
  <si>
    <t>Totals</t>
  </si>
  <si>
    <t>Length to Width Ratio</t>
  </si>
  <si>
    <t>Water Quality Flow Rate (WQf)</t>
    <phoneticPr fontId="0" type="noConversion"/>
  </si>
  <si>
    <t xml:space="preserve">The time for the storage area to drain the water quality volume. </t>
    <phoneticPr fontId="36" type="noConversion"/>
  </si>
  <si>
    <t xml:space="preserve">The vertical distance between the maximum design water depth and the top of the basin embankments. </t>
    <phoneticPr fontId="36" type="noConversion"/>
  </si>
  <si>
    <t xml:space="preserve">The required volume for the forebay is shown here (typically 10 to 25% of the WQv). </t>
    <phoneticPr fontId="36" type="noConversion"/>
  </si>
  <si>
    <t>Dimensions Calculator</t>
    <phoneticPr fontId="36" type="noConversion"/>
  </si>
  <si>
    <t>Live Storage Volume Depth</t>
    <phoneticPr fontId="36" type="noConversion"/>
  </si>
  <si>
    <t>Total Depth at WQv - d</t>
    <phoneticPr fontId="36" type="noConversion"/>
  </si>
  <si>
    <t>feet</t>
    <phoneticPr fontId="36" type="noConversion"/>
  </si>
  <si>
    <t>Use either steps 1 through 12 to determine the required area of bioretention. Or use steps 13 through 24 to check what volume of water is treated given the available area for bioretention.</t>
  </si>
  <si>
    <t>Infiltration Rate of In Situ Soils - f</t>
  </si>
  <si>
    <t>Safety Factor</t>
  </si>
  <si>
    <t>hours (generally 2)</t>
  </si>
  <si>
    <t>Time Needed to Infiltrate WQV (no underdrain)</t>
  </si>
  <si>
    <t>Bioretention Calculator - by Water Quality Volume</t>
  </si>
  <si>
    <t>Bioretention Calculator - by Available Area</t>
  </si>
  <si>
    <t>Enter the available area for the bioretention system here.</t>
  </si>
  <si>
    <t>Time Needed to Drain WQv</t>
  </si>
  <si>
    <t>gpm (use orifice or other means to control discharge rate)</t>
  </si>
  <si>
    <t>hours (0-2 hours, recommend 1)</t>
  </si>
  <si>
    <t xml:space="preserve">Select Yes or No for whether the site meets all the infiltration constraints listed in the SDG. These include setbacks from buildings, depth to groundwater, site slope, etc.  </t>
  </si>
  <si>
    <t>The need for underdrains is determined based on entries in Steps 2 and 3.</t>
  </si>
  <si>
    <t>feet/feet (ratio of horizontal to vertical, for example, 3 for 3H:1V)</t>
    <phoneticPr fontId="36" type="noConversion"/>
  </si>
  <si>
    <t>Width of Basin Bottom</t>
    <phoneticPr fontId="36" type="noConversion"/>
  </si>
  <si>
    <t>Length of Basin Bottom</t>
    <phoneticPr fontId="36" type="noConversion"/>
  </si>
  <si>
    <t>feet</t>
    <phoneticPr fontId="36" type="noConversion"/>
  </si>
  <si>
    <t>Safety Factor</t>
    <phoneticPr fontId="36" type="noConversion"/>
  </si>
  <si>
    <t>recommend 2</t>
    <phoneticPr fontId="36" type="noConversion"/>
  </si>
  <si>
    <r>
      <t xml:space="preserve">in/hr (recommend design value of </t>
    </r>
    <r>
      <rPr>
        <sz val="10"/>
        <color indexed="8"/>
        <rFont val="Arial"/>
        <family val="2"/>
      </rPr>
      <t>2</t>
    </r>
    <r>
      <rPr>
        <sz val="10"/>
        <rFont val="Arial"/>
        <family val="2"/>
      </rPr>
      <t xml:space="preserve"> for sand, 1 if no pretreatment)</t>
    </r>
    <phoneticPr fontId="36" type="noConversion"/>
  </si>
  <si>
    <t>cubic feet (must be greater than WQv)</t>
    <phoneticPr fontId="36" type="noConversion"/>
  </si>
  <si>
    <t>Storage Volume</t>
    <phoneticPr fontId="36" type="noConversion"/>
  </si>
  <si>
    <t>Infiltration Rate (f)</t>
    <phoneticPr fontId="36" type="noConversion"/>
  </si>
  <si>
    <t>Enter the design width of your trench.</t>
  </si>
  <si>
    <t>Enter the available area to install the vault (base area).</t>
  </si>
  <si>
    <t>Step 11</t>
  </si>
  <si>
    <t>Step 12</t>
  </si>
  <si>
    <t>Step 13</t>
  </si>
  <si>
    <t xml:space="preserve">The time taken for water quality storm to fill the bioretention system. </t>
  </si>
  <si>
    <t>To Determine the Volume of Water Treated by Available Area</t>
  </si>
  <si>
    <t>DETENTION VAULT CALCULATOR</t>
  </si>
  <si>
    <t>The longitudinal length of the vault</t>
  </si>
  <si>
    <t>The width of the vault</t>
  </si>
  <si>
    <t>Available Base Area</t>
  </si>
  <si>
    <t>Use either steps 1 through 6 to determine the required dimensions of the vault. Or use steps 7 through 9 to check what volume of water is treated given the available area for a vault.</t>
  </si>
  <si>
    <t xml:space="preserve">A safety factor of two will be applied in the calculations to account for the decrease in infiltration rate over time due to accumulation of solids in the trench. </t>
  </si>
  <si>
    <t xml:space="preserve">Volume of void space to total volume.  This is expressed as a ratio, e.g. 0.35 means that one cubic foot of gravel contains 0.35 cubic feet of empty space.  </t>
  </si>
  <si>
    <t>recommend 2</t>
  </si>
  <si>
    <t>inches (as needed to store the WQv, minimum of 6")</t>
  </si>
  <si>
    <t>Minimum Depth of Storage Layer</t>
  </si>
  <si>
    <t>recommend 2 to account for decline over time and uncertainty in measurement</t>
  </si>
  <si>
    <t>select pavement type</t>
  </si>
  <si>
    <t>Depth Needed to Store WQv</t>
  </si>
  <si>
    <t>gal/month</t>
  </si>
  <si>
    <t>The overall width of the swale, including base and side slopes - calculated from a depth equal to the water quality depth plus freeboard.</t>
  </si>
  <si>
    <t xml:space="preserve">The length of the swale needed to capture the WQv. </t>
  </si>
  <si>
    <t xml:space="preserve">The depth above the swale surface where runoff is ponded temporarily before filtering through the media. </t>
  </si>
  <si>
    <t>The length of the swale needed to provide sufficient residence time for water treatment.</t>
  </si>
  <si>
    <t xml:space="preserve">For online system, the depth used to convey storm events larger than the WQf.  It equals the total swale depth minus the freeboard depth. </t>
  </si>
  <si>
    <t>Unit Storage</t>
  </si>
  <si>
    <t>Percent</t>
  </si>
  <si>
    <t xml:space="preserve">Enter the lesser value of the depth to groundwater and depth to bedrock at the site. The bottom of the trench should be at least 4' from bedrock and the high groundwater table.  </t>
  </si>
  <si>
    <t>feet (between 3 to 8 feet)</t>
  </si>
  <si>
    <t>inches (generally 3 to 4")</t>
  </si>
  <si>
    <r>
      <t>Depth of Transition</t>
    </r>
    <r>
      <rPr>
        <sz val="10"/>
        <rFont val="Arial"/>
        <family val="2"/>
      </rPr>
      <t xml:space="preserve"> Layer</t>
    </r>
  </si>
  <si>
    <t>hours (recommend 48)</t>
  </si>
  <si>
    <t xml:space="preserve">Enter the maximum design depth for the swale. For online systems, the depth is greater than the WQf depth in order to convey runoff from storms larger than the water quality event. For offline systems, enter the design depth from Step 6, divided by 12 to convert the depth to feet. </t>
  </si>
  <si>
    <t xml:space="preserve">For online systems, the estimated flow rate at the maximum design depth is calculated. This is the maximum capacity of the swale. </t>
  </si>
  <si>
    <t>Estimated Imp. Drainage Area</t>
  </si>
  <si>
    <t>Sizing Ratio (BMP/DMA)</t>
  </si>
  <si>
    <t xml:space="preserve">typically between 2 and 4 </t>
  </si>
  <si>
    <t xml:space="preserve">The depth above the filter surface where runoff is ponded temporarily before filtering through the media. </t>
  </si>
  <si>
    <t xml:space="preserve">If the system is not underdrained, the time to infiltrate the WQv is calculated here.  </t>
  </si>
  <si>
    <t>Enter the depth of the permanent pool. Wetlands include shallower areas (0 to 18 inch depth) for increased plant growth as well as deeper micropools (up to 4 feet depth). Enter the average depth of the wetlands' permanent pool. There is typically a 1.5 to 2 feet average depth for wetlands, 4 to 6 feet for wet ponds.</t>
  </si>
  <si>
    <t xml:space="preserve">Enter the width of the pond bottom at the invert of the basin. </t>
  </si>
  <si>
    <t>feet (recommend at least 0.2 ft of freeboard between ponding depth and overflow elevation)</t>
  </si>
  <si>
    <t>Use the BMP sizing calculators to help you size and design each treatment control measure.</t>
  </si>
  <si>
    <t xml:space="preserve">The time taken for the water quality storm to fill the swale system. </t>
  </si>
  <si>
    <t xml:space="preserve">Enter the ponding depth above the swale. This is typically 6 to 12 inches. The depth should be equal to the check dam height.   </t>
  </si>
  <si>
    <t xml:space="preserve">The spacing between check dams is calculated here based on the swale slope and check dam height. </t>
  </si>
  <si>
    <t>To Determine the Volume of Water Treated by Available Dimensions</t>
  </si>
  <si>
    <t>Step 15</t>
  </si>
  <si>
    <t>Step 14</t>
  </si>
  <si>
    <t>The area of the base of the trench or dry well.</t>
  </si>
  <si>
    <t>Available Length (or Diameter for Dry Well)</t>
  </si>
  <si>
    <t>Step 1</t>
  </si>
  <si>
    <t>Step 2</t>
  </si>
  <si>
    <t>Step 3</t>
  </si>
  <si>
    <t>Step 4</t>
  </si>
  <si>
    <t>Step 5</t>
  </si>
  <si>
    <t>Step 6</t>
  </si>
  <si>
    <t>Step 7</t>
  </si>
  <si>
    <t>Step 8</t>
  </si>
  <si>
    <t>Step 9</t>
  </si>
  <si>
    <t>Step 10</t>
  </si>
  <si>
    <t>Site Meets Infiltration Constraints?</t>
  </si>
  <si>
    <t>Underlying Infiltration Rate - f</t>
  </si>
  <si>
    <t>feet (recommend &gt;1.5 ft)</t>
  </si>
  <si>
    <t>feet (recommend 0.5 to 1 ft)</t>
  </si>
  <si>
    <t>Ponding Depth (Pd)</t>
  </si>
  <si>
    <t>Factor of Safety</t>
  </si>
  <si>
    <t>in/hr (recommend 5)</t>
  </si>
  <si>
    <t>Area Draining to Bioretention</t>
  </si>
  <si>
    <t>To Determine The Required Dimensions for the Vault</t>
  </si>
  <si>
    <t xml:space="preserve">Enter the side slope of the pond. The slope of earthen side walls should be no steeper than 3:1 (i.e., at least 3 feet horizontal for each 1 foot vertical). Enter 0 for vertical hardscaped sidewalls. </t>
    <phoneticPr fontId="36" type="noConversion"/>
  </si>
  <si>
    <t>gpm</t>
    <phoneticPr fontId="0" type="noConversion"/>
  </si>
  <si>
    <t xml:space="preserve">Side Slope </t>
    <phoneticPr fontId="36" type="noConversion"/>
  </si>
  <si>
    <t xml:space="preserve">The Water Quality Volume (WQv) for each DMA is calculated here. The WQv is the required volume to be managed by volume-based BMPs such that the water quality performance measure requirements are met. </t>
    <phoneticPr fontId="0" type="noConversion"/>
  </si>
  <si>
    <t>Depth at WQv - d</t>
    <phoneticPr fontId="36" type="noConversion"/>
  </si>
  <si>
    <t>Depth at WQv (d)</t>
    <phoneticPr fontId="36" type="noConversion"/>
  </si>
  <si>
    <t xml:space="preserve">The width and length of the basin at the design water depth (i.e., WQv depth) are calculated here. </t>
    <phoneticPr fontId="36" type="noConversion"/>
  </si>
  <si>
    <t>gpm (flow rate when basin is at WQv depth)</t>
    <phoneticPr fontId="36" type="noConversion"/>
  </si>
  <si>
    <t>Forebay Volume Calculator</t>
    <phoneticPr fontId="36" type="noConversion"/>
  </si>
  <si>
    <t>Chose Jurisdiction for WQv Performance Measure</t>
    <phoneticPr fontId="0" type="noConversion"/>
  </si>
  <si>
    <t>Water Quality Volume Equation:</t>
    <phoneticPr fontId="0" type="noConversion"/>
  </si>
  <si>
    <t>Where:</t>
    <phoneticPr fontId="0" type="noConversion"/>
  </si>
  <si>
    <r>
      <rPr>
        <i/>
        <sz val="10"/>
        <rFont val="Arial"/>
        <family val="2"/>
      </rPr>
      <t>C</t>
    </r>
    <r>
      <rPr>
        <sz val="10"/>
        <rFont val="Arial"/>
        <family val="2"/>
      </rPr>
      <t xml:space="preserve"> = runoff coefficient </t>
    </r>
    <phoneticPr fontId="0" type="noConversion"/>
  </si>
  <si>
    <t>DMA</t>
  </si>
  <si>
    <t>Area</t>
  </si>
  <si>
    <t>Drainage area constraints table</t>
  </si>
  <si>
    <t>BMP</t>
  </si>
  <si>
    <t>min</t>
  </si>
  <si>
    <t>max</t>
  </si>
  <si>
    <t>Detention pond</t>
  </si>
  <si>
    <t>5 ac*</t>
  </si>
  <si>
    <t>1 ac</t>
  </si>
  <si>
    <t>Wet pond</t>
  </si>
  <si>
    <t xml:space="preserve">Enter the design water depth of the detention pond (i.e., the water depth when the basin has completely captured the WQv event). Depths are typically between 2 and 5 feet. This depth DOES NOT include freeboard, which is typically 1 foot above the maximum design depth (freeboard should be added in actual design). </t>
    <phoneticPr fontId="36" type="noConversion"/>
  </si>
  <si>
    <t>Enter the Water Quality Volume (WQv) for the drainage management area (DMA). The WQv is calculated in Step 14 of the Water Quality Volume and Water Quality Flow Rate Calculator.</t>
  </si>
  <si>
    <t xml:space="preserve">The forebay and VRF storage volumes are calculated based on their percentages and the total WQv. </t>
  </si>
  <si>
    <t xml:space="preserve">Enter the depth of the permanent pool gravel. This is the depth from the bottom of the VRF to the permanent pool level.  </t>
  </si>
  <si>
    <t>Depth of Forebay</t>
    <phoneticPr fontId="8" type="noConversion"/>
  </si>
  <si>
    <t xml:space="preserve">The depth of water that can be stored in the forebay. </t>
  </si>
  <si>
    <t>Impervious Drainage Area</t>
  </si>
  <si>
    <t>% of DA</t>
  </si>
  <si>
    <t>Percent of DA</t>
  </si>
  <si>
    <t>Total Depth of Gravel - d</t>
  </si>
  <si>
    <t>feet, typically 2 to 4 feet, recommend 3 feet</t>
  </si>
  <si>
    <t>Depth of Forebay</t>
  </si>
  <si>
    <t>feet, typically 1 to 3 feet</t>
  </si>
  <si>
    <t>Cross-sectional Area Required</t>
  </si>
  <si>
    <t>Width Required</t>
  </si>
  <si>
    <t>Surface Area</t>
  </si>
  <si>
    <t>Max Ponding Depth Above VRF - Pd</t>
  </si>
  <si>
    <t>Detention Vault Calculator - by Available Area</t>
  </si>
  <si>
    <t>Unit Basin Storage - inches</t>
  </si>
  <si>
    <t>Factor</t>
  </si>
  <si>
    <t>24 hr drawdown</t>
  </si>
  <si>
    <t>48 hr drawdown</t>
  </si>
  <si>
    <t>Comp</t>
  </si>
  <si>
    <t>C'</t>
  </si>
  <si>
    <t>Depth of Permanent Pool</t>
  </si>
  <si>
    <t>Enter the infiltration rate of the underlying soils. This should be determined by geotechnical testing or, for conceptual studies, soil infiltration maps.</t>
  </si>
  <si>
    <t>Check Depth</t>
  </si>
  <si>
    <t>VEGETATED BUFFER STRIP CALCULATOR</t>
  </si>
  <si>
    <t xml:space="preserve">The drawdown time for the WQv is calculated here. If the drawdown time is less than 12 hours, decrease the VRF width or provide an outlet flow control device. </t>
  </si>
  <si>
    <t xml:space="preserve">The total storage depth is calculated. The depth is equal to the sum of the ponding depth and the gravel depth above the permanent pool. </t>
  </si>
  <si>
    <t xml:space="preserve">Enter the porosity of the gravel. A default value of 0.35 is recommended. </t>
  </si>
  <si>
    <t>The volume of water treated by the proposed detention vault is shown here. If this volume is less than the required WQv then additional treatments will likely be required.</t>
  </si>
  <si>
    <t>To Determine the Volume of Water Treated by an Available Area</t>
  </si>
  <si>
    <t>Live Storage Depth</t>
  </si>
  <si>
    <t>Design Live Storage Depth</t>
  </si>
  <si>
    <t>Swale Base Width</t>
  </si>
  <si>
    <t>Swale Side Slope</t>
  </si>
  <si>
    <t>Swale Slope</t>
  </si>
  <si>
    <t>The width of the bottom of the swale, when the swale is a trapezoidal shape.</t>
  </si>
  <si>
    <t>Depth at WQf</t>
  </si>
  <si>
    <t xml:space="preserve">Enter the length of the VRF. </t>
  </si>
  <si>
    <t xml:space="preserve">The required cross-sectional area and width of the VRF are calculated here. </t>
  </si>
  <si>
    <t xml:space="preserve">The surface area of the VRF is calculated here. </t>
  </si>
  <si>
    <t xml:space="preserve">The velocity through the filter is calculated here. Runoff flows horizontally from the upstream end to the downstream end of the VRF. </t>
  </si>
  <si>
    <t>The rate at which water flows through the gravel bed, in this case, horizontally.</t>
  </si>
  <si>
    <t>generally between 2 and 4</t>
    <phoneticPr fontId="36" type="noConversion"/>
  </si>
  <si>
    <t>Width of Pond Bottom</t>
    <phoneticPr fontId="36" type="noConversion"/>
  </si>
  <si>
    <t>Pond Length to Width Ratio (L/W)</t>
    <phoneticPr fontId="36" type="noConversion"/>
  </si>
  <si>
    <t xml:space="preserve">Pond Side Slope </t>
    <phoneticPr fontId="36" type="noConversion"/>
  </si>
  <si>
    <t>Width of Pond at WQv Depth</t>
    <phoneticPr fontId="36" type="noConversion"/>
  </si>
  <si>
    <t>Length of Pond at WQv Depth</t>
    <phoneticPr fontId="36" type="noConversion"/>
  </si>
  <si>
    <t>Length of Basin at WQv Depth</t>
    <phoneticPr fontId="36" type="noConversion"/>
  </si>
  <si>
    <t xml:space="preserve">The Water Quality Flow Rate (WQf) for each DMA is calculated here. The WQf is the required flowrate to be managed by flow-based BMPs such that the water quality performance measure requirements are met. </t>
    <phoneticPr fontId="0" type="noConversion"/>
  </si>
  <si>
    <t>recommend 2 (applied to underlying infiltration rate)</t>
    <phoneticPr fontId="36" type="noConversion"/>
  </si>
  <si>
    <t>Depth of Gravel above Permanent Pool in VRF</t>
  </si>
  <si>
    <t>% of total WQv stored by forebay (usually 10-20%)</t>
  </si>
  <si>
    <t>Hydraulic Conductivity of Gravel - k</t>
  </si>
  <si>
    <t>ft/day</t>
  </si>
  <si>
    <t>% of WQv stored in VRF</t>
  </si>
  <si>
    <t xml:space="preserve">% of total WQv stored in VRF </t>
  </si>
  <si>
    <t>Length of VRF</t>
  </si>
  <si>
    <t>Volume of Forebay</t>
  </si>
  <si>
    <t>Depth of Permanent Pool Gravel</t>
  </si>
  <si>
    <t>feet, typically 1.5 to 3.5 feet, recommend 2.5 feet</t>
  </si>
  <si>
    <t>Volume in VRF</t>
  </si>
  <si>
    <t>Flow Rate through Filter</t>
  </si>
  <si>
    <t xml:space="preserve">hrs, must be between 12 and 48 hrs. If t &lt;12, decrease width or provide outlet control. </t>
  </si>
  <si>
    <t>Impervious DA</t>
  </si>
  <si>
    <t xml:space="preserve">The trench/dry well surface area calculator determines the base surface area of the trench/dry well that is required to treat the design WQv. </t>
  </si>
  <si>
    <t>Detention Vault Calculator - by Water Quality Volume</t>
  </si>
  <si>
    <t>To Determine the Required Dimensions for Volume-based VRFs (i.e., those capturing the WQv).</t>
  </si>
  <si>
    <t>Enter the percent of the WQv to be stored by the pretreatment forebay, typically between 10% - 20%, recommend 10%.</t>
  </si>
  <si>
    <t>The percent of the WQv to be stored by the VRF is calculated as 100% - Forebay Storage %.</t>
  </si>
  <si>
    <t xml:space="preserve">For online systems, enter the Manning's n at maximum design depth. Maximum depth is typically between 1 to 2 feet.  For vegetated channels an n between 0.35 - 0.45 is recommended. However, the value of n can be highly variable based on the design depth and the degree of retardance in the swale (i.e., vegetation type and height, check dams, etc.). </t>
  </si>
  <si>
    <t>Estimated Swale Drainage Area</t>
  </si>
  <si>
    <t>Swale Area/Drainage Area</t>
  </si>
  <si>
    <t>Enter the Manning's n runoff coefficient. At the water quality depth, an n value between 0.2 and 0.3 is typical. The Manning's equation is an open channel flow equation used for drainage design.</t>
  </si>
  <si>
    <t xml:space="preserve">The velocity in the swale during the water quality event is calculated here. The velocity should be less than 1 ft/s. </t>
  </si>
  <si>
    <t>The longitudinal slope of the swale, this is calculated from your DMA contour survey or similar.</t>
  </si>
  <si>
    <r>
      <t xml:space="preserve">The default porosity and the design hydraulic conductivity of the filter media are entered here. </t>
    </r>
    <r>
      <rPr>
        <sz val="10"/>
        <color indexed="8"/>
        <rFont val="Arial"/>
        <family val="2"/>
      </rPr>
      <t xml:space="preserve">The conductivity is based on using sand media. Unless another media is used, changing these default values is not recommended. </t>
    </r>
  </si>
  <si>
    <t xml:space="preserve">Enter the proposed length to width ratio of the vault.  A ratio &gt; 2:1 is preferred.  A 2:1 ratio should be entered as "2", a 3:1 as "3", etc. </t>
  </si>
  <si>
    <t xml:space="preserve">Enter the drawdown time for the vault (48 hrs is recommended). </t>
  </si>
  <si>
    <r>
      <rPr>
        <i/>
        <sz val="10"/>
        <rFont val="Arial"/>
        <family val="2"/>
      </rPr>
      <t>A</t>
    </r>
    <r>
      <rPr>
        <sz val="10"/>
        <rFont val="Arial"/>
        <family val="2"/>
      </rPr>
      <t xml:space="preserve"> = drainage area (square feet)</t>
    </r>
  </si>
  <si>
    <t xml:space="preserve">These calculators determine the vegetated rock filter (VRF) dimensions needed to treat the Water Quality Volume (WQv) or Water Quality Flow Rate (WQf). </t>
  </si>
  <si>
    <t xml:space="preserve">Enter the total square footage of your site. Areas are entered in units of square feet. Note: 1 acre = 43,560 square feet. </t>
  </si>
  <si>
    <t xml:space="preserve">Max Design Depth </t>
  </si>
  <si>
    <t xml:space="preserve">The depth of the engineered soil beneath the swale. </t>
  </si>
  <si>
    <t xml:space="preserve">The required depth of the storage layer is calculated here.  The depth is as needed to store the WQv, with a minimum depth of 6".  </t>
  </si>
  <si>
    <t xml:space="preserve">A freeboard of 0.50 ft for online systems and 0.25 ft for offline systems is recommended. This freeboard is added to the design depth to calculate the total depth of the swale. </t>
  </si>
  <si>
    <t xml:space="preserve">Enter the design water depth of the infiltration basin (i.e., the water depth when the basin has completely captured the WQv event). Depths are typically between 1 and 3 feet. This depth DOES NOT include freeboard, which is typically 1 foot above the design depth (freeboard should be added in actual design). </t>
    <phoneticPr fontId="36" type="noConversion"/>
  </si>
  <si>
    <t>Water Quality Volume (WQv)</t>
    <phoneticPr fontId="36" type="noConversion"/>
  </si>
  <si>
    <t xml:space="preserve">The required surface area of the forebay and VRF are calculated here. </t>
  </si>
  <si>
    <t xml:space="preserve">Filters sized using a flow-based approach are typically proprietary filters.  It is recommended that the manufacturer's instructions be used to size these systems.  However, a simplified calculator has also been provided in steps 16 through 18 for added guidance. </t>
  </si>
  <si>
    <t xml:space="preserve">The time taken for water quality storm to fill the media filter storage area. </t>
  </si>
  <si>
    <t>24 hour curves</t>
  </si>
  <si>
    <t>48 hour curves</t>
  </si>
  <si>
    <t>C =1</t>
  </si>
  <si>
    <t>C=1</t>
  </si>
  <si>
    <t>Design Trench Depth - d</t>
  </si>
  <si>
    <t>July</t>
  </si>
  <si>
    <t>August</t>
  </si>
  <si>
    <t>gal/cycle</t>
  </si>
  <si>
    <t xml:space="preserve">The flow rate through the filter is calculated here. Runoff flows horizontally from the upstream end to the downstream end of the VRF. </t>
  </si>
  <si>
    <t>The depth of the filter that does not drain, controlled by a weir or standpipe at the downstream end of the filter.</t>
  </si>
  <si>
    <t>Depth of Gravel (d)</t>
  </si>
  <si>
    <t xml:space="preserve">Enter the side slope of the basin. The slope of earthen side walls should be no steeper than 3:1 (i.e., at least 3 feet horizontal for each 1 foot vertical). Enter 0 for vertical hardscaped sidewalls. </t>
  </si>
  <si>
    <t>feet (typically 1 to 2 feet for wetlands, 1 to 3 feet for wet pond)</t>
    <phoneticPr fontId="36" type="noConversion"/>
  </si>
  <si>
    <t>Wet Pond or Wetland</t>
    <phoneticPr fontId="36" type="noConversion"/>
  </si>
  <si>
    <t>Drain time for WQv - t</t>
    <phoneticPr fontId="36" type="noConversion"/>
  </si>
  <si>
    <t>hours (between 24-28, recommend 48 hours)</t>
    <phoneticPr fontId="36" type="noConversion"/>
  </si>
  <si>
    <t xml:space="preserve">Select whether you are designing a wet pond or wetland. </t>
    <phoneticPr fontId="36" type="noConversion"/>
  </si>
  <si>
    <t xml:space="preserve">The WQv design drain time is entered here.  The time should be between 24 and 48 hours, with 48 hours being recommended. </t>
    <phoneticPr fontId="36" type="noConversion"/>
  </si>
  <si>
    <t>Water Quality Flow Rate - WQf</t>
    <phoneticPr fontId="36" type="noConversion"/>
  </si>
  <si>
    <r>
      <t>Vegetated roofs should be designed in accordance with the SDG to capture the WQv from the roof DMA</t>
    </r>
    <r>
      <rPr>
        <sz val="10"/>
        <color indexed="10"/>
        <rFont val="Arial"/>
        <family val="2"/>
      </rPr>
      <t xml:space="preserve">. </t>
    </r>
    <phoneticPr fontId="0" type="noConversion"/>
  </si>
  <si>
    <t>Water Quality Volume - WQv</t>
    <phoneticPr fontId="36" type="noConversion"/>
  </si>
  <si>
    <t>Enter the width of the contributing DMA, where width is measured in the direction of runoff from the DMA. The vegetated buffer strip (VBS) is located parallel to the DMA and should extend the full length of the DMA. For instance, for a crowned roadway, the DMA width would be the distance from the centerline of the road to the edge of pavement where the VBS begins.</t>
    <phoneticPr fontId="0" type="noConversion"/>
  </si>
  <si>
    <t xml:space="preserve">Width of the vegetated buffer strip in the direction of flow. The width extends from the boundary with the DMA to the downstream edge of the VBS. </t>
    <phoneticPr fontId="36" type="noConversion"/>
  </si>
  <si>
    <t>Vegetated Buffer Strips - by DMA width</t>
    <phoneticPr fontId="36" type="noConversion"/>
  </si>
  <si>
    <t xml:space="preserve">Enter the storage depth in the forebay, typically between 1 and 3 feet. </t>
    <phoneticPr fontId="36" type="noConversion"/>
  </si>
  <si>
    <t>feet per second</t>
    <phoneticPr fontId="36" type="noConversion"/>
  </si>
  <si>
    <t>5 ac</t>
    <phoneticPr fontId="0" type="noConversion"/>
  </si>
  <si>
    <t>Use steps 1 through 3 to determine the minimum width of the vegetated buffer strip to meet the treatment design requirements.</t>
    <phoneticPr fontId="36" type="noConversion"/>
  </si>
  <si>
    <r>
      <t xml:space="preserve">For volume-based sizing, use steps 1 through </t>
    </r>
    <r>
      <rPr>
        <sz val="10"/>
        <color indexed="8"/>
        <rFont val="Arial"/>
        <family val="2"/>
      </rPr>
      <t>15</t>
    </r>
    <r>
      <rPr>
        <sz val="10"/>
        <color indexed="10"/>
        <rFont val="Arial"/>
        <family val="2"/>
      </rPr>
      <t xml:space="preserve"> </t>
    </r>
    <r>
      <rPr>
        <sz val="10"/>
        <rFont val="Arial"/>
        <family val="2"/>
      </rPr>
      <t xml:space="preserve">to determine the required area of the media filter system. Volume-based filters provide a storage area to capture the WQv, and the filter area is sized to drain the WQv within the desired drain time. </t>
    </r>
  </si>
  <si>
    <t>DMA Width</t>
    <phoneticPr fontId="36" type="noConversion"/>
  </si>
  <si>
    <t>VBS Width</t>
    <phoneticPr fontId="36" type="noConversion"/>
  </si>
  <si>
    <t xml:space="preserve">The total depth of the gravel is calculated.  It is equal to the sum of depths entered in Steps 22 and 23. </t>
    <phoneticPr fontId="36" type="noConversion"/>
  </si>
  <si>
    <t>Follow the steps below to determine the required size of your wet pond/wetland.</t>
    <phoneticPr fontId="36" type="noConversion"/>
  </si>
  <si>
    <t xml:space="preserve">Follow the steps below to determine the required size of your basin. </t>
    <phoneticPr fontId="36" type="noConversion"/>
  </si>
  <si>
    <t>Follow the steps below to determine the required size of your detention pond.</t>
    <phoneticPr fontId="36" type="noConversion"/>
  </si>
  <si>
    <t xml:space="preserve">The minimum VBS width is calculated here, where width is measured in the direction of runoff. The VBS width should be greater than or equal to half the DMA width and should be no less than 15 feet. </t>
    <phoneticPr fontId="36" type="noConversion"/>
  </si>
  <si>
    <t xml:space="preserve">This step checks that the permanent pool and live storage volumes meet the required volumes calculated in Steps 4 and 5. If either volume is less than required, increase the basin width (Step 12) or depths (Steps 7 and 8). </t>
    <phoneticPr fontId="36" type="noConversion"/>
  </si>
  <si>
    <t>Ave. Discharge Rate for Drain Time</t>
    <phoneticPr fontId="0" type="noConversion"/>
  </si>
  <si>
    <t>Drain Time (t)</t>
    <phoneticPr fontId="36" type="noConversion"/>
  </si>
  <si>
    <t xml:space="preserve">Width of the DMA in the direction of flow. The width extends from the upstream edge of the DMA to the boundary with the VBS. </t>
    <phoneticPr fontId="36" type="noConversion"/>
  </si>
  <si>
    <t xml:space="preserve">This calculator determines the minimum width for a vegetated buffer strip based on the width of the Drainage Management Area (DMA). </t>
    <phoneticPr fontId="36" type="noConversion"/>
  </si>
  <si>
    <t>Is the DMA width &lt; 60 feet?</t>
    <phoneticPr fontId="0" type="noConversion"/>
  </si>
  <si>
    <t>feet</t>
    <phoneticPr fontId="36" type="noConversion"/>
  </si>
  <si>
    <t>Minimum VBS Width</t>
    <phoneticPr fontId="36" type="noConversion"/>
  </si>
  <si>
    <t>If the DMA width is greater than 60 feet, an additional treatment BMP must be used in conjunction with the VBS.</t>
    <phoneticPr fontId="0" type="noConversion"/>
  </si>
  <si>
    <t>Width of contributing DMA</t>
    <phoneticPr fontId="36" type="noConversion"/>
  </si>
  <si>
    <r>
      <t>For volume-based sizing, use steps 1-18</t>
    </r>
    <r>
      <rPr>
        <sz val="10"/>
        <color indexed="10"/>
        <rFont val="Arial"/>
        <family val="2"/>
      </rPr>
      <t xml:space="preserve"> </t>
    </r>
    <r>
      <rPr>
        <sz val="10"/>
        <rFont val="Arial"/>
        <family val="2"/>
      </rPr>
      <t xml:space="preserve">to determine the required dimensions of the VRF. Volume-based VRFs provide a storage area above the filter to capture the WQv, and the filter area is sized to drain the WQv within the desired drain time. </t>
    </r>
    <phoneticPr fontId="36" type="noConversion"/>
  </si>
  <si>
    <t xml:space="preserve">For flow-based sizing, use steps 19 - 28.  The cross-sectional area of flow-based VRFs are sized to convey the WQf, and the length of the VRF is sized to provide the desired residence time. </t>
    <phoneticPr fontId="36" type="noConversion"/>
  </si>
  <si>
    <t>Vegetated Rock Filter Calculator - by Water Quality Flow Rate</t>
    <phoneticPr fontId="8" type="noConversion"/>
  </si>
  <si>
    <t>An orifice is a flow restrictor. It drains the pond slowly to improve water treatment through settling of pollutants.</t>
    <phoneticPr fontId="36" type="noConversion"/>
  </si>
  <si>
    <t>inches (refine outlet control sizing and configuration during design)</t>
    <phoneticPr fontId="36" type="noConversion"/>
  </si>
  <si>
    <t xml:space="preserve">Flow Rate thru Orifice </t>
    <phoneticPr fontId="36" type="noConversion"/>
  </si>
  <si>
    <t>cubic feet (must be greater than 2x WQv for wet ponds, greater than 1x for wetlands)</t>
  </si>
  <si>
    <t xml:space="preserve">Enter the side slope of the swale. The slope of earthen side walls should be no steeper than 3:1 (i.e., at least 3 feet horizontal for each 1 foot vertical). Enter 0 for vertical sidewalls. </t>
    <phoneticPr fontId="36" type="noConversion"/>
  </si>
  <si>
    <t xml:space="preserve">Enter the side slope of the basin. The slope of earthen side walls should be no steeper than 3:1 (i.e., at least 3 feet horizontal for each 1 foot vertical). Enter 0 for vertical sidewalls. </t>
    <phoneticPr fontId="36" type="noConversion"/>
  </si>
  <si>
    <t xml:space="preserve">Enter the width of the basin bottom. </t>
    <phoneticPr fontId="36" type="noConversion"/>
  </si>
  <si>
    <t>DP + Forebay</t>
    <phoneticPr fontId="36" type="noConversion"/>
  </si>
  <si>
    <t>Surface Area at Mid Elevation</t>
    <phoneticPr fontId="36" type="noConversion"/>
  </si>
  <si>
    <t>A recommended safety factor of 2 will be applied to the infiltration rate to account for the inherent uncertainties in rate measurement and the decrease in infiltration rate over time.</t>
    <phoneticPr fontId="36" type="noConversion"/>
  </si>
  <si>
    <t xml:space="preserve">The recommended maximum drawdown time for the infiltration basin is 48 hours.  </t>
    <phoneticPr fontId="36" type="noConversion"/>
  </si>
  <si>
    <t>feet</t>
    <phoneticPr fontId="36" type="noConversion"/>
  </si>
  <si>
    <t xml:space="preserve">The average rate at which the underdrain system must drain the media layers is calculated here. During design, outlet controls must be sized accordingly to achieve the desired WQv drain time. </t>
    <phoneticPr fontId="0" type="noConversion"/>
  </si>
  <si>
    <t xml:space="preserve">The average discharge rate from the vault to obtain the desired drain time is calculated. During design, outlet controls must be sized accordingly to achieve the desired WQv drain time. </t>
    <phoneticPr fontId="0" type="noConversion"/>
  </si>
  <si>
    <t>min allowable is 40%, i.e., 1 part permeable pavement to 1.5 parts impermeable paved drainage area</t>
    <phoneticPr fontId="0" type="noConversion"/>
  </si>
  <si>
    <t>The depth of the trench/dry well from the surface of the gravel backfill material.</t>
  </si>
  <si>
    <t>The longitudinal length of the trench.</t>
  </si>
  <si>
    <t>The width of the trench.</t>
  </si>
  <si>
    <t>n</t>
  </si>
  <si>
    <t xml:space="preserve">The time taken for the subsurface media to fill with runoff. </t>
  </si>
  <si>
    <t>Bedding Layer</t>
  </si>
  <si>
    <t>Available Live Storage Depth</t>
  </si>
  <si>
    <t>Wet Ponds and Wetlands Calculator - by Water Quality Volume</t>
  </si>
  <si>
    <t>Forebay Volume</t>
  </si>
  <si>
    <t>The depth of the basin from the design water level to the invert of the basin. Does not include freeboard.</t>
    <phoneticPr fontId="36" type="noConversion"/>
  </si>
  <si>
    <t>Design Rainfall Intensity (in/hr)</t>
    <phoneticPr fontId="0" type="noConversion"/>
  </si>
  <si>
    <t>WQf Performance Measure</t>
    <phoneticPr fontId="0" type="noConversion"/>
  </si>
  <si>
    <t xml:space="preserve">Identify the different impervious land surfaces for each DMA and enter their square footage. If a permeable pavement area (i.e., pervious concrete, porous asphalt, or permeable paver) will receive run-on from adjacent surfaces, then the entire paved area (including the area planned for permeable pavement) should be entered as an impervious surface. The required size of the permeable pavement facility can then be calculated using the permeable pavement sizer. </t>
    <phoneticPr fontId="0" type="noConversion"/>
  </si>
  <si>
    <t>Step 6</t>
    <phoneticPr fontId="0" type="noConversion"/>
  </si>
  <si>
    <t xml:space="preserve">Name each DMA and enter one name per row in the cells adjacent to "A", "B", "C", etc. </t>
    <phoneticPr fontId="0" type="noConversion"/>
  </si>
  <si>
    <t xml:space="preserve">Enter the square footage of each DMA. </t>
    <phoneticPr fontId="0" type="noConversion"/>
  </si>
  <si>
    <t>5 ac</t>
  </si>
  <si>
    <t>Dry well</t>
  </si>
  <si>
    <t>0.25 ac</t>
  </si>
  <si>
    <t>Media filter</t>
  </si>
  <si>
    <t>Infiltration basin</t>
  </si>
  <si>
    <t>10 ac</t>
  </si>
  <si>
    <r>
      <t>The storage volume in the pond is calculated here. Adjust the ba</t>
    </r>
    <r>
      <rPr>
        <sz val="10"/>
        <rFont val="Arial"/>
        <family val="2"/>
      </rPr>
      <t>sin depth</t>
    </r>
    <r>
      <rPr>
        <sz val="10"/>
        <rFont val="Arial"/>
        <family val="2"/>
      </rPr>
      <t xml:space="preserve"> and/or </t>
    </r>
    <r>
      <rPr>
        <sz val="10"/>
        <rFont val="Arial"/>
        <family val="2"/>
      </rPr>
      <t>width (entered in Steps 4 and 7, respectively) u</t>
    </r>
    <r>
      <rPr>
        <sz val="10"/>
        <rFont val="Arial"/>
        <family val="2"/>
      </rPr>
      <t>ntil the volume is greater than or equal to the WQv entered in Step 1.</t>
    </r>
  </si>
  <si>
    <t>Detention vault</t>
  </si>
  <si>
    <t>typically 3 to 6% of the impervious drainage area</t>
  </si>
  <si>
    <t>INFILTRATION BASIN CALCULATOR</t>
  </si>
  <si>
    <t>Forebay volume calculator (min size)</t>
    <phoneticPr fontId="0" type="noConversion"/>
  </si>
  <si>
    <t>Detention Pond Calculator - by Water Quality Volume</t>
  </si>
  <si>
    <t>Live storage volume calculator</t>
  </si>
  <si>
    <t xml:space="preserve">Divide your entire site into discrete drainage management areas (DMAs) and enter the number of DMAs. A DMA is a portion of your site that drains to a common location.  </t>
    <phoneticPr fontId="0" type="noConversion"/>
  </si>
  <si>
    <t>CALCULATOR</t>
    <phoneticPr fontId="0" type="noConversion"/>
  </si>
  <si>
    <t>The ratio of the bioretention area to the DMA is calculated here as a check of the sizing. The bioretention area is typically between 4 to 7% of the impervious drainage area.</t>
  </si>
  <si>
    <r>
      <t xml:space="preserve">i = </t>
    </r>
    <r>
      <rPr>
        <sz val="10"/>
        <rFont val="Arial"/>
        <family val="2"/>
      </rPr>
      <t>design rainfall intensity (in/hr)</t>
    </r>
    <phoneticPr fontId="0" type="noConversion"/>
  </si>
  <si>
    <t>WQf = C x i x A/43560</t>
    <phoneticPr fontId="0" type="noConversion"/>
  </si>
  <si>
    <t xml:space="preserve">Note: For both the Port of San Francisco and the SFPUC, the WQf performance measure is based on a 0.2 in/hr rainfall intensity. </t>
    <phoneticPr fontId="0" type="noConversion"/>
  </si>
  <si>
    <r>
      <rPr>
        <i/>
        <sz val="10"/>
        <rFont val="Arial"/>
        <family val="2"/>
      </rPr>
      <t>d</t>
    </r>
    <r>
      <rPr>
        <sz val="10"/>
        <rFont val="Arial"/>
        <family val="2"/>
      </rPr>
      <t xml:space="preserve"> = design depth of rainfall (inches)</t>
    </r>
    <phoneticPr fontId="0" type="noConversion"/>
  </si>
  <si>
    <t>Use the "other" column, column T, for pervious land surfaces not described. Enter the square footage of the "other surface" in the table.  Below, in the Pervious Runoff Coefficients Table, enter a runoff coefficient, C, for the "other" pervious surface .</t>
    <phoneticPr fontId="0" type="noConversion"/>
  </si>
  <si>
    <t>Enter the infiltration rate of the underlying soils. This should be determined by geotechnical testing or, for conceptual studies, soil infiltration maps.  A safety factor of 2 will be applied to the infiltration rate to account for the inherent uncertainties in rate measurement and the decrease in infiltration rate over time. The default value for fill time is 2 hours. The default drain time is 48 hours. These values should not be changed unless explanation is provided by user.</t>
  </si>
  <si>
    <t xml:space="preserve">Enter the depth of the filter media. This is typically between 1.5 and 2 feet. </t>
  </si>
  <si>
    <t>inches/hour (enter 0 if system will be lined due to subsurface constraints)</t>
  </si>
  <si>
    <t xml:space="preserve">Select the type of PP system: permeable pavers, pervious concrete, or porous asphalt.  </t>
  </si>
  <si>
    <t>Transition Layer</t>
  </si>
  <si>
    <t>Area Draining to Filter</t>
  </si>
  <si>
    <t>Sizing Ratio (Filter Area/Drainage Area)</t>
  </si>
  <si>
    <t>Volume Stored in Filter Chamber</t>
  </si>
  <si>
    <t>Sed Chamber - Live Volume Storage Depth</t>
  </si>
  <si>
    <t>Sed Chamber - Area Calculator</t>
  </si>
  <si>
    <t>Sizing Ratio (BMP Area/Drainage Area)</t>
  </si>
  <si>
    <t>Depth of Filter Media - d</t>
  </si>
  <si>
    <t>feet (recommend  1.5 ft)</t>
  </si>
  <si>
    <t>pretreatment is highly recommended</t>
  </si>
  <si>
    <t>Desired WQv Drawdown Time</t>
  </si>
  <si>
    <t xml:space="preserve">The time for the trench/dry well to drain the water quality volume. </t>
  </si>
  <si>
    <t>Swale Area</t>
  </si>
  <si>
    <t>Swale Width</t>
  </si>
  <si>
    <t>square feet</t>
  </si>
  <si>
    <t>Asphalt</t>
  </si>
  <si>
    <t>Concrete</t>
  </si>
  <si>
    <t>Other</t>
  </si>
  <si>
    <t>Total Area Check</t>
  </si>
  <si>
    <t>cubic feet</t>
  </si>
  <si>
    <t>The slope of the sides of the swale, generally expressed as a ratio. The recommended steepest slope is 3:1.</t>
  </si>
  <si>
    <t>Total Site Area</t>
  </si>
  <si>
    <t>A</t>
  </si>
  <si>
    <t>B</t>
  </si>
  <si>
    <t>C</t>
  </si>
  <si>
    <t>D</t>
  </si>
  <si>
    <t>E</t>
  </si>
  <si>
    <t>F</t>
  </si>
  <si>
    <t>G</t>
  </si>
  <si>
    <t>H</t>
  </si>
  <si>
    <t>I</t>
  </si>
  <si>
    <t>J</t>
  </si>
  <si>
    <t>Total</t>
  </si>
  <si>
    <t>acres</t>
  </si>
  <si>
    <t>Area Impervious (all in square feet)</t>
  </si>
  <si>
    <t>TOTAL</t>
  </si>
  <si>
    <t>Standard Roof</t>
  </si>
  <si>
    <t>NEXT STEPS</t>
  </si>
  <si>
    <t>Freeboard</t>
  </si>
  <si>
    <t>Porosity (n)</t>
  </si>
  <si>
    <t>Fill Time (T)</t>
  </si>
  <si>
    <t>Depth (d)</t>
  </si>
  <si>
    <t>The time taken for the trench/ dry well to fill with runoff. Use recommended values or calculate iteratively with runoff hydrographs and trench volumes.</t>
  </si>
  <si>
    <t>Drawdown Time (t)</t>
  </si>
  <si>
    <t>The area of the base of the vault</t>
  </si>
  <si>
    <t>The maximum allowable depth of the trench/drywell is calculated here. In the next row, enter a design trench depth less than or equal to the max allowable depth.</t>
  </si>
  <si>
    <t>hours (1 to 2 hours, recommend 2)</t>
  </si>
  <si>
    <t xml:space="preserve">The default value for fill time is 1 hour. Changing this value is not recommended. </t>
  </si>
  <si>
    <t>Max Ponding Depth above Filter - Pd</t>
  </si>
  <si>
    <t>For adequate treatment a swale must provide at least 9 minutes residence time. Residence time is the amount of time that water is present in the swale (i.e. the time taken for water to travel from the start of the swale to the end).</t>
  </si>
  <si>
    <t>The length of the swale, multiplied by the overall swale width. This describes what area of the site will be occupied by the treatment swale.</t>
  </si>
  <si>
    <r>
      <t>Enter the treatment capacity of the filter media. The capacity is typically provided by the manufacturer in gpm/ft</t>
    </r>
    <r>
      <rPr>
        <vertAlign val="superscript"/>
        <sz val="10"/>
        <rFont val="Arial"/>
        <family val="2"/>
      </rPr>
      <t>2</t>
    </r>
    <r>
      <rPr>
        <sz val="10"/>
        <rFont val="Arial"/>
        <family val="2"/>
      </rPr>
      <t>. A capacity around 1 gpm/ft</t>
    </r>
    <r>
      <rPr>
        <vertAlign val="superscript"/>
        <sz val="10"/>
        <rFont val="Arial"/>
        <family val="2"/>
      </rPr>
      <t>2</t>
    </r>
    <r>
      <rPr>
        <sz val="10"/>
        <rFont val="Arial"/>
        <family val="2"/>
      </rPr>
      <t xml:space="preserve"> is typical of zeolite/perlite/granular activated carbon (ZPG) filters. </t>
    </r>
  </si>
  <si>
    <t>Discharge Rate for Desired Drain Time</t>
  </si>
  <si>
    <t>Velocity</t>
  </si>
  <si>
    <t>Required Swale Length</t>
  </si>
  <si>
    <t>Landscaping</t>
  </si>
  <si>
    <t>Grass Pavers/Turf Blocks</t>
  </si>
  <si>
    <t>Lawns/grass, sandy soil, slope&lt;2%</t>
  </si>
  <si>
    <t>Lawns/grass, sandy soil, slope&gt;7%</t>
  </si>
  <si>
    <t>Lawns/grass, heavy soil, slope&lt;2%</t>
  </si>
  <si>
    <t>Lawns/grass, heavy soil, slope&gt;7%</t>
  </si>
  <si>
    <t>Brick/Pavers</t>
  </si>
  <si>
    <t xml:space="preserve">The total depth of the gravel is calculated.  It is equal to the sum of depths entered in Steps 6 and 7. </t>
  </si>
  <si>
    <t>Check column U is "okay". If not, adjust areas accordingly.</t>
  </si>
  <si>
    <t>Enter the infiltration rate of the underlying soils. This should be determined by geotechnical testing or, for conceptual studies, soil infiltration maps. Enter zero if swale is to be lined.</t>
  </si>
  <si>
    <t>Infiltration Trench/Dry Well Calculator - by Water Quality Volume</t>
  </si>
  <si>
    <t>Infiltration Trench/Dry Well Calculator - by Available Dimensions</t>
  </si>
  <si>
    <t>INFILTRATION TRENCH/DRY WELL CALCULATOR</t>
  </si>
  <si>
    <t>To calculate actual trench dimensions, enter a desired width for the trench. Generally this will be between 3 and 8 feet, and not exceed 25 feet.</t>
  </si>
  <si>
    <t>recommend 0.035 - 0.045 for vegetated channel under high flows</t>
  </si>
  <si>
    <t xml:space="preserve">Total Swale Area </t>
  </si>
  <si>
    <t>Max Design Depth for Conveyance</t>
  </si>
  <si>
    <t>Velocity at Max Design Depth</t>
  </si>
  <si>
    <t>Swale Capacity at Max Design Depth</t>
  </si>
  <si>
    <t>hours (0-2 hours, recommend 2)</t>
  </si>
  <si>
    <t>Sizing Ratio (Swale Area/Drainage Area)</t>
  </si>
  <si>
    <t>Infiltration Rate - f</t>
  </si>
  <si>
    <t>To Determine The Required Area for Flow-Based Media Filters</t>
  </si>
  <si>
    <t xml:space="preserve">To Determine The Required Area for Volume-Based Media Filters </t>
  </si>
  <si>
    <t>This work sheet calculates the Water Quality Flow Rates or Water Quality Volumes for each drainage management area on your site.</t>
  </si>
  <si>
    <t>For flow-based measures, the treatment control measure must be sized such that it accommodates the Water Quality Flow Rate for each DMA.</t>
  </si>
  <si>
    <t>For volume-based measures, the treatment control measure must be sized such that it accommodates the Water Quality Volume for each DMA.</t>
  </si>
  <si>
    <t>The required dimensions for your WQv trench or dry well are determined here.</t>
  </si>
  <si>
    <t>These calculators size the area of permeable pavement to treat the Water Quality Volume (WQv). The calculator can be used for underdrained installations or infiltration installations.</t>
  </si>
  <si>
    <t xml:space="preserve">These calculators size the area of rain garden or flow-through planter to treat the Water Quality Volume (WQv), or calculate the volume of water treated given user entered available dimensions. </t>
  </si>
  <si>
    <t xml:space="preserve">These calculators size the area of the media filter system needed to treat the Water Quality Volume (WQv) or the Water Quality Flow Rate (WQf). </t>
  </si>
  <si>
    <t>This calculator sizes a vegetated swale to treat the Water Quality Flow Rate (WQf).</t>
  </si>
  <si>
    <t xml:space="preserve">The residence time for the WQf is calculated here. If the residence time is less than 12 hours, increase the VRF length or provide an outlet flow control device. </t>
  </si>
  <si>
    <t>VEGETATED ROCK FILTER CALCULATOR</t>
  </si>
  <si>
    <t>Manning's n</t>
  </si>
  <si>
    <t>Depth to GW/Bedrock</t>
  </si>
  <si>
    <t>Fill time - T</t>
  </si>
  <si>
    <t>Area Pervious (all in square feet)</t>
  </si>
  <si>
    <t>Impervious Runoff Coefficients</t>
  </si>
  <si>
    <t>Pervious Runoff Coefficients</t>
  </si>
  <si>
    <t>Composite Runoff Coefficient</t>
  </si>
  <si>
    <t>cubic feet/sec</t>
  </si>
  <si>
    <t>recommend 0.35</t>
  </si>
  <si>
    <t>Porosity - n</t>
  </si>
  <si>
    <t>Fill Time - T</t>
  </si>
  <si>
    <t xml:space="preserve">Measure of the ease in which water moves through a porous media, generally expressed as inches/hour.  </t>
  </si>
  <si>
    <t>inches</t>
  </si>
  <si>
    <t>Minimum Filter Area Calculator</t>
  </si>
  <si>
    <t>Available Width</t>
  </si>
  <si>
    <t>Treated Volume</t>
  </si>
  <si>
    <t>Available Area</t>
  </si>
  <si>
    <t>The required flow rate to be managed by the stormwater BMP such that the treatment requirements are met. The WQf is calculated by the Water Quality Volume and Water Quality Flow Rate Calculator.</t>
  </si>
  <si>
    <t>Enter the Water Quality Flow Rate (WQf) for the drainage management area (DMA). The WQf is calculated in Step 13 of the Water Quality Volume and Water Quality Flow Rate Calculator.</t>
  </si>
  <si>
    <t>Enter the Water Quality Volume (WQv) for the DMA. The WQv is calculated in Step 14 of the Water Quality Volume and Water Quality Flow Rate Calculator.</t>
  </si>
  <si>
    <t>Enter the Water Quality volume (WQv) for the DMA. The WQv is calculated in Step 14 of the Water Quality Volume and Water Quality Flow Rate Calculator.</t>
  </si>
  <si>
    <t xml:space="preserve">Enter the square footage of the area draining to the media filter system (see Water Quality Volume and Water Quality Flow Rate Calculator for area).  </t>
  </si>
  <si>
    <t xml:space="preserve">Enter the square footage of the area draining to the bioretention system (see Water Quality Volume and Water Quality Flow Rate Calculator for area).  </t>
  </si>
  <si>
    <t>Water Quality Flow Rate</t>
  </si>
  <si>
    <t>Water Quality Volume</t>
  </si>
  <si>
    <t>** Multiple cells can be used to treat larger areas</t>
  </si>
  <si>
    <t>1 ac **</t>
  </si>
  <si>
    <t xml:space="preserve">Enter the width of the pond bottom at the invert of the detention pond. </t>
  </si>
  <si>
    <t>feet (typically 1.5 to 2 feet average depth for wetlands, 4 to 6 feet for wet pond)</t>
  </si>
  <si>
    <t xml:space="preserve">The flow depth during the water quality event is calculated. The depth should be less than or equal to 4 inches, or 0.33 feet. If it's greater, increase the swale base width. </t>
  </si>
  <si>
    <t>Length to Width Ratio (L/W)</t>
  </si>
  <si>
    <t>Horizontal rate of flow through the cross-sectional area of the filter.  Cross-sectional area is calculated as width x depth. Flow is in the longitudinal direction.</t>
  </si>
  <si>
    <t>Residence time</t>
  </si>
  <si>
    <t xml:space="preserve">The time for runoff to travel from the upstream end of the VRF to the downstream end. </t>
  </si>
  <si>
    <t>Vegetated Rock Filter Calculator - by Water Quality Volume</t>
    <phoneticPr fontId="8" type="noConversion"/>
  </si>
  <si>
    <t>cubic feet/second</t>
  </si>
  <si>
    <t>% of WQv stored in Forebay</t>
  </si>
  <si>
    <t>Max Allowable Depth - dmax</t>
  </si>
  <si>
    <r>
      <t>Permeable Pavement</t>
    </r>
    <r>
      <rPr>
        <b/>
        <vertAlign val="superscript"/>
        <sz val="10"/>
        <rFont val="Arial"/>
        <family val="2"/>
      </rPr>
      <t>a</t>
    </r>
  </si>
  <si>
    <r>
      <t>Vegetated Roof</t>
    </r>
    <r>
      <rPr>
        <b/>
        <vertAlign val="superscript"/>
        <sz val="10"/>
        <rFont val="Arial"/>
        <family val="2"/>
      </rPr>
      <t>b</t>
    </r>
  </si>
  <si>
    <t>Adjust the porosity of the trench backfill material if necessary. Recommend using a default value of 0.35. For a dry well without backfill use 1.</t>
  </si>
  <si>
    <t>Dry Well Diameter</t>
  </si>
  <si>
    <t>NA</t>
  </si>
  <si>
    <t>Underlying Infiltration rate - f</t>
  </si>
  <si>
    <t>feet (typically 1 to 3 feet)</t>
  </si>
  <si>
    <t>hours (24 to 48, recommend 48)</t>
  </si>
  <si>
    <t>Drain Time (for underdrained systems) - t</t>
  </si>
  <si>
    <t>cubic feet (adjust depth in Step 9 until storage volume is greater than WQv)</t>
  </si>
  <si>
    <t>feet (adjust width until storage volume in Step 10 is greater than WQv)</t>
  </si>
  <si>
    <t>feet (adjust length until residence time in Step 28 is greater than 12 hours)</t>
  </si>
  <si>
    <t xml:space="preserve">Enter the longitudinal slope of the swale. The maximum slope for swale design is 5%, and 2% is preferred. Consider using a meandering design, terraces, or check dams to create a satisfactory slope. Enter the percentage as a whole number; for example, for 2%, enter 2 rather than 0.02. </t>
  </si>
  <si>
    <t>(2% recommended, use check dams to keep slope less than 5%)</t>
  </si>
  <si>
    <t>WATER QUALITY VOLUME AND WATER QUALITY FLOW RATE CALCULATOR</t>
  </si>
  <si>
    <t>Adjust the porosity of the trench/dry well backfill material if necessary. Recommend using a default value of 0.35. For a dry well without backfill use 1.</t>
  </si>
  <si>
    <t>Irrigation Demand</t>
  </si>
  <si>
    <t>Month</t>
  </si>
  <si>
    <t>The ratio of the BMP area to the DMA is calculated here as a check of the sizing.  The size of media filters is typically between 3 to 6% of the impervious drainage area.</t>
  </si>
  <si>
    <r>
      <t xml:space="preserve">typically between 4 to </t>
    </r>
    <r>
      <rPr>
        <sz val="10"/>
        <color indexed="8"/>
        <rFont val="Arial"/>
        <family val="2"/>
      </rPr>
      <t>7% of the impervious drainage area</t>
    </r>
  </si>
  <si>
    <t>hours (recommend between 24 and 48 hours)</t>
  </si>
  <si>
    <t>DETENTION POND CALCULATOR</t>
  </si>
  <si>
    <t>in/month</t>
  </si>
  <si>
    <t>ETo</t>
  </si>
  <si>
    <t>gal/mo</t>
  </si>
  <si>
    <t>gpd</t>
  </si>
  <si>
    <t>(in/unit area)</t>
  </si>
  <si>
    <t>days/mo</t>
  </si>
  <si>
    <t>January</t>
  </si>
  <si>
    <t>February</t>
  </si>
  <si>
    <t>March</t>
  </si>
  <si>
    <t>April</t>
  </si>
  <si>
    <t>May</t>
  </si>
  <si>
    <t>June</t>
  </si>
  <si>
    <t>WET POND/WETLAND CALCULATOR</t>
  </si>
  <si>
    <t>Weir</t>
  </si>
  <si>
    <t>Infiltration Basin Calculator - by Water Quality Volume</t>
  </si>
  <si>
    <t>SF Downtown Gauge</t>
  </si>
  <si>
    <t>(inches)</t>
  </si>
  <si>
    <t>Capture</t>
  </si>
  <si>
    <t xml:space="preserve">This step checks that the storage volume is greater than the WQv entered in Step 1.  </t>
  </si>
  <si>
    <r>
      <t>Enter the longitudinal slope of the swale. The maximum slope for swale desig</t>
    </r>
    <r>
      <rPr>
        <sz val="10"/>
        <rFont val="Arial"/>
        <family val="2"/>
      </rPr>
      <t>n is 5%</t>
    </r>
    <r>
      <rPr>
        <sz val="10"/>
        <rFont val="Arial"/>
        <family val="2"/>
      </rPr>
      <t>, and 2% is preferred. Consider using a meandering design, terraces, or check dams to create a satisfactory slope.</t>
    </r>
  </si>
  <si>
    <t>Swale Average Cross-Sectional Area</t>
  </si>
  <si>
    <t xml:space="preserve">Length of Swale </t>
  </si>
  <si>
    <t>Check Dam Spacing</t>
  </si>
  <si>
    <t>feet (horizontal spacing between check dams)</t>
  </si>
  <si>
    <t>Swale Side Slope (Horizontal/Vertical)</t>
  </si>
  <si>
    <t>To Determine The Required Size of the Infiltration Trench/Dry Well</t>
  </si>
  <si>
    <t>NOTES</t>
  </si>
  <si>
    <t>Last updated: 11/23/10</t>
  </si>
  <si>
    <t>Total Irrigation Area</t>
  </si>
  <si>
    <t>Average Coefficient</t>
  </si>
  <si>
    <t>Irrigation Efficiency</t>
  </si>
  <si>
    <t xml:space="preserve">To provide adequate treatment of the WQf, the recommended residence time in the swale is 9 minutes.  If flow enters the swale continuously along its length rather than at the upstream end, entering an 18 minute residence time is recommended. </t>
  </si>
  <si>
    <t xml:space="preserve">Enter the max ponding depth above the filter.  This is typically 6 to 12 inches.  It is recommended that the ponding depth be at least 2" below the bioretention overflow elevation.  </t>
  </si>
  <si>
    <t xml:space="preserve">The minimum filter area is calculated here.  Pretreatment should also be provided.  Use the manufacturer's instructions to determine if other factors (e.g., expected sediment loading) will require an increased filter area. </t>
  </si>
  <si>
    <t>gpm (use orifice or other means to control rate)</t>
  </si>
  <si>
    <t>Base Area</t>
  </si>
  <si>
    <t>The volume of water treated by your trench or dry well design is shown here. If this volume is less than the required WQv then additional treatments will likely be required.</t>
  </si>
  <si>
    <t xml:space="preserve">Enter the desired drain time for the system.  Recommended drain time is between 24 to 48 hours. </t>
  </si>
  <si>
    <t>Enter the design length of your trench. For a Dry Well enter the design diameter, and skip Step 11.</t>
  </si>
  <si>
    <t xml:space="preserve">Enter the depths of the subsurface media layers. Layers include the bedding layer, transition (i.e., base) layer, and storage (i.e., subbase) layer.  Recommend using a 2" deep bedding layer and a 3 or 4" deep transition layer. The required depth of the underlying storage layer is calculated in Step 10. See the Permeable Pavement fact sheet for more information on the media layers. </t>
  </si>
  <si>
    <t>The required permanent pool volume is calculated here. The permanent pool should be equal to the WQv for wetlands and two times the WQv for wet ponds.</t>
    <phoneticPr fontId="36" type="noConversion"/>
  </si>
  <si>
    <t xml:space="preserve">The required live storage volume is calculated here. This is typically equal to the WQv. </t>
    <phoneticPr fontId="36" type="noConversion"/>
  </si>
  <si>
    <t>Length of Pond Bottom</t>
    <phoneticPr fontId="36" type="noConversion"/>
  </si>
  <si>
    <t>Permanent Pool Depth</t>
    <phoneticPr fontId="36" type="noConversion"/>
  </si>
  <si>
    <t>Live Storage Volume</t>
    <phoneticPr fontId="36" type="noConversion"/>
  </si>
  <si>
    <t>Permanent Pool Volume</t>
    <phoneticPr fontId="36" type="noConversion"/>
  </si>
  <si>
    <t>Check of Permanent Pool Volume</t>
    <phoneticPr fontId="36" type="noConversion"/>
  </si>
  <si>
    <t>Check of Live Storage Volume</t>
    <phoneticPr fontId="36" type="noConversion"/>
  </si>
  <si>
    <t xml:space="preserve">This step checks that the storage volume is greater than the WQv entered in Step1. If the volume is less than the WQv, increase the pond width or depth. </t>
    <phoneticPr fontId="36" type="noConversion"/>
  </si>
  <si>
    <t>feet (generally between 2 and 5 feet, recommend 3 feet)</t>
    <phoneticPr fontId="36" type="noConversion"/>
  </si>
  <si>
    <t xml:space="preserve">The storage volume in the basin is calculated here. If the volume is less than the WQv entered in Step 1, increase the basin depth. </t>
    <phoneticPr fontId="36" type="noConversion"/>
  </si>
  <si>
    <t>feet, typically 0.25 to 0.75 feet, recommend 0.5 feet</t>
  </si>
  <si>
    <t xml:space="preserve">hrs, must be between 12 and 48 hrs. If t &lt;12, increase length or provide outlet control. </t>
  </si>
  <si>
    <t>Porosity of Gravel - n</t>
  </si>
  <si>
    <t>typically 0.3 to 0.4, recommend 0.35</t>
  </si>
  <si>
    <t>Surface Area needed for Forebay</t>
  </si>
  <si>
    <t>Surface Area needed for VRF</t>
  </si>
  <si>
    <t>hours (drains Pd and portion of planting soil storing WQv)</t>
    <phoneticPr fontId="36" type="noConversion"/>
  </si>
  <si>
    <t xml:space="preserve">The default value for fill time for swales is 2 hours. </t>
    <phoneticPr fontId="36" type="noConversion"/>
  </si>
  <si>
    <t xml:space="preserve">The diameter of the orifice needed to drain the WQv in 48 hours is shown here. This planning level estimate of the required outlet control should be revised during design. The pond outlet must be designed such that less than 50% of the WQv is emptied during the first third of the design drain time (i.e., within 16 hours for a 48 hour design drain time). Minimum allowable orifice diameter is 1-inch. </t>
    <phoneticPr fontId="36" type="noConversion"/>
  </si>
  <si>
    <t xml:space="preserve">The layer that the permeable pavement is laid on, also called choker or setting layer.  Consists of AASHTO No. 8 stone.  (Note: Bedding layers are typically No. 57 stone for asphalt and concrete; however, the size has been reduced in this application to improve filtering performance of the system). </t>
    <phoneticPr fontId="0" type="noConversion"/>
  </si>
  <si>
    <t>Vegetated Swales Calculator - by Water Quality Flow Rate</t>
    <phoneticPr fontId="0" type="noConversion"/>
  </si>
  <si>
    <t>Water Quality Flow Rate (WQf)</t>
    <phoneticPr fontId="0" type="noConversion"/>
  </si>
  <si>
    <t>Media Filter Calculator - by Water Quality Flow Rate</t>
    <phoneticPr fontId="36" type="noConversion"/>
  </si>
  <si>
    <t>Basin Length to Width Ratio (L/W)</t>
    <phoneticPr fontId="36" type="noConversion"/>
  </si>
  <si>
    <t xml:space="preserve">Basin Side Slope </t>
    <phoneticPr fontId="36" type="noConversion"/>
  </si>
  <si>
    <t>Width of Basin Bottom</t>
    <phoneticPr fontId="36" type="noConversion"/>
  </si>
  <si>
    <t>Length of Basin Bottom</t>
    <phoneticPr fontId="36" type="noConversion"/>
  </si>
  <si>
    <t>Width of Basin at Permanent Pool Depth</t>
    <phoneticPr fontId="36" type="noConversion"/>
  </si>
  <si>
    <t>Length of Basin at Permanent Pool Depth</t>
    <phoneticPr fontId="36" type="noConversion"/>
  </si>
  <si>
    <t>Width of Basin at WQv Depth</t>
    <phoneticPr fontId="36" type="noConversion"/>
  </si>
  <si>
    <t>Length of Basin at WQv Depth</t>
    <phoneticPr fontId="36" type="noConversion"/>
  </si>
  <si>
    <t xml:space="preserve">The length of the basin bottom is calculated here. </t>
  </si>
  <si>
    <t xml:space="preserve">The width and length of the pond at the design water depth (i.e., WQv depth) are calculated here. </t>
    <phoneticPr fontId="36" type="noConversion"/>
  </si>
  <si>
    <t xml:space="preserve">Use the following steps of the Dimensions Calculator to determine the basin configuration.  </t>
    <phoneticPr fontId="36" type="noConversion"/>
  </si>
  <si>
    <t xml:space="preserve">Enter the live storage depth (i.e., the water depth above the permanent pool used to captured the WQv event). Depths are typically 1 to 2 feet for wetlands and 1 to 3 feet for wet ponds. This depth DOES NOT include freeboard, which is typically 1 foot above the maximum design depth (freeboard should be added in actual design). </t>
    <phoneticPr fontId="36" type="noConversion"/>
  </si>
  <si>
    <t>The length of the swale need to capture the WQv is calculated here.</t>
  </si>
  <si>
    <t>Top Width of Swale</t>
  </si>
  <si>
    <t>Freeboard Above WQ Depth</t>
  </si>
  <si>
    <t xml:space="preserve">Swale Capacity </t>
  </si>
  <si>
    <t xml:space="preserve">This is the maximum flow rate that can be conveyed by the swale. </t>
  </si>
  <si>
    <t>Equals the maximum design conveyance depth plus the freeboard</t>
  </si>
  <si>
    <t xml:space="preserve">The overall width of the swale, including base and side slopes, calculated at the total swale depth. </t>
  </si>
  <si>
    <r>
      <t>feet (should be less than</t>
    </r>
    <r>
      <rPr>
        <sz val="10"/>
        <rFont val="Arial"/>
        <family val="2"/>
      </rPr>
      <t xml:space="preserve"> 25 feet)</t>
    </r>
  </si>
  <si>
    <t>inches/hour (generally require f ≥ 0.5"/hr)</t>
  </si>
  <si>
    <t>feet (should be less than 25 feet)</t>
  </si>
  <si>
    <t>Enter the Water Quality Flow Rate (WQf) for the drainage management area. The WQf is calculated in Step 13 of the Water Quality Volume and Water Quality Flow Rate Calculator.</t>
  </si>
  <si>
    <t>The runoff volume to be managed by the stormwater BMP such that treatment requirements are met. The WQv is calculated by the Water Quality Volume and Water Quality Flow Rate Calculator.</t>
  </si>
  <si>
    <t xml:space="preserve">The default value for fill time is 2 hours. The default drain time is 48 hours. These values should not be changed unless explanation is provided by user.  </t>
    <phoneticPr fontId="0" type="noConversion"/>
  </si>
  <si>
    <t>Water Quality Flow Equation:</t>
    <phoneticPr fontId="0" type="noConversion"/>
  </si>
  <si>
    <r>
      <rPr>
        <i/>
        <sz val="10"/>
        <rFont val="Arial"/>
        <family val="2"/>
      </rPr>
      <t>WQf</t>
    </r>
    <r>
      <rPr>
        <sz val="10"/>
        <rFont val="Arial"/>
        <family val="2"/>
      </rPr>
      <t xml:space="preserve"> = water quality flow (cubic feet per second)</t>
    </r>
    <phoneticPr fontId="0" type="noConversion"/>
  </si>
  <si>
    <r>
      <rPr>
        <i/>
        <sz val="10"/>
        <rFont val="Arial"/>
        <family val="2"/>
      </rPr>
      <t>WQv</t>
    </r>
    <r>
      <rPr>
        <sz val="10"/>
        <rFont val="Arial"/>
        <family val="2"/>
      </rPr>
      <t xml:space="preserve"> = water quality volume (cubic feet)</t>
    </r>
    <phoneticPr fontId="0" type="noConversion"/>
  </si>
  <si>
    <t>The layer located beneath the bedding layer which serves as a transition to the storage layer.  It is also known as the base layer, is typically 3 to 4" deep, and consists of AASHTO No. 57 stone.</t>
    <phoneticPr fontId="0" type="noConversion"/>
  </si>
  <si>
    <t>hours</t>
    <phoneticPr fontId="36" type="noConversion"/>
  </si>
  <si>
    <t>Time Needed to Infiltrate WQv (no underdrain)</t>
    <phoneticPr fontId="36" type="noConversion"/>
  </si>
  <si>
    <t>Hide</t>
    <phoneticPr fontId="36" type="noConversion"/>
  </si>
  <si>
    <t xml:space="preserve">For non-underdrained systems, the time needed to infiltrate the WQv is calculated here.  If the drain time is greater than 48 hrs, underdrains should be installed. </t>
    <phoneticPr fontId="36" type="noConversion"/>
  </si>
  <si>
    <t>Time Needed to Infiltrate WQv (no underdrain)</t>
    <phoneticPr fontId="36" type="noConversion"/>
  </si>
  <si>
    <t>Time to Drain WQv Storage Area</t>
    <phoneticPr fontId="36" type="noConversion"/>
  </si>
  <si>
    <t>hours (drains ponding depth and portion of planting soil storing WQv)</t>
    <phoneticPr fontId="36" type="noConversion"/>
  </si>
  <si>
    <t>Time to Drain WQv Storage Area</t>
    <phoneticPr fontId="36" type="noConversion"/>
  </si>
  <si>
    <t xml:space="preserve">The length of the basin bottom is calculated based on the base area and width. </t>
    <phoneticPr fontId="36" type="noConversion"/>
  </si>
  <si>
    <t>feet (generally between 1 and 3 feet, recommend 2 feet)</t>
    <phoneticPr fontId="36" type="noConversion"/>
  </si>
  <si>
    <t>Check of Volume</t>
    <phoneticPr fontId="36" type="noConversion"/>
  </si>
  <si>
    <t>feet</t>
    <phoneticPr fontId="36" type="noConversion"/>
  </si>
  <si>
    <t>Orifice</t>
  </si>
  <si>
    <t>Orifice Area</t>
    <phoneticPr fontId="36" type="noConversion"/>
  </si>
  <si>
    <t>Water Quality Volume - WQv</t>
    <phoneticPr fontId="0" type="noConversion"/>
  </si>
  <si>
    <t>Drain Time (t)</t>
    <phoneticPr fontId="0" type="noConversion"/>
  </si>
  <si>
    <t>Max Drain Time - t</t>
    <phoneticPr fontId="0" type="noConversion"/>
  </si>
  <si>
    <t>Max Drain Time - t</t>
    <phoneticPr fontId="0" type="noConversion"/>
  </si>
  <si>
    <t xml:space="preserve">Port of San Francisco jurisdiction: 48 hour, 80% capture. Enter "1" in Step 12. </t>
    <phoneticPr fontId="0" type="noConversion"/>
  </si>
  <si>
    <t>Use the "other" column for impervious land surfaces not described. Enter the square footage of the "other surface" in the table.  Below, in the Impervious Runoff Coefficients Table, enter a runoff coefficient, C, for the "other" impervious surface.</t>
    <phoneticPr fontId="0" type="noConversion"/>
  </si>
  <si>
    <t xml:space="preserve">Enter the lesser value of the depth to groundwater and depth to bedrock at the site. The bottom of the trench should be at least 4' from bedrock and the high groundwater table.  </t>
    <phoneticPr fontId="0" type="noConversion"/>
  </si>
  <si>
    <t>Water Quality Volume - WQv</t>
  </si>
  <si>
    <t>Water Quality Flow Rate - WQf</t>
  </si>
  <si>
    <t xml:space="preserve">The width and length of the basin at the permanent pool depth and at the design water depth (i.e., WQv depth) are calculated here. </t>
    <phoneticPr fontId="36" type="noConversion"/>
  </si>
  <si>
    <t>The basin's permanent pool volume and the live storage volume are calculated here. Adjust the basin width and/or depth until the volumes are greater than or equal to the permanent pool volume and WQv calculated in Steps 4 and 5.</t>
    <phoneticPr fontId="36" type="noConversion"/>
  </si>
  <si>
    <t xml:space="preserve">The length of the pond bottom is calculated here. </t>
    <phoneticPr fontId="36" type="noConversion"/>
  </si>
  <si>
    <t>Ave. Discharge Rate for Desired Drain Time</t>
    <phoneticPr fontId="36" type="noConversion"/>
  </si>
  <si>
    <t>Calculated WQv Drain Time - t</t>
    <phoneticPr fontId="36" type="noConversion"/>
  </si>
  <si>
    <t>square feet</t>
    <phoneticPr fontId="36" type="noConversion"/>
  </si>
  <si>
    <t>Approx. Orifice Diameter for Drain Time</t>
    <phoneticPr fontId="36" type="noConversion"/>
  </si>
  <si>
    <t xml:space="preserve">The rate of water entry into the soil, generally expressed as inches/hour, and determined by geotechnical tests or estimated from soil maps. It equals the hydraulic conductivity of the soil times the hydraulic gradient. </t>
    <phoneticPr fontId="36" type="noConversion"/>
  </si>
  <si>
    <t>Infiltration rate - f</t>
    <phoneticPr fontId="36" type="noConversion"/>
  </si>
  <si>
    <t>inches/hour (generally require f&gt;0.5"/hr)</t>
    <phoneticPr fontId="36" type="noConversion"/>
  </si>
  <si>
    <t>Max drawdown time - t</t>
    <phoneticPr fontId="36" type="noConversion"/>
  </si>
  <si>
    <t>hrs (recommend 48 hrs)</t>
    <phoneticPr fontId="0" type="noConversion"/>
  </si>
  <si>
    <t>Composite runoff coefficients for each DMA are calculated and displayed here.</t>
    <phoneticPr fontId="0" type="noConversion"/>
  </si>
  <si>
    <t>INSTRUCTIONS</t>
    <phoneticPr fontId="0" type="noConversion"/>
  </si>
  <si>
    <t>The ratio of the bioretention area to the DMA is calculated here as a check of the sizing.  The percentage is typically between 4% to 7%.</t>
  </si>
  <si>
    <t xml:space="preserve">For sloped systems, use the volume-based Swale calculator. </t>
  </si>
  <si>
    <t>Enter the side slope of the swale. The side slope should be no steeper than 3:1 (i.e., at least 3 feet horizontal for each 1 foot vertical).</t>
  </si>
  <si>
    <t>Infiltration Rate Factor of Safety</t>
  </si>
  <si>
    <t>Depth of Water Percolated into Filter</t>
  </si>
  <si>
    <t>Estimated Drainage Area</t>
  </si>
  <si>
    <t>BMP Area/Drainage Area</t>
  </si>
  <si>
    <t>sf</t>
  </si>
  <si>
    <t>The depth of water storage in the vault.  Does not include freeboard or depth of permanent pool.</t>
  </si>
  <si>
    <t>feet (typically between 3 and 7 ft)</t>
  </si>
  <si>
    <t>Enter the proposed live storage depth of the vault. This is typically between 3 to 7 feet not including freeboard. This depth also does not include the depth of the permanent wet pool. It is recommended that the wet pool depth be greater than 3 feet.</t>
  </si>
  <si>
    <t>in/hr (recommend 4)</t>
  </si>
  <si>
    <t>The depth of the filter media.</t>
  </si>
  <si>
    <t>cubic feet per second (cfs)</t>
  </si>
  <si>
    <t>feet (minimum length is 100 feet)</t>
  </si>
  <si>
    <t>cubic feet per second</t>
  </si>
  <si>
    <t>feet, recommend 0.5 ft for online, 0.25 ft for offline</t>
  </si>
  <si>
    <t>feet (horizontal length of swale)</t>
  </si>
  <si>
    <t xml:space="preserve">The total swale area is calculated here. This includes the bottom and side slope area of the swale. </t>
  </si>
  <si>
    <t>in/hr (enter 0 if system lined)</t>
  </si>
  <si>
    <t xml:space="preserve">Enter the freeboard above the water quality depth. A freeboard of at least 2" is recommended. </t>
  </si>
  <si>
    <t>The overall top width of the swale is calculated here for site layout purposes.</t>
  </si>
  <si>
    <t xml:space="preserve">The swale area is calculated so that the site area demand can be assessed. The area is based on the water quality depth plus freeboard. </t>
  </si>
  <si>
    <t xml:space="preserve">The Manning's roughness coefficient for the swale. Note: at depths less than the vegetation height (e.g., at the WQf depth), the Manning's n is significantly greater than at flooding depths. </t>
  </si>
  <si>
    <t xml:space="preserve">Select whether the swale is designed as an online or offline BMP.  The system is "online" if flows greater than the WQf are also directed to the swale. For "offline" swale systems, only flows less than or equal to the WQf are directed to the swale. </t>
  </si>
  <si>
    <t>Select yes if f &lt; 0.5 or other infiltration constraints apply</t>
  </si>
  <si>
    <t>in/hr (use underdrains if f &lt; 0.5 in/hr)</t>
  </si>
  <si>
    <t>includes area of side slopes, typically 10 - 15%</t>
  </si>
  <si>
    <t xml:space="preserve">min (use 18 min for continuous inflow swale) </t>
  </si>
  <si>
    <t>The required area to treat the WQv is determined here.</t>
  </si>
  <si>
    <t xml:space="preserve">The default porosity of the media and the fill time have been entered.  Adjusting these values is not recommended. </t>
  </si>
  <si>
    <t>VEGETATED SWALE CALCULATOR (flow-based)</t>
  </si>
  <si>
    <t>VEGETATED SWALE CALCULATOR (volume-based)</t>
  </si>
  <si>
    <r>
      <t xml:space="preserve">Permeable Pavement </t>
    </r>
    <r>
      <rPr>
        <vertAlign val="superscript"/>
        <sz val="10"/>
        <rFont val="Arial"/>
        <family val="2"/>
      </rPr>
      <t>a</t>
    </r>
  </si>
  <si>
    <r>
      <t xml:space="preserve">Vegetated Roof </t>
    </r>
    <r>
      <rPr>
        <vertAlign val="superscript"/>
        <sz val="10"/>
        <rFont val="Arial"/>
        <family val="2"/>
      </rPr>
      <t>b</t>
    </r>
  </si>
  <si>
    <t xml:space="preserve">Identify any existing permeable pavement or vegetated roofs on your site that are designed according to SDG requirements and do not receive runoff from adjacent surfaces. Enter their areas. See "Notes" section (a and b) at bottom of worksheet for additional description of permeable pavement and vegetated roofs. </t>
  </si>
  <si>
    <r>
      <t xml:space="preserve">Gravel </t>
    </r>
    <r>
      <rPr>
        <vertAlign val="superscript"/>
        <sz val="10"/>
        <rFont val="Arial"/>
        <family val="2"/>
      </rPr>
      <t>c</t>
    </r>
  </si>
  <si>
    <t xml:space="preserve">Identify additional pervious land surfaces for each DMA and enter their areas. See "Notes" section (c) at bottom of worksheet for a description of whether to categorize gravel as permeable pavement or pervious area. </t>
  </si>
  <si>
    <t>Step</t>
  </si>
  <si>
    <t>Bioretention</t>
  </si>
  <si>
    <t>These calculators size an infiltration trench or drywell to treat the Water Quality Volume (WQv), or calculate the volume of water treated given user entered available dimensions.</t>
  </si>
  <si>
    <t>To Determine The Required Area for Bioretention Facility</t>
  </si>
  <si>
    <r>
      <t xml:space="preserve">square feet </t>
    </r>
    <r>
      <rPr>
        <sz val="10"/>
        <rFont val="Arial"/>
        <family val="2"/>
      </rPr>
      <t>(include the area planned for permeable pavement)</t>
    </r>
  </si>
  <si>
    <t xml:space="preserve">square feet  </t>
  </si>
  <si>
    <t>required if f ≤ 0.5 inches/hour</t>
  </si>
  <si>
    <r>
      <t xml:space="preserve">cubic feet </t>
    </r>
    <r>
      <rPr>
        <vertAlign val="superscript"/>
        <sz val="10"/>
        <rFont val="Arial"/>
        <family val="2"/>
      </rPr>
      <t xml:space="preserve"> </t>
    </r>
    <r>
      <rPr>
        <sz val="10"/>
        <rFont val="Arial"/>
        <family val="2"/>
      </rPr>
      <t>(Sedimentation chamber must store remaining WQv)</t>
    </r>
  </si>
  <si>
    <t>WQv = C x A x d/12</t>
  </si>
  <si>
    <t>0.2 - 0.3 for water quality depth, recommend 0.25</t>
  </si>
  <si>
    <t>Velocity at WQf</t>
  </si>
  <si>
    <t>inches (increase swale width if depth greater than 4")</t>
  </si>
  <si>
    <t xml:space="preserve">ft/sec (decrease slope if velocity greater than 1 ft/s)  </t>
  </si>
  <si>
    <t>Total Swale Depth</t>
  </si>
  <si>
    <t>Area at Max Depth</t>
  </si>
  <si>
    <t xml:space="preserve">Wetted Perimeter at Max Depth </t>
  </si>
  <si>
    <t>Manning's n for High Flow</t>
  </si>
  <si>
    <t>Manning's n for Low Flow</t>
  </si>
  <si>
    <t>Top Swale Width</t>
  </si>
  <si>
    <t xml:space="preserve">The top width of the swale is calculated here. </t>
  </si>
  <si>
    <t>Permeable Pavement Calculator - by Water Quality Volume</t>
  </si>
  <si>
    <t>inches/hour (generally require f ≥0.5"/hr)</t>
  </si>
  <si>
    <t xml:space="preserve">feet  </t>
  </si>
  <si>
    <t xml:space="preserve">Enter the width of the VRF. </t>
  </si>
  <si>
    <t xml:space="preserve">The required length of the VRF is calculated here. </t>
  </si>
  <si>
    <t xml:space="preserve">The length to width ratio of the VRF is calculated here. </t>
  </si>
  <si>
    <t xml:space="preserve">Enter the design hydraulic conductivity of the gravel.  A default value of 2000 ft/day is recommended. </t>
  </si>
  <si>
    <t>feet, typically 0.5 to 2 feet</t>
  </si>
  <si>
    <t>Total WQv Storage Depth in VRF</t>
  </si>
  <si>
    <t>feet, sum of the ponding depth and the depth of gravel above permanent pool</t>
  </si>
  <si>
    <t>Velocity through Filter</t>
  </si>
  <si>
    <t>Use either steps 1 through 8 to determine the required size of your trench. Or use steps 9 through 15 to check what volume of water is treated given the available dimensions of your trench.</t>
  </si>
  <si>
    <t>The depth of the VRF from the surface of the gravel to the base of the filter.</t>
  </si>
  <si>
    <t>The longitudinal length of the VRF.</t>
  </si>
  <si>
    <t>The width of the VRF.</t>
  </si>
  <si>
    <t xml:space="preserve">Enter the length to width ratio of the basin.  A ratio between 2 and 4 is recommended. </t>
  </si>
  <si>
    <t>To Determine the Required Dimensions for Flow-based VRFs (i.e., those sized to convey the WQf).</t>
  </si>
  <si>
    <t>The depth of the basin from the top of the live storage volume to the invert of the basin. Does not include freeboard.</t>
    <phoneticPr fontId="36" type="noConversion"/>
  </si>
  <si>
    <t xml:space="preserve">Depth from the top of the permanent pool to the top of the live storage area. </t>
    <phoneticPr fontId="36" type="noConversion"/>
  </si>
  <si>
    <t xml:space="preserve">The step calculates the estimated flow rate through the orifice when the water level is at the WQv depth. </t>
    <phoneticPr fontId="36" type="noConversion"/>
  </si>
  <si>
    <t>Permanent pool volume calculator</t>
  </si>
  <si>
    <t>The volume of water that is permanently in the wet pond/wetland.</t>
  </si>
  <si>
    <t>This calculator sizes a vegetated swales or sloped bioretention systems designed to treat the Water Quality Volume (WQv).</t>
  </si>
  <si>
    <t>These calculators size a detention vault to treat the Water Quality Volume (WQv), or calculate the volume of water treated given user entered available dimensions.</t>
  </si>
  <si>
    <t>This calculator sizes an infiltration basin to treat the Water Quality Volume (WQv).</t>
  </si>
  <si>
    <t>This calculator sizes volumetrically a detention pond such that it treats the Water Quality Volume (WQv).</t>
  </si>
  <si>
    <t>This calculator sizes the components of a wet pond or wetland such that it treats the Water Quality Volume (WQv).</t>
  </si>
  <si>
    <t xml:space="preserve">Enter the max ponding depth above the filter.  This is typically 6 to 12 inches.  It is recommended that the max ponding depth be at least 2" below the bioretention overflow elevation.  </t>
  </si>
  <si>
    <t xml:space="preserve">Enter whether underdrains are required at the site. Select "Yes" if underdrains are required due to low infiltration rates or other subsurface constraints, such as depth to groundwater or bedrock. </t>
  </si>
  <si>
    <t xml:space="preserve">ft/sec </t>
  </si>
  <si>
    <t>The volume of water treated by the bioretention system is shown here. If this volume is less than the required WQv then additional treatments will likely be required.</t>
  </si>
  <si>
    <t>PP Area as % of Total Drainage Area</t>
  </si>
  <si>
    <t>recommend 0.35 for coarse aggregate</t>
  </si>
  <si>
    <t xml:space="preserve">Enter the square footage of the DMA draining to the Permeable Pavement (PP). The DMA includes the area planned for PP.  Only impervious surfaces should drain to PP. </t>
  </si>
  <si>
    <t>Enter the depth of the live storage volume in the sedimentation chamber. This is typically 1 to 3 feet.</t>
  </si>
  <si>
    <t xml:space="preserve">The required sedimentation chamber area needed to store the remainder of the WQv is calculated here. </t>
  </si>
  <si>
    <t>Media Filter Calculator - by Water Quality Volume</t>
  </si>
  <si>
    <t>Sedimentation Chamber for Pretreatment?</t>
  </si>
  <si>
    <t>Water Quality Flow - WQf</t>
  </si>
  <si>
    <t>Minimum Filter Area</t>
  </si>
  <si>
    <t>Treatment Capacity of Media</t>
  </si>
  <si>
    <t>BIORETENTION CALCULATOR</t>
  </si>
  <si>
    <t xml:space="preserve">The time needed to drain the WQv is calculated here.  If the drain time is less than the desired time entered in Step 3, use outlet control, such as an orifice, to control the outflow. </t>
  </si>
  <si>
    <t>inches (generally 2")</t>
  </si>
  <si>
    <t xml:space="preserve">Permeable pavement includes permeable pavers, porous asphalt, and pervious concrete designed according to SDG requirements.  If runoff from adjacent impervious surfaces is draining to the permeable pavement, then the total paved area (including the area planned for permeable pavement) should be entered as impervious area in Step 5.  The portion of this total paved area that must be converted to permeable pavement to meet the SDG treatment requirements can then be calculated using the Permeable Pavement calculator.  </t>
  </si>
  <si>
    <t>The need for underdrains is determined based on the infiltration rate.  If other constraints require underdrains, such as high groundwater or bedrock, set the infiltration rate in Step 6 to 0.  See the PP fact sheet for infiltration constraints.</t>
  </si>
  <si>
    <r>
      <t>gpm/ft</t>
    </r>
    <r>
      <rPr>
        <vertAlign val="superscript"/>
        <sz val="10"/>
        <rFont val="Arial"/>
        <family val="2"/>
      </rPr>
      <t xml:space="preserve">2 </t>
    </r>
    <r>
      <rPr>
        <sz val="10"/>
        <rFont val="Arial"/>
        <family val="2"/>
      </rPr>
      <t>(capacity should be provided by manufacturer)</t>
    </r>
  </si>
  <si>
    <t>MEDIA FILTER CALCULATOR</t>
  </si>
  <si>
    <t>Permeable Pavement (PP) Type</t>
  </si>
  <si>
    <t xml:space="preserve">Enter the infiltration rate of the underlying soils. This should be determined by geotechnical testing or, for conceptual studies, soil infiltration maps. If the PP is going to be underdrained and lined to prevent infiltration, then use 0.  A default safety factor of two will be applied to the infiltration rate to account for soils compaction and clogging, as well as the inherent uncertainty in rate measurement. </t>
  </si>
  <si>
    <t>Drain Time - t</t>
    <phoneticPr fontId="36" type="noConversion"/>
  </si>
  <si>
    <t>Drain Time - t</t>
    <phoneticPr fontId="36" type="noConversion"/>
  </si>
  <si>
    <t>Calculated WQv Drain Time</t>
    <phoneticPr fontId="36" type="noConversion"/>
  </si>
  <si>
    <t>Ave. Discharge Rate for Desired Drain Time</t>
    <phoneticPr fontId="36" type="noConversion"/>
  </si>
  <si>
    <t xml:space="preserve">For underdrained systems, the average discharge rate is calculated here based on the desired drain time.  </t>
    <phoneticPr fontId="36" type="noConversion"/>
  </si>
  <si>
    <t>Drain Time</t>
    <phoneticPr fontId="0" type="noConversion"/>
  </si>
  <si>
    <t>Width of Basin at WQv Depth</t>
    <phoneticPr fontId="36" type="noConversion"/>
  </si>
  <si>
    <t xml:space="preserve">The estimated flow rate through the orifice when the water level is at the WQv depth is calculated here. </t>
    <phoneticPr fontId="36" type="noConversion"/>
  </si>
  <si>
    <t>Drain time - t</t>
    <phoneticPr fontId="36" type="noConversion"/>
  </si>
  <si>
    <t>Dimensions Calculator</t>
  </si>
  <si>
    <t>A spillway is a structure to provide the control release of extreme flows, in the event the capacity of the pond/wetland is overwhelmed.</t>
    <phoneticPr fontId="36" type="noConversion"/>
  </si>
  <si>
    <t xml:space="preserve">The depth from the invert of the basin to the top of the permanent pool water level. This depth may vary in wetlands; for the purposes of the planning level calculations, the average permanent pool depth can be entered here. </t>
    <phoneticPr fontId="36" type="noConversion"/>
  </si>
  <si>
    <t xml:space="preserve">The recommended design drain time for the basin is 48 hours. </t>
    <phoneticPr fontId="36" type="noConversion"/>
  </si>
  <si>
    <t>hours (recommend 48 hours)</t>
    <phoneticPr fontId="36" type="noConversion"/>
  </si>
  <si>
    <t xml:space="preserve">The diameter of the orifice needed to drain the WQv in the design drain time is shown here. This planning level estimate of the required outlet control should be revised during design. The minimum allowable orifice size is 1-inch diameter. </t>
    <phoneticPr fontId="36" type="noConversion"/>
  </si>
  <si>
    <t xml:space="preserve">The temporary ponding area above the permanent pool that stores the WQv volume. </t>
    <phoneticPr fontId="36" type="noConversion"/>
  </si>
  <si>
    <t>Live Storage Volume Depth</t>
    <phoneticPr fontId="36" type="noConversion"/>
  </si>
  <si>
    <t>Permanent Pool Depth</t>
    <phoneticPr fontId="36" type="noConversion"/>
  </si>
  <si>
    <t xml:space="preserve">Use the following steps of the Dimensions Calculator to determine the configuration of the detention pond.  </t>
    <phoneticPr fontId="36" type="noConversion"/>
  </si>
  <si>
    <t xml:space="preserve">Enter the length to width ratio of the detention pond.  A ratio between 2 and 4 is recommended. </t>
    <phoneticPr fontId="36" type="noConversion"/>
  </si>
  <si>
    <t xml:space="preserve">The total depth of the basin at the WQv level is calculated here. </t>
    <phoneticPr fontId="36" type="noConversion"/>
  </si>
  <si>
    <t xml:space="preserve">The minimum base area of the infiltration basin is calculated here based on infiltrating the entire WQv within the maximum drawdown time. </t>
    <phoneticPr fontId="36" type="noConversion"/>
  </si>
  <si>
    <t>Est. Impervious DMA</t>
    <phoneticPr fontId="36" type="noConversion"/>
  </si>
  <si>
    <t>Vegetated roof</t>
  </si>
  <si>
    <r>
      <t xml:space="preserve">* </t>
    </r>
    <r>
      <rPr>
        <sz val="8"/>
        <rFont val="Arial"/>
        <family val="2"/>
      </rPr>
      <t>Or minimum orifice diameter of 1 inch</t>
    </r>
  </si>
  <si>
    <t>Rainwater harvesting</t>
  </si>
  <si>
    <t>A</t>
    <phoneticPr fontId="0" type="noConversion"/>
  </si>
  <si>
    <r>
      <t xml:space="preserve">SFPUC jurisdiction: 0.75 inch rainfall depth. Enter "2" in Step 12.  </t>
    </r>
    <r>
      <rPr>
        <b/>
        <sz val="10"/>
        <rFont val="Arial"/>
        <family val="2"/>
      </rPr>
      <t xml:space="preserve"> </t>
    </r>
    <phoneticPr fontId="0" type="noConversion"/>
  </si>
  <si>
    <t>The allowable PP area as a percent of the total drainage area is given here. To reduce pollutant loadings and extend the expected life of the system, the area of the permeable pavement system must be 40% or more of the total drainage area (i.e., 1 part permeable pavement facility area to 1.5 parts impervious paved drainage area). To allow run-on to permeable pavers, they must have 20% or more of their surface area open.  See the PP fact sheet for more information regarding design requirements.</t>
    <phoneticPr fontId="0" type="noConversion"/>
  </si>
  <si>
    <t xml:space="preserve">The minimum PP area required is calculated here. </t>
  </si>
  <si>
    <t>Use the steps below to determine the swale dimensions and length such that the WQf is met by the proposed design.</t>
  </si>
  <si>
    <t>Depth of Bioretention Soil Mix - d</t>
  </si>
  <si>
    <t>Porosity of Bioretention Soil Mix - n</t>
  </si>
  <si>
    <t>Hydraulic Conductivity of Bioretention Soil Mix - k</t>
  </si>
  <si>
    <t xml:space="preserve">Enter the depth of the bioretention soil mix. This should be greater than 1.5 ft and is generally between 1.5 and 2.5 ft. </t>
  </si>
  <si>
    <t xml:space="preserve">The default porosity and design hydraulic conductivity of the bioretention soil mix  are entered here. The conductivity is based on the bioretention media recommendations provided in the Bioretention Fact Sheet. </t>
  </si>
  <si>
    <t>Use the steps below to determine the swale dimensions and length such that the WQv is met by the proposed design.</t>
  </si>
  <si>
    <t xml:space="preserve">The default porosity and hydraulic conductivity of the bioretention soil mix are entered here. The conductivity is based on the media recommendations provided in the Bioretention Fact Sheet. Changing these default values is not recommended. </t>
  </si>
  <si>
    <t xml:space="preserve">The default porosity and hydraulic conductivity of the bioretention soil mix are entered here. Changing these values is not recommended. </t>
  </si>
  <si>
    <t>NON-POTABLE WATER CALCULATOR</t>
  </si>
  <si>
    <t>LEGEND:</t>
  </si>
  <si>
    <t>Project Name:</t>
  </si>
  <si>
    <t xml:space="preserve">Project Address: </t>
  </si>
  <si>
    <t>Project Date:</t>
  </si>
  <si>
    <t>Project Contact:</t>
  </si>
  <si>
    <t xml:space="preserve">Land Use: </t>
  </si>
  <si>
    <t>Select One Land Use</t>
  </si>
  <si>
    <t>DEFINITION</t>
  </si>
  <si>
    <t>CIE</t>
  </si>
  <si>
    <t>CIE - Cultural, Institutional, Educational includes educational services, social services, museums, zoos, and membership organizations.</t>
  </si>
  <si>
    <t>MED</t>
  </si>
  <si>
    <t>MED - Medical includes health services offices and hospitals and laboratories throughout the City.</t>
  </si>
  <si>
    <t>MIPS</t>
  </si>
  <si>
    <t>MIPS - Largely any activity where information is the chief commodity that is processed (managerial, information, professional, business services, multi-media).</t>
  </si>
  <si>
    <t>PDF</t>
  </si>
  <si>
    <t>PDF - Production, Distribution and Repair includes automobile and other repair services throughout the City, plus construction, transportation, communications, utilities, agriculture mining, manufacturing, wholesale trade, and motion picture production distribution, and services located outside of the downtown, transbay, and Northeast Districts. Does not include undeveloped or vacant land area used for PDR activities such as construction yards or open storage areas.</t>
  </si>
  <si>
    <t>Retail/Ent</t>
  </si>
  <si>
    <t>Retail/Ent - Retail includes retail trade, amusement and recreation services, and personal services throughout the City.</t>
  </si>
  <si>
    <t>Visitor/Hotel</t>
  </si>
  <si>
    <t>Visitor (or Hotel) includes hotels and other lodging located throughout the City.</t>
  </si>
  <si>
    <t>Mixres</t>
  </si>
  <si>
    <t>Mixres (when both commercial and residential uses are proposed).</t>
  </si>
  <si>
    <t>Mixed</t>
  </si>
  <si>
    <t>Mixed (when no residential use present and when multiple commercial uses are proposed and not one is dominating (&gt;80% of commercial square feet).</t>
  </si>
  <si>
    <t>Resident</t>
  </si>
  <si>
    <t>Resident is used to denote any residential project where there is no commercial component.</t>
  </si>
  <si>
    <t>RESIDENTIAL (For Projects Designated as Mixres or Resident)</t>
  </si>
  <si>
    <t>Residential type:</t>
  </si>
  <si>
    <t>Multi-family</t>
  </si>
  <si>
    <t>Default assumed as multi-family housing.</t>
  </si>
  <si>
    <t>Persons per Household Unit:</t>
  </si>
  <si>
    <t>No. of residential units:</t>
  </si>
  <si>
    <t>No. of residential occupants:</t>
  </si>
  <si>
    <t>Space Type</t>
  </si>
  <si>
    <t>Description</t>
  </si>
  <si>
    <t>No. of Full-Time Equivalents (FTE)</t>
  </si>
  <si>
    <t>Describe Space Type</t>
  </si>
  <si>
    <t>/</t>
  </si>
  <si>
    <t>Restaurant</t>
  </si>
  <si>
    <t>Notes:</t>
  </si>
  <si>
    <t>Instructions:</t>
  </si>
  <si>
    <t>Fixture Type (Daily Use)</t>
  </si>
  <si>
    <t>Flow Rate</t>
  </si>
  <si>
    <t>Unit</t>
  </si>
  <si>
    <r>
      <t xml:space="preserve">Duration </t>
    </r>
    <r>
      <rPr>
        <b/>
        <vertAlign val="superscript"/>
        <sz val="11"/>
        <color theme="0"/>
        <rFont val="Calibri"/>
        <family val="2"/>
        <scheme val="minor"/>
      </rPr>
      <t>(4)</t>
    </r>
  </si>
  <si>
    <r>
      <t xml:space="preserve">Ave Daily Use </t>
    </r>
    <r>
      <rPr>
        <b/>
        <vertAlign val="superscript"/>
        <sz val="11"/>
        <color theme="0"/>
        <rFont val="Calibri"/>
        <family val="2"/>
        <scheme val="minor"/>
      </rPr>
      <t>(4)</t>
    </r>
  </si>
  <si>
    <t>No. of occupants</t>
  </si>
  <si>
    <r>
      <t xml:space="preserve">Showerhead </t>
    </r>
    <r>
      <rPr>
        <vertAlign val="superscript"/>
        <sz val="11"/>
        <color theme="1"/>
        <rFont val="Calibri"/>
        <family val="2"/>
        <scheme val="minor"/>
      </rPr>
      <t>(1)</t>
    </r>
  </si>
  <si>
    <t>gpm</t>
  </si>
  <si>
    <t>N/A</t>
  </si>
  <si>
    <r>
      <t xml:space="preserve">Bathroom Faucet </t>
    </r>
    <r>
      <rPr>
        <vertAlign val="superscript"/>
        <sz val="11"/>
        <color theme="1"/>
        <rFont val="Calibri"/>
        <family val="2"/>
        <scheme val="minor"/>
      </rPr>
      <t>(2)</t>
    </r>
  </si>
  <si>
    <r>
      <t xml:space="preserve">Bath </t>
    </r>
    <r>
      <rPr>
        <vertAlign val="superscript"/>
        <sz val="11"/>
        <color theme="1"/>
        <rFont val="Calibri"/>
        <family val="2"/>
        <scheme val="minor"/>
      </rPr>
      <t>(2)</t>
    </r>
  </si>
  <si>
    <t>gal/bath</t>
  </si>
  <si>
    <t>bath</t>
  </si>
  <si>
    <r>
      <t xml:space="preserve">Toilet (Water Closet) </t>
    </r>
    <r>
      <rPr>
        <vertAlign val="superscript"/>
        <sz val="11"/>
        <color theme="1"/>
        <rFont val="Calibri"/>
        <family val="2"/>
        <scheme val="minor"/>
      </rPr>
      <t>(1)</t>
    </r>
  </si>
  <si>
    <t>flush</t>
  </si>
  <si>
    <r>
      <t xml:space="preserve">Kitchen Faucet </t>
    </r>
    <r>
      <rPr>
        <vertAlign val="superscript"/>
        <sz val="11"/>
        <color theme="1"/>
        <rFont val="Calibri"/>
        <family val="2"/>
        <scheme val="minor"/>
      </rPr>
      <t>(1)</t>
    </r>
  </si>
  <si>
    <r>
      <t xml:space="preserve">Washing Machine </t>
    </r>
    <r>
      <rPr>
        <vertAlign val="superscript"/>
        <sz val="11"/>
        <color theme="1"/>
        <rFont val="Calibri"/>
        <family val="2"/>
        <scheme val="minor"/>
      </rPr>
      <t>(3)</t>
    </r>
  </si>
  <si>
    <r>
      <t xml:space="preserve">Dishwasher </t>
    </r>
    <r>
      <rPr>
        <vertAlign val="superscript"/>
        <sz val="11"/>
        <color theme="1"/>
        <rFont val="Calibri"/>
        <family val="2"/>
        <scheme val="minor"/>
      </rPr>
      <t>(3)</t>
    </r>
  </si>
  <si>
    <t>(1) Flow rate based on maximum flow rate prescribed by 2011 SF Green Building Requirements (Table 13C.5.303.2.3).</t>
  </si>
  <si>
    <t>(3) Flow rate based on 2010 rate used in the 2010 UWMP Conservation Model.</t>
  </si>
  <si>
    <t>Ave Daily Use for faucets are represented by total average usage per person per day (min/person/day)</t>
  </si>
  <si>
    <t>No. of FTEs</t>
  </si>
  <si>
    <t>gal/emp/day</t>
  </si>
  <si>
    <t>-</t>
  </si>
  <si>
    <t>Yes</t>
  </si>
  <si>
    <t>No</t>
  </si>
  <si>
    <t>Graywater Available for Reuse (gpd)</t>
  </si>
  <si>
    <t>Blackwater Available for Reuse (gpd)</t>
  </si>
  <si>
    <t>Showerhead</t>
  </si>
  <si>
    <t>Bathroom Faucet</t>
  </si>
  <si>
    <t>Bath</t>
  </si>
  <si>
    <t>Toilet (Water Closet)</t>
  </si>
  <si>
    <t>Kitchen Faucet</t>
  </si>
  <si>
    <t>Washing Machine</t>
  </si>
  <si>
    <t>Dishwasher</t>
  </si>
  <si>
    <t>Lavatory Faucet</t>
  </si>
  <si>
    <t>Low Flow Sprayer - Restaurants</t>
  </si>
  <si>
    <t>Swimming Pool Water</t>
  </si>
  <si>
    <t>Climate Data for San Francisco</t>
  </si>
  <si>
    <t>Eastside ETo Zone</t>
  </si>
  <si>
    <r>
      <t xml:space="preserve">Ave. Monthly Rainfall </t>
    </r>
    <r>
      <rPr>
        <b/>
        <vertAlign val="superscript"/>
        <sz val="11"/>
        <rFont val="Calibri"/>
        <family val="2"/>
      </rPr>
      <t>(1)</t>
    </r>
  </si>
  <si>
    <r>
      <t xml:space="preserve">Reference Evapotranspiration </t>
    </r>
    <r>
      <rPr>
        <b/>
        <vertAlign val="superscript"/>
        <sz val="11"/>
        <rFont val="Calibri"/>
        <family val="2"/>
      </rPr>
      <t>(2)</t>
    </r>
  </si>
  <si>
    <t>Actual Evapotranspiration</t>
  </si>
  <si>
    <r>
      <t>ET</t>
    </r>
    <r>
      <rPr>
        <b/>
        <vertAlign val="subscript"/>
        <sz val="11"/>
        <rFont val="Calibri"/>
        <family val="2"/>
      </rPr>
      <t>L</t>
    </r>
  </si>
  <si>
    <t>(1) Average monthly rainfall based on NWS downtown SF gage (1907-2007)</t>
  </si>
  <si>
    <t>(2) CIMIS Zone 2</t>
  </si>
  <si>
    <t>Westside ETo Zone</t>
  </si>
  <si>
    <t>(2) CIMIS Zone 1</t>
  </si>
  <si>
    <t>COMMERCIAL</t>
  </si>
  <si>
    <t>COMMERCIAL USE BREAKDOWN</t>
  </si>
  <si>
    <t>COMMERCIAL USE OCCUPANCY</t>
  </si>
  <si>
    <t>Default Value</t>
  </si>
  <si>
    <t>Autogenerated Value</t>
  </si>
  <si>
    <t>No. of Transient FTEs</t>
  </si>
  <si>
    <t>Select Zone</t>
  </si>
  <si>
    <t>Linked from User Input</t>
  </si>
  <si>
    <t>Total Water Demand (gpd)</t>
  </si>
  <si>
    <t>Allowable End Use for Non-Potable?</t>
  </si>
  <si>
    <t>Total Potential Non-Potable Demand (gpd)</t>
  </si>
  <si>
    <t>Total Water Demand (gpd) = Flow Rate x Duration x Ave Daily Use  x No. of Occupants</t>
  </si>
  <si>
    <t>Select One</t>
  </si>
  <si>
    <t>Western SF</t>
  </si>
  <si>
    <t>Eastern SF</t>
  </si>
  <si>
    <t>Ave. Monthly Rainfall</t>
  </si>
  <si>
    <t>Reference Evapotranspiration</t>
  </si>
  <si>
    <t>% of Annual</t>
  </si>
  <si>
    <r>
      <t>Species Factor - k</t>
    </r>
    <r>
      <rPr>
        <vertAlign val="subscript"/>
        <sz val="11"/>
        <rFont val="Calibri"/>
        <family val="2"/>
        <scheme val="minor"/>
      </rPr>
      <t>s</t>
    </r>
  </si>
  <si>
    <r>
      <t>Density Factor - k</t>
    </r>
    <r>
      <rPr>
        <vertAlign val="subscript"/>
        <sz val="11"/>
        <rFont val="Calibri"/>
        <family val="2"/>
        <scheme val="minor"/>
      </rPr>
      <t>d</t>
    </r>
  </si>
  <si>
    <r>
      <t>Microclimate Factor - k</t>
    </r>
    <r>
      <rPr>
        <vertAlign val="subscript"/>
        <sz val="11"/>
        <rFont val="Calibri"/>
        <family val="2"/>
        <scheme val="minor"/>
      </rPr>
      <t>mc</t>
    </r>
  </si>
  <si>
    <r>
      <t>Landscape Coefficient - K</t>
    </r>
    <r>
      <rPr>
        <vertAlign val="subscript"/>
        <sz val="11"/>
        <rFont val="Calibri"/>
        <family val="2"/>
        <scheme val="minor"/>
      </rPr>
      <t>L</t>
    </r>
  </si>
  <si>
    <r>
      <t>ET</t>
    </r>
    <r>
      <rPr>
        <b/>
        <vertAlign val="subscript"/>
        <sz val="11"/>
        <color theme="0"/>
        <rFont val="Calibri"/>
        <family val="2"/>
        <scheme val="minor"/>
      </rPr>
      <t>L</t>
    </r>
  </si>
  <si>
    <r>
      <t>ft</t>
    </r>
    <r>
      <rPr>
        <b/>
        <vertAlign val="superscript"/>
        <sz val="11"/>
        <color theme="0"/>
        <rFont val="Calibri"/>
        <family val="2"/>
        <scheme val="minor"/>
      </rPr>
      <t>3</t>
    </r>
    <r>
      <rPr>
        <b/>
        <sz val="11"/>
        <color theme="0"/>
        <rFont val="Calibri"/>
        <family val="2"/>
        <scheme val="minor"/>
      </rPr>
      <t>/month</t>
    </r>
  </si>
  <si>
    <t>Average Runoff Coefficient</t>
  </si>
  <si>
    <t>Graywater</t>
  </si>
  <si>
    <t>FTE</t>
  </si>
  <si>
    <t>Transient FTE</t>
  </si>
  <si>
    <t>General Office</t>
  </si>
  <si>
    <t>Retail, general</t>
  </si>
  <si>
    <t>Grocery store</t>
  </si>
  <si>
    <t>Medical office</t>
  </si>
  <si>
    <t>R&amp;D or laboratory</t>
  </si>
  <si>
    <t>Warehouse, distribution</t>
  </si>
  <si>
    <t>Warehouse, storage</t>
  </si>
  <si>
    <t>Hotel</t>
  </si>
  <si>
    <t>Educational, daycare</t>
  </si>
  <si>
    <t>Educational, K-12</t>
  </si>
  <si>
    <t>Educational, postsecondary</t>
  </si>
  <si>
    <t>Service (e.g. financial, auto)</t>
  </si>
  <si>
    <t xml:space="preserve"> </t>
  </si>
  <si>
    <t>(4) Flow rate from SFPUC 2010 Urban Water Management Plan (UWMP) Retail Demand  Model for New Multi-Family Residential Water Use.</t>
  </si>
  <si>
    <t>Estimated project construction date</t>
  </si>
  <si>
    <t>Block Lot(s):</t>
  </si>
  <si>
    <t>Calculated based on data in Columns E and F</t>
  </si>
  <si>
    <t>(4) Applied to General Office, Grocery Store, Medical Office, R&amp;D or Laboratory, and Educational Facilities.</t>
  </si>
  <si>
    <t>Commercial Laundry</t>
  </si>
  <si>
    <t>Total number of residential occupants in the project based on default persons per household unit.</t>
  </si>
  <si>
    <t>Fixture Type</t>
  </si>
  <si>
    <t>Total Water Demand (gpd) = (Flow Rate x Duration x Ave Daily Use x No. of FTEs) + (Flow Rate x Duration x Ave Daily Use (Transient FTE) x No. of Transient FTEs)</t>
  </si>
  <si>
    <t>gpy</t>
  </si>
  <si>
    <t>Cooling Demand (gpd) from Step 2.</t>
  </si>
  <si>
    <t>(1) Default treatment recovery rate: 90%</t>
  </si>
  <si>
    <t>Outdoor Decorative Water Feature:</t>
  </si>
  <si>
    <t>Indoor Decorative Water Feature:</t>
  </si>
  <si>
    <t>Commercial Laundry:</t>
  </si>
  <si>
    <t>Linked to 5. Outdoor Water Supply - Rainfall Data</t>
  </si>
  <si>
    <t>Blackwater</t>
  </si>
  <si>
    <t>Foundation Drainage</t>
  </si>
  <si>
    <t>Total Potable Demand (gpd)</t>
  </si>
  <si>
    <t>gal/load</t>
  </si>
  <si>
    <t>loads/day</t>
  </si>
  <si>
    <t>no. of days</t>
  </si>
  <si>
    <t>Please include other indoor demands in your building if applicable.</t>
  </si>
  <si>
    <t>HVAC/Cooling</t>
  </si>
  <si>
    <t>Indoor Decorative Water Feature</t>
  </si>
  <si>
    <t>E.g. indoor fountains with no contact</t>
  </si>
  <si>
    <t>Other Non-Potable Demand</t>
  </si>
  <si>
    <t>Estimated Value</t>
  </si>
  <si>
    <t>Other Reusable Supplies</t>
  </si>
  <si>
    <t>Please specify other graywater/blackwater/foundation drainage supplies that are available onsite.</t>
  </si>
  <si>
    <t>Estimated Supply (gpd)</t>
  </si>
  <si>
    <t>Estimated Supply (gpy)</t>
  </si>
  <si>
    <t>No. of days within a year supply is available</t>
  </si>
  <si>
    <t>Other &lt;Please specify&gt;</t>
  </si>
  <si>
    <t>Other &lt;Please Specify&gt;</t>
  </si>
  <si>
    <r>
      <t xml:space="preserve">Type </t>
    </r>
    <r>
      <rPr>
        <b/>
        <i/>
        <sz val="11"/>
        <color theme="0"/>
        <rFont val="Calibri"/>
        <family val="2"/>
        <scheme val="minor"/>
      </rPr>
      <t>(Select from dropdown menu)</t>
    </r>
  </si>
  <si>
    <r>
      <t xml:space="preserve">Foundation Drainage </t>
    </r>
    <r>
      <rPr>
        <i/>
        <sz val="11"/>
        <rFont val="Calibri"/>
        <family val="2"/>
        <scheme val="minor"/>
      </rPr>
      <t>(to be provided by a licensed engineer)</t>
    </r>
  </si>
  <si>
    <t>Roof (Conventional)</t>
  </si>
  <si>
    <t>Pavement (Conventional)</t>
  </si>
  <si>
    <t>E.g. outdoor fountains with no contact</t>
  </si>
  <si>
    <r>
      <t xml:space="preserve">Urinals </t>
    </r>
    <r>
      <rPr>
        <vertAlign val="superscript"/>
        <sz val="11"/>
        <rFont val="Calibri"/>
        <family val="2"/>
        <scheme val="minor"/>
      </rPr>
      <t>(2)(3)</t>
    </r>
  </si>
  <si>
    <r>
      <t xml:space="preserve">Toilet (Water Closet) </t>
    </r>
    <r>
      <rPr>
        <vertAlign val="superscript"/>
        <sz val="11"/>
        <color theme="1"/>
        <rFont val="Calibri"/>
        <family val="2"/>
        <scheme val="minor"/>
      </rPr>
      <t>(2)(3)</t>
    </r>
  </si>
  <si>
    <t>Urinals</t>
  </si>
  <si>
    <t>Linked to 4. Outdoor Water Demand - Reference Evapotranspiration (ETo)</t>
  </si>
  <si>
    <t>ETo (inches/year)</t>
  </si>
  <si>
    <t>Total Landscape Area</t>
  </si>
  <si>
    <r>
      <t>LA (ft</t>
    </r>
    <r>
      <rPr>
        <vertAlign val="superscript"/>
        <sz val="10"/>
        <rFont val="Arial"/>
        <family val="2"/>
      </rPr>
      <t>2</t>
    </r>
    <r>
      <rPr>
        <sz val="10"/>
        <rFont val="Arial"/>
        <family val="2"/>
      </rPr>
      <t>)</t>
    </r>
  </si>
  <si>
    <t>Special Landscape Area (SLA)</t>
  </si>
  <si>
    <t>(SLA means an area of the landscape dedicated solely to edible plants, areas irrigated with recycled water, water features using recycled water and areas dedicated to active play such as parks, sports fields, golf courses, and where turf provides a playing surface)</t>
  </si>
  <si>
    <r>
      <t>SLA (ft</t>
    </r>
    <r>
      <rPr>
        <vertAlign val="superscript"/>
        <sz val="10"/>
        <rFont val="Arial"/>
        <family val="2"/>
      </rPr>
      <t>2</t>
    </r>
    <r>
      <rPr>
        <sz val="10"/>
        <rFont val="Arial"/>
        <family val="2"/>
      </rPr>
      <t>)</t>
    </r>
  </si>
  <si>
    <r>
      <t>MAWA = (ET</t>
    </r>
    <r>
      <rPr>
        <vertAlign val="subscript"/>
        <sz val="10"/>
        <rFont val="Arial"/>
        <family val="2"/>
      </rPr>
      <t>0</t>
    </r>
    <r>
      <rPr>
        <sz val="10"/>
        <rFont val="Arial"/>
        <family val="2"/>
      </rPr>
      <t>) x (0.62) x [(0.7 x LA)+(0.3 x SLA)]</t>
    </r>
  </si>
  <si>
    <r>
      <t>Total Lot Size (ft</t>
    </r>
    <r>
      <rPr>
        <b/>
        <vertAlign val="superscript"/>
        <sz val="11"/>
        <rFont val="Calibri"/>
        <family val="2"/>
        <scheme val="minor"/>
      </rPr>
      <t>2</t>
    </r>
    <r>
      <rPr>
        <b/>
        <sz val="11"/>
        <rFont val="Calibri"/>
        <family val="2"/>
        <scheme val="minor"/>
      </rPr>
      <t>)</t>
    </r>
  </si>
  <si>
    <r>
      <t>Proposed (ft</t>
    </r>
    <r>
      <rPr>
        <b/>
        <vertAlign val="superscript"/>
        <sz val="11"/>
        <color theme="0"/>
        <rFont val="Calibri"/>
        <family val="2"/>
        <scheme val="minor"/>
      </rPr>
      <t>2</t>
    </r>
    <r>
      <rPr>
        <b/>
        <sz val="11"/>
        <color theme="0"/>
        <rFont val="Calibri"/>
        <family val="2"/>
        <scheme val="minor"/>
      </rPr>
      <t>)</t>
    </r>
  </si>
  <si>
    <t>Gross Area (GSF)</t>
  </si>
  <si>
    <t>Enter GSF where applicable</t>
  </si>
  <si>
    <t>GSF per occupant</t>
  </si>
  <si>
    <t>Source: LEED Reference Guide for Green Building Design and Construction, 2009 Edition. Core &amp; Shell Appendix 1 - Default Occupancy Counts.</t>
  </si>
  <si>
    <t>Key</t>
  </si>
  <si>
    <t>gpm: gallons per minute</t>
  </si>
  <si>
    <t>gpf</t>
  </si>
  <si>
    <t>gpf: gallons per flush</t>
  </si>
  <si>
    <t>gal/emp/day: gallons per employee per day</t>
  </si>
  <si>
    <t>gal/bath: gallons per bath</t>
  </si>
  <si>
    <t>gal/cycle: gallons per washing cycle</t>
  </si>
  <si>
    <r>
      <t>gpd/ft</t>
    </r>
    <r>
      <rPr>
        <vertAlign val="superscript"/>
        <sz val="10"/>
        <rFont val="Calibri"/>
        <family val="2"/>
        <scheme val="minor"/>
      </rPr>
      <t>2</t>
    </r>
    <r>
      <rPr>
        <sz val="10"/>
        <rFont val="Calibri"/>
        <family val="2"/>
        <scheme val="minor"/>
      </rPr>
      <t>: gallons per day per square foot</t>
    </r>
  </si>
  <si>
    <t>GSF</t>
  </si>
  <si>
    <t>GSF: gross square feet</t>
  </si>
  <si>
    <t>gpd: gallons per day</t>
  </si>
  <si>
    <t>gpy: gallons per year</t>
  </si>
  <si>
    <t>(2) Flow rate based on maximum flow rate prescribed by 2011 SF Green Building Requirements for the Prescriptive Approach (Table 13C.5.303.2.3).</t>
  </si>
  <si>
    <r>
      <t xml:space="preserve">Low Flow Sprayer - Restaurants </t>
    </r>
    <r>
      <rPr>
        <vertAlign val="superscript"/>
        <sz val="11"/>
        <color theme="1"/>
        <rFont val="Calibri"/>
        <family val="2"/>
        <scheme val="minor"/>
      </rPr>
      <t>(5)</t>
    </r>
  </si>
  <si>
    <t>(6) From LEED 2009 Water Use Reduction Additional Guidance (Revision 3). Updated July 14, 2011. Table 1. Non-residential Default Fixture Usage Rates</t>
  </si>
  <si>
    <r>
      <t>ET</t>
    </r>
    <r>
      <rPr>
        <b/>
        <vertAlign val="subscript"/>
        <sz val="11"/>
        <color theme="0"/>
        <rFont val="Calibri"/>
        <family val="2"/>
        <scheme val="minor"/>
      </rPr>
      <t>0</t>
    </r>
  </si>
  <si>
    <t>(All planting areas, turf areas, and water features, such as fountains, including areas in the public right of way for which the owner is responsible. Landscape area does not include building footprints, unless the footprint includes planted areas such as a living roof. Landscape area does not include pervious or non-pervious hardscapes such as patios, walkways or driveways.</t>
  </si>
  <si>
    <r>
      <t>Average ET</t>
    </r>
    <r>
      <rPr>
        <b/>
        <vertAlign val="subscript"/>
        <sz val="10"/>
        <rFont val="Arial"/>
        <family val="2"/>
      </rPr>
      <t>0</t>
    </r>
    <r>
      <rPr>
        <b/>
        <sz val="10"/>
        <rFont val="Arial"/>
        <family val="2"/>
      </rPr>
      <t xml:space="preserve"> of San Francisco provided by State</t>
    </r>
  </si>
  <si>
    <t>Maximum Applied Water Allowance (MAWA)</t>
  </si>
  <si>
    <t>(A MAWA is also referred to as a water budget. It is the number of gallons per year which is allowed to maintain a landscape in San Francisco, given the climatic conditions)</t>
  </si>
  <si>
    <t>Click here to access the San Francisco Efficient Irrigation Ordinance website</t>
  </si>
  <si>
    <t>Estimated Total Outdoor Water Use</t>
  </si>
  <si>
    <t>Compliance Check</t>
  </si>
  <si>
    <t>Is the project compliant?</t>
  </si>
  <si>
    <t>The project's estimated outdoor water use exceeds MAWA by:</t>
  </si>
  <si>
    <t>This is the estimated amount of water use associated with landscaping irrigation and water features in this project</t>
  </si>
  <si>
    <t>Table 1. Land Use Categories (Source: SF Planning Department Pipeline Report Development Profile)</t>
  </si>
  <si>
    <t>Default assumed from 2011 Retail Demand Model Update - Household and Persons per Household Projections.</t>
  </si>
  <si>
    <t>Site Location relative to Evapotranspiration Zone</t>
  </si>
  <si>
    <r>
      <t xml:space="preserve">Kitchen Faucet </t>
    </r>
    <r>
      <rPr>
        <vertAlign val="superscript"/>
        <sz val="11"/>
        <rFont val="Calibri"/>
        <family val="2"/>
        <scheme val="minor"/>
      </rPr>
      <t>(2)(4)</t>
    </r>
  </si>
  <si>
    <r>
      <t xml:space="preserve">Lavatory Faucet </t>
    </r>
    <r>
      <rPr>
        <vertAlign val="superscript"/>
        <sz val="11"/>
        <color theme="1"/>
        <rFont val="Calibri"/>
        <family val="2"/>
        <scheme val="minor"/>
      </rPr>
      <t>(2)</t>
    </r>
  </si>
  <si>
    <t xml:space="preserve">(1) Applied to 0.5% of FTEs in Hotel and General Office uses. </t>
  </si>
  <si>
    <t>(2) Flow rate from SFPUC 2011 Urban Water Management Plan (UWMP) Retail Demand  Model for New Multi-Family Residential Water Use.</t>
  </si>
  <si>
    <t>(3) Durations and Ave Daily Use (FTE) from 2011 SFPUC Water Demand Conservation Model (Retail Model for Non-Residential).</t>
  </si>
  <si>
    <t>(5) From 2011 SFPUC Water Demand Conservation Model (Retail Model for Non-Residential), Estimated Usage for Nonresidential Low-Flow Sprayers in Restaurants.</t>
  </si>
  <si>
    <t xml:space="preserve">Enter general project information below. </t>
  </si>
  <si>
    <t>User Input</t>
  </si>
  <si>
    <t>Select building use type based on the definitions provided in Table 1.</t>
  </si>
  <si>
    <t>Select from the dropdown menu whether the project is located on the Westside or Eastside of San Francisco based on the map shown below.</t>
  </si>
  <si>
    <t>For projects that are residential or include residential units, please provide the number of residential units below. The default type of residential unit assumed is multi-family residential.</t>
  </si>
  <si>
    <t>&gt;&gt;&gt; Please proceed on to Step 2: Calculate Indoor Water Demand</t>
  </si>
  <si>
    <t>User Input Instructions:</t>
  </si>
  <si>
    <t>Total Building Size (gross square footage/GSF)</t>
  </si>
  <si>
    <t>Average</t>
  </si>
  <si>
    <t>Ave. Daily Demand (gpd)</t>
  </si>
  <si>
    <t>Monthly Demand (gal/mth)</t>
  </si>
  <si>
    <t xml:space="preserve">Building Gross Square Footage from Step 1: </t>
  </si>
  <si>
    <t>gal/mth: gallons per month</t>
  </si>
  <si>
    <t>(2) Estimated cooling demand for 2010-2035 based on forecasted temperature. Source: Potable Offset Investigation NPI Data Workbook, 2011.</t>
  </si>
  <si>
    <t>(1) Forecasted temperature for 2010-2035 based on historical average. Source: Potable Offset Investigation NPI Data Workbook, 2011.</t>
  </si>
  <si>
    <r>
      <t>City Temperature (</t>
    </r>
    <r>
      <rPr>
        <b/>
        <sz val="11"/>
        <color theme="0"/>
        <rFont val="Calibri"/>
        <family val="2"/>
      </rPr>
      <t>°F)</t>
    </r>
    <r>
      <rPr>
        <b/>
        <vertAlign val="superscript"/>
        <sz val="11"/>
        <color theme="0"/>
        <rFont val="Calibri"/>
        <family val="2"/>
      </rPr>
      <t>(1)</t>
    </r>
  </si>
  <si>
    <r>
      <t>Estimated Use (gpd/ft</t>
    </r>
    <r>
      <rPr>
        <b/>
        <vertAlign val="superscript"/>
        <sz val="11"/>
        <color theme="0"/>
        <rFont val="Calibri"/>
        <family val="2"/>
        <scheme val="minor"/>
      </rPr>
      <t>2</t>
    </r>
    <r>
      <rPr>
        <b/>
        <sz val="11"/>
        <color theme="0"/>
        <rFont val="Calibri"/>
        <family val="2"/>
        <scheme val="minor"/>
      </rPr>
      <t>)</t>
    </r>
    <r>
      <rPr>
        <b/>
        <vertAlign val="superscript"/>
        <sz val="11"/>
        <color theme="0"/>
        <rFont val="Calibri"/>
        <family val="2"/>
        <scheme val="minor"/>
      </rPr>
      <t>(2)</t>
    </r>
  </si>
  <si>
    <t>Annual Cooling Demand (gpy):</t>
  </si>
  <si>
    <t>Other Non-Potable Demand:</t>
  </si>
  <si>
    <t>I.e. commercial laundry facilities that are operated by designated staff and are not available for general public use</t>
  </si>
  <si>
    <t>No. of Building Operation Days in a Year</t>
  </si>
  <si>
    <t>&gt;&gt;&gt; Please proceed on to Step 3: Calculate Indoor Non-Potable Supply</t>
  </si>
  <si>
    <t>(1) Graywater and blackwater supply availability are estimated assuming a 10% treatment loss.</t>
  </si>
  <si>
    <t>Cooling Demand (gal/mth) from Step 2.</t>
  </si>
  <si>
    <t>Estimated Cooling Tower Discharge (gal/mth)</t>
  </si>
  <si>
    <t>(2) Default assumes cooling tower discharge as blackwater supply.</t>
  </si>
  <si>
    <r>
      <t xml:space="preserve">Treatment Recovery Rate </t>
    </r>
    <r>
      <rPr>
        <b/>
        <vertAlign val="superscript"/>
        <sz val="11"/>
        <color theme="0"/>
        <rFont val="Calibri"/>
        <family val="2"/>
        <scheme val="minor"/>
      </rPr>
      <t>(1)</t>
    </r>
    <r>
      <rPr>
        <b/>
        <sz val="11"/>
        <color theme="0"/>
        <rFont val="Calibri"/>
        <family val="2"/>
        <scheme val="minor"/>
      </rPr>
      <t xml:space="preserve"> (%)</t>
    </r>
  </si>
  <si>
    <t>&gt;&gt;&gt; Please proceed on to Step 4: Calculate Outdoor Water Demand</t>
  </si>
  <si>
    <t>&gt;&gt;&gt; Please proceed on to Step 5: Calculate Outdoor Water Supply</t>
  </si>
  <si>
    <t>TOTAL RAINWATER SUPPLY</t>
  </si>
  <si>
    <t>TOTAL STORMWATER SUPPLY</t>
  </si>
  <si>
    <t>Rainwater</t>
  </si>
  <si>
    <t>Stormwater</t>
  </si>
  <si>
    <t>&gt;&gt;&gt; Please proceed on to Step 6: Summary of Building Potential</t>
  </si>
  <si>
    <t>Landscaped Area</t>
  </si>
  <si>
    <t>Impervious Surfaces - Above Grade</t>
  </si>
  <si>
    <t>Impervious Surfaces - At or Below Grade</t>
  </si>
  <si>
    <t>Green Roof</t>
  </si>
  <si>
    <t>&lt;Please specify here&gt;</t>
  </si>
  <si>
    <t>Crop Coefficient - Kc</t>
  </si>
  <si>
    <t>Turfgrass</t>
  </si>
  <si>
    <r>
      <t>ft</t>
    </r>
    <r>
      <rPr>
        <vertAlign val="superscript"/>
        <sz val="11"/>
        <rFont val="Calibri"/>
        <family val="2"/>
        <scheme val="minor"/>
      </rPr>
      <t>2</t>
    </r>
  </si>
  <si>
    <r>
      <t xml:space="preserve"> K</t>
    </r>
    <r>
      <rPr>
        <i/>
        <vertAlign val="subscript"/>
        <sz val="11"/>
        <color theme="0" tint="-0.499984740745262"/>
        <rFont val="Calibri"/>
        <family val="2"/>
        <scheme val="minor"/>
      </rPr>
      <t>L</t>
    </r>
    <r>
      <rPr>
        <i/>
        <sz val="11"/>
        <color theme="0" tint="-0.499984740745262"/>
        <rFont val="Calibri"/>
        <family val="2"/>
        <scheme val="minor"/>
      </rPr>
      <t xml:space="preserve"> = k</t>
    </r>
    <r>
      <rPr>
        <i/>
        <vertAlign val="subscript"/>
        <sz val="11"/>
        <color theme="0" tint="-0.499984740745262"/>
        <rFont val="Calibri"/>
        <family val="2"/>
        <scheme val="minor"/>
      </rPr>
      <t>s</t>
    </r>
    <r>
      <rPr>
        <i/>
        <sz val="11"/>
        <color theme="0" tint="-0.499984740745262"/>
        <rFont val="Calibri"/>
        <family val="2"/>
        <scheme val="minor"/>
      </rPr>
      <t>*k</t>
    </r>
    <r>
      <rPr>
        <i/>
        <vertAlign val="subscript"/>
        <sz val="11"/>
        <color theme="0" tint="-0.499984740745262"/>
        <rFont val="Calibri"/>
        <family val="2"/>
        <scheme val="minor"/>
      </rPr>
      <t>d</t>
    </r>
    <r>
      <rPr>
        <i/>
        <sz val="11"/>
        <color theme="0" tint="-0.499984740745262"/>
        <rFont val="Calibri"/>
        <family val="2"/>
        <scheme val="minor"/>
      </rPr>
      <t>*k</t>
    </r>
    <r>
      <rPr>
        <i/>
        <vertAlign val="subscript"/>
        <sz val="11"/>
        <color theme="0" tint="-0.499984740745262"/>
        <rFont val="Calibri"/>
        <family val="2"/>
        <scheme val="minor"/>
      </rPr>
      <t>mc</t>
    </r>
  </si>
  <si>
    <r>
      <t>Crop Coefficient (K</t>
    </r>
    <r>
      <rPr>
        <u/>
        <vertAlign val="subscript"/>
        <sz val="11"/>
        <rFont val="Calibri"/>
        <family val="2"/>
        <scheme val="minor"/>
      </rPr>
      <t>C</t>
    </r>
    <r>
      <rPr>
        <u/>
        <sz val="11"/>
        <rFont val="Calibri"/>
        <family val="2"/>
        <scheme val="minor"/>
      </rPr>
      <t>):</t>
    </r>
  </si>
  <si>
    <r>
      <t>Landscape Coefficient (K</t>
    </r>
    <r>
      <rPr>
        <u/>
        <vertAlign val="subscript"/>
        <sz val="11"/>
        <rFont val="Calibri"/>
        <family val="2"/>
        <scheme val="minor"/>
      </rPr>
      <t>L</t>
    </r>
    <r>
      <rPr>
        <u/>
        <sz val="11"/>
        <rFont val="Calibri"/>
        <family val="2"/>
        <scheme val="minor"/>
      </rPr>
      <t>):</t>
    </r>
  </si>
  <si>
    <r>
      <t>Species Factor (k</t>
    </r>
    <r>
      <rPr>
        <u/>
        <vertAlign val="subscript"/>
        <sz val="11"/>
        <rFont val="Calibri"/>
        <family val="2"/>
        <scheme val="minor"/>
      </rPr>
      <t>s</t>
    </r>
    <r>
      <rPr>
        <u/>
        <sz val="11"/>
        <rFont val="Calibri"/>
        <family val="2"/>
        <scheme val="minor"/>
      </rPr>
      <t>):</t>
    </r>
  </si>
  <si>
    <r>
      <t>Density Factor (k</t>
    </r>
    <r>
      <rPr>
        <u/>
        <vertAlign val="subscript"/>
        <sz val="11"/>
        <rFont val="Calibri"/>
        <family val="2"/>
        <scheme val="minor"/>
      </rPr>
      <t>d</t>
    </r>
    <r>
      <rPr>
        <u/>
        <sz val="11"/>
        <rFont val="Calibri"/>
        <family val="2"/>
        <scheme val="minor"/>
      </rPr>
      <t>):</t>
    </r>
  </si>
  <si>
    <r>
      <t>Microclimate Factor (k</t>
    </r>
    <r>
      <rPr>
        <u/>
        <vertAlign val="subscript"/>
        <sz val="11"/>
        <rFont val="Calibri"/>
        <family val="2"/>
        <scheme val="minor"/>
      </rPr>
      <t>mc</t>
    </r>
    <r>
      <rPr>
        <u/>
        <sz val="11"/>
        <rFont val="Calibri"/>
        <family val="2"/>
        <scheme val="minor"/>
      </rPr>
      <t>):</t>
    </r>
  </si>
  <si>
    <t>Water loss from turfgrass or a crop.</t>
  </si>
  <si>
    <t>Water loss from landscape plantings based on species, density and microclimate factors.</t>
  </si>
  <si>
    <t>Used to account for differences in microclimate in every landscape. An "average" microclimate condition is equivalent to reference evapotranspiration conditions. This microclimate is not substantially affected by nearby buildings, structures, pavements, slopes or reflective surfaces.</t>
  </si>
  <si>
    <t>Used to account for differences in vegetation density among landscape plantings. Refer to Pg. 18 of the Guide to Estimating Water Needs of Landscape Plantings in CA on how to determine density factors.</t>
  </si>
  <si>
    <t>Used to account for differences in species' water needs. Refer to Pg. 12 of the Guide to Estimating Water Needs of Landscape Plantings in CA to determine species factors.</t>
  </si>
  <si>
    <t>The Guide to Estimating Water Needs of Landscape Plantings in CA</t>
  </si>
  <si>
    <t>Definitions - For more guidance, refer to:</t>
  </si>
  <si>
    <r>
      <t>Site Location (ET</t>
    </r>
    <r>
      <rPr>
        <b/>
        <vertAlign val="subscript"/>
        <sz val="11"/>
        <rFont val="Calibri"/>
        <family val="2"/>
        <scheme val="minor"/>
      </rPr>
      <t xml:space="preserve">0 </t>
    </r>
    <r>
      <rPr>
        <b/>
        <sz val="11"/>
        <rFont val="Calibri"/>
        <family val="2"/>
        <scheme val="minor"/>
      </rPr>
      <t>Zone)</t>
    </r>
  </si>
  <si>
    <t>(No user input needed - auto-calculated from inputs in Step 1)</t>
  </si>
  <si>
    <t>Roof Runoff Coefficient</t>
  </si>
  <si>
    <t>in/mth</t>
  </si>
  <si>
    <t>Days in Month</t>
  </si>
  <si>
    <r>
      <t>ft</t>
    </r>
    <r>
      <rPr>
        <i/>
        <vertAlign val="superscript"/>
        <sz val="12"/>
        <color theme="0" tint="-0.499984740745262"/>
        <rFont val="Calibri"/>
        <family val="2"/>
        <scheme val="minor"/>
      </rPr>
      <t>2</t>
    </r>
  </si>
  <si>
    <t>Runoff Coefficient</t>
  </si>
  <si>
    <t>Total Above Grade Capture Area</t>
  </si>
  <si>
    <t>Total At or Below Grade Capture Area</t>
  </si>
  <si>
    <t>Rainfall Capture Factor</t>
  </si>
  <si>
    <t>Total Rainwater Supply (with Rainfall Capture Factor Applied)</t>
  </si>
  <si>
    <t>Total Stormwater Supply (with Rainfall Capture Factor Applied)</t>
  </si>
  <si>
    <t>Domestic Fixtures</t>
  </si>
  <si>
    <t>Bathroom/Lavatory Faucets</t>
  </si>
  <si>
    <t>Toilets and Urinals</t>
  </si>
  <si>
    <t>Demand Types</t>
  </si>
  <si>
    <t>Indoor Uses - Commercial</t>
  </si>
  <si>
    <t>Indoor Uses - Multi-Family Residential</t>
  </si>
  <si>
    <t>Other Indoor Demands</t>
  </si>
  <si>
    <t>Ave Daily Water Demand (gpd)</t>
  </si>
  <si>
    <t>Annual Water Demand (gpy)</t>
  </si>
  <si>
    <t>Conventional Cooling</t>
  </si>
  <si>
    <t>Supply Types</t>
  </si>
  <si>
    <t>Kitchen Faucets</t>
  </si>
  <si>
    <t>Available Graywater (gpd)</t>
  </si>
  <si>
    <t>Available Blackwater (gpd)</t>
  </si>
  <si>
    <t>Available Foundation Drainage (gpd)</t>
  </si>
  <si>
    <t>Ave Daily Supply (gpd)</t>
  </si>
  <si>
    <t>Annual Supply (gpy)</t>
  </si>
  <si>
    <t>Will non-potable supplies be used to meet this demand?</t>
  </si>
  <si>
    <t>Select Yes/No</t>
  </si>
  <si>
    <t>Ave. Daily Non-Potable Demand (gpd)</t>
  </si>
  <si>
    <t>Annual Non-Potable Demand (gpy)</t>
  </si>
  <si>
    <t>Will this supply be reused onsite?</t>
  </si>
  <si>
    <t>Monthly Supply (gal/mth)</t>
  </si>
  <si>
    <t>Select "Yes" from the dropdown menu for the demands that are planned to be met with onsite supplies.</t>
  </si>
  <si>
    <t>OTHER INDOOR DEMANDS THAT CAN BE MET WITH NON-POTABLE SUPPLIES</t>
  </si>
  <si>
    <t>&gt;&gt;&gt; Please proceed on to Step 7: Project Definition</t>
  </si>
  <si>
    <t>Enter the site's proposed areas of impervious and landscaped surfaces.</t>
  </si>
  <si>
    <t>Note: Water from swimming pools, garden and greenhouse sinks, water softener backflush, and floor drains may not be suitable for irrigation.</t>
  </si>
  <si>
    <t>Available Graywater (gpy)</t>
  </si>
  <si>
    <t>Available Blackwater (gpy)</t>
  </si>
  <si>
    <t>Available Foundation Drainage (gpy)</t>
  </si>
  <si>
    <t>Irrigation</t>
  </si>
  <si>
    <t>Decorative Water Feature</t>
  </si>
  <si>
    <t>Average Monthly Demand (gal/mth)</t>
  </si>
  <si>
    <t>SUBTOTAL</t>
  </si>
  <si>
    <t>GRAND TOTAL</t>
  </si>
  <si>
    <t>DOMESTIC FIXTURES - Multi-Family Residential</t>
  </si>
  <si>
    <t>DOMESTIC FIXTURES  - Commercial</t>
  </si>
  <si>
    <t>HVAC/COOLING</t>
  </si>
  <si>
    <t>OUTDOOR DEMANDS</t>
  </si>
  <si>
    <t>Landscape Irrigation</t>
  </si>
  <si>
    <t>Demands that can be met with Non-Potable Supplies</t>
  </si>
  <si>
    <t>Outdoor Demands</t>
  </si>
  <si>
    <t>INDOOR SUBTOTAL</t>
  </si>
  <si>
    <t>OUTDOOR SUBTOTAL</t>
  </si>
  <si>
    <t>Cistern Size (gallons)</t>
  </si>
  <si>
    <t>Rain Event Captured (in)</t>
  </si>
  <si>
    <t>Storm Percentile</t>
  </si>
  <si>
    <t>Assumes cistern is empty at the beginning of September</t>
  </si>
  <si>
    <t>Ending Cistern</t>
  </si>
  <si>
    <t>Water Captured</t>
  </si>
  <si>
    <t>Water Reused</t>
  </si>
  <si>
    <t>Overflow</t>
  </si>
  <si>
    <t>Indoor</t>
  </si>
  <si>
    <t>Volume (gal)</t>
  </si>
  <si>
    <t>gal/mth</t>
  </si>
  <si>
    <t>Non-Potable Demand (gal/mth)</t>
  </si>
  <si>
    <t>(gal/mth)</t>
  </si>
  <si>
    <t>Ave. Rainfall</t>
  </si>
  <si>
    <t>Runoff to Cistern</t>
  </si>
  <si>
    <r>
      <t>Total Above Grade Area Draining to Cistern (ft</t>
    </r>
    <r>
      <rPr>
        <vertAlign val="superscript"/>
        <sz val="11"/>
        <rFont val="Calibri"/>
        <family val="2"/>
        <scheme val="minor"/>
      </rPr>
      <t>2</t>
    </r>
    <r>
      <rPr>
        <sz val="11"/>
        <rFont val="Calibri"/>
        <family val="2"/>
        <scheme val="minor"/>
      </rPr>
      <t>)</t>
    </r>
  </si>
  <si>
    <t>Annual Runoff Captured</t>
  </si>
  <si>
    <r>
      <t>ft</t>
    </r>
    <r>
      <rPr>
        <b/>
        <vertAlign val="superscript"/>
        <sz val="11"/>
        <color theme="0"/>
        <rFont val="Calibri"/>
        <family val="2"/>
        <scheme val="minor"/>
      </rPr>
      <t>3</t>
    </r>
    <r>
      <rPr>
        <b/>
        <sz val="11"/>
        <color theme="0"/>
        <rFont val="Calibri"/>
        <family val="2"/>
        <scheme val="minor"/>
      </rPr>
      <t>/mth</t>
    </r>
  </si>
  <si>
    <t>Net Available Volume</t>
  </si>
  <si>
    <r>
      <t>Total At or Below Grade Area Draining to Cistern (ft</t>
    </r>
    <r>
      <rPr>
        <vertAlign val="superscript"/>
        <sz val="11"/>
        <rFont val="Calibri"/>
        <family val="2"/>
        <scheme val="minor"/>
      </rPr>
      <t>2</t>
    </r>
    <r>
      <rPr>
        <sz val="11"/>
        <rFont val="Calibri"/>
        <family val="2"/>
        <scheme val="minor"/>
      </rPr>
      <t>)</t>
    </r>
  </si>
  <si>
    <t>Indicate Proposed Cistern Size (gallons)</t>
  </si>
  <si>
    <t xml:space="preserve">Select "Yes" from the dropdown menu for the supplies that are planned for onsite reuse. </t>
  </si>
  <si>
    <t>Select "Yes" in the table below if project plans to harvest rainwater or stormwater for reuse, and enter separate cistern sizes for rainwater and stormwater storage.</t>
  </si>
  <si>
    <t>Allowable Non-Potable Demand (gpy)</t>
  </si>
  <si>
    <t>Total Annual Toilet/Urinal Flushing Demand (gpy)</t>
  </si>
  <si>
    <t>Total Annual Irrigation Demand (gpy)</t>
  </si>
  <si>
    <t>Total Annual Graywater Supply (gpy)</t>
  </si>
  <si>
    <t>Total Annual Blackwater Supply (gpy)</t>
  </si>
  <si>
    <t>Total Annual Foundation Drainage Supply (gpy)</t>
  </si>
  <si>
    <t>Total Annual Rainwater Supply (gpy)</t>
  </si>
  <si>
    <t>Total Annual Stormwater Supply (gpy)</t>
  </si>
  <si>
    <t>Rainwater Cistern Capture Calculation</t>
  </si>
  <si>
    <t>Stormwater Cistern Capture Calculation</t>
  </si>
  <si>
    <t>COMPARISON OF NON-POTABLE DEMANDS TO SUPPLIES</t>
  </si>
  <si>
    <t>Type</t>
  </si>
  <si>
    <t>Supply</t>
  </si>
  <si>
    <t>Demand</t>
  </si>
  <si>
    <t>Toilet/Urinal Flushing</t>
  </si>
  <si>
    <t>% of Total Water Demand</t>
  </si>
  <si>
    <t>A. GENERAL INFORMATION</t>
  </si>
  <si>
    <t>B. BUILDING USE</t>
  </si>
  <si>
    <t>Provide a breakdown of project square footage based on the space types within the building. Projects  must utilize the default gross square footage (GSF) occupancy counts provided in Columns D and E in the table below. Where the provided space types are not applicable, please indicate the space type or types in your building and the associated occupancy counts. Gross Area (GSF) = Net Usable Area + Structural Space</t>
  </si>
  <si>
    <t>C. SITE COVERAGE</t>
  </si>
  <si>
    <t>D. SITE LOCATION</t>
  </si>
  <si>
    <t>Step 1 of 7: Enter Project Information</t>
  </si>
  <si>
    <t>Step 2 of 7: Calculate Indoor Water Demand (Indoor Fixtures and Fittings)</t>
  </si>
  <si>
    <r>
      <t xml:space="preserve">A. COMMERCIAL WATER DEMAND </t>
    </r>
    <r>
      <rPr>
        <sz val="12"/>
        <color theme="1"/>
        <rFont val="Calibri"/>
        <family val="2"/>
        <scheme val="minor"/>
      </rPr>
      <t>(No user input needed - auto-calculated from Step 1 inputs)</t>
    </r>
  </si>
  <si>
    <r>
      <t xml:space="preserve">B. MULTI-FAMILY RESIDENTIAL WATER DEMAND </t>
    </r>
    <r>
      <rPr>
        <sz val="12"/>
        <color theme="1"/>
        <rFont val="Calibri"/>
        <family val="2"/>
        <scheme val="minor"/>
      </rPr>
      <t xml:space="preserve"> (No user input needed - auto-calculated from Step 1 inputs)</t>
    </r>
  </si>
  <si>
    <r>
      <t xml:space="preserve">C. HVAC/COOLING DEMAND </t>
    </r>
    <r>
      <rPr>
        <sz val="12"/>
        <color theme="1"/>
        <rFont val="Calibri"/>
        <family val="2"/>
        <scheme val="minor"/>
      </rPr>
      <t>(No user input needed, average cooling demand is auto-calculated from building gross square footage area provided in Step 1)</t>
    </r>
  </si>
  <si>
    <t>D. OTHER INDOOR DEMANDS THAT CAN BE MET WITH NON-POTABLE SUPPLIES</t>
  </si>
  <si>
    <t>Step 3 of 7: Calculate Indoor Non-Potable Supply (Graywater, Blackwater, Foundation Drainage)</t>
  </si>
  <si>
    <r>
      <t xml:space="preserve">Annual indoor water supply is calculated based on supply from collection of graywater, blackwater collection and other sources including foundation drainage. </t>
    </r>
    <r>
      <rPr>
        <b/>
        <sz val="11"/>
        <color rgb="FFFF0000"/>
        <rFont val="Calibri"/>
        <family val="2"/>
        <scheme val="minor"/>
      </rPr>
      <t>User input is required in Section D at the end of this page.</t>
    </r>
  </si>
  <si>
    <r>
      <t>A. COMMERCIAL</t>
    </r>
    <r>
      <rPr>
        <sz val="12"/>
        <color theme="1"/>
        <rFont val="Calibri"/>
        <family val="2"/>
        <scheme val="minor"/>
      </rPr>
      <t xml:space="preserve"> (No user input needed - auto-calculated from Step 2)</t>
    </r>
  </si>
  <si>
    <r>
      <t xml:space="preserve">B. MULTI-FAMILY RESIDENTIAL </t>
    </r>
    <r>
      <rPr>
        <sz val="12"/>
        <color theme="1"/>
        <rFont val="Calibri"/>
        <family val="2"/>
        <scheme val="minor"/>
      </rPr>
      <t>(No user input needed - auto-calculated from Step 2)</t>
    </r>
  </si>
  <si>
    <r>
      <t xml:space="preserve">C. COOLING TOWER DISCHARGE </t>
    </r>
    <r>
      <rPr>
        <sz val="12"/>
        <color theme="1"/>
        <rFont val="Calibri"/>
        <family val="2"/>
        <scheme val="minor"/>
      </rPr>
      <t>(No user input needed - auto-calculated from Step 2)</t>
    </r>
  </si>
  <si>
    <t>D. OTHER SUPPLIES</t>
  </si>
  <si>
    <t>Step 4 of 7: Calculate Outdoor Water Demand (Landscape Irrigation, Outdoor Water Features)</t>
  </si>
  <si>
    <t xml:space="preserve">A. LANDSCAPE IRRIGATION DEMAND </t>
  </si>
  <si>
    <t>B. OTHER OUTDOOR DEMANDS THAT CAN BE MET WITH NON-POTABLE SUPPLIES</t>
  </si>
  <si>
    <r>
      <t>C. COMPLIANCE WITH STATE'S MAXIMUM APPLIED WATER ALLOWANCE - for projects that include 1,000 ft</t>
    </r>
    <r>
      <rPr>
        <b/>
        <vertAlign val="superscript"/>
        <sz val="12"/>
        <rFont val="Calibri"/>
        <family val="2"/>
        <scheme val="minor"/>
      </rPr>
      <t>2</t>
    </r>
    <r>
      <rPr>
        <b/>
        <sz val="12"/>
        <rFont val="Calibri"/>
        <family val="2"/>
        <scheme val="minor"/>
      </rPr>
      <t xml:space="preserve"> or more of new or modified landscape</t>
    </r>
  </si>
  <si>
    <r>
      <t xml:space="preserve">Annual outdoor water demand is calculated based on landscape irrigation demand and demand associated with other outdoor features such as decorative fountains. </t>
    </r>
    <r>
      <rPr>
        <b/>
        <sz val="11"/>
        <color rgb="FFFF0000"/>
        <rFont val="Calibri"/>
        <family val="2"/>
        <scheme val="minor"/>
      </rPr>
      <t xml:space="preserve">User input is required in Sections A and B. </t>
    </r>
    <r>
      <rPr>
        <sz val="11"/>
        <rFont val="Calibri"/>
        <family val="2"/>
        <scheme val="minor"/>
      </rPr>
      <t>This step also includes information on compliance with the City's landscape irrigation ordinance in Section C.</t>
    </r>
  </si>
  <si>
    <t>Please specify other non-potable demands associated with outdoor water use below.</t>
  </si>
  <si>
    <t>A. RAINWATER SUPPLY (Runoff harvested above grade, e.g. rooftops)</t>
  </si>
  <si>
    <t>B. STORMWATER SUPPLY (Runoff harvested at or below grade, e.g. paved plazas, sidewalks or roads)</t>
  </si>
  <si>
    <r>
      <t xml:space="preserve">Annual outdoor water supply is calculated based on the amount of rainwater and/or stormwater captured. </t>
    </r>
    <r>
      <rPr>
        <b/>
        <sz val="11"/>
        <color rgb="FFFF0000"/>
        <rFont val="Calibri"/>
        <family val="2"/>
        <scheme val="minor"/>
      </rPr>
      <t>User input is required in Sections A and B.</t>
    </r>
  </si>
  <si>
    <t>Step 5 of 7: Calculate Outdoor Water Supply (Rainwater and Stormwater Harvesting)</t>
  </si>
  <si>
    <t>Step 6 of 7: Summary of Building Potential</t>
  </si>
  <si>
    <r>
      <t xml:space="preserve">A. TOTAL DEMAND </t>
    </r>
    <r>
      <rPr>
        <sz val="12"/>
        <rFont val="Calibri"/>
        <family val="2"/>
        <scheme val="minor"/>
      </rPr>
      <t>(No user input needed - auto-calculated)</t>
    </r>
  </si>
  <si>
    <r>
      <t>TOTAL ONSITE SUPPLIES</t>
    </r>
    <r>
      <rPr>
        <sz val="12"/>
        <rFont val="Calibri"/>
        <family val="2"/>
        <scheme val="minor"/>
      </rPr>
      <t xml:space="preserve"> (No user input needed - auto-calculated)</t>
    </r>
  </si>
  <si>
    <t>Step 7 of 7: Define Project Non-Potable Demands and Supplies</t>
  </si>
  <si>
    <r>
      <t xml:space="preserve">Project non-potable demands are defined and the types of supplies used to meet these demands are identified. </t>
    </r>
    <r>
      <rPr>
        <b/>
        <sz val="11"/>
        <color rgb="FFFF0000"/>
        <rFont val="Calibri"/>
        <family val="2"/>
        <scheme val="minor"/>
      </rPr>
      <t>User input is requred in Sections A and B.</t>
    </r>
  </si>
  <si>
    <t>A. DEFINITION OF NON-POTABLE DEMANDS</t>
  </si>
  <si>
    <t>B. DEFINITION OF ONSITE SUPPLIES TO BE USED</t>
  </si>
  <si>
    <t>Detailed cistern capture calculations are located in the "Rainwater" and "Stormwater" backup data tabs for reference.</t>
  </si>
  <si>
    <r>
      <t>An accounting of total demand and onsite supplies for the project are summarized below.</t>
    </r>
    <r>
      <rPr>
        <b/>
        <sz val="11"/>
        <color rgb="FFFF0000"/>
        <rFont val="Calibri"/>
        <family val="2"/>
        <scheme val="minor"/>
      </rPr>
      <t xml:space="preserve"> 
No user input is needed for this step.</t>
    </r>
  </si>
  <si>
    <r>
      <t xml:space="preserve">Annual indoor water demand is calculated based on water demand from domestic fixtures and fittings, using assumed usage rates based on the building uses and occupancy profiles entered in Step 1. 
</t>
    </r>
    <r>
      <rPr>
        <b/>
        <sz val="11"/>
        <color rgb="FFFF0000"/>
        <rFont val="Calibri"/>
        <family val="2"/>
        <scheme val="minor"/>
      </rPr>
      <t>User input is required in Section D at the end of this page.</t>
    </r>
  </si>
  <si>
    <t>&gt;&gt;&gt; End of Analysis</t>
  </si>
  <si>
    <t>Worksheet No.</t>
  </si>
  <si>
    <t>CALCULATOR LAYOUT</t>
  </si>
  <si>
    <t>Enter Project Information</t>
  </si>
  <si>
    <t>Calculate Indoor Water Demand (Indoor Fixtures and Fittings)</t>
  </si>
  <si>
    <t>Calculate Indoor Non-Potable Supply (Graywater, Blackwater, Foundation Drainage)</t>
  </si>
  <si>
    <t>Calculate Outdoor Water Demand (Landscape Irrigation, Outdoor Water Features)</t>
  </si>
  <si>
    <t>Calculate Outdoor Water Supply (Rainwater and Stormwater Harvesting)</t>
  </si>
  <si>
    <t>Summary of Building Potential</t>
  </si>
  <si>
    <t>Define Project Non-Potable Demands and Supplies</t>
  </si>
  <si>
    <t>Calculator Backup Data</t>
  </si>
  <si>
    <t>1. Use the tabs at the bottom of the pages to navigate from step to step.</t>
  </si>
  <si>
    <t>4. Results of the project analysis are shown on Steps 6 and 7.</t>
  </si>
  <si>
    <t>HOW TO USE THE CALCULATOR TOOL</t>
  </si>
  <si>
    <t>PURPOSE OF THE CALCULATOR TOOL</t>
  </si>
  <si>
    <t xml:space="preserve">The SFPUC has developed this tool to estimate a building's onsite: </t>
  </si>
  <si>
    <t>A) Non-potable water demands</t>
  </si>
  <si>
    <t>B) Onsite supplies that can be generated through collection and reuse of rainwater, stormwater, graywater, blackwater, and/or foundation drainage</t>
  </si>
  <si>
    <t>This calculator may also be applied in other building uses not listed above; however buildings with unique water use profiles (e.g. significantly high water demands or specific water quality requirements for end uses) should conduct an independent water accounting analysis.</t>
  </si>
  <si>
    <t>Note that this calculator is meant for water budget accounting purposes only and should not be used as a design or optimization tool.</t>
  </si>
  <si>
    <t>2. DO NOT SKIP STEPS.</t>
  </si>
  <si>
    <t>3. Worksheets requiring user input have instructions highlighted in red at the top of each page and before each section.</t>
  </si>
  <si>
    <t>5. Backup data used in the calculations are located after the "Calculator Backup" tab for reference.</t>
  </si>
  <si>
    <t>CALCULATOR USE ASSUMPTIONS</t>
  </si>
  <si>
    <t>1. It is assumed that the main users of this calculator will be designated project team members (e.g. project engineer or manager) and SFPUC review staff with basic knowledge of Microsoft Excel.</t>
  </si>
  <si>
    <t>3. The estimated level of effort for a user to enter information in this calculator is approximately 4 to 6 hours, depending on the complexity of the project. Note that this estimate does not include the time taken to consolidate relevant building information, or conduct external analysis of other specified demands or supplies not included in the default calculations provided in the calculator.</t>
  </si>
  <si>
    <t>Introduction to the Non-Potable Water Calculator</t>
  </si>
  <si>
    <r>
      <t xml:space="preserve">This calculator is designed primarily for the following new building types which make up the majority of projected future development in the San Francisco Planning Department's Pipeline Report:
</t>
    </r>
    <r>
      <rPr>
        <sz val="12"/>
        <rFont val="Calibri"/>
        <family val="2"/>
      </rPr>
      <t>● Multi-family residential
● Mixed Use (e.g. residential uses and multiple commercial uses are present within a building)
● Typical urban commercial uses (e.g. office, retail, services, restaurants and hotels)</t>
    </r>
  </si>
  <si>
    <t>2. The level of detail required for building information inputs into the calculator assumes that the project is at a schematic or design development phase.</t>
  </si>
  <si>
    <t>&gt;&gt;&gt; Click on the next tab "1. Building Information" to begin</t>
  </si>
  <si>
    <t>Project Summary Sheet</t>
  </si>
  <si>
    <t>Project Address:</t>
  </si>
  <si>
    <t>Assessor's Block &amp; Lot No. / APN:</t>
  </si>
  <si>
    <t>Building Type:</t>
  </si>
  <si>
    <t>Total Building Size (gross square footage or GSF):</t>
  </si>
  <si>
    <t>Number of Residential Units:</t>
  </si>
  <si>
    <t>Impervious Surface Above Grade:</t>
  </si>
  <si>
    <t>Landscaped Area:</t>
  </si>
  <si>
    <t>Impervious Surface Below Grade:</t>
  </si>
  <si>
    <r>
      <t>Total Lot Size (ft</t>
    </r>
    <r>
      <rPr>
        <i/>
        <vertAlign val="superscript"/>
        <sz val="10"/>
        <rFont val="Arial"/>
        <family val="2"/>
      </rPr>
      <t>2</t>
    </r>
    <r>
      <rPr>
        <i/>
        <sz val="10"/>
        <rFont val="Arial"/>
        <family val="2"/>
      </rPr>
      <t>):</t>
    </r>
  </si>
  <si>
    <t>Site Location (Zone):</t>
  </si>
  <si>
    <t>Alternate Water Sources Estimates</t>
  </si>
  <si>
    <t>On-site Alternate Water Source Supplies</t>
  </si>
  <si>
    <t>Water Quantity
(gpy)</t>
  </si>
  <si>
    <t>Rainwater:</t>
  </si>
  <si>
    <t>Stormwater:</t>
  </si>
  <si>
    <t>Graywater:</t>
  </si>
  <si>
    <t>Foundation Drainage:</t>
  </si>
  <si>
    <t>update</t>
  </si>
  <si>
    <t>residential units</t>
  </si>
  <si>
    <t>Notes</t>
  </si>
  <si>
    <t>Update Links</t>
  </si>
  <si>
    <t>Toilets/Urinals:</t>
  </si>
  <si>
    <t>Cooling Tower:</t>
  </si>
  <si>
    <t>Water Quantity (gpy)</t>
  </si>
  <si>
    <t>Decorative Fountains:</t>
  </si>
  <si>
    <t>On-Site Non-potable Application Demands</t>
  </si>
  <si>
    <t>Make-up Water Requirements</t>
  </si>
  <si>
    <t>Make-up Water Required (gal)</t>
  </si>
  <si>
    <t xml:space="preserve">January </t>
  </si>
  <si>
    <t>Blackwater:</t>
  </si>
  <si>
    <t>Available Unused On-Site Supply</t>
  </si>
  <si>
    <r>
      <t>TOTAL</t>
    </r>
    <r>
      <rPr>
        <b/>
        <i/>
        <vertAlign val="superscript"/>
        <sz val="10"/>
        <rFont val="Arial"/>
        <family val="2"/>
      </rPr>
      <t>1</t>
    </r>
    <r>
      <rPr>
        <b/>
        <i/>
        <sz val="10"/>
        <rFont val="Arial"/>
        <family val="2"/>
      </rPr>
      <t>:</t>
    </r>
  </si>
  <si>
    <r>
      <rPr>
        <i/>
        <vertAlign val="superscript"/>
        <sz val="10"/>
        <rFont val="Arial"/>
        <family val="2"/>
      </rPr>
      <t>1</t>
    </r>
    <r>
      <rPr>
        <i/>
        <sz val="10"/>
        <rFont val="Arial"/>
        <family val="2"/>
      </rPr>
      <t xml:space="preserve"> If there are other sources not listed in the Sources Estimates table, those sources need to be manually included in this summary or other document</t>
    </r>
  </si>
  <si>
    <t>Non-Potable Applications Estimates</t>
  </si>
  <si>
    <t>Compliant with State's Maximum Applied Water Allowance?</t>
  </si>
  <si>
    <t>Quantity (gpy)</t>
  </si>
  <si>
    <t>source</t>
  </si>
  <si>
    <t>1. Project Location and Contact Information</t>
  </si>
  <si>
    <t>4. Additional Site Information</t>
  </si>
  <si>
    <t>Demands Met by Non-Potable Supply for Project</t>
  </si>
  <si>
    <t>Comparison of Supplies to Demands</t>
  </si>
  <si>
    <t>&lt;-- Name of Project</t>
  </si>
  <si>
    <t>&lt;--Address of Project</t>
  </si>
  <si>
    <t>&lt;--4-digit assessor block + 3-digit assessor's lot number</t>
  </si>
  <si>
    <t>&lt;--Name</t>
  </si>
  <si>
    <t>&lt;--Contact No.</t>
  </si>
  <si>
    <t>&lt;--E-mail Address</t>
  </si>
  <si>
    <t>&lt;--Enter the total daily demand in gallons per day for all indoor decorative water features in the building</t>
  </si>
  <si>
    <t>&lt;--Enter the number of days in a year the decorative water features will be operational</t>
  </si>
  <si>
    <t>&lt;--Typical water use is 17 gals/wash load</t>
  </si>
  <si>
    <t>&lt;--Enter estimated number of loads per day</t>
  </si>
  <si>
    <t>&lt;--Enter estimated number of days in a year that laundry facilties will be used</t>
  </si>
  <si>
    <t>&lt;--Enter estimated daily demand associated with use</t>
  </si>
  <si>
    <t>&lt;--Enter the number of days the demand will be applicable within a year</t>
  </si>
  <si>
    <t>&lt;--Total area of lot/parcel</t>
  </si>
  <si>
    <t>&lt;--Total gross square footage of building</t>
  </si>
  <si>
    <t>&lt;--No. of days the building is operational (typically 365 days for residential, 250-260 days for 5-day work week facilities)</t>
  </si>
  <si>
    <t>&lt;--Select from dropdown menu - see definitions in Table 1</t>
  </si>
  <si>
    <t xml:space="preserve">&lt;--Enter the number of residential units in the project. </t>
  </si>
  <si>
    <t>&lt;--Select from dropdown menu whether the site is located in western or eastern San Francisco.</t>
  </si>
  <si>
    <t>&lt;--Enter information here</t>
  </si>
  <si>
    <t xml:space="preserve">This is the maximum amount of water per year allowed for landscape irrigation for this project. </t>
  </si>
  <si>
    <t>Note: Landscape areas irrigated with nonpotable supplies may have a MAWA that exceeds those for landscapes irrigated with potable water by 20%</t>
  </si>
  <si>
    <t>2. Building Information Summary</t>
  </si>
  <si>
    <t>3. Summary of Nonpotable Demands and Supplies for the Project</t>
  </si>
  <si>
    <t>Make-Up Water (gpy)</t>
  </si>
  <si>
    <t>Project Potential Non-Potable Demand (gpy)</t>
  </si>
  <si>
    <t>Project Total Annual Water Demand (gpy)</t>
  </si>
  <si>
    <t>Non-Potable Demands Proposed for Project (gpy)</t>
  </si>
  <si>
    <t>% of project's Nonpotable Demand being met by Onsite Supplies</t>
  </si>
  <si>
    <r>
      <t xml:space="preserve">This page includes general project information, building use description, site coverage and project location. 
Please fill in all user input fields in Sections A, B, C and D of this page before proceeding to the next page. 
Instructions for user input for each section are noted below in </t>
    </r>
    <r>
      <rPr>
        <b/>
        <i/>
        <sz val="11"/>
        <color rgb="FFFF0000"/>
        <rFont val="Calibri"/>
        <family val="2"/>
        <scheme val="minor"/>
      </rPr>
      <t>red italics</t>
    </r>
    <r>
      <rPr>
        <sz val="11"/>
        <rFont val="Calibri"/>
        <family val="2"/>
        <scheme val="minor"/>
      </rPr>
      <t>.</t>
    </r>
  </si>
  <si>
    <t>&lt;--Other areas may include roof decks, balconies that are above ground level.</t>
  </si>
  <si>
    <t>&lt;--Other areas may include paved roads or right-of-way, etc.</t>
  </si>
  <si>
    <t>&lt;--Enter turfgrass information here</t>
  </si>
  <si>
    <t>&lt;--Enter landscaped area information here</t>
  </si>
  <si>
    <t>&lt;--Enter green roof information here</t>
  </si>
  <si>
    <t>&lt;--Enter information for swimming pool water here</t>
  </si>
  <si>
    <t>&lt;--Enter information for foundation drainage here</t>
  </si>
  <si>
    <t>&lt;--Enter information for other supplies here</t>
  </si>
  <si>
    <t>Default irrigation factors are provided in the cells below; refine default values as appropriate</t>
  </si>
  <si>
    <r>
      <rPr>
        <i/>
        <sz val="11"/>
        <color rgb="FFFF0000"/>
        <rFont val="Calibri"/>
        <family val="2"/>
        <scheme val="minor"/>
      </rPr>
      <t>[Refine as appropriate]</t>
    </r>
    <r>
      <rPr>
        <i/>
        <sz val="11"/>
        <color theme="0" tint="-0.499984740745262"/>
        <rFont val="Calibri"/>
        <family val="2"/>
        <scheme val="minor"/>
      </rPr>
      <t xml:space="preserve"> Cool season grasses = 0.8, Warm season grasses = 0.6</t>
    </r>
  </si>
  <si>
    <r>
      <t xml:space="preserve"> </t>
    </r>
    <r>
      <rPr>
        <i/>
        <sz val="11"/>
        <color rgb="FFFF0000"/>
        <rFont val="Calibri"/>
        <family val="2"/>
        <scheme val="minor"/>
      </rPr>
      <t xml:space="preserve">[Refine as appropriate] </t>
    </r>
    <r>
      <rPr>
        <i/>
        <sz val="11"/>
        <color theme="0" tint="-0.499984740745262"/>
        <rFont val="Calibri"/>
        <family val="2"/>
        <scheme val="minor"/>
      </rPr>
      <t>&lt;0.1 for very low, 0.1-0.3 for low, 0.4-0.6 for medium, 0.7-0.9 for high</t>
    </r>
  </si>
  <si>
    <r>
      <rPr>
        <i/>
        <sz val="11"/>
        <color rgb="FFFF0000"/>
        <rFont val="Calibri"/>
        <family val="2"/>
        <scheme val="minor"/>
      </rPr>
      <t xml:space="preserve"> [Refine as appropriate]</t>
    </r>
    <r>
      <rPr>
        <i/>
        <sz val="11"/>
        <color theme="0" tint="-0.499984740745262"/>
        <rFont val="Calibri"/>
        <family val="2"/>
        <scheme val="minor"/>
      </rPr>
      <t xml:space="preserve"> 0.5-0.9 for low, 1 for average, 1.1-1.3 for high. </t>
    </r>
  </si>
  <si>
    <r>
      <rPr>
        <i/>
        <sz val="11"/>
        <color rgb="FFFF0000"/>
        <rFont val="Calibri"/>
        <family val="2"/>
        <scheme val="minor"/>
      </rPr>
      <t xml:space="preserve"> [Refine as appropriate] </t>
    </r>
    <r>
      <rPr>
        <i/>
        <sz val="11"/>
        <color theme="0" tint="-0.499984740745262"/>
        <rFont val="Calibri"/>
        <family val="2"/>
        <scheme val="minor"/>
      </rPr>
      <t xml:space="preserve">0.5-0.9 for low, 1 for average, 1.1-1.4 for high. </t>
    </r>
  </si>
  <si>
    <r>
      <rPr>
        <i/>
        <sz val="11"/>
        <color rgb="FFFF0000"/>
        <rFont val="Calibri"/>
        <family val="2"/>
        <scheme val="minor"/>
      </rPr>
      <t xml:space="preserve"> [Refine as appropriate] </t>
    </r>
    <r>
      <rPr>
        <i/>
        <sz val="11"/>
        <color theme="0" tint="-0.499984740745262"/>
        <rFont val="Calibri"/>
        <family val="2"/>
        <scheme val="minor"/>
      </rPr>
      <t xml:space="preserve">&lt;0.1 for very low, 0.1-0.3 for low, 0.4-0.6 for medium, 0.7-0.9 for high. </t>
    </r>
  </si>
  <si>
    <r>
      <rPr>
        <i/>
        <sz val="11"/>
        <color rgb="FFFF0000"/>
        <rFont val="Calibri"/>
        <family val="2"/>
        <scheme val="minor"/>
      </rPr>
      <t xml:space="preserve"> [Refine as appropriate]</t>
    </r>
    <r>
      <rPr>
        <i/>
        <sz val="11"/>
        <color theme="0" tint="-0.499984740745262"/>
        <rFont val="Calibri"/>
        <family val="2"/>
        <scheme val="minor"/>
      </rPr>
      <t xml:space="preserve"> 0.5-0.9 for low, 1 for average, 1.1-1.4 for high. </t>
    </r>
  </si>
  <si>
    <r>
      <rPr>
        <i/>
        <sz val="11"/>
        <color rgb="FFFF0000"/>
        <rFont val="Calibri"/>
        <family val="2"/>
        <scheme val="minor"/>
      </rPr>
      <t xml:space="preserve"> [Refine as appropriate]</t>
    </r>
    <r>
      <rPr>
        <i/>
        <sz val="11"/>
        <color theme="0" tint="-0.499984740745262"/>
        <rFont val="Calibri"/>
        <family val="2"/>
        <scheme val="minor"/>
      </rPr>
      <t xml:space="preserve"> &lt;0.1 for very low, 0.1-0.3 for low, 0.4-0.6 for medium, 0.7-0.9 for high. </t>
    </r>
  </si>
  <si>
    <r>
      <rPr>
        <i/>
        <sz val="11"/>
        <color rgb="FFFF0000"/>
        <rFont val="Calibri"/>
        <family val="2"/>
        <scheme val="minor"/>
      </rPr>
      <t xml:space="preserve"> [Refine as appropriate] </t>
    </r>
    <r>
      <rPr>
        <i/>
        <sz val="11"/>
        <color theme="0" tint="-0.499984740745262"/>
        <rFont val="Calibri"/>
        <family val="2"/>
        <scheme val="minor"/>
      </rPr>
      <t xml:space="preserve">0.5-0.9 for low, 1 for average, 1.1-1.3 for high. </t>
    </r>
  </si>
  <si>
    <r>
      <rPr>
        <i/>
        <sz val="11"/>
        <color rgb="FFFF0000"/>
        <rFont val="Calibri"/>
        <family val="2"/>
        <scheme val="minor"/>
      </rPr>
      <t>[Refine as appropriate]</t>
    </r>
    <r>
      <rPr>
        <i/>
        <sz val="11"/>
        <color theme="0" tint="-0.499984740745262"/>
        <rFont val="Calibri"/>
        <family val="2"/>
        <scheme val="minor"/>
      </rPr>
      <t xml:space="preserve">  0.5-0.9 for low, 1 for average, 1.1-1.4 for high. </t>
    </r>
  </si>
  <si>
    <r>
      <rPr>
        <i/>
        <sz val="11"/>
        <color rgb="FFFF0000"/>
        <rFont val="Calibri"/>
        <family val="2"/>
        <scheme val="minor"/>
      </rPr>
      <t xml:space="preserve">[Refine as appropriate] </t>
    </r>
    <r>
      <rPr>
        <i/>
        <sz val="11"/>
        <color theme="0" tint="-0.499984740745262"/>
        <rFont val="Calibri"/>
        <family val="2"/>
        <scheme val="minor"/>
      </rPr>
      <t xml:space="preserve"> Estimated efficiencies are 0.70 to 0.85 for spray, 0.9 for drip, 0.95 for subsurface drip. </t>
    </r>
  </si>
  <si>
    <t>Default Rainwater Supply coefficients are entered below; refine default coefficients as appropriate</t>
  </si>
  <si>
    <r>
      <rPr>
        <i/>
        <sz val="12"/>
        <color rgb="FFFF0000"/>
        <rFont val="Calibri"/>
        <family val="2"/>
        <scheme val="minor"/>
      </rPr>
      <t xml:space="preserve">[Refine as appropriate] </t>
    </r>
    <r>
      <rPr>
        <i/>
        <sz val="12"/>
        <color theme="0" tint="-0.499984740745262"/>
        <rFont val="Calibri"/>
        <family val="2"/>
        <scheme val="minor"/>
      </rPr>
      <t>Conventional roof runoff coefficient = 0.85</t>
    </r>
  </si>
  <si>
    <t>[Refine as appropriate]</t>
  </si>
  <si>
    <t>Default Stormwater Supply coefficients are entered below; refine default coefficients as appropriate</t>
  </si>
  <si>
    <r>
      <rPr>
        <i/>
        <sz val="12"/>
        <color rgb="FFFF0000"/>
        <rFont val="Calibri"/>
        <family val="2"/>
        <scheme val="minor"/>
      </rPr>
      <t>[Refine as appropriate]</t>
    </r>
    <r>
      <rPr>
        <i/>
        <sz val="12"/>
        <color theme="0" tint="-0.499984740745262"/>
        <rFont val="Calibri"/>
        <family val="2"/>
        <scheme val="minor"/>
      </rPr>
      <t xml:space="preserve"> Typical impervious surface runoff coefficient = 0.90</t>
    </r>
  </si>
  <si>
    <t>The table below is an accounting of the total potential onsite supply available; the values do not represent the final supplies that will be used for the project</t>
  </si>
  <si>
    <r>
      <rPr>
        <b/>
        <sz val="11"/>
        <color rgb="FFFF0000"/>
        <rFont val="Calibri"/>
        <family val="2"/>
        <scheme val="minor"/>
      </rPr>
      <t>Red font</t>
    </r>
    <r>
      <rPr>
        <sz val="11"/>
        <rFont val="Calibri"/>
        <family val="2"/>
        <scheme val="minor"/>
      </rPr>
      <t xml:space="preserve"> below in </t>
    </r>
    <r>
      <rPr>
        <b/>
        <sz val="11"/>
        <rFont val="Calibri"/>
        <family val="2"/>
        <scheme val="minor"/>
      </rPr>
      <t>Domestic Fixtures</t>
    </r>
    <r>
      <rPr>
        <sz val="11"/>
        <rFont val="Calibri"/>
        <family val="2"/>
        <scheme val="minor"/>
      </rPr>
      <t xml:space="preserve"> sections indicates supplies that will be used towards non-potable demands</t>
    </r>
  </si>
  <si>
    <r>
      <t xml:space="preserve">If </t>
    </r>
    <r>
      <rPr>
        <b/>
        <sz val="11"/>
        <color rgb="FFFF0000"/>
        <rFont val="Calibri"/>
        <family val="2"/>
        <scheme val="minor"/>
      </rPr>
      <t>Blackwater</t>
    </r>
    <r>
      <rPr>
        <sz val="11"/>
        <color rgb="FFFF0000"/>
        <rFont val="Calibri"/>
        <family val="2"/>
        <scheme val="minor"/>
      </rPr>
      <t xml:space="preserve"> (composed of graywater and blackwater) is a potential on-site supply, select "Yes" for both </t>
    </r>
    <r>
      <rPr>
        <b/>
        <sz val="11"/>
        <color rgb="FFFF0000"/>
        <rFont val="Calibri"/>
        <family val="2"/>
        <scheme val="minor"/>
      </rPr>
      <t xml:space="preserve">Graywater </t>
    </r>
    <r>
      <rPr>
        <sz val="11"/>
        <color rgb="FFFF0000"/>
        <rFont val="Calibri"/>
        <family val="2"/>
        <scheme val="minor"/>
      </rPr>
      <t xml:space="preserve">and </t>
    </r>
    <r>
      <rPr>
        <b/>
        <sz val="11"/>
        <color rgb="FFFF0000"/>
        <rFont val="Calibri"/>
        <family val="2"/>
        <scheme val="minor"/>
      </rPr>
      <t>Blackwater</t>
    </r>
    <r>
      <rPr>
        <sz val="11"/>
        <color rgb="FFFF0000"/>
        <rFont val="Calibri"/>
        <family val="2"/>
        <scheme val="minor"/>
      </rPr>
      <t xml:space="preserve"> supplies </t>
    </r>
  </si>
  <si>
    <t>Selected Supply By Month</t>
  </si>
  <si>
    <t>Selected Demand By Month</t>
  </si>
  <si>
    <t>Total Potential Non-Potable Demand</t>
  </si>
  <si>
    <t>% of Project's Total Water Demand Being Offset with On-Site Supplies</t>
  </si>
  <si>
    <t>Make-Up Water (Difference between Potential Non-Potable Demand and Selected Non-Potable Demand)</t>
  </si>
  <si>
    <t>Make-up water is constituted of the difference between selected Non-Potable Demands proposed for the project and Total Potential Non-Potable Demands</t>
  </si>
  <si>
    <t>Irrigation:</t>
  </si>
  <si>
    <r>
      <t>Total</t>
    </r>
    <r>
      <rPr>
        <b/>
        <i/>
        <sz val="10"/>
        <rFont val="Arial"/>
        <family val="2"/>
      </rPr>
      <t>:</t>
    </r>
  </si>
  <si>
    <r>
      <t>Duration</t>
    </r>
    <r>
      <rPr>
        <b/>
        <vertAlign val="superscript"/>
        <sz val="11"/>
        <color theme="0"/>
        <rFont val="Calibri"/>
        <family val="2"/>
        <scheme val="minor"/>
      </rPr>
      <t>(7)</t>
    </r>
  </si>
  <si>
    <t>(7) Hotel property developers may need to manually increase the default values of Duration and Average Daily Use for showerheads to account for transients (hotel guests).</t>
  </si>
  <si>
    <r>
      <t xml:space="preserve">Ave Daily Use (Transient) </t>
    </r>
    <r>
      <rPr>
        <b/>
        <vertAlign val="superscript"/>
        <sz val="11"/>
        <color theme="0"/>
        <rFont val="Calibri"/>
        <family val="2"/>
        <scheme val="minor"/>
      </rPr>
      <t>(6)(7)</t>
    </r>
  </si>
  <si>
    <r>
      <t xml:space="preserve">Ave Daily Use </t>
    </r>
    <r>
      <rPr>
        <b/>
        <vertAlign val="superscript"/>
        <sz val="11"/>
        <color theme="0"/>
        <rFont val="Calibri"/>
        <family val="2"/>
        <scheme val="minor"/>
      </rPr>
      <t>(7)</t>
    </r>
  </si>
  <si>
    <t>(8) Ave. Daily Use value from  2011 SFPUC Water Demand Conservation Model.</t>
  </si>
  <si>
    <r>
      <t xml:space="preserve">Showerhead </t>
    </r>
    <r>
      <rPr>
        <vertAlign val="superscript"/>
        <sz val="11"/>
        <color theme="1"/>
        <rFont val="Calibri"/>
        <family val="2"/>
        <scheme val="minor"/>
      </rPr>
      <t>(1)(2)(7)(8)</t>
    </r>
  </si>
  <si>
    <t xml:space="preserve">The NP Calculator is intended to help generate initial estimates. The Users should verify the assumptions provided when generating specific </t>
  </si>
  <si>
    <t>project demands and update assumptions as appropriate.</t>
  </si>
  <si>
    <t>ABC Building</t>
  </si>
  <si>
    <t>Printable Summary of Building Information, Site Demands, and Site Supplies</t>
  </si>
  <si>
    <t xml:space="preserve">Graywater Supply  
(gpd) </t>
  </si>
  <si>
    <r>
      <t xml:space="preserve">% Graywater Supply Available </t>
    </r>
    <r>
      <rPr>
        <b/>
        <vertAlign val="superscript"/>
        <sz val="11"/>
        <color theme="1"/>
        <rFont val="Calibri"/>
        <family val="2"/>
        <scheme val="minor"/>
      </rPr>
      <t>(1)</t>
    </r>
  </si>
  <si>
    <r>
      <t xml:space="preserve"> % Blackwater Supply Available </t>
    </r>
    <r>
      <rPr>
        <b/>
        <vertAlign val="superscript"/>
        <sz val="11"/>
        <color theme="1"/>
        <rFont val="Calibri"/>
        <family val="2"/>
        <scheme val="minor"/>
      </rPr>
      <t>(1)</t>
    </r>
  </si>
  <si>
    <t>Blackwater Supply 
(gpd)</t>
  </si>
  <si>
    <t>This calculator is laid out in seven (8) worksheets. The worksheets are summarized below:</t>
  </si>
  <si>
    <r>
      <t xml:space="preserve">% Blackwater Supply Available </t>
    </r>
    <r>
      <rPr>
        <b/>
        <vertAlign val="superscript"/>
        <sz val="11"/>
        <color theme="1"/>
        <rFont val="Calibri"/>
        <family val="2"/>
        <scheme val="minor"/>
      </rPr>
      <t>(1)</t>
    </r>
  </si>
  <si>
    <r>
      <t xml:space="preserve">Estimated Cooling Tower Discharge (gpd)
</t>
    </r>
    <r>
      <rPr>
        <b/>
        <vertAlign val="superscript"/>
        <sz val="11"/>
        <color theme="0"/>
        <rFont val="Calibri"/>
        <family val="2"/>
        <scheme val="minor"/>
      </rPr>
      <t>(2)</t>
    </r>
  </si>
  <si>
    <t xml:space="preserve">      A future version of the NP Calculator will enable for separation of hotel information.</t>
  </si>
  <si>
    <t>The NP Calculator will be updated as more user feedback is collected.  A future version of the tool will allow for the inclusion of  hotel guest demands</t>
  </si>
  <si>
    <t>along with the typical commercial demand assumptions and calculations.</t>
  </si>
</sst>
</file>

<file path=xl/styles.xml><?xml version="1.0" encoding="utf-8"?>
<styleSheet xmlns="http://schemas.openxmlformats.org/spreadsheetml/2006/main">
  <numFmts count="6">
    <numFmt numFmtId="43" formatCode="_(* #,##0.00_);_(* \(#,##0.00\);_(* &quot;-&quot;??_);_(@_)"/>
    <numFmt numFmtId="164" formatCode="0.0000"/>
    <numFmt numFmtId="165" formatCode="0.000"/>
    <numFmt numFmtId="166" formatCode="0.0"/>
    <numFmt numFmtId="167" formatCode="0.0%"/>
    <numFmt numFmtId="168" formatCode="#,##0.0"/>
  </numFmts>
  <fonts count="129">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b/>
      <sz val="10"/>
      <color indexed="10"/>
      <name val="Arial"/>
      <family val="2"/>
    </font>
    <font>
      <b/>
      <sz val="10"/>
      <color indexed="48"/>
      <name val="Arial"/>
      <family val="2"/>
    </font>
    <font>
      <sz val="10"/>
      <color indexed="10"/>
      <name val="Arial"/>
      <family val="2"/>
    </font>
    <font>
      <sz val="12"/>
      <name val="Arial"/>
      <family val="2"/>
    </font>
    <font>
      <b/>
      <sz val="12"/>
      <name val="Arial"/>
      <family val="2"/>
    </font>
    <font>
      <b/>
      <sz val="12"/>
      <name val="Arial"/>
      <family val="2"/>
    </font>
    <font>
      <sz val="10"/>
      <color indexed="48"/>
      <name val="Arial"/>
      <family val="2"/>
    </font>
    <font>
      <i/>
      <sz val="10"/>
      <name val="Arial"/>
      <family val="2"/>
    </font>
    <font>
      <sz val="10"/>
      <name val="Arial"/>
      <family val="2"/>
    </font>
    <font>
      <sz val="10"/>
      <name val="Arial"/>
      <family val="2"/>
    </font>
    <font>
      <u/>
      <sz val="10"/>
      <color indexed="12"/>
      <name val="Arial"/>
      <family val="2"/>
    </font>
    <font>
      <strike/>
      <sz val="10"/>
      <name val="Arial"/>
      <family val="2"/>
    </font>
    <font>
      <b/>
      <vertAlign val="superscript"/>
      <sz val="10"/>
      <name val="Arial"/>
      <family val="2"/>
    </font>
    <font>
      <b/>
      <sz val="10"/>
      <name val="Tahoma"/>
      <family val="2"/>
    </font>
    <font>
      <sz val="10"/>
      <name val="Tahoma"/>
      <family val="2"/>
    </font>
    <font>
      <vertAlign val="superscript"/>
      <sz val="10"/>
      <name val="Arial"/>
      <family val="2"/>
    </font>
    <font>
      <sz val="10"/>
      <color indexed="8"/>
      <name val="Arial"/>
      <family val="2"/>
    </font>
    <font>
      <b/>
      <u/>
      <sz val="10"/>
      <name val="Arial"/>
      <family val="2"/>
    </font>
    <font>
      <vertAlign val="subscript"/>
      <sz val="10"/>
      <name val="Arial"/>
      <family val="2"/>
    </font>
    <font>
      <b/>
      <sz val="9"/>
      <name val="Arial"/>
      <family val="2"/>
    </font>
    <font>
      <sz val="10"/>
      <color indexed="8"/>
      <name val="Arial"/>
      <family val="2"/>
    </font>
    <font>
      <b/>
      <sz val="10"/>
      <color indexed="8"/>
      <name val="Arial"/>
      <family val="2"/>
    </font>
    <font>
      <b/>
      <sz val="10"/>
      <color indexed="48"/>
      <name val="Arial"/>
      <family val="2"/>
    </font>
    <font>
      <sz val="10"/>
      <color indexed="10"/>
      <name val="Arial"/>
      <family val="2"/>
    </font>
    <font>
      <sz val="10"/>
      <color indexed="9"/>
      <name val="Arial"/>
      <family val="2"/>
    </font>
    <font>
      <sz val="8"/>
      <name val="Verdana"/>
      <family val="2"/>
    </font>
    <font>
      <sz val="10"/>
      <name val="Verdana"/>
      <family val="2"/>
    </font>
    <font>
      <sz val="8"/>
      <name val="Arial"/>
      <family val="2"/>
    </font>
    <font>
      <b/>
      <sz val="20"/>
      <color theme="0"/>
      <name val="Calibri"/>
      <family val="2"/>
      <scheme val="minor"/>
    </font>
    <font>
      <sz val="11"/>
      <color theme="0"/>
      <name val="Calibri"/>
      <family val="2"/>
      <scheme val="minor"/>
    </font>
    <font>
      <b/>
      <sz val="18"/>
      <name val="Calibri"/>
      <family val="2"/>
      <scheme val="minor"/>
    </font>
    <font>
      <sz val="18"/>
      <color theme="0"/>
      <name val="Calibri"/>
      <family val="2"/>
      <scheme val="minor"/>
    </font>
    <font>
      <sz val="11"/>
      <name val="Calibri"/>
      <family val="2"/>
      <scheme val="minor"/>
    </font>
    <font>
      <b/>
      <sz val="14"/>
      <color theme="1"/>
      <name val="Calibri"/>
      <family val="2"/>
      <scheme val="minor"/>
    </font>
    <font>
      <b/>
      <sz val="11"/>
      <color theme="1"/>
      <name val="Calibri"/>
      <family val="2"/>
      <scheme val="minor"/>
    </font>
    <font>
      <i/>
      <sz val="11"/>
      <color theme="1" tint="0.34998626667073579"/>
      <name val="Calibri"/>
      <family val="2"/>
      <scheme val="minor"/>
    </font>
    <font>
      <i/>
      <sz val="11"/>
      <color theme="0" tint="-0.499984740745262"/>
      <name val="Calibri"/>
      <family val="2"/>
      <scheme val="minor"/>
    </font>
    <font>
      <b/>
      <sz val="12"/>
      <color theme="1"/>
      <name val="Calibri"/>
      <family val="2"/>
      <scheme val="minor"/>
    </font>
    <font>
      <b/>
      <sz val="11"/>
      <color theme="0"/>
      <name val="Calibri"/>
      <family val="2"/>
      <scheme val="minor"/>
    </font>
    <font>
      <i/>
      <sz val="11"/>
      <name val="Calibri"/>
      <family val="2"/>
      <scheme val="minor"/>
    </font>
    <font>
      <b/>
      <vertAlign val="superscript"/>
      <sz val="11"/>
      <color theme="0"/>
      <name val="Calibri"/>
      <family val="2"/>
      <scheme val="minor"/>
    </font>
    <font>
      <vertAlign val="superscript"/>
      <sz val="11"/>
      <color theme="1"/>
      <name val="Calibri"/>
      <family val="2"/>
      <scheme val="minor"/>
    </font>
    <font>
      <b/>
      <sz val="11"/>
      <name val="Calibri"/>
      <family val="2"/>
      <scheme val="minor"/>
    </font>
    <font>
      <sz val="10"/>
      <name val="Calibri"/>
      <family val="2"/>
      <scheme val="minor"/>
    </font>
    <font>
      <vertAlign val="superscript"/>
      <sz val="11"/>
      <name val="Calibri"/>
      <family val="2"/>
      <scheme val="minor"/>
    </font>
    <font>
      <b/>
      <vertAlign val="superscript"/>
      <sz val="11"/>
      <color theme="1"/>
      <name val="Calibri"/>
      <family val="2"/>
      <scheme val="minor"/>
    </font>
    <font>
      <b/>
      <sz val="15"/>
      <name val="Calibri"/>
      <family val="2"/>
      <scheme val="minor"/>
    </font>
    <font>
      <sz val="11"/>
      <color indexed="8"/>
      <name val="Calibri"/>
      <family val="2"/>
    </font>
    <font>
      <b/>
      <sz val="11"/>
      <name val="Calibri"/>
      <family val="2"/>
    </font>
    <font>
      <b/>
      <vertAlign val="superscript"/>
      <sz val="11"/>
      <name val="Calibri"/>
      <family val="2"/>
    </font>
    <font>
      <b/>
      <vertAlign val="subscript"/>
      <sz val="11"/>
      <name val="Calibri"/>
      <family val="2"/>
    </font>
    <font>
      <sz val="11"/>
      <name val="Calibri"/>
      <family val="2"/>
    </font>
    <font>
      <b/>
      <sz val="15"/>
      <color theme="1"/>
      <name val="Calibri"/>
      <family val="2"/>
      <scheme val="minor"/>
    </font>
    <font>
      <sz val="11"/>
      <color rgb="FFFF0000"/>
      <name val="Calibri"/>
      <family val="2"/>
      <scheme val="minor"/>
    </font>
    <font>
      <sz val="12"/>
      <name val="Calibri"/>
      <family val="2"/>
      <scheme val="minor"/>
    </font>
    <font>
      <sz val="11"/>
      <name val="Arial"/>
      <family val="2"/>
    </font>
    <font>
      <vertAlign val="subscript"/>
      <sz val="11"/>
      <name val="Calibri"/>
      <family val="2"/>
      <scheme val="minor"/>
    </font>
    <font>
      <b/>
      <u/>
      <sz val="11"/>
      <name val="Calibri"/>
      <family val="2"/>
      <scheme val="minor"/>
    </font>
    <font>
      <b/>
      <vertAlign val="subscript"/>
      <sz val="11"/>
      <color theme="0"/>
      <name val="Calibri"/>
      <family val="2"/>
      <scheme val="minor"/>
    </font>
    <font>
      <sz val="10"/>
      <color theme="0"/>
      <name val="Arial"/>
      <family val="2"/>
    </font>
    <font>
      <b/>
      <vertAlign val="superscript"/>
      <sz val="11"/>
      <name val="Calibri"/>
      <family val="2"/>
      <scheme val="minor"/>
    </font>
    <font>
      <sz val="18"/>
      <name val="Calibri"/>
      <family val="2"/>
      <scheme val="minor"/>
    </font>
    <font>
      <b/>
      <sz val="14"/>
      <name val="Calibri"/>
      <family val="2"/>
      <scheme val="minor"/>
    </font>
    <font>
      <b/>
      <sz val="12"/>
      <name val="Calibri"/>
      <family val="2"/>
      <scheme val="minor"/>
    </font>
    <font>
      <b/>
      <i/>
      <sz val="11"/>
      <color theme="7" tint="0.59999389629810485"/>
      <name val="Calibri"/>
      <family val="2"/>
      <scheme val="minor"/>
    </font>
    <font>
      <sz val="11"/>
      <color theme="1" tint="0.34998626667073579"/>
      <name val="Calibri"/>
      <family val="2"/>
      <scheme val="minor"/>
    </font>
    <font>
      <b/>
      <i/>
      <sz val="10"/>
      <name val="Arial"/>
      <family val="2"/>
    </font>
    <font>
      <b/>
      <i/>
      <sz val="11"/>
      <color theme="0"/>
      <name val="Calibri"/>
      <family val="2"/>
      <scheme val="minor"/>
    </font>
    <font>
      <sz val="10"/>
      <color theme="0"/>
      <name val="Calibri"/>
      <family val="2"/>
      <scheme val="minor"/>
    </font>
    <font>
      <b/>
      <sz val="10"/>
      <color theme="0" tint="-0.249977111117893"/>
      <name val="Arial"/>
      <family val="2"/>
    </font>
    <font>
      <sz val="10"/>
      <color theme="0" tint="-0.249977111117893"/>
      <name val="Arial"/>
      <family val="2"/>
    </font>
    <font>
      <b/>
      <sz val="10"/>
      <name val="Calibri"/>
      <family val="2"/>
      <scheme val="minor"/>
    </font>
    <font>
      <vertAlign val="superscript"/>
      <sz val="10"/>
      <name val="Calibri"/>
      <family val="2"/>
      <scheme val="minor"/>
    </font>
    <font>
      <b/>
      <vertAlign val="superscript"/>
      <sz val="12"/>
      <name val="Calibri"/>
      <family val="2"/>
      <scheme val="minor"/>
    </font>
    <font>
      <b/>
      <vertAlign val="subscript"/>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2"/>
      <color theme="1"/>
      <name val="Calibri"/>
      <family val="2"/>
      <scheme val="minor"/>
    </font>
    <font>
      <b/>
      <sz val="11"/>
      <color rgb="FFFF0000"/>
      <name val="Calibri"/>
      <family val="2"/>
      <scheme val="minor"/>
    </font>
    <font>
      <b/>
      <u/>
      <sz val="11"/>
      <color theme="1"/>
      <name val="Calibri"/>
      <family val="2"/>
      <scheme val="minor"/>
    </font>
    <font>
      <b/>
      <sz val="11"/>
      <color theme="0"/>
      <name val="Calibri"/>
      <family val="2"/>
    </font>
    <font>
      <b/>
      <vertAlign val="superscript"/>
      <sz val="11"/>
      <color theme="0"/>
      <name val="Calibri"/>
      <family val="2"/>
    </font>
    <font>
      <i/>
      <sz val="12"/>
      <color theme="0" tint="-0.499984740745262"/>
      <name val="Calibri"/>
      <family val="2"/>
      <scheme val="minor"/>
    </font>
    <font>
      <i/>
      <vertAlign val="subscript"/>
      <sz val="11"/>
      <color theme="0" tint="-0.499984740745262"/>
      <name val="Calibri"/>
      <family val="2"/>
      <scheme val="minor"/>
    </font>
    <font>
      <u/>
      <sz val="11"/>
      <name val="Calibri"/>
      <family val="2"/>
      <scheme val="minor"/>
    </font>
    <font>
      <u/>
      <vertAlign val="subscript"/>
      <sz val="11"/>
      <name val="Calibri"/>
      <family val="2"/>
      <scheme val="minor"/>
    </font>
    <font>
      <b/>
      <vertAlign val="subscript"/>
      <sz val="11"/>
      <name val="Calibri"/>
      <family val="2"/>
      <scheme val="minor"/>
    </font>
    <font>
      <b/>
      <sz val="11"/>
      <color indexed="8"/>
      <name val="Calibri"/>
      <family val="2"/>
    </font>
    <font>
      <i/>
      <vertAlign val="superscript"/>
      <sz val="12"/>
      <color theme="0" tint="-0.499984740745262"/>
      <name val="Calibri"/>
      <family val="2"/>
      <scheme val="minor"/>
    </font>
    <font>
      <i/>
      <sz val="11"/>
      <color rgb="FFFF0000"/>
      <name val="Calibri"/>
      <family val="2"/>
      <scheme val="minor"/>
    </font>
    <font>
      <b/>
      <sz val="30"/>
      <color theme="0"/>
      <name val="Calibri"/>
      <family val="2"/>
      <scheme val="minor"/>
    </font>
    <font>
      <sz val="12"/>
      <name val="Calibri"/>
      <family val="2"/>
    </font>
    <font>
      <b/>
      <sz val="12"/>
      <color theme="0"/>
      <name val="Calibri"/>
      <family val="2"/>
      <scheme val="minor"/>
    </font>
    <font>
      <b/>
      <i/>
      <sz val="12"/>
      <name val="Arial"/>
      <family val="2"/>
    </font>
    <font>
      <i/>
      <vertAlign val="superscript"/>
      <sz val="10"/>
      <name val="Arial"/>
      <family val="2"/>
    </font>
    <font>
      <sz val="9"/>
      <name val="Arial"/>
      <family val="2"/>
    </font>
    <font>
      <b/>
      <sz val="8"/>
      <name val="Arial"/>
      <family val="2"/>
    </font>
    <font>
      <b/>
      <i/>
      <sz val="9"/>
      <name val="Arial"/>
      <family val="2"/>
    </font>
    <font>
      <b/>
      <sz val="18"/>
      <color rgb="FFFF0000"/>
      <name val="Calibri"/>
      <family val="2"/>
      <scheme val="minor"/>
    </font>
    <font>
      <b/>
      <sz val="10"/>
      <color rgb="FFFF0000"/>
      <name val="Arial"/>
      <family val="2"/>
    </font>
    <font>
      <b/>
      <i/>
      <sz val="10"/>
      <color rgb="FFFF0000"/>
      <name val="Arial"/>
      <family val="2"/>
    </font>
    <font>
      <b/>
      <i/>
      <vertAlign val="superscript"/>
      <sz val="10"/>
      <name val="Arial"/>
      <family val="2"/>
    </font>
    <font>
      <b/>
      <sz val="12"/>
      <color rgb="FFFF0000"/>
      <name val="Calibri"/>
      <family val="2"/>
      <scheme val="minor"/>
    </font>
    <font>
      <sz val="9"/>
      <color indexed="81"/>
      <name val="Tahoma"/>
      <family val="2"/>
    </font>
    <font>
      <b/>
      <sz val="9"/>
      <color indexed="81"/>
      <name val="Tahoma"/>
      <family val="2"/>
    </font>
    <font>
      <b/>
      <i/>
      <sz val="11"/>
      <color rgb="FFFF0000"/>
      <name val="Calibri"/>
      <family val="2"/>
      <scheme val="minor"/>
    </font>
    <font>
      <b/>
      <sz val="10"/>
      <color rgb="FFFF0000"/>
      <name val="Calibri"/>
      <family val="2"/>
      <scheme val="minor"/>
    </font>
    <font>
      <i/>
      <sz val="12"/>
      <color rgb="FFFF0000"/>
      <name val="Calibri"/>
      <family val="2"/>
      <scheme val="minor"/>
    </font>
  </fonts>
  <fills count="60">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4"/>
        <bgColor indexed="64"/>
      </patternFill>
    </fill>
    <fill>
      <patternFill patternType="solid">
        <fgColor indexed="43"/>
        <bgColor indexed="64"/>
      </patternFill>
    </fill>
    <fill>
      <patternFill patternType="solid">
        <fgColor indexed="9"/>
        <bgColor indexed="64"/>
      </patternFill>
    </fill>
    <fill>
      <patternFill patternType="solid">
        <fgColor indexed="22"/>
        <bgColor indexed="55"/>
      </patternFill>
    </fill>
    <fill>
      <patternFill patternType="solid">
        <fgColor theme="7" tint="-0.249977111117893"/>
        <bgColor indexed="64"/>
      </patternFill>
    </fill>
    <fill>
      <patternFill patternType="solid">
        <fgColor theme="7" tint="0.39997558519241921"/>
        <bgColor indexed="64"/>
      </patternFill>
    </fill>
    <fill>
      <patternFill patternType="solid">
        <fgColor theme="0"/>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7" tint="-0.499984740745262"/>
        <bgColor indexed="64"/>
      </patternFill>
    </fill>
    <fill>
      <patternFill patternType="solid">
        <fgColor rgb="FF92D05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7"/>
        <bgColor indexed="64"/>
      </patternFill>
    </fill>
    <fill>
      <patternFill patternType="solid">
        <fgColor theme="8"/>
        <bgColor indexed="64"/>
      </patternFill>
    </fill>
    <fill>
      <patternFill patternType="solid">
        <fgColor theme="5" tint="0.59999389629810485"/>
        <bgColor indexed="64"/>
      </patternFill>
    </fill>
    <fill>
      <patternFill patternType="solid">
        <fgColor theme="1" tint="0.34998626667073579"/>
        <bgColor indexed="64"/>
      </patternFill>
    </fill>
    <fill>
      <patternFill patternType="solid">
        <fgColor rgb="FFFFFF99"/>
        <bgColor indexed="64"/>
      </patternFill>
    </fill>
  </fills>
  <borders count="113">
    <border>
      <left/>
      <right/>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top/>
      <bottom style="double">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top style="double">
        <color indexed="64"/>
      </top>
      <bottom/>
      <diagonal/>
    </border>
    <border>
      <left/>
      <right style="medium">
        <color indexed="64"/>
      </right>
      <top style="double">
        <color indexed="64"/>
      </top>
      <bottom/>
      <diagonal/>
    </border>
    <border>
      <left style="medium">
        <color indexed="64"/>
      </left>
      <right/>
      <top style="double">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style="medium">
        <color indexed="64"/>
      </right>
      <top/>
      <bottom/>
      <diagonal/>
    </border>
    <border>
      <left style="thin">
        <color indexed="64"/>
      </left>
      <right/>
      <top style="double">
        <color indexed="64"/>
      </top>
      <bottom/>
      <diagonal/>
    </border>
    <border>
      <left style="thin">
        <color indexed="64"/>
      </left>
      <right style="medium">
        <color indexed="64"/>
      </right>
      <top style="double">
        <color indexed="64"/>
      </top>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style="medium">
        <color indexed="64"/>
      </right>
      <top/>
      <bottom style="double">
        <color indexed="64"/>
      </bottom>
      <diagonal/>
    </border>
    <border>
      <left/>
      <right style="double">
        <color indexed="64"/>
      </right>
      <top style="medium">
        <color indexed="64"/>
      </top>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style="medium">
        <color indexed="64"/>
      </top>
      <bottom style="double">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style="double">
        <color indexed="64"/>
      </left>
      <right/>
      <top style="medium">
        <color indexed="64"/>
      </top>
      <bottom style="medium">
        <color indexed="64"/>
      </bottom>
      <diagonal/>
    </border>
    <border>
      <left/>
      <right style="medium">
        <color indexed="8"/>
      </right>
      <top style="medium">
        <color indexed="64"/>
      </top>
      <bottom style="medium">
        <color indexed="64"/>
      </bottom>
      <diagonal/>
    </border>
    <border>
      <left style="thin">
        <color auto="1"/>
      </left>
      <right style="thin">
        <color auto="1"/>
      </right>
      <top style="thin">
        <color auto="1"/>
      </top>
      <bottom style="thin">
        <color theme="7" tint="-0.499984740745262"/>
      </bottom>
      <diagonal/>
    </border>
    <border>
      <left style="thin">
        <color auto="1"/>
      </left>
      <right style="thin">
        <color auto="1"/>
      </right>
      <top style="thin">
        <color theme="7" tint="-0.499984740745262"/>
      </top>
      <bottom style="thin">
        <color theme="7" tint="-0.4999847407452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double">
        <color indexed="64"/>
      </top>
      <bottom style="double">
        <color indexed="64"/>
      </bottom>
      <diagonal/>
    </border>
    <border>
      <left style="thin">
        <color auto="1"/>
      </left>
      <right style="thin">
        <color auto="1"/>
      </right>
      <top style="thin">
        <color theme="7" tint="-0.499984740745262"/>
      </top>
      <bottom style="thin">
        <color indexed="64"/>
      </bottom>
      <diagonal/>
    </border>
    <border>
      <left style="thin">
        <color indexed="64"/>
      </left>
      <right style="thin">
        <color indexed="64"/>
      </right>
      <top style="thin">
        <color indexed="64"/>
      </top>
      <bottom style="thin">
        <color theme="0"/>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theme="0"/>
      </left>
      <right style="thin">
        <color theme="0"/>
      </right>
      <top/>
      <bottom/>
      <diagonal/>
    </border>
    <border>
      <left style="thin">
        <color auto="1"/>
      </left>
      <right/>
      <top style="thin">
        <color auto="1"/>
      </top>
      <bottom style="thin">
        <color theme="0"/>
      </bottom>
      <diagonal/>
    </border>
    <border>
      <left/>
      <right/>
      <top style="thin">
        <color auto="1"/>
      </top>
      <bottom style="thin">
        <color theme="0"/>
      </bottom>
      <diagonal/>
    </border>
    <border>
      <left/>
      <right style="thin">
        <color auto="1"/>
      </right>
      <top style="thin">
        <color auto="1"/>
      </top>
      <bottom style="thin">
        <color theme="0"/>
      </bottom>
      <diagonal/>
    </border>
    <border>
      <left style="thin">
        <color indexed="64"/>
      </left>
      <right style="thin">
        <color indexed="64"/>
      </right>
      <top style="double">
        <color indexed="64"/>
      </top>
      <bottom style="thin">
        <color indexed="64"/>
      </bottom>
      <diagonal/>
    </border>
    <border>
      <left style="thin">
        <color theme="0"/>
      </left>
      <right style="thin">
        <color theme="0"/>
      </right>
      <top/>
      <bottom style="thin">
        <color indexed="64"/>
      </bottom>
      <diagonal/>
    </border>
    <border>
      <left style="thin">
        <color theme="0"/>
      </left>
      <right style="thin">
        <color indexed="64"/>
      </right>
      <top/>
      <bottom style="thin">
        <color indexed="64"/>
      </bottom>
      <diagonal/>
    </border>
    <border>
      <left style="thin">
        <color theme="0"/>
      </left>
      <right style="thin">
        <color theme="0"/>
      </right>
      <top style="thin">
        <color theme="0"/>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theme="0"/>
      </left>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75">
    <xf numFmtId="0" fontId="0" fillId="0" borderId="0"/>
    <xf numFmtId="0" fontId="21" fillId="0" borderId="0" applyNumberFormat="0" applyFill="0" applyBorder="0" applyAlignment="0" applyProtection="0">
      <alignment vertical="top"/>
      <protection locked="0"/>
    </xf>
    <xf numFmtId="9" fontId="8" fillId="0" borderId="0" applyFont="0" applyFill="0" applyBorder="0" applyAlignment="0" applyProtection="0"/>
    <xf numFmtId="9" fontId="37" fillId="0" borderId="0" applyFont="0" applyFill="0" applyBorder="0" applyAlignment="0" applyProtection="0"/>
    <xf numFmtId="0" fontId="8" fillId="0" borderId="0"/>
    <xf numFmtId="0" fontId="8" fillId="0" borderId="0"/>
    <xf numFmtId="0" fontId="37" fillId="0" borderId="0"/>
    <xf numFmtId="0" fontId="58" fillId="0" borderId="0"/>
    <xf numFmtId="43" fontId="8" fillId="0" borderId="0" applyFont="0" applyFill="0" applyBorder="0" applyAlignment="0" applyProtection="0"/>
    <xf numFmtId="43" fontId="58" fillId="0" borderId="0" applyFont="0" applyFill="0" applyBorder="0" applyAlignment="0" applyProtection="0"/>
    <xf numFmtId="43" fontId="8" fillId="0" borderId="0" applyFont="0" applyFill="0" applyBorder="0" applyAlignment="0" applyProtection="0"/>
    <xf numFmtId="0" fontId="8" fillId="0" borderId="0"/>
    <xf numFmtId="9" fontId="58" fillId="0" borderId="0" applyFont="0" applyFill="0" applyBorder="0" applyAlignment="0" applyProtection="0"/>
    <xf numFmtId="9" fontId="8" fillId="0" borderId="0" applyFont="0" applyFill="0" applyBorder="0" applyAlignment="0" applyProtection="0"/>
    <xf numFmtId="0" fontId="86" fillId="0" borderId="0" applyNumberFormat="0" applyFill="0" applyBorder="0" applyAlignment="0" applyProtection="0"/>
    <xf numFmtId="0" fontId="87" fillId="0" borderId="78" applyNumberFormat="0" applyFill="0" applyAlignment="0" applyProtection="0"/>
    <xf numFmtId="0" fontId="88" fillId="0" borderId="79" applyNumberFormat="0" applyFill="0" applyAlignment="0" applyProtection="0"/>
    <xf numFmtId="0" fontId="89" fillId="0" borderId="80" applyNumberFormat="0" applyFill="0" applyAlignment="0" applyProtection="0"/>
    <xf numFmtId="0" fontId="89" fillId="0" borderId="0" applyNumberFormat="0" applyFill="0" applyBorder="0" applyAlignment="0" applyProtection="0"/>
    <xf numFmtId="0" fontId="90" fillId="21" borderId="0" applyNumberFormat="0" applyBorder="0" applyAlignment="0" applyProtection="0"/>
    <xf numFmtId="0" fontId="91" fillId="22" borderId="0" applyNumberFormat="0" applyBorder="0" applyAlignment="0" applyProtection="0"/>
    <xf numFmtId="0" fontId="92" fillId="23" borderId="0" applyNumberFormat="0" applyBorder="0" applyAlignment="0" applyProtection="0"/>
    <xf numFmtId="0" fontId="93" fillId="24" borderId="81" applyNumberFormat="0" applyAlignment="0" applyProtection="0"/>
    <xf numFmtId="0" fontId="94" fillId="25" borderId="82" applyNumberFormat="0" applyAlignment="0" applyProtection="0"/>
    <xf numFmtId="0" fontId="95" fillId="25" borderId="81" applyNumberFormat="0" applyAlignment="0" applyProtection="0"/>
    <xf numFmtId="0" fontId="96" fillId="0" borderId="83" applyNumberFormat="0" applyFill="0" applyAlignment="0" applyProtection="0"/>
    <xf numFmtId="0" fontId="49" fillId="26" borderId="84" applyNumberFormat="0" applyAlignment="0" applyProtection="0"/>
    <xf numFmtId="0" fontId="64" fillId="0" borderId="0" applyNumberFormat="0" applyFill="0" applyBorder="0" applyAlignment="0" applyProtection="0"/>
    <xf numFmtId="0" fontId="97" fillId="0" borderId="0" applyNumberFormat="0" applyFill="0" applyBorder="0" applyAlignment="0" applyProtection="0"/>
    <xf numFmtId="0" fontId="45" fillId="0" borderId="86" applyNumberFormat="0" applyFill="0" applyAlignment="0" applyProtection="0"/>
    <xf numFmtId="0" fontId="40"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40" fillId="51" borderId="0" applyNumberFormat="0" applyBorder="0" applyAlignment="0" applyProtection="0"/>
    <xf numFmtId="0" fontId="3" fillId="0" borderId="0"/>
    <xf numFmtId="9" fontId="3" fillId="0" borderId="0" applyFont="0" applyFill="0" applyBorder="0" applyAlignment="0" applyProtection="0"/>
    <xf numFmtId="0" fontId="58" fillId="0" borderId="0"/>
    <xf numFmtId="43" fontId="3" fillId="0" borderId="0" applyFont="0" applyFill="0" applyBorder="0" applyAlignment="0" applyProtection="0"/>
    <xf numFmtId="0" fontId="3" fillId="27" borderId="85" applyNumberFormat="0" applyFont="0" applyAlignment="0" applyProtection="0"/>
    <xf numFmtId="0" fontId="1" fillId="29"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27" borderId="85" applyNumberFormat="0" applyFont="0" applyAlignment="0" applyProtection="0"/>
  </cellStyleXfs>
  <cellXfs count="1589">
    <xf numFmtId="0" fontId="0" fillId="0" borderId="0" xfId="0"/>
    <xf numFmtId="0" fontId="9" fillId="0" borderId="0" xfId="0" applyFont="1"/>
    <xf numFmtId="0" fontId="0" fillId="0" borderId="0" xfId="0" applyFill="1" applyBorder="1"/>
    <xf numFmtId="0" fontId="0" fillId="0" borderId="0" xfId="0" applyFill="1"/>
    <xf numFmtId="0" fontId="9" fillId="0" borderId="0" xfId="0" applyFont="1" applyFill="1" applyBorder="1"/>
    <xf numFmtId="0" fontId="0" fillId="0" borderId="1" xfId="0" applyBorder="1"/>
    <xf numFmtId="0" fontId="0" fillId="0" borderId="2" xfId="0" applyBorder="1"/>
    <xf numFmtId="0" fontId="0" fillId="0" borderId="0" xfId="0" applyBorder="1"/>
    <xf numFmtId="0" fontId="0" fillId="0" borderId="3" xfId="0" applyBorder="1"/>
    <xf numFmtId="0" fontId="0" fillId="0" borderId="4" xfId="0" applyBorder="1"/>
    <xf numFmtId="0" fontId="0" fillId="0" borderId="5" xfId="0" applyBorder="1"/>
    <xf numFmtId="0" fontId="0" fillId="0" borderId="6" xfId="0" applyBorder="1"/>
    <xf numFmtId="0" fontId="9" fillId="0" borderId="0" xfId="0" applyFont="1" applyAlignment="1"/>
    <xf numFmtId="0" fontId="0" fillId="2" borderId="0" xfId="0" applyFill="1"/>
    <xf numFmtId="0" fontId="0" fillId="2" borderId="7" xfId="0" applyFill="1" applyBorder="1"/>
    <xf numFmtId="0" fontId="0" fillId="0" borderId="8" xfId="0" applyBorder="1"/>
    <xf numFmtId="0" fontId="0" fillId="0" borderId="9" xfId="0" applyBorder="1"/>
    <xf numFmtId="0" fontId="0" fillId="0" borderId="4" xfId="0" applyFill="1" applyBorder="1"/>
    <xf numFmtId="0" fontId="0" fillId="0" borderId="10" xfId="0" applyBorder="1"/>
    <xf numFmtId="0" fontId="0" fillId="0" borderId="3" xfId="0" applyFill="1" applyBorder="1"/>
    <xf numFmtId="0" fontId="12" fillId="0" borderId="0" xfId="0" applyFont="1" applyFill="1" applyBorder="1"/>
    <xf numFmtId="0" fontId="0" fillId="0" borderId="11" xfId="0" applyFill="1" applyBorder="1"/>
    <xf numFmtId="0" fontId="9" fillId="0" borderId="0" xfId="0" applyFont="1" applyFill="1" applyAlignment="1">
      <alignment horizontal="right"/>
    </xf>
    <xf numFmtId="0" fontId="9" fillId="0" borderId="0" xfId="0" applyFont="1" applyFill="1"/>
    <xf numFmtId="0" fontId="9" fillId="2" borderId="7" xfId="0" applyFont="1" applyFill="1" applyBorder="1" applyAlignment="1">
      <alignment horizontal="center"/>
    </xf>
    <xf numFmtId="9" fontId="9" fillId="2" borderId="12" xfId="0" applyNumberFormat="1" applyFont="1" applyFill="1" applyBorder="1" applyAlignment="1">
      <alignment horizontal="center"/>
    </xf>
    <xf numFmtId="9" fontId="9" fillId="2" borderId="13" xfId="0" applyNumberFormat="1" applyFont="1" applyFill="1" applyBorder="1" applyAlignment="1">
      <alignment horizontal="center"/>
    </xf>
    <xf numFmtId="9" fontId="9" fillId="2" borderId="14" xfId="0" applyNumberFormat="1" applyFont="1" applyFill="1" applyBorder="1" applyAlignment="1">
      <alignment horizontal="center"/>
    </xf>
    <xf numFmtId="0" fontId="0" fillId="2" borderId="15" xfId="0" applyFill="1" applyBorder="1" applyAlignment="1">
      <alignment horizontal="right"/>
    </xf>
    <xf numFmtId="0" fontId="0" fillId="2" borderId="15" xfId="0" applyFill="1" applyBorder="1"/>
    <xf numFmtId="0" fontId="9" fillId="2" borderId="0" xfId="0" quotePrefix="1" applyFont="1" applyFill="1" applyAlignment="1">
      <alignment horizontal="center"/>
    </xf>
    <xf numFmtId="0" fontId="9" fillId="2" borderId="13" xfId="0" applyFont="1" applyFill="1" applyBorder="1" applyAlignment="1">
      <alignment horizontal="center"/>
    </xf>
    <xf numFmtId="0" fontId="10" fillId="0" borderId="0" xfId="0" applyFont="1"/>
    <xf numFmtId="0" fontId="0" fillId="0" borderId="9" xfId="0" applyFill="1" applyBorder="1"/>
    <xf numFmtId="0" fontId="10" fillId="0" borderId="0" xfId="0" applyFont="1" applyFill="1"/>
    <xf numFmtId="0" fontId="10" fillId="0" borderId="0" xfId="0" applyFont="1" applyFill="1" applyBorder="1"/>
    <xf numFmtId="0" fontId="0" fillId="0" borderId="0" xfId="0" applyAlignment="1">
      <alignment horizontal="center"/>
    </xf>
    <xf numFmtId="0" fontId="14" fillId="0" borderId="0" xfId="0" applyFont="1"/>
    <xf numFmtId="0" fontId="15" fillId="0" borderId="0" xfId="0" applyFont="1"/>
    <xf numFmtId="0" fontId="16" fillId="0" borderId="0" xfId="0" applyFont="1"/>
    <xf numFmtId="0" fontId="17" fillId="0" borderId="0" xfId="0" applyFont="1"/>
    <xf numFmtId="1" fontId="0" fillId="0" borderId="0" xfId="0" applyNumberFormat="1" applyFill="1" applyBorder="1"/>
    <xf numFmtId="0" fontId="18" fillId="0" borderId="0" xfId="0" applyFont="1"/>
    <xf numFmtId="0" fontId="0" fillId="0" borderId="6" xfId="0" applyFill="1" applyBorder="1"/>
    <xf numFmtId="0" fontId="8" fillId="0" borderId="0" xfId="0" applyFont="1"/>
    <xf numFmtId="0" fontId="19" fillId="0" borderId="0" xfId="0" applyFont="1"/>
    <xf numFmtId="0" fontId="20" fillId="0" borderId="0" xfId="0" applyFont="1"/>
    <xf numFmtId="0" fontId="0" fillId="0" borderId="2" xfId="0" applyFill="1" applyBorder="1"/>
    <xf numFmtId="0" fontId="0" fillId="0" borderId="1" xfId="0" applyFill="1" applyBorder="1"/>
    <xf numFmtId="0" fontId="0" fillId="0" borderId="0" xfId="0" applyAlignment="1">
      <alignment horizontal="right"/>
    </xf>
    <xf numFmtId="3" fontId="0" fillId="0" borderId="0" xfId="0" applyNumberFormat="1"/>
    <xf numFmtId="0" fontId="0" fillId="0" borderId="5" xfId="0" applyFill="1" applyBorder="1"/>
    <xf numFmtId="0" fontId="11" fillId="0" borderId="4" xfId="0" applyFont="1" applyFill="1" applyBorder="1"/>
    <xf numFmtId="0" fontId="0" fillId="0" borderId="0" xfId="0" applyFill="1" applyBorder="1" applyAlignment="1">
      <alignment horizontal="right"/>
    </xf>
    <xf numFmtId="0" fontId="16" fillId="0" borderId="0" xfId="0" applyFont="1" applyAlignment="1">
      <alignment horizontal="center"/>
    </xf>
    <xf numFmtId="0" fontId="9" fillId="0" borderId="0" xfId="0" applyFont="1" applyAlignment="1">
      <alignment horizontal="center"/>
    </xf>
    <xf numFmtId="0" fontId="9" fillId="3" borderId="16" xfId="0" applyFont="1" applyFill="1" applyBorder="1" applyAlignment="1">
      <alignment horizontal="center"/>
    </xf>
    <xf numFmtId="0" fontId="10" fillId="0" borderId="0" xfId="0" applyFont="1" applyAlignment="1">
      <alignment horizontal="center"/>
    </xf>
    <xf numFmtId="165" fontId="9" fillId="0" borderId="0" xfId="0" applyNumberFormat="1" applyFont="1" applyAlignment="1">
      <alignment horizontal="center"/>
    </xf>
    <xf numFmtId="2" fontId="0" fillId="0" borderId="0" xfId="0" applyNumberFormat="1" applyAlignment="1">
      <alignment horizontal="center"/>
    </xf>
    <xf numFmtId="2" fontId="11" fillId="0" borderId="0" xfId="0" applyNumberFormat="1" applyFont="1"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0" fontId="0" fillId="0" borderId="0" xfId="0" applyFill="1" applyBorder="1" applyAlignment="1">
      <alignment horizontal="center"/>
    </xf>
    <xf numFmtId="0" fontId="22" fillId="0" borderId="0" xfId="0" applyFont="1"/>
    <xf numFmtId="0" fontId="10" fillId="0" borderId="0" xfId="0" applyFont="1" applyBorder="1"/>
    <xf numFmtId="0" fontId="0" fillId="0" borderId="0" xfId="0" applyAlignment="1">
      <alignment vertical="top" wrapText="1"/>
    </xf>
    <xf numFmtId="3" fontId="0" fillId="0" borderId="0" xfId="0" applyNumberFormat="1" applyFill="1" applyBorder="1"/>
    <xf numFmtId="0" fontId="0" fillId="0" borderId="17" xfId="0" applyFill="1" applyBorder="1"/>
    <xf numFmtId="0" fontId="10" fillId="0" borderId="0" xfId="0" applyFont="1" applyAlignment="1">
      <alignment horizontal="right"/>
    </xf>
    <xf numFmtId="0" fontId="31" fillId="0" borderId="0" xfId="0" applyFont="1"/>
    <xf numFmtId="0" fontId="32" fillId="0" borderId="0" xfId="0" applyFont="1"/>
    <xf numFmtId="0" fontId="10" fillId="0" borderId="2" xfId="0" applyFont="1" applyBorder="1"/>
    <xf numFmtId="0" fontId="10" fillId="0" borderId="3" xfId="0" applyFont="1" applyBorder="1"/>
    <xf numFmtId="0" fontId="10" fillId="0" borderId="3" xfId="0" applyFont="1" applyFill="1" applyBorder="1"/>
    <xf numFmtId="0" fontId="9" fillId="4" borderId="0" xfId="0" applyFont="1" applyFill="1"/>
    <xf numFmtId="0" fontId="0" fillId="4" borderId="0" xfId="0" applyFill="1"/>
    <xf numFmtId="0" fontId="0" fillId="2" borderId="18" xfId="0" applyFill="1" applyBorder="1"/>
    <xf numFmtId="0" fontId="0" fillId="0" borderId="18" xfId="0" applyFill="1" applyBorder="1"/>
    <xf numFmtId="0" fontId="10" fillId="0" borderId="1" xfId="0" applyFont="1" applyBorder="1"/>
    <xf numFmtId="0" fontId="10" fillId="0" borderId="0" xfId="0" applyFont="1" applyAlignment="1">
      <alignment vertical="center"/>
    </xf>
    <xf numFmtId="4" fontId="25" fillId="0" borderId="0" xfId="0" applyNumberFormat="1" applyFont="1" applyFill="1" applyBorder="1" applyAlignment="1">
      <alignment horizontal="center" vertical="center" wrapText="1"/>
    </xf>
    <xf numFmtId="3" fontId="25" fillId="0" borderId="0" xfId="0" applyNumberFormat="1" applyFont="1" applyFill="1" applyBorder="1" applyAlignment="1">
      <alignment horizontal="center" vertical="center" wrapText="1"/>
    </xf>
    <xf numFmtId="10" fontId="0" fillId="0" borderId="0" xfId="0" applyNumberFormat="1" applyBorder="1"/>
    <xf numFmtId="3" fontId="24" fillId="0" borderId="0" xfId="0" applyNumberFormat="1" applyFont="1" applyFill="1" applyBorder="1" applyAlignment="1">
      <alignment horizontal="center" vertical="center" wrapText="1"/>
    </xf>
    <xf numFmtId="166" fontId="0" fillId="5" borderId="19" xfId="0" applyNumberFormat="1" applyFill="1" applyBorder="1"/>
    <xf numFmtId="0" fontId="0" fillId="0" borderId="19" xfId="0" applyFill="1" applyBorder="1"/>
    <xf numFmtId="0" fontId="0" fillId="0" borderId="8" xfId="0" applyFill="1" applyBorder="1"/>
    <xf numFmtId="0" fontId="10" fillId="0" borderId="2" xfId="0" applyFont="1" applyFill="1" applyBorder="1"/>
    <xf numFmtId="0" fontId="0" fillId="0" borderId="10" xfId="0" applyFill="1" applyBorder="1"/>
    <xf numFmtId="0" fontId="0" fillId="5" borderId="19" xfId="0" applyFill="1" applyBorder="1"/>
    <xf numFmtId="0" fontId="0" fillId="5" borderId="3" xfId="0" applyFill="1" applyBorder="1"/>
    <xf numFmtId="0" fontId="0" fillId="5" borderId="2" xfId="0" applyFill="1" applyBorder="1"/>
    <xf numFmtId="0" fontId="0" fillId="5" borderId="4" xfId="0" applyFill="1" applyBorder="1"/>
    <xf numFmtId="0" fontId="0" fillId="5" borderId="6" xfId="0" applyFill="1" applyBorder="1"/>
    <xf numFmtId="3" fontId="9" fillId="5" borderId="20" xfId="0" applyNumberFormat="1" applyFont="1" applyFill="1" applyBorder="1"/>
    <xf numFmtId="166" fontId="9" fillId="5" borderId="18" xfId="0" applyNumberFormat="1" applyFont="1" applyFill="1" applyBorder="1"/>
    <xf numFmtId="0" fontId="9" fillId="5" borderId="18" xfId="0" applyFont="1" applyFill="1" applyBorder="1"/>
    <xf numFmtId="1" fontId="9" fillId="5" borderId="21" xfId="0" applyNumberFormat="1" applyFont="1" applyFill="1" applyBorder="1"/>
    <xf numFmtId="166" fontId="9" fillId="5" borderId="20" xfId="0" applyNumberFormat="1" applyFont="1" applyFill="1" applyBorder="1"/>
    <xf numFmtId="0" fontId="10" fillId="0" borderId="1" xfId="0" applyFont="1" applyFill="1" applyBorder="1"/>
    <xf numFmtId="0" fontId="9" fillId="0" borderId="11" xfId="0" applyFont="1" applyFill="1" applyBorder="1"/>
    <xf numFmtId="165" fontId="0" fillId="5" borderId="22" xfId="0" applyNumberFormat="1" applyFill="1" applyBorder="1" applyAlignment="1">
      <alignment horizontal="center"/>
    </xf>
    <xf numFmtId="0" fontId="0" fillId="5" borderId="23" xfId="0" applyFill="1" applyBorder="1"/>
    <xf numFmtId="0" fontId="0" fillId="5" borderId="24" xfId="0" applyFill="1" applyBorder="1"/>
    <xf numFmtId="1" fontId="0" fillId="5" borderId="22" xfId="0" applyNumberFormat="1" applyFill="1" applyBorder="1" applyAlignment="1">
      <alignment horizontal="center"/>
    </xf>
    <xf numFmtId="165" fontId="0" fillId="5" borderId="0" xfId="0" applyNumberFormat="1" applyFill="1" applyBorder="1" applyAlignment="1">
      <alignment horizontal="center"/>
    </xf>
    <xf numFmtId="1" fontId="0" fillId="5" borderId="0" xfId="0" applyNumberFormat="1" applyFill="1" applyBorder="1" applyAlignment="1">
      <alignment horizontal="center"/>
    </xf>
    <xf numFmtId="165" fontId="0" fillId="5" borderId="5" xfId="0" applyNumberFormat="1" applyFill="1" applyBorder="1" applyAlignment="1">
      <alignment horizontal="center"/>
    </xf>
    <xf numFmtId="1" fontId="0" fillId="5" borderId="5" xfId="0" applyNumberFormat="1" applyFill="1" applyBorder="1" applyAlignment="1">
      <alignment horizontal="center"/>
    </xf>
    <xf numFmtId="0" fontId="9" fillId="6" borderId="4" xfId="0" applyFont="1" applyFill="1" applyBorder="1"/>
    <xf numFmtId="0" fontId="9" fillId="4" borderId="16" xfId="0" applyFont="1" applyFill="1" applyBorder="1"/>
    <xf numFmtId="0" fontId="9" fillId="4" borderId="16" xfId="0" applyFont="1" applyFill="1" applyBorder="1" applyAlignment="1">
      <alignment horizontal="center"/>
    </xf>
    <xf numFmtId="1" fontId="0" fillId="5" borderId="2" xfId="0" applyNumberFormat="1" applyFill="1" applyBorder="1"/>
    <xf numFmtId="1" fontId="0" fillId="5" borderId="4" xfId="0" applyNumberFormat="1" applyFill="1" applyBorder="1"/>
    <xf numFmtId="0" fontId="11" fillId="6" borderId="0" xfId="0" applyFont="1" applyFill="1" applyBorder="1"/>
    <xf numFmtId="0" fontId="11" fillId="6" borderId="5" xfId="0" applyFont="1" applyFill="1" applyBorder="1"/>
    <xf numFmtId="0" fontId="0" fillId="0" borderId="25" xfId="0" applyBorder="1"/>
    <xf numFmtId="0" fontId="9" fillId="6" borderId="26" xfId="0" applyFont="1" applyFill="1" applyBorder="1"/>
    <xf numFmtId="0" fontId="10" fillId="5" borderId="27" xfId="0" applyFont="1" applyFill="1" applyBorder="1"/>
    <xf numFmtId="0" fontId="11" fillId="5" borderId="28" xfId="0" applyFont="1" applyFill="1" applyBorder="1"/>
    <xf numFmtId="0" fontId="11" fillId="5" borderId="29" xfId="0" applyFont="1" applyFill="1" applyBorder="1"/>
    <xf numFmtId="1" fontId="11" fillId="5" borderId="21" xfId="0" applyNumberFormat="1" applyFont="1" applyFill="1" applyBorder="1" applyAlignment="1">
      <alignment horizontal="left"/>
    </xf>
    <xf numFmtId="0" fontId="9" fillId="4" borderId="11" xfId="0" applyFont="1" applyFill="1" applyBorder="1" applyAlignment="1">
      <alignment horizontal="centerContinuous"/>
    </xf>
    <xf numFmtId="0" fontId="9" fillId="4" borderId="10" xfId="0" applyFont="1" applyFill="1" applyBorder="1" applyAlignment="1">
      <alignment horizontal="centerContinuous"/>
    </xf>
    <xf numFmtId="0" fontId="9" fillId="4" borderId="17" xfId="0" applyFont="1" applyFill="1" applyBorder="1" applyAlignment="1">
      <alignment horizontal="centerContinuous"/>
    </xf>
    <xf numFmtId="0" fontId="10" fillId="0" borderId="0" xfId="0" applyFont="1" applyAlignment="1">
      <alignment horizontal="right" vertical="top"/>
    </xf>
    <xf numFmtId="0" fontId="10" fillId="0" borderId="9" xfId="0" applyFont="1" applyBorder="1"/>
    <xf numFmtId="0" fontId="10" fillId="0" borderId="6" xfId="0" applyFont="1" applyBorder="1"/>
    <xf numFmtId="0" fontId="0" fillId="0" borderId="0" xfId="0" applyFont="1" applyFill="1" applyBorder="1"/>
    <xf numFmtId="0" fontId="10" fillId="0" borderId="4" xfId="0" applyFont="1" applyFill="1" applyBorder="1"/>
    <xf numFmtId="0" fontId="10" fillId="0" borderId="6" xfId="0" applyFont="1" applyFill="1" applyBorder="1"/>
    <xf numFmtId="0" fontId="0" fillId="0" borderId="19" xfId="0" applyBorder="1"/>
    <xf numFmtId="0" fontId="0" fillId="0" borderId="18" xfId="0" applyBorder="1"/>
    <xf numFmtId="0" fontId="9" fillId="5" borderId="21" xfId="0" applyFont="1" applyFill="1" applyBorder="1" applyAlignment="1">
      <alignment horizontal="right"/>
    </xf>
    <xf numFmtId="0" fontId="10" fillId="0" borderId="10" xfId="0" applyFont="1" applyBorder="1"/>
    <xf numFmtId="0" fontId="0" fillId="0" borderId="10" xfId="0" applyBorder="1" applyAlignment="1">
      <alignment horizontal="right"/>
    </xf>
    <xf numFmtId="3" fontId="0" fillId="0" borderId="18" xfId="0" applyNumberFormat="1" applyBorder="1"/>
    <xf numFmtId="3" fontId="9" fillId="5" borderId="19" xfId="0" applyNumberFormat="1" applyFont="1" applyFill="1" applyBorder="1"/>
    <xf numFmtId="9" fontId="0" fillId="5" borderId="21" xfId="0" applyNumberFormat="1" applyFill="1" applyBorder="1"/>
    <xf numFmtId="1" fontId="0" fillId="5" borderId="19" xfId="0" applyNumberFormat="1" applyFill="1" applyBorder="1" applyAlignment="1">
      <alignment horizontal="right"/>
    </xf>
    <xf numFmtId="0" fontId="33" fillId="0" borderId="1" xfId="0" applyFont="1" applyFill="1" applyBorder="1"/>
    <xf numFmtId="0" fontId="0" fillId="5" borderId="3" xfId="0" applyFill="1" applyBorder="1" applyAlignment="1">
      <alignment horizontal="left"/>
    </xf>
    <xf numFmtId="0" fontId="0" fillId="5" borderId="6" xfId="0" applyFill="1" applyBorder="1" applyAlignment="1">
      <alignment horizontal="left"/>
    </xf>
    <xf numFmtId="0" fontId="0" fillId="5" borderId="23" xfId="0" applyFill="1" applyBorder="1" applyAlignment="1">
      <alignment horizontal="left"/>
    </xf>
    <xf numFmtId="0" fontId="10" fillId="0" borderId="4" xfId="0" applyFont="1" applyBorder="1"/>
    <xf numFmtId="3" fontId="9" fillId="5" borderId="18" xfId="0" applyNumberFormat="1" applyFont="1" applyFill="1" applyBorder="1"/>
    <xf numFmtId="0" fontId="10" fillId="0" borderId="8" xfId="0" applyFont="1" applyFill="1" applyBorder="1"/>
    <xf numFmtId="0" fontId="10" fillId="0" borderId="9" xfId="0" applyFont="1" applyFill="1" applyBorder="1"/>
    <xf numFmtId="0" fontId="10" fillId="0" borderId="0" xfId="0" applyFont="1" applyFill="1" applyBorder="1" applyAlignment="1">
      <alignment horizontal="left"/>
    </xf>
    <xf numFmtId="0" fontId="33" fillId="0" borderId="2" xfId="0" applyFont="1" applyFill="1" applyBorder="1"/>
    <xf numFmtId="0" fontId="0" fillId="5" borderId="18" xfId="0" applyFill="1" applyBorder="1" applyAlignment="1">
      <alignment horizontal="right"/>
    </xf>
    <xf numFmtId="0" fontId="10" fillId="0" borderId="0" xfId="0" applyFont="1" applyAlignment="1">
      <alignment vertical="top"/>
    </xf>
    <xf numFmtId="0" fontId="0" fillId="0" borderId="0" xfId="0" applyAlignment="1">
      <alignment vertical="top"/>
    </xf>
    <xf numFmtId="167" fontId="10" fillId="5" borderId="21" xfId="0" applyNumberFormat="1" applyFont="1" applyFill="1" applyBorder="1"/>
    <xf numFmtId="0" fontId="10" fillId="6" borderId="4" xfId="0" applyFont="1" applyFill="1" applyBorder="1"/>
    <xf numFmtId="1" fontId="10" fillId="5" borderId="21" xfId="0" applyNumberFormat="1" applyFont="1" applyFill="1" applyBorder="1" applyAlignment="1">
      <alignment horizontal="right"/>
    </xf>
    <xf numFmtId="0" fontId="10" fillId="0" borderId="5" xfId="0" applyFont="1" applyFill="1" applyBorder="1"/>
    <xf numFmtId="167" fontId="10" fillId="0" borderId="5" xfId="0" applyNumberFormat="1" applyFont="1" applyFill="1" applyBorder="1"/>
    <xf numFmtId="0" fontId="0" fillId="0" borderId="2" xfId="0" applyFont="1" applyFill="1" applyBorder="1"/>
    <xf numFmtId="0" fontId="0" fillId="0" borderId="3" xfId="0" applyFont="1" applyFill="1" applyBorder="1"/>
    <xf numFmtId="3" fontId="9" fillId="5" borderId="21" xfId="0" applyNumberFormat="1" applyFont="1" applyFill="1" applyBorder="1"/>
    <xf numFmtId="0" fontId="10" fillId="0" borderId="30" xfId="0" applyFont="1" applyFill="1" applyBorder="1"/>
    <xf numFmtId="0" fontId="33" fillId="0" borderId="10" xfId="0" applyFont="1" applyFill="1" applyBorder="1"/>
    <xf numFmtId="3" fontId="9" fillId="0" borderId="10" xfId="0" applyNumberFormat="1" applyFont="1" applyFill="1" applyBorder="1"/>
    <xf numFmtId="0" fontId="10" fillId="0" borderId="10" xfId="0" applyFont="1" applyFill="1" applyBorder="1"/>
    <xf numFmtId="1" fontId="10" fillId="0" borderId="0" xfId="0" applyNumberFormat="1" applyFont="1" applyFill="1" applyBorder="1" applyAlignment="1">
      <alignment horizontal="right"/>
    </xf>
    <xf numFmtId="167" fontId="10" fillId="0" borderId="31" xfId="0" applyNumberFormat="1" applyFont="1" applyFill="1" applyBorder="1"/>
    <xf numFmtId="166" fontId="0" fillId="0" borderId="0" xfId="0" applyNumberFormat="1" applyFill="1" applyBorder="1"/>
    <xf numFmtId="9" fontId="0" fillId="0" borderId="0" xfId="0" applyNumberFormat="1" applyFill="1" applyBorder="1"/>
    <xf numFmtId="1" fontId="10" fillId="5" borderId="21" xfId="0" applyNumberFormat="1" applyFont="1" applyFill="1" applyBorder="1"/>
    <xf numFmtId="0" fontId="0" fillId="5" borderId="28" xfId="0" applyFill="1" applyBorder="1" applyAlignment="1">
      <alignment horizontal="right"/>
    </xf>
    <xf numFmtId="1" fontId="0" fillId="5" borderId="32" xfId="0" applyNumberFormat="1" applyFill="1" applyBorder="1" applyAlignment="1">
      <alignment horizontal="right"/>
    </xf>
    <xf numFmtId="9" fontId="0" fillId="5" borderId="28" xfId="0" applyNumberFormat="1" applyFill="1" applyBorder="1" applyAlignment="1">
      <alignment horizontal="right"/>
    </xf>
    <xf numFmtId="3" fontId="9" fillId="5" borderId="28" xfId="0" applyNumberFormat="1" applyFont="1" applyFill="1" applyBorder="1" applyAlignment="1">
      <alignment horizontal="right"/>
    </xf>
    <xf numFmtId="0" fontId="12" fillId="0" borderId="2" xfId="0" applyFont="1" applyFill="1" applyBorder="1"/>
    <xf numFmtId="0" fontId="33" fillId="0" borderId="4" xfId="0" applyFont="1" applyBorder="1"/>
    <xf numFmtId="1" fontId="9" fillId="5" borderId="29" xfId="0" applyNumberFormat="1" applyFont="1" applyFill="1" applyBorder="1"/>
    <xf numFmtId="166" fontId="0" fillId="0" borderId="28" xfId="0" applyNumberFormat="1" applyBorder="1"/>
    <xf numFmtId="0" fontId="10" fillId="0" borderId="0" xfId="0" applyFont="1" applyAlignment="1">
      <alignment horizontal="left" vertical="top"/>
    </xf>
    <xf numFmtId="0" fontId="9" fillId="0" borderId="0" xfId="0" applyFont="1" applyFill="1" applyAlignment="1">
      <alignment vertical="top"/>
    </xf>
    <xf numFmtId="0" fontId="34" fillId="0" borderId="0" xfId="0" applyFont="1"/>
    <xf numFmtId="4" fontId="10" fillId="5" borderId="33" xfId="0" applyNumberFormat="1" applyFont="1" applyFill="1" applyBorder="1" applyAlignment="1">
      <alignment horizontal="right" vertical="center" wrapText="1"/>
    </xf>
    <xf numFmtId="0" fontId="0" fillId="0" borderId="8" xfId="0" applyFont="1" applyFill="1" applyBorder="1"/>
    <xf numFmtId="167" fontId="0" fillId="0" borderId="0" xfId="0" applyNumberFormat="1"/>
    <xf numFmtId="2" fontId="0" fillId="5" borderId="18" xfId="0" applyNumberFormat="1" applyFill="1" applyBorder="1"/>
    <xf numFmtId="0" fontId="0" fillId="0" borderId="0" xfId="0" applyFill="1" applyAlignment="1">
      <alignment horizontal="center"/>
    </xf>
    <xf numFmtId="9" fontId="0" fillId="0" borderId="10" xfId="0" applyNumberFormat="1" applyFill="1" applyBorder="1"/>
    <xf numFmtId="0" fontId="33" fillId="0" borderId="1" xfId="0" applyFont="1" applyBorder="1"/>
    <xf numFmtId="0" fontId="10" fillId="6" borderId="2" xfId="0" applyFont="1" applyFill="1" applyBorder="1"/>
    <xf numFmtId="1" fontId="0" fillId="5" borderId="18" xfId="0" applyNumberFormat="1" applyFill="1" applyBorder="1" applyAlignment="1">
      <alignment horizontal="right"/>
    </xf>
    <xf numFmtId="0" fontId="12" fillId="0" borderId="4" xfId="0" applyFont="1" applyFill="1" applyBorder="1"/>
    <xf numFmtId="2" fontId="10" fillId="5" borderId="18" xfId="0" applyNumberFormat="1" applyFont="1" applyFill="1" applyBorder="1"/>
    <xf numFmtId="2" fontId="10" fillId="6" borderId="18" xfId="0" applyNumberFormat="1" applyFont="1" applyFill="1" applyBorder="1"/>
    <xf numFmtId="166" fontId="10" fillId="5" borderId="18" xfId="0" applyNumberFormat="1" applyFont="1" applyFill="1" applyBorder="1" applyAlignment="1">
      <alignment horizontal="right"/>
    </xf>
    <xf numFmtId="166" fontId="0" fillId="5" borderId="21" xfId="0" applyNumberFormat="1" applyFill="1" applyBorder="1" applyAlignment="1">
      <alignment horizontal="right"/>
    </xf>
    <xf numFmtId="1" fontId="10" fillId="0" borderId="0" xfId="0" applyNumberFormat="1" applyFont="1" applyFill="1" applyBorder="1"/>
    <xf numFmtId="166" fontId="9" fillId="5" borderId="19" xfId="0" applyNumberFormat="1" applyFont="1" applyFill="1" applyBorder="1"/>
    <xf numFmtId="2" fontId="9" fillId="5" borderId="18" xfId="0" applyNumberFormat="1" applyFont="1" applyFill="1" applyBorder="1"/>
    <xf numFmtId="166" fontId="0" fillId="5" borderId="18" xfId="0" applyNumberFormat="1" applyFill="1" applyBorder="1"/>
    <xf numFmtId="0" fontId="9" fillId="0" borderId="1" xfId="0" applyFont="1" applyFill="1" applyBorder="1"/>
    <xf numFmtId="0" fontId="9" fillId="0" borderId="2" xfId="0" applyFont="1" applyFill="1" applyBorder="1"/>
    <xf numFmtId="3" fontId="10" fillId="0" borderId="0" xfId="0" applyNumberFormat="1" applyFont="1" applyFill="1"/>
    <xf numFmtId="167" fontId="10" fillId="0" borderId="0" xfId="0" applyNumberFormat="1" applyFont="1" applyFill="1"/>
    <xf numFmtId="0" fontId="12" fillId="0" borderId="1" xfId="0" applyFont="1" applyFill="1" applyBorder="1"/>
    <xf numFmtId="0" fontId="12" fillId="0" borderId="11" xfId="0" applyFont="1" applyFill="1" applyBorder="1"/>
    <xf numFmtId="0" fontId="9" fillId="0" borderId="4" xfId="0" applyFont="1" applyFill="1" applyBorder="1"/>
    <xf numFmtId="166" fontId="9" fillId="5" borderId="21" xfId="0" applyNumberFormat="1" applyFont="1" applyFill="1" applyBorder="1"/>
    <xf numFmtId="3" fontId="0" fillId="0" borderId="19" xfId="0" applyNumberFormat="1" applyBorder="1"/>
    <xf numFmtId="167" fontId="0" fillId="5" borderId="21" xfId="0" applyNumberFormat="1" applyFill="1" applyBorder="1"/>
    <xf numFmtId="1" fontId="9" fillId="5" borderId="19" xfId="0" applyNumberFormat="1" applyFont="1" applyFill="1" applyBorder="1"/>
    <xf numFmtId="0" fontId="0" fillId="0" borderId="26" xfId="0" applyFill="1" applyBorder="1"/>
    <xf numFmtId="0" fontId="18" fillId="0" borderId="0" xfId="0" applyFont="1" applyFill="1"/>
    <xf numFmtId="0" fontId="10" fillId="0" borderId="0" xfId="0" applyFont="1" applyAlignment="1">
      <alignment vertical="top" wrapText="1"/>
    </xf>
    <xf numFmtId="0" fontId="0" fillId="0" borderId="0" xfId="0" applyAlignment="1">
      <alignment horizontal="center" vertical="top"/>
    </xf>
    <xf numFmtId="0" fontId="0" fillId="0" borderId="0" xfId="0" applyAlignment="1">
      <alignment horizontal="left" vertical="top"/>
    </xf>
    <xf numFmtId="0" fontId="22" fillId="0" borderId="0" xfId="0" applyFont="1" applyAlignment="1">
      <alignment vertical="top"/>
    </xf>
    <xf numFmtId="0" fontId="22" fillId="0" borderId="0" xfId="0" applyFont="1" applyAlignment="1">
      <alignment horizontal="center" vertical="top"/>
    </xf>
    <xf numFmtId="0" fontId="0" fillId="0" borderId="0" xfId="0" applyFill="1" applyAlignment="1">
      <alignment vertical="top"/>
    </xf>
    <xf numFmtId="0" fontId="10" fillId="0" borderId="0" xfId="0" applyFont="1" applyFill="1" applyAlignment="1">
      <alignment vertical="top"/>
    </xf>
    <xf numFmtId="0" fontId="9" fillId="0" borderId="0" xfId="0" applyFont="1" applyFill="1" applyAlignment="1">
      <alignment horizontal="left"/>
    </xf>
    <xf numFmtId="0" fontId="31" fillId="0" borderId="0" xfId="0" applyFont="1" applyFill="1" applyBorder="1"/>
    <xf numFmtId="2" fontId="0" fillId="0" borderId="0" xfId="0" applyNumberFormat="1"/>
    <xf numFmtId="0" fontId="10" fillId="6" borderId="0" xfId="0" applyFont="1" applyFill="1" applyBorder="1"/>
    <xf numFmtId="0" fontId="9" fillId="0" borderId="0" xfId="0" applyFont="1" applyFill="1" applyBorder="1" applyAlignment="1">
      <alignment horizontal="center"/>
    </xf>
    <xf numFmtId="4" fontId="10" fillId="5" borderId="18" xfId="0" applyNumberFormat="1" applyFont="1" applyFill="1" applyBorder="1" applyAlignment="1">
      <alignment horizontal="right" vertical="center" wrapText="1"/>
    </xf>
    <xf numFmtId="3" fontId="10" fillId="5" borderId="18" xfId="0" applyNumberFormat="1" applyFont="1" applyFill="1" applyBorder="1" applyAlignment="1">
      <alignment horizontal="right" vertical="center" wrapText="1"/>
    </xf>
    <xf numFmtId="0" fontId="8" fillId="0" borderId="6" xfId="0" applyFont="1" applyFill="1" applyBorder="1"/>
    <xf numFmtId="0" fontId="0" fillId="0" borderId="11" xfId="0" applyBorder="1"/>
    <xf numFmtId="0" fontId="0" fillId="0" borderId="17" xfId="0" applyBorder="1"/>
    <xf numFmtId="0" fontId="8" fillId="0" borderId="0" xfId="0" applyFont="1" applyFill="1"/>
    <xf numFmtId="0" fontId="8" fillId="0" borderId="1" xfId="0" applyFont="1" applyBorder="1"/>
    <xf numFmtId="0" fontId="8" fillId="0" borderId="8" xfId="0" applyFont="1" applyBorder="1"/>
    <xf numFmtId="0" fontId="8" fillId="0" borderId="9" xfId="0" applyFont="1" applyBorder="1"/>
    <xf numFmtId="0" fontId="8" fillId="0" borderId="2" xfId="0" applyFont="1" applyFill="1" applyBorder="1"/>
    <xf numFmtId="0" fontId="8" fillId="0" borderId="0" xfId="0" applyFont="1" applyBorder="1"/>
    <xf numFmtId="0" fontId="8" fillId="0" borderId="3" xfId="0" applyFont="1" applyFill="1" applyBorder="1"/>
    <xf numFmtId="0" fontId="8" fillId="0" borderId="0" xfId="0" applyFont="1" applyFill="1" applyBorder="1"/>
    <xf numFmtId="9" fontId="8" fillId="5" borderId="18" xfId="0" applyNumberFormat="1" applyFont="1" applyFill="1" applyBorder="1" applyAlignment="1">
      <alignment horizontal="center"/>
    </xf>
    <xf numFmtId="0" fontId="8" fillId="0" borderId="3" xfId="0" applyFont="1" applyBorder="1"/>
    <xf numFmtId="0" fontId="8" fillId="5" borderId="18" xfId="0" applyFont="1" applyFill="1" applyBorder="1" applyAlignment="1">
      <alignment horizontal="center"/>
    </xf>
    <xf numFmtId="0" fontId="8" fillId="0" borderId="2" xfId="0" applyFont="1" applyBorder="1"/>
    <xf numFmtId="0" fontId="8" fillId="0" borderId="4" xfId="0" applyFont="1" applyBorder="1"/>
    <xf numFmtId="0" fontId="8" fillId="5" borderId="21" xfId="0" applyFont="1" applyFill="1" applyBorder="1" applyAlignment="1">
      <alignment horizontal="center"/>
    </xf>
    <xf numFmtId="0" fontId="8" fillId="0" borderId="5" xfId="0" applyFont="1" applyBorder="1"/>
    <xf numFmtId="0" fontId="8" fillId="0" borderId="6" xfId="0" applyFont="1" applyBorder="1"/>
    <xf numFmtId="0" fontId="8" fillId="0" borderId="0" xfId="0" applyFont="1" applyFill="1" applyBorder="1" applyAlignment="1">
      <alignment horizontal="center"/>
    </xf>
    <xf numFmtId="1" fontId="9" fillId="5" borderId="18" xfId="0" applyNumberFormat="1" applyFont="1" applyFill="1" applyBorder="1" applyAlignment="1">
      <alignment horizontal="center"/>
    </xf>
    <xf numFmtId="1" fontId="9" fillId="5" borderId="21" xfId="0" applyNumberFormat="1" applyFont="1" applyFill="1" applyBorder="1" applyAlignment="1">
      <alignment horizontal="center"/>
    </xf>
    <xf numFmtId="0" fontId="8" fillId="0" borderId="1" xfId="0" applyFont="1" applyFill="1" applyBorder="1"/>
    <xf numFmtId="164" fontId="8" fillId="5" borderId="19" xfId="0" applyNumberFormat="1" applyFont="1" applyFill="1" applyBorder="1" applyAlignment="1">
      <alignment horizontal="center"/>
    </xf>
    <xf numFmtId="0" fontId="8" fillId="0" borderId="8" xfId="0" applyFont="1" applyFill="1" applyBorder="1"/>
    <xf numFmtId="0" fontId="8" fillId="0" borderId="9" xfId="0" applyFont="1" applyFill="1" applyBorder="1"/>
    <xf numFmtId="0" fontId="8" fillId="0" borderId="5" xfId="0" applyFont="1" applyFill="1" applyBorder="1"/>
    <xf numFmtId="0" fontId="12" fillId="0" borderId="2" xfId="0" applyFont="1" applyBorder="1"/>
    <xf numFmtId="0" fontId="37" fillId="0" borderId="0" xfId="0" applyFont="1" applyFill="1"/>
    <xf numFmtId="0" fontId="8" fillId="0" borderId="4" xfId="0" applyFont="1" applyFill="1" applyBorder="1"/>
    <xf numFmtId="166" fontId="8" fillId="5" borderId="21" xfId="0" applyNumberFormat="1" applyFont="1" applyFill="1" applyBorder="1" applyAlignment="1">
      <alignment horizontal="center"/>
    </xf>
    <xf numFmtId="0" fontId="8" fillId="0" borderId="0" xfId="0" applyFont="1" applyFill="1" applyAlignment="1">
      <alignment horizontal="center"/>
    </xf>
    <xf numFmtId="165" fontId="8" fillId="5" borderId="18" xfId="0" applyNumberFormat="1" applyFont="1" applyFill="1" applyBorder="1" applyAlignment="1">
      <alignment horizontal="center"/>
    </xf>
    <xf numFmtId="0" fontId="37" fillId="0" borderId="0" xfId="0" applyFont="1" applyFill="1" applyBorder="1"/>
    <xf numFmtId="3" fontId="8" fillId="0" borderId="0" xfId="0" applyNumberFormat="1" applyFont="1" applyFill="1" applyBorder="1" applyAlignment="1">
      <alignment horizontal="center"/>
    </xf>
    <xf numFmtId="167" fontId="8" fillId="0" borderId="0" xfId="0" applyNumberFormat="1" applyFont="1" applyFill="1" applyBorder="1" applyAlignment="1">
      <alignment horizontal="center"/>
    </xf>
    <xf numFmtId="167" fontId="8" fillId="0" borderId="0" xfId="0" applyNumberFormat="1" applyFont="1"/>
    <xf numFmtId="3" fontId="10" fillId="0" borderId="0" xfId="0" applyNumberFormat="1" applyFont="1" applyFill="1" applyBorder="1"/>
    <xf numFmtId="0" fontId="0" fillId="0" borderId="0" xfId="0" applyFill="1" applyAlignment="1">
      <alignment horizontal="right"/>
    </xf>
    <xf numFmtId="0" fontId="10" fillId="0" borderId="0" xfId="0" quotePrefix="1" applyFont="1" applyFill="1" applyAlignment="1">
      <alignment horizontal="right"/>
    </xf>
    <xf numFmtId="0" fontId="18" fillId="0" borderId="0" xfId="0" applyFont="1" applyAlignment="1">
      <alignment vertical="center"/>
    </xf>
    <xf numFmtId="0" fontId="0" fillId="0" borderId="0" xfId="0" applyFill="1" applyAlignment="1">
      <alignment horizontal="left"/>
    </xf>
    <xf numFmtId="0" fontId="9" fillId="5" borderId="1" xfId="0" applyFont="1" applyFill="1" applyBorder="1" applyAlignment="1">
      <alignment horizontal="center"/>
    </xf>
    <xf numFmtId="0" fontId="9" fillId="5" borderId="2" xfId="0" applyFont="1" applyFill="1" applyBorder="1" applyAlignment="1">
      <alignment horizontal="center"/>
    </xf>
    <xf numFmtId="0" fontId="9" fillId="5" borderId="4" xfId="0" applyFont="1" applyFill="1" applyBorder="1" applyAlignment="1">
      <alignment horizontal="center"/>
    </xf>
    <xf numFmtId="0" fontId="9" fillId="0" borderId="41" xfId="0" applyFont="1" applyFill="1" applyBorder="1" applyAlignment="1">
      <alignment horizontal="centerContinuous"/>
    </xf>
    <xf numFmtId="0" fontId="0" fillId="0" borderId="42" xfId="0" applyBorder="1" applyAlignment="1">
      <alignment horizontal="centerContinuous"/>
    </xf>
    <xf numFmtId="0" fontId="0" fillId="0" borderId="43" xfId="0" applyFill="1" applyBorder="1" applyAlignment="1">
      <alignment horizontal="centerContinuous"/>
    </xf>
    <xf numFmtId="1" fontId="0" fillId="5" borderId="18" xfId="0" applyNumberFormat="1" applyFill="1" applyBorder="1"/>
    <xf numFmtId="3" fontId="0" fillId="5" borderId="18" xfId="0" applyNumberFormat="1" applyFill="1" applyBorder="1"/>
    <xf numFmtId="0" fontId="0" fillId="5" borderId="18" xfId="0" applyFill="1" applyBorder="1"/>
    <xf numFmtId="0" fontId="0" fillId="0" borderId="0" xfId="0" quotePrefix="1" applyFill="1" applyBorder="1"/>
    <xf numFmtId="4" fontId="0" fillId="0" borderId="0" xfId="0" applyNumberFormat="1" applyFill="1" applyBorder="1"/>
    <xf numFmtId="0" fontId="11" fillId="5" borderId="21" xfId="0" applyFont="1" applyFill="1" applyBorder="1"/>
    <xf numFmtId="0" fontId="11" fillId="0" borderId="0" xfId="0" applyFont="1" applyFill="1" applyBorder="1"/>
    <xf numFmtId="1" fontId="0" fillId="5" borderId="29" xfId="0" applyNumberFormat="1" applyFill="1" applyBorder="1" applyAlignment="1">
      <alignment horizontal="right"/>
    </xf>
    <xf numFmtId="166" fontId="8" fillId="5" borderId="21" xfId="0" applyNumberFormat="1" applyFont="1" applyFill="1" applyBorder="1"/>
    <xf numFmtId="1" fontId="0" fillId="5" borderId="21" xfId="0" applyNumberFormat="1" applyFill="1" applyBorder="1"/>
    <xf numFmtId="0" fontId="12" fillId="0" borderId="1" xfId="0" applyFont="1" applyBorder="1"/>
    <xf numFmtId="2" fontId="0" fillId="0" borderId="18" xfId="0" applyNumberFormat="1" applyBorder="1"/>
    <xf numFmtId="0" fontId="0" fillId="0" borderId="17" xfId="0" applyBorder="1" applyAlignment="1"/>
    <xf numFmtId="0" fontId="0" fillId="0" borderId="0" xfId="0" applyAlignment="1">
      <alignment wrapText="1"/>
    </xf>
    <xf numFmtId="0" fontId="0" fillId="0" borderId="1" xfId="0" applyBorder="1" applyAlignment="1">
      <alignment horizontal="left" indent="1"/>
    </xf>
    <xf numFmtId="0" fontId="0" fillId="0" borderId="4" xfId="0" applyBorder="1" applyAlignment="1">
      <alignment horizontal="left" indent="1"/>
    </xf>
    <xf numFmtId="0" fontId="8" fillId="0" borderId="0" xfId="0" applyFont="1" applyAlignment="1">
      <alignment horizontal="left" vertical="top" wrapText="1"/>
    </xf>
    <xf numFmtId="0" fontId="11" fillId="0" borderId="2" xfId="0" applyFont="1" applyFill="1" applyBorder="1"/>
    <xf numFmtId="0" fontId="11" fillId="5" borderId="18" xfId="0" applyFont="1" applyFill="1" applyBorder="1"/>
    <xf numFmtId="0" fontId="0" fillId="5" borderId="18" xfId="0" applyNumberFormat="1" applyFill="1" applyBorder="1"/>
    <xf numFmtId="0" fontId="18" fillId="0" borderId="0" xfId="0" applyFont="1" applyAlignment="1">
      <alignment vertical="top"/>
    </xf>
    <xf numFmtId="0" fontId="0" fillId="0" borderId="9" xfId="0" applyBorder="1" applyAlignment="1"/>
    <xf numFmtId="0" fontId="0" fillId="0" borderId="6" xfId="0" applyBorder="1" applyAlignment="1"/>
    <xf numFmtId="0" fontId="0" fillId="5" borderId="29" xfId="0" applyFill="1" applyBorder="1" applyAlignment="1">
      <alignment horizontal="center"/>
    </xf>
    <xf numFmtId="0" fontId="9" fillId="5" borderId="16" xfId="0" applyFont="1" applyFill="1" applyBorder="1" applyAlignment="1">
      <alignment horizontal="center"/>
    </xf>
    <xf numFmtId="0" fontId="0" fillId="0" borderId="11" xfId="0" applyFill="1" applyBorder="1" applyAlignment="1">
      <alignment horizontal="left" indent="1"/>
    </xf>
    <xf numFmtId="1" fontId="8" fillId="5" borderId="19" xfId="0" applyNumberFormat="1" applyFont="1" applyFill="1" applyBorder="1" applyAlignment="1">
      <alignment horizontal="center"/>
    </xf>
    <xf numFmtId="1" fontId="8" fillId="5" borderId="18" xfId="0" applyNumberFormat="1" applyFont="1" applyFill="1" applyBorder="1" applyAlignment="1">
      <alignment horizontal="center"/>
    </xf>
    <xf numFmtId="166" fontId="8" fillId="0" borderId="0" xfId="0" applyNumberFormat="1" applyFont="1" applyFill="1" applyBorder="1" applyAlignment="1">
      <alignment horizontal="right"/>
    </xf>
    <xf numFmtId="2" fontId="8" fillId="0" borderId="0" xfId="0" applyNumberFormat="1" applyFont="1"/>
    <xf numFmtId="0" fontId="18" fillId="0" borderId="0" xfId="0" applyFont="1" applyFill="1" applyAlignment="1">
      <alignment vertical="top"/>
    </xf>
    <xf numFmtId="0" fontId="0" fillId="0" borderId="18" xfId="0" applyFill="1" applyBorder="1" applyAlignment="1">
      <alignment horizontal="center"/>
    </xf>
    <xf numFmtId="0" fontId="0" fillId="0" borderId="44" xfId="0" applyFill="1" applyBorder="1" applyAlignment="1">
      <alignment horizontal="center"/>
    </xf>
    <xf numFmtId="0" fontId="0" fillId="0" borderId="45" xfId="0" applyFill="1" applyBorder="1" applyAlignment="1">
      <alignment horizontal="center"/>
    </xf>
    <xf numFmtId="0" fontId="0" fillId="0" borderId="46" xfId="0" applyFill="1" applyBorder="1" applyAlignment="1">
      <alignment horizontal="center"/>
    </xf>
    <xf numFmtId="0" fontId="0" fillId="0" borderId="15" xfId="0" applyFill="1" applyBorder="1" applyAlignment="1">
      <alignment horizontal="center"/>
    </xf>
    <xf numFmtId="0" fontId="0" fillId="0" borderId="47" xfId="0" applyFill="1" applyBorder="1"/>
    <xf numFmtId="0" fontId="0" fillId="0" borderId="38" xfId="0" applyFill="1" applyBorder="1" applyAlignment="1">
      <alignment horizontal="center"/>
    </xf>
    <xf numFmtId="0" fontId="0" fillId="0" borderId="48" xfId="0" applyFill="1" applyBorder="1" applyAlignment="1">
      <alignment horizontal="center"/>
    </xf>
    <xf numFmtId="0" fontId="0" fillId="0" borderId="0" xfId="0" applyAlignment="1">
      <alignment horizontal="left" vertical="top" wrapText="1"/>
    </xf>
    <xf numFmtId="1" fontId="0" fillId="0" borderId="0" xfId="0" applyNumberFormat="1" applyFill="1"/>
    <xf numFmtId="1" fontId="8" fillId="5" borderId="21" xfId="0" applyNumberFormat="1" applyFont="1" applyFill="1" applyBorder="1" applyAlignment="1">
      <alignment horizontal="right"/>
    </xf>
    <xf numFmtId="0" fontId="10" fillId="0" borderId="11" xfId="0" applyFont="1" applyFill="1" applyBorder="1"/>
    <xf numFmtId="1" fontId="0" fillId="5" borderId="20" xfId="0" applyNumberFormat="1" applyFill="1" applyBorder="1" applyAlignment="1">
      <alignment horizontal="right"/>
    </xf>
    <xf numFmtId="0" fontId="10" fillId="0" borderId="17" xfId="0" applyFont="1" applyBorder="1" applyAlignment="1">
      <alignment vertical="center"/>
    </xf>
    <xf numFmtId="1" fontId="0" fillId="5" borderId="21" xfId="0" applyNumberFormat="1" applyFill="1" applyBorder="1" applyAlignment="1">
      <alignment horizontal="right"/>
    </xf>
    <xf numFmtId="0" fontId="10" fillId="0" borderId="0" xfId="0" applyFont="1" applyAlignment="1">
      <alignment horizontal="left" vertical="top" wrapText="1"/>
    </xf>
    <xf numFmtId="0" fontId="0" fillId="0" borderId="22" xfId="0" applyFill="1" applyBorder="1"/>
    <xf numFmtId="0" fontId="0" fillId="0" borderId="24" xfId="0" applyFill="1" applyBorder="1"/>
    <xf numFmtId="0" fontId="9" fillId="0" borderId="0" xfId="0" applyFont="1" applyAlignment="1">
      <alignment vertical="top"/>
    </xf>
    <xf numFmtId="0" fontId="0" fillId="0" borderId="0" xfId="0" applyFill="1" applyAlignment="1">
      <alignment vertical="top" wrapText="1"/>
    </xf>
    <xf numFmtId="0" fontId="0" fillId="0" borderId="0" xfId="0" applyFill="1" applyAlignment="1">
      <alignment wrapText="1"/>
    </xf>
    <xf numFmtId="0" fontId="9" fillId="0" borderId="0" xfId="0" applyFont="1" applyFill="1" applyAlignment="1"/>
    <xf numFmtId="0" fontId="9" fillId="4" borderId="0" xfId="0" applyFont="1" applyFill="1" applyAlignment="1">
      <alignment horizontal="center"/>
    </xf>
    <xf numFmtId="0" fontId="9" fillId="6" borderId="1" xfId="0" applyFont="1" applyFill="1" applyBorder="1"/>
    <xf numFmtId="0" fontId="9" fillId="6" borderId="9" xfId="0" applyFont="1" applyFill="1" applyBorder="1"/>
    <xf numFmtId="0" fontId="9" fillId="6" borderId="32" xfId="0" applyFont="1" applyFill="1" applyBorder="1" applyAlignment="1">
      <alignment horizontal="center" textRotation="90" wrapText="1"/>
    </xf>
    <xf numFmtId="0" fontId="9" fillId="6" borderId="2" xfId="0" applyFont="1" applyFill="1" applyBorder="1" applyAlignment="1">
      <alignment horizontal="center" textRotation="90" wrapText="1"/>
    </xf>
    <xf numFmtId="0" fontId="9" fillId="6" borderId="0" xfId="0" applyFont="1" applyFill="1" applyBorder="1" applyAlignment="1">
      <alignment horizontal="center" textRotation="90" wrapText="1"/>
    </xf>
    <xf numFmtId="0" fontId="9" fillId="6" borderId="3" xfId="0" applyFont="1" applyFill="1" applyBorder="1" applyAlignment="1">
      <alignment horizontal="center" textRotation="90" wrapText="1"/>
    </xf>
    <xf numFmtId="0" fontId="9" fillId="6" borderId="1" xfId="0" applyFont="1" applyFill="1" applyBorder="1" applyAlignment="1">
      <alignment horizontal="center" textRotation="90"/>
    </xf>
    <xf numFmtId="0" fontId="9" fillId="6" borderId="8" xfId="0" applyFont="1" applyFill="1" applyBorder="1" applyAlignment="1">
      <alignment horizontal="center" textRotation="90"/>
    </xf>
    <xf numFmtId="0" fontId="9" fillId="6" borderId="0" xfId="0" applyFont="1" applyFill="1" applyAlignment="1">
      <alignment horizontal="left" textRotation="90" wrapText="1"/>
    </xf>
    <xf numFmtId="0" fontId="9" fillId="6" borderId="9" xfId="0" applyFont="1" applyFill="1" applyBorder="1" applyAlignment="1">
      <alignment horizontal="center" textRotation="90"/>
    </xf>
    <xf numFmtId="0" fontId="11" fillId="6" borderId="32" xfId="0" applyFont="1" applyFill="1" applyBorder="1" applyAlignment="1">
      <alignment horizontal="center" textRotation="90" wrapText="1"/>
    </xf>
    <xf numFmtId="0" fontId="0" fillId="6" borderId="49" xfId="0" applyFill="1" applyBorder="1"/>
    <xf numFmtId="0" fontId="9" fillId="6" borderId="50" xfId="0" applyFont="1" applyFill="1" applyBorder="1"/>
    <xf numFmtId="0" fontId="9" fillId="6" borderId="51" xfId="0" applyFont="1" applyFill="1" applyBorder="1" applyAlignment="1">
      <alignment horizontal="center"/>
    </xf>
    <xf numFmtId="0" fontId="9" fillId="6" borderId="49" xfId="0" applyFont="1" applyFill="1" applyBorder="1" applyAlignment="1">
      <alignment horizontal="center"/>
    </xf>
    <xf numFmtId="0" fontId="9" fillId="6" borderId="14" xfId="0" applyFont="1" applyFill="1" applyBorder="1" applyAlignment="1">
      <alignment horizontal="center"/>
    </xf>
    <xf numFmtId="0" fontId="9" fillId="6" borderId="50" xfId="0" applyFont="1" applyFill="1" applyBorder="1" applyAlignment="1">
      <alignment horizontal="center"/>
    </xf>
    <xf numFmtId="0" fontId="13" fillId="6" borderId="51" xfId="0" applyFont="1" applyFill="1" applyBorder="1"/>
    <xf numFmtId="0" fontId="9" fillId="4" borderId="17" xfId="0" applyFont="1" applyFill="1" applyBorder="1"/>
    <xf numFmtId="0" fontId="0" fillId="6" borderId="2" xfId="0" applyFill="1" applyBorder="1"/>
    <xf numFmtId="0" fontId="0" fillId="6" borderId="0" xfId="0" applyFill="1" applyBorder="1"/>
    <xf numFmtId="0" fontId="0" fillId="6" borderId="4" xfId="0" applyFill="1" applyBorder="1"/>
    <xf numFmtId="0" fontId="0" fillId="6" borderId="5" xfId="0" applyFill="1" applyBorder="1"/>
    <xf numFmtId="0" fontId="10" fillId="6" borderId="2" xfId="0" applyFont="1" applyFill="1" applyBorder="1" applyAlignment="1">
      <alignment horizontal="left"/>
    </xf>
    <xf numFmtId="0" fontId="0" fillId="6" borderId="2" xfId="0" applyFill="1" applyBorder="1" applyAlignment="1">
      <alignment horizontal="left"/>
    </xf>
    <xf numFmtId="0" fontId="0" fillId="6" borderId="4" xfId="0" applyFill="1" applyBorder="1" applyAlignment="1">
      <alignment horizontal="left"/>
    </xf>
    <xf numFmtId="0" fontId="10" fillId="6" borderId="2" xfId="0" quotePrefix="1" applyFont="1" applyFill="1" applyBorder="1" applyAlignment="1">
      <alignment horizontal="right"/>
    </xf>
    <xf numFmtId="0" fontId="0" fillId="6" borderId="3" xfId="0" applyFill="1" applyBorder="1"/>
    <xf numFmtId="0" fontId="10" fillId="6" borderId="4" xfId="0" quotePrefix="1" applyFont="1" applyFill="1" applyBorder="1" applyAlignment="1">
      <alignment horizontal="right"/>
    </xf>
    <xf numFmtId="0" fontId="10" fillId="6" borderId="5" xfId="0" applyFont="1" applyFill="1" applyBorder="1"/>
    <xf numFmtId="0" fontId="0" fillId="6" borderId="6" xfId="0" applyFill="1" applyBorder="1"/>
    <xf numFmtId="0" fontId="9" fillId="6" borderId="5" xfId="0" applyFont="1" applyFill="1" applyBorder="1"/>
    <xf numFmtId="0" fontId="0" fillId="6" borderId="50" xfId="0" applyFill="1" applyBorder="1"/>
    <xf numFmtId="0" fontId="9" fillId="6" borderId="1" xfId="0" applyFont="1" applyFill="1" applyBorder="1" applyAlignment="1">
      <alignment horizontal="center"/>
    </xf>
    <xf numFmtId="0" fontId="9" fillId="6" borderId="52" xfId="0" applyFont="1" applyFill="1" applyBorder="1" applyAlignment="1">
      <alignment horizontal="center"/>
    </xf>
    <xf numFmtId="0" fontId="9" fillId="6" borderId="42" xfId="0" applyFont="1" applyFill="1" applyBorder="1"/>
    <xf numFmtId="0" fontId="9" fillId="6" borderId="53" xfId="0" applyFont="1" applyFill="1" applyBorder="1" applyAlignment="1">
      <alignment horizontal="center"/>
    </xf>
    <xf numFmtId="0" fontId="9" fillId="6" borderId="54" xfId="0" applyFont="1" applyFill="1" applyBorder="1" applyAlignment="1">
      <alignment horizontal="center"/>
    </xf>
    <xf numFmtId="0" fontId="9" fillId="6" borderId="41" xfId="0" applyFont="1" applyFill="1" applyBorder="1"/>
    <xf numFmtId="0" fontId="9" fillId="6" borderId="55" xfId="0" applyFont="1" applyFill="1" applyBorder="1" applyAlignment="1">
      <alignment horizontal="center"/>
    </xf>
    <xf numFmtId="0" fontId="9" fillId="0" borderId="0" xfId="0" applyFont="1" applyFill="1" applyAlignment="1">
      <alignment horizontal="center"/>
    </xf>
    <xf numFmtId="0" fontId="0" fillId="0" borderId="2" xfId="0" applyFill="1" applyBorder="1" applyAlignment="1"/>
    <xf numFmtId="0" fontId="0" fillId="0" borderId="0" xfId="0" applyFill="1" applyBorder="1" applyAlignment="1"/>
    <xf numFmtId="0" fontId="0" fillId="0" borderId="7" xfId="0" applyBorder="1" applyAlignment="1"/>
    <xf numFmtId="0" fontId="0" fillId="0" borderId="24" xfId="0" applyFill="1" applyBorder="1" applyAlignment="1"/>
    <xf numFmtId="0" fontId="0" fillId="0" borderId="22" xfId="0" applyFill="1" applyBorder="1" applyAlignment="1"/>
    <xf numFmtId="0" fontId="0" fillId="0" borderId="0" xfId="0" applyBorder="1" applyAlignment="1"/>
    <xf numFmtId="4" fontId="0" fillId="5" borderId="5" xfId="0" applyNumberFormat="1" applyFill="1" applyBorder="1" applyAlignment="1">
      <alignment horizontal="center"/>
    </xf>
    <xf numFmtId="0" fontId="9" fillId="6" borderId="5" xfId="0" applyFont="1" applyFill="1" applyBorder="1" applyAlignment="1">
      <alignment horizontal="center"/>
    </xf>
    <xf numFmtId="4" fontId="0" fillId="5" borderId="8" xfId="0" applyNumberFormat="1" applyFill="1" applyBorder="1" applyAlignment="1">
      <alignment horizontal="center"/>
    </xf>
    <xf numFmtId="4" fontId="0" fillId="5" borderId="0" xfId="0" applyNumberFormat="1" applyFill="1" applyBorder="1" applyAlignment="1">
      <alignment horizontal="center"/>
    </xf>
    <xf numFmtId="0" fontId="0" fillId="0" borderId="4" xfId="0" applyFill="1" applyBorder="1" applyAlignment="1"/>
    <xf numFmtId="0" fontId="0" fillId="0" borderId="5" xfId="0" applyFill="1" applyBorder="1" applyAlignment="1"/>
    <xf numFmtId="0" fontId="0" fillId="0" borderId="56" xfId="0" applyFill="1" applyBorder="1" applyAlignment="1"/>
    <xf numFmtId="0" fontId="0" fillId="0" borderId="47" xfId="0" applyFill="1" applyBorder="1" applyAlignment="1"/>
    <xf numFmtId="0" fontId="0" fillId="0" borderId="57" xfId="0" applyBorder="1" applyAlignment="1"/>
    <xf numFmtId="0" fontId="19" fillId="0" borderId="0" xfId="0" applyFont="1" applyFill="1"/>
    <xf numFmtId="0" fontId="9" fillId="4" borderId="0" xfId="0" applyFont="1" applyFill="1" applyAlignment="1">
      <alignment horizontal="center" vertical="top"/>
    </xf>
    <xf numFmtId="0" fontId="0" fillId="0" borderId="56" xfId="0" applyFill="1" applyBorder="1"/>
    <xf numFmtId="0" fontId="9" fillId="4" borderId="0" xfId="0" applyFont="1" applyFill="1" applyBorder="1" applyAlignment="1">
      <alignment horizontal="center"/>
    </xf>
    <xf numFmtId="0" fontId="9" fillId="0" borderId="0" xfId="0" applyFont="1" applyAlignment="1">
      <alignment horizontal="center" vertical="top" wrapText="1"/>
    </xf>
    <xf numFmtId="0" fontId="33" fillId="0" borderId="4" xfId="0" applyFont="1" applyFill="1" applyBorder="1"/>
    <xf numFmtId="0" fontId="8" fillId="0" borderId="0" xfId="0" applyFont="1" applyAlignment="1">
      <alignment vertical="top"/>
    </xf>
    <xf numFmtId="0" fontId="9" fillId="0" borderId="2" xfId="0" applyFont="1" applyFill="1" applyBorder="1" applyAlignment="1">
      <alignment horizontal="center"/>
    </xf>
    <xf numFmtId="0" fontId="9" fillId="0" borderId="4" xfId="0" applyFont="1" applyFill="1" applyBorder="1" applyAlignment="1">
      <alignment horizontal="center"/>
    </xf>
    <xf numFmtId="1" fontId="0" fillId="0" borderId="0" xfId="0" applyNumberFormat="1" applyFill="1" applyBorder="1" applyProtection="1">
      <protection locked="0"/>
    </xf>
    <xf numFmtId="1" fontId="0" fillId="0" borderId="3" xfId="0" applyNumberFormat="1" applyFill="1" applyBorder="1" applyProtection="1">
      <protection locked="0"/>
    </xf>
    <xf numFmtId="1" fontId="0" fillId="0" borderId="5" xfId="0" applyNumberFormat="1" applyFill="1" applyBorder="1" applyProtection="1">
      <protection locked="0"/>
    </xf>
    <xf numFmtId="3" fontId="0" fillId="6" borderId="16" xfId="0" applyNumberFormat="1" applyFill="1" applyBorder="1" applyProtection="1">
      <protection locked="0"/>
    </xf>
    <xf numFmtId="0" fontId="0" fillId="6" borderId="16" xfId="0" applyFill="1" applyBorder="1" applyProtection="1">
      <protection locked="0"/>
    </xf>
    <xf numFmtId="0" fontId="9" fillId="0" borderId="3" xfId="0" applyFont="1" applyFill="1" applyBorder="1" applyProtection="1">
      <protection locked="0"/>
    </xf>
    <xf numFmtId="1" fontId="0" fillId="0" borderId="28" xfId="0" applyNumberFormat="1" applyFill="1" applyBorder="1" applyProtection="1">
      <protection locked="0"/>
    </xf>
    <xf numFmtId="0" fontId="9" fillId="0" borderId="6" xfId="0" applyFont="1" applyFill="1" applyBorder="1" applyProtection="1">
      <protection locked="0"/>
    </xf>
    <xf numFmtId="1" fontId="0" fillId="0" borderId="29" xfId="0" applyNumberFormat="1" applyFill="1" applyBorder="1" applyProtection="1">
      <protection locked="0"/>
    </xf>
    <xf numFmtId="1" fontId="0" fillId="0" borderId="6" xfId="0" applyNumberFormat="1" applyFill="1" applyBorder="1" applyProtection="1">
      <protection locked="0"/>
    </xf>
    <xf numFmtId="0" fontId="0" fillId="0" borderId="16" xfId="0" applyFill="1" applyBorder="1" applyAlignment="1" applyProtection="1">
      <alignment horizontal="center"/>
      <protection locked="0"/>
    </xf>
    <xf numFmtId="0" fontId="9" fillId="0" borderId="17" xfId="0" applyFont="1" applyFill="1" applyBorder="1" applyAlignment="1" applyProtection="1">
      <alignment horizontal="center"/>
      <protection locked="0"/>
    </xf>
    <xf numFmtId="0" fontId="9" fillId="6" borderId="43" xfId="0" applyFont="1" applyFill="1" applyBorder="1"/>
    <xf numFmtId="3" fontId="0" fillId="0" borderId="19" xfId="0" applyNumberFormat="1" applyFill="1" applyBorder="1" applyProtection="1">
      <protection locked="0"/>
    </xf>
    <xf numFmtId="0" fontId="0" fillId="0" borderId="18" xfId="0" applyFill="1" applyBorder="1" applyProtection="1">
      <protection locked="0"/>
    </xf>
    <xf numFmtId="0" fontId="0" fillId="0" borderId="21" xfId="0" applyBorder="1" applyProtection="1">
      <protection locked="0"/>
    </xf>
    <xf numFmtId="0" fontId="0" fillId="0" borderId="19" xfId="0" applyFill="1" applyBorder="1" applyProtection="1">
      <protection locked="0"/>
    </xf>
    <xf numFmtId="3" fontId="0" fillId="0" borderId="32" xfId="0" applyNumberFormat="1" applyBorder="1" applyAlignment="1" applyProtection="1">
      <alignment horizontal="right"/>
      <protection locked="0"/>
    </xf>
    <xf numFmtId="3" fontId="0" fillId="0" borderId="28" xfId="0" applyNumberFormat="1" applyBorder="1" applyAlignment="1" applyProtection="1">
      <alignment horizontal="right"/>
      <protection locked="0"/>
    </xf>
    <xf numFmtId="0" fontId="0" fillId="0" borderId="28" xfId="0" applyBorder="1" applyAlignment="1" applyProtection="1">
      <alignment horizontal="right"/>
      <protection locked="0"/>
    </xf>
    <xf numFmtId="0" fontId="0" fillId="0" borderId="32" xfId="0" applyBorder="1" applyProtection="1">
      <protection locked="0"/>
    </xf>
    <xf numFmtId="0" fontId="0" fillId="0" borderId="28" xfId="0" applyBorder="1" applyProtection="1">
      <protection locked="0"/>
    </xf>
    <xf numFmtId="0" fontId="0" fillId="0" borderId="28" xfId="0" applyFill="1" applyBorder="1" applyProtection="1">
      <protection locked="0"/>
    </xf>
    <xf numFmtId="0" fontId="0" fillId="0" borderId="19" xfId="0" applyBorder="1" applyProtection="1">
      <protection locked="0"/>
    </xf>
    <xf numFmtId="0" fontId="0" fillId="6" borderId="18" xfId="0" applyFill="1" applyBorder="1" applyAlignment="1" applyProtection="1">
      <alignment horizontal="right"/>
      <protection locked="0"/>
    </xf>
    <xf numFmtId="0" fontId="0" fillId="0" borderId="18" xfId="0" applyBorder="1" applyProtection="1">
      <protection locked="0"/>
    </xf>
    <xf numFmtId="3" fontId="0" fillId="0" borderId="18" xfId="0" applyNumberFormat="1" applyBorder="1" applyProtection="1">
      <protection locked="0"/>
    </xf>
    <xf numFmtId="0" fontId="0" fillId="2" borderId="44" xfId="0" applyFill="1" applyBorder="1" applyAlignment="1" applyProtection="1">
      <alignment horizontal="center"/>
      <protection locked="0"/>
    </xf>
    <xf numFmtId="0" fontId="0" fillId="2" borderId="59" xfId="0" applyFill="1" applyBorder="1" applyAlignment="1" applyProtection="1">
      <alignment horizontal="center"/>
      <protection locked="0"/>
    </xf>
    <xf numFmtId="0" fontId="8" fillId="5" borderId="46" xfId="0" applyFont="1" applyFill="1" applyBorder="1" applyAlignment="1" applyProtection="1">
      <alignment horizontal="center"/>
    </xf>
    <xf numFmtId="0" fontId="8" fillId="5" borderId="44" xfId="0" applyFont="1" applyFill="1" applyBorder="1" applyAlignment="1" applyProtection="1">
      <alignment horizontal="center"/>
    </xf>
    <xf numFmtId="0" fontId="0" fillId="2" borderId="18" xfId="0" applyFill="1" applyBorder="1" applyProtection="1">
      <protection locked="0"/>
    </xf>
    <xf numFmtId="0" fontId="0" fillId="7" borderId="28" xfId="0" applyFill="1" applyBorder="1" applyAlignment="1" applyProtection="1">
      <alignment horizontal="right"/>
      <protection locked="0"/>
    </xf>
    <xf numFmtId="0" fontId="0" fillId="2" borderId="28" xfId="0" applyFill="1" applyBorder="1" applyProtection="1">
      <protection locked="0"/>
    </xf>
    <xf numFmtId="0" fontId="0" fillId="2" borderId="29" xfId="0" applyFill="1" applyBorder="1" applyProtection="1">
      <protection locked="0"/>
    </xf>
    <xf numFmtId="0" fontId="0" fillId="2" borderId="21" xfId="0" applyFill="1" applyBorder="1" applyProtection="1">
      <protection locked="0"/>
    </xf>
    <xf numFmtId="0" fontId="0" fillId="0" borderId="18" xfId="0" applyFill="1" applyBorder="1" applyAlignment="1" applyProtection="1">
      <alignment horizontal="right"/>
      <protection locked="0"/>
    </xf>
    <xf numFmtId="0" fontId="10" fillId="2" borderId="18" xfId="0" applyFont="1" applyFill="1" applyBorder="1" applyProtection="1">
      <protection locked="0"/>
    </xf>
    <xf numFmtId="0" fontId="10" fillId="0" borderId="18" xfId="0" applyFont="1" applyFill="1" applyBorder="1" applyAlignment="1" applyProtection="1">
      <alignment horizontal="right"/>
      <protection locked="0"/>
    </xf>
    <xf numFmtId="0" fontId="10" fillId="2" borderId="21" xfId="0" applyFont="1" applyFill="1" applyBorder="1" applyProtection="1">
      <protection locked="0"/>
    </xf>
    <xf numFmtId="168" fontId="10" fillId="0" borderId="18" xfId="0" applyNumberFormat="1" applyFont="1" applyFill="1" applyBorder="1" applyAlignment="1" applyProtection="1">
      <alignment horizontal="right" vertical="center" wrapText="1"/>
      <protection locked="0"/>
    </xf>
    <xf numFmtId="3" fontId="10" fillId="0" borderId="19" xfId="0" applyNumberFormat="1" applyFont="1" applyFill="1" applyBorder="1" applyProtection="1">
      <protection locked="0"/>
    </xf>
    <xf numFmtId="1" fontId="10" fillId="2" borderId="18" xfId="0" applyNumberFormat="1" applyFont="1" applyFill="1" applyBorder="1" applyProtection="1">
      <protection locked="0"/>
    </xf>
    <xf numFmtId="2" fontId="10" fillId="0" borderId="19" xfId="0" applyNumberFormat="1" applyFont="1" applyFill="1" applyBorder="1" applyAlignment="1" applyProtection="1">
      <alignment horizontal="right"/>
      <protection locked="0"/>
    </xf>
    <xf numFmtId="2" fontId="10" fillId="0" borderId="18" xfId="0" applyNumberFormat="1" applyFont="1" applyFill="1" applyBorder="1" applyProtection="1">
      <protection locked="0"/>
    </xf>
    <xf numFmtId="165" fontId="10" fillId="0" borderId="18" xfId="0" applyNumberFormat="1" applyFont="1" applyFill="1" applyBorder="1" applyProtection="1">
      <protection locked="0"/>
    </xf>
    <xf numFmtId="4" fontId="10" fillId="0" borderId="18" xfId="0" applyNumberFormat="1" applyFont="1" applyFill="1" applyBorder="1" applyProtection="1">
      <protection locked="0"/>
    </xf>
    <xf numFmtId="2" fontId="0" fillId="0" borderId="19" xfId="0" applyNumberFormat="1" applyFill="1" applyBorder="1" applyProtection="1">
      <protection locked="0"/>
    </xf>
    <xf numFmtId="3" fontId="0" fillId="0" borderId="19" xfId="0" applyNumberFormat="1" applyBorder="1" applyProtection="1">
      <protection locked="0"/>
    </xf>
    <xf numFmtId="166" fontId="0" fillId="0" borderId="21" xfId="0" applyNumberFormat="1" applyBorder="1" applyProtection="1">
      <protection locked="0"/>
    </xf>
    <xf numFmtId="0" fontId="0" fillId="2" borderId="19" xfId="0" applyFill="1" applyBorder="1" applyProtection="1">
      <protection locked="0"/>
    </xf>
    <xf numFmtId="1" fontId="0" fillId="0" borderId="19" xfId="0" applyNumberFormat="1" applyBorder="1" applyProtection="1">
      <protection locked="0"/>
    </xf>
    <xf numFmtId="3" fontId="0" fillId="0" borderId="20" xfId="0" applyNumberFormat="1" applyBorder="1" applyProtection="1">
      <protection locked="0"/>
    </xf>
    <xf numFmtId="3" fontId="0" fillId="0" borderId="18" xfId="0" applyNumberFormat="1" applyFill="1" applyBorder="1" applyAlignment="1" applyProtection="1">
      <alignment horizontal="right"/>
      <protection locked="0"/>
    </xf>
    <xf numFmtId="0" fontId="0" fillId="0" borderId="18" xfId="0" applyNumberFormat="1" applyBorder="1" applyProtection="1">
      <protection locked="0"/>
    </xf>
    <xf numFmtId="0" fontId="0" fillId="0" borderId="18" xfId="0" applyNumberFormat="1" applyFill="1" applyBorder="1" applyProtection="1">
      <protection locked="0"/>
    </xf>
    <xf numFmtId="0" fontId="0" fillId="0" borderId="32" xfId="0" applyBorder="1" applyAlignment="1" applyProtection="1">
      <alignment horizontal="center"/>
      <protection locked="0"/>
    </xf>
    <xf numFmtId="0" fontId="8" fillId="0" borderId="19" xfId="0" applyFont="1" applyBorder="1" applyAlignment="1" applyProtection="1">
      <alignment horizontal="center"/>
      <protection locked="0"/>
    </xf>
    <xf numFmtId="9" fontId="8" fillId="2" borderId="18" xfId="2" applyFont="1" applyFill="1" applyBorder="1" applyAlignment="1" applyProtection="1">
      <alignment horizontal="center"/>
      <protection locked="0"/>
    </xf>
    <xf numFmtId="0" fontId="8" fillId="2" borderId="18" xfId="0" applyFont="1" applyFill="1" applyBorder="1" applyAlignment="1" applyProtection="1">
      <alignment horizontal="center"/>
      <protection locked="0"/>
    </xf>
    <xf numFmtId="0" fontId="8" fillId="0" borderId="18" xfId="0" applyFont="1" applyBorder="1" applyAlignment="1" applyProtection="1">
      <alignment horizontal="center"/>
      <protection locked="0"/>
    </xf>
    <xf numFmtId="0" fontId="8" fillId="2" borderId="19" xfId="0" applyFont="1" applyFill="1" applyBorder="1" applyAlignment="1" applyProtection="1">
      <alignment horizontal="center"/>
      <protection locked="0"/>
    </xf>
    <xf numFmtId="1" fontId="8" fillId="6" borderId="18" xfId="0" applyNumberFormat="1" applyFont="1" applyFill="1" applyBorder="1" applyAlignment="1" applyProtection="1">
      <alignment horizontal="center"/>
      <protection locked="0"/>
    </xf>
    <xf numFmtId="3" fontId="8" fillId="0" borderId="3" xfId="0" applyNumberFormat="1" applyFont="1" applyFill="1" applyBorder="1" applyAlignment="1">
      <alignment horizontal="left"/>
    </xf>
    <xf numFmtId="167" fontId="0" fillId="0" borderId="18" xfId="0" applyNumberFormat="1" applyFill="1" applyBorder="1" applyProtection="1">
      <protection locked="0"/>
    </xf>
    <xf numFmtId="0" fontId="38" fillId="0" borderId="4" xfId="0" applyFont="1" applyFill="1" applyBorder="1"/>
    <xf numFmtId="0" fontId="39" fillId="8" borderId="0" xfId="0" applyFont="1" applyFill="1" applyAlignment="1">
      <alignment horizontal="left"/>
    </xf>
    <xf numFmtId="0" fontId="40" fillId="8" borderId="0" xfId="0" applyFont="1" applyFill="1" applyAlignment="1"/>
    <xf numFmtId="0" fontId="40" fillId="8" borderId="0" xfId="0" applyFont="1" applyFill="1" applyAlignment="1">
      <alignment horizontal="center"/>
    </xf>
    <xf numFmtId="0" fontId="40" fillId="8" borderId="0" xfId="0" applyFont="1" applyFill="1"/>
    <xf numFmtId="0" fontId="41" fillId="9" borderId="0" xfId="0" applyFont="1" applyFill="1" applyAlignment="1">
      <alignment horizontal="left"/>
    </xf>
    <xf numFmtId="0" fontId="42" fillId="9" borderId="0" xfId="0" applyFont="1" applyFill="1" applyAlignment="1"/>
    <xf numFmtId="0" fontId="42" fillId="9" borderId="0" xfId="0" applyFont="1" applyFill="1" applyAlignment="1">
      <alignment horizontal="center"/>
    </xf>
    <xf numFmtId="0" fontId="42" fillId="9" borderId="0" xfId="0" applyFont="1" applyFill="1"/>
    <xf numFmtId="0" fontId="45" fillId="10" borderId="0" xfId="0" applyFont="1" applyFill="1" applyBorder="1" applyAlignment="1"/>
    <xf numFmtId="0" fontId="45" fillId="10" borderId="0" xfId="0" applyFont="1" applyFill="1" applyAlignment="1"/>
    <xf numFmtId="0" fontId="47" fillId="10" borderId="0" xfId="0" applyFont="1" applyFill="1" applyAlignment="1"/>
    <xf numFmtId="0" fontId="49" fillId="8" borderId="36" xfId="0" applyFont="1" applyFill="1" applyBorder="1" applyAlignment="1">
      <alignment horizontal="center"/>
    </xf>
    <xf numFmtId="0" fontId="49" fillId="8" borderId="36" xfId="0" applyFont="1" applyFill="1" applyBorder="1" applyAlignment="1">
      <alignment horizontal="center" vertical="center"/>
    </xf>
    <xf numFmtId="0" fontId="49" fillId="8" borderId="36" xfId="0" applyFont="1" applyFill="1" applyBorder="1" applyAlignment="1">
      <alignment horizontal="center" vertical="center" wrapText="1"/>
    </xf>
    <xf numFmtId="0" fontId="49" fillId="8" borderId="37" xfId="0" applyFont="1" applyFill="1" applyBorder="1" applyAlignment="1">
      <alignment horizontal="center" vertical="center" wrapText="1"/>
    </xf>
    <xf numFmtId="0" fontId="50" fillId="12" borderId="36" xfId="0" applyFont="1" applyFill="1" applyBorder="1" applyAlignment="1">
      <alignment horizontal="center" vertical="center" wrapText="1"/>
    </xf>
    <xf numFmtId="0" fontId="43" fillId="12" borderId="36" xfId="0" applyFont="1" applyFill="1" applyBorder="1" applyAlignment="1">
      <alignment horizontal="center" vertical="center" wrapText="1"/>
    </xf>
    <xf numFmtId="0" fontId="43" fillId="12" borderId="18" xfId="0" applyFont="1" applyFill="1" applyBorder="1" applyAlignment="1">
      <alignment horizontal="center" vertical="center" wrapText="1"/>
    </xf>
    <xf numFmtId="0" fontId="43" fillId="10" borderId="0" xfId="0" applyFont="1" applyFill="1" applyAlignment="1">
      <alignment horizontal="center"/>
    </xf>
    <xf numFmtId="0" fontId="40" fillId="8" borderId="0" xfId="0" applyFont="1" applyFill="1" applyAlignment="1">
      <alignment horizontal="center" wrapText="1"/>
    </xf>
    <xf numFmtId="0" fontId="42" fillId="12" borderId="0" xfId="0" applyFont="1" applyFill="1" applyAlignment="1">
      <alignment horizontal="center"/>
    </xf>
    <xf numFmtId="0" fontId="42" fillId="12" borderId="0" xfId="0" applyFont="1" applyFill="1"/>
    <xf numFmtId="0" fontId="42" fillId="12" borderId="0" xfId="0" applyFont="1" applyFill="1" applyAlignment="1">
      <alignment horizontal="center" wrapText="1"/>
    </xf>
    <xf numFmtId="0" fontId="0" fillId="12" borderId="0" xfId="0" applyFont="1" applyFill="1"/>
    <xf numFmtId="0" fontId="0" fillId="12" borderId="0" xfId="0" applyFont="1" applyFill="1" applyAlignment="1">
      <alignment horizontal="center"/>
    </xf>
    <xf numFmtId="2" fontId="49" fillId="8" borderId="36" xfId="3" applyNumberFormat="1" applyFont="1" applyFill="1" applyBorder="1" applyAlignment="1" applyProtection="1">
      <alignment horizontal="center" vertical="center" wrapText="1"/>
      <protection hidden="1"/>
    </xf>
    <xf numFmtId="0" fontId="49" fillId="8" borderId="36" xfId="4" applyFont="1" applyFill="1" applyBorder="1" applyAlignment="1" applyProtection="1">
      <alignment horizontal="center" vertical="center" wrapText="1"/>
      <protection hidden="1"/>
    </xf>
    <xf numFmtId="0" fontId="45" fillId="0" borderId="0" xfId="0" applyFont="1"/>
    <xf numFmtId="0" fontId="39" fillId="14" borderId="0" xfId="0" applyFont="1" applyFill="1" applyAlignment="1">
      <alignment horizontal="left"/>
    </xf>
    <xf numFmtId="0" fontId="40" fillId="14" borderId="0" xfId="0" applyFont="1" applyFill="1" applyAlignment="1"/>
    <xf numFmtId="0" fontId="40" fillId="14" borderId="0" xfId="0" applyFont="1" applyFill="1" applyAlignment="1">
      <alignment horizontal="center"/>
    </xf>
    <xf numFmtId="0" fontId="40" fillId="14" borderId="0" xfId="0" applyFont="1" applyFill="1"/>
    <xf numFmtId="0" fontId="43" fillId="0" borderId="0" xfId="0" applyFont="1" applyFill="1" applyBorder="1"/>
    <xf numFmtId="0" fontId="0" fillId="0" borderId="0" xfId="0" applyAlignment="1">
      <alignment vertical="center" wrapText="1"/>
    </xf>
    <xf numFmtId="0" fontId="59" fillId="0" borderId="36" xfId="7" applyFont="1" applyFill="1" applyBorder="1" applyAlignment="1">
      <alignment horizontal="center" vertical="center" wrapText="1"/>
    </xf>
    <xf numFmtId="0" fontId="43" fillId="0" borderId="0" xfId="0" applyFont="1" applyFill="1" applyBorder="1" applyAlignment="1">
      <alignment vertical="center" wrapText="1"/>
    </xf>
    <xf numFmtId="0" fontId="59" fillId="0" borderId="36" xfId="7" applyFont="1" applyFill="1" applyBorder="1" applyAlignment="1">
      <alignment horizontal="center"/>
    </xf>
    <xf numFmtId="0" fontId="43" fillId="0" borderId="0" xfId="0" applyFont="1" applyFill="1" applyBorder="1" applyAlignment="1">
      <alignment wrapText="1"/>
    </xf>
    <xf numFmtId="0" fontId="62" fillId="15" borderId="36" xfId="7" applyFont="1" applyFill="1" applyBorder="1"/>
    <xf numFmtId="2" fontId="62" fillId="0" borderId="36" xfId="7" applyNumberFormat="1" applyFont="1" applyFill="1" applyBorder="1" applyAlignment="1">
      <alignment horizontal="center"/>
    </xf>
    <xf numFmtId="2" fontId="43" fillId="0" borderId="0" xfId="0" applyNumberFormat="1" applyFont="1" applyFill="1" applyBorder="1"/>
    <xf numFmtId="0" fontId="44" fillId="0" borderId="0" xfId="0" applyFont="1"/>
    <xf numFmtId="0" fontId="62" fillId="15" borderId="67" xfId="7" applyFont="1" applyFill="1" applyBorder="1"/>
    <xf numFmtId="2" fontId="62" fillId="0" borderId="67" xfId="7" applyNumberFormat="1" applyFont="1" applyFill="1" applyBorder="1" applyAlignment="1">
      <alignment horizontal="center"/>
    </xf>
    <xf numFmtId="0" fontId="62" fillId="15" borderId="38" xfId="7" applyFont="1" applyFill="1" applyBorder="1"/>
    <xf numFmtId="2" fontId="62" fillId="0" borderId="38" xfId="7" applyNumberFormat="1" applyFont="1" applyFill="1" applyBorder="1" applyAlignment="1">
      <alignment horizontal="center"/>
    </xf>
    <xf numFmtId="0" fontId="0" fillId="0" borderId="0" xfId="0" applyFill="1" applyBorder="1" applyAlignment="1">
      <alignment horizontal="left"/>
    </xf>
    <xf numFmtId="2" fontId="62" fillId="0" borderId="0" xfId="7" applyNumberFormat="1" applyFont="1" applyFill="1" applyBorder="1" applyAlignment="1">
      <alignment horizontal="center"/>
    </xf>
    <xf numFmtId="0" fontId="62" fillId="0" borderId="0" xfId="7" applyFont="1" applyFill="1" applyBorder="1" applyAlignment="1">
      <alignment horizontal="center"/>
    </xf>
    <xf numFmtId="0" fontId="62" fillId="16" borderId="36" xfId="7" applyFont="1" applyFill="1" applyBorder="1"/>
    <xf numFmtId="0" fontId="62" fillId="16" borderId="67" xfId="7" applyFont="1" applyFill="1" applyBorder="1"/>
    <xf numFmtId="0" fontId="62" fillId="16" borderId="38" xfId="7" applyFont="1" applyFill="1" applyBorder="1"/>
    <xf numFmtId="0" fontId="54" fillId="10" borderId="0" xfId="0" applyFont="1" applyFill="1"/>
    <xf numFmtId="0" fontId="54" fillId="10" borderId="0" xfId="0" applyFont="1" applyFill="1" applyAlignment="1"/>
    <xf numFmtId="0" fontId="54" fillId="10" borderId="0" xfId="0" applyFont="1" applyFill="1" applyAlignment="1">
      <alignment horizontal="center"/>
    </xf>
    <xf numFmtId="0" fontId="54" fillId="10" borderId="0" xfId="0" applyFont="1" applyFill="1" applyBorder="1" applyAlignment="1">
      <alignment horizontal="center"/>
    </xf>
    <xf numFmtId="0" fontId="54" fillId="10" borderId="0" xfId="0" applyFont="1" applyFill="1" applyBorder="1" applyAlignment="1"/>
    <xf numFmtId="0" fontId="54" fillId="12" borderId="0" xfId="0" applyFont="1" applyFill="1"/>
    <xf numFmtId="0" fontId="54" fillId="10" borderId="0" xfId="0" applyFont="1" applyFill="1" applyBorder="1" applyAlignment="1">
      <alignment horizontal="left"/>
    </xf>
    <xf numFmtId="0" fontId="54" fillId="10" borderId="0" xfId="0" applyFont="1" applyFill="1" applyBorder="1"/>
    <xf numFmtId="0" fontId="43" fillId="10" borderId="0" xfId="0" applyFont="1" applyFill="1"/>
    <xf numFmtId="0" fontId="43" fillId="10" borderId="0" xfId="0" applyFont="1" applyFill="1" applyAlignment="1"/>
    <xf numFmtId="0" fontId="43" fillId="10" borderId="0" xfId="0" applyFont="1" applyFill="1" applyAlignment="1">
      <alignment horizontal="center" vertical="top"/>
    </xf>
    <xf numFmtId="0" fontId="43" fillId="10" borderId="0" xfId="0" applyFont="1" applyFill="1" applyAlignment="1">
      <alignment vertical="top"/>
    </xf>
    <xf numFmtId="0" fontId="43" fillId="10" borderId="0" xfId="0" applyFont="1" applyFill="1" applyBorder="1" applyAlignment="1">
      <alignment horizontal="left"/>
    </xf>
    <xf numFmtId="0" fontId="43" fillId="10" borderId="0" xfId="0" applyFont="1" applyFill="1" applyBorder="1" applyAlignment="1">
      <alignment horizontal="center"/>
    </xf>
    <xf numFmtId="3" fontId="53" fillId="11" borderId="36" xfId="0" applyNumberFormat="1" applyFont="1" applyFill="1" applyBorder="1" applyAlignment="1">
      <alignment horizontal="center"/>
    </xf>
    <xf numFmtId="3" fontId="43" fillId="10" borderId="0" xfId="0" applyNumberFormat="1" applyFont="1" applyFill="1" applyBorder="1" applyAlignment="1">
      <alignment horizontal="center"/>
    </xf>
    <xf numFmtId="0" fontId="43" fillId="12" borderId="0" xfId="0" applyFont="1" applyFill="1"/>
    <xf numFmtId="0" fontId="43" fillId="12" borderId="0" xfId="0" applyFont="1" applyFill="1" applyAlignment="1"/>
    <xf numFmtId="0" fontId="43" fillId="12" borderId="0" xfId="0" applyFont="1" applyFill="1" applyAlignment="1">
      <alignment horizontal="center"/>
    </xf>
    <xf numFmtId="0" fontId="65" fillId="12" borderId="0" xfId="0" applyFont="1" applyFill="1"/>
    <xf numFmtId="0" fontId="65" fillId="12" borderId="0" xfId="0" applyFont="1" applyFill="1" applyAlignment="1"/>
    <xf numFmtId="0" fontId="65" fillId="12" borderId="0" xfId="0" applyFont="1" applyFill="1" applyAlignment="1">
      <alignment horizontal="center"/>
    </xf>
    <xf numFmtId="0" fontId="43" fillId="10" borderId="0" xfId="0" applyFont="1" applyFill="1" applyBorder="1" applyAlignment="1">
      <alignment horizontal="center" vertical="center" wrapText="1"/>
    </xf>
    <xf numFmtId="0" fontId="43" fillId="10" borderId="0" xfId="0" applyFont="1" applyFill="1" applyBorder="1"/>
    <xf numFmtId="0" fontId="43" fillId="12" borderId="36" xfId="0" applyFont="1" applyFill="1" applyBorder="1" applyAlignment="1">
      <alignment horizontal="center"/>
    </xf>
    <xf numFmtId="3" fontId="43" fillId="12" borderId="36" xfId="0" applyNumberFormat="1" applyFont="1" applyFill="1" applyBorder="1" applyAlignment="1">
      <alignment horizontal="center"/>
    </xf>
    <xf numFmtId="0" fontId="43" fillId="12" borderId="18" xfId="0" applyFont="1" applyFill="1" applyBorder="1"/>
    <xf numFmtId="0" fontId="53" fillId="10" borderId="0" xfId="0" applyFont="1" applyFill="1" applyAlignment="1"/>
    <xf numFmtId="0" fontId="43" fillId="10" borderId="0" xfId="0" applyFont="1" applyFill="1" applyAlignment="1">
      <alignment vertical="top" wrapText="1"/>
    </xf>
    <xf numFmtId="0" fontId="43" fillId="10" borderId="0" xfId="0" applyFont="1" applyFill="1" applyBorder="1" applyAlignment="1">
      <alignment vertical="center"/>
    </xf>
    <xf numFmtId="0" fontId="49" fillId="8" borderId="69" xfId="0" applyFont="1" applyFill="1" applyBorder="1" applyAlignment="1">
      <alignment vertical="center" wrapText="1"/>
    </xf>
    <xf numFmtId="0" fontId="49" fillId="8" borderId="70" xfId="0" applyFont="1" applyFill="1" applyBorder="1" applyAlignment="1">
      <alignment horizontal="center" wrapText="1"/>
    </xf>
    <xf numFmtId="0" fontId="49" fillId="8" borderId="71" xfId="0" applyFont="1" applyFill="1" applyBorder="1" applyAlignment="1">
      <alignment horizontal="center" vertical="center" wrapText="1"/>
    </xf>
    <xf numFmtId="0" fontId="49" fillId="8" borderId="72" xfId="0" applyFont="1" applyFill="1" applyBorder="1" applyAlignment="1">
      <alignment vertical="center"/>
    </xf>
    <xf numFmtId="0" fontId="49" fillId="8" borderId="73" xfId="0" applyFont="1" applyFill="1" applyBorder="1" applyAlignment="1">
      <alignment horizontal="center"/>
    </xf>
    <xf numFmtId="0" fontId="49" fillId="8" borderId="74" xfId="0" applyFont="1" applyFill="1" applyBorder="1" applyAlignment="1">
      <alignment horizontal="center"/>
    </xf>
    <xf numFmtId="0" fontId="40" fillId="8" borderId="0" xfId="0" applyFont="1" applyFill="1" applyBorder="1"/>
    <xf numFmtId="0" fontId="42" fillId="12" borderId="0" xfId="0" applyFont="1" applyFill="1" applyBorder="1"/>
    <xf numFmtId="0" fontId="65" fillId="12" borderId="0" xfId="0" applyFont="1" applyFill="1" applyBorder="1"/>
    <xf numFmtId="0" fontId="70" fillId="8" borderId="0" xfId="0" applyFont="1" applyFill="1"/>
    <xf numFmtId="0" fontId="70" fillId="12" borderId="0" xfId="0" applyFont="1" applyFill="1"/>
    <xf numFmtId="3" fontId="43" fillId="13" borderId="36" xfId="0" applyNumberFormat="1" applyFont="1" applyFill="1" applyBorder="1" applyAlignment="1">
      <alignment horizontal="center"/>
    </xf>
    <xf numFmtId="0" fontId="43" fillId="10" borderId="0" xfId="0" applyFont="1" applyFill="1" applyBorder="1" applyAlignment="1">
      <alignment vertical="top" wrapText="1"/>
    </xf>
    <xf numFmtId="0" fontId="40" fillId="12" borderId="0" xfId="0" applyFont="1" applyFill="1"/>
    <xf numFmtId="0" fontId="43" fillId="12" borderId="0" xfId="0" applyFont="1" applyFill="1" applyBorder="1"/>
    <xf numFmtId="4" fontId="43" fillId="10" borderId="0" xfId="0" applyNumberFormat="1" applyFont="1" applyFill="1" applyAlignment="1">
      <alignment horizontal="center"/>
    </xf>
    <xf numFmtId="0" fontId="72" fillId="12" borderId="0" xfId="0" applyFont="1" applyFill="1" applyAlignment="1"/>
    <xf numFmtId="0" fontId="72" fillId="12" borderId="0" xfId="0" applyFont="1" applyFill="1" applyAlignment="1">
      <alignment horizontal="center"/>
    </xf>
    <xf numFmtId="0" fontId="72" fillId="12" borderId="0" xfId="0" applyFont="1" applyFill="1"/>
    <xf numFmtId="0" fontId="43" fillId="17" borderId="36" xfId="0" applyFont="1" applyFill="1" applyBorder="1" applyAlignment="1">
      <alignment horizontal="center" vertical="top"/>
    </xf>
    <xf numFmtId="0" fontId="43" fillId="17" borderId="36" xfId="0" applyFont="1" applyFill="1" applyBorder="1" applyAlignment="1">
      <alignment horizontal="center"/>
    </xf>
    <xf numFmtId="0" fontId="43" fillId="17" borderId="65" xfId="0" applyFont="1" applyFill="1" applyBorder="1" applyAlignment="1">
      <alignment horizontal="center"/>
    </xf>
    <xf numFmtId="3" fontId="43" fillId="17" borderId="36" xfId="0" applyNumberFormat="1" applyFont="1" applyFill="1" applyBorder="1" applyAlignment="1">
      <alignment horizontal="center"/>
    </xf>
    <xf numFmtId="3" fontId="43" fillId="17" borderId="66" xfId="0" applyNumberFormat="1" applyFont="1" applyFill="1" applyBorder="1" applyAlignment="1">
      <alignment horizontal="center"/>
    </xf>
    <xf numFmtId="0" fontId="53" fillId="10" borderId="0" xfId="0" applyFont="1" applyFill="1" applyBorder="1" applyAlignment="1"/>
    <xf numFmtId="0" fontId="50" fillId="10" borderId="0" xfId="0" applyFont="1" applyFill="1" applyAlignment="1">
      <alignment horizontal="center"/>
    </xf>
    <xf numFmtId="3" fontId="43" fillId="10" borderId="0" xfId="0" applyNumberFormat="1" applyFont="1" applyFill="1" applyBorder="1" applyAlignment="1">
      <alignment horizontal="center" vertical="top"/>
    </xf>
    <xf numFmtId="0" fontId="50" fillId="10" borderId="0" xfId="0" applyFont="1" applyFill="1" applyAlignment="1"/>
    <xf numFmtId="0" fontId="53" fillId="10" borderId="0" xfId="0" applyFont="1" applyFill="1" applyBorder="1" applyAlignment="1">
      <alignment vertical="center"/>
    </xf>
    <xf numFmtId="0" fontId="73" fillId="12" borderId="0" xfId="0" applyFont="1" applyFill="1" applyBorder="1" applyAlignment="1"/>
    <xf numFmtId="0" fontId="73" fillId="12" borderId="0" xfId="0" applyFont="1" applyFill="1" applyBorder="1" applyAlignment="1">
      <alignment horizontal="center"/>
    </xf>
    <xf numFmtId="0" fontId="73" fillId="12" borderId="0" xfId="0" applyFont="1" applyFill="1" applyBorder="1" applyAlignment="1">
      <alignment wrapText="1"/>
    </xf>
    <xf numFmtId="0" fontId="73" fillId="12" borderId="0" xfId="0" applyFont="1" applyFill="1" applyBorder="1" applyAlignment="1">
      <alignment horizontal="center" wrapText="1"/>
    </xf>
    <xf numFmtId="0" fontId="53" fillId="12" borderId="37" xfId="0" applyFont="1" applyFill="1" applyBorder="1" applyAlignment="1">
      <alignment horizontal="center"/>
    </xf>
    <xf numFmtId="0" fontId="43" fillId="12" borderId="65" xfId="0" applyFont="1" applyFill="1" applyBorder="1" applyAlignment="1">
      <alignment horizontal="center"/>
    </xf>
    <xf numFmtId="0" fontId="53" fillId="12" borderId="66" xfId="0" applyFont="1" applyFill="1" applyBorder="1" applyAlignment="1">
      <alignment horizontal="center"/>
    </xf>
    <xf numFmtId="0" fontId="53" fillId="12" borderId="33" xfId="0" applyFont="1" applyFill="1" applyBorder="1" applyAlignment="1">
      <alignment horizontal="center"/>
    </xf>
    <xf numFmtId="0" fontId="53" fillId="12" borderId="18" xfId="0" applyFont="1" applyFill="1" applyBorder="1" applyAlignment="1">
      <alignment horizontal="center" vertical="center" wrapText="1"/>
    </xf>
    <xf numFmtId="0" fontId="54" fillId="10" borderId="0" xfId="0" applyFont="1" applyFill="1" applyAlignment="1">
      <alignment horizontal="center" wrapText="1"/>
    </xf>
    <xf numFmtId="0" fontId="43" fillId="10" borderId="0" xfId="0" applyFont="1" applyFill="1" applyAlignment="1">
      <alignment wrapText="1"/>
    </xf>
    <xf numFmtId="0" fontId="53" fillId="10" borderId="0" xfId="0" applyFont="1" applyFill="1" applyBorder="1"/>
    <xf numFmtId="0" fontId="43" fillId="10" borderId="0" xfId="0" applyFont="1" applyFill="1" applyBorder="1" applyAlignment="1">
      <alignment horizontal="center" wrapText="1"/>
    </xf>
    <xf numFmtId="0" fontId="43" fillId="10" borderId="0" xfId="0" applyFont="1" applyFill="1" applyAlignment="1">
      <alignment horizontal="center" wrapText="1"/>
    </xf>
    <xf numFmtId="0" fontId="65" fillId="10" borderId="0" xfId="0" applyFont="1" applyFill="1"/>
    <xf numFmtId="0" fontId="48" fillId="10" borderId="0" xfId="0" applyFont="1" applyFill="1" applyAlignment="1"/>
    <xf numFmtId="0" fontId="65" fillId="10" borderId="0" xfId="0" applyFont="1" applyFill="1" applyAlignment="1"/>
    <xf numFmtId="0" fontId="65" fillId="10" borderId="0" xfId="0" applyFont="1" applyFill="1" applyAlignment="1">
      <alignment horizontal="center"/>
    </xf>
    <xf numFmtId="0" fontId="43" fillId="10" borderId="0" xfId="0" applyFont="1" applyFill="1" applyBorder="1" applyAlignment="1">
      <alignment vertical="center" wrapText="1"/>
    </xf>
    <xf numFmtId="0" fontId="43" fillId="10" borderId="0" xfId="5" applyFont="1" applyFill="1" applyBorder="1" applyAlignment="1" applyProtection="1">
      <alignment vertical="center" wrapText="1"/>
      <protection hidden="1"/>
    </xf>
    <xf numFmtId="0" fontId="43" fillId="10" borderId="0" xfId="4" applyFont="1" applyFill="1" applyBorder="1" applyAlignment="1" applyProtection="1">
      <alignment horizontal="center" vertical="center" wrapText="1"/>
      <protection hidden="1"/>
    </xf>
    <xf numFmtId="0" fontId="43" fillId="10" borderId="0" xfId="4" applyFont="1" applyFill="1" applyBorder="1" applyAlignment="1" applyProtection="1">
      <alignment vertical="center" wrapText="1"/>
      <protection hidden="1"/>
    </xf>
    <xf numFmtId="0" fontId="43" fillId="10" borderId="0" xfId="0" applyFont="1" applyFill="1" applyBorder="1" applyAlignment="1">
      <alignment horizontal="center" vertical="center"/>
    </xf>
    <xf numFmtId="0" fontId="43" fillId="10" borderId="0" xfId="0" applyFont="1" applyFill="1" applyAlignment="1">
      <alignment vertical="center"/>
    </xf>
    <xf numFmtId="0" fontId="53" fillId="10" borderId="0" xfId="5" applyFont="1" applyFill="1" applyBorder="1" applyAlignment="1" applyProtection="1">
      <alignment vertical="center" wrapText="1"/>
      <protection hidden="1"/>
    </xf>
    <xf numFmtId="0" fontId="43" fillId="10" borderId="0" xfId="5" applyFont="1" applyFill="1" applyBorder="1" applyAlignment="1" applyProtection="1">
      <alignment vertical="center"/>
      <protection hidden="1"/>
    </xf>
    <xf numFmtId="0" fontId="43" fillId="10" borderId="0" xfId="4" applyFont="1" applyFill="1" applyAlignment="1" applyProtection="1">
      <alignment horizontal="center"/>
      <protection hidden="1"/>
    </xf>
    <xf numFmtId="0" fontId="43" fillId="10" borderId="0" xfId="4" applyFont="1" applyFill="1" applyAlignment="1" applyProtection="1">
      <protection hidden="1"/>
    </xf>
    <xf numFmtId="0" fontId="43" fillId="10" borderId="0" xfId="5" applyFont="1" applyFill="1" applyBorder="1" applyAlignment="1" applyProtection="1">
      <protection hidden="1"/>
    </xf>
    <xf numFmtId="0" fontId="43" fillId="10" borderId="0" xfId="4" applyFont="1" applyFill="1" applyAlignment="1" applyProtection="1">
      <alignment horizontal="center" wrapText="1"/>
      <protection hidden="1"/>
    </xf>
    <xf numFmtId="0" fontId="43" fillId="10" borderId="0" xfId="4" applyFont="1" applyFill="1" applyAlignment="1" applyProtection="1">
      <alignment wrapText="1"/>
      <protection hidden="1"/>
    </xf>
    <xf numFmtId="0" fontId="64" fillId="10" borderId="0" xfId="4" applyFont="1" applyFill="1" applyAlignment="1" applyProtection="1">
      <alignment wrapText="1"/>
      <protection hidden="1"/>
    </xf>
    <xf numFmtId="0" fontId="64" fillId="10" borderId="0" xfId="0" applyFont="1" applyFill="1" applyAlignment="1">
      <alignment horizontal="center"/>
    </xf>
    <xf numFmtId="2" fontId="43" fillId="10" borderId="0" xfId="3" applyNumberFormat="1" applyFont="1" applyFill="1" applyBorder="1" applyAlignment="1" applyProtection="1">
      <alignment horizontal="center" vertical="center" wrapText="1"/>
      <protection hidden="1"/>
    </xf>
    <xf numFmtId="0" fontId="43" fillId="10" borderId="0" xfId="4" applyFont="1" applyFill="1" applyBorder="1" applyAlignment="1" applyProtection="1">
      <alignment horizontal="center" wrapText="1"/>
      <protection hidden="1"/>
    </xf>
    <xf numFmtId="0" fontId="43" fillId="10" borderId="0" xfId="4" applyFont="1" applyFill="1" applyBorder="1" applyAlignment="1" applyProtection="1">
      <alignment wrapText="1"/>
      <protection hidden="1"/>
    </xf>
    <xf numFmtId="0" fontId="43" fillId="10" borderId="0" xfId="0" applyFont="1" applyFill="1" applyAlignment="1">
      <alignment vertical="center" wrapText="1"/>
    </xf>
    <xf numFmtId="0" fontId="49" fillId="10" borderId="0" xfId="0" applyFont="1" applyFill="1" applyBorder="1" applyAlignment="1">
      <alignment horizontal="center" vertical="center" wrapText="1"/>
    </xf>
    <xf numFmtId="0" fontId="64" fillId="10" borderId="0" xfId="0" applyFont="1" applyFill="1"/>
    <xf numFmtId="0" fontId="43" fillId="17" borderId="36" xfId="4" applyFont="1" applyFill="1" applyBorder="1" applyAlignment="1" applyProtection="1">
      <alignment horizontal="center" vertical="center" wrapText="1"/>
      <protection hidden="1"/>
    </xf>
    <xf numFmtId="0" fontId="53" fillId="10" borderId="0" xfId="0" applyFont="1" applyFill="1" applyBorder="1" applyAlignment="1">
      <alignment wrapText="1"/>
    </xf>
    <xf numFmtId="0" fontId="75" fillId="12" borderId="36" xfId="0" applyFont="1" applyFill="1" applyBorder="1" applyAlignment="1">
      <alignment horizontal="center"/>
    </xf>
    <xf numFmtId="3" fontId="43" fillId="13" borderId="36" xfId="4" applyNumberFormat="1" applyFont="1" applyFill="1" applyBorder="1" applyAlignment="1" applyProtection="1">
      <alignment horizontal="center" vertical="center" wrapText="1"/>
      <protection hidden="1"/>
    </xf>
    <xf numFmtId="3" fontId="43" fillId="17" borderId="36" xfId="0" applyNumberFormat="1" applyFont="1" applyFill="1" applyBorder="1" applyAlignment="1">
      <alignment horizontal="center" vertical="center"/>
    </xf>
    <xf numFmtId="0" fontId="45" fillId="17" borderId="36" xfId="0" applyFont="1" applyFill="1" applyBorder="1" applyAlignment="1">
      <alignment horizontal="center" vertical="center"/>
    </xf>
    <xf numFmtId="0" fontId="40" fillId="8" borderId="0" xfId="0" applyFont="1" applyFill="1" applyAlignment="1">
      <alignment horizontal="left"/>
    </xf>
    <xf numFmtId="0" fontId="72" fillId="12" borderId="0" xfId="0" applyFont="1" applyFill="1" applyAlignment="1">
      <alignment horizontal="left"/>
    </xf>
    <xf numFmtId="0" fontId="54" fillId="10" borderId="0" xfId="0" applyFont="1" applyFill="1" applyAlignment="1">
      <alignment horizontal="left"/>
    </xf>
    <xf numFmtId="0" fontId="73" fillId="12" borderId="0" xfId="0" applyFont="1" applyFill="1" applyBorder="1" applyAlignment="1">
      <alignment horizontal="left"/>
    </xf>
    <xf numFmtId="0" fontId="43" fillId="10" borderId="0" xfId="0" applyFont="1" applyFill="1" applyBorder="1" applyAlignment="1">
      <alignment horizontal="left" vertical="center"/>
    </xf>
    <xf numFmtId="0" fontId="47" fillId="10" borderId="0" xfId="0" applyFont="1" applyFill="1" applyAlignment="1">
      <alignment horizontal="left"/>
    </xf>
    <xf numFmtId="0" fontId="43" fillId="10" borderId="0" xfId="0" applyFont="1" applyFill="1" applyAlignment="1">
      <alignment horizontal="left"/>
    </xf>
    <xf numFmtId="0" fontId="53" fillId="10" borderId="0" xfId="0" applyFont="1" applyFill="1" applyBorder="1" applyAlignment="1">
      <alignment horizontal="left"/>
    </xf>
    <xf numFmtId="0" fontId="46" fillId="10" borderId="0" xfId="0" applyFont="1" applyFill="1" applyAlignment="1"/>
    <xf numFmtId="0" fontId="76" fillId="10" borderId="0" xfId="0" applyFont="1" applyFill="1"/>
    <xf numFmtId="0" fontId="46" fillId="10" borderId="0" xfId="0" applyFont="1" applyFill="1" applyAlignment="1">
      <alignment horizontal="left"/>
    </xf>
    <xf numFmtId="0" fontId="43" fillId="10" borderId="0" xfId="0" applyFont="1" applyFill="1" applyBorder="1" applyAlignment="1">
      <alignment vertical="top"/>
    </xf>
    <xf numFmtId="0" fontId="39" fillId="8" borderId="0" xfId="0" applyFont="1" applyFill="1" applyAlignment="1">
      <alignment horizontal="left"/>
    </xf>
    <xf numFmtId="0" fontId="40" fillId="8" borderId="0" xfId="0" applyFont="1" applyFill="1" applyAlignment="1">
      <alignment horizontal="center"/>
    </xf>
    <xf numFmtId="0" fontId="40" fillId="8" borderId="0" xfId="0" applyFont="1" applyFill="1"/>
    <xf numFmtId="0" fontId="49" fillId="8" borderId="36" xfId="0" applyFont="1" applyFill="1" applyBorder="1" applyAlignment="1">
      <alignment horizontal="center" vertical="center" wrapText="1"/>
    </xf>
    <xf numFmtId="0" fontId="43" fillId="10" borderId="0" xfId="0" applyFont="1" applyFill="1" applyAlignment="1">
      <alignment horizontal="center"/>
    </xf>
    <xf numFmtId="0" fontId="42" fillId="12" borderId="0" xfId="0" applyFont="1" applyFill="1" applyAlignment="1">
      <alignment horizontal="center"/>
    </xf>
    <xf numFmtId="0" fontId="42" fillId="12" borderId="0" xfId="0" applyFont="1" applyFill="1"/>
    <xf numFmtId="0" fontId="49" fillId="8" borderId="36" xfId="5" applyFont="1" applyFill="1" applyBorder="1" applyAlignment="1" applyProtection="1">
      <alignment vertical="center" wrapText="1"/>
      <protection hidden="1"/>
    </xf>
    <xf numFmtId="0" fontId="54" fillId="10" borderId="0" xfId="0" applyFont="1" applyFill="1"/>
    <xf numFmtId="0" fontId="43" fillId="10" borderId="0" xfId="0" applyFont="1" applyFill="1"/>
    <xf numFmtId="0" fontId="53" fillId="10" borderId="0" xfId="0" applyFont="1" applyFill="1"/>
    <xf numFmtId="0" fontId="43" fillId="10" borderId="0" xfId="0" applyFont="1" applyFill="1" applyAlignment="1">
      <alignment vertical="top"/>
    </xf>
    <xf numFmtId="0" fontId="43" fillId="10" borderId="0" xfId="0" applyFont="1" applyFill="1" applyBorder="1" applyAlignment="1">
      <alignment horizontal="center"/>
    </xf>
    <xf numFmtId="3" fontId="43" fillId="10" borderId="0" xfId="0" applyNumberFormat="1" applyFont="1" applyFill="1" applyBorder="1" applyAlignment="1">
      <alignment horizontal="center"/>
    </xf>
    <xf numFmtId="0" fontId="43" fillId="13" borderId="63" xfId="0" applyFont="1" applyFill="1" applyBorder="1" applyAlignment="1">
      <alignment horizontal="center"/>
    </xf>
    <xf numFmtId="0" fontId="43" fillId="12" borderId="0" xfId="0" applyFont="1" applyFill="1"/>
    <xf numFmtId="0" fontId="43" fillId="12" borderId="0" xfId="0" applyFont="1" applyFill="1" applyAlignment="1">
      <alignment horizontal="center"/>
    </xf>
    <xf numFmtId="0" fontId="43" fillId="10" borderId="0" xfId="0" applyFont="1" applyFill="1" applyBorder="1"/>
    <xf numFmtId="3" fontId="43" fillId="13" borderId="36" xfId="0" applyNumberFormat="1" applyFont="1" applyFill="1" applyBorder="1" applyAlignment="1">
      <alignment horizontal="center" vertical="center"/>
    </xf>
    <xf numFmtId="3" fontId="43" fillId="13" borderId="67" xfId="0" applyNumberFormat="1" applyFont="1" applyFill="1" applyBorder="1" applyAlignment="1">
      <alignment horizontal="center" vertical="center"/>
    </xf>
    <xf numFmtId="3" fontId="45" fillId="13" borderId="38" xfId="0" applyNumberFormat="1" applyFont="1" applyFill="1" applyBorder="1" applyAlignment="1">
      <alignment horizontal="center" vertical="center"/>
    </xf>
    <xf numFmtId="0" fontId="45" fillId="12" borderId="36" xfId="0" applyFont="1" applyFill="1" applyBorder="1" applyAlignment="1">
      <alignment horizontal="center" vertical="top" wrapText="1"/>
    </xf>
    <xf numFmtId="0" fontId="43" fillId="17" borderId="64" xfId="0" applyFont="1" applyFill="1" applyBorder="1" applyAlignment="1">
      <alignment horizontal="center"/>
    </xf>
    <xf numFmtId="0" fontId="43" fillId="17" borderId="36" xfId="0" applyFont="1" applyFill="1" applyBorder="1" applyAlignment="1">
      <alignment horizontal="center"/>
    </xf>
    <xf numFmtId="0" fontId="43" fillId="10" borderId="0" xfId="0" applyFont="1" applyFill="1" applyAlignment="1">
      <alignment wrapText="1"/>
    </xf>
    <xf numFmtId="0" fontId="53" fillId="10" borderId="0" xfId="0" applyFont="1" applyFill="1" applyBorder="1"/>
    <xf numFmtId="0" fontId="43" fillId="10" borderId="0" xfId="0" applyFont="1" applyFill="1" applyBorder="1" applyAlignment="1">
      <alignment horizontal="center" wrapText="1"/>
    </xf>
    <xf numFmtId="0" fontId="43" fillId="10" borderId="0" xfId="0" applyFont="1" applyFill="1" applyAlignment="1">
      <alignment horizontal="center" wrapText="1"/>
    </xf>
    <xf numFmtId="0" fontId="53" fillId="10" borderId="0" xfId="5" applyFont="1" applyFill="1" applyBorder="1" applyAlignment="1" applyProtection="1">
      <alignment vertical="center" wrapText="1"/>
      <protection hidden="1"/>
    </xf>
    <xf numFmtId="0" fontId="45" fillId="10" borderId="0" xfId="0" applyFont="1" applyFill="1" applyBorder="1" applyAlignment="1">
      <alignment horizontal="center" vertical="center"/>
    </xf>
    <xf numFmtId="0" fontId="43" fillId="17" borderId="36" xfId="5" applyFont="1" applyFill="1" applyBorder="1" applyAlignment="1" applyProtection="1">
      <alignment vertical="center" wrapText="1"/>
      <protection hidden="1"/>
    </xf>
    <xf numFmtId="0" fontId="43" fillId="17" borderId="36" xfId="0" applyFont="1" applyFill="1" applyBorder="1" applyAlignment="1">
      <alignment horizontal="center" vertical="center"/>
    </xf>
    <xf numFmtId="0" fontId="45" fillId="10" borderId="0" xfId="0" applyFont="1" applyFill="1" applyBorder="1"/>
    <xf numFmtId="3" fontId="46" fillId="10" borderId="0" xfId="0" applyNumberFormat="1" applyFont="1" applyFill="1" applyBorder="1" applyAlignment="1">
      <alignment horizontal="left"/>
    </xf>
    <xf numFmtId="0" fontId="43" fillId="18" borderId="64" xfId="0" applyFont="1" applyFill="1" applyBorder="1" applyAlignment="1">
      <alignment horizontal="center"/>
    </xf>
    <xf numFmtId="3" fontId="43" fillId="18" borderId="36" xfId="0" applyNumberFormat="1" applyFont="1" applyFill="1" applyBorder="1" applyAlignment="1">
      <alignment horizontal="center"/>
    </xf>
    <xf numFmtId="3" fontId="53" fillId="18" borderId="36" xfId="0" applyNumberFormat="1" applyFont="1" applyFill="1" applyBorder="1" applyAlignment="1">
      <alignment horizontal="center"/>
    </xf>
    <xf numFmtId="3" fontId="43" fillId="18" borderId="36" xfId="0" applyNumberFormat="1" applyFont="1" applyFill="1" applyBorder="1" applyAlignment="1">
      <alignment horizontal="center" vertical="center"/>
    </xf>
    <xf numFmtId="3" fontId="45" fillId="18" borderId="38" xfId="0" applyNumberFormat="1" applyFont="1" applyFill="1" applyBorder="1" applyAlignment="1">
      <alignment horizontal="center" vertical="center"/>
    </xf>
    <xf numFmtId="3" fontId="45" fillId="18" borderId="36" xfId="0" applyNumberFormat="1" applyFont="1" applyFill="1" applyBorder="1" applyAlignment="1">
      <alignment horizontal="center" vertical="center"/>
    </xf>
    <xf numFmtId="9" fontId="43" fillId="17" borderId="36" xfId="0" applyNumberFormat="1" applyFont="1" applyFill="1" applyBorder="1" applyAlignment="1">
      <alignment horizontal="center" vertical="center"/>
    </xf>
    <xf numFmtId="0" fontId="43" fillId="17" borderId="67" xfId="0" applyFont="1" applyFill="1" applyBorder="1" applyAlignment="1">
      <alignment horizontal="center" vertical="center"/>
    </xf>
    <xf numFmtId="0" fontId="53" fillId="17" borderId="39" xfId="5" applyFont="1" applyFill="1" applyBorder="1" applyAlignment="1" applyProtection="1">
      <alignment vertical="center" wrapText="1"/>
      <protection hidden="1"/>
    </xf>
    <xf numFmtId="0" fontId="45" fillId="17" borderId="38" xfId="0" applyFont="1" applyFill="1" applyBorder="1" applyAlignment="1">
      <alignment horizontal="center" vertical="center"/>
    </xf>
    <xf numFmtId="9" fontId="43" fillId="17" borderId="67" xfId="0" applyNumberFormat="1" applyFont="1" applyFill="1" applyBorder="1" applyAlignment="1">
      <alignment horizontal="center" vertical="center"/>
    </xf>
    <xf numFmtId="3" fontId="43" fillId="18" borderId="67" xfId="0" applyNumberFormat="1" applyFont="1" applyFill="1" applyBorder="1" applyAlignment="1">
      <alignment horizontal="center" vertical="center"/>
    </xf>
    <xf numFmtId="0" fontId="43" fillId="17" borderId="67" xfId="5" applyFont="1" applyFill="1" applyBorder="1" applyAlignment="1" applyProtection="1">
      <alignment vertical="center" wrapText="1"/>
      <protection hidden="1"/>
    </xf>
    <xf numFmtId="0" fontId="53" fillId="17" borderId="68" xfId="5" applyFont="1" applyFill="1" applyBorder="1" applyAlignment="1" applyProtection="1">
      <alignment vertical="center" wrapText="1"/>
      <protection hidden="1"/>
    </xf>
    <xf numFmtId="1" fontId="45" fillId="17" borderId="38" xfId="0" applyNumberFormat="1" applyFont="1" applyFill="1" applyBorder="1" applyAlignment="1">
      <alignment horizontal="center" vertical="center"/>
    </xf>
    <xf numFmtId="3" fontId="43" fillId="18" borderId="36" xfId="8" applyNumberFormat="1" applyFont="1" applyFill="1" applyBorder="1" applyAlignment="1">
      <alignment horizontal="center" vertical="center"/>
    </xf>
    <xf numFmtId="3" fontId="43" fillId="18" borderId="67" xfId="8" applyNumberFormat="1" applyFont="1" applyFill="1" applyBorder="1" applyAlignment="1">
      <alignment horizontal="center" vertical="center"/>
    </xf>
    <xf numFmtId="3" fontId="45" fillId="18" borderId="38" xfId="8" applyNumberFormat="1" applyFont="1" applyFill="1" applyBorder="1" applyAlignment="1">
      <alignment horizontal="center" vertical="center"/>
    </xf>
    <xf numFmtId="0" fontId="74" fillId="10" borderId="65" xfId="0" applyFont="1" applyFill="1" applyBorder="1" applyAlignment="1"/>
    <xf numFmtId="0" fontId="54" fillId="10" borderId="65" xfId="0" applyFont="1" applyFill="1" applyBorder="1" applyAlignment="1">
      <alignment horizontal="left"/>
    </xf>
    <xf numFmtId="0" fontId="54" fillId="10" borderId="65" xfId="0" applyFont="1" applyFill="1" applyBorder="1" applyAlignment="1"/>
    <xf numFmtId="0" fontId="54" fillId="10" borderId="65" xfId="0" applyFont="1" applyFill="1" applyBorder="1" applyAlignment="1">
      <alignment horizontal="center"/>
    </xf>
    <xf numFmtId="0" fontId="54" fillId="10" borderId="65" xfId="0" applyFont="1" applyFill="1" applyBorder="1"/>
    <xf numFmtId="0" fontId="76" fillId="10" borderId="0" xfId="0" applyFont="1" applyFill="1" applyAlignment="1"/>
    <xf numFmtId="0" fontId="53" fillId="10" borderId="0" xfId="0" applyFont="1" applyFill="1" applyAlignment="1">
      <alignment horizontal="center"/>
    </xf>
    <xf numFmtId="0" fontId="0" fillId="10" borderId="0" xfId="0" applyFont="1" applyFill="1"/>
    <xf numFmtId="0" fontId="0" fillId="10" borderId="0" xfId="0" applyFont="1" applyFill="1" applyBorder="1"/>
    <xf numFmtId="0" fontId="43" fillId="10" borderId="0" xfId="0" applyFont="1" applyFill="1" applyBorder="1" applyAlignment="1">
      <alignment wrapText="1"/>
    </xf>
    <xf numFmtId="0" fontId="0" fillId="10" borderId="0" xfId="0" applyFont="1" applyFill="1" applyAlignment="1">
      <alignment horizontal="center"/>
    </xf>
    <xf numFmtId="0" fontId="65" fillId="10" borderId="0" xfId="0" applyFont="1" applyFill="1" applyBorder="1"/>
    <xf numFmtId="0" fontId="0" fillId="10" borderId="0" xfId="0" applyFont="1" applyFill="1" applyAlignment="1">
      <alignment vertical="center"/>
    </xf>
    <xf numFmtId="0" fontId="9" fillId="10" borderId="0" xfId="0" applyFont="1" applyFill="1" applyBorder="1" applyAlignment="1">
      <alignment horizontal="center" vertical="center" wrapText="1"/>
    </xf>
    <xf numFmtId="0" fontId="0" fillId="10" borderId="0" xfId="0" applyNumberFormat="1" applyFont="1" applyFill="1" applyAlignment="1">
      <alignment horizontal="center" vertical="center"/>
    </xf>
    <xf numFmtId="0" fontId="68" fillId="10" borderId="0" xfId="0" applyFont="1" applyFill="1"/>
    <xf numFmtId="0" fontId="53" fillId="10" borderId="0" xfId="0" applyFont="1" applyFill="1" applyBorder="1" applyAlignment="1">
      <alignment horizontal="center"/>
    </xf>
    <xf numFmtId="0" fontId="9" fillId="10" borderId="0" xfId="0" applyFont="1" applyFill="1" applyBorder="1" applyAlignment="1">
      <alignment horizontal="center"/>
    </xf>
    <xf numFmtId="0" fontId="0" fillId="10" borderId="0" xfId="0" applyFill="1"/>
    <xf numFmtId="2" fontId="0" fillId="10" borderId="0" xfId="0" applyNumberFormat="1" applyFill="1"/>
    <xf numFmtId="0" fontId="0" fillId="10" borderId="0" xfId="0" applyFill="1" applyAlignment="1">
      <alignment vertical="center"/>
    </xf>
    <xf numFmtId="0" fontId="9" fillId="10" borderId="0" xfId="0" applyFont="1" applyFill="1" applyBorder="1" applyAlignment="1">
      <alignment vertical="center" wrapText="1"/>
    </xf>
    <xf numFmtId="0" fontId="9" fillId="10" borderId="0" xfId="0" applyFont="1" applyFill="1" applyBorder="1" applyAlignment="1">
      <alignment horizontal="center" wrapText="1"/>
    </xf>
    <xf numFmtId="0" fontId="30" fillId="10" borderId="0" xfId="0" applyFont="1" applyFill="1" applyBorder="1" applyAlignment="1">
      <alignment horizontal="center" wrapText="1"/>
    </xf>
    <xf numFmtId="0" fontId="0" fillId="10" borderId="0" xfId="0" applyFont="1" applyFill="1" applyAlignment="1">
      <alignment horizontal="center" vertical="center"/>
    </xf>
    <xf numFmtId="2" fontId="0" fillId="10" borderId="0" xfId="0" applyNumberFormat="1" applyFont="1" applyFill="1" applyAlignment="1">
      <alignment horizontal="center" vertical="center"/>
    </xf>
    <xf numFmtId="0" fontId="0" fillId="10" borderId="0" xfId="0" applyFill="1" applyBorder="1"/>
    <xf numFmtId="0" fontId="9" fillId="10" borderId="0" xfId="0" applyFont="1" applyFill="1" applyAlignment="1">
      <alignment horizontal="center"/>
    </xf>
    <xf numFmtId="0" fontId="0" fillId="10" borderId="0" xfId="0" applyFill="1" applyAlignment="1">
      <alignment horizontal="center"/>
    </xf>
    <xf numFmtId="164" fontId="0" fillId="10" borderId="0" xfId="0" applyNumberFormat="1" applyFont="1" applyFill="1" applyBorder="1" applyAlignment="1">
      <alignment horizontal="center"/>
    </xf>
    <xf numFmtId="0" fontId="8" fillId="10" borderId="0" xfId="0" applyFont="1" applyFill="1" applyBorder="1"/>
    <xf numFmtId="0" fontId="8" fillId="10" borderId="0" xfId="0" applyFont="1" applyFill="1" applyBorder="1" applyAlignment="1">
      <alignment horizontal="center"/>
    </xf>
    <xf numFmtId="2" fontId="8" fillId="10" borderId="0" xfId="0" applyNumberFormat="1" applyFont="1" applyFill="1" applyBorder="1" applyAlignment="1">
      <alignment horizontal="center"/>
    </xf>
    <xf numFmtId="166" fontId="8" fillId="10" borderId="0" xfId="0" applyNumberFormat="1" applyFont="1" applyFill="1" applyBorder="1" applyAlignment="1">
      <alignment horizontal="center"/>
    </xf>
    <xf numFmtId="3" fontId="8" fillId="10" borderId="0" xfId="0" applyNumberFormat="1" applyFont="1" applyFill="1" applyBorder="1" applyAlignment="1">
      <alignment horizontal="center"/>
    </xf>
    <xf numFmtId="4" fontId="8" fillId="10" borderId="0" xfId="0" applyNumberFormat="1" applyFont="1" applyFill="1" applyBorder="1" applyAlignment="1">
      <alignment horizontal="center"/>
    </xf>
    <xf numFmtId="168" fontId="8" fillId="10" borderId="0" xfId="0" applyNumberFormat="1" applyFont="1" applyFill="1" applyBorder="1" applyAlignment="1">
      <alignment horizontal="center"/>
    </xf>
    <xf numFmtId="3" fontId="0" fillId="10" borderId="0" xfId="0" applyNumberFormat="1" applyFill="1"/>
    <xf numFmtId="0" fontId="35" fillId="10" borderId="0" xfId="0" applyFont="1" applyFill="1" applyBorder="1" applyAlignment="1">
      <alignment horizontal="center"/>
    </xf>
    <xf numFmtId="0" fontId="9" fillId="10" borderId="0" xfId="0" applyFont="1" applyFill="1"/>
    <xf numFmtId="0" fontId="8" fillId="10" borderId="0" xfId="0" applyFont="1" applyFill="1"/>
    <xf numFmtId="0" fontId="8" fillId="10" borderId="0" xfId="0" applyFont="1" applyFill="1" applyAlignment="1">
      <alignment horizontal="right" vertical="center"/>
    </xf>
    <xf numFmtId="0" fontId="0" fillId="10" borderId="0" xfId="0" applyFill="1" applyBorder="1" applyAlignment="1">
      <alignment vertical="center"/>
    </xf>
    <xf numFmtId="0" fontId="8" fillId="10" borderId="0" xfId="0" applyFont="1" applyFill="1" applyAlignment="1">
      <alignment vertical="center"/>
    </xf>
    <xf numFmtId="0" fontId="9" fillId="10" borderId="0" xfId="0" applyFont="1" applyFill="1" applyAlignment="1">
      <alignment horizontal="center" vertical="top"/>
    </xf>
    <xf numFmtId="0" fontId="8" fillId="10" borderId="0" xfId="0" applyFont="1" applyFill="1" applyAlignment="1">
      <alignment vertical="top"/>
    </xf>
    <xf numFmtId="0" fontId="8" fillId="10" borderId="0" xfId="0" applyFont="1" applyFill="1" applyBorder="1" applyAlignment="1">
      <alignment vertical="top"/>
    </xf>
    <xf numFmtId="0" fontId="9" fillId="10" borderId="0" xfId="0" applyFont="1" applyFill="1" applyBorder="1" applyAlignment="1">
      <alignment horizontal="centerContinuous" vertical="top"/>
    </xf>
    <xf numFmtId="0" fontId="8" fillId="10" borderId="0" xfId="0" applyFont="1" applyFill="1" applyBorder="1" applyAlignment="1">
      <alignment horizontal="centerContinuous" vertical="top"/>
    </xf>
    <xf numFmtId="0" fontId="0" fillId="10" borderId="0" xfId="0" applyFill="1" applyAlignment="1">
      <alignment vertical="top"/>
    </xf>
    <xf numFmtId="0" fontId="21" fillId="10" borderId="0" xfId="1" applyFill="1" applyAlignment="1" applyProtection="1">
      <alignment horizontal="right" vertical="top"/>
    </xf>
    <xf numFmtId="0" fontId="32" fillId="10" borderId="0" xfId="0" applyFont="1" applyFill="1" applyAlignment="1">
      <alignment horizontal="center" vertical="top"/>
    </xf>
    <xf numFmtId="0" fontId="8" fillId="10" borderId="0" xfId="0" quotePrefix="1" applyFont="1" applyFill="1" applyBorder="1" applyAlignment="1">
      <alignment vertical="top"/>
    </xf>
    <xf numFmtId="0" fontId="9" fillId="10" borderId="0" xfId="0" applyFont="1" applyFill="1" applyBorder="1" applyAlignment="1">
      <alignment horizontal="center" vertical="top"/>
    </xf>
    <xf numFmtId="0" fontId="8" fillId="10" borderId="0" xfId="0" applyFont="1" applyFill="1" applyAlignment="1">
      <alignment vertical="top" wrapText="1"/>
    </xf>
    <xf numFmtId="0" fontId="28" fillId="10" borderId="0" xfId="0" applyFont="1" applyFill="1"/>
    <xf numFmtId="0" fontId="43" fillId="18" borderId="18" xfId="0" applyFont="1" applyFill="1" applyBorder="1" applyAlignment="1">
      <alignment horizontal="center"/>
    </xf>
    <xf numFmtId="3" fontId="43" fillId="18" borderId="18" xfId="0" applyNumberFormat="1" applyFont="1" applyFill="1" applyBorder="1" applyAlignment="1">
      <alignment horizontal="center"/>
    </xf>
    <xf numFmtId="3" fontId="53" fillId="10" borderId="0" xfId="0" applyNumberFormat="1" applyFont="1" applyFill="1" applyBorder="1" applyAlignment="1">
      <alignment horizontal="center"/>
    </xf>
    <xf numFmtId="3" fontId="43" fillId="18" borderId="33" xfId="0" applyNumberFormat="1" applyFont="1" applyFill="1" applyBorder="1" applyAlignment="1">
      <alignment horizontal="center"/>
    </xf>
    <xf numFmtId="3" fontId="43" fillId="18" borderId="58" xfId="0" applyNumberFormat="1" applyFont="1" applyFill="1" applyBorder="1" applyAlignment="1">
      <alignment horizontal="center"/>
    </xf>
    <xf numFmtId="0" fontId="46" fillId="10" borderId="0" xfId="0" applyFont="1" applyFill="1" applyBorder="1"/>
    <xf numFmtId="0" fontId="43" fillId="18" borderId="33" xfId="0" applyFont="1" applyFill="1" applyBorder="1" applyAlignment="1">
      <alignment horizontal="center"/>
    </xf>
    <xf numFmtId="0" fontId="43" fillId="18" borderId="58" xfId="0" applyFont="1" applyFill="1" applyBorder="1" applyAlignment="1">
      <alignment horizontal="center"/>
    </xf>
    <xf numFmtId="0" fontId="43" fillId="17" borderId="33" xfId="0" applyFont="1" applyFill="1" applyBorder="1"/>
    <xf numFmtId="2" fontId="43" fillId="17" borderId="33" xfId="0" applyNumberFormat="1" applyFont="1" applyFill="1" applyBorder="1" applyAlignment="1" applyProtection="1">
      <alignment horizontal="center"/>
      <protection locked="0"/>
    </xf>
    <xf numFmtId="0" fontId="43" fillId="17" borderId="33" xfId="0" applyNumberFormat="1" applyFont="1" applyFill="1" applyBorder="1" applyAlignment="1">
      <alignment horizontal="center"/>
    </xf>
    <xf numFmtId="0" fontId="43" fillId="17" borderId="18" xfId="0" applyFont="1" applyFill="1" applyBorder="1"/>
    <xf numFmtId="2" fontId="43" fillId="17" borderId="18" xfId="0" applyNumberFormat="1" applyFont="1" applyFill="1" applyBorder="1" applyAlignment="1" applyProtection="1">
      <alignment horizontal="center"/>
      <protection locked="0"/>
    </xf>
    <xf numFmtId="0" fontId="43" fillId="17" borderId="58" xfId="0" applyFont="1" applyFill="1" applyBorder="1"/>
    <xf numFmtId="2" fontId="43" fillId="17" borderId="58" xfId="0" applyNumberFormat="1" applyFont="1" applyFill="1" applyBorder="1" applyAlignment="1" applyProtection="1">
      <alignment horizontal="center"/>
      <protection locked="0"/>
    </xf>
    <xf numFmtId="0" fontId="53" fillId="17" borderId="38" xfId="0" applyFont="1" applyFill="1" applyBorder="1" applyAlignment="1">
      <alignment horizontal="right"/>
    </xf>
    <xf numFmtId="2" fontId="53" fillId="17" borderId="38" xfId="0" applyNumberFormat="1" applyFont="1" applyFill="1" applyBorder="1" applyAlignment="1">
      <alignment horizontal="center"/>
    </xf>
    <xf numFmtId="0" fontId="53" fillId="17" borderId="38" xfId="0" applyFont="1" applyFill="1" applyBorder="1" applyAlignment="1">
      <alignment horizontal="center"/>
    </xf>
    <xf numFmtId="168" fontId="43" fillId="18" borderId="33" xfId="0" applyNumberFormat="1" applyFont="1" applyFill="1" applyBorder="1" applyAlignment="1">
      <alignment horizontal="center"/>
    </xf>
    <xf numFmtId="168" fontId="43" fillId="18" borderId="18" xfId="0" applyNumberFormat="1" applyFont="1" applyFill="1" applyBorder="1" applyAlignment="1">
      <alignment horizontal="center"/>
    </xf>
    <xf numFmtId="9" fontId="43" fillId="18" borderId="18" xfId="2" applyFont="1" applyFill="1" applyBorder="1" applyAlignment="1">
      <alignment horizontal="center"/>
    </xf>
    <xf numFmtId="168" fontId="43" fillId="18" borderId="58" xfId="0" applyNumberFormat="1" applyFont="1" applyFill="1" applyBorder="1" applyAlignment="1">
      <alignment horizontal="center"/>
    </xf>
    <xf numFmtId="3" fontId="53" fillId="18" borderId="38" xfId="0" applyNumberFormat="1" applyFont="1" applyFill="1" applyBorder="1" applyAlignment="1">
      <alignment horizontal="center"/>
    </xf>
    <xf numFmtId="0" fontId="53" fillId="18" borderId="38" xfId="0" applyFont="1" applyFill="1" applyBorder="1" applyAlignment="1">
      <alignment horizontal="center"/>
    </xf>
    <xf numFmtId="2" fontId="53" fillId="18" borderId="38" xfId="0" applyNumberFormat="1" applyFont="1" applyFill="1" applyBorder="1" applyAlignment="1">
      <alignment horizontal="center"/>
    </xf>
    <xf numFmtId="0" fontId="0" fillId="12" borderId="0" xfId="0" applyFill="1"/>
    <xf numFmtId="0" fontId="0" fillId="12" borderId="0" xfId="0" applyFill="1" applyBorder="1"/>
    <xf numFmtId="0" fontId="0" fillId="0" borderId="0" xfId="0"/>
    <xf numFmtId="0" fontId="0" fillId="0" borderId="2" xfId="0" applyBorder="1"/>
    <xf numFmtId="0" fontId="0" fillId="0" borderId="3" xfId="0" applyBorder="1"/>
    <xf numFmtId="0" fontId="8" fillId="0" borderId="0" xfId="0" applyFont="1"/>
    <xf numFmtId="0" fontId="0" fillId="0" borderId="0" xfId="0" applyAlignment="1">
      <alignment horizontal="center"/>
    </xf>
    <xf numFmtId="0" fontId="8" fillId="0" borderId="0" xfId="0" applyFont="1" applyAlignment="1">
      <alignment horizontal="center"/>
    </xf>
    <xf numFmtId="0" fontId="0" fillId="0" borderId="0" xfId="0" applyFill="1" applyBorder="1" applyAlignment="1">
      <alignment horizontal="center"/>
    </xf>
    <xf numFmtId="0" fontId="0" fillId="0" borderId="1" xfId="0" applyFill="1" applyBorder="1" applyAlignment="1">
      <alignment horizontal="center"/>
    </xf>
    <xf numFmtId="0" fontId="0" fillId="0" borderId="8" xfId="0" applyFill="1" applyBorder="1" applyAlignment="1">
      <alignment horizontal="center"/>
    </xf>
    <xf numFmtId="0" fontId="0" fillId="0" borderId="9" xfId="0" applyFill="1" applyBorder="1" applyAlignment="1">
      <alignment horizontal="center"/>
    </xf>
    <xf numFmtId="0" fontId="0" fillId="0" borderId="2" xfId="0" applyFill="1" applyBorder="1" applyAlignment="1">
      <alignment horizontal="center"/>
    </xf>
    <xf numFmtId="0" fontId="0" fillId="0" borderId="3" xfId="0" applyFill="1" applyBorder="1" applyAlignment="1">
      <alignment horizontal="center"/>
    </xf>
    <xf numFmtId="0" fontId="0" fillId="0" borderId="0" xfId="0" applyNumberFormat="1" applyFill="1" applyAlignment="1">
      <alignment horizontal="center"/>
    </xf>
    <xf numFmtId="10" fontId="0" fillId="0" borderId="0" xfId="0" applyNumberFormat="1"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2" fontId="0" fillId="0" borderId="0" xfId="0" applyNumberFormat="1" applyFill="1" applyAlignment="1">
      <alignment horizontal="center"/>
    </xf>
    <xf numFmtId="0" fontId="0" fillId="0" borderId="4" xfId="0" applyFill="1" applyBorder="1" applyAlignment="1">
      <alignment horizontal="center"/>
    </xf>
    <xf numFmtId="10" fontId="0" fillId="0" borderId="5" xfId="0" applyNumberFormat="1" applyFill="1" applyBorder="1" applyAlignment="1">
      <alignment horizontal="center"/>
    </xf>
    <xf numFmtId="0" fontId="0" fillId="0" borderId="6" xfId="0" applyFill="1"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1" xfId="0" applyBorder="1" applyAlignment="1">
      <alignment horizontal="center"/>
    </xf>
    <xf numFmtId="0" fontId="0" fillId="0" borderId="9" xfId="0" applyBorder="1" applyAlignment="1">
      <alignment horizontal="center"/>
    </xf>
    <xf numFmtId="0" fontId="45" fillId="10" borderId="0" xfId="0" applyFont="1" applyFill="1" applyAlignment="1"/>
    <xf numFmtId="0" fontId="43" fillId="10" borderId="0" xfId="0" applyFont="1" applyFill="1" applyAlignment="1">
      <alignment horizontal="center"/>
    </xf>
    <xf numFmtId="0" fontId="54" fillId="10" borderId="0" xfId="0" applyFont="1" applyFill="1"/>
    <xf numFmtId="0" fontId="43" fillId="10" borderId="0" xfId="0" applyFont="1" applyFill="1"/>
    <xf numFmtId="0" fontId="43" fillId="10" borderId="0" xfId="0" applyFont="1" applyFill="1" applyAlignment="1"/>
    <xf numFmtId="0" fontId="53" fillId="10" borderId="0" xfId="0" applyFont="1" applyFill="1"/>
    <xf numFmtId="0" fontId="43" fillId="10" borderId="0" xfId="0" applyFont="1" applyFill="1" applyBorder="1" applyAlignment="1">
      <alignment horizontal="left"/>
    </xf>
    <xf numFmtId="0" fontId="43" fillId="10" borderId="0" xfId="0" applyFont="1" applyFill="1" applyBorder="1" applyAlignment="1">
      <alignment horizontal="center"/>
    </xf>
    <xf numFmtId="3" fontId="43" fillId="10" borderId="0" xfId="0" applyNumberFormat="1" applyFont="1" applyFill="1" applyBorder="1" applyAlignment="1">
      <alignment horizontal="center"/>
    </xf>
    <xf numFmtId="0" fontId="43" fillId="13" borderId="63" xfId="0" applyFont="1" applyFill="1" applyBorder="1" applyAlignment="1">
      <alignment horizontal="center"/>
    </xf>
    <xf numFmtId="0" fontId="43" fillId="10" borderId="0" xfId="0" applyFont="1" applyFill="1" applyBorder="1"/>
    <xf numFmtId="0" fontId="49" fillId="8" borderId="73" xfId="0" applyFont="1" applyFill="1" applyBorder="1" applyAlignment="1">
      <alignment horizontal="center"/>
    </xf>
    <xf numFmtId="0" fontId="43" fillId="17" borderId="64" xfId="0" applyFont="1" applyFill="1" applyBorder="1" applyAlignment="1">
      <alignment horizontal="center"/>
    </xf>
    <xf numFmtId="0" fontId="43" fillId="10" borderId="0" xfId="0" applyFont="1" applyFill="1" applyAlignment="1">
      <alignment wrapText="1"/>
    </xf>
    <xf numFmtId="0" fontId="53" fillId="10" borderId="0" xfId="0" applyFont="1" applyFill="1" applyBorder="1"/>
    <xf numFmtId="0" fontId="43" fillId="10" borderId="0" xfId="0" applyFont="1" applyFill="1" applyBorder="1" applyAlignment="1">
      <alignment horizontal="center" wrapText="1"/>
    </xf>
    <xf numFmtId="0" fontId="43" fillId="10" borderId="0" xfId="0" applyFont="1" applyFill="1" applyAlignment="1">
      <alignment horizontal="center" wrapText="1"/>
    </xf>
    <xf numFmtId="0" fontId="46" fillId="10" borderId="0" xfId="0" applyFont="1" applyFill="1" applyAlignment="1"/>
    <xf numFmtId="0" fontId="43" fillId="18" borderId="64" xfId="0" applyFont="1" applyFill="1" applyBorder="1" applyAlignment="1">
      <alignment horizontal="center"/>
    </xf>
    <xf numFmtId="2" fontId="62" fillId="13" borderId="36" xfId="7" applyNumberFormat="1" applyFont="1" applyFill="1" applyBorder="1" applyAlignment="1" applyProtection="1">
      <alignment horizontal="center"/>
    </xf>
    <xf numFmtId="2" fontId="62" fillId="13" borderId="67" xfId="7" applyNumberFormat="1" applyFont="1" applyFill="1" applyBorder="1" applyAlignment="1" applyProtection="1">
      <alignment horizontal="center"/>
    </xf>
    <xf numFmtId="2" fontId="62" fillId="13" borderId="38" xfId="7" applyNumberFormat="1" applyFont="1" applyFill="1" applyBorder="1" applyAlignment="1">
      <alignment horizontal="center"/>
    </xf>
    <xf numFmtId="0" fontId="0" fillId="13" borderId="0" xfId="0" applyFill="1"/>
    <xf numFmtId="0" fontId="53" fillId="10" borderId="0" xfId="0" applyFont="1" applyFill="1" applyBorder="1" applyAlignment="1">
      <alignment horizontal="center" wrapText="1"/>
    </xf>
    <xf numFmtId="0" fontId="0" fillId="10" borderId="8" xfId="0" applyFill="1" applyBorder="1" applyAlignment="1">
      <alignment horizontal="center"/>
    </xf>
    <xf numFmtId="0" fontId="0" fillId="10" borderId="0" xfId="0" applyFill="1" applyBorder="1" applyAlignment="1">
      <alignment horizontal="center"/>
    </xf>
    <xf numFmtId="0" fontId="43" fillId="8" borderId="0" xfId="0" applyFont="1" applyFill="1"/>
    <xf numFmtId="0" fontId="43" fillId="8" borderId="0" xfId="0" applyFont="1" applyFill="1" applyAlignment="1">
      <alignment horizontal="center"/>
    </xf>
    <xf numFmtId="0" fontId="43" fillId="10" borderId="36" xfId="0" applyFont="1" applyFill="1" applyBorder="1" applyAlignment="1">
      <alignment wrapText="1"/>
    </xf>
    <xf numFmtId="0" fontId="7" fillId="10" borderId="0" xfId="0" applyFont="1" applyFill="1" applyBorder="1"/>
    <xf numFmtId="0" fontId="6" fillId="10" borderId="0" xfId="0" applyFont="1" applyFill="1" applyBorder="1"/>
    <xf numFmtId="0" fontId="5" fillId="10" borderId="0" xfId="0" applyFont="1" applyFill="1" applyBorder="1"/>
    <xf numFmtId="0" fontId="43" fillId="10" borderId="36" xfId="0" applyFont="1" applyFill="1" applyBorder="1" applyAlignment="1">
      <alignment horizontal="center" wrapText="1"/>
    </xf>
    <xf numFmtId="0" fontId="49" fillId="8" borderId="75" xfId="0" applyFont="1" applyFill="1" applyBorder="1"/>
    <xf numFmtId="0" fontId="49" fillId="8" borderId="76" xfId="0" applyFont="1" applyFill="1" applyBorder="1" applyAlignment="1">
      <alignment horizontal="center" wrapText="1"/>
    </xf>
    <xf numFmtId="0" fontId="49" fillId="8" borderId="77" xfId="0" applyFont="1" applyFill="1" applyBorder="1" applyAlignment="1">
      <alignment horizontal="center" wrapText="1"/>
    </xf>
    <xf numFmtId="3" fontId="43" fillId="18" borderId="36" xfId="0" applyNumberFormat="1" applyFont="1" applyFill="1" applyBorder="1" applyAlignment="1">
      <alignment horizontal="center" wrapText="1"/>
    </xf>
    <xf numFmtId="0" fontId="43" fillId="17" borderId="37" xfId="5" applyFont="1" applyFill="1" applyBorder="1" applyAlignment="1" applyProtection="1">
      <alignment vertical="center" wrapText="1"/>
      <protection hidden="1"/>
    </xf>
    <xf numFmtId="0" fontId="43" fillId="17" borderId="36" xfId="0" applyFont="1" applyFill="1" applyBorder="1" applyAlignment="1">
      <alignment wrapText="1"/>
    </xf>
    <xf numFmtId="165" fontId="43" fillId="18" borderId="33" xfId="0" applyNumberFormat="1" applyFont="1" applyFill="1" applyBorder="1" applyAlignment="1">
      <alignment horizontal="center"/>
    </xf>
    <xf numFmtId="165" fontId="43" fillId="18" borderId="18" xfId="0" applyNumberFormat="1" applyFont="1" applyFill="1" applyBorder="1" applyAlignment="1">
      <alignment horizontal="center"/>
    </xf>
    <xf numFmtId="165" fontId="43" fillId="18" borderId="58" xfId="0" applyNumberFormat="1" applyFont="1" applyFill="1" applyBorder="1" applyAlignment="1">
      <alignment horizontal="center"/>
    </xf>
    <xf numFmtId="0" fontId="4" fillId="10" borderId="0" xfId="0" applyFont="1" applyFill="1" applyBorder="1"/>
    <xf numFmtId="0" fontId="40" fillId="10" borderId="0" xfId="0" applyFont="1" applyFill="1" applyBorder="1" applyAlignment="1">
      <alignment horizontal="left"/>
    </xf>
    <xf numFmtId="0" fontId="49" fillId="10" borderId="0" xfId="0" applyFont="1" applyFill="1" applyBorder="1" applyAlignment="1">
      <alignment vertical="center"/>
    </xf>
    <xf numFmtId="0" fontId="40" fillId="10" borderId="0" xfId="0" applyFont="1" applyFill="1" applyBorder="1" applyAlignment="1">
      <alignment horizontal="center" vertical="center" wrapText="1"/>
    </xf>
    <xf numFmtId="0" fontId="40" fillId="10" borderId="0" xfId="0" applyFont="1" applyFill="1" applyBorder="1"/>
    <xf numFmtId="0" fontId="79" fillId="10" borderId="0" xfId="0" applyFont="1" applyFill="1" applyBorder="1"/>
    <xf numFmtId="0" fontId="40" fillId="10" borderId="0" xfId="0" applyFont="1" applyFill="1"/>
    <xf numFmtId="0" fontId="79" fillId="10" borderId="0" xfId="0" applyFont="1" applyFill="1"/>
    <xf numFmtId="0" fontId="43" fillId="10" borderId="0" xfId="0" applyFont="1" applyFill="1" applyAlignment="1">
      <alignment horizontal="left" vertical="top" wrapText="1"/>
    </xf>
    <xf numFmtId="0" fontId="43" fillId="17" borderId="18" xfId="0" applyNumberFormat="1" applyFont="1" applyFill="1" applyBorder="1" applyAlignment="1">
      <alignment horizontal="center"/>
    </xf>
    <xf numFmtId="0" fontId="43" fillId="17" borderId="58" xfId="0" applyNumberFormat="1" applyFont="1" applyFill="1" applyBorder="1" applyAlignment="1">
      <alignment horizontal="center"/>
    </xf>
    <xf numFmtId="0" fontId="80" fillId="10" borderId="0" xfId="0" applyFont="1" applyFill="1" applyAlignment="1">
      <alignment horizontal="left" vertical="center"/>
    </xf>
    <xf numFmtId="0" fontId="80" fillId="10" borderId="0" xfId="0" applyFont="1" applyFill="1" applyBorder="1" applyAlignment="1">
      <alignment horizontal="left" vertical="center"/>
    </xf>
    <xf numFmtId="0" fontId="80" fillId="10" borderId="0" xfId="0" applyFont="1" applyFill="1" applyBorder="1" applyAlignment="1">
      <alignment horizontal="left" vertical="center" wrapText="1"/>
    </xf>
    <xf numFmtId="0" fontId="81" fillId="10" borderId="0" xfId="0" applyFont="1" applyFill="1" applyBorder="1" applyAlignment="1">
      <alignment horizontal="left" vertical="center"/>
    </xf>
    <xf numFmtId="164" fontId="81" fillId="10" borderId="0" xfId="0" applyNumberFormat="1" applyFont="1" applyFill="1" applyBorder="1" applyAlignment="1">
      <alignment horizontal="left" vertical="center"/>
    </xf>
    <xf numFmtId="3" fontId="81" fillId="10" borderId="0" xfId="0" applyNumberFormat="1" applyFont="1" applyFill="1" applyBorder="1" applyAlignment="1">
      <alignment horizontal="left" vertical="center"/>
    </xf>
    <xf numFmtId="0" fontId="81" fillId="10" borderId="0" xfId="0" applyFont="1" applyFill="1" applyAlignment="1">
      <alignment horizontal="left" vertical="center"/>
    </xf>
    <xf numFmtId="166" fontId="81" fillId="10" borderId="0" xfId="0" applyNumberFormat="1" applyFont="1" applyFill="1" applyBorder="1" applyAlignment="1">
      <alignment horizontal="left" vertical="center"/>
    </xf>
    <xf numFmtId="168" fontId="81" fillId="10" borderId="0" xfId="0" applyNumberFormat="1" applyFont="1" applyFill="1" applyBorder="1" applyAlignment="1">
      <alignment horizontal="left" vertical="center"/>
    </xf>
    <xf numFmtId="0" fontId="62" fillId="19" borderId="36" xfId="7" applyNumberFormat="1" applyFont="1" applyFill="1" applyBorder="1" applyAlignment="1">
      <alignment horizontal="center"/>
    </xf>
    <xf numFmtId="0" fontId="62" fillId="19" borderId="36" xfId="7" applyFont="1" applyFill="1" applyBorder="1" applyAlignment="1">
      <alignment horizontal="center"/>
    </xf>
    <xf numFmtId="0" fontId="62" fillId="19" borderId="67" xfId="7" applyFont="1" applyFill="1" applyBorder="1" applyAlignment="1">
      <alignment horizontal="center"/>
    </xf>
    <xf numFmtId="0" fontId="62" fillId="19" borderId="38" xfId="7" applyFont="1" applyFill="1" applyBorder="1" applyAlignment="1">
      <alignment horizontal="center"/>
    </xf>
    <xf numFmtId="0" fontId="0" fillId="19" borderId="0" xfId="0" applyFill="1"/>
    <xf numFmtId="0" fontId="43" fillId="10" borderId="47" xfId="0" applyFont="1" applyFill="1" applyBorder="1" applyAlignment="1">
      <alignment vertical="top" wrapText="1"/>
    </xf>
    <xf numFmtId="0" fontId="82" fillId="10" borderId="0" xfId="0" applyFont="1" applyFill="1"/>
    <xf numFmtId="0" fontId="54" fillId="10" borderId="0" xfId="4" applyFont="1" applyFill="1" applyAlignment="1" applyProtection="1">
      <alignment horizontal="center" wrapText="1"/>
      <protection hidden="1"/>
    </xf>
    <xf numFmtId="0" fontId="54" fillId="10" borderId="0" xfId="4" applyFont="1" applyFill="1" applyAlignment="1" applyProtection="1">
      <alignment horizontal="left"/>
      <protection hidden="1"/>
    </xf>
    <xf numFmtId="0" fontId="49" fillId="8" borderId="37" xfId="5" applyFont="1" applyFill="1" applyBorder="1" applyAlignment="1" applyProtection="1">
      <alignment vertical="center" wrapText="1"/>
      <protection hidden="1"/>
    </xf>
    <xf numFmtId="0" fontId="49" fillId="8" borderId="66" xfId="4" applyFont="1" applyFill="1" applyBorder="1" applyAlignment="1" applyProtection="1">
      <alignment horizontal="center" vertical="center" wrapText="1"/>
      <protection hidden="1"/>
    </xf>
    <xf numFmtId="0" fontId="43" fillId="10" borderId="47" xfId="0" applyFont="1" applyFill="1" applyBorder="1"/>
    <xf numFmtId="0" fontId="43" fillId="10" borderId="47" xfId="0" applyFont="1" applyFill="1" applyBorder="1" applyAlignment="1">
      <alignment horizontal="center" wrapText="1"/>
    </xf>
    <xf numFmtId="0" fontId="43" fillId="13" borderId="36" xfId="0" applyFont="1" applyFill="1" applyBorder="1" applyAlignment="1">
      <alignment horizontal="center"/>
    </xf>
    <xf numFmtId="0" fontId="43" fillId="10" borderId="65" xfId="0" applyFont="1" applyFill="1" applyBorder="1"/>
    <xf numFmtId="0" fontId="43" fillId="10" borderId="66" xfId="0" applyFont="1" applyFill="1" applyBorder="1" applyAlignment="1">
      <alignment horizontal="center" wrapText="1"/>
    </xf>
    <xf numFmtId="1" fontId="43" fillId="13" borderId="66" xfId="4" applyNumberFormat="1" applyFont="1" applyFill="1" applyBorder="1" applyAlignment="1" applyProtection="1">
      <alignment horizontal="center" vertical="center" wrapText="1"/>
      <protection hidden="1"/>
    </xf>
    <xf numFmtId="0" fontId="9" fillId="10" borderId="1" xfId="0" applyFont="1" applyFill="1" applyBorder="1"/>
    <xf numFmtId="0" fontId="0" fillId="10" borderId="8" xfId="0" applyFill="1" applyBorder="1"/>
    <xf numFmtId="0" fontId="0" fillId="10" borderId="2" xfId="0" applyFill="1" applyBorder="1"/>
    <xf numFmtId="0" fontId="0" fillId="10" borderId="5" xfId="0" applyFill="1" applyBorder="1"/>
    <xf numFmtId="3" fontId="0" fillId="10" borderId="0" xfId="0" applyNumberFormat="1" applyFill="1" applyBorder="1" applyAlignment="1">
      <alignment horizontal="center"/>
    </xf>
    <xf numFmtId="0" fontId="18" fillId="10" borderId="0" xfId="0" applyFont="1" applyFill="1" applyAlignment="1">
      <alignment horizontal="left" wrapText="1"/>
    </xf>
    <xf numFmtId="0" fontId="18" fillId="10" borderId="0" xfId="0" applyFont="1" applyFill="1" applyAlignment="1">
      <alignment vertical="top" wrapText="1"/>
    </xf>
    <xf numFmtId="0" fontId="0" fillId="10" borderId="4" xfId="0" applyFill="1" applyBorder="1"/>
    <xf numFmtId="3" fontId="0" fillId="10" borderId="5" xfId="0" applyNumberFormat="1" applyFill="1" applyBorder="1" applyAlignment="1">
      <alignment horizontal="center"/>
    </xf>
    <xf numFmtId="0" fontId="0" fillId="20" borderId="0" xfId="0" applyFill="1"/>
    <xf numFmtId="0" fontId="0" fillId="20" borderId="0" xfId="0" applyFont="1" applyFill="1"/>
    <xf numFmtId="0" fontId="43" fillId="20" borderId="0" xfId="0" applyFont="1" applyFill="1"/>
    <xf numFmtId="0" fontId="43" fillId="20" borderId="0" xfId="0" applyFont="1" applyFill="1" applyBorder="1"/>
    <xf numFmtId="0" fontId="0" fillId="20" borderId="0" xfId="0" applyFill="1" applyBorder="1"/>
    <xf numFmtId="0" fontId="0" fillId="10" borderId="9" xfId="0" applyFont="1" applyFill="1" applyBorder="1"/>
    <xf numFmtId="0" fontId="18" fillId="10" borderId="2" xfId="0" applyFont="1" applyFill="1" applyBorder="1"/>
    <xf numFmtId="0" fontId="0" fillId="10" borderId="3" xfId="0" applyFont="1" applyFill="1" applyBorder="1"/>
    <xf numFmtId="0" fontId="9" fillId="10" borderId="2" xfId="0" applyFont="1" applyFill="1" applyBorder="1"/>
    <xf numFmtId="0" fontId="0" fillId="10" borderId="6" xfId="0" applyFont="1" applyFill="1" applyBorder="1"/>
    <xf numFmtId="0" fontId="49" fillId="8" borderId="36" xfId="5" applyFont="1" applyFill="1" applyBorder="1" applyAlignment="1" applyProtection="1">
      <alignment horizontal="center" vertical="center" wrapText="1"/>
      <protection hidden="1"/>
    </xf>
    <xf numFmtId="0" fontId="43" fillId="10" borderId="0" xfId="0" applyFont="1" applyFill="1" applyAlignment="1">
      <alignment horizontal="left" vertical="top" wrapText="1"/>
    </xf>
    <xf numFmtId="0" fontId="0" fillId="17" borderId="36" xfId="0" applyFill="1" applyBorder="1" applyAlignment="1">
      <alignment horizontal="center"/>
    </xf>
    <xf numFmtId="3" fontId="0" fillId="18" borderId="36" xfId="0" applyNumberFormat="1" applyFill="1" applyBorder="1" applyAlignment="1">
      <alignment horizontal="center"/>
    </xf>
    <xf numFmtId="0" fontId="0" fillId="18" borderId="36" xfId="0" applyFill="1" applyBorder="1" applyAlignment="1">
      <alignment horizontal="center"/>
    </xf>
    <xf numFmtId="0" fontId="43" fillId="10" borderId="0" xfId="0" applyFont="1" applyFill="1" applyBorder="1" applyAlignment="1"/>
    <xf numFmtId="0" fontId="50" fillId="10" borderId="0" xfId="0" applyFont="1" applyFill="1" applyAlignment="1">
      <alignment horizontal="left"/>
    </xf>
    <xf numFmtId="0" fontId="53" fillId="13" borderId="0" xfId="0" applyFont="1" applyFill="1" applyAlignment="1">
      <alignment horizontal="left"/>
    </xf>
    <xf numFmtId="0" fontId="50" fillId="13" borderId="0" xfId="0" applyFont="1" applyFill="1" applyAlignment="1">
      <alignment horizontal="left"/>
    </xf>
    <xf numFmtId="0" fontId="43" fillId="18" borderId="36" xfId="0" applyFont="1" applyFill="1" applyBorder="1" applyAlignment="1">
      <alignment horizontal="center"/>
    </xf>
    <xf numFmtId="0" fontId="43" fillId="10" borderId="57" xfId="0" applyFont="1" applyFill="1" applyBorder="1" applyAlignment="1">
      <alignment horizontal="right"/>
    </xf>
    <xf numFmtId="0" fontId="43" fillId="10" borderId="65" xfId="0" applyFont="1" applyFill="1" applyBorder="1" applyAlignment="1">
      <alignment vertical="top" wrapText="1"/>
    </xf>
    <xf numFmtId="0" fontId="43" fillId="10" borderId="66" xfId="0" applyFont="1" applyFill="1" applyBorder="1" applyAlignment="1">
      <alignment horizontal="right"/>
    </xf>
    <xf numFmtId="0" fontId="99" fillId="10" borderId="0" xfId="0" applyFont="1" applyFill="1" applyAlignment="1"/>
    <xf numFmtId="0" fontId="64" fillId="10" borderId="0" xfId="0" applyFont="1" applyFill="1" applyAlignment="1">
      <alignment horizontal="left"/>
    </xf>
    <xf numFmtId="0" fontId="64" fillId="10" borderId="0" xfId="0" applyFont="1" applyFill="1" applyAlignment="1"/>
    <xf numFmtId="0" fontId="99" fillId="10" borderId="0" xfId="0" applyFont="1" applyFill="1" applyBorder="1" applyAlignment="1"/>
    <xf numFmtId="0" fontId="64" fillId="10" borderId="0" xfId="0" applyFont="1" applyFill="1" applyBorder="1" applyAlignment="1"/>
    <xf numFmtId="0" fontId="64" fillId="10" borderId="0" xfId="0" applyFont="1" applyFill="1" applyBorder="1" applyAlignment="1">
      <alignment horizontal="left"/>
    </xf>
    <xf numFmtId="0" fontId="100" fillId="10" borderId="0" xfId="0" applyFont="1" applyFill="1" applyBorder="1"/>
    <xf numFmtId="0" fontId="45" fillId="10" borderId="0" xfId="0" applyFont="1" applyFill="1" applyAlignment="1">
      <alignment horizontal="left"/>
    </xf>
    <xf numFmtId="166" fontId="53" fillId="10" borderId="0" xfId="0" applyNumberFormat="1" applyFont="1" applyFill="1" applyBorder="1" applyAlignment="1">
      <alignment horizontal="center"/>
    </xf>
    <xf numFmtId="0" fontId="45" fillId="10" borderId="0" xfId="0" applyFont="1" applyFill="1" applyBorder="1" applyAlignment="1">
      <alignment horizontal="left"/>
    </xf>
    <xf numFmtId="164" fontId="53" fillId="17" borderId="36" xfId="0" applyNumberFormat="1" applyFont="1" applyFill="1" applyBorder="1" applyAlignment="1">
      <alignment horizontal="center"/>
    </xf>
    <xf numFmtId="0" fontId="45" fillId="17" borderId="36" xfId="0" applyFont="1" applyFill="1" applyBorder="1" applyAlignment="1">
      <alignment horizontal="left"/>
    </xf>
    <xf numFmtId="166" fontId="53" fillId="17" borderId="36" xfId="0" applyNumberFormat="1" applyFont="1" applyFill="1" applyBorder="1" applyAlignment="1">
      <alignment horizontal="center"/>
    </xf>
    <xf numFmtId="164" fontId="3" fillId="17" borderId="36" xfId="54" applyNumberFormat="1" applyFill="1" applyBorder="1" applyAlignment="1">
      <alignment horizontal="center"/>
    </xf>
    <xf numFmtId="166" fontId="3" fillId="17" borderId="36" xfId="54" applyNumberFormat="1" applyFill="1" applyBorder="1" applyAlignment="1">
      <alignment horizontal="center" vertical="center"/>
    </xf>
    <xf numFmtId="0" fontId="3" fillId="17" borderId="36" xfId="0" applyFont="1" applyFill="1" applyBorder="1" applyAlignment="1">
      <alignment horizontal="left"/>
    </xf>
    <xf numFmtId="164" fontId="53" fillId="10" borderId="0" xfId="0" applyNumberFormat="1" applyFont="1" applyFill="1" applyBorder="1" applyAlignment="1">
      <alignment horizontal="center"/>
    </xf>
    <xf numFmtId="0" fontId="49" fillId="8" borderId="36" xfId="0" applyFont="1" applyFill="1" applyBorder="1" applyAlignment="1">
      <alignment horizontal="left"/>
    </xf>
    <xf numFmtId="0" fontId="49" fillId="8" borderId="36" xfId="0" applyFont="1" applyFill="1" applyBorder="1" applyAlignment="1">
      <alignment horizontal="center" wrapText="1"/>
    </xf>
    <xf numFmtId="0" fontId="43" fillId="10" borderId="57" xfId="0" applyFont="1" applyFill="1" applyBorder="1"/>
    <xf numFmtId="3" fontId="43" fillId="13" borderId="87" xfId="0" applyNumberFormat="1" applyFont="1" applyFill="1" applyBorder="1" applyAlignment="1">
      <alignment horizontal="center"/>
    </xf>
    <xf numFmtId="0" fontId="43" fillId="10" borderId="65" xfId="0" applyFont="1" applyFill="1" applyBorder="1" applyAlignment="1"/>
    <xf numFmtId="0" fontId="43" fillId="17" borderId="36" xfId="0" applyFont="1" applyFill="1" applyBorder="1"/>
    <xf numFmtId="9" fontId="43" fillId="17" borderId="36" xfId="0" applyNumberFormat="1" applyFont="1" applyFill="1" applyBorder="1" applyAlignment="1">
      <alignment horizontal="center"/>
    </xf>
    <xf numFmtId="0" fontId="53" fillId="17" borderId="38" xfId="0" applyFont="1" applyFill="1" applyBorder="1"/>
    <xf numFmtId="0" fontId="43" fillId="17" borderId="67" xfId="0" applyFont="1" applyFill="1" applyBorder="1"/>
    <xf numFmtId="3" fontId="43" fillId="13" borderId="67" xfId="0" applyNumberFormat="1" applyFont="1" applyFill="1" applyBorder="1" applyAlignment="1">
      <alignment horizontal="center"/>
    </xf>
    <xf numFmtId="9" fontId="43" fillId="17" borderId="67" xfId="0" applyNumberFormat="1" applyFont="1" applyFill="1" applyBorder="1" applyAlignment="1">
      <alignment horizontal="center"/>
    </xf>
    <xf numFmtId="3" fontId="43" fillId="18" borderId="67" xfId="0" applyNumberFormat="1" applyFont="1" applyFill="1" applyBorder="1" applyAlignment="1">
      <alignment horizontal="center"/>
    </xf>
    <xf numFmtId="3" fontId="53" fillId="13" borderId="38" xfId="0" applyNumberFormat="1" applyFont="1" applyFill="1" applyBorder="1" applyAlignment="1">
      <alignment horizontal="center"/>
    </xf>
    <xf numFmtId="0" fontId="53" fillId="17" borderId="87" xfId="0" applyFont="1" applyFill="1" applyBorder="1"/>
    <xf numFmtId="9" fontId="43" fillId="17" borderId="87" xfId="0" applyNumberFormat="1" applyFont="1" applyFill="1" applyBorder="1" applyAlignment="1">
      <alignment horizontal="center"/>
    </xf>
    <xf numFmtId="3" fontId="43" fillId="18" borderId="87" xfId="0" applyNumberFormat="1" applyFont="1" applyFill="1" applyBorder="1" applyAlignment="1">
      <alignment horizontal="center"/>
    </xf>
    <xf numFmtId="0" fontId="66" fillId="10" borderId="0" xfId="0" applyFont="1" applyFill="1" applyAlignment="1">
      <alignment horizontal="center"/>
    </xf>
    <xf numFmtId="0" fontId="9" fillId="10" borderId="0" xfId="0" applyFont="1" applyFill="1" applyBorder="1"/>
    <xf numFmtId="0" fontId="77" fillId="10" borderId="0" xfId="0" applyFont="1" applyFill="1" applyBorder="1" applyAlignment="1">
      <alignment horizontal="center"/>
    </xf>
    <xf numFmtId="0" fontId="9" fillId="10" borderId="0" xfId="0" applyFont="1" applyFill="1" applyBorder="1" applyAlignment="1">
      <alignment horizontal="center" vertical="center"/>
    </xf>
    <xf numFmtId="0" fontId="18" fillId="10" borderId="0" xfId="0" applyFont="1" applyFill="1" applyBorder="1" applyAlignment="1">
      <alignment horizontal="left"/>
    </xf>
    <xf numFmtId="167" fontId="0" fillId="10" borderId="0" xfId="0" applyNumberFormat="1" applyFill="1" applyBorder="1"/>
    <xf numFmtId="0" fontId="43" fillId="10" borderId="0" xfId="0" applyFont="1" applyFill="1" applyAlignment="1">
      <alignment horizontal="center"/>
    </xf>
    <xf numFmtId="0" fontId="43" fillId="10" borderId="0" xfId="0" applyFont="1" applyFill="1" applyAlignment="1"/>
    <xf numFmtId="0" fontId="53" fillId="10" borderId="0" xfId="0" applyFont="1" applyFill="1"/>
    <xf numFmtId="0" fontId="65" fillId="12" borderId="0" xfId="0" applyFont="1" applyFill="1"/>
    <xf numFmtId="0" fontId="65" fillId="12" borderId="0" xfId="0" applyFont="1" applyFill="1" applyAlignment="1"/>
    <xf numFmtId="0" fontId="65" fillId="12" borderId="0" xfId="0" applyFont="1" applyFill="1" applyAlignment="1">
      <alignment horizontal="center"/>
    </xf>
    <xf numFmtId="0" fontId="65" fillId="12" borderId="0" xfId="0" applyFont="1" applyFill="1" applyBorder="1"/>
    <xf numFmtId="0" fontId="53" fillId="10" borderId="0" xfId="0" applyFont="1" applyFill="1" applyBorder="1"/>
    <xf numFmtId="0" fontId="65" fillId="10" borderId="0" xfId="0" applyFont="1" applyFill="1"/>
    <xf numFmtId="0" fontId="65" fillId="10" borderId="0" xfId="0" applyFont="1" applyFill="1" applyAlignment="1"/>
    <xf numFmtId="0" fontId="65" fillId="10" borderId="0" xfId="0" applyFont="1" applyFill="1" applyAlignment="1">
      <alignment horizontal="center"/>
    </xf>
    <xf numFmtId="0" fontId="0" fillId="10" borderId="0" xfId="0" applyFill="1"/>
    <xf numFmtId="0" fontId="0" fillId="10" borderId="0" xfId="0" applyFill="1" applyBorder="1"/>
    <xf numFmtId="0" fontId="0" fillId="10" borderId="2" xfId="0" applyFill="1" applyBorder="1" applyAlignment="1">
      <alignment horizontal="center"/>
    </xf>
    <xf numFmtId="0" fontId="0" fillId="10" borderId="3" xfId="0" applyFill="1" applyBorder="1" applyAlignment="1">
      <alignment horizontal="center"/>
    </xf>
    <xf numFmtId="10" fontId="0" fillId="10" borderId="0" xfId="0" applyNumberFormat="1" applyFill="1" applyBorder="1" applyAlignment="1">
      <alignment horizontal="center"/>
    </xf>
    <xf numFmtId="3" fontId="0" fillId="13" borderId="36" xfId="0" applyNumberFormat="1" applyFont="1" applyFill="1" applyBorder="1" applyAlignment="1">
      <alignment horizontal="center"/>
    </xf>
    <xf numFmtId="0" fontId="50" fillId="10" borderId="0" xfId="0" applyFont="1" applyFill="1"/>
    <xf numFmtId="0" fontId="49" fillId="8" borderId="36" xfId="0" applyFont="1" applyFill="1" applyBorder="1" applyAlignment="1">
      <alignment horizontal="center"/>
    </xf>
    <xf numFmtId="0" fontId="54" fillId="12" borderId="0" xfId="0" applyFont="1" applyFill="1"/>
    <xf numFmtId="0" fontId="43" fillId="10" borderId="0" xfId="0" applyFont="1" applyFill="1"/>
    <xf numFmtId="0" fontId="43" fillId="10" borderId="0" xfId="0" applyFont="1" applyFill="1" applyBorder="1" applyAlignment="1">
      <alignment horizontal="center"/>
    </xf>
    <xf numFmtId="3" fontId="43" fillId="10" borderId="0" xfId="0" applyNumberFormat="1" applyFont="1" applyFill="1" applyBorder="1" applyAlignment="1">
      <alignment horizontal="center"/>
    </xf>
    <xf numFmtId="0" fontId="43" fillId="12" borderId="0" xfId="0" applyFont="1" applyFill="1"/>
    <xf numFmtId="0" fontId="43" fillId="10" borderId="0" xfId="0" applyFont="1" applyFill="1" applyBorder="1"/>
    <xf numFmtId="0" fontId="53" fillId="10" borderId="0" xfId="0" applyFont="1" applyFill="1" applyBorder="1" applyAlignment="1"/>
    <xf numFmtId="0" fontId="73" fillId="12" borderId="0" xfId="0" applyFont="1" applyFill="1" applyBorder="1" applyAlignment="1">
      <alignment horizontal="center" wrapText="1"/>
    </xf>
    <xf numFmtId="0" fontId="43" fillId="10" borderId="0" xfId="0" applyFont="1" applyFill="1" applyAlignment="1">
      <alignment vertical="center"/>
    </xf>
    <xf numFmtId="3" fontId="53" fillId="18" borderId="36" xfId="0" applyNumberFormat="1" applyFont="1" applyFill="1" applyBorder="1" applyAlignment="1">
      <alignment horizontal="center"/>
    </xf>
    <xf numFmtId="0" fontId="65" fillId="10" borderId="0" xfId="0" applyFont="1" applyFill="1" applyBorder="1"/>
    <xf numFmtId="0" fontId="0" fillId="10" borderId="0" xfId="0" applyNumberFormat="1" applyFont="1" applyFill="1" applyAlignment="1">
      <alignment horizontal="center" vertical="center"/>
    </xf>
    <xf numFmtId="3" fontId="53" fillId="10" borderId="0" xfId="0" applyNumberFormat="1" applyFont="1" applyFill="1" applyBorder="1" applyAlignment="1">
      <alignment horizontal="center"/>
    </xf>
    <xf numFmtId="0" fontId="43" fillId="17" borderId="36" xfId="0" applyFont="1" applyFill="1" applyBorder="1" applyAlignment="1"/>
    <xf numFmtId="0" fontId="43" fillId="10" borderId="47" xfId="0" applyFont="1" applyFill="1" applyBorder="1"/>
    <xf numFmtId="0" fontId="43" fillId="10" borderId="0" xfId="0" applyFont="1" applyFill="1" applyBorder="1" applyAlignment="1">
      <alignment horizontal="left" vertical="top" wrapText="1"/>
    </xf>
    <xf numFmtId="0" fontId="43" fillId="10" borderId="47" xfId="0" applyFont="1" applyFill="1" applyBorder="1" applyAlignment="1"/>
    <xf numFmtId="0" fontId="43" fillId="10" borderId="47" xfId="0" applyFont="1" applyFill="1" applyBorder="1" applyAlignment="1">
      <alignment horizontal="right"/>
    </xf>
    <xf numFmtId="0" fontId="43" fillId="17" borderId="88" xfId="0" applyFont="1" applyFill="1" applyBorder="1" applyAlignment="1">
      <alignment horizontal="center"/>
    </xf>
    <xf numFmtId="0" fontId="43" fillId="10" borderId="65" xfId="0" applyFont="1" applyFill="1" applyBorder="1" applyAlignment="1">
      <alignment horizontal="right"/>
    </xf>
    <xf numFmtId="0" fontId="49" fillId="8" borderId="36" xfId="0" applyFont="1" applyFill="1" applyBorder="1" applyAlignment="1"/>
    <xf numFmtId="0" fontId="53" fillId="18" borderId="36" xfId="0" applyFont="1" applyFill="1" applyBorder="1" applyAlignment="1"/>
    <xf numFmtId="0" fontId="76" fillId="10" borderId="0" xfId="0" applyFont="1" applyFill="1" applyBorder="1" applyAlignment="1"/>
    <xf numFmtId="0" fontId="46" fillId="10" borderId="0" xfId="0" applyFont="1" applyFill="1" applyBorder="1" applyAlignment="1"/>
    <xf numFmtId="3" fontId="53" fillId="13" borderId="87" xfId="0" applyNumberFormat="1" applyFont="1" applyFill="1" applyBorder="1" applyAlignment="1">
      <alignment horizontal="center"/>
    </xf>
    <xf numFmtId="0" fontId="43" fillId="13" borderId="38" xfId="0" applyFont="1" applyFill="1" applyBorder="1" applyAlignment="1">
      <alignment horizontal="center"/>
    </xf>
    <xf numFmtId="0" fontId="65" fillId="9" borderId="0" xfId="0" applyFont="1" applyFill="1"/>
    <xf numFmtId="0" fontId="48" fillId="9" borderId="0" xfId="0" applyFont="1" applyFill="1" applyAlignment="1">
      <alignment horizontal="left"/>
    </xf>
    <xf numFmtId="3" fontId="74" fillId="9" borderId="0" xfId="0" applyNumberFormat="1" applyFont="1" applyFill="1" applyBorder="1" applyAlignment="1">
      <alignment horizontal="center"/>
    </xf>
    <xf numFmtId="0" fontId="103" fillId="9" borderId="0" xfId="0" applyFont="1" applyFill="1" applyAlignment="1">
      <alignment horizontal="left"/>
    </xf>
    <xf numFmtId="3" fontId="65" fillId="9" borderId="0" xfId="0" applyNumberFormat="1" applyFont="1" applyFill="1" applyBorder="1" applyAlignment="1">
      <alignment horizontal="center"/>
    </xf>
    <xf numFmtId="0" fontId="65" fillId="9" borderId="0" xfId="0" applyFont="1" applyFill="1" applyAlignment="1">
      <alignment horizontal="center"/>
    </xf>
    <xf numFmtId="3" fontId="43" fillId="10" borderId="0" xfId="0" applyNumberFormat="1" applyFont="1" applyFill="1" applyBorder="1" applyAlignment="1">
      <alignment horizontal="center" vertical="center"/>
    </xf>
    <xf numFmtId="3" fontId="53" fillId="18" borderId="36" xfId="0" applyNumberFormat="1" applyFont="1" applyFill="1" applyBorder="1" applyAlignment="1">
      <alignment horizontal="center" vertical="center"/>
    </xf>
    <xf numFmtId="0" fontId="43" fillId="17" borderId="36" xfId="0" applyFont="1" applyFill="1" applyBorder="1" applyAlignment="1">
      <alignment horizontal="center" wrapText="1"/>
    </xf>
    <xf numFmtId="0" fontId="50" fillId="10" borderId="0" xfId="0" applyFont="1" applyFill="1" applyBorder="1"/>
    <xf numFmtId="3" fontId="43" fillId="13" borderId="36" xfId="0" applyNumberFormat="1" applyFont="1" applyFill="1" applyBorder="1" applyAlignment="1" applyProtection="1">
      <alignment horizontal="center"/>
      <protection locked="0"/>
    </xf>
    <xf numFmtId="0" fontId="47" fillId="10" borderId="0" xfId="0" applyFont="1" applyFill="1"/>
    <xf numFmtId="0" fontId="47" fillId="10" borderId="0" xfId="0" applyFont="1" applyFill="1" applyBorder="1"/>
    <xf numFmtId="0" fontId="50" fillId="52" borderId="0" xfId="0" applyFont="1" applyFill="1" applyBorder="1"/>
    <xf numFmtId="0" fontId="0" fillId="52" borderId="0" xfId="0" applyFont="1" applyFill="1"/>
    <xf numFmtId="0" fontId="105" fillId="52" borderId="0" xfId="0" applyFont="1" applyFill="1" applyBorder="1"/>
    <xf numFmtId="0" fontId="43" fillId="52" borderId="0" xfId="0" applyFont="1" applyFill="1"/>
    <xf numFmtId="0" fontId="43" fillId="52" borderId="0" xfId="0" applyFont="1" applyFill="1" applyAlignment="1">
      <alignment vertical="center"/>
    </xf>
    <xf numFmtId="0" fontId="0" fillId="52" borderId="0" xfId="0" applyFont="1" applyFill="1" applyAlignment="1">
      <alignment vertical="center"/>
    </xf>
    <xf numFmtId="0" fontId="105" fillId="52" borderId="0" xfId="0" applyFont="1" applyFill="1"/>
    <xf numFmtId="0" fontId="43" fillId="52" borderId="0" xfId="0" applyFont="1" applyFill="1" applyBorder="1"/>
    <xf numFmtId="0" fontId="43" fillId="52" borderId="0" xfId="0" applyFont="1" applyFill="1" applyAlignment="1">
      <alignment vertical="top" wrapText="1"/>
    </xf>
    <xf numFmtId="0" fontId="43" fillId="52" borderId="0" xfId="0" applyFont="1" applyFill="1" applyAlignment="1">
      <alignment wrapText="1"/>
    </xf>
    <xf numFmtId="0" fontId="43" fillId="52" borderId="38" xfId="0" applyFont="1" applyFill="1" applyBorder="1"/>
    <xf numFmtId="0" fontId="43" fillId="52" borderId="18" xfId="0" applyFont="1" applyFill="1" applyBorder="1"/>
    <xf numFmtId="0" fontId="53" fillId="52" borderId="36" xfId="0" applyFont="1" applyFill="1" applyBorder="1"/>
    <xf numFmtId="0" fontId="53" fillId="13" borderId="38" xfId="0" applyFont="1" applyFill="1" applyBorder="1" applyAlignment="1" applyProtection="1">
      <alignment horizontal="center"/>
      <protection locked="0"/>
    </xf>
    <xf numFmtId="0" fontId="43" fillId="18" borderId="36" xfId="0" applyFont="1" applyFill="1" applyBorder="1"/>
    <xf numFmtId="0" fontId="53" fillId="13" borderId="36" xfId="0" applyFont="1" applyFill="1" applyBorder="1"/>
    <xf numFmtId="3" fontId="53" fillId="13" borderId="36" xfId="0" applyNumberFormat="1" applyFont="1" applyFill="1" applyBorder="1"/>
    <xf numFmtId="0" fontId="53" fillId="18" borderId="36" xfId="0" applyFont="1" applyFill="1" applyBorder="1"/>
    <xf numFmtId="0" fontId="53" fillId="18" borderId="38" xfId="0" applyFont="1" applyFill="1" applyBorder="1"/>
    <xf numFmtId="0" fontId="53" fillId="13" borderId="38" xfId="0" applyFont="1" applyFill="1" applyBorder="1"/>
    <xf numFmtId="3" fontId="0" fillId="13" borderId="36" xfId="0" applyNumberFormat="1" applyFill="1" applyBorder="1" applyAlignment="1">
      <alignment horizontal="center"/>
    </xf>
    <xf numFmtId="0" fontId="65" fillId="20" borderId="0" xfId="0" applyFont="1" applyFill="1"/>
    <xf numFmtId="0" fontId="43" fillId="10" borderId="0" xfId="0" applyFont="1" applyFill="1" applyBorder="1" applyAlignment="1">
      <alignment horizontal="center" vertical="center"/>
    </xf>
    <xf numFmtId="0" fontId="59" fillId="10" borderId="0" xfId="7" applyFont="1" applyFill="1" applyBorder="1" applyAlignment="1">
      <alignment vertical="center" wrapText="1"/>
    </xf>
    <xf numFmtId="0" fontId="8" fillId="10" borderId="0" xfId="0" applyFont="1" applyFill="1" applyBorder="1" applyAlignment="1">
      <alignment horizontal="left" wrapText="1"/>
    </xf>
    <xf numFmtId="10" fontId="0" fillId="10" borderId="0" xfId="0" applyNumberFormat="1" applyFill="1" applyBorder="1" applyAlignment="1">
      <alignment horizontal="center" wrapText="1"/>
    </xf>
    <xf numFmtId="0" fontId="0" fillId="10" borderId="0" xfId="0" applyFill="1" applyBorder="1" applyAlignment="1">
      <alignment wrapText="1"/>
    </xf>
    <xf numFmtId="0" fontId="65" fillId="10" borderId="0" xfId="0" applyFont="1" applyFill="1" applyAlignment="1">
      <alignment wrapText="1"/>
    </xf>
    <xf numFmtId="0" fontId="0" fillId="10" borderId="0" xfId="0" applyFill="1" applyBorder="1" applyAlignment="1">
      <alignment horizontal="center" wrapText="1"/>
    </xf>
    <xf numFmtId="167" fontId="9" fillId="10" borderId="0" xfId="0" applyNumberFormat="1" applyFont="1" applyFill="1" applyBorder="1" applyAlignment="1">
      <alignment horizontal="center" wrapText="1"/>
    </xf>
    <xf numFmtId="0" fontId="65" fillId="10" borderId="0" xfId="0" applyFont="1" applyFill="1" applyBorder="1" applyAlignment="1">
      <alignment wrapText="1"/>
    </xf>
    <xf numFmtId="0" fontId="65" fillId="10" borderId="0" xfId="0" applyFont="1" applyFill="1" applyAlignment="1">
      <alignment horizontal="center"/>
    </xf>
    <xf numFmtId="0" fontId="43" fillId="10" borderId="0" xfId="0" applyFont="1" applyFill="1" applyAlignment="1">
      <alignment wrapText="1"/>
    </xf>
    <xf numFmtId="0" fontId="43" fillId="10" borderId="0" xfId="0" applyFont="1" applyFill="1" applyAlignment="1">
      <alignment horizontal="center" wrapText="1"/>
    </xf>
    <xf numFmtId="0" fontId="65" fillId="10" borderId="0" xfId="0" applyFont="1" applyFill="1" applyAlignment="1"/>
    <xf numFmtId="0" fontId="43" fillId="10" borderId="0" xfId="0" applyFont="1" applyFill="1" applyBorder="1" applyAlignment="1">
      <alignment wrapText="1"/>
    </xf>
    <xf numFmtId="0" fontId="65" fillId="10" borderId="0" xfId="0" applyFont="1" applyFill="1" applyAlignment="1">
      <alignment horizontal="center" wrapText="1"/>
    </xf>
    <xf numFmtId="0" fontId="49" fillId="8" borderId="36" xfId="0" applyFont="1" applyFill="1" applyBorder="1" applyAlignment="1">
      <alignment horizontal="center"/>
    </xf>
    <xf numFmtId="0" fontId="49" fillId="8" borderId="36" xfId="0" applyFont="1" applyFill="1" applyBorder="1" applyAlignment="1">
      <alignment horizontal="center" vertical="center" wrapText="1"/>
    </xf>
    <xf numFmtId="0" fontId="43" fillId="10" borderId="0" xfId="0" applyFont="1" applyFill="1" applyAlignment="1">
      <alignment horizontal="center"/>
    </xf>
    <xf numFmtId="0" fontId="43" fillId="10" borderId="0" xfId="0" applyFont="1" applyFill="1"/>
    <xf numFmtId="0" fontId="53" fillId="10" borderId="0" xfId="0" applyFont="1" applyFill="1"/>
    <xf numFmtId="0" fontId="43" fillId="10" borderId="0" xfId="0" applyFont="1" applyFill="1" applyBorder="1" applyAlignment="1">
      <alignment horizontal="center"/>
    </xf>
    <xf numFmtId="3" fontId="43" fillId="10" borderId="36" xfId="0" applyNumberFormat="1" applyFont="1" applyFill="1" applyBorder="1" applyAlignment="1">
      <alignment horizontal="center"/>
    </xf>
    <xf numFmtId="3" fontId="43" fillId="10" borderId="0" xfId="0" applyNumberFormat="1" applyFont="1" applyFill="1" applyBorder="1" applyAlignment="1">
      <alignment horizontal="center"/>
    </xf>
    <xf numFmtId="0" fontId="43" fillId="12" borderId="0" xfId="0" applyFont="1" applyFill="1"/>
    <xf numFmtId="0" fontId="43" fillId="10" borderId="0" xfId="0" applyFont="1" applyFill="1" applyBorder="1"/>
    <xf numFmtId="0" fontId="49" fillId="8" borderId="70" xfId="0" applyFont="1" applyFill="1" applyBorder="1" applyAlignment="1">
      <alignment horizontal="center" wrapText="1"/>
    </xf>
    <xf numFmtId="0" fontId="43" fillId="12" borderId="0" xfId="0" applyFont="1" applyFill="1" applyBorder="1"/>
    <xf numFmtId="0" fontId="43" fillId="10" borderId="0" xfId="0" applyFont="1" applyFill="1" applyAlignment="1">
      <alignment wrapText="1"/>
    </xf>
    <xf numFmtId="0" fontId="53" fillId="10" borderId="0" xfId="0" applyFont="1" applyFill="1" applyBorder="1"/>
    <xf numFmtId="0" fontId="65" fillId="10" borderId="0" xfId="0" applyFont="1" applyFill="1"/>
    <xf numFmtId="0" fontId="65" fillId="10" borderId="0" xfId="0" applyFont="1" applyFill="1" applyAlignment="1">
      <alignment horizontal="center"/>
    </xf>
    <xf numFmtId="0" fontId="43" fillId="10" borderId="0" xfId="5" applyFont="1" applyFill="1" applyBorder="1" applyAlignment="1" applyProtection="1">
      <alignment vertical="center" wrapText="1"/>
      <protection hidden="1"/>
    </xf>
    <xf numFmtId="0" fontId="43" fillId="13" borderId="63" xfId="0" applyFont="1" applyFill="1" applyBorder="1" applyAlignment="1">
      <alignment horizontal="center"/>
    </xf>
    <xf numFmtId="0" fontId="0" fillId="10" borderId="0" xfId="0" applyFont="1" applyFill="1"/>
    <xf numFmtId="0" fontId="65" fillId="10" borderId="0" xfId="0" applyFont="1" applyFill="1" applyBorder="1"/>
    <xf numFmtId="0" fontId="9" fillId="10" borderId="0" xfId="0" applyFont="1" applyFill="1" applyBorder="1" applyAlignment="1">
      <alignment horizontal="center"/>
    </xf>
    <xf numFmtId="0" fontId="0" fillId="10" borderId="0" xfId="0" applyFill="1"/>
    <xf numFmtId="0" fontId="0" fillId="10" borderId="0" xfId="0" applyFill="1" applyBorder="1"/>
    <xf numFmtId="0" fontId="8" fillId="10" borderId="0" xfId="0" applyFont="1" applyFill="1" applyBorder="1"/>
    <xf numFmtId="0" fontId="65" fillId="10" borderId="0" xfId="0" applyFont="1" applyFill="1" applyBorder="1" applyAlignment="1">
      <alignment horizontal="center"/>
    </xf>
    <xf numFmtId="2" fontId="43" fillId="10" borderId="0" xfId="0" applyNumberFormat="1" applyFont="1" applyFill="1" applyBorder="1" applyAlignment="1" applyProtection="1">
      <alignment horizontal="center"/>
      <protection locked="0"/>
    </xf>
    <xf numFmtId="0" fontId="18" fillId="10" borderId="0" xfId="0" applyFont="1" applyFill="1" applyBorder="1" applyAlignment="1">
      <alignment vertical="top" wrapText="1"/>
    </xf>
    <xf numFmtId="0" fontId="0" fillId="10" borderId="0" xfId="0" applyFill="1" applyBorder="1" applyAlignment="1">
      <alignment horizontal="center"/>
    </xf>
    <xf numFmtId="10" fontId="0" fillId="10" borderId="0" xfId="0" applyNumberFormat="1" applyFill="1" applyBorder="1" applyAlignment="1">
      <alignment horizontal="center"/>
    </xf>
    <xf numFmtId="0" fontId="49" fillId="8" borderId="73" xfId="0" applyFont="1" applyFill="1" applyBorder="1" applyAlignment="1">
      <alignment horizontal="center" wrapText="1"/>
    </xf>
    <xf numFmtId="0" fontId="43" fillId="10" borderId="47" xfId="0" applyFont="1" applyFill="1" applyBorder="1"/>
    <xf numFmtId="0" fontId="21" fillId="10" borderId="0" xfId="1" applyFill="1" applyBorder="1" applyAlignment="1" applyProtection="1">
      <alignment horizontal="left"/>
    </xf>
    <xf numFmtId="0" fontId="49" fillId="8" borderId="69" xfId="0" applyFont="1" applyFill="1" applyBorder="1" applyAlignment="1">
      <alignment wrapText="1"/>
    </xf>
    <xf numFmtId="0" fontId="49" fillId="8" borderId="72" xfId="0" applyFont="1" applyFill="1" applyBorder="1" applyAlignment="1">
      <alignment wrapText="1"/>
    </xf>
    <xf numFmtId="0" fontId="43" fillId="17" borderId="18" xfId="0" applyFont="1" applyFill="1" applyBorder="1" applyAlignment="1">
      <alignment wrapText="1"/>
    </xf>
    <xf numFmtId="0" fontId="43" fillId="17" borderId="58" xfId="0" applyFont="1" applyFill="1" applyBorder="1" applyAlignment="1">
      <alignment wrapText="1"/>
    </xf>
    <xf numFmtId="3" fontId="43" fillId="17" borderId="18" xfId="0" applyNumberFormat="1" applyFont="1" applyFill="1" applyBorder="1" applyAlignment="1">
      <alignment horizontal="center"/>
    </xf>
    <xf numFmtId="3" fontId="43" fillId="17" borderId="58" xfId="0" applyNumberFormat="1" applyFont="1" applyFill="1" applyBorder="1" applyAlignment="1">
      <alignment horizontal="center"/>
    </xf>
    <xf numFmtId="0" fontId="47" fillId="0" borderId="0" xfId="0" applyFont="1" applyFill="1" applyBorder="1" applyAlignment="1">
      <alignment horizontal="left"/>
    </xf>
    <xf numFmtId="0" fontId="103" fillId="10" borderId="0" xfId="0" applyFont="1" applyFill="1" applyAlignment="1">
      <alignment horizontal="left"/>
    </xf>
    <xf numFmtId="0" fontId="59" fillId="52" borderId="36" xfId="7" applyFont="1" applyFill="1" applyBorder="1" applyAlignment="1">
      <alignment horizontal="left"/>
    </xf>
    <xf numFmtId="0" fontId="108" fillId="52" borderId="36" xfId="7" applyFont="1" applyFill="1" applyBorder="1"/>
    <xf numFmtId="0" fontId="65" fillId="10" borderId="0" xfId="0" applyFont="1" applyFill="1" applyBorder="1" applyAlignment="1"/>
    <xf numFmtId="0" fontId="62" fillId="10" borderId="0" xfId="7" applyFont="1" applyFill="1" applyBorder="1" applyAlignment="1">
      <alignment horizontal="left"/>
    </xf>
    <xf numFmtId="167" fontId="0" fillId="10" borderId="0" xfId="0" applyNumberFormat="1" applyFont="1" applyFill="1" applyBorder="1" applyAlignment="1">
      <alignment horizontal="center"/>
    </xf>
    <xf numFmtId="0" fontId="49" fillId="10" borderId="0" xfId="0" applyFont="1" applyFill="1" applyBorder="1" applyAlignment="1">
      <alignment horizontal="centerContinuous"/>
    </xf>
    <xf numFmtId="0" fontId="49" fillId="10" borderId="0" xfId="0" applyFont="1" applyFill="1" applyBorder="1" applyAlignment="1">
      <alignment horizontal="center"/>
    </xf>
    <xf numFmtId="0" fontId="59" fillId="13" borderId="36" xfId="7" applyFont="1" applyFill="1" applyBorder="1" applyAlignment="1">
      <alignment horizontal="left"/>
    </xf>
    <xf numFmtId="0" fontId="108" fillId="13" borderId="36" xfId="7" applyFont="1" applyFill="1" applyBorder="1"/>
    <xf numFmtId="3" fontId="0" fillId="13" borderId="36" xfId="0" applyNumberFormat="1" applyFont="1" applyFill="1" applyBorder="1" applyAlignment="1" applyProtection="1">
      <alignment horizontal="center"/>
      <protection locked="0"/>
    </xf>
    <xf numFmtId="2" fontId="43" fillId="17" borderId="18" xfId="0" applyNumberFormat="1" applyFont="1" applyFill="1" applyBorder="1" applyAlignment="1">
      <alignment horizontal="center" wrapText="1"/>
    </xf>
    <xf numFmtId="3" fontId="43" fillId="18" borderId="18" xfId="0" applyNumberFormat="1" applyFont="1" applyFill="1" applyBorder="1" applyAlignment="1">
      <alignment horizontal="center" wrapText="1"/>
    </xf>
    <xf numFmtId="2" fontId="43" fillId="17" borderId="58" xfId="0" applyNumberFormat="1" applyFont="1" applyFill="1" applyBorder="1" applyAlignment="1">
      <alignment horizontal="center" wrapText="1"/>
    </xf>
    <xf numFmtId="3" fontId="43" fillId="18" borderId="58" xfId="0" applyNumberFormat="1" applyFont="1" applyFill="1" applyBorder="1" applyAlignment="1">
      <alignment horizontal="center" wrapText="1"/>
    </xf>
    <xf numFmtId="0" fontId="49" fillId="8" borderId="74" xfId="0" applyFont="1" applyFill="1" applyBorder="1" applyAlignment="1">
      <alignment horizontal="center" wrapText="1"/>
    </xf>
    <xf numFmtId="0" fontId="53" fillId="17" borderId="38" xfId="7" applyFont="1" applyFill="1" applyBorder="1" applyAlignment="1">
      <alignment vertical="center" wrapText="1"/>
    </xf>
    <xf numFmtId="4" fontId="53" fillId="17" borderId="38" xfId="0" applyNumberFormat="1" applyFont="1" applyFill="1" applyBorder="1" applyAlignment="1">
      <alignment horizontal="center" wrapText="1"/>
    </xf>
    <xf numFmtId="3" fontId="53" fillId="17" borderId="38" xfId="0" applyNumberFormat="1" applyFont="1" applyFill="1" applyBorder="1" applyAlignment="1">
      <alignment horizontal="center" wrapText="1"/>
    </xf>
    <xf numFmtId="3" fontId="53" fillId="18" borderId="38" xfId="0" applyNumberFormat="1" applyFont="1" applyFill="1" applyBorder="1" applyAlignment="1">
      <alignment horizontal="center" wrapText="1"/>
    </xf>
    <xf numFmtId="0" fontId="43" fillId="18" borderId="38" xfId="0" applyFont="1" applyFill="1" applyBorder="1" applyAlignment="1">
      <alignment horizontal="center" wrapText="1"/>
    </xf>
    <xf numFmtId="4" fontId="0" fillId="10" borderId="0" xfId="0" applyNumberFormat="1" applyFont="1" applyFill="1" applyBorder="1" applyAlignment="1" applyProtection="1">
      <alignment horizontal="center"/>
      <protection locked="0"/>
    </xf>
    <xf numFmtId="0" fontId="108" fillId="17" borderId="36" xfId="7" applyFont="1" applyFill="1" applyBorder="1"/>
    <xf numFmtId="9" fontId="0" fillId="17" borderId="36" xfId="0" applyNumberFormat="1" applyFont="1" applyFill="1" applyBorder="1" applyAlignment="1" applyProtection="1">
      <alignment horizontal="center"/>
      <protection locked="0"/>
    </xf>
    <xf numFmtId="0" fontId="108" fillId="10" borderId="0" xfId="7" applyFont="1" applyFill="1" applyBorder="1"/>
    <xf numFmtId="0" fontId="43" fillId="10" borderId="0" xfId="0" applyFont="1" applyFill="1" applyBorder="1" applyAlignment="1">
      <alignment horizontal="right"/>
    </xf>
    <xf numFmtId="0" fontId="43" fillId="10" borderId="36" xfId="5" applyFont="1" applyFill="1" applyBorder="1" applyAlignment="1" applyProtection="1">
      <alignment vertical="center" wrapText="1"/>
      <protection hidden="1"/>
    </xf>
    <xf numFmtId="0" fontId="53" fillId="12" borderId="36" xfId="0" applyFont="1" applyFill="1" applyBorder="1" applyAlignment="1">
      <alignment wrapText="1"/>
    </xf>
    <xf numFmtId="0" fontId="43" fillId="10" borderId="0" xfId="0" applyFont="1" applyFill="1" applyAlignment="1">
      <alignment horizontal="center"/>
    </xf>
    <xf numFmtId="0" fontId="54" fillId="12" borderId="0" xfId="0" applyFont="1" applyFill="1"/>
    <xf numFmtId="0" fontId="43" fillId="10" borderId="0" xfId="0" applyFont="1" applyFill="1"/>
    <xf numFmtId="0" fontId="43" fillId="10" borderId="0" xfId="0" applyFont="1" applyFill="1" applyBorder="1" applyAlignment="1">
      <alignment horizontal="center"/>
    </xf>
    <xf numFmtId="0" fontId="43" fillId="10" borderId="36" xfId="0" applyFont="1" applyFill="1" applyBorder="1" applyAlignment="1">
      <alignment horizontal="center"/>
    </xf>
    <xf numFmtId="0" fontId="65" fillId="12" borderId="0" xfId="0" applyFont="1" applyFill="1"/>
    <xf numFmtId="0" fontId="65" fillId="12" borderId="0" xfId="0" applyFont="1" applyFill="1" applyAlignment="1"/>
    <xf numFmtId="0" fontId="65" fillId="12" borderId="0" xfId="0" applyFont="1" applyFill="1" applyAlignment="1">
      <alignment horizontal="center"/>
    </xf>
    <xf numFmtId="0" fontId="43" fillId="10" borderId="0" xfId="0" applyFont="1" applyFill="1" applyBorder="1"/>
    <xf numFmtId="0" fontId="43" fillId="12" borderId="36" xfId="0" applyFont="1" applyFill="1" applyBorder="1" applyAlignment="1">
      <alignment horizontal="center"/>
    </xf>
    <xf numFmtId="0" fontId="65" fillId="12" borderId="0" xfId="0" applyFont="1" applyFill="1" applyBorder="1"/>
    <xf numFmtId="0" fontId="40" fillId="10" borderId="0" xfId="0" applyFont="1" applyFill="1" applyAlignment="1">
      <alignment horizontal="center"/>
    </xf>
    <xf numFmtId="0" fontId="73" fillId="12" borderId="0" xfId="0" applyFont="1" applyFill="1" applyBorder="1" applyAlignment="1">
      <alignment horizontal="center" wrapText="1"/>
    </xf>
    <xf numFmtId="0" fontId="65" fillId="10" borderId="0" xfId="0" applyFont="1" applyFill="1"/>
    <xf numFmtId="0" fontId="65" fillId="10" borderId="0" xfId="0" applyFont="1" applyFill="1" applyAlignment="1"/>
    <xf numFmtId="0" fontId="65" fillId="10" borderId="0" xfId="0" applyFont="1" applyFill="1" applyAlignment="1">
      <alignment horizontal="center"/>
    </xf>
    <xf numFmtId="0" fontId="65" fillId="10" borderId="0" xfId="0" applyFont="1" applyFill="1" applyBorder="1"/>
    <xf numFmtId="0" fontId="40" fillId="10" borderId="0" xfId="0" applyFont="1" applyFill="1"/>
    <xf numFmtId="0" fontId="49" fillId="8" borderId="36" xfId="0" applyFont="1" applyFill="1" applyBorder="1"/>
    <xf numFmtId="0" fontId="43" fillId="52" borderId="36" xfId="0" applyFont="1" applyFill="1" applyBorder="1" applyAlignment="1">
      <alignment wrapText="1"/>
    </xf>
    <xf numFmtId="0" fontId="43" fillId="52" borderId="36" xfId="5" applyFont="1" applyFill="1" applyBorder="1" applyAlignment="1" applyProtection="1">
      <alignment vertical="center" wrapText="1"/>
      <protection hidden="1"/>
    </xf>
    <xf numFmtId="0" fontId="0" fillId="0" borderId="0" xfId="0"/>
    <xf numFmtId="0" fontId="43" fillId="0" borderId="0" xfId="0" applyFont="1" applyFill="1" applyBorder="1" applyAlignment="1">
      <alignment horizontal="center"/>
    </xf>
    <xf numFmtId="0" fontId="53" fillId="10" borderId="36" xfId="0" applyFont="1" applyFill="1" applyBorder="1"/>
    <xf numFmtId="3" fontId="43" fillId="10" borderId="36" xfId="0" applyNumberFormat="1" applyFont="1" applyFill="1" applyBorder="1"/>
    <xf numFmtId="0" fontId="43" fillId="10" borderId="57" xfId="0" applyFont="1" applyFill="1" applyBorder="1" applyAlignment="1">
      <alignment horizontal="center"/>
    </xf>
    <xf numFmtId="0" fontId="49" fillId="8" borderId="33" xfId="0" applyFont="1" applyFill="1" applyBorder="1" applyAlignment="1">
      <alignment horizontal="center" wrapText="1"/>
    </xf>
    <xf numFmtId="0" fontId="53" fillId="12" borderId="18" xfId="0" applyFont="1" applyFill="1" applyBorder="1" applyAlignment="1">
      <alignment wrapText="1"/>
    </xf>
    <xf numFmtId="3" fontId="43" fillId="12" borderId="18" xfId="0" applyNumberFormat="1" applyFont="1" applyFill="1" applyBorder="1" applyAlignment="1">
      <alignment horizontal="center" wrapText="1"/>
    </xf>
    <xf numFmtId="3" fontId="43" fillId="13" borderId="18" xfId="0" applyNumberFormat="1" applyFont="1" applyFill="1" applyBorder="1" applyAlignment="1">
      <alignment horizontal="center" wrapText="1"/>
    </xf>
    <xf numFmtId="0" fontId="43" fillId="17" borderId="18" xfId="5" applyFont="1" applyFill="1" applyBorder="1" applyAlignment="1" applyProtection="1">
      <alignment vertical="center" wrapText="1"/>
      <protection hidden="1"/>
    </xf>
    <xf numFmtId="0" fontId="43" fillId="10" borderId="0" xfId="0" applyFont="1" applyFill="1" applyAlignment="1">
      <alignment horizontal="center" vertical="center" wrapText="1"/>
    </xf>
    <xf numFmtId="0" fontId="49" fillId="8" borderId="90" xfId="0" applyFont="1" applyFill="1" applyBorder="1" applyAlignment="1">
      <alignment horizontal="center" vertical="center" wrapText="1"/>
    </xf>
    <xf numFmtId="0" fontId="49" fillId="8" borderId="91" xfId="0" applyFont="1" applyFill="1" applyBorder="1" applyAlignment="1">
      <alignment horizontal="center" vertical="center" wrapText="1"/>
    </xf>
    <xf numFmtId="0" fontId="53" fillId="12" borderId="33" xfId="0" applyFont="1" applyFill="1" applyBorder="1" applyAlignment="1">
      <alignment wrapText="1"/>
    </xf>
    <xf numFmtId="3" fontId="43" fillId="12" borderId="33" xfId="0" applyNumberFormat="1" applyFont="1" applyFill="1" applyBorder="1" applyAlignment="1">
      <alignment horizontal="center" wrapText="1"/>
    </xf>
    <xf numFmtId="0" fontId="2" fillId="10" borderId="47" xfId="0" applyFont="1" applyFill="1" applyBorder="1"/>
    <xf numFmtId="0" fontId="49" fillId="8" borderId="40" xfId="0" applyFont="1" applyFill="1" applyBorder="1" applyAlignment="1">
      <alignment horizontal="center" vertical="center" wrapText="1"/>
    </xf>
    <xf numFmtId="0" fontId="49" fillId="8" borderId="92" xfId="0" applyFont="1" applyFill="1" applyBorder="1" applyAlignment="1">
      <alignment horizontal="center" vertical="center" wrapText="1"/>
    </xf>
    <xf numFmtId="3" fontId="53" fillId="10" borderId="0" xfId="0" applyNumberFormat="1" applyFont="1" applyFill="1" applyBorder="1" applyAlignment="1">
      <alignment horizontal="center" wrapText="1"/>
    </xf>
    <xf numFmtId="0" fontId="49" fillId="8" borderId="72" xfId="0" applyFont="1" applyFill="1" applyBorder="1" applyAlignment="1">
      <alignment horizontal="center" wrapText="1"/>
    </xf>
    <xf numFmtId="0" fontId="53" fillId="10" borderId="36" xfId="5" applyFont="1" applyFill="1" applyBorder="1" applyAlignment="1" applyProtection="1">
      <alignment vertical="center" wrapText="1"/>
      <protection hidden="1"/>
    </xf>
    <xf numFmtId="3" fontId="82" fillId="10" borderId="36" xfId="0" applyNumberFormat="1" applyFont="1" applyFill="1" applyBorder="1" applyAlignment="1">
      <alignment horizontal="center"/>
    </xf>
    <xf numFmtId="0" fontId="40" fillId="12" borderId="36" xfId="0" applyFont="1" applyFill="1" applyBorder="1" applyAlignment="1">
      <alignment horizontal="center"/>
    </xf>
    <xf numFmtId="3" fontId="43" fillId="18" borderId="38" xfId="0" applyNumberFormat="1" applyFont="1" applyFill="1" applyBorder="1" applyAlignment="1">
      <alignment horizontal="center"/>
    </xf>
    <xf numFmtId="0" fontId="53" fillId="12" borderId="38" xfId="0" applyFont="1" applyFill="1" applyBorder="1" applyAlignment="1">
      <alignment wrapText="1"/>
    </xf>
    <xf numFmtId="0" fontId="43" fillId="12" borderId="38" xfId="0" applyFont="1" applyFill="1" applyBorder="1" applyAlignment="1">
      <alignment horizontal="center"/>
    </xf>
    <xf numFmtId="3" fontId="43" fillId="12" borderId="38" xfId="0" applyNumberFormat="1" applyFont="1" applyFill="1" applyBorder="1" applyAlignment="1">
      <alignment horizontal="center"/>
    </xf>
    <xf numFmtId="0" fontId="49" fillId="8" borderId="75" xfId="0" applyFont="1" applyFill="1" applyBorder="1" applyAlignment="1">
      <alignment vertical="center" wrapText="1"/>
    </xf>
    <xf numFmtId="0" fontId="49" fillId="8" borderId="97" xfId="0" applyFont="1" applyFill="1" applyBorder="1" applyAlignment="1">
      <alignment horizontal="center" vertical="center"/>
    </xf>
    <xf numFmtId="0" fontId="49" fillId="8" borderId="98" xfId="0" applyFont="1" applyFill="1" applyBorder="1" applyAlignment="1">
      <alignment horizontal="center" vertical="center"/>
    </xf>
    <xf numFmtId="0" fontId="40" fillId="8" borderId="0" xfId="0" applyFont="1" applyFill="1" applyAlignment="1"/>
    <xf numFmtId="0" fontId="40" fillId="8" borderId="0" xfId="0" applyFont="1" applyFill="1" applyAlignment="1">
      <alignment horizontal="center"/>
    </xf>
    <xf numFmtId="0" fontId="40" fillId="8" borderId="0" xfId="0" applyFont="1" applyFill="1"/>
    <xf numFmtId="0" fontId="41" fillId="9" borderId="0" xfId="0" applyFont="1" applyFill="1" applyAlignment="1">
      <alignment horizontal="left"/>
    </xf>
    <xf numFmtId="0" fontId="42" fillId="9" borderId="0" xfId="0" applyFont="1" applyFill="1" applyAlignment="1"/>
    <xf numFmtId="0" fontId="42" fillId="9" borderId="0" xfId="0" applyFont="1" applyFill="1" applyAlignment="1">
      <alignment horizontal="center"/>
    </xf>
    <xf numFmtId="0" fontId="42" fillId="9" borderId="0" xfId="0" applyFont="1" applyFill="1"/>
    <xf numFmtId="0" fontId="45" fillId="10" borderId="0" xfId="0" applyFont="1" applyFill="1" applyAlignment="1"/>
    <xf numFmtId="0" fontId="48" fillId="12" borderId="0" xfId="0" applyFont="1" applyFill="1" applyAlignment="1"/>
    <xf numFmtId="0" fontId="43" fillId="10" borderId="0" xfId="0" applyFont="1" applyFill="1" applyAlignment="1">
      <alignment horizontal="center"/>
    </xf>
    <xf numFmtId="0" fontId="41" fillId="12" borderId="0" xfId="0" applyFont="1" applyFill="1" applyAlignment="1">
      <alignment horizontal="left"/>
    </xf>
    <xf numFmtId="0" fontId="39" fillId="14" borderId="0" xfId="0" applyFont="1" applyFill="1" applyAlignment="1">
      <alignment horizontal="left"/>
    </xf>
    <xf numFmtId="0" fontId="40" fillId="14" borderId="0" xfId="0" applyFont="1" applyFill="1" applyAlignment="1"/>
    <xf numFmtId="0" fontId="40" fillId="14" borderId="0" xfId="0" applyFont="1" applyFill="1" applyAlignment="1">
      <alignment horizontal="center"/>
    </xf>
    <xf numFmtId="0" fontId="40" fillId="14" borderId="0" xfId="0" applyFont="1" applyFill="1"/>
    <xf numFmtId="0" fontId="54" fillId="10" borderId="0" xfId="0" applyFont="1" applyFill="1" applyAlignment="1">
      <alignment horizontal="center"/>
    </xf>
    <xf numFmtId="0" fontId="54" fillId="12" borderId="0" xfId="0" applyFont="1" applyFill="1"/>
    <xf numFmtId="0" fontId="43" fillId="10" borderId="0" xfId="0" applyFont="1" applyFill="1"/>
    <xf numFmtId="0" fontId="43" fillId="10" borderId="0" xfId="0" applyFont="1" applyFill="1" applyAlignment="1"/>
    <xf numFmtId="0" fontId="43" fillId="10" borderId="0" xfId="0" applyFont="1" applyFill="1" applyBorder="1" applyAlignment="1">
      <alignment horizontal="center"/>
    </xf>
    <xf numFmtId="0" fontId="43" fillId="12" borderId="0" xfId="0" applyFont="1" applyFill="1" applyAlignment="1">
      <alignment horizontal="center"/>
    </xf>
    <xf numFmtId="0" fontId="65" fillId="12" borderId="0" xfId="0" applyFont="1" applyFill="1"/>
    <xf numFmtId="0" fontId="65" fillId="12" borderId="0" xfId="0" applyFont="1" applyFill="1" applyAlignment="1"/>
    <xf numFmtId="0" fontId="65" fillId="12" borderId="0" xfId="0" applyFont="1" applyFill="1" applyAlignment="1">
      <alignment horizontal="center"/>
    </xf>
    <xf numFmtId="0" fontId="43" fillId="10" borderId="0" xfId="0" applyFont="1" applyFill="1" applyBorder="1"/>
    <xf numFmtId="0" fontId="65" fillId="12" borderId="0" xfId="0" applyFont="1" applyFill="1" applyBorder="1"/>
    <xf numFmtId="3" fontId="43" fillId="13" borderId="36" xfId="0" applyNumberFormat="1" applyFont="1" applyFill="1" applyBorder="1" applyAlignment="1">
      <alignment horizontal="center"/>
    </xf>
    <xf numFmtId="0" fontId="72" fillId="12" borderId="0" xfId="0" applyFont="1" applyFill="1" applyAlignment="1">
      <alignment horizontal="center"/>
    </xf>
    <xf numFmtId="0" fontId="73" fillId="12" borderId="0" xfId="0" applyFont="1" applyFill="1" applyBorder="1" applyAlignment="1"/>
    <xf numFmtId="0" fontId="73" fillId="12" borderId="0" xfId="0" applyFont="1" applyFill="1" applyBorder="1" applyAlignment="1">
      <alignment horizontal="center" wrapText="1"/>
    </xf>
    <xf numFmtId="0" fontId="43" fillId="10" borderId="0" xfId="0" applyFont="1" applyFill="1" applyAlignment="1">
      <alignment wrapText="1"/>
    </xf>
    <xf numFmtId="0" fontId="43" fillId="10" borderId="0" xfId="0" applyFont="1" applyFill="1" applyAlignment="1">
      <alignment horizontal="center" wrapText="1"/>
    </xf>
    <xf numFmtId="0" fontId="43" fillId="10" borderId="0" xfId="0" applyFont="1" applyFill="1" applyBorder="1" applyAlignment="1">
      <alignment horizontal="center" vertical="center"/>
    </xf>
    <xf numFmtId="0" fontId="53" fillId="10" borderId="0" xfId="0" applyFont="1" applyFill="1" applyBorder="1" applyAlignment="1">
      <alignment wrapText="1"/>
    </xf>
    <xf numFmtId="0" fontId="48" fillId="12" borderId="0" xfId="0" applyFont="1" applyFill="1" applyAlignment="1">
      <alignment horizontal="left"/>
    </xf>
    <xf numFmtId="3" fontId="43" fillId="18" borderId="36" xfId="0" applyNumberFormat="1" applyFont="1" applyFill="1" applyBorder="1" applyAlignment="1">
      <alignment horizontal="center"/>
    </xf>
    <xf numFmtId="3" fontId="53" fillId="18" borderId="36" xfId="0" applyNumberFormat="1" applyFont="1" applyFill="1" applyBorder="1" applyAlignment="1">
      <alignment horizontal="center"/>
    </xf>
    <xf numFmtId="0" fontId="0" fillId="10" borderId="0" xfId="0" applyFont="1" applyFill="1" applyBorder="1"/>
    <xf numFmtId="3" fontId="43" fillId="18" borderId="18" xfId="0" applyNumberFormat="1" applyFont="1" applyFill="1" applyBorder="1" applyAlignment="1">
      <alignment horizontal="center"/>
    </xf>
    <xf numFmtId="0" fontId="43" fillId="10" borderId="36" xfId="0" applyFont="1" applyFill="1" applyBorder="1"/>
    <xf numFmtId="3" fontId="43" fillId="18" borderId="58" xfId="0" applyNumberFormat="1" applyFont="1" applyFill="1" applyBorder="1" applyAlignment="1">
      <alignment horizontal="center"/>
    </xf>
    <xf numFmtId="3" fontId="43" fillId="13" borderId="18" xfId="0" applyNumberFormat="1" applyFont="1" applyFill="1" applyBorder="1" applyAlignment="1">
      <alignment horizontal="center" wrapText="1"/>
    </xf>
    <xf numFmtId="0" fontId="43" fillId="17" borderId="18" xfId="0" applyFont="1" applyFill="1" applyBorder="1"/>
    <xf numFmtId="2" fontId="43" fillId="17" borderId="18" xfId="0" applyNumberFormat="1" applyFont="1" applyFill="1" applyBorder="1" applyAlignment="1" applyProtection="1">
      <alignment horizontal="center"/>
      <protection locked="0"/>
    </xf>
    <xf numFmtId="0" fontId="43" fillId="17" borderId="58" xfId="0" applyFont="1" applyFill="1" applyBorder="1"/>
    <xf numFmtId="2" fontId="43" fillId="17" borderId="58" xfId="0" applyNumberFormat="1" applyFont="1" applyFill="1" applyBorder="1" applyAlignment="1" applyProtection="1">
      <alignment horizontal="center"/>
      <protection locked="0"/>
    </xf>
    <xf numFmtId="0" fontId="74" fillId="12" borderId="0" xfId="0" applyFont="1" applyFill="1"/>
    <xf numFmtId="3" fontId="43" fillId="13" borderId="33" xfId="0" applyNumberFormat="1" applyFont="1" applyFill="1" applyBorder="1" applyAlignment="1">
      <alignment horizontal="center"/>
    </xf>
    <xf numFmtId="3" fontId="43" fillId="18" borderId="18" xfId="7" applyNumberFormat="1" applyFont="1" applyFill="1" applyBorder="1" applyAlignment="1">
      <alignment horizontal="center"/>
    </xf>
    <xf numFmtId="3" fontId="43" fillId="18" borderId="58" xfId="7" applyNumberFormat="1" applyFont="1" applyFill="1" applyBorder="1" applyAlignment="1">
      <alignment horizontal="center"/>
    </xf>
    <xf numFmtId="0" fontId="74" fillId="12" borderId="0" xfId="0" applyFont="1" applyFill="1" applyBorder="1" applyAlignment="1">
      <alignment horizontal="left"/>
    </xf>
    <xf numFmtId="0" fontId="43" fillId="8" borderId="0" xfId="0" applyFont="1" applyFill="1" applyAlignment="1">
      <alignment horizontal="center"/>
    </xf>
    <xf numFmtId="0" fontId="40" fillId="10" borderId="0" xfId="0" applyFont="1" applyFill="1" applyBorder="1"/>
    <xf numFmtId="0" fontId="40" fillId="10" borderId="0" xfId="0" applyFont="1" applyFill="1"/>
    <xf numFmtId="0" fontId="43" fillId="13" borderId="36" xfId="0" applyFont="1" applyFill="1" applyBorder="1" applyAlignment="1">
      <alignment horizontal="center"/>
    </xf>
    <xf numFmtId="0" fontId="74" fillId="20" borderId="0" xfId="0" applyFont="1" applyFill="1"/>
    <xf numFmtId="0" fontId="43" fillId="10" borderId="0" xfId="0" applyFont="1" applyFill="1" applyBorder="1" applyAlignment="1">
      <alignment horizontal="left" vertical="top" wrapText="1"/>
    </xf>
    <xf numFmtId="3" fontId="43" fillId="10" borderId="0" xfId="0" applyNumberFormat="1" applyFont="1" applyFill="1"/>
    <xf numFmtId="0" fontId="54" fillId="12" borderId="0" xfId="0" applyFont="1" applyFill="1" applyAlignment="1">
      <alignment horizontal="center"/>
    </xf>
    <xf numFmtId="0" fontId="43" fillId="0" borderId="0" xfId="0" applyFont="1"/>
    <xf numFmtId="0" fontId="43" fillId="0" borderId="0" xfId="0" applyFont="1" applyFill="1"/>
    <xf numFmtId="0" fontId="43" fillId="0" borderId="0" xfId="0" applyFont="1" applyFill="1" applyAlignment="1">
      <alignment horizontal="center"/>
    </xf>
    <xf numFmtId="0" fontId="43" fillId="0" borderId="1" xfId="0" applyFont="1" applyFill="1" applyBorder="1"/>
    <xf numFmtId="0" fontId="43" fillId="0" borderId="8" xfId="0" applyFont="1" applyFill="1" applyBorder="1"/>
    <xf numFmtId="0" fontId="43" fillId="0" borderId="9" xfId="0" applyFont="1" applyFill="1" applyBorder="1"/>
    <xf numFmtId="0" fontId="43" fillId="0" borderId="4" xfId="0" applyFont="1" applyFill="1" applyBorder="1"/>
    <xf numFmtId="0" fontId="43" fillId="0" borderId="5" xfId="0" applyFont="1" applyFill="1" applyBorder="1"/>
    <xf numFmtId="0" fontId="43" fillId="0" borderId="6" xfId="0" applyFont="1" applyFill="1" applyBorder="1" applyAlignment="1">
      <alignment horizontal="center"/>
    </xf>
    <xf numFmtId="0" fontId="43" fillId="0" borderId="1" xfId="0" applyFont="1" applyFill="1" applyBorder="1" applyAlignment="1">
      <alignment horizontal="center"/>
    </xf>
    <xf numFmtId="0" fontId="43" fillId="0" borderId="8" xfId="0" applyFont="1" applyFill="1" applyBorder="1" applyAlignment="1">
      <alignment horizontal="center"/>
    </xf>
    <xf numFmtId="0" fontId="43" fillId="0" borderId="9" xfId="0" applyFont="1" applyFill="1" applyBorder="1" applyAlignment="1">
      <alignment horizontal="center"/>
    </xf>
    <xf numFmtId="0" fontId="43" fillId="0" borderId="2" xfId="0" applyFont="1" applyFill="1" applyBorder="1" applyAlignment="1">
      <alignment horizontal="center"/>
    </xf>
    <xf numFmtId="0" fontId="43" fillId="0" borderId="3" xfId="0" applyFont="1" applyFill="1" applyBorder="1" applyAlignment="1">
      <alignment horizontal="center"/>
    </xf>
    <xf numFmtId="10" fontId="43" fillId="0" borderId="0" xfId="0" applyNumberFormat="1" applyFont="1" applyFill="1" applyBorder="1" applyAlignment="1">
      <alignment horizontal="center"/>
    </xf>
    <xf numFmtId="0" fontId="43" fillId="0" borderId="2" xfId="0" applyFont="1" applyBorder="1" applyAlignment="1">
      <alignment horizontal="center"/>
    </xf>
    <xf numFmtId="0" fontId="43" fillId="0" borderId="3" xfId="0" applyFont="1" applyBorder="1" applyAlignment="1">
      <alignment horizontal="center"/>
    </xf>
    <xf numFmtId="4" fontId="43" fillId="10" borderId="0" xfId="0" applyNumberFormat="1" applyFont="1" applyFill="1"/>
    <xf numFmtId="0" fontId="43" fillId="0" borderId="4" xfId="0" applyFont="1" applyFill="1" applyBorder="1" applyAlignment="1">
      <alignment horizontal="center"/>
    </xf>
    <xf numFmtId="10" fontId="43" fillId="0" borderId="5" xfId="0" applyNumberFormat="1" applyFont="1" applyFill="1" applyBorder="1" applyAlignment="1">
      <alignment horizontal="center"/>
    </xf>
    <xf numFmtId="0" fontId="49" fillId="8" borderId="33" xfId="7" applyFont="1" applyFill="1" applyBorder="1" applyAlignment="1">
      <alignment horizontal="center" wrapText="1"/>
    </xf>
    <xf numFmtId="0" fontId="49" fillId="8" borderId="18" xfId="0" applyFont="1" applyFill="1" applyBorder="1" applyAlignment="1">
      <alignment horizontal="center" wrapText="1"/>
    </xf>
    <xf numFmtId="0" fontId="49" fillId="8" borderId="18" xfId="7" applyFont="1" applyFill="1" applyBorder="1" applyAlignment="1">
      <alignment horizontal="center" wrapText="1"/>
    </xf>
    <xf numFmtId="2" fontId="43" fillId="17" borderId="38" xfId="0" applyNumberFormat="1" applyFont="1" applyFill="1" applyBorder="1" applyAlignment="1">
      <alignment horizontal="center"/>
    </xf>
    <xf numFmtId="3" fontId="43" fillId="54" borderId="36" xfId="0" applyNumberFormat="1" applyFont="1" applyFill="1" applyBorder="1"/>
    <xf numFmtId="4" fontId="43" fillId="54" borderId="36" xfId="0" applyNumberFormat="1" applyFont="1" applyFill="1" applyBorder="1"/>
    <xf numFmtId="9" fontId="43" fillId="54" borderId="36" xfId="0" applyNumberFormat="1" applyFont="1" applyFill="1" applyBorder="1"/>
    <xf numFmtId="2" fontId="43" fillId="18" borderId="36" xfId="0" applyNumberFormat="1" applyFont="1" applyFill="1" applyBorder="1"/>
    <xf numFmtId="167" fontId="43" fillId="18" borderId="36" xfId="0" applyNumberFormat="1" applyFont="1" applyFill="1" applyBorder="1"/>
    <xf numFmtId="3" fontId="43" fillId="13" borderId="36" xfId="0" applyNumberFormat="1" applyFont="1" applyFill="1" applyBorder="1"/>
    <xf numFmtId="4" fontId="43" fillId="13" borderId="36" xfId="0" applyNumberFormat="1" applyFont="1" applyFill="1" applyBorder="1"/>
    <xf numFmtId="9" fontId="43" fillId="13" borderId="36" xfId="0" applyNumberFormat="1" applyFont="1" applyFill="1" applyBorder="1"/>
    <xf numFmtId="0" fontId="49" fillId="8" borderId="38" xfId="0" applyFont="1" applyFill="1" applyBorder="1" applyAlignment="1">
      <alignment horizontal="center" wrapText="1"/>
    </xf>
    <xf numFmtId="0" fontId="49" fillId="8" borderId="38" xfId="7" applyFont="1" applyFill="1" applyBorder="1" applyAlignment="1">
      <alignment horizontal="center" wrapText="1"/>
    </xf>
    <xf numFmtId="0" fontId="64" fillId="10" borderId="0" xfId="0" applyFont="1" applyFill="1" applyBorder="1"/>
    <xf numFmtId="0" fontId="64" fillId="10" borderId="0" xfId="0" applyFont="1" applyFill="1" applyBorder="1" applyAlignment="1">
      <alignment wrapText="1"/>
    </xf>
    <xf numFmtId="0" fontId="64" fillId="10" borderId="0" xfId="0" applyFont="1" applyFill="1" applyBorder="1" applyAlignment="1">
      <alignment horizontal="left" vertical="top"/>
    </xf>
    <xf numFmtId="0" fontId="99" fillId="10" borderId="0" xfId="0" applyFont="1" applyFill="1" applyBorder="1"/>
    <xf numFmtId="0" fontId="49" fillId="8" borderId="99" xfId="0" applyFont="1" applyFill="1" applyBorder="1" applyAlignment="1">
      <alignment horizontal="center" vertical="center" wrapText="1"/>
    </xf>
    <xf numFmtId="3" fontId="43" fillId="12" borderId="15" xfId="0" applyNumberFormat="1" applyFont="1" applyFill="1" applyBorder="1" applyAlignment="1">
      <alignment horizontal="center" wrapText="1"/>
    </xf>
    <xf numFmtId="0" fontId="43" fillId="12" borderId="18" xfId="0" applyFont="1" applyFill="1" applyBorder="1" applyAlignment="1">
      <alignment horizontal="center" wrapText="1"/>
    </xf>
    <xf numFmtId="0" fontId="49" fillId="8" borderId="103" xfId="0" applyFont="1" applyFill="1" applyBorder="1" applyAlignment="1">
      <alignment horizontal="center" vertical="center" wrapText="1"/>
    </xf>
    <xf numFmtId="0" fontId="53" fillId="17" borderId="36" xfId="0" applyFont="1" applyFill="1" applyBorder="1" applyAlignment="1">
      <alignment wrapText="1"/>
    </xf>
    <xf numFmtId="3" fontId="43" fillId="18" borderId="15" xfId="0" applyNumberFormat="1" applyFont="1" applyFill="1" applyBorder="1" applyAlignment="1">
      <alignment horizontal="center" wrapText="1"/>
    </xf>
    <xf numFmtId="0" fontId="49" fillId="55" borderId="36" xfId="0" applyFont="1" applyFill="1" applyBorder="1" applyAlignment="1">
      <alignment wrapText="1"/>
    </xf>
    <xf numFmtId="3" fontId="49" fillId="55" borderId="36" xfId="0" applyNumberFormat="1" applyFont="1" applyFill="1" applyBorder="1" applyAlignment="1">
      <alignment horizontal="center" wrapText="1"/>
    </xf>
    <xf numFmtId="0" fontId="49" fillId="55" borderId="36" xfId="5" applyFont="1" applyFill="1" applyBorder="1" applyAlignment="1" applyProtection="1">
      <alignment vertical="center" wrapText="1"/>
      <protection hidden="1"/>
    </xf>
    <xf numFmtId="0" fontId="49" fillId="55" borderId="38" xfId="0" applyFont="1" applyFill="1" applyBorder="1" applyAlignment="1">
      <alignment wrapText="1"/>
    </xf>
    <xf numFmtId="3" fontId="49" fillId="55" borderId="38" xfId="0" applyNumberFormat="1" applyFont="1" applyFill="1" applyBorder="1" applyAlignment="1">
      <alignment horizontal="center" wrapText="1"/>
    </xf>
    <xf numFmtId="0" fontId="49" fillId="55" borderId="67" xfId="0" applyFont="1" applyFill="1" applyBorder="1" applyAlignment="1">
      <alignment wrapText="1"/>
    </xf>
    <xf numFmtId="3" fontId="49" fillId="55" borderId="67" xfId="0" applyNumberFormat="1" applyFont="1" applyFill="1" applyBorder="1" applyAlignment="1">
      <alignment horizontal="center" wrapText="1"/>
    </xf>
    <xf numFmtId="3" fontId="53" fillId="18" borderId="36" xfId="0" applyNumberFormat="1" applyFont="1" applyFill="1" applyBorder="1" applyAlignment="1">
      <alignment horizontal="center" wrapText="1"/>
    </xf>
    <xf numFmtId="0" fontId="49" fillId="55" borderId="36" xfId="0" applyFont="1" applyFill="1" applyBorder="1" applyAlignment="1">
      <alignment horizontal="center"/>
    </xf>
    <xf numFmtId="3" fontId="49" fillId="55" borderId="36" xfId="0" applyNumberFormat="1" applyFont="1" applyFill="1" applyBorder="1" applyAlignment="1">
      <alignment horizontal="center"/>
    </xf>
    <xf numFmtId="0" fontId="49" fillId="55" borderId="38" xfId="0" applyFont="1" applyFill="1" applyBorder="1"/>
    <xf numFmtId="0" fontId="49" fillId="55" borderId="38" xfId="0" applyFont="1" applyFill="1" applyBorder="1" applyAlignment="1">
      <alignment horizontal="center"/>
    </xf>
    <xf numFmtId="3" fontId="49" fillId="55" borderId="38" xfId="0" applyNumberFormat="1" applyFont="1" applyFill="1" applyBorder="1" applyAlignment="1">
      <alignment horizontal="center"/>
    </xf>
    <xf numFmtId="0" fontId="43" fillId="13" borderId="67" xfId="0" applyFont="1" applyFill="1" applyBorder="1" applyAlignment="1">
      <alignment horizontal="center"/>
    </xf>
    <xf numFmtId="0" fontId="43" fillId="52" borderId="33" xfId="0" applyFont="1" applyFill="1" applyBorder="1" applyAlignment="1">
      <alignment wrapText="1"/>
    </xf>
    <xf numFmtId="0" fontId="49" fillId="55" borderId="96" xfId="0" applyFont="1" applyFill="1" applyBorder="1" applyAlignment="1">
      <alignment horizontal="left"/>
    </xf>
    <xf numFmtId="0" fontId="49" fillId="55" borderId="96" xfId="0" applyFont="1" applyFill="1" applyBorder="1" applyAlignment="1">
      <alignment horizontal="center"/>
    </xf>
    <xf numFmtId="3" fontId="49" fillId="55" borderId="96" xfId="0" applyNumberFormat="1" applyFont="1" applyFill="1" applyBorder="1" applyAlignment="1">
      <alignment horizontal="center"/>
    </xf>
    <xf numFmtId="0" fontId="43" fillId="17" borderId="33" xfId="0" applyFont="1" applyFill="1" applyBorder="1" applyAlignment="1">
      <alignment horizontal="left"/>
    </xf>
    <xf numFmtId="0" fontId="49" fillId="55" borderId="67" xfId="0" applyFont="1" applyFill="1" applyBorder="1" applyAlignment="1">
      <alignment horizontal="left"/>
    </xf>
    <xf numFmtId="0" fontId="49" fillId="55" borderId="67" xfId="0" applyFont="1" applyFill="1" applyBorder="1" applyAlignment="1">
      <alignment horizontal="center"/>
    </xf>
    <xf numFmtId="3" fontId="49" fillId="55" borderId="67" xfId="0" applyNumberFormat="1" applyFont="1" applyFill="1" applyBorder="1" applyAlignment="1">
      <alignment horizontal="center"/>
    </xf>
    <xf numFmtId="0" fontId="45" fillId="17" borderId="36" xfId="0" applyFont="1" applyFill="1" applyBorder="1" applyAlignment="1"/>
    <xf numFmtId="0" fontId="53" fillId="10" borderId="0" xfId="0" applyFont="1" applyFill="1" applyAlignment="1">
      <alignment horizontal="center" wrapText="1"/>
    </xf>
    <xf numFmtId="9" fontId="53" fillId="18" borderId="36" xfId="0" applyNumberFormat="1" applyFont="1" applyFill="1" applyBorder="1" applyAlignment="1">
      <alignment horizontal="center" wrapText="1"/>
    </xf>
    <xf numFmtId="0" fontId="110" fillId="10" borderId="0" xfId="0" applyFont="1" applyFill="1" applyBorder="1"/>
    <xf numFmtId="0" fontId="0" fillId="53" borderId="0" xfId="0" applyFill="1"/>
    <xf numFmtId="0" fontId="43" fillId="17" borderId="0" xfId="0" applyFont="1" applyFill="1"/>
    <xf numFmtId="0" fontId="74" fillId="56" borderId="0" xfId="0" applyFont="1" applyFill="1"/>
    <xf numFmtId="0" fontId="111" fillId="8" borderId="0" xfId="0" applyFont="1" applyFill="1" applyAlignment="1">
      <alignment horizontal="left"/>
    </xf>
    <xf numFmtId="0" fontId="65" fillId="17" borderId="0" xfId="0" applyFont="1" applyFill="1"/>
    <xf numFmtId="0" fontId="65" fillId="17" borderId="0" xfId="0" applyFont="1" applyFill="1" applyAlignment="1">
      <alignment horizontal="left" vertical="top" wrapText="1"/>
    </xf>
    <xf numFmtId="0" fontId="74" fillId="17" borderId="0" xfId="0" applyFont="1" applyFill="1" applyAlignment="1">
      <alignment horizontal="left" vertical="top"/>
    </xf>
    <xf numFmtId="0" fontId="65" fillId="17" borderId="0" xfId="0" applyFont="1" applyFill="1" applyAlignment="1">
      <alignment horizontal="left"/>
    </xf>
    <xf numFmtId="0" fontId="74" fillId="17" borderId="0" xfId="0" applyFont="1" applyFill="1" applyAlignment="1">
      <alignment horizontal="left"/>
    </xf>
    <xf numFmtId="0" fontId="113" fillId="8" borderId="100" xfId="0" applyFont="1" applyFill="1" applyBorder="1" applyAlignment="1">
      <alignment horizontal="center"/>
    </xf>
    <xf numFmtId="0" fontId="113" fillId="8" borderId="104" xfId="0" applyFont="1" applyFill="1" applyBorder="1" applyAlignment="1">
      <alignment horizontal="center"/>
    </xf>
    <xf numFmtId="0" fontId="65" fillId="17" borderId="105" xfId="0" applyFont="1" applyFill="1" applyBorder="1" applyAlignment="1">
      <alignment horizontal="center"/>
    </xf>
    <xf numFmtId="0" fontId="65" fillId="17" borderId="101" xfId="0" applyFont="1" applyFill="1" applyBorder="1"/>
    <xf numFmtId="0" fontId="65" fillId="17" borderId="106" xfId="0" applyFont="1" applyFill="1" applyBorder="1" applyAlignment="1">
      <alignment horizontal="center"/>
    </xf>
    <xf numFmtId="0" fontId="65" fillId="17" borderId="102" xfId="0" applyFont="1" applyFill="1" applyBorder="1"/>
    <xf numFmtId="0" fontId="41" fillId="9" borderId="0" xfId="0" applyFont="1" applyFill="1" applyAlignment="1"/>
    <xf numFmtId="0" fontId="72" fillId="9" borderId="0" xfId="0" applyFont="1" applyFill="1" applyAlignment="1"/>
    <xf numFmtId="0" fontId="72" fillId="9" borderId="0" xfId="0" applyFont="1" applyFill="1" applyAlignment="1">
      <alignment horizontal="left"/>
    </xf>
    <xf numFmtId="0" fontId="72" fillId="9" borderId="0" xfId="0" applyFont="1" applyFill="1" applyAlignment="1">
      <alignment horizontal="center"/>
    </xf>
    <xf numFmtId="0" fontId="72" fillId="9" borderId="0" xfId="0" applyFont="1" applyFill="1"/>
    <xf numFmtId="0" fontId="40" fillId="0" borderId="0" xfId="0" applyFont="1" applyFill="1"/>
    <xf numFmtId="0" fontId="42" fillId="0" borderId="0" xfId="0" applyFont="1" applyFill="1"/>
    <xf numFmtId="0" fontId="9" fillId="0" borderId="0" xfId="0" applyFont="1" applyAlignment="1">
      <alignment horizontal="right"/>
    </xf>
    <xf numFmtId="0" fontId="0" fillId="0" borderId="34" xfId="0" applyBorder="1"/>
    <xf numFmtId="0" fontId="0" fillId="0" borderId="35" xfId="0" applyBorder="1"/>
    <xf numFmtId="0" fontId="0" fillId="0" borderId="40" xfId="0" applyBorder="1"/>
    <xf numFmtId="0" fontId="0" fillId="0" borderId="15" xfId="0" applyBorder="1"/>
    <xf numFmtId="0" fontId="0" fillId="0" borderId="7" xfId="0" applyBorder="1"/>
    <xf numFmtId="0" fontId="0" fillId="0" borderId="39" xfId="0" applyBorder="1"/>
    <xf numFmtId="0" fontId="0" fillId="0" borderId="47" xfId="0" applyBorder="1"/>
    <xf numFmtId="0" fontId="0" fillId="0" borderId="57" xfId="0" applyBorder="1"/>
    <xf numFmtId="0" fontId="0" fillId="0" borderId="37" xfId="0" applyBorder="1"/>
    <xf numFmtId="0" fontId="0" fillId="0" borderId="65" xfId="0" applyBorder="1"/>
    <xf numFmtId="0" fontId="0" fillId="0" borderId="66" xfId="0" applyBorder="1"/>
    <xf numFmtId="49" fontId="0" fillId="0" borderId="37" xfId="0" applyNumberFormat="1" applyBorder="1"/>
    <xf numFmtId="0" fontId="110" fillId="10" borderId="0" xfId="0" applyFont="1" applyFill="1" applyAlignment="1"/>
    <xf numFmtId="0" fontId="42" fillId="0" borderId="0" xfId="0" applyFont="1" applyFill="1" applyAlignment="1">
      <alignment horizontal="center"/>
    </xf>
    <xf numFmtId="0" fontId="114" fillId="0" borderId="0" xfId="0" applyFont="1"/>
    <xf numFmtId="0" fontId="0" fillId="0" borderId="37" xfId="0" applyBorder="1" applyAlignment="1">
      <alignment horizontal="center"/>
    </xf>
    <xf numFmtId="3" fontId="0" fillId="0" borderId="37" xfId="0" applyNumberFormat="1" applyBorder="1" applyAlignment="1">
      <alignment horizontal="right"/>
    </xf>
    <xf numFmtId="0" fontId="77" fillId="0" borderId="0" xfId="0" applyFont="1" applyAlignment="1">
      <alignment horizontal="right"/>
    </xf>
    <xf numFmtId="0" fontId="77" fillId="0" borderId="0" xfId="0" applyFont="1" applyAlignment="1">
      <alignment horizontal="right" wrapText="1"/>
    </xf>
    <xf numFmtId="3" fontId="0" fillId="0" borderId="37" xfId="0" applyNumberFormat="1" applyBorder="1"/>
    <xf numFmtId="49" fontId="0" fillId="0" borderId="0" xfId="0" applyNumberFormat="1" applyBorder="1"/>
    <xf numFmtId="14" fontId="0" fillId="0" borderId="34" xfId="0" applyNumberFormat="1" applyBorder="1"/>
    <xf numFmtId="0" fontId="0" fillId="0" borderId="36" xfId="0" applyBorder="1"/>
    <xf numFmtId="3" fontId="0" fillId="0" borderId="39" xfId="0" applyNumberFormat="1" applyBorder="1" applyAlignment="1">
      <alignment horizontal="right"/>
    </xf>
    <xf numFmtId="0" fontId="0" fillId="0" borderId="0" xfId="0" applyAlignment="1">
      <alignment horizontal="center" wrapText="1"/>
    </xf>
    <xf numFmtId="3" fontId="0" fillId="0" borderId="36" xfId="0" applyNumberFormat="1" applyBorder="1" applyAlignment="1">
      <alignment horizontal="center"/>
    </xf>
    <xf numFmtId="0" fontId="43" fillId="11" borderId="36" xfId="0" applyFont="1" applyFill="1" applyBorder="1"/>
    <xf numFmtId="3" fontId="43" fillId="11" borderId="36" xfId="0" applyNumberFormat="1" applyFont="1" applyFill="1" applyBorder="1"/>
    <xf numFmtId="0" fontId="43" fillId="57" borderId="36" xfId="0" applyFont="1" applyFill="1" applyBorder="1"/>
    <xf numFmtId="3" fontId="43" fillId="57" borderId="36" xfId="0" applyNumberFormat="1" applyFont="1" applyFill="1" applyBorder="1"/>
    <xf numFmtId="0" fontId="119" fillId="10" borderId="0" xfId="0" applyFont="1" applyFill="1"/>
    <xf numFmtId="0" fontId="0" fillId="0" borderId="36" xfId="0" applyBorder="1" applyAlignment="1">
      <alignment horizontal="center"/>
    </xf>
    <xf numFmtId="0" fontId="9" fillId="0" borderId="36" xfId="0" applyFont="1" applyFill="1" applyBorder="1" applyAlignment="1">
      <alignment horizontal="center"/>
    </xf>
    <xf numFmtId="0" fontId="121" fillId="0" borderId="0" xfId="0" applyFont="1" applyFill="1" applyBorder="1" applyAlignment="1">
      <alignment horizontal="left"/>
    </xf>
    <xf numFmtId="0" fontId="0" fillId="0" borderId="37" xfId="0" applyBorder="1" applyAlignment="1">
      <alignment horizontal="right"/>
    </xf>
    <xf numFmtId="0" fontId="21" fillId="0" borderId="36" xfId="1" applyBorder="1" applyAlignment="1" applyProtection="1"/>
    <xf numFmtId="0" fontId="21" fillId="0" borderId="34" xfId="1" applyBorder="1" applyAlignment="1" applyProtection="1"/>
    <xf numFmtId="0" fontId="0" fillId="0" borderId="38" xfId="0" applyBorder="1"/>
    <xf numFmtId="0" fontId="120" fillId="0" borderId="1" xfId="0" applyFont="1" applyBorder="1"/>
    <xf numFmtId="0" fontId="77" fillId="0" borderId="105" xfId="0" applyFont="1" applyBorder="1" applyAlignment="1">
      <alignment horizontal="right"/>
    </xf>
    <xf numFmtId="0" fontId="21" fillId="0" borderId="101" xfId="1" applyBorder="1" applyAlignment="1" applyProtection="1">
      <alignment horizontal="center" wrapText="1"/>
    </xf>
    <xf numFmtId="0" fontId="0" fillId="0" borderId="101" xfId="0" applyBorder="1" applyAlignment="1">
      <alignment horizontal="left" wrapText="1"/>
    </xf>
    <xf numFmtId="0" fontId="0" fillId="0" borderId="101" xfId="0" applyBorder="1"/>
    <xf numFmtId="3" fontId="0" fillId="0" borderId="0" xfId="0" applyNumberFormat="1" applyBorder="1" applyAlignment="1">
      <alignment horizontal="right"/>
    </xf>
    <xf numFmtId="0" fontId="9" fillId="12" borderId="105" xfId="0" applyFont="1" applyFill="1" applyBorder="1" applyAlignment="1">
      <alignment horizontal="center" wrapText="1"/>
    </xf>
    <xf numFmtId="0" fontId="30" fillId="12" borderId="36" xfId="0" applyFont="1" applyFill="1" applyBorder="1" applyAlignment="1">
      <alignment horizontal="center" wrapText="1"/>
    </xf>
    <xf numFmtId="0" fontId="9" fillId="12" borderId="101" xfId="0" applyFont="1" applyFill="1" applyBorder="1" applyAlignment="1">
      <alignment horizontal="center" wrapText="1"/>
    </xf>
    <xf numFmtId="0" fontId="9" fillId="12" borderId="36" xfId="0" applyFont="1" applyFill="1" applyBorder="1" applyAlignment="1">
      <alignment horizontal="center"/>
    </xf>
    <xf numFmtId="0" fontId="9" fillId="12" borderId="36" xfId="0" applyFont="1" applyFill="1" applyBorder="1" applyAlignment="1">
      <alignment horizontal="center" wrapText="1"/>
    </xf>
    <xf numFmtId="0" fontId="0" fillId="0" borderId="0" xfId="0"/>
    <xf numFmtId="0" fontId="21" fillId="0" borderId="37" xfId="1" applyBorder="1" applyAlignment="1" applyProtection="1"/>
    <xf numFmtId="0" fontId="21" fillId="0" borderId="33" xfId="1" applyBorder="1" applyAlignment="1" applyProtection="1"/>
    <xf numFmtId="0" fontId="21" fillId="0" borderId="39" xfId="1" applyBorder="1" applyAlignment="1" applyProtection="1"/>
    <xf numFmtId="0" fontId="21" fillId="0" borderId="101" xfId="1" applyBorder="1" applyAlignment="1" applyProtection="1"/>
    <xf numFmtId="0" fontId="0" fillId="58" borderId="0" xfId="0" applyFill="1"/>
    <xf numFmtId="0" fontId="0" fillId="58" borderId="0" xfId="0" applyFill="1" applyAlignment="1">
      <alignment horizontal="right"/>
    </xf>
    <xf numFmtId="0" fontId="110" fillId="10" borderId="0" xfId="0" applyFont="1" applyFill="1" applyAlignment="1">
      <alignment horizontal="left"/>
    </xf>
    <xf numFmtId="0" fontId="43" fillId="59" borderId="63" xfId="0" applyFont="1" applyFill="1" applyBorder="1" applyAlignment="1">
      <alignment horizontal="center"/>
    </xf>
    <xf numFmtId="14" fontId="53" fillId="59" borderId="36" xfId="0" applyNumberFormat="1" applyFont="1" applyFill="1" applyBorder="1" applyAlignment="1">
      <alignment horizontal="left"/>
    </xf>
    <xf numFmtId="3" fontId="43" fillId="59" borderId="36" xfId="0" applyNumberFormat="1" applyFont="1" applyFill="1" applyBorder="1" applyAlignment="1">
      <alignment horizontal="center" vertical="top"/>
    </xf>
    <xf numFmtId="0" fontId="43" fillId="59" borderId="36" xfId="0" applyFont="1" applyFill="1" applyBorder="1" applyAlignment="1">
      <alignment horizontal="center"/>
    </xf>
    <xf numFmtId="3" fontId="43" fillId="59" borderId="36" xfId="0" applyNumberFormat="1" applyFont="1" applyFill="1" applyBorder="1" applyAlignment="1">
      <alignment horizontal="center"/>
    </xf>
    <xf numFmtId="0" fontId="43" fillId="59" borderId="65" xfId="0" applyFont="1" applyFill="1" applyBorder="1" applyAlignment="1">
      <alignment horizontal="center"/>
    </xf>
    <xf numFmtId="3" fontId="43" fillId="59" borderId="66" xfId="0" applyNumberFormat="1" applyFont="1" applyFill="1" applyBorder="1" applyAlignment="1">
      <alignment horizontal="center"/>
    </xf>
    <xf numFmtId="0" fontId="43" fillId="59" borderId="36" xfId="0" applyFont="1" applyFill="1" applyBorder="1" applyAlignment="1"/>
    <xf numFmtId="0" fontId="43" fillId="59" borderId="36" xfId="0" applyFont="1" applyFill="1" applyBorder="1"/>
    <xf numFmtId="3" fontId="43" fillId="59" borderId="36" xfId="0" applyNumberFormat="1" applyFont="1" applyFill="1" applyBorder="1" applyAlignment="1">
      <alignment horizontal="center" wrapText="1"/>
    </xf>
    <xf numFmtId="3" fontId="43" fillId="59" borderId="36" xfId="0" applyNumberFormat="1" applyFont="1" applyFill="1" applyBorder="1" applyAlignment="1">
      <alignment wrapText="1"/>
    </xf>
    <xf numFmtId="0" fontId="43" fillId="59" borderId="36" xfId="0" applyFont="1" applyFill="1" applyBorder="1" applyAlignment="1">
      <alignment horizontal="center" wrapText="1"/>
    </xf>
    <xf numFmtId="0" fontId="43" fillId="59" borderId="18" xfId="0" applyFont="1" applyFill="1" applyBorder="1" applyAlignment="1" applyProtection="1">
      <alignment horizontal="center"/>
      <protection locked="0"/>
    </xf>
    <xf numFmtId="0" fontId="123" fillId="52" borderId="0" xfId="0" applyFont="1" applyFill="1" applyAlignment="1">
      <alignment horizontal="left"/>
    </xf>
    <xf numFmtId="0" fontId="53" fillId="10" borderId="0" xfId="0" applyFont="1" applyFill="1" applyBorder="1" applyAlignment="1">
      <alignment horizontal="right"/>
    </xf>
    <xf numFmtId="4" fontId="0" fillId="18" borderId="36" xfId="0" applyNumberFormat="1" applyFont="1" applyFill="1" applyBorder="1" applyAlignment="1" applyProtection="1">
      <alignment horizontal="center"/>
      <protection locked="0"/>
    </xf>
    <xf numFmtId="0" fontId="43" fillId="59" borderId="33" xfId="0" applyFont="1" applyFill="1" applyBorder="1" applyAlignment="1">
      <alignment horizontal="center"/>
    </xf>
    <xf numFmtId="0" fontId="43" fillId="59" borderId="36" xfId="0" applyFont="1" applyFill="1" applyBorder="1" applyAlignment="1">
      <alignment horizontal="center" vertical="center"/>
    </xf>
    <xf numFmtId="9" fontId="53" fillId="18" borderId="36" xfId="0" applyNumberFormat="1" applyFont="1" applyFill="1" applyBorder="1" applyAlignment="1">
      <alignment horizontal="center"/>
    </xf>
    <xf numFmtId="0" fontId="43" fillId="10" borderId="0" xfId="0" applyFont="1" applyFill="1" applyBorder="1" applyAlignment="1">
      <alignment horizontal="left" vertical="top" wrapText="1"/>
    </xf>
    <xf numFmtId="0" fontId="43" fillId="17" borderId="38" xfId="0" applyFont="1" applyFill="1" applyBorder="1" applyAlignment="1" applyProtection="1">
      <alignment horizontal="center"/>
      <protection locked="0"/>
    </xf>
    <xf numFmtId="0" fontId="43" fillId="17" borderId="18" xfId="0" applyFont="1" applyFill="1" applyBorder="1" applyAlignment="1" applyProtection="1">
      <alignment horizontal="center"/>
      <protection locked="0"/>
    </xf>
    <xf numFmtId="4" fontId="0" fillId="17" borderId="36" xfId="0" applyNumberFormat="1" applyFont="1" applyFill="1" applyBorder="1" applyAlignment="1">
      <alignment horizontal="center"/>
    </xf>
    <xf numFmtId="2" fontId="0" fillId="17" borderId="36" xfId="0" applyNumberFormat="1" applyFont="1" applyFill="1" applyBorder="1" applyAlignment="1" applyProtection="1">
      <alignment horizontal="center"/>
      <protection locked="0"/>
    </xf>
    <xf numFmtId="0" fontId="53" fillId="17" borderId="18" xfId="0" applyFont="1" applyFill="1" applyBorder="1" applyAlignment="1">
      <alignment wrapText="1"/>
    </xf>
    <xf numFmtId="3" fontId="64" fillId="18" borderId="18" xfId="0" applyNumberFormat="1" applyFont="1" applyFill="1" applyBorder="1" applyAlignment="1">
      <alignment horizontal="center" wrapText="1"/>
    </xf>
    <xf numFmtId="3" fontId="64" fillId="18" borderId="15" xfId="0" applyNumberFormat="1" applyFont="1" applyFill="1" applyBorder="1" applyAlignment="1">
      <alignment horizontal="center" wrapText="1"/>
    </xf>
    <xf numFmtId="0" fontId="64" fillId="10" borderId="0" xfId="0" applyFont="1" applyFill="1" applyAlignment="1">
      <alignment wrapText="1"/>
    </xf>
    <xf numFmtId="9" fontId="53" fillId="10" borderId="36" xfId="0" applyNumberFormat="1" applyFont="1" applyFill="1" applyBorder="1" applyAlignment="1">
      <alignment horizontal="center"/>
    </xf>
    <xf numFmtId="0" fontId="126" fillId="10" borderId="0" xfId="0" applyFont="1" applyFill="1" applyBorder="1" applyAlignment="1"/>
    <xf numFmtId="0" fontId="127" fillId="10" borderId="0" xfId="0" applyFont="1" applyFill="1" applyBorder="1" applyAlignment="1"/>
    <xf numFmtId="2" fontId="53" fillId="17" borderId="36" xfId="0" applyNumberFormat="1" applyFont="1" applyFill="1" applyBorder="1" applyAlignment="1" applyProtection="1">
      <alignment horizontal="center"/>
      <protection locked="0"/>
    </xf>
    <xf numFmtId="0" fontId="128" fillId="10" borderId="0" xfId="0" applyFont="1" applyFill="1" applyAlignment="1">
      <alignment horizontal="left"/>
    </xf>
    <xf numFmtId="0" fontId="74" fillId="0" borderId="0" xfId="0" applyFont="1" applyFill="1" applyBorder="1" applyAlignment="1">
      <alignment horizontal="left" wrapText="1"/>
    </xf>
    <xf numFmtId="0" fontId="49" fillId="8" borderId="39" xfId="0" applyFont="1" applyFill="1" applyBorder="1" applyAlignment="1">
      <alignment horizontal="center" wrapText="1"/>
    </xf>
    <xf numFmtId="9" fontId="53" fillId="10" borderId="0" xfId="0" applyNumberFormat="1" applyFont="1" applyFill="1" applyBorder="1" applyAlignment="1">
      <alignment horizontal="center" wrapText="1"/>
    </xf>
    <xf numFmtId="9" fontId="53" fillId="10" borderId="0" xfId="0" applyNumberFormat="1" applyFont="1" applyFill="1" applyBorder="1" applyAlignment="1">
      <alignment horizontal="center"/>
    </xf>
    <xf numFmtId="0" fontId="45" fillId="17" borderId="36" xfId="0" applyFont="1" applyFill="1" applyBorder="1" applyAlignment="1">
      <alignment wrapText="1"/>
    </xf>
    <xf numFmtId="9" fontId="53" fillId="0" borderId="0" xfId="0" applyNumberFormat="1" applyFont="1" applyFill="1" applyBorder="1" applyAlignment="1">
      <alignment horizontal="center"/>
    </xf>
    <xf numFmtId="0" fontId="9" fillId="0" borderId="0" xfId="0" applyFont="1" applyFill="1" applyBorder="1" applyAlignment="1">
      <alignment horizontal="center" wrapText="1"/>
    </xf>
    <xf numFmtId="9" fontId="9" fillId="0" borderId="0" xfId="0" applyNumberFormat="1" applyFont="1" applyFill="1" applyBorder="1" applyAlignment="1">
      <alignment horizontal="center"/>
    </xf>
    <xf numFmtId="3" fontId="9" fillId="0" borderId="112" xfId="0" applyNumberFormat="1" applyFont="1" applyBorder="1" applyAlignment="1">
      <alignment horizontal="center"/>
    </xf>
    <xf numFmtId="9" fontId="9" fillId="0" borderId="102" xfId="0" applyNumberFormat="1" applyFont="1" applyBorder="1" applyAlignment="1">
      <alignment horizontal="center"/>
    </xf>
    <xf numFmtId="0" fontId="9" fillId="12" borderId="111" xfId="0" applyFont="1" applyFill="1" applyBorder="1" applyAlignment="1">
      <alignment horizontal="center" wrapText="1"/>
    </xf>
    <xf numFmtId="0" fontId="9" fillId="12" borderId="104" xfId="0" applyFont="1" applyFill="1" applyBorder="1" applyAlignment="1">
      <alignment horizontal="center" wrapText="1"/>
    </xf>
    <xf numFmtId="0" fontId="76" fillId="10" borderId="0" xfId="0" applyFont="1" applyFill="1" applyAlignment="1">
      <alignment horizontal="left"/>
    </xf>
    <xf numFmtId="0" fontId="65" fillId="17" borderId="0" xfId="0" applyFont="1" applyFill="1" applyAlignment="1">
      <alignment horizontal="left" vertical="top" wrapText="1"/>
    </xf>
    <xf numFmtId="3" fontId="43" fillId="10" borderId="0" xfId="0" applyNumberFormat="1" applyFont="1" applyFill="1" applyAlignment="1">
      <alignment wrapText="1"/>
    </xf>
    <xf numFmtId="3" fontId="43" fillId="10" borderId="0" xfId="0" applyNumberFormat="1" applyFont="1" applyFill="1" applyBorder="1"/>
    <xf numFmtId="0" fontId="43" fillId="10" borderId="0" xfId="0" applyFont="1" applyFill="1" applyAlignment="1">
      <alignment horizontal="center"/>
    </xf>
    <xf numFmtId="0" fontId="43" fillId="10" borderId="0" xfId="0" applyFont="1" applyFill="1"/>
    <xf numFmtId="0" fontId="43" fillId="10" borderId="0" xfId="4" applyFont="1" applyFill="1" applyAlignment="1" applyProtection="1">
      <alignment horizontal="center" wrapText="1"/>
      <protection hidden="1"/>
    </xf>
    <xf numFmtId="0" fontId="43" fillId="10" borderId="0" xfId="4" applyFont="1" applyFill="1" applyAlignment="1" applyProtection="1">
      <alignment wrapText="1"/>
      <protection hidden="1"/>
    </xf>
    <xf numFmtId="0" fontId="64" fillId="10" borderId="0" xfId="4" applyFont="1" applyFill="1" applyAlignment="1" applyProtection="1">
      <alignment wrapText="1"/>
      <protection hidden="1"/>
    </xf>
    <xf numFmtId="0" fontId="64" fillId="10" borderId="0" xfId="0" applyFont="1" applyFill="1" applyAlignment="1">
      <alignment horizontal="center"/>
    </xf>
    <xf numFmtId="0" fontId="43" fillId="10" borderId="0" xfId="0" applyFont="1" applyFill="1" applyAlignment="1">
      <alignment horizontal="center"/>
    </xf>
    <xf numFmtId="2" fontId="49" fillId="8" borderId="36" xfId="3" applyNumberFormat="1" applyFont="1" applyFill="1" applyBorder="1" applyAlignment="1" applyProtection="1">
      <alignment horizontal="center" vertical="center" wrapText="1"/>
      <protection hidden="1"/>
    </xf>
    <xf numFmtId="0" fontId="43" fillId="10" borderId="0" xfId="0" applyFont="1" applyFill="1"/>
    <xf numFmtId="0" fontId="43" fillId="10" borderId="0" xfId="5" applyFont="1" applyFill="1" applyBorder="1" applyAlignment="1" applyProtection="1">
      <alignment vertical="center"/>
      <protection hidden="1"/>
    </xf>
    <xf numFmtId="0" fontId="43" fillId="10" borderId="0" xfId="4" applyFont="1" applyFill="1" applyAlignment="1" applyProtection="1">
      <alignment horizontal="center" wrapText="1"/>
      <protection hidden="1"/>
    </xf>
    <xf numFmtId="0" fontId="43" fillId="10" borderId="0" xfId="4" applyFont="1" applyFill="1" applyAlignment="1" applyProtection="1">
      <alignment wrapText="1"/>
      <protection hidden="1"/>
    </xf>
    <xf numFmtId="0" fontId="64" fillId="10" borderId="0" xfId="4" applyFont="1" applyFill="1" applyAlignment="1" applyProtection="1">
      <alignment wrapText="1"/>
      <protection hidden="1"/>
    </xf>
    <xf numFmtId="0" fontId="64" fillId="10" borderId="0" xfId="0" applyFont="1" applyFill="1" applyAlignment="1">
      <alignment horizontal="center"/>
    </xf>
    <xf numFmtId="0" fontId="43" fillId="17" borderId="36" xfId="5" applyFont="1" applyFill="1" applyBorder="1" applyAlignment="1" applyProtection="1">
      <alignment vertical="center" wrapText="1"/>
      <protection hidden="1"/>
    </xf>
    <xf numFmtId="0" fontId="49" fillId="8" borderId="36" xfId="5" applyFont="1" applyFill="1" applyBorder="1" applyAlignment="1" applyProtection="1">
      <alignment horizontal="center" vertical="center" wrapText="1"/>
      <protection hidden="1"/>
    </xf>
    <xf numFmtId="0" fontId="65" fillId="17" borderId="0" xfId="0" applyFont="1" applyFill="1" applyAlignment="1">
      <alignment horizontal="left" vertical="top" wrapText="1"/>
    </xf>
    <xf numFmtId="0" fontId="65" fillId="17" borderId="0" xfId="0" applyFont="1" applyFill="1" applyAlignment="1">
      <alignment horizontal="left" vertical="top" wrapText="1"/>
    </xf>
    <xf numFmtId="0" fontId="65" fillId="17" borderId="0" xfId="0" applyFont="1" applyFill="1" applyAlignment="1">
      <alignment horizontal="left" wrapText="1"/>
    </xf>
    <xf numFmtId="0" fontId="73" fillId="12" borderId="0" xfId="0" applyFont="1" applyFill="1" applyBorder="1" applyAlignment="1">
      <alignment horizontal="center"/>
    </xf>
    <xf numFmtId="0" fontId="50" fillId="12" borderId="37" xfId="0" applyFont="1" applyFill="1" applyBorder="1" applyAlignment="1">
      <alignment horizontal="center" vertical="center" wrapText="1"/>
    </xf>
    <xf numFmtId="0" fontId="50" fillId="12" borderId="66" xfId="0" applyFont="1" applyFill="1" applyBorder="1" applyAlignment="1">
      <alignment horizontal="center" vertical="center" wrapText="1"/>
    </xf>
    <xf numFmtId="0" fontId="53" fillId="12" borderId="36" xfId="0" applyFont="1" applyFill="1" applyBorder="1" applyAlignment="1">
      <alignment horizontal="right"/>
    </xf>
    <xf numFmtId="0" fontId="53" fillId="12" borderId="36" xfId="0" applyFont="1" applyFill="1" applyBorder="1" applyAlignment="1">
      <alignment horizontal="center" wrapText="1"/>
    </xf>
    <xf numFmtId="0" fontId="49" fillId="8" borderId="37" xfId="0" applyFont="1" applyFill="1" applyBorder="1" applyAlignment="1">
      <alignment horizontal="center" wrapText="1"/>
    </xf>
    <xf numFmtId="0" fontId="49" fillId="8" borderId="65" xfId="0" applyFont="1" applyFill="1" applyBorder="1" applyAlignment="1">
      <alignment horizontal="center" wrapText="1"/>
    </xf>
    <xf numFmtId="0" fontId="49" fillId="8" borderId="66" xfId="0" applyFont="1" applyFill="1" applyBorder="1" applyAlignment="1">
      <alignment horizontal="center" wrapText="1"/>
    </xf>
    <xf numFmtId="0" fontId="43" fillId="17" borderId="36" xfId="0" applyFont="1" applyFill="1" applyBorder="1" applyAlignment="1">
      <alignment horizontal="left" vertical="top" wrapText="1"/>
    </xf>
    <xf numFmtId="0" fontId="49" fillId="8" borderId="37" xfId="0" applyFont="1" applyFill="1" applyBorder="1" applyAlignment="1">
      <alignment horizontal="center"/>
    </xf>
    <xf numFmtId="0" fontId="49" fillId="8" borderId="66" xfId="0" applyFont="1" applyFill="1" applyBorder="1" applyAlignment="1">
      <alignment horizontal="center"/>
    </xf>
    <xf numFmtId="0" fontId="49" fillId="8" borderId="37" xfId="0" applyFont="1" applyFill="1" applyBorder="1" applyAlignment="1">
      <alignment horizontal="center" vertical="center"/>
    </xf>
    <xf numFmtId="0" fontId="49" fillId="8" borderId="66" xfId="0" applyFont="1" applyFill="1" applyBorder="1" applyAlignment="1">
      <alignment horizontal="center" vertical="center"/>
    </xf>
    <xf numFmtId="0" fontId="43" fillId="59" borderId="37" xfId="0" applyFont="1" applyFill="1" applyBorder="1" applyAlignment="1">
      <alignment horizontal="center"/>
    </xf>
    <xf numFmtId="0" fontId="43" fillId="59" borderId="66" xfId="0" applyFont="1" applyFill="1" applyBorder="1" applyAlignment="1">
      <alignment horizontal="center"/>
    </xf>
    <xf numFmtId="0" fontId="43" fillId="10" borderId="0" xfId="0" applyFont="1" applyFill="1" applyBorder="1" applyAlignment="1">
      <alignment horizontal="left" vertical="top" wrapText="1"/>
    </xf>
    <xf numFmtId="0" fontId="53" fillId="12" borderId="36" xfId="0" applyFont="1" applyFill="1" applyBorder="1" applyAlignment="1">
      <alignment horizontal="center" vertical="center"/>
    </xf>
    <xf numFmtId="0" fontId="53" fillId="12" borderId="34" xfId="0" applyFont="1" applyFill="1" applyBorder="1" applyAlignment="1">
      <alignment horizontal="center" vertical="center"/>
    </xf>
    <xf numFmtId="0" fontId="53" fillId="12" borderId="35" xfId="0" applyFont="1" applyFill="1" applyBorder="1" applyAlignment="1">
      <alignment horizontal="center" vertical="center"/>
    </xf>
    <xf numFmtId="0" fontId="53" fillId="12" borderId="40" xfId="0" applyFont="1" applyFill="1" applyBorder="1" applyAlignment="1">
      <alignment horizontal="center" vertical="center"/>
    </xf>
    <xf numFmtId="0" fontId="53" fillId="12" borderId="39" xfId="0" applyFont="1" applyFill="1" applyBorder="1" applyAlignment="1">
      <alignment horizontal="center" vertical="center"/>
    </xf>
    <xf numFmtId="0" fontId="53" fillId="12" borderId="47" xfId="0" applyFont="1" applyFill="1" applyBorder="1" applyAlignment="1">
      <alignment horizontal="center" vertical="center"/>
    </xf>
    <xf numFmtId="0" fontId="53" fillId="12" borderId="57" xfId="0" applyFont="1" applyFill="1" applyBorder="1" applyAlignment="1">
      <alignment horizontal="center" vertical="center"/>
    </xf>
    <xf numFmtId="49" fontId="43" fillId="59" borderId="37" xfId="0" applyNumberFormat="1" applyFont="1" applyFill="1" applyBorder="1" applyAlignment="1">
      <alignment horizontal="left"/>
    </xf>
    <xf numFmtId="49" fontId="43" fillId="59" borderId="66" xfId="0" applyNumberFormat="1" applyFont="1" applyFill="1" applyBorder="1" applyAlignment="1">
      <alignment horizontal="left"/>
    </xf>
    <xf numFmtId="0" fontId="64" fillId="10" borderId="0" xfId="0" applyFont="1" applyFill="1" applyAlignment="1">
      <alignment horizontal="left" vertical="top" wrapText="1"/>
    </xf>
    <xf numFmtId="0" fontId="43" fillId="59" borderId="34" xfId="0" applyFont="1" applyFill="1" applyBorder="1" applyAlignment="1">
      <alignment horizontal="left" vertical="center"/>
    </xf>
    <xf numFmtId="0" fontId="43" fillId="59" borderId="40" xfId="0" applyFont="1" applyFill="1" applyBorder="1" applyAlignment="1">
      <alignment horizontal="left" vertical="center"/>
    </xf>
    <xf numFmtId="0" fontId="43" fillId="59" borderId="15" xfId="0" applyFont="1" applyFill="1" applyBorder="1" applyAlignment="1">
      <alignment horizontal="left" vertical="center"/>
    </xf>
    <xf numFmtId="0" fontId="43" fillId="59" borderId="7" xfId="0" applyFont="1" applyFill="1" applyBorder="1" applyAlignment="1">
      <alignment horizontal="left" vertical="center"/>
    </xf>
    <xf numFmtId="0" fontId="43" fillId="59" borderId="39" xfId="0" applyFont="1" applyFill="1" applyBorder="1" applyAlignment="1">
      <alignment horizontal="left" vertical="center"/>
    </xf>
    <xf numFmtId="0" fontId="43" fillId="59" borderId="57" xfId="0" applyFont="1" applyFill="1" applyBorder="1" applyAlignment="1">
      <alignment horizontal="left" vertical="center"/>
    </xf>
    <xf numFmtId="0" fontId="43" fillId="59" borderId="34" xfId="0" applyNumberFormat="1" applyFont="1" applyFill="1" applyBorder="1" applyAlignment="1">
      <alignment horizontal="left" vertical="center" wrapText="1"/>
    </xf>
    <xf numFmtId="0" fontId="43" fillId="59" borderId="40" xfId="0" applyNumberFormat="1" applyFont="1" applyFill="1" applyBorder="1" applyAlignment="1">
      <alignment horizontal="left" vertical="center"/>
    </xf>
    <xf numFmtId="0" fontId="53" fillId="59" borderId="15" xfId="0" applyFont="1" applyFill="1" applyBorder="1" applyAlignment="1">
      <alignment horizontal="left" vertical="center" wrapText="1"/>
    </xf>
    <xf numFmtId="0" fontId="53" fillId="59" borderId="7" xfId="0" applyFont="1" applyFill="1" applyBorder="1" applyAlignment="1">
      <alignment horizontal="left" vertical="center" wrapText="1"/>
    </xf>
    <xf numFmtId="0" fontId="21" fillId="59" borderId="39" xfId="1" applyFill="1" applyBorder="1" applyAlignment="1" applyProtection="1">
      <alignment horizontal="left" vertical="center"/>
    </xf>
    <xf numFmtId="0" fontId="53" fillId="59" borderId="57" xfId="0" applyFont="1" applyFill="1" applyBorder="1" applyAlignment="1">
      <alignment horizontal="left" vertical="center"/>
    </xf>
    <xf numFmtId="0" fontId="43" fillId="59" borderId="37" xfId="0" applyFont="1" applyFill="1" applyBorder="1" applyAlignment="1">
      <alignment horizontal="left" vertical="center"/>
    </xf>
    <xf numFmtId="0" fontId="43" fillId="59" borderId="66" xfId="0" applyFont="1" applyFill="1" applyBorder="1" applyAlignment="1">
      <alignment horizontal="left" vertical="center"/>
    </xf>
    <xf numFmtId="0" fontId="43" fillId="10" borderId="0" xfId="0" applyFont="1" applyFill="1" applyBorder="1" applyAlignment="1">
      <alignment horizontal="left" vertical="center" wrapText="1"/>
    </xf>
    <xf numFmtId="0" fontId="43" fillId="10" borderId="7" xfId="0" applyFont="1" applyFill="1" applyBorder="1" applyAlignment="1">
      <alignment horizontal="left" vertical="top" wrapText="1"/>
    </xf>
    <xf numFmtId="0" fontId="43" fillId="10" borderId="35" xfId="0" applyFont="1" applyFill="1" applyBorder="1" applyAlignment="1">
      <alignment horizontal="center" vertical="center"/>
    </xf>
    <xf numFmtId="0" fontId="43" fillId="10" borderId="0" xfId="0" applyFont="1" applyFill="1" applyBorder="1" applyAlignment="1">
      <alignment horizontal="center" vertical="center"/>
    </xf>
    <xf numFmtId="0" fontId="53" fillId="12" borderId="36" xfId="5" applyFont="1" applyFill="1" applyBorder="1" applyAlignment="1" applyProtection="1">
      <alignment horizontal="right" vertical="center" wrapText="1"/>
      <protection hidden="1"/>
    </xf>
    <xf numFmtId="0" fontId="0" fillId="12" borderId="36" xfId="0" applyFill="1" applyBorder="1"/>
    <xf numFmtId="0" fontId="53" fillId="12" borderId="38" xfId="5" applyFont="1" applyFill="1" applyBorder="1" applyAlignment="1" applyProtection="1">
      <alignment horizontal="right" vertical="center" wrapText="1"/>
      <protection hidden="1"/>
    </xf>
    <xf numFmtId="0" fontId="8" fillId="10" borderId="0" xfId="0" applyFont="1" applyFill="1" applyAlignment="1">
      <alignment vertical="top" wrapText="1"/>
    </xf>
    <xf numFmtId="0" fontId="0" fillId="10" borderId="0" xfId="0" applyFill="1" applyAlignment="1">
      <alignment vertical="top" wrapText="1"/>
    </xf>
    <xf numFmtId="0" fontId="49" fillId="8" borderId="70" xfId="0" applyFont="1" applyFill="1" applyBorder="1" applyAlignment="1">
      <alignment horizontal="center" vertical="center" wrapText="1"/>
    </xf>
    <xf numFmtId="0" fontId="18" fillId="10" borderId="0" xfId="0" applyFont="1" applyFill="1" applyAlignment="1">
      <alignment horizontal="left" wrapText="1"/>
    </xf>
    <xf numFmtId="0" fontId="18" fillId="10" borderId="0" xfId="0" applyFont="1" applyFill="1" applyAlignment="1">
      <alignment horizontal="left" vertical="top" wrapText="1"/>
    </xf>
    <xf numFmtId="0" fontId="21" fillId="10" borderId="0" xfId="1" applyFill="1" applyBorder="1" applyAlignment="1" applyProtection="1">
      <alignment horizontal="left"/>
    </xf>
    <xf numFmtId="0" fontId="18" fillId="10" borderId="0" xfId="0" applyFont="1" applyFill="1" applyBorder="1" applyAlignment="1">
      <alignment horizontal="left" wrapText="1"/>
    </xf>
    <xf numFmtId="0" fontId="18" fillId="10" borderId="3" xfId="0" applyFont="1" applyFill="1" applyBorder="1" applyAlignment="1">
      <alignment horizontal="left" wrapText="1"/>
    </xf>
    <xf numFmtId="0" fontId="43" fillId="52" borderId="0" xfId="0" applyFont="1" applyFill="1" applyAlignment="1">
      <alignment horizontal="left" vertical="top" wrapText="1"/>
    </xf>
    <xf numFmtId="0" fontId="21" fillId="52" borderId="0" xfId="1" applyFill="1" applyAlignment="1" applyProtection="1">
      <alignment horizontal="center"/>
    </xf>
    <xf numFmtId="0" fontId="0" fillId="10" borderId="0" xfId="0" applyFill="1" applyBorder="1" applyAlignment="1">
      <alignment horizontal="center"/>
    </xf>
    <xf numFmtId="0" fontId="49" fillId="8" borderId="70" xfId="0" applyFont="1" applyFill="1" applyBorder="1" applyAlignment="1">
      <alignment horizontal="center" wrapText="1"/>
    </xf>
    <xf numFmtId="0" fontId="49" fillId="8" borderId="71" xfId="0" applyFont="1" applyFill="1" applyBorder="1" applyAlignment="1">
      <alignment horizontal="center" wrapText="1"/>
    </xf>
    <xf numFmtId="0" fontId="18" fillId="10" borderId="0" xfId="0" applyFont="1" applyFill="1" applyBorder="1" applyAlignment="1">
      <alignment vertical="top" wrapText="1"/>
    </xf>
    <xf numFmtId="0" fontId="18" fillId="10" borderId="0" xfId="0" applyFont="1" applyFill="1" applyBorder="1" applyAlignment="1">
      <alignment horizontal="center" vertical="top" wrapText="1"/>
    </xf>
    <xf numFmtId="0" fontId="9" fillId="4" borderId="11" xfId="0" applyFont="1" applyFill="1" applyBorder="1" applyAlignment="1"/>
    <xf numFmtId="0" fontId="0" fillId="4" borderId="17" xfId="0" applyFill="1" applyBorder="1" applyAlignment="1"/>
    <xf numFmtId="0" fontId="10" fillId="0" borderId="0" xfId="0" applyFont="1" applyFill="1" applyAlignment="1">
      <alignment horizontal="left" vertical="top" wrapText="1"/>
    </xf>
    <xf numFmtId="0" fontId="0" fillId="0" borderId="0" xfId="0" applyAlignment="1"/>
    <xf numFmtId="0" fontId="0" fillId="0" borderId="15" xfId="0" applyFill="1" applyBorder="1" applyAlignment="1">
      <alignment horizontal="center"/>
    </xf>
    <xf numFmtId="0" fontId="0" fillId="0" borderId="3" xfId="0" applyFill="1" applyBorder="1" applyAlignment="1">
      <alignment horizontal="center"/>
    </xf>
    <xf numFmtId="0" fontId="9" fillId="6" borderId="1" xfId="0" applyFont="1" applyFill="1" applyBorder="1" applyAlignment="1">
      <alignment horizontal="center"/>
    </xf>
    <xf numFmtId="0" fontId="9" fillId="6" borderId="8" xfId="0" applyFont="1" applyFill="1" applyBorder="1" applyAlignment="1">
      <alignment horizontal="center"/>
    </xf>
    <xf numFmtId="0" fontId="9" fillId="6" borderId="9" xfId="0" applyFont="1" applyFill="1" applyBorder="1" applyAlignment="1">
      <alignment horizontal="center"/>
    </xf>
    <xf numFmtId="0" fontId="9" fillId="0" borderId="41" xfId="0" applyFont="1" applyBorder="1" applyAlignment="1">
      <alignment horizontal="center"/>
    </xf>
    <xf numFmtId="0" fontId="9" fillId="0" borderId="42" xfId="0" applyFont="1" applyBorder="1" applyAlignment="1">
      <alignment horizontal="center"/>
    </xf>
    <xf numFmtId="0" fontId="9" fillId="0" borderId="43" xfId="0" applyFont="1" applyBorder="1" applyAlignment="1">
      <alignment horizontal="center"/>
    </xf>
    <xf numFmtId="0" fontId="9" fillId="4" borderId="11" xfId="0" applyFont="1" applyFill="1" applyBorder="1" applyAlignment="1">
      <alignment horizontal="center"/>
    </xf>
    <xf numFmtId="0" fontId="9" fillId="4" borderId="10" xfId="0" applyFont="1" applyFill="1" applyBorder="1" applyAlignment="1">
      <alignment horizontal="center"/>
    </xf>
    <xf numFmtId="0" fontId="9" fillId="4" borderId="17" xfId="0" applyFont="1" applyFill="1" applyBorder="1" applyAlignment="1">
      <alignment horizontal="center"/>
    </xf>
    <xf numFmtId="0" fontId="9" fillId="6" borderId="41" xfId="0" applyFont="1" applyFill="1" applyBorder="1" applyAlignment="1">
      <alignment horizontal="center"/>
    </xf>
    <xf numFmtId="0" fontId="9" fillId="6" borderId="42" xfId="0" applyFont="1" applyFill="1" applyBorder="1" applyAlignment="1">
      <alignment horizontal="center"/>
    </xf>
    <xf numFmtId="0" fontId="9" fillId="6" borderId="43" xfId="0" applyFont="1" applyFill="1" applyBorder="1" applyAlignment="1">
      <alignment horizontal="center"/>
    </xf>
    <xf numFmtId="0" fontId="9" fillId="0" borderId="11" xfId="0" applyFont="1" applyBorder="1" applyAlignment="1">
      <alignment horizontal="center" vertical="center"/>
    </xf>
    <xf numFmtId="0" fontId="9" fillId="0" borderId="10" xfId="0" applyFont="1" applyBorder="1" applyAlignment="1">
      <alignment horizontal="center" vertical="center"/>
    </xf>
    <xf numFmtId="0" fontId="9" fillId="0" borderId="17" xfId="0" applyFont="1" applyBorder="1" applyAlignment="1">
      <alignment horizontal="center" vertical="center"/>
    </xf>
    <xf numFmtId="0" fontId="9" fillId="0" borderId="11" xfId="0" applyFont="1" applyBorder="1" applyAlignment="1">
      <alignment horizontal="center"/>
    </xf>
    <xf numFmtId="0" fontId="9" fillId="0" borderId="10" xfId="0" applyFont="1" applyBorder="1" applyAlignment="1">
      <alignment horizontal="center"/>
    </xf>
    <xf numFmtId="0" fontId="9" fillId="0" borderId="17" xfId="0" applyFont="1" applyBorder="1" applyAlignment="1">
      <alignment horizontal="center"/>
    </xf>
    <xf numFmtId="0" fontId="9" fillId="6" borderId="61" xfId="0" applyFont="1" applyFill="1" applyBorder="1" applyAlignment="1">
      <alignment horizontal="center"/>
    </xf>
    <xf numFmtId="0" fontId="9" fillId="6" borderId="10" xfId="0" applyFont="1" applyFill="1" applyBorder="1" applyAlignment="1">
      <alignment horizontal="center"/>
    </xf>
    <xf numFmtId="0" fontId="9" fillId="6" borderId="62" xfId="0" applyFont="1" applyFill="1" applyBorder="1" applyAlignment="1">
      <alignment horizontal="center"/>
    </xf>
    <xf numFmtId="0" fontId="9" fillId="4" borderId="62" xfId="0" applyFont="1" applyFill="1" applyBorder="1" applyAlignment="1">
      <alignment horizontal="center"/>
    </xf>
    <xf numFmtId="0" fontId="8"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vertical="top" wrapText="1"/>
    </xf>
    <xf numFmtId="2" fontId="10" fillId="0" borderId="0" xfId="0" applyNumberFormat="1" applyFont="1" applyAlignment="1">
      <alignment horizontal="left" vertical="top" wrapText="1"/>
    </xf>
    <xf numFmtId="0" fontId="9" fillId="6" borderId="49" xfId="0" applyFont="1" applyFill="1" applyBorder="1" applyAlignment="1">
      <alignment horizontal="center"/>
    </xf>
    <xf numFmtId="0" fontId="9" fillId="6" borderId="14" xfId="0" applyFont="1" applyFill="1" applyBorder="1" applyAlignment="1">
      <alignment horizontal="center"/>
    </xf>
    <xf numFmtId="0" fontId="9" fillId="6" borderId="50" xfId="0" applyFont="1" applyFill="1" applyBorder="1" applyAlignment="1">
      <alignment horizontal="center"/>
    </xf>
    <xf numFmtId="0" fontId="0" fillId="0" borderId="0" xfId="0" applyFill="1" applyAlignment="1">
      <alignment vertical="top" wrapText="1"/>
    </xf>
    <xf numFmtId="0" fontId="10" fillId="0" borderId="0" xfId="0" applyFont="1" applyFill="1" applyAlignment="1">
      <alignment vertical="top" wrapText="1"/>
    </xf>
    <xf numFmtId="0" fontId="0" fillId="0" borderId="39" xfId="0" applyFill="1" applyBorder="1" applyAlignment="1">
      <alignment horizontal="center"/>
    </xf>
    <xf numFmtId="0" fontId="0" fillId="0" borderId="60" xfId="0" applyFill="1" applyBorder="1" applyAlignment="1">
      <alignment horizontal="center"/>
    </xf>
    <xf numFmtId="0" fontId="8" fillId="0" borderId="0" xfId="0" applyFont="1" applyFill="1" applyAlignment="1">
      <alignment horizontal="left" vertical="top" wrapText="1"/>
    </xf>
    <xf numFmtId="0" fontId="9" fillId="2" borderId="39" xfId="0" applyFont="1" applyFill="1" applyBorder="1" applyAlignment="1">
      <alignment horizontal="center"/>
    </xf>
    <xf numFmtId="0" fontId="9" fillId="2" borderId="47" xfId="0" applyFont="1" applyFill="1" applyBorder="1" applyAlignment="1">
      <alignment horizontal="center"/>
    </xf>
    <xf numFmtId="0" fontId="9" fillId="2" borderId="34" xfId="0" applyFont="1" applyFill="1" applyBorder="1" applyAlignment="1">
      <alignment horizontal="center"/>
    </xf>
    <xf numFmtId="0" fontId="9" fillId="2" borderId="40" xfId="0" applyFont="1" applyFill="1" applyBorder="1" applyAlignment="1">
      <alignment horizontal="center"/>
    </xf>
    <xf numFmtId="0" fontId="9" fillId="2" borderId="35" xfId="0" applyFont="1" applyFill="1" applyBorder="1" applyAlignment="1">
      <alignment horizontal="center"/>
    </xf>
    <xf numFmtId="0" fontId="10" fillId="0" borderId="0" xfId="0" applyFont="1" applyAlignment="1">
      <alignment vertical="top" wrapText="1"/>
    </xf>
    <xf numFmtId="0" fontId="0" fillId="0" borderId="0" xfId="0" applyAlignment="1">
      <alignment wrapText="1"/>
    </xf>
    <xf numFmtId="0" fontId="8" fillId="0" borderId="0" xfId="0" applyFont="1" applyAlignment="1">
      <alignment wrapText="1"/>
    </xf>
    <xf numFmtId="0" fontId="0" fillId="0" borderId="0" xfId="0" applyAlignment="1">
      <alignment horizontal="left" vertical="top" wrapText="1"/>
    </xf>
    <xf numFmtId="0" fontId="0" fillId="0" borderId="0" xfId="0"/>
    <xf numFmtId="0" fontId="0" fillId="6" borderId="0" xfId="0" applyFill="1" applyAlignment="1">
      <alignment vertical="top" wrapText="1"/>
    </xf>
    <xf numFmtId="0" fontId="8" fillId="6" borderId="0" xfId="0" applyFont="1" applyFill="1" applyAlignment="1">
      <alignment vertical="top" wrapText="1"/>
    </xf>
    <xf numFmtId="0" fontId="8" fillId="0" borderId="0" xfId="0" applyFont="1" applyAlignment="1">
      <alignment vertical="top" wrapText="1"/>
    </xf>
    <xf numFmtId="0" fontId="10" fillId="0" borderId="0" xfId="0" applyFont="1" applyAlignment="1">
      <alignment wrapText="1"/>
    </xf>
    <xf numFmtId="0" fontId="49" fillId="8" borderId="93" xfId="0" applyFont="1" applyFill="1" applyBorder="1" applyAlignment="1">
      <alignment horizontal="center"/>
    </xf>
    <xf numFmtId="0" fontId="49" fillId="8" borderId="94" xfId="0" applyFont="1" applyFill="1" applyBorder="1" applyAlignment="1">
      <alignment horizontal="center"/>
    </xf>
    <xf numFmtId="0" fontId="49" fillId="8" borderId="95" xfId="0" applyFont="1" applyFill="1" applyBorder="1" applyAlignment="1">
      <alignment horizontal="center"/>
    </xf>
    <xf numFmtId="0" fontId="49" fillId="8" borderId="69" xfId="0" applyFont="1" applyFill="1" applyBorder="1" applyAlignment="1">
      <alignment horizontal="center"/>
    </xf>
    <xf numFmtId="0" fontId="49" fillId="8" borderId="70" xfId="0" applyFont="1" applyFill="1" applyBorder="1" applyAlignment="1">
      <alignment horizontal="center"/>
    </xf>
    <xf numFmtId="0" fontId="49" fillId="8" borderId="71" xfId="0" applyFont="1" applyFill="1" applyBorder="1" applyAlignment="1">
      <alignment horizontal="center"/>
    </xf>
    <xf numFmtId="0" fontId="49" fillId="8" borderId="36" xfId="0" applyFont="1" applyFill="1" applyBorder="1" applyAlignment="1">
      <alignment horizontal="center" vertical="center"/>
    </xf>
    <xf numFmtId="0" fontId="49" fillId="8" borderId="89" xfId="0" applyFont="1" applyFill="1" applyBorder="1" applyAlignment="1">
      <alignment horizontal="center"/>
    </xf>
    <xf numFmtId="0" fontId="64" fillId="10" borderId="47" xfId="0" applyFont="1" applyFill="1" applyBorder="1" applyAlignment="1">
      <alignment horizontal="left" wrapText="1"/>
    </xf>
    <xf numFmtId="0" fontId="0" fillId="0" borderId="37" xfId="0" applyBorder="1" applyAlignment="1">
      <alignment horizontal="left" wrapText="1"/>
    </xf>
    <xf numFmtId="0" fontId="0" fillId="0" borderId="65" xfId="0" applyBorder="1" applyAlignment="1">
      <alignment horizontal="left" wrapText="1"/>
    </xf>
    <xf numFmtId="0" fontId="0" fillId="0" borderId="66" xfId="0" applyBorder="1" applyAlignment="1">
      <alignment horizontal="left" wrapText="1"/>
    </xf>
    <xf numFmtId="0" fontId="77" fillId="0" borderId="105" xfId="0" applyFont="1" applyBorder="1" applyAlignment="1">
      <alignment horizontal="right"/>
    </xf>
    <xf numFmtId="0" fontId="77" fillId="0" borderId="36" xfId="0" applyFont="1" applyBorder="1" applyAlignment="1">
      <alignment horizontal="right"/>
    </xf>
    <xf numFmtId="0" fontId="77" fillId="0" borderId="110" xfId="0" applyFont="1" applyBorder="1" applyAlignment="1">
      <alignment horizontal="right" wrapText="1"/>
    </xf>
    <xf numFmtId="0" fontId="77" fillId="0" borderId="65" xfId="0" applyFont="1" applyBorder="1" applyAlignment="1">
      <alignment horizontal="right" wrapText="1"/>
    </xf>
    <xf numFmtId="0" fontId="77" fillId="0" borderId="66" xfId="0" applyFont="1" applyBorder="1" applyAlignment="1">
      <alignment horizontal="right" wrapText="1"/>
    </xf>
    <xf numFmtId="0" fontId="18" fillId="0" borderId="107" xfId="0" applyFont="1" applyBorder="1" applyAlignment="1">
      <alignment horizontal="left" wrapText="1"/>
    </xf>
    <xf numFmtId="0" fontId="18" fillId="0" borderId="108" xfId="0" applyFont="1" applyBorder="1" applyAlignment="1">
      <alignment horizontal="left" wrapText="1"/>
    </xf>
    <xf numFmtId="0" fontId="18" fillId="0" borderId="109" xfId="0" applyFont="1" applyBorder="1" applyAlignment="1">
      <alignment horizontal="left" wrapText="1"/>
    </xf>
    <xf numFmtId="0" fontId="116" fillId="0" borderId="37" xfId="0" applyFont="1" applyBorder="1" applyAlignment="1">
      <alignment horizontal="left" wrapText="1"/>
    </xf>
    <xf numFmtId="0" fontId="116" fillId="0" borderId="65" xfId="0" applyFont="1" applyBorder="1" applyAlignment="1">
      <alignment horizontal="left" wrapText="1"/>
    </xf>
    <xf numFmtId="0" fontId="116" fillId="0" borderId="66" xfId="0" applyFont="1" applyBorder="1" applyAlignment="1">
      <alignment horizontal="left" wrapText="1"/>
    </xf>
    <xf numFmtId="0" fontId="0" fillId="0" borderId="36" xfId="0" applyBorder="1" applyAlignment="1">
      <alignment horizontal="left" wrapText="1"/>
    </xf>
    <xf numFmtId="0" fontId="9" fillId="0" borderId="106" xfId="0" applyFont="1" applyBorder="1" applyAlignment="1">
      <alignment horizontal="left" wrapText="1"/>
    </xf>
    <xf numFmtId="0" fontId="9" fillId="0" borderId="112" xfId="0" applyFont="1" applyBorder="1" applyAlignment="1">
      <alignment horizontal="left" wrapText="1"/>
    </xf>
    <xf numFmtId="0" fontId="117" fillId="12" borderId="36" xfId="0" applyFont="1" applyFill="1" applyBorder="1" applyAlignment="1">
      <alignment horizontal="center" wrapText="1"/>
    </xf>
    <xf numFmtId="0" fontId="18" fillId="0" borderId="4" xfId="0" applyFont="1" applyBorder="1" applyAlignment="1">
      <alignment horizontal="left" wrapText="1"/>
    </xf>
    <xf numFmtId="0" fontId="18" fillId="0" borderId="5" xfId="0" applyFont="1" applyBorder="1" applyAlignment="1">
      <alignment horizontal="left" wrapText="1"/>
    </xf>
    <xf numFmtId="0" fontId="18" fillId="0" borderId="6" xfId="0" applyFont="1" applyBorder="1" applyAlignment="1">
      <alignment horizontal="left" wrapText="1"/>
    </xf>
    <xf numFmtId="0" fontId="77" fillId="0" borderId="0" xfId="0" applyFont="1" applyAlignment="1">
      <alignment horizontal="right"/>
    </xf>
    <xf numFmtId="0" fontId="38" fillId="0" borderId="36" xfId="0" applyFont="1" applyBorder="1" applyAlignment="1">
      <alignment horizontal="left" wrapText="1"/>
    </xf>
    <xf numFmtId="0" fontId="9" fillId="12" borderId="36" xfId="0" applyFont="1" applyFill="1" applyBorder="1" applyAlignment="1">
      <alignment horizontal="center" wrapText="1"/>
    </xf>
    <xf numFmtId="0" fontId="9" fillId="12" borderId="105" xfId="0" applyFont="1" applyFill="1" applyBorder="1" applyAlignment="1">
      <alignment horizontal="center" wrapText="1"/>
    </xf>
    <xf numFmtId="0" fontId="77" fillId="0" borderId="0" xfId="0" applyFont="1" applyAlignment="1">
      <alignment horizontal="right" wrapText="1"/>
    </xf>
    <xf numFmtId="0" fontId="77" fillId="0" borderId="7" xfId="0" applyFont="1" applyBorder="1" applyAlignment="1">
      <alignment horizontal="right" wrapText="1"/>
    </xf>
    <xf numFmtId="0" fontId="77" fillId="0" borderId="7" xfId="0" applyFont="1" applyBorder="1" applyAlignment="1">
      <alignment horizontal="right"/>
    </xf>
    <xf numFmtId="0" fontId="118" fillId="0" borderId="0" xfId="0" applyFont="1" applyAlignment="1">
      <alignment horizontal="right" wrapText="1"/>
    </xf>
    <xf numFmtId="0" fontId="57" fillId="15" borderId="36" xfId="0" applyFont="1" applyFill="1" applyBorder="1" applyAlignment="1">
      <alignment horizontal="center"/>
    </xf>
    <xf numFmtId="0" fontId="59" fillId="15" borderId="36" xfId="7" applyFont="1" applyFill="1" applyBorder="1" applyAlignment="1">
      <alignment horizontal="center" vertical="center"/>
    </xf>
    <xf numFmtId="0" fontId="63" fillId="16" borderId="36" xfId="0" applyFont="1" applyFill="1" applyBorder="1" applyAlignment="1">
      <alignment horizontal="center"/>
    </xf>
    <xf numFmtId="0" fontId="59" fillId="16" borderId="36" xfId="7" applyFont="1" applyFill="1" applyBorder="1" applyAlignment="1">
      <alignment horizontal="center" vertical="center"/>
    </xf>
    <xf numFmtId="0" fontId="49" fillId="8" borderId="33" xfId="0" applyFont="1" applyFill="1" applyBorder="1" applyAlignment="1">
      <alignment horizontal="center" vertical="center" wrapText="1"/>
    </xf>
    <xf numFmtId="0" fontId="49" fillId="8" borderId="38" xfId="0" applyFont="1" applyFill="1" applyBorder="1" applyAlignment="1">
      <alignment horizontal="center" vertical="center" wrapText="1"/>
    </xf>
    <xf numFmtId="0" fontId="49" fillId="8" borderId="36" xfId="0" applyFont="1" applyFill="1" applyBorder="1" applyAlignment="1">
      <alignment horizontal="center" wrapText="1"/>
    </xf>
    <xf numFmtId="0" fontId="49" fillId="8" borderId="18" xfId="0" applyFont="1" applyFill="1" applyBorder="1" applyAlignment="1">
      <alignment horizontal="center" vertical="center" wrapText="1"/>
    </xf>
  </cellXfs>
  <cellStyles count="75">
    <cellStyle name="20% - Accent1" xfId="31" builtinId="30" customBuiltin="1"/>
    <cellStyle name="20% - Accent1 2" xfId="59"/>
    <cellStyle name="20% - Accent2" xfId="35" builtinId="34" customBuiltin="1"/>
    <cellStyle name="20% - Accent2 2" xfId="61"/>
    <cellStyle name="20% - Accent3" xfId="39" builtinId="38" customBuiltin="1"/>
    <cellStyle name="20% - Accent3 2" xfId="63"/>
    <cellStyle name="20% - Accent4" xfId="43" builtinId="42" customBuiltin="1"/>
    <cellStyle name="20% - Accent4 2" xfId="65"/>
    <cellStyle name="20% - Accent5" xfId="47" builtinId="46" customBuiltin="1"/>
    <cellStyle name="20% - Accent5 2" xfId="67"/>
    <cellStyle name="20% - Accent6" xfId="51" builtinId="50" customBuiltin="1"/>
    <cellStyle name="20% - Accent6 2" xfId="69"/>
    <cellStyle name="40% - Accent1" xfId="32" builtinId="31" customBuiltin="1"/>
    <cellStyle name="40% - Accent1 2" xfId="60"/>
    <cellStyle name="40% - Accent2" xfId="36" builtinId="35" customBuiltin="1"/>
    <cellStyle name="40% - Accent2 2" xfId="62"/>
    <cellStyle name="40% - Accent3" xfId="40" builtinId="39" customBuiltin="1"/>
    <cellStyle name="40% - Accent3 2" xfId="64"/>
    <cellStyle name="40% - Accent4" xfId="44" builtinId="43" customBuiltin="1"/>
    <cellStyle name="40% - Accent4 2" xfId="66"/>
    <cellStyle name="40% - Accent5" xfId="48" builtinId="47" customBuiltin="1"/>
    <cellStyle name="40% - Accent5 2" xfId="68"/>
    <cellStyle name="40% - Accent6" xfId="52" builtinId="51" customBuiltin="1"/>
    <cellStyle name="40% - Accent6 2" xfId="70"/>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20" builtinId="27" customBuiltin="1"/>
    <cellStyle name="Calculation" xfId="24" builtinId="22" customBuiltin="1"/>
    <cellStyle name="Check Cell" xfId="26" builtinId="23" customBuiltin="1"/>
    <cellStyle name="Comma" xfId="8" builtinId="3"/>
    <cellStyle name="Comma 2" xfId="10"/>
    <cellStyle name="Comma 3" xfId="9"/>
    <cellStyle name="Comma 4" xfId="57"/>
    <cellStyle name="Comma 4 2" xfId="73"/>
    <cellStyle name="Explanatory Text" xfId="28" builtinId="53" customBuiltin="1"/>
    <cellStyle name="Good" xfId="19" builtinId="26" customBuiltin="1"/>
    <cellStyle name="Heading 1" xfId="15" builtinId="16" customBuiltin="1"/>
    <cellStyle name="Heading 2" xfId="16" builtinId="17" customBuiltin="1"/>
    <cellStyle name="Heading 3" xfId="17" builtinId="18" customBuiltin="1"/>
    <cellStyle name="Heading 4" xfId="18" builtinId="19" customBuiltin="1"/>
    <cellStyle name="Hyperlink" xfId="1" builtinId="8"/>
    <cellStyle name="Input" xfId="22" builtinId="20" customBuiltin="1"/>
    <cellStyle name="Linked Cell" xfId="25" builtinId="24" customBuiltin="1"/>
    <cellStyle name="Neutral" xfId="21" builtinId="28" customBuiltin="1"/>
    <cellStyle name="Normal" xfId="0" builtinId="0"/>
    <cellStyle name="Normal 2" xfId="7"/>
    <cellStyle name="Normal 2 2" xfId="11"/>
    <cellStyle name="Normal 2 2 2" xfId="56"/>
    <cellStyle name="Normal 3" xfId="6"/>
    <cellStyle name="Normal 4" xfId="54"/>
    <cellStyle name="Normal 4 2" xfId="71"/>
    <cellStyle name="Normal_ADV0704800 8 2 CMR80509 - Industrial Potable Water and Sewerage Calculator" xfId="4"/>
    <cellStyle name="Normal_AESY8302E 8 2 Res IS80215 - Water calc with BASIX (reva)" xfId="5"/>
    <cellStyle name="Note 2" xfId="58"/>
    <cellStyle name="Note 2 2" xfId="74"/>
    <cellStyle name="Output" xfId="23" builtinId="21" customBuiltin="1"/>
    <cellStyle name="Percent" xfId="2" builtinId="5"/>
    <cellStyle name="Percent 2" xfId="3"/>
    <cellStyle name="Percent 2 2" xfId="13"/>
    <cellStyle name="Percent 3" xfId="12"/>
    <cellStyle name="Percent 4" xfId="55"/>
    <cellStyle name="Percent 4 2" xfId="72"/>
    <cellStyle name="Title" xfId="14" builtinId="15" customBuiltin="1"/>
    <cellStyle name="Total" xfId="29" builtinId="25" customBuiltin="1"/>
    <cellStyle name="Warning Text" xfId="27" builtinId="11" customBuiltin="1"/>
  </cellStyles>
  <dxfs count="2">
    <dxf>
      <font>
        <b/>
        <i val="0"/>
        <color rgb="FFFF0000"/>
      </font>
    </dxf>
    <dxf>
      <font>
        <color rgb="FF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99"/>
      <color rgb="FF800000"/>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a:pPr>
            <a:r>
              <a:rPr lang="en-US" sz="1200"/>
              <a:t>Annual Irrigation Demand</a:t>
            </a:r>
          </a:p>
        </c:rich>
      </c:tx>
    </c:title>
    <c:plotArea>
      <c:layout/>
      <c:barChart>
        <c:barDir val="col"/>
        <c:grouping val="clustered"/>
        <c:ser>
          <c:idx val="0"/>
          <c:order val="0"/>
          <c:cat>
            <c:strRef>
              <c:f>'4. Outdoor Water Demand'!$B$42:$B$53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'4. Outdoor Water Demand'!$G$42:$G$53</c:f>
              <c:numCache>
                <c:formatCode>#,##0.0</c:formatCode>
                <c:ptCount val="12"/>
                <c:pt idx="3" formatCode="#,##0">
                  <c:v>0.91279419625811375</c:v>
                </c:pt>
                <c:pt idx="4" formatCode="#,##0">
                  <c:v>1.8192635658914729</c:v>
                </c:pt>
                <c:pt idx="5" formatCode="#,##0">
                  <c:v>2.319975308641975</c:v>
                </c:pt>
                <c:pt idx="6" formatCode="#,##0">
                  <c:v>2.3702442386831275</c:v>
                </c:pt>
                <c:pt idx="7" formatCode="#,##0">
                  <c:v>2.1798599033816428</c:v>
                </c:pt>
                <c:pt idx="8" formatCode="#,##0">
                  <c:v>1.6343020833333335</c:v>
                </c:pt>
                <c:pt idx="9" formatCode="#,##0">
                  <c:v>0.6360499045437189</c:v>
                </c:pt>
              </c:numCache>
            </c:numRef>
          </c:val>
        </c:ser>
        <c:axId val="85655552"/>
        <c:axId val="85657472"/>
      </c:barChart>
      <c:catAx>
        <c:axId val="85655552"/>
        <c:scaling>
          <c:orientation val="minMax"/>
        </c:scaling>
        <c:axPos val="b"/>
        <c:title>
          <c:tx>
            <c:rich>
              <a:bodyPr/>
              <a:lstStyle/>
              <a:p>
                <a:pPr>
                  <a:defRPr/>
                </a:pPr>
                <a:r>
                  <a:rPr lang="en-US"/>
                  <a:t>Month</a:t>
                </a:r>
              </a:p>
            </c:rich>
          </c:tx>
        </c:title>
        <c:tickLblPos val="nextTo"/>
        <c:txPr>
          <a:bodyPr rot="-2700000" vert="horz"/>
          <a:lstStyle/>
          <a:p>
            <a:pPr>
              <a:defRPr/>
            </a:pPr>
            <a:endParaRPr lang="en-US"/>
          </a:p>
        </c:txPr>
        <c:crossAx val="85657472"/>
        <c:crosses val="autoZero"/>
        <c:auto val="1"/>
        <c:lblAlgn val="ctr"/>
        <c:lblOffset val="100"/>
      </c:catAx>
      <c:valAx>
        <c:axId val="85657472"/>
        <c:scaling>
          <c:orientation val="minMax"/>
        </c:scaling>
        <c:axPos val="l"/>
        <c:majorGridlines/>
        <c:title>
          <c:tx>
            <c:rich>
              <a:bodyPr rot="-5400000" vert="horz"/>
              <a:lstStyle/>
              <a:p>
                <a:pPr>
                  <a:defRPr/>
                </a:pPr>
                <a:r>
                  <a:rPr lang="en-US"/>
                  <a:t>Gallons </a:t>
                </a:r>
              </a:p>
            </c:rich>
          </c:tx>
        </c:title>
        <c:numFmt formatCode="#,##0" sourceLinked="0"/>
        <c:tickLblPos val="nextTo"/>
        <c:crossAx val="85655552"/>
        <c:crosses val="autoZero"/>
        <c:crossBetween val="between"/>
      </c:valAx>
    </c:plotArea>
    <c:plotVisOnly val="1"/>
  </c:chart>
  <c:printSettings>
    <c:headerFooter/>
    <c:pageMargins b="0.75000000000000433" l="0.70000000000000062" r="0.70000000000000062" t="0.7500000000000043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a:pPr>
            <a:r>
              <a:rPr lang="en-US" sz="1200"/>
              <a:t>Annual Rainwater Supply</a:t>
            </a:r>
          </a:p>
        </c:rich>
      </c:tx>
    </c:title>
    <c:plotArea>
      <c:layout/>
      <c:barChart>
        <c:barDir val="col"/>
        <c:grouping val="clustered"/>
        <c:ser>
          <c:idx val="0"/>
          <c:order val="0"/>
          <c:tx>
            <c:v>Rainwater</c:v>
          </c:tx>
          <c:cat>
            <c:strRef>
              <c:f>'5. Outdoor Water Supply'!$B$26:$B$37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'5. Outdoor Water Supply'!$E$26:$E$37</c:f>
              <c:numCache>
                <c:formatCode>#,##0</c:formatCode>
                <c:ptCount val="12"/>
                <c:pt idx="0">
                  <c:v>1.9335101866666671</c:v>
                </c:pt>
                <c:pt idx="1">
                  <c:v>1.6297673333333336</c:v>
                </c:pt>
                <c:pt idx="2">
                  <c:v>1.2323499466666668</c:v>
                </c:pt>
                <c:pt idx="3">
                  <c:v>0.59852595189003444</c:v>
                </c:pt>
                <c:pt idx="4">
                  <c:v>0.26629669767441866</c:v>
                </c:pt>
                <c:pt idx="5">
                  <c:v>9.3379111111111121E-2</c:v>
                </c:pt>
                <c:pt idx="6">
                  <c:v>2.1075592592592597E-2</c:v>
                </c:pt>
                <c:pt idx="7">
                  <c:v>4.5611739130434779E-2</c:v>
                </c:pt>
                <c:pt idx="8">
                  <c:v>0.15696312499999998</c:v>
                </c:pt>
                <c:pt idx="9">
                  <c:v>0.43854905841924402</c:v>
                </c:pt>
                <c:pt idx="10">
                  <c:v>1.1380601512027493</c:v>
                </c:pt>
                <c:pt idx="11">
                  <c:v>1.7307460740740741</c:v>
                </c:pt>
              </c:numCache>
            </c:numRef>
          </c:val>
        </c:ser>
        <c:axId val="85684992"/>
        <c:axId val="85686528"/>
      </c:barChart>
      <c:catAx>
        <c:axId val="85684992"/>
        <c:scaling>
          <c:orientation val="minMax"/>
        </c:scaling>
        <c:axPos val="b"/>
        <c:tickLblPos val="nextTo"/>
        <c:crossAx val="85686528"/>
        <c:crosses val="autoZero"/>
        <c:auto val="1"/>
        <c:lblAlgn val="ctr"/>
        <c:lblOffset val="100"/>
      </c:catAx>
      <c:valAx>
        <c:axId val="85686528"/>
        <c:scaling>
          <c:orientation val="minMax"/>
          <c:max val="50000"/>
        </c:scaling>
        <c:axPos val="l"/>
        <c:majorGridlines/>
        <c:title>
          <c:tx>
            <c:rich>
              <a:bodyPr rot="-5400000" vert="horz"/>
              <a:lstStyle/>
              <a:p>
                <a:pPr>
                  <a:defRPr/>
                </a:pPr>
                <a:r>
                  <a:rPr lang="en-US"/>
                  <a:t>Gallons</a:t>
                </a:r>
              </a:p>
            </c:rich>
          </c:tx>
        </c:title>
        <c:numFmt formatCode="#,##0" sourceLinked="1"/>
        <c:tickLblPos val="nextTo"/>
        <c:crossAx val="85684992"/>
        <c:crosses val="autoZero"/>
        <c:crossBetween val="between"/>
      </c:valAx>
    </c:plotArea>
    <c:legend>
      <c:legendPos val="r"/>
    </c:legend>
    <c:plotVisOnly val="1"/>
  </c:chart>
  <c:printSettings>
    <c:headerFooter/>
    <c:pageMargins b="0.75000000000000211" l="0.70000000000000062" r="0.70000000000000062" t="0.750000000000002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5"/>
  <c:chart>
    <c:title>
      <c:tx>
        <c:rich>
          <a:bodyPr/>
          <a:lstStyle/>
          <a:p>
            <a:pPr>
              <a:defRPr sz="1200"/>
            </a:pPr>
            <a:r>
              <a:rPr lang="en-US" sz="1200"/>
              <a:t>Annual Stormwater Supply</a:t>
            </a:r>
          </a:p>
        </c:rich>
      </c:tx>
    </c:title>
    <c:plotArea>
      <c:layout/>
      <c:barChart>
        <c:barDir val="col"/>
        <c:grouping val="clustered"/>
        <c:ser>
          <c:idx val="0"/>
          <c:order val="0"/>
          <c:tx>
            <c:v>Stormwater</c:v>
          </c:tx>
          <c:cat>
            <c:strRef>
              <c:f>'5. Outdoor Water Supply'!$B$59:$B$70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'5. Outdoor Water Supply'!$E$59:$E$70</c:f>
              <c:numCache>
                <c:formatCode>#,##0</c:formatCode>
                <c:ptCount val="12"/>
                <c:pt idx="0">
                  <c:v>2.0472460800000003</c:v>
                </c:pt>
                <c:pt idx="1">
                  <c:v>1.7256360000000006</c:v>
                </c:pt>
                <c:pt idx="2">
                  <c:v>1.3048411200000001</c:v>
                </c:pt>
                <c:pt idx="3">
                  <c:v>0.63373336082474241</c:v>
                </c:pt>
                <c:pt idx="4">
                  <c:v>0.2819612093023256</c:v>
                </c:pt>
                <c:pt idx="5">
                  <c:v>9.8872000000000015E-2</c:v>
                </c:pt>
                <c:pt idx="6">
                  <c:v>2.2315333333333336E-2</c:v>
                </c:pt>
                <c:pt idx="7">
                  <c:v>4.8294782608695658E-2</c:v>
                </c:pt>
                <c:pt idx="8">
                  <c:v>0.16619625000000002</c:v>
                </c:pt>
                <c:pt idx="9">
                  <c:v>0.46434606185567012</c:v>
                </c:pt>
                <c:pt idx="10">
                  <c:v>1.2050048659793817</c:v>
                </c:pt>
                <c:pt idx="11">
                  <c:v>1.8325546666666668</c:v>
                </c:pt>
              </c:numCache>
            </c:numRef>
          </c:val>
        </c:ser>
        <c:axId val="85702912"/>
        <c:axId val="85708800"/>
      </c:barChart>
      <c:catAx>
        <c:axId val="85702912"/>
        <c:scaling>
          <c:orientation val="minMax"/>
        </c:scaling>
        <c:axPos val="b"/>
        <c:tickLblPos val="nextTo"/>
        <c:crossAx val="85708800"/>
        <c:crosses val="autoZero"/>
        <c:auto val="1"/>
        <c:lblAlgn val="ctr"/>
        <c:lblOffset val="100"/>
      </c:catAx>
      <c:valAx>
        <c:axId val="85708800"/>
        <c:scaling>
          <c:orientation val="minMax"/>
          <c:max val="50000"/>
        </c:scaling>
        <c:axPos val="l"/>
        <c:majorGridlines/>
        <c:title>
          <c:tx>
            <c:rich>
              <a:bodyPr rot="-5400000" vert="horz"/>
              <a:lstStyle/>
              <a:p>
                <a:pPr>
                  <a:defRPr/>
                </a:pPr>
                <a:r>
                  <a:rPr lang="en-US"/>
                  <a:t>Gallons</a:t>
                </a:r>
              </a:p>
            </c:rich>
          </c:tx>
        </c:title>
        <c:numFmt formatCode="#,##0" sourceLinked="1"/>
        <c:tickLblPos val="nextTo"/>
        <c:crossAx val="85702912"/>
        <c:crosses val="autoZero"/>
        <c:crossBetween val="between"/>
      </c:valAx>
    </c:plotArea>
    <c:legend>
      <c:legendPos val="r"/>
    </c:legend>
    <c:plotVisOnly val="1"/>
  </c:chart>
  <c:printSettings>
    <c:headerFooter/>
    <c:pageMargins b="0.75000000000000233" l="0.70000000000000062" r="0.70000000000000062" t="0.75000000000000233"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925" b="1" i="0" u="none" strike="noStrike" baseline="0">
                <a:solidFill>
                  <a:srgbClr val="000000"/>
                </a:solidFill>
                <a:latin typeface="Arial"/>
                <a:ea typeface="Arial"/>
                <a:cs typeface="Arial"/>
              </a:defRPr>
            </a:pPr>
            <a:r>
              <a:rPr lang="en-US"/>
              <a:t>24 hr 80%</a:t>
            </a:r>
          </a:p>
        </c:rich>
      </c:tx>
      <c:layout>
        <c:manualLayout>
          <c:xMode val="edge"/>
          <c:yMode val="edge"/>
          <c:x val="0.42558757048113466"/>
          <c:y val="4.0000000000000022E-2"/>
        </c:manualLayout>
      </c:layout>
      <c:spPr>
        <a:noFill/>
        <a:ln w="25400">
          <a:noFill/>
        </a:ln>
      </c:spPr>
    </c:title>
    <c:plotArea>
      <c:layout/>
      <c:scatterChart>
        <c:scatterStyle val="lineMarker"/>
        <c:ser>
          <c:idx val="0"/>
          <c:order val="0"/>
          <c:tx>
            <c:strRef>
              <c:f>'1. WQv and WQf'!$AE$22</c:f>
              <c:strCache>
                <c:ptCount val="1"/>
                <c:pt idx="0">
                  <c:v>80%</c:v>
                </c:pt>
              </c:strCache>
            </c:strRef>
          </c:tx>
          <c:dLbls>
            <c:dLbl>
              <c:idx val="0"/>
              <c:showSerName val="1"/>
            </c:dLbl>
            <c:numFmt formatCode="General" sourceLinked="0"/>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r"/>
            <c:showCatName val="1"/>
            <c:showSerName val="1"/>
          </c:dLbls>
          <c:trendline>
            <c:spPr>
              <a:ln w="25400">
                <a:solidFill>
                  <a:srgbClr val="000000"/>
                </a:solidFill>
                <a:prstDash val="solid"/>
              </a:ln>
            </c:spPr>
            <c:trendlineType val="linear"/>
            <c:intercept val="0"/>
          </c:trendline>
          <c:xVal>
            <c:numRef>
              <c:f>'1. WQv and WQf'!$AE$23:$AE$42</c:f>
            </c:numRef>
          </c:xVal>
          <c:yVal>
            <c:numRef>
              <c:f>'1. WQv and WQf'!$AD$23:$AD$33</c:f>
            </c:numRef>
          </c:yVal>
        </c:ser>
        <c:axId val="85847040"/>
        <c:axId val="85857408"/>
      </c:scatterChart>
      <c:valAx>
        <c:axId val="85847040"/>
        <c:scaling>
          <c:orientation val="minMax"/>
        </c:scaling>
        <c:axPos val="b"/>
        <c:title>
          <c:tx>
            <c:rich>
              <a:bodyPr/>
              <a:lstStyle/>
              <a:p>
                <a:pPr>
                  <a:defRPr sz="800" b="1" i="0" u="none" strike="noStrike" baseline="0">
                    <a:solidFill>
                      <a:srgbClr val="000000"/>
                    </a:solidFill>
                    <a:latin typeface="Arial"/>
                    <a:ea typeface="Arial"/>
                    <a:cs typeface="Arial"/>
                  </a:defRPr>
                </a:pPr>
                <a:r>
                  <a:rPr lang="en-US"/>
                  <a:t>Unit basin storage volume (inches)</a:t>
                </a:r>
              </a:p>
            </c:rich>
          </c:tx>
          <c:layout>
            <c:manualLayout>
              <c:xMode val="edge"/>
              <c:yMode val="edge"/>
              <c:x val="0.22193223875407037"/>
              <c:y val="0.7960017973296929"/>
            </c:manualLayout>
          </c:layout>
          <c:spPr>
            <a:noFill/>
            <a:ln w="25400">
              <a:noFill/>
            </a:ln>
          </c:spPr>
        </c:title>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5857408"/>
        <c:crosses val="autoZero"/>
        <c:crossBetween val="midCat"/>
      </c:valAx>
      <c:valAx>
        <c:axId val="85857408"/>
        <c:scaling>
          <c:orientation val="minMax"/>
        </c:scaling>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US"/>
                  <a:t>Composite C</a:t>
                </a:r>
              </a:p>
            </c:rich>
          </c:tx>
          <c:layout>
            <c:manualLayout>
              <c:xMode val="edge"/>
              <c:yMode val="edge"/>
              <c:x val="4.1775503614098708E-2"/>
              <c:y val="0.30400034234851081"/>
            </c:manualLayout>
          </c:layout>
          <c:spPr>
            <a:noFill/>
            <a:ln w="25400">
              <a:noFill/>
            </a:ln>
          </c:spPr>
        </c:title>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5847040"/>
        <c:crosses val="autoZero"/>
        <c:crossBetween val="midCat"/>
      </c:valAx>
      <c:spPr>
        <a:solidFill>
          <a:srgbClr val="C0C0C0"/>
        </a:solidFill>
        <a:ln w="12700">
          <a:solidFill>
            <a:srgbClr val="808080"/>
          </a:solidFill>
          <a:prstDash val="solid"/>
        </a:ln>
      </c:spPr>
    </c:plotArea>
    <c:legend>
      <c:legendPos val="r"/>
      <c:layout>
        <c:manualLayout>
          <c:xMode val="edge"/>
          <c:yMode val="edge"/>
          <c:x val="0"/>
          <c:y val="0.52400000000000002"/>
          <c:w val="0"/>
          <c:h val="4.8000000000000001E-2"/>
        </c:manualLayout>
      </c:layout>
      <c:spPr>
        <a:solidFill>
          <a:srgbClr val="FFFFFF"/>
        </a:solidFill>
        <a:ln w="3175">
          <a:solidFill>
            <a:srgbClr val="000000"/>
          </a:solidFill>
          <a:prstDash val="solid"/>
        </a:ln>
      </c:spPr>
      <c:txPr>
        <a:bodyPr/>
        <a:lstStyle/>
        <a:p>
          <a:pPr>
            <a:defRPr sz="335"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1055" r="0.7500000000000105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925" b="1" i="0" u="none" strike="noStrike" baseline="0">
                <a:solidFill>
                  <a:srgbClr val="000000"/>
                </a:solidFill>
                <a:latin typeface="Arial"/>
                <a:ea typeface="Arial"/>
                <a:cs typeface="Arial"/>
              </a:defRPr>
            </a:pPr>
            <a:r>
              <a:rPr lang="en-US"/>
              <a:t>24 hr 90%</a:t>
            </a:r>
          </a:p>
        </c:rich>
      </c:tx>
      <c:layout>
        <c:manualLayout>
          <c:xMode val="edge"/>
          <c:yMode val="edge"/>
          <c:x val="0.42408427190273229"/>
          <c:y val="4.1841237868522313E-2"/>
        </c:manualLayout>
      </c:layout>
      <c:spPr>
        <a:noFill/>
        <a:ln w="25400">
          <a:noFill/>
        </a:ln>
      </c:spPr>
    </c:title>
    <c:plotArea>
      <c:layout/>
      <c:scatterChart>
        <c:scatterStyle val="lineMarker"/>
        <c:ser>
          <c:idx val="0"/>
          <c:order val="0"/>
          <c:tx>
            <c:strRef>
              <c:f>'1. WQv and WQf'!$AF$22</c:f>
              <c:strCache>
                <c:ptCount val="1"/>
                <c:pt idx="0">
                  <c:v>90%</c:v>
                </c:pt>
              </c:strCache>
            </c:strRef>
          </c:tx>
          <c:dLbls>
            <c:dLbl>
              <c:idx val="0"/>
              <c:showSerName val="1"/>
            </c:dLbl>
            <c:numFmt formatCode="General" sourceLinked="0"/>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r"/>
            <c:showCatName val="1"/>
            <c:showSerName val="1"/>
          </c:dLbls>
          <c:trendline>
            <c:spPr>
              <a:ln w="25400">
                <a:solidFill>
                  <a:srgbClr val="000000"/>
                </a:solidFill>
                <a:prstDash val="solid"/>
              </a:ln>
            </c:spPr>
            <c:trendlineType val="linear"/>
            <c:intercept val="0"/>
          </c:trendline>
          <c:xVal>
            <c:numRef>
              <c:f>'1. WQv and WQf'!$AF$23:$AF$42</c:f>
            </c:numRef>
          </c:xVal>
          <c:yVal>
            <c:numRef>
              <c:f>'1. WQv and WQf'!$AD$23:$AD$33</c:f>
            </c:numRef>
          </c:yVal>
        </c:ser>
        <c:axId val="85895424"/>
        <c:axId val="85905792"/>
      </c:scatterChart>
      <c:valAx>
        <c:axId val="85895424"/>
        <c:scaling>
          <c:orientation val="minMax"/>
        </c:scaling>
        <c:axPos val="b"/>
        <c:title>
          <c:tx>
            <c:rich>
              <a:bodyPr/>
              <a:lstStyle/>
              <a:p>
                <a:pPr>
                  <a:defRPr sz="800" b="1" i="0" u="none" strike="noStrike" baseline="0">
                    <a:solidFill>
                      <a:srgbClr val="000000"/>
                    </a:solidFill>
                    <a:latin typeface="Arial"/>
                    <a:ea typeface="Arial"/>
                    <a:cs typeface="Arial"/>
                  </a:defRPr>
                </a:pPr>
                <a:r>
                  <a:rPr lang="en-US"/>
                  <a:t>Unit basin storage volume (inches)</a:t>
                </a:r>
              </a:p>
            </c:rich>
          </c:tx>
          <c:layout>
            <c:manualLayout>
              <c:xMode val="edge"/>
              <c:yMode val="edge"/>
              <c:x val="0.22251345559653543"/>
              <c:y val="0.78661096868705349"/>
            </c:manualLayout>
          </c:layout>
          <c:spPr>
            <a:noFill/>
            <a:ln w="25400">
              <a:noFill/>
            </a:ln>
          </c:spPr>
        </c:title>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5905792"/>
        <c:crosses val="autoZero"/>
        <c:crossBetween val="midCat"/>
      </c:valAx>
      <c:valAx>
        <c:axId val="85905792"/>
        <c:scaling>
          <c:orientation val="minMax"/>
        </c:scaling>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US"/>
                  <a:t>Composite C</a:t>
                </a:r>
              </a:p>
            </c:rich>
          </c:tx>
          <c:layout>
            <c:manualLayout>
              <c:xMode val="edge"/>
              <c:yMode val="edge"/>
              <c:x val="4.1884780225256713E-2"/>
              <c:y val="0.29288729170482786"/>
            </c:manualLayout>
          </c:layout>
          <c:spPr>
            <a:noFill/>
            <a:ln w="25400">
              <a:noFill/>
            </a:ln>
          </c:spPr>
        </c:title>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5895424"/>
        <c:crosses val="autoZero"/>
        <c:crossBetween val="midCat"/>
      </c:valAx>
      <c:spPr>
        <a:solidFill>
          <a:srgbClr val="C0C0C0"/>
        </a:solidFill>
        <a:ln w="12700">
          <a:solidFill>
            <a:srgbClr val="808080"/>
          </a:solidFill>
          <a:prstDash val="solid"/>
        </a:ln>
      </c:spPr>
    </c:plotArea>
    <c:legend>
      <c:legendPos val="r"/>
      <c:spPr>
        <a:solidFill>
          <a:srgbClr val="FFFFFF"/>
        </a:solidFill>
        <a:ln w="3175">
          <a:solidFill>
            <a:srgbClr val="000000"/>
          </a:solidFill>
          <a:prstDash val="solid"/>
        </a:ln>
      </c:spPr>
      <c:txPr>
        <a:bodyPr/>
        <a:lstStyle/>
        <a:p>
          <a:pPr>
            <a:defRPr sz="305"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1055" r="0.7500000000000105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900" b="1" i="0" u="none" strike="noStrike" baseline="0">
                <a:solidFill>
                  <a:srgbClr val="000000"/>
                </a:solidFill>
                <a:latin typeface="Arial"/>
                <a:ea typeface="Arial"/>
                <a:cs typeface="Arial"/>
              </a:defRPr>
            </a:pPr>
            <a:r>
              <a:rPr lang="en-US"/>
              <a:t>48 hr 80%</a:t>
            </a:r>
          </a:p>
        </c:rich>
      </c:tx>
      <c:layout>
        <c:manualLayout>
          <c:xMode val="edge"/>
          <c:yMode val="edge"/>
          <c:x val="0.42119560712805648"/>
          <c:y val="3.8793272142757351E-2"/>
        </c:manualLayout>
      </c:layout>
      <c:spPr>
        <a:noFill/>
        <a:ln w="25400">
          <a:noFill/>
        </a:ln>
      </c:spPr>
    </c:title>
    <c:plotArea>
      <c:layout/>
      <c:scatterChart>
        <c:scatterStyle val="lineMarker"/>
        <c:ser>
          <c:idx val="0"/>
          <c:order val="0"/>
          <c:tx>
            <c:strRef>
              <c:f>'1. WQv and WQf'!$AG$22</c:f>
              <c:strCache>
                <c:ptCount val="1"/>
                <c:pt idx="0">
                  <c:v>80%</c:v>
                </c:pt>
              </c:strCache>
            </c:strRef>
          </c:tx>
          <c:dLbls>
            <c:dLbl>
              <c:idx val="0"/>
              <c:showSerName val="1"/>
            </c:dLbl>
            <c:numFmt formatCode="General" sourceLinked="0"/>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r"/>
            <c:showCatName val="1"/>
            <c:showSerName val="1"/>
          </c:dLbls>
          <c:trendline>
            <c:spPr>
              <a:ln w="25400">
                <a:solidFill>
                  <a:srgbClr val="000000"/>
                </a:solidFill>
                <a:prstDash val="solid"/>
              </a:ln>
            </c:spPr>
            <c:trendlineType val="linear"/>
            <c:intercept val="0"/>
          </c:trendline>
          <c:xVal>
            <c:numRef>
              <c:f>'1. WQv and WQf'!$AG$23:$AG$42</c:f>
            </c:numRef>
          </c:xVal>
          <c:yVal>
            <c:numRef>
              <c:f>'1. WQv and WQf'!$AD$23:$AD$33</c:f>
            </c:numRef>
          </c:yVal>
        </c:ser>
        <c:axId val="86713856"/>
        <c:axId val="86715776"/>
      </c:scatterChart>
      <c:valAx>
        <c:axId val="86713856"/>
        <c:scaling>
          <c:orientation val="minMax"/>
        </c:scaling>
        <c:axPos val="b"/>
        <c:title>
          <c:tx>
            <c:rich>
              <a:bodyPr/>
              <a:lstStyle/>
              <a:p>
                <a:pPr>
                  <a:defRPr sz="800" b="1" i="0" u="none" strike="noStrike" baseline="0">
                    <a:solidFill>
                      <a:srgbClr val="000000"/>
                    </a:solidFill>
                    <a:latin typeface="Arial"/>
                    <a:ea typeface="Arial"/>
                    <a:cs typeface="Arial"/>
                  </a:defRPr>
                </a:pPr>
                <a:r>
                  <a:rPr lang="en-US"/>
                  <a:t>Unit basin storage volume (inches)</a:t>
                </a:r>
              </a:p>
            </c:rich>
          </c:tx>
          <c:layout>
            <c:manualLayout>
              <c:xMode val="edge"/>
              <c:yMode val="edge"/>
              <c:x val="0.21195658930791544"/>
              <c:y val="0.78017471928434978"/>
            </c:manualLayout>
          </c:layout>
          <c:spPr>
            <a:noFill/>
            <a:ln w="25400">
              <a:noFill/>
            </a:ln>
          </c:spPr>
        </c:title>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6715776"/>
        <c:crosses val="autoZero"/>
        <c:crossBetween val="midCat"/>
      </c:valAx>
      <c:valAx>
        <c:axId val="86715776"/>
        <c:scaling>
          <c:orientation val="minMax"/>
        </c:scaling>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US"/>
                  <a:t>Composite C</a:t>
                </a:r>
              </a:p>
            </c:rich>
          </c:tx>
          <c:layout>
            <c:manualLayout>
              <c:xMode val="edge"/>
              <c:yMode val="edge"/>
              <c:x val="4.3478553667633653E-2"/>
              <c:y val="0.2887937380608489"/>
            </c:manualLayout>
          </c:layout>
          <c:spPr>
            <a:noFill/>
            <a:ln w="25400">
              <a:noFill/>
            </a:ln>
          </c:spPr>
        </c:title>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6713856"/>
        <c:crosses val="autoZero"/>
        <c:crossBetween val="midCat"/>
      </c:valAx>
      <c:spPr>
        <a:solidFill>
          <a:srgbClr val="C0C0C0"/>
        </a:solidFill>
        <a:ln w="12700">
          <a:solidFill>
            <a:srgbClr val="808080"/>
          </a:solidFill>
          <a:prstDash val="solid"/>
        </a:ln>
      </c:spPr>
    </c:plotArea>
    <c:legend>
      <c:legendPos val="r"/>
      <c:spPr>
        <a:solidFill>
          <a:srgbClr val="FFFFFF"/>
        </a:solidFill>
        <a:ln w="3175">
          <a:solidFill>
            <a:srgbClr val="000000"/>
          </a:solidFill>
          <a:prstDash val="solid"/>
        </a:ln>
      </c:spPr>
      <c:txPr>
        <a:bodyPr/>
        <a:lstStyle/>
        <a:p>
          <a:pPr>
            <a:defRPr sz="335"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1055" r="0.7500000000000105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900" b="1" i="0" u="none" strike="noStrike" baseline="0">
                <a:solidFill>
                  <a:srgbClr val="000000"/>
                </a:solidFill>
                <a:latin typeface="Arial"/>
                <a:ea typeface="Arial"/>
                <a:cs typeface="Arial"/>
              </a:defRPr>
            </a:pPr>
            <a:r>
              <a:rPr lang="en-US"/>
              <a:t>48 hr 90%</a:t>
            </a:r>
          </a:p>
        </c:rich>
      </c:tx>
      <c:layout>
        <c:manualLayout>
          <c:xMode val="edge"/>
          <c:yMode val="edge"/>
          <c:x val="0.42234381475341892"/>
          <c:y val="4.0983389849992113E-2"/>
        </c:manualLayout>
      </c:layout>
      <c:spPr>
        <a:noFill/>
        <a:ln w="25400">
          <a:noFill/>
        </a:ln>
      </c:spPr>
    </c:title>
    <c:plotArea>
      <c:layout/>
      <c:scatterChart>
        <c:scatterStyle val="lineMarker"/>
        <c:ser>
          <c:idx val="0"/>
          <c:order val="0"/>
          <c:tx>
            <c:strRef>
              <c:f>'1. WQv and WQf'!$AH$22</c:f>
              <c:strCache>
                <c:ptCount val="1"/>
                <c:pt idx="0">
                  <c:v>90%</c:v>
                </c:pt>
              </c:strCache>
            </c:strRef>
          </c:tx>
          <c:dLbls>
            <c:dLbl>
              <c:idx val="0"/>
              <c:showSerName val="1"/>
            </c:dLbl>
            <c:numFmt formatCode="General" sourceLinked="0"/>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r"/>
            <c:showCatName val="1"/>
            <c:showSerName val="1"/>
          </c:dLbls>
          <c:trendline>
            <c:spPr>
              <a:ln w="25400">
                <a:solidFill>
                  <a:srgbClr val="000000"/>
                </a:solidFill>
                <a:prstDash val="solid"/>
              </a:ln>
            </c:spPr>
            <c:trendlineType val="linear"/>
            <c:intercept val="0"/>
          </c:trendline>
          <c:xVal>
            <c:numRef>
              <c:f>'1. WQv and WQf'!$AH$23:$AH$42</c:f>
            </c:numRef>
          </c:xVal>
          <c:yVal>
            <c:numRef>
              <c:f>'1. WQv and WQf'!$AD$23:$AD$33</c:f>
            </c:numRef>
          </c:yVal>
        </c:ser>
        <c:axId val="86741760"/>
        <c:axId val="86743680"/>
      </c:scatterChart>
      <c:valAx>
        <c:axId val="86741760"/>
        <c:scaling>
          <c:orientation val="minMax"/>
        </c:scaling>
        <c:axPos val="b"/>
        <c:title>
          <c:tx>
            <c:rich>
              <a:bodyPr/>
              <a:lstStyle/>
              <a:p>
                <a:pPr>
                  <a:defRPr sz="800" b="1" i="0" u="none" strike="noStrike" baseline="0">
                    <a:solidFill>
                      <a:srgbClr val="000000"/>
                    </a:solidFill>
                    <a:latin typeface="Arial"/>
                    <a:ea typeface="Arial"/>
                    <a:cs typeface="Arial"/>
                  </a:defRPr>
                </a:pPr>
                <a:r>
                  <a:rPr lang="en-US"/>
                  <a:t>Unit basin storage volume (inches)</a:t>
                </a:r>
              </a:p>
            </c:rich>
          </c:tx>
          <c:layout>
            <c:manualLayout>
              <c:xMode val="edge"/>
              <c:yMode val="edge"/>
              <c:x val="0.2098093659345214"/>
              <c:y val="0.79098568883269149"/>
            </c:manualLayout>
          </c:layout>
          <c:spPr>
            <a:noFill/>
            <a:ln w="25400">
              <a:noFill/>
            </a:ln>
          </c:spPr>
        </c:title>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6743680"/>
        <c:crosses val="autoZero"/>
        <c:crossBetween val="midCat"/>
      </c:valAx>
      <c:valAx>
        <c:axId val="86743680"/>
        <c:scaling>
          <c:orientation val="minMax"/>
        </c:scaling>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US"/>
                  <a:t>Composite C</a:t>
                </a:r>
              </a:p>
            </c:rich>
          </c:tx>
          <c:layout>
            <c:manualLayout>
              <c:xMode val="edge"/>
              <c:yMode val="edge"/>
              <c:x val="4.3596663903854124E-2"/>
              <c:y val="0.29918098741307714"/>
            </c:manualLayout>
          </c:layout>
          <c:spPr>
            <a:noFill/>
            <a:ln w="25400">
              <a:noFill/>
            </a:ln>
          </c:spPr>
        </c:title>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6741760"/>
        <c:crosses val="autoZero"/>
        <c:crossBetween val="midCat"/>
      </c:valAx>
      <c:spPr>
        <a:solidFill>
          <a:srgbClr val="C0C0C0"/>
        </a:solidFill>
        <a:ln w="12700">
          <a:solidFill>
            <a:srgbClr val="808080"/>
          </a:solidFill>
          <a:prstDash val="solid"/>
        </a:ln>
      </c:spPr>
    </c:plotArea>
    <c:legend>
      <c:legendPos val="r"/>
      <c:spPr>
        <a:solidFill>
          <a:srgbClr val="FFFFFF"/>
        </a:solidFill>
        <a:ln w="3175">
          <a:solidFill>
            <a:srgbClr val="000000"/>
          </a:solidFill>
          <a:prstDash val="solid"/>
        </a:ln>
      </c:spPr>
      <c:txPr>
        <a:bodyPr/>
        <a:lstStyle/>
        <a:p>
          <a:pPr>
            <a:defRPr sz="305"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1055" r="0.75000000000001055" t="1" header="0.5" footer="0.5"/>
    <c:pageSetup orientation="landscape" horizontalDpi="-3"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Annual</a:t>
            </a:r>
            <a:r>
              <a:rPr lang="en-US" baseline="0"/>
              <a:t> Supply vs Demand</a:t>
            </a:r>
            <a:endParaRPr lang="en-US"/>
          </a:p>
        </c:rich>
      </c:tx>
    </c:title>
    <c:plotArea>
      <c:layout>
        <c:manualLayout>
          <c:layoutTarget val="inner"/>
          <c:xMode val="edge"/>
          <c:yMode val="edge"/>
          <c:x val="6.5616305574732359E-2"/>
          <c:y val="6.8738112146856739E-2"/>
          <c:w val="0.79058277821886058"/>
          <c:h val="0.88426847359676219"/>
        </c:manualLayout>
      </c:layout>
      <c:barChart>
        <c:barDir val="col"/>
        <c:grouping val="stacked"/>
        <c:ser>
          <c:idx val="0"/>
          <c:order val="0"/>
          <c:tx>
            <c:strRef>
              <c:f>'7. Project Definition'!$B$62</c:f>
              <c:strCache>
                <c:ptCount val="1"/>
                <c:pt idx="0">
                  <c:v>Foundation Drainage</c:v>
                </c:pt>
              </c:strCache>
            </c:strRef>
          </c:tx>
          <c:spPr>
            <a:solidFill>
              <a:schemeClr val="accent1"/>
            </a:solidFill>
          </c:spPr>
          <c:dLbls>
            <c:delete val="1"/>
          </c:dLbls>
          <c:cat>
            <c:strRef>
              <c:f>'7. Project Definition'!$C$61:$D$61</c:f>
              <c:strCache>
                <c:ptCount val="2"/>
                <c:pt idx="0">
                  <c:v>Supply</c:v>
                </c:pt>
                <c:pt idx="1">
                  <c:v>Demand</c:v>
                </c:pt>
              </c:strCache>
            </c:strRef>
          </c:cat>
          <c:val>
            <c:numRef>
              <c:f>'7. Project Definition'!$C$62:$D$62</c:f>
              <c:numCache>
                <c:formatCode>General</c:formatCode>
                <c:ptCount val="2"/>
                <c:pt idx="0" formatCode="#,##0">
                  <c:v>0</c:v>
                </c:pt>
              </c:numCache>
            </c:numRef>
          </c:val>
        </c:ser>
        <c:ser>
          <c:idx val="1"/>
          <c:order val="1"/>
          <c:tx>
            <c:strRef>
              <c:f>'7. Project Definition'!$B$63</c:f>
              <c:strCache>
                <c:ptCount val="1"/>
                <c:pt idx="0">
                  <c:v>Graywater</c:v>
                </c:pt>
              </c:strCache>
            </c:strRef>
          </c:tx>
          <c:spPr>
            <a:solidFill>
              <a:schemeClr val="bg1">
                <a:lumMod val="85000"/>
              </a:schemeClr>
            </a:solidFill>
          </c:spPr>
          <c:dLbls>
            <c:delete val="1"/>
          </c:dLbls>
          <c:cat>
            <c:strRef>
              <c:f>'7. Project Definition'!$C$61:$D$61</c:f>
              <c:strCache>
                <c:ptCount val="2"/>
                <c:pt idx="0">
                  <c:v>Supply</c:v>
                </c:pt>
                <c:pt idx="1">
                  <c:v>Demand</c:v>
                </c:pt>
              </c:strCache>
            </c:strRef>
          </c:cat>
          <c:val>
            <c:numRef>
              <c:f>'7. Project Definition'!$C$63:$D$63</c:f>
              <c:numCache>
                <c:formatCode>General</c:formatCode>
                <c:ptCount val="2"/>
                <c:pt idx="0" formatCode="#,##0">
                  <c:v>365000</c:v>
                </c:pt>
              </c:numCache>
            </c:numRef>
          </c:val>
        </c:ser>
        <c:ser>
          <c:idx val="2"/>
          <c:order val="2"/>
          <c:tx>
            <c:strRef>
              <c:f>'7. Project Definition'!$B$64</c:f>
              <c:strCache>
                <c:ptCount val="1"/>
                <c:pt idx="0">
                  <c:v>Rainwater</c:v>
                </c:pt>
              </c:strCache>
            </c:strRef>
          </c:tx>
          <c:dLbls>
            <c:delete val="1"/>
          </c:dLbls>
          <c:cat>
            <c:strRef>
              <c:f>'7. Project Definition'!$C$61:$D$61</c:f>
              <c:strCache>
                <c:ptCount val="2"/>
                <c:pt idx="0">
                  <c:v>Supply</c:v>
                </c:pt>
                <c:pt idx="1">
                  <c:v>Demand</c:v>
                </c:pt>
              </c:strCache>
            </c:strRef>
          </c:cat>
          <c:val>
            <c:numRef>
              <c:f>'7. Project Definition'!$C$64:$D$64</c:f>
              <c:numCache>
                <c:formatCode>General</c:formatCode>
                <c:ptCount val="2"/>
                <c:pt idx="0" formatCode="#,##0">
                  <c:v>9.2848349677613271</c:v>
                </c:pt>
              </c:numCache>
            </c:numRef>
          </c:val>
        </c:ser>
        <c:ser>
          <c:idx val="3"/>
          <c:order val="3"/>
          <c:tx>
            <c:strRef>
              <c:f>'7. Project Definition'!$B$65</c:f>
              <c:strCache>
                <c:ptCount val="1"/>
                <c:pt idx="0">
                  <c:v>Stormwater</c:v>
                </c:pt>
              </c:strCache>
            </c:strRef>
          </c:tx>
          <c:spPr>
            <a:solidFill>
              <a:schemeClr val="accent4"/>
            </a:solidFill>
          </c:spPr>
          <c:dLbls>
            <c:delete val="1"/>
          </c:dLbls>
          <c:cat>
            <c:strRef>
              <c:f>'7. Project Definition'!$C$61:$D$61</c:f>
              <c:strCache>
                <c:ptCount val="2"/>
                <c:pt idx="0">
                  <c:v>Supply</c:v>
                </c:pt>
                <c:pt idx="1">
                  <c:v>Demand</c:v>
                </c:pt>
              </c:strCache>
            </c:strRef>
          </c:cat>
          <c:val>
            <c:numRef>
              <c:f>'7. Project Definition'!$C$65:$D$65</c:f>
              <c:numCache>
                <c:formatCode>General</c:formatCode>
                <c:ptCount val="2"/>
                <c:pt idx="0" formatCode="#,##0">
                  <c:v>9.2848349677613271</c:v>
                </c:pt>
              </c:numCache>
            </c:numRef>
          </c:val>
        </c:ser>
        <c:ser>
          <c:idx val="4"/>
          <c:order val="4"/>
          <c:tx>
            <c:strRef>
              <c:f>'7. Project Definition'!$B$66</c:f>
              <c:strCache>
                <c:ptCount val="1"/>
                <c:pt idx="0">
                  <c:v>Blackwater</c:v>
                </c:pt>
              </c:strCache>
            </c:strRef>
          </c:tx>
          <c:spPr>
            <a:solidFill>
              <a:schemeClr val="bg2">
                <a:lumMod val="75000"/>
              </a:schemeClr>
            </a:solidFill>
          </c:spPr>
          <c:dLbls>
            <c:delete val="1"/>
          </c:dLbls>
          <c:cat>
            <c:strRef>
              <c:f>'7. Project Definition'!$C$61:$D$61</c:f>
              <c:strCache>
                <c:ptCount val="2"/>
                <c:pt idx="0">
                  <c:v>Supply</c:v>
                </c:pt>
                <c:pt idx="1">
                  <c:v>Demand</c:v>
                </c:pt>
              </c:strCache>
            </c:strRef>
          </c:cat>
          <c:val>
            <c:numRef>
              <c:f>'7. Project Definition'!$C$66:$D$66</c:f>
              <c:numCache>
                <c:formatCode>General</c:formatCode>
                <c:ptCount val="2"/>
                <c:pt idx="0" formatCode="#,##0">
                  <c:v>0</c:v>
                </c:pt>
              </c:numCache>
            </c:numRef>
          </c:val>
        </c:ser>
        <c:ser>
          <c:idx val="5"/>
          <c:order val="5"/>
          <c:tx>
            <c:strRef>
              <c:f>'7. Project Definition'!$B$67</c:f>
              <c:strCache>
                <c:ptCount val="1"/>
                <c:pt idx="0">
                  <c:v>Toilet/Urinal Flushing</c:v>
                </c:pt>
              </c:strCache>
            </c:strRef>
          </c:tx>
          <c:dLbls>
            <c:delete val="1"/>
          </c:dLbls>
          <c:cat>
            <c:strRef>
              <c:f>'7. Project Definition'!$C$61:$D$61</c:f>
              <c:strCache>
                <c:ptCount val="2"/>
                <c:pt idx="0">
                  <c:v>Supply</c:v>
                </c:pt>
                <c:pt idx="1">
                  <c:v>Demand</c:v>
                </c:pt>
              </c:strCache>
            </c:strRef>
          </c:cat>
          <c:val>
            <c:numRef>
              <c:f>'7. Project Definition'!$C$67:$D$67</c:f>
              <c:numCache>
                <c:formatCode>#,##0</c:formatCode>
                <c:ptCount val="2"/>
                <c:pt idx="1">
                  <c:v>0</c:v>
                </c:pt>
              </c:numCache>
            </c:numRef>
          </c:val>
        </c:ser>
        <c:ser>
          <c:idx val="6"/>
          <c:order val="6"/>
          <c:tx>
            <c:strRef>
              <c:f>'7. Project Definition'!$B$68</c:f>
              <c:strCache>
                <c:ptCount val="1"/>
                <c:pt idx="0">
                  <c:v>Landscape Irrigation</c:v>
                </c:pt>
              </c:strCache>
            </c:strRef>
          </c:tx>
          <c:dLbls>
            <c:delete val="1"/>
          </c:dLbls>
          <c:cat>
            <c:strRef>
              <c:f>'7. Project Definition'!$C$61:$D$61</c:f>
              <c:strCache>
                <c:ptCount val="2"/>
                <c:pt idx="0">
                  <c:v>Supply</c:v>
                </c:pt>
                <c:pt idx="1">
                  <c:v>Demand</c:v>
                </c:pt>
              </c:strCache>
            </c:strRef>
          </c:cat>
          <c:val>
            <c:numRef>
              <c:f>'7. Project Definition'!$C$68:$D$68</c:f>
              <c:numCache>
                <c:formatCode>#,##0</c:formatCode>
                <c:ptCount val="2"/>
                <c:pt idx="1">
                  <c:v>11.872489200733384</c:v>
                </c:pt>
              </c:numCache>
            </c:numRef>
          </c:val>
        </c:ser>
        <c:ser>
          <c:idx val="7"/>
          <c:order val="7"/>
          <c:tx>
            <c:strRef>
              <c:f>'7. Project Definition'!$B$69</c:f>
              <c:strCache>
                <c:ptCount val="1"/>
                <c:pt idx="0">
                  <c:v>HVAC/Cooling</c:v>
                </c:pt>
              </c:strCache>
            </c:strRef>
          </c:tx>
          <c:dLbls>
            <c:delete val="1"/>
          </c:dLbls>
          <c:cat>
            <c:strRef>
              <c:f>'7. Project Definition'!$C$61:$D$61</c:f>
              <c:strCache>
                <c:ptCount val="2"/>
                <c:pt idx="0">
                  <c:v>Supply</c:v>
                </c:pt>
                <c:pt idx="1">
                  <c:v>Demand</c:v>
                </c:pt>
              </c:strCache>
            </c:strRef>
          </c:cat>
          <c:val>
            <c:numRef>
              <c:f>'7. Project Definition'!$C$69:$D$69</c:f>
              <c:numCache>
                <c:formatCode>#,##0</c:formatCode>
                <c:ptCount val="2"/>
                <c:pt idx="1">
                  <c:v>0</c:v>
                </c:pt>
              </c:numCache>
            </c:numRef>
          </c:val>
        </c:ser>
        <c:ser>
          <c:idx val="8"/>
          <c:order val="8"/>
          <c:tx>
            <c:strRef>
              <c:f>'7. Project Definition'!$B$70</c:f>
              <c:strCache>
                <c:ptCount val="1"/>
                <c:pt idx="0">
                  <c:v>Decorative Water Feature</c:v>
                </c:pt>
              </c:strCache>
            </c:strRef>
          </c:tx>
          <c:dLbls>
            <c:delete val="1"/>
          </c:dLbls>
          <c:cat>
            <c:strRef>
              <c:f>'7. Project Definition'!$C$61:$D$61</c:f>
              <c:strCache>
                <c:ptCount val="2"/>
                <c:pt idx="0">
                  <c:v>Supply</c:v>
                </c:pt>
                <c:pt idx="1">
                  <c:v>Demand</c:v>
                </c:pt>
              </c:strCache>
            </c:strRef>
          </c:cat>
          <c:val>
            <c:numRef>
              <c:f>'7. Project Definition'!$C$70:$D$70</c:f>
              <c:numCache>
                <c:formatCode>#,##0</c:formatCode>
                <c:ptCount val="2"/>
                <c:pt idx="1">
                  <c:v>25000</c:v>
                </c:pt>
              </c:numCache>
            </c:numRef>
          </c:val>
        </c:ser>
        <c:ser>
          <c:idx val="9"/>
          <c:order val="9"/>
          <c:tx>
            <c:strRef>
              <c:f>'7. Project Definition'!$B$71</c:f>
              <c:strCache>
                <c:ptCount val="1"/>
                <c:pt idx="0">
                  <c:v>Commercial Laundry</c:v>
                </c:pt>
              </c:strCache>
            </c:strRef>
          </c:tx>
          <c:dLbls>
            <c:delete val="1"/>
          </c:dLbls>
          <c:cat>
            <c:strRef>
              <c:f>'7. Project Definition'!$C$61:$D$61</c:f>
              <c:strCache>
                <c:ptCount val="2"/>
                <c:pt idx="0">
                  <c:v>Supply</c:v>
                </c:pt>
                <c:pt idx="1">
                  <c:v>Demand</c:v>
                </c:pt>
              </c:strCache>
            </c:strRef>
          </c:cat>
          <c:val>
            <c:numRef>
              <c:f>'7. Project Definition'!$C$71:$D$71</c:f>
              <c:numCache>
                <c:formatCode>#,##0</c:formatCode>
                <c:ptCount val="2"/>
                <c:pt idx="1">
                  <c:v>1768</c:v>
                </c:pt>
              </c:numCache>
            </c:numRef>
          </c:val>
        </c:ser>
        <c:ser>
          <c:idx val="10"/>
          <c:order val="10"/>
          <c:tx>
            <c:strRef>
              <c:f>'7. Project Definition'!$B$72</c:f>
              <c:strCache>
                <c:ptCount val="1"/>
                <c:pt idx="0">
                  <c:v>Other</c:v>
                </c:pt>
              </c:strCache>
            </c:strRef>
          </c:tx>
          <c:spPr>
            <a:solidFill>
              <a:schemeClr val="accent5"/>
            </a:solidFill>
          </c:spPr>
          <c:dLbls>
            <c:delete val="1"/>
          </c:dLbls>
          <c:cat>
            <c:strRef>
              <c:f>'7. Project Definition'!$C$61:$D$61</c:f>
              <c:strCache>
                <c:ptCount val="2"/>
                <c:pt idx="0">
                  <c:v>Supply</c:v>
                </c:pt>
                <c:pt idx="1">
                  <c:v>Demand</c:v>
                </c:pt>
              </c:strCache>
            </c:strRef>
          </c:cat>
          <c:val>
            <c:numRef>
              <c:f>'7. Project Definition'!$C$72:$D$72</c:f>
              <c:numCache>
                <c:formatCode>#,##0</c:formatCode>
                <c:ptCount val="2"/>
                <c:pt idx="1">
                  <c:v>0</c:v>
                </c:pt>
              </c:numCache>
            </c:numRef>
          </c:val>
        </c:ser>
        <c:dLbls>
          <c:showVal val="1"/>
        </c:dLbls>
        <c:overlap val="100"/>
        <c:axId val="91160960"/>
        <c:axId val="91162496"/>
      </c:barChart>
      <c:catAx>
        <c:axId val="91160960"/>
        <c:scaling>
          <c:orientation val="minMax"/>
        </c:scaling>
        <c:axPos val="b"/>
        <c:tickLblPos val="nextTo"/>
        <c:txPr>
          <a:bodyPr/>
          <a:lstStyle/>
          <a:p>
            <a:pPr>
              <a:defRPr sz="1200" b="1"/>
            </a:pPr>
            <a:endParaRPr lang="en-US"/>
          </a:p>
        </c:txPr>
        <c:crossAx val="91162496"/>
        <c:crosses val="autoZero"/>
        <c:auto val="1"/>
        <c:lblAlgn val="ctr"/>
        <c:lblOffset val="100"/>
      </c:catAx>
      <c:valAx>
        <c:axId val="91162496"/>
        <c:scaling>
          <c:orientation val="minMax"/>
        </c:scaling>
        <c:axPos val="l"/>
        <c:majorGridlines/>
        <c:title>
          <c:tx>
            <c:rich>
              <a:bodyPr rot="-5400000" vert="horz"/>
              <a:lstStyle/>
              <a:p>
                <a:pPr>
                  <a:defRPr sz="1600"/>
                </a:pPr>
                <a:r>
                  <a:rPr lang="en-US" sz="1600"/>
                  <a:t>Volume (Gallons per Year)</a:t>
                </a:r>
              </a:p>
            </c:rich>
          </c:tx>
        </c:title>
        <c:numFmt formatCode="#,##0" sourceLinked="1"/>
        <c:tickLblPos val="nextTo"/>
        <c:crossAx val="91160960"/>
        <c:crosses val="autoZero"/>
        <c:crossBetween val="between"/>
      </c:valAx>
    </c:plotArea>
    <c:legend>
      <c:legendPos val="r"/>
      <c:layout>
        <c:manualLayout>
          <c:xMode val="edge"/>
          <c:yMode val="edge"/>
          <c:x val="0.85345023179961321"/>
          <c:y val="0.15862793642112202"/>
          <c:w val="0.1416227453616962"/>
          <c:h val="0.72190974345069314"/>
        </c:manualLayout>
      </c:layout>
      <c:txPr>
        <a:bodyPr/>
        <a:lstStyle/>
        <a:p>
          <a:pPr>
            <a:defRPr sz="1600"/>
          </a:pPr>
          <a:endParaRPr lang="en-US"/>
        </a:p>
      </c:txPr>
    </c:legend>
    <c:plotVisOnly val="1"/>
  </c:chart>
  <c:spPr>
    <a:ln>
      <a:solidFill>
        <a:schemeClr val="tx1"/>
      </a:solidFill>
    </a:ln>
  </c:spPr>
  <c:printSettings>
    <c:headerFooter/>
    <c:pageMargins b="0.750000000000002" l="0.70000000000000062" r="0.70000000000000062" t="0.750000000000002" header="0.30000000000000032" footer="0.30000000000000032"/>
    <c:pageSetup orientation="landscape" horizontalDpi="1200" verticalDpi="1200"/>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Selected On-Site</a:t>
            </a:r>
            <a:r>
              <a:rPr lang="en-US" baseline="0"/>
              <a:t> </a:t>
            </a:r>
            <a:r>
              <a:rPr lang="en-US"/>
              <a:t>Supply vs. Selected Non-Potable Demand</a:t>
            </a:r>
          </a:p>
        </c:rich>
      </c:tx>
      <c:layout>
        <c:manualLayout>
          <c:xMode val="edge"/>
          <c:yMode val="edge"/>
          <c:x val="0.31432470429443143"/>
          <c:y val="2.9460523900408528E-2"/>
        </c:manualLayout>
      </c:layout>
      <c:overlay val="1"/>
    </c:title>
    <c:plotArea>
      <c:layout>
        <c:manualLayout>
          <c:layoutTarget val="inner"/>
          <c:xMode val="edge"/>
          <c:yMode val="edge"/>
          <c:x val="0.146452678709279"/>
          <c:y val="0.1336582113084302"/>
          <c:w val="0.82058746333178945"/>
          <c:h val="0.76989730879396479"/>
        </c:manualLayout>
      </c:layout>
      <c:barChart>
        <c:barDir val="col"/>
        <c:grouping val="clustered"/>
        <c:ser>
          <c:idx val="0"/>
          <c:order val="0"/>
          <c:tx>
            <c:v>On-site Supplies</c:v>
          </c:tx>
          <c:cat>
            <c:strRef>
              <c:f>'7. Project Definition'!$F$74:$Q$74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'7. Project Definition'!$F$75:$Q$75</c:f>
              <c:numCache>
                <c:formatCode>#,##0</c:formatCode>
                <c:ptCount val="12"/>
                <c:pt idx="0">
                  <c:v>30420.533687040002</c:v>
                </c:pt>
                <c:pt idx="1">
                  <c:v>30419.926201333332</c:v>
                </c:pt>
                <c:pt idx="2">
                  <c:v>30419.131366559999</c:v>
                </c:pt>
                <c:pt idx="3">
                  <c:v>30417.863718570447</c:v>
                </c:pt>
                <c:pt idx="4">
                  <c:v>30417.199260062018</c:v>
                </c:pt>
                <c:pt idx="5">
                  <c:v>30416.853424888894</c:v>
                </c:pt>
                <c:pt idx="6">
                  <c:v>30416.70881785185</c:v>
                </c:pt>
                <c:pt idx="7">
                  <c:v>30416.757890144927</c:v>
                </c:pt>
                <c:pt idx="8">
                  <c:v>30416.980592916665</c:v>
                </c:pt>
                <c:pt idx="9">
                  <c:v>30417.54376478351</c:v>
                </c:pt>
                <c:pt idx="10">
                  <c:v>30418.942786969073</c:v>
                </c:pt>
                <c:pt idx="11">
                  <c:v>30420.128158814816</c:v>
                </c:pt>
              </c:numCache>
            </c:numRef>
          </c:val>
        </c:ser>
        <c:ser>
          <c:idx val="1"/>
          <c:order val="1"/>
          <c:tx>
            <c:v>Non-potable Demands</c:v>
          </c:tx>
          <c:cat>
            <c:strRef>
              <c:f>'7. Project Definition'!$F$74:$Q$74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'7. Project Definition'!$F$76:$Q$76</c:f>
              <c:numCache>
                <c:formatCode>#,##0</c:formatCode>
                <c:ptCount val="12"/>
                <c:pt idx="0">
                  <c:v>2230.666666666667</c:v>
                </c:pt>
                <c:pt idx="1">
                  <c:v>2230.666666666667</c:v>
                </c:pt>
                <c:pt idx="2">
                  <c:v>2230.666666666667</c:v>
                </c:pt>
                <c:pt idx="3">
                  <c:v>2231.5794608629249</c:v>
                </c:pt>
                <c:pt idx="4">
                  <c:v>2232.4859302325585</c:v>
                </c:pt>
                <c:pt idx="5">
                  <c:v>2232.9866419753089</c:v>
                </c:pt>
                <c:pt idx="6">
                  <c:v>2233.0369109053499</c:v>
                </c:pt>
                <c:pt idx="7">
                  <c:v>2232.8465265700488</c:v>
                </c:pt>
                <c:pt idx="8">
                  <c:v>2232.3009687500003</c:v>
                </c:pt>
                <c:pt idx="9">
                  <c:v>2231.3027165712106</c:v>
                </c:pt>
                <c:pt idx="10">
                  <c:v>2230.666666666667</c:v>
                </c:pt>
                <c:pt idx="11">
                  <c:v>2230.666666666667</c:v>
                </c:pt>
              </c:numCache>
            </c:numRef>
          </c:val>
        </c:ser>
        <c:axId val="91085440"/>
        <c:axId val="91185536"/>
      </c:barChart>
      <c:catAx>
        <c:axId val="91085440"/>
        <c:scaling>
          <c:orientation val="minMax"/>
        </c:scaling>
        <c:axPos val="b"/>
        <c:tickLblPos val="nextTo"/>
        <c:txPr>
          <a:bodyPr/>
          <a:lstStyle/>
          <a:p>
            <a:pPr>
              <a:defRPr sz="1200"/>
            </a:pPr>
            <a:endParaRPr lang="en-US"/>
          </a:p>
        </c:txPr>
        <c:crossAx val="91185536"/>
        <c:crosses val="autoZero"/>
        <c:auto val="1"/>
        <c:lblAlgn val="ctr"/>
        <c:lblOffset val="100"/>
      </c:catAx>
      <c:valAx>
        <c:axId val="91185536"/>
        <c:scaling>
          <c:orientation val="minMax"/>
        </c:scaling>
        <c:axPos val="l"/>
        <c:majorGridlines/>
        <c:title>
          <c:tx>
            <c:rich>
              <a:bodyPr rot="-5400000" vert="horz"/>
              <a:lstStyle/>
              <a:p>
                <a:pPr>
                  <a:defRPr sz="1600"/>
                </a:pPr>
                <a:r>
                  <a:rPr lang="en-US" sz="1600"/>
                  <a:t>Gallons Per Month</a:t>
                </a:r>
              </a:p>
            </c:rich>
          </c:tx>
          <c:layout>
            <c:manualLayout>
              <c:xMode val="edge"/>
              <c:yMode val="edge"/>
              <c:x val="1.9205805156708427E-2"/>
              <c:y val="0.35045779149502182"/>
            </c:manualLayout>
          </c:layout>
        </c:title>
        <c:numFmt formatCode="#,##0" sourceLinked="1"/>
        <c:tickLblPos val="nextTo"/>
        <c:crossAx val="91085440"/>
        <c:crosses val="autoZero"/>
        <c:crossBetween val="between"/>
      </c:valAx>
    </c:plotArea>
    <c:legend>
      <c:legendPos val="r"/>
      <c:layout>
        <c:manualLayout>
          <c:xMode val="edge"/>
          <c:yMode val="edge"/>
          <c:x val="0.75935574402361861"/>
          <c:y val="4.6825759802509061E-2"/>
          <c:w val="0.16151062230872787"/>
          <c:h val="0.1418955656522054"/>
        </c:manualLayout>
      </c:layout>
      <c:spPr>
        <a:solidFill>
          <a:schemeClr val="bg1"/>
        </a:solidFill>
        <a:ln>
          <a:solidFill>
            <a:schemeClr val="tx1"/>
          </a:solidFill>
        </a:ln>
      </c:spPr>
      <c:txPr>
        <a:bodyPr/>
        <a:lstStyle/>
        <a:p>
          <a:pPr>
            <a:defRPr sz="1600"/>
          </a:pPr>
          <a:endParaRPr lang="en-US"/>
        </a:p>
      </c:txPr>
    </c:legend>
    <c:plotVisOnly val="1"/>
  </c:chart>
  <c:printSettings>
    <c:headerFooter/>
    <c:pageMargins b="0.75000000000000189" l="0.70000000000000062" r="0.70000000000000062" t="0.75000000000000189"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Supply vs. Non-Potable Demand</a:t>
            </a:r>
          </a:p>
        </c:rich>
      </c:tx>
      <c:layout>
        <c:manualLayout>
          <c:xMode val="edge"/>
          <c:yMode val="edge"/>
          <c:x val="0.29561117130615988"/>
          <c:y val="0"/>
        </c:manualLayout>
      </c:layout>
      <c:overlay val="1"/>
    </c:title>
    <c:plotArea>
      <c:layout>
        <c:manualLayout>
          <c:layoutTarget val="inner"/>
          <c:xMode val="edge"/>
          <c:yMode val="edge"/>
          <c:x val="0.146452678709279"/>
          <c:y val="0.1336582113084302"/>
          <c:w val="0.82058746333178945"/>
          <c:h val="0.76989730879396479"/>
        </c:manualLayout>
      </c:layout>
      <c:barChart>
        <c:barDir val="col"/>
        <c:grouping val="clustered"/>
        <c:ser>
          <c:idx val="0"/>
          <c:order val="0"/>
          <c:tx>
            <c:v>On-site Supplies</c:v>
          </c:tx>
          <c:cat>
            <c:strRef>
              <c:f>'7. Project Definition'!$F$74:$Q$74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'7. Project Definition'!$F$75:$Q$75</c:f>
              <c:numCache>
                <c:formatCode>#,##0</c:formatCode>
                <c:ptCount val="12"/>
                <c:pt idx="0">
                  <c:v>30420.533687040002</c:v>
                </c:pt>
                <c:pt idx="1">
                  <c:v>30419.926201333332</c:v>
                </c:pt>
                <c:pt idx="2">
                  <c:v>30419.131366559999</c:v>
                </c:pt>
                <c:pt idx="3">
                  <c:v>30417.863718570447</c:v>
                </c:pt>
                <c:pt idx="4">
                  <c:v>30417.199260062018</c:v>
                </c:pt>
                <c:pt idx="5">
                  <c:v>30416.853424888894</c:v>
                </c:pt>
                <c:pt idx="6">
                  <c:v>30416.70881785185</c:v>
                </c:pt>
                <c:pt idx="7">
                  <c:v>30416.757890144927</c:v>
                </c:pt>
                <c:pt idx="8">
                  <c:v>30416.980592916665</c:v>
                </c:pt>
                <c:pt idx="9">
                  <c:v>30417.54376478351</c:v>
                </c:pt>
                <c:pt idx="10">
                  <c:v>30418.942786969073</c:v>
                </c:pt>
                <c:pt idx="11">
                  <c:v>30420.128158814816</c:v>
                </c:pt>
              </c:numCache>
            </c:numRef>
          </c:val>
        </c:ser>
        <c:ser>
          <c:idx val="1"/>
          <c:order val="1"/>
          <c:tx>
            <c:v>Non-potable Demands</c:v>
          </c:tx>
          <c:cat>
            <c:strRef>
              <c:f>'7. Project Definition'!$F$74:$Q$74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'7. Project Definition'!$F$76:$Q$76</c:f>
              <c:numCache>
                <c:formatCode>#,##0</c:formatCode>
                <c:ptCount val="12"/>
                <c:pt idx="0">
                  <c:v>2230.666666666667</c:v>
                </c:pt>
                <c:pt idx="1">
                  <c:v>2230.666666666667</c:v>
                </c:pt>
                <c:pt idx="2">
                  <c:v>2230.666666666667</c:v>
                </c:pt>
                <c:pt idx="3">
                  <c:v>2231.5794608629249</c:v>
                </c:pt>
                <c:pt idx="4">
                  <c:v>2232.4859302325585</c:v>
                </c:pt>
                <c:pt idx="5">
                  <c:v>2232.9866419753089</c:v>
                </c:pt>
                <c:pt idx="6">
                  <c:v>2233.0369109053499</c:v>
                </c:pt>
                <c:pt idx="7">
                  <c:v>2232.8465265700488</c:v>
                </c:pt>
                <c:pt idx="8">
                  <c:v>2232.3009687500003</c:v>
                </c:pt>
                <c:pt idx="9">
                  <c:v>2231.3027165712106</c:v>
                </c:pt>
                <c:pt idx="10">
                  <c:v>2230.666666666667</c:v>
                </c:pt>
                <c:pt idx="11">
                  <c:v>2230.666666666667</c:v>
                </c:pt>
              </c:numCache>
            </c:numRef>
          </c:val>
        </c:ser>
        <c:axId val="91601152"/>
        <c:axId val="91619328"/>
      </c:barChart>
      <c:catAx>
        <c:axId val="91601152"/>
        <c:scaling>
          <c:orientation val="minMax"/>
        </c:scaling>
        <c:axPos val="b"/>
        <c:tickLblPos val="nextTo"/>
        <c:txPr>
          <a:bodyPr/>
          <a:lstStyle/>
          <a:p>
            <a:pPr>
              <a:defRPr sz="800"/>
            </a:pPr>
            <a:endParaRPr lang="en-US"/>
          </a:p>
        </c:txPr>
        <c:crossAx val="91619328"/>
        <c:crosses val="autoZero"/>
        <c:auto val="1"/>
        <c:lblAlgn val="ctr"/>
        <c:lblOffset val="100"/>
      </c:catAx>
      <c:valAx>
        <c:axId val="91619328"/>
        <c:scaling>
          <c:orientation val="minMax"/>
        </c:scaling>
        <c:axPos val="l"/>
        <c:majorGridlines/>
        <c:title>
          <c:tx>
            <c:rich>
              <a:bodyPr rot="-5400000" vert="horz"/>
              <a:lstStyle/>
              <a:p>
                <a:pPr>
                  <a:defRPr/>
                </a:pPr>
                <a:r>
                  <a:rPr lang="en-US"/>
                  <a:t>Gallons Per Month</a:t>
                </a:r>
              </a:p>
            </c:rich>
          </c:tx>
          <c:layout>
            <c:manualLayout>
              <c:xMode val="edge"/>
              <c:yMode val="edge"/>
              <c:x val="1.9205805156708434E-2"/>
              <c:y val="0.35045779149502182"/>
            </c:manualLayout>
          </c:layout>
        </c:title>
        <c:numFmt formatCode="#,##0" sourceLinked="1"/>
        <c:tickLblPos val="nextTo"/>
        <c:crossAx val="91601152"/>
        <c:crosses val="autoZero"/>
        <c:crossBetween val="between"/>
      </c:valAx>
    </c:plotArea>
    <c:legend>
      <c:legendPos val="r"/>
      <c:layout>
        <c:manualLayout>
          <c:xMode val="edge"/>
          <c:yMode val="edge"/>
          <c:x val="0.76900092635479811"/>
          <c:y val="2.0322209138924664E-2"/>
          <c:w val="0.21594304782458562"/>
          <c:h val="0.15472718851320141"/>
        </c:manualLayout>
      </c:layout>
      <c:spPr>
        <a:solidFill>
          <a:schemeClr val="bg1">
            <a:lumMod val="95000"/>
          </a:schemeClr>
        </a:solidFill>
        <a:ln w="9525">
          <a:solidFill>
            <a:schemeClr val="tx1"/>
          </a:solidFill>
        </a:ln>
      </c:spPr>
    </c:legend>
    <c:plotVisOnly val="1"/>
  </c:chart>
  <c:printSettings>
    <c:headerFooter/>
    <c:pageMargins b="0.75000000000000211" l="0.70000000000000062" r="0.70000000000000062" t="0.75000000000000211"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0.xml"/></Relationships>
</file>

<file path=xl/drawings/_rels/drawing19.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171449</xdr:colOff>
      <xdr:row>123</xdr:row>
      <xdr:rowOff>136380</xdr:rowOff>
    </xdr:from>
    <xdr:to>
      <xdr:col>6</xdr:col>
      <xdr:colOff>587749</xdr:colOff>
      <xdr:row>167</xdr:row>
      <xdr:rowOff>47625</xdr:rowOff>
    </xdr:to>
    <xdr:pic>
      <xdr:nvPicPr>
        <xdr:cNvPr id="2" name="Picture 1" descr="ES_WS_ETo.jpg"/>
        <xdr:cNvPicPr>
          <a:picLocks noChangeAspect="1"/>
        </xdr:cNvPicPr>
      </xdr:nvPicPr>
      <xdr:blipFill>
        <a:blip xmlns:r="http://schemas.openxmlformats.org/officeDocument/2006/relationships" r:embed="rId1" cstate="print"/>
        <a:stretch>
          <a:fillRect/>
        </a:stretch>
      </xdr:blipFill>
      <xdr:spPr>
        <a:xfrm>
          <a:off x="171449" y="23577405"/>
          <a:ext cx="9179300" cy="7093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160868</xdr:colOff>
      <xdr:row>39</xdr:row>
      <xdr:rowOff>11642</xdr:rowOff>
    </xdr:from>
    <xdr:to>
      <xdr:col>15</xdr:col>
      <xdr:colOff>0</xdr:colOff>
      <xdr:row>54</xdr:row>
      <xdr:rowOff>21167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485775</xdr:colOff>
      <xdr:row>88</xdr:row>
      <xdr:rowOff>114300</xdr:rowOff>
    </xdr:from>
    <xdr:to>
      <xdr:col>4</xdr:col>
      <xdr:colOff>1028700</xdr:colOff>
      <xdr:row>90</xdr:row>
      <xdr:rowOff>66675</xdr:rowOff>
    </xdr:to>
    <xdr:sp macro="" textlink="">
      <xdr:nvSpPr>
        <xdr:cNvPr id="5" name="Left Arrow 4"/>
        <xdr:cNvSpPr/>
      </xdr:nvSpPr>
      <xdr:spPr>
        <a:xfrm>
          <a:off x="5419725" y="20554950"/>
          <a:ext cx="542925" cy="333375"/>
        </a:xfrm>
        <a:prstGeom prst="leftArrow">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rtlCol="0" anchor="ctr"/>
        <a:lstStyle/>
        <a:p>
          <a:pPr algn="ctr"/>
          <a:endParaRPr lang="en-US" sz="1100"/>
        </a:p>
      </xdr:txBody>
    </xdr:sp>
    <xdr:clientData/>
  </xdr:twoCellAnchor>
  <xdr:twoCellAnchor>
    <xdr:from>
      <xdr:col>4</xdr:col>
      <xdr:colOff>485775</xdr:colOff>
      <xdr:row>91</xdr:row>
      <xdr:rowOff>114300</xdr:rowOff>
    </xdr:from>
    <xdr:to>
      <xdr:col>4</xdr:col>
      <xdr:colOff>1028700</xdr:colOff>
      <xdr:row>93</xdr:row>
      <xdr:rowOff>66675</xdr:rowOff>
    </xdr:to>
    <xdr:sp macro="" textlink="">
      <xdr:nvSpPr>
        <xdr:cNvPr id="8" name="Left Arrow 7"/>
        <xdr:cNvSpPr/>
      </xdr:nvSpPr>
      <xdr:spPr>
        <a:xfrm>
          <a:off x="5419725" y="21126450"/>
          <a:ext cx="542925" cy="333375"/>
        </a:xfrm>
        <a:prstGeom prst="leftArrow">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179917</xdr:colOff>
      <xdr:row>23</xdr:row>
      <xdr:rowOff>0</xdr:rowOff>
    </xdr:from>
    <xdr:to>
      <xdr:col>20</xdr:col>
      <xdr:colOff>31750</xdr:colOff>
      <xdr:row>38</xdr:row>
      <xdr:rowOff>42334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190500</xdr:colOff>
      <xdr:row>55</xdr:row>
      <xdr:rowOff>179916</xdr:rowOff>
    </xdr:from>
    <xdr:to>
      <xdr:col>20</xdr:col>
      <xdr:colOff>42333</xdr:colOff>
      <xdr:row>71</xdr:row>
      <xdr:rowOff>74084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34</xdr:col>
      <xdr:colOff>0</xdr:colOff>
      <xdr:row>8</xdr:row>
      <xdr:rowOff>9525</xdr:rowOff>
    </xdr:from>
    <xdr:to>
      <xdr:col>39</xdr:col>
      <xdr:colOff>581025</xdr:colOff>
      <xdr:row>13</xdr:row>
      <xdr:rowOff>95250</xdr:rowOff>
    </xdr:to>
    <xdr:graphicFrame macro="">
      <xdr:nvGraphicFramePr>
        <xdr:cNvPr id="2942"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0</xdr:colOff>
      <xdr:row>15</xdr:row>
      <xdr:rowOff>0</xdr:rowOff>
    </xdr:from>
    <xdr:to>
      <xdr:col>41</xdr:col>
      <xdr:colOff>571500</xdr:colOff>
      <xdr:row>28</xdr:row>
      <xdr:rowOff>104775</xdr:rowOff>
    </xdr:to>
    <xdr:graphicFrame macro="">
      <xdr:nvGraphicFramePr>
        <xdr:cNvPr id="2943"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36</xdr:col>
      <xdr:colOff>19050</xdr:colOff>
      <xdr:row>30</xdr:row>
      <xdr:rowOff>9525</xdr:rowOff>
    </xdr:from>
    <xdr:to>
      <xdr:col>41</xdr:col>
      <xdr:colOff>457200</xdr:colOff>
      <xdr:row>43</xdr:row>
      <xdr:rowOff>0</xdr:rowOff>
    </xdr:to>
    <xdr:graphicFrame macro="">
      <xdr:nvGraphicFramePr>
        <xdr:cNvPr id="2944"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19050</xdr:colOff>
      <xdr:row>44</xdr:row>
      <xdr:rowOff>133350</xdr:rowOff>
    </xdr:from>
    <xdr:to>
      <xdr:col>41</xdr:col>
      <xdr:colOff>457200</xdr:colOff>
      <xdr:row>56</xdr:row>
      <xdr:rowOff>0</xdr:rowOff>
    </xdr:to>
    <xdr:graphicFrame macro="">
      <xdr:nvGraphicFramePr>
        <xdr:cNvPr id="2945"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38100</xdr:colOff>
      <xdr:row>2</xdr:row>
      <xdr:rowOff>133350</xdr:rowOff>
    </xdr:from>
    <xdr:to>
      <xdr:col>17</xdr:col>
      <xdr:colOff>514350</xdr:colOff>
      <xdr:row>5</xdr:row>
      <xdr:rowOff>133350</xdr:rowOff>
    </xdr:to>
    <xdr:grpSp>
      <xdr:nvGrpSpPr>
        <xdr:cNvPr id="2946" name="Group 15"/>
        <xdr:cNvGrpSpPr>
          <a:grpSpLocks/>
        </xdr:cNvGrpSpPr>
      </xdr:nvGrpSpPr>
      <xdr:grpSpPr bwMode="auto">
        <a:xfrm>
          <a:off x="5080547" y="481232"/>
          <a:ext cx="6794344" cy="490025"/>
          <a:chOff x="665" y="56"/>
          <a:chExt cx="677" cy="55"/>
        </a:xfrm>
      </xdr:grpSpPr>
      <xdr:sp macro="" textlink="">
        <xdr:nvSpPr>
          <xdr:cNvPr id="2" name="Text Box 7"/>
          <xdr:cNvSpPr txBox="1">
            <a:spLocks noChangeArrowheads="1"/>
          </xdr:cNvSpPr>
        </xdr:nvSpPr>
        <xdr:spPr bwMode="auto">
          <a:xfrm>
            <a:off x="665" y="56"/>
            <a:ext cx="130" cy="55"/>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2948" name="Rectangle 8"/>
          <xdr:cNvSpPr>
            <a:spLocks noChangeArrowheads="1"/>
          </xdr:cNvSpPr>
        </xdr:nvSpPr>
        <xdr:spPr bwMode="auto">
          <a:xfrm>
            <a:off x="796" y="57"/>
            <a:ext cx="52" cy="17"/>
          </a:xfrm>
          <a:prstGeom prst="rect">
            <a:avLst/>
          </a:prstGeom>
          <a:solidFill>
            <a:srgbClr val="FFFFFF"/>
          </a:solidFill>
          <a:ln w="9525">
            <a:solidFill>
              <a:srgbClr val="000000"/>
            </a:solidFill>
            <a:miter lim="800000"/>
            <a:headEnd/>
            <a:tailEnd/>
          </a:ln>
        </xdr:spPr>
      </xdr:sp>
      <xdr:sp macro="" textlink="">
        <xdr:nvSpPr>
          <xdr:cNvPr id="2949" name="Rectangle 9"/>
          <xdr:cNvSpPr>
            <a:spLocks noChangeArrowheads="1"/>
          </xdr:cNvSpPr>
        </xdr:nvSpPr>
        <xdr:spPr bwMode="auto">
          <a:xfrm>
            <a:off x="796" y="74"/>
            <a:ext cx="52" cy="18"/>
          </a:xfrm>
          <a:prstGeom prst="rect">
            <a:avLst/>
          </a:prstGeom>
          <a:solidFill>
            <a:srgbClr val="C0C0C0"/>
          </a:solidFill>
          <a:ln w="9525">
            <a:solidFill>
              <a:srgbClr val="000000"/>
            </a:solidFill>
            <a:miter lim="800000"/>
            <a:headEnd/>
            <a:tailEnd/>
          </a:ln>
        </xdr:spPr>
      </xdr:sp>
      <xdr:sp macro="" textlink="">
        <xdr:nvSpPr>
          <xdr:cNvPr id="2950" name="Rectangle 10"/>
          <xdr:cNvSpPr>
            <a:spLocks noChangeArrowheads="1"/>
          </xdr:cNvSpPr>
        </xdr:nvSpPr>
        <xdr:spPr bwMode="auto">
          <a:xfrm>
            <a:off x="796" y="92"/>
            <a:ext cx="52" cy="17"/>
          </a:xfrm>
          <a:prstGeom prst="rect">
            <a:avLst/>
          </a:prstGeom>
          <a:solidFill>
            <a:srgbClr val="FFFF99"/>
          </a:solidFill>
          <a:ln w="9525">
            <a:solidFill>
              <a:srgbClr val="000000"/>
            </a:solidFill>
            <a:miter lim="800000"/>
            <a:headEnd/>
            <a:tailEnd/>
          </a:ln>
        </xdr:spPr>
      </xdr:sp>
      <xdr:sp macro="" textlink="">
        <xdr:nvSpPr>
          <xdr:cNvPr id="3" name="Text Box 11"/>
          <xdr:cNvSpPr txBox="1">
            <a:spLocks noChangeArrowheads="1"/>
          </xdr:cNvSpPr>
        </xdr:nvSpPr>
        <xdr:spPr bwMode="auto">
          <a:xfrm>
            <a:off x="852" y="57"/>
            <a:ext cx="490" cy="54"/>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228600</xdr:colOff>
      <xdr:row>2</xdr:row>
      <xdr:rowOff>85725</xdr:rowOff>
    </xdr:from>
    <xdr:to>
      <xdr:col>7</xdr:col>
      <xdr:colOff>342900</xdr:colOff>
      <xdr:row>5</xdr:row>
      <xdr:rowOff>123825</xdr:rowOff>
    </xdr:to>
    <xdr:grpSp>
      <xdr:nvGrpSpPr>
        <xdr:cNvPr id="8728" name="Group 7"/>
        <xdr:cNvGrpSpPr>
          <a:grpSpLocks/>
        </xdr:cNvGrpSpPr>
      </xdr:nvGrpSpPr>
      <xdr:grpSpPr bwMode="auto">
        <a:xfrm>
          <a:off x="240792" y="433324"/>
          <a:ext cx="8140700" cy="505968"/>
          <a:chOff x="463" y="48"/>
          <a:chExt cx="686" cy="57"/>
        </a:xfrm>
      </xdr:grpSpPr>
      <xdr:sp macro="" textlink="">
        <xdr:nvSpPr>
          <xdr:cNvPr id="8194"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8730"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8731"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8732"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8198"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171450</xdr:colOff>
      <xdr:row>2</xdr:row>
      <xdr:rowOff>104775</xdr:rowOff>
    </xdr:from>
    <xdr:to>
      <xdr:col>4</xdr:col>
      <xdr:colOff>4486275</xdr:colOff>
      <xdr:row>5</xdr:row>
      <xdr:rowOff>85725</xdr:rowOff>
    </xdr:to>
    <xdr:grpSp>
      <xdr:nvGrpSpPr>
        <xdr:cNvPr id="16920" name="Group 1"/>
        <xdr:cNvGrpSpPr>
          <a:grpSpLocks/>
        </xdr:cNvGrpSpPr>
      </xdr:nvGrpSpPr>
      <xdr:grpSpPr bwMode="auto">
        <a:xfrm>
          <a:off x="179832" y="452628"/>
          <a:ext cx="8011668" cy="525780"/>
          <a:chOff x="463" y="48"/>
          <a:chExt cx="686" cy="57"/>
        </a:xfrm>
      </xdr:grpSpPr>
      <xdr:sp macro="" textlink="">
        <xdr:nvSpPr>
          <xdr:cNvPr id="16386"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16922"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16923"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16924"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16390"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238125</xdr:colOff>
      <xdr:row>2</xdr:row>
      <xdr:rowOff>123825</xdr:rowOff>
    </xdr:from>
    <xdr:to>
      <xdr:col>4</xdr:col>
      <xdr:colOff>2743200</xdr:colOff>
      <xdr:row>6</xdr:row>
      <xdr:rowOff>9525</xdr:rowOff>
    </xdr:to>
    <xdr:grpSp>
      <xdr:nvGrpSpPr>
        <xdr:cNvPr id="9755" name="Group 1"/>
        <xdr:cNvGrpSpPr>
          <a:grpSpLocks/>
        </xdr:cNvGrpSpPr>
      </xdr:nvGrpSpPr>
      <xdr:grpSpPr bwMode="auto">
        <a:xfrm>
          <a:off x="249936" y="471270"/>
          <a:ext cx="7031559" cy="519614"/>
          <a:chOff x="463" y="48"/>
          <a:chExt cx="686" cy="57"/>
        </a:xfrm>
      </xdr:grpSpPr>
      <xdr:sp macro="" textlink="">
        <xdr:nvSpPr>
          <xdr:cNvPr id="9218"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9757"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9758"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9759"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9222"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200025</xdr:colOff>
      <xdr:row>2</xdr:row>
      <xdr:rowOff>104775</xdr:rowOff>
    </xdr:from>
    <xdr:to>
      <xdr:col>4</xdr:col>
      <xdr:colOff>3724275</xdr:colOff>
      <xdr:row>5</xdr:row>
      <xdr:rowOff>161925</xdr:rowOff>
    </xdr:to>
    <xdr:grpSp>
      <xdr:nvGrpSpPr>
        <xdr:cNvPr id="17944" name="Group 1"/>
        <xdr:cNvGrpSpPr>
          <a:grpSpLocks/>
        </xdr:cNvGrpSpPr>
      </xdr:nvGrpSpPr>
      <xdr:grpSpPr bwMode="auto">
        <a:xfrm>
          <a:off x="210312" y="452304"/>
          <a:ext cx="8374121" cy="526655"/>
          <a:chOff x="463" y="48"/>
          <a:chExt cx="686" cy="57"/>
        </a:xfrm>
      </xdr:grpSpPr>
      <xdr:sp macro="" textlink="">
        <xdr:nvSpPr>
          <xdr:cNvPr id="17410"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17946"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17947"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17948"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17414"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276225</xdr:colOff>
      <xdr:row>2</xdr:row>
      <xdr:rowOff>104775</xdr:rowOff>
    </xdr:from>
    <xdr:to>
      <xdr:col>7</xdr:col>
      <xdr:colOff>1562100</xdr:colOff>
      <xdr:row>6</xdr:row>
      <xdr:rowOff>9525</xdr:rowOff>
    </xdr:to>
    <xdr:grpSp>
      <xdr:nvGrpSpPr>
        <xdr:cNvPr id="15896" name="Group 1"/>
        <xdr:cNvGrpSpPr>
          <a:grpSpLocks/>
        </xdr:cNvGrpSpPr>
      </xdr:nvGrpSpPr>
      <xdr:grpSpPr bwMode="auto">
        <a:xfrm>
          <a:off x="291084" y="452453"/>
          <a:ext cx="7920754" cy="537657"/>
          <a:chOff x="463" y="48"/>
          <a:chExt cx="686" cy="57"/>
        </a:xfrm>
      </xdr:grpSpPr>
      <xdr:sp macro="" textlink="">
        <xdr:nvSpPr>
          <xdr:cNvPr id="15362"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15898"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15899"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15900"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15366"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123825</xdr:colOff>
      <xdr:row>2</xdr:row>
      <xdr:rowOff>85725</xdr:rowOff>
    </xdr:from>
    <xdr:to>
      <xdr:col>4</xdr:col>
      <xdr:colOff>3457575</xdr:colOff>
      <xdr:row>5</xdr:row>
      <xdr:rowOff>142875</xdr:rowOff>
    </xdr:to>
    <xdr:grpSp>
      <xdr:nvGrpSpPr>
        <xdr:cNvPr id="18973" name="Group 1"/>
        <xdr:cNvGrpSpPr>
          <a:grpSpLocks/>
        </xdr:cNvGrpSpPr>
      </xdr:nvGrpSpPr>
      <xdr:grpSpPr bwMode="auto">
        <a:xfrm>
          <a:off x="129540" y="435512"/>
          <a:ext cx="8340132" cy="527137"/>
          <a:chOff x="463" y="48"/>
          <a:chExt cx="686" cy="57"/>
        </a:xfrm>
      </xdr:grpSpPr>
      <xdr:sp macro="" textlink="">
        <xdr:nvSpPr>
          <xdr:cNvPr id="3074"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18975"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18976"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18977"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3078"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180975</xdr:colOff>
      <xdr:row>2</xdr:row>
      <xdr:rowOff>123825</xdr:rowOff>
    </xdr:from>
    <xdr:to>
      <xdr:col>3</xdr:col>
      <xdr:colOff>3724275</xdr:colOff>
      <xdr:row>6</xdr:row>
      <xdr:rowOff>9525</xdr:rowOff>
    </xdr:to>
    <xdr:grpSp>
      <xdr:nvGrpSpPr>
        <xdr:cNvPr id="13851" name="Group 1"/>
        <xdr:cNvGrpSpPr>
          <a:grpSpLocks/>
        </xdr:cNvGrpSpPr>
      </xdr:nvGrpSpPr>
      <xdr:grpSpPr bwMode="auto">
        <a:xfrm>
          <a:off x="190500" y="469566"/>
          <a:ext cx="7580955" cy="513781"/>
          <a:chOff x="463" y="48"/>
          <a:chExt cx="686" cy="57"/>
        </a:xfrm>
      </xdr:grpSpPr>
      <xdr:sp macro="" textlink="">
        <xdr:nvSpPr>
          <xdr:cNvPr id="13314"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13853"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13854"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13855"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13318"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238125</xdr:colOff>
      <xdr:row>2</xdr:row>
      <xdr:rowOff>104775</xdr:rowOff>
    </xdr:from>
    <xdr:to>
      <xdr:col>4</xdr:col>
      <xdr:colOff>3543300</xdr:colOff>
      <xdr:row>6</xdr:row>
      <xdr:rowOff>0</xdr:rowOff>
    </xdr:to>
    <xdr:grpSp>
      <xdr:nvGrpSpPr>
        <xdr:cNvPr id="14875" name="Group 1"/>
        <xdr:cNvGrpSpPr>
          <a:grpSpLocks/>
        </xdr:cNvGrpSpPr>
      </xdr:nvGrpSpPr>
      <xdr:grpSpPr bwMode="auto">
        <a:xfrm>
          <a:off x="249936" y="451846"/>
          <a:ext cx="7911475" cy="523123"/>
          <a:chOff x="463" y="48"/>
          <a:chExt cx="686" cy="57"/>
        </a:xfrm>
      </xdr:grpSpPr>
      <xdr:sp macro="" textlink="">
        <xdr:nvSpPr>
          <xdr:cNvPr id="14338"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14877"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14878"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14879"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14342"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152400</xdr:colOff>
      <xdr:row>2</xdr:row>
      <xdr:rowOff>85725</xdr:rowOff>
    </xdr:from>
    <xdr:to>
      <xdr:col>4</xdr:col>
      <xdr:colOff>2209800</xdr:colOff>
      <xdr:row>5</xdr:row>
      <xdr:rowOff>123825</xdr:rowOff>
    </xdr:to>
    <xdr:grpSp>
      <xdr:nvGrpSpPr>
        <xdr:cNvPr id="19992" name="Group 1"/>
        <xdr:cNvGrpSpPr>
          <a:grpSpLocks/>
        </xdr:cNvGrpSpPr>
      </xdr:nvGrpSpPr>
      <xdr:grpSpPr bwMode="auto">
        <a:xfrm>
          <a:off x="160020" y="432687"/>
          <a:ext cx="6212779" cy="504793"/>
          <a:chOff x="463" y="48"/>
          <a:chExt cx="686" cy="57"/>
        </a:xfrm>
      </xdr:grpSpPr>
      <xdr:sp macro="" textlink="">
        <xdr:nvSpPr>
          <xdr:cNvPr id="18434"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19994"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19995"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19996"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18438"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228600</xdr:colOff>
      <xdr:row>2</xdr:row>
      <xdr:rowOff>133350</xdr:rowOff>
    </xdr:from>
    <xdr:to>
      <xdr:col>4</xdr:col>
      <xdr:colOff>1743075</xdr:colOff>
      <xdr:row>6</xdr:row>
      <xdr:rowOff>28575</xdr:rowOff>
    </xdr:to>
    <xdr:grpSp>
      <xdr:nvGrpSpPr>
        <xdr:cNvPr id="3608" name="Group 1"/>
        <xdr:cNvGrpSpPr>
          <a:grpSpLocks/>
        </xdr:cNvGrpSpPr>
      </xdr:nvGrpSpPr>
      <xdr:grpSpPr bwMode="auto">
        <a:xfrm>
          <a:off x="240792" y="480862"/>
          <a:ext cx="6159767" cy="526743"/>
          <a:chOff x="463" y="48"/>
          <a:chExt cx="716" cy="57"/>
        </a:xfrm>
      </xdr:grpSpPr>
      <xdr:sp macro="" textlink="">
        <xdr:nvSpPr>
          <xdr:cNvPr id="19458"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3610"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3611"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3612"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19462" name="Text Box 6"/>
          <xdr:cNvSpPr txBox="1">
            <a:spLocks noChangeArrowheads="1"/>
          </xdr:cNvSpPr>
        </xdr:nvSpPr>
        <xdr:spPr bwMode="auto">
          <a:xfrm>
            <a:off x="650" y="49"/>
            <a:ext cx="529"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276225</xdr:colOff>
      <xdr:row>3</xdr:row>
      <xdr:rowOff>57150</xdr:rowOff>
    </xdr:from>
    <xdr:to>
      <xdr:col>4</xdr:col>
      <xdr:colOff>3495675</xdr:colOff>
      <xdr:row>6</xdr:row>
      <xdr:rowOff>95250</xdr:rowOff>
    </xdr:to>
    <xdr:grpSp>
      <xdr:nvGrpSpPr>
        <xdr:cNvPr id="10779" name="Group 1"/>
        <xdr:cNvGrpSpPr>
          <a:grpSpLocks/>
        </xdr:cNvGrpSpPr>
      </xdr:nvGrpSpPr>
      <xdr:grpSpPr bwMode="auto">
        <a:xfrm>
          <a:off x="291084" y="541801"/>
          <a:ext cx="7510755" cy="506451"/>
          <a:chOff x="463" y="48"/>
          <a:chExt cx="686" cy="57"/>
        </a:xfrm>
      </xdr:grpSpPr>
      <xdr:sp macro="" textlink="">
        <xdr:nvSpPr>
          <xdr:cNvPr id="10242"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10781"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10782"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10783"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10246"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190500</xdr:colOff>
      <xdr:row>3</xdr:row>
      <xdr:rowOff>0</xdr:rowOff>
    </xdr:from>
    <xdr:to>
      <xdr:col>4</xdr:col>
      <xdr:colOff>3371850</xdr:colOff>
      <xdr:row>6</xdr:row>
      <xdr:rowOff>57150</xdr:rowOff>
    </xdr:to>
    <xdr:grpSp>
      <xdr:nvGrpSpPr>
        <xdr:cNvPr id="11802" name="Group 1"/>
        <xdr:cNvGrpSpPr>
          <a:grpSpLocks/>
        </xdr:cNvGrpSpPr>
      </xdr:nvGrpSpPr>
      <xdr:grpSpPr bwMode="auto">
        <a:xfrm>
          <a:off x="199644" y="488462"/>
          <a:ext cx="7352518" cy="523787"/>
          <a:chOff x="463" y="48"/>
          <a:chExt cx="686" cy="57"/>
        </a:xfrm>
      </xdr:grpSpPr>
      <xdr:sp macro="" textlink="">
        <xdr:nvSpPr>
          <xdr:cNvPr id="11266" name="Text Box 2"/>
          <xdr:cNvSpPr txBox="1">
            <a:spLocks noChangeArrowheads="1"/>
          </xdr:cNvSpPr>
        </xdr:nvSpPr>
        <xdr:spPr bwMode="auto">
          <a:xfrm>
            <a:off x="463" y="48"/>
            <a:ext cx="132" cy="54"/>
          </a:xfrm>
          <a:prstGeom prst="rect">
            <a:avLst/>
          </a:prstGeom>
          <a:solidFill>
            <a:srgbClr val="FFFFFF"/>
          </a:solidFill>
          <a:ln w="9525">
            <a:noFill/>
            <a:miter lim="800000"/>
            <a:headEnd/>
            <a:tailEnd/>
          </a:ln>
        </xdr:spPr>
        <xdr:txBody>
          <a:bodyPr vertOverflow="clip" wrap="square" lIns="0" tIns="22860" rIns="27432" bIns="0" anchor="t" upright="1"/>
          <a:lstStyle/>
          <a:p>
            <a:pPr algn="r" rtl="0">
              <a:defRPr sz="1000"/>
            </a:pPr>
            <a:r>
              <a:rPr lang="en-US" sz="1000" b="0" i="0" u="none" strike="noStrike" baseline="0">
                <a:solidFill>
                  <a:srgbClr val="000000"/>
                </a:solidFill>
                <a:latin typeface="Arial"/>
                <a:cs typeface="Arial"/>
              </a:rPr>
              <a:t>Input cell =</a:t>
            </a:r>
          </a:p>
          <a:p>
            <a:pPr algn="r" rtl="0">
              <a:defRPr sz="1000"/>
            </a:pPr>
            <a:r>
              <a:rPr lang="en-US" sz="1000" b="0" i="0" u="none" strike="noStrike" baseline="0">
                <a:solidFill>
                  <a:srgbClr val="000000"/>
                </a:solidFill>
                <a:latin typeface="Arial"/>
                <a:cs typeface="Arial"/>
              </a:rPr>
              <a:t>Default value =</a:t>
            </a:r>
          </a:p>
          <a:p>
            <a:pPr algn="r" rtl="0">
              <a:defRPr sz="1000"/>
            </a:pPr>
            <a:r>
              <a:rPr lang="en-US" sz="1000" b="0" i="0" u="none" strike="noStrike" baseline="0">
                <a:solidFill>
                  <a:srgbClr val="000000"/>
                </a:solidFill>
                <a:latin typeface="Arial"/>
                <a:cs typeface="Arial"/>
              </a:rPr>
              <a:t>Calculation cell =</a:t>
            </a:r>
          </a:p>
        </xdr:txBody>
      </xdr:sp>
      <xdr:sp macro="" textlink="">
        <xdr:nvSpPr>
          <xdr:cNvPr id="11804" name="Rectangle 3"/>
          <xdr:cNvSpPr>
            <a:spLocks noChangeArrowheads="1"/>
          </xdr:cNvSpPr>
        </xdr:nvSpPr>
        <xdr:spPr bwMode="auto">
          <a:xfrm>
            <a:off x="596" y="51"/>
            <a:ext cx="52" cy="16"/>
          </a:xfrm>
          <a:prstGeom prst="rect">
            <a:avLst/>
          </a:prstGeom>
          <a:solidFill>
            <a:srgbClr val="FFFFFF"/>
          </a:solidFill>
          <a:ln w="9525">
            <a:solidFill>
              <a:srgbClr val="000000"/>
            </a:solidFill>
            <a:miter lim="800000"/>
            <a:headEnd/>
            <a:tailEnd/>
          </a:ln>
        </xdr:spPr>
      </xdr:sp>
      <xdr:sp macro="" textlink="">
        <xdr:nvSpPr>
          <xdr:cNvPr id="11805" name="Rectangle 4"/>
          <xdr:cNvSpPr>
            <a:spLocks noChangeArrowheads="1"/>
          </xdr:cNvSpPr>
        </xdr:nvSpPr>
        <xdr:spPr bwMode="auto">
          <a:xfrm>
            <a:off x="596" y="67"/>
            <a:ext cx="52" cy="16"/>
          </a:xfrm>
          <a:prstGeom prst="rect">
            <a:avLst/>
          </a:prstGeom>
          <a:solidFill>
            <a:srgbClr val="C0C0C0"/>
          </a:solidFill>
          <a:ln w="9525">
            <a:solidFill>
              <a:srgbClr val="000000"/>
            </a:solidFill>
            <a:miter lim="800000"/>
            <a:headEnd/>
            <a:tailEnd/>
          </a:ln>
        </xdr:spPr>
      </xdr:sp>
      <xdr:sp macro="" textlink="">
        <xdr:nvSpPr>
          <xdr:cNvPr id="11806" name="Rectangle 5"/>
          <xdr:cNvSpPr>
            <a:spLocks noChangeArrowheads="1"/>
          </xdr:cNvSpPr>
        </xdr:nvSpPr>
        <xdr:spPr bwMode="auto">
          <a:xfrm>
            <a:off x="596" y="83"/>
            <a:ext cx="52" cy="16"/>
          </a:xfrm>
          <a:prstGeom prst="rect">
            <a:avLst/>
          </a:prstGeom>
          <a:solidFill>
            <a:srgbClr val="FFFF99"/>
          </a:solidFill>
          <a:ln w="9525">
            <a:solidFill>
              <a:srgbClr val="000000"/>
            </a:solidFill>
            <a:miter lim="800000"/>
            <a:headEnd/>
            <a:tailEnd/>
          </a:ln>
        </xdr:spPr>
      </xdr:sp>
      <xdr:sp macro="" textlink="">
        <xdr:nvSpPr>
          <xdr:cNvPr id="11270" name="Text Box 6"/>
          <xdr:cNvSpPr txBox="1">
            <a:spLocks noChangeArrowheads="1"/>
          </xdr:cNvSpPr>
        </xdr:nvSpPr>
        <xdr:spPr bwMode="auto">
          <a:xfrm>
            <a:off x="652" y="49"/>
            <a:ext cx="497" cy="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User enters value</a:t>
            </a:r>
          </a:p>
          <a:p>
            <a:pPr algn="l" rtl="0">
              <a:defRPr sz="1000"/>
            </a:pPr>
            <a:r>
              <a:rPr lang="en-US" sz="1000" b="0" i="0" u="none" strike="noStrike" baseline="0">
                <a:solidFill>
                  <a:srgbClr val="000000"/>
                </a:solidFill>
                <a:latin typeface="Arial"/>
                <a:cs typeface="Arial"/>
              </a:rPr>
              <a:t>User should only change value if able to provide explanation for adjustment</a:t>
            </a:r>
          </a:p>
          <a:p>
            <a:pPr algn="l" rtl="0">
              <a:defRPr sz="1000"/>
            </a:pPr>
            <a:r>
              <a:rPr lang="en-US" sz="1000" b="0" i="0" u="none" strike="noStrike" baseline="0">
                <a:solidFill>
                  <a:srgbClr val="000000"/>
                </a:solidFill>
                <a:latin typeface="Arial"/>
                <a:cs typeface="Arial"/>
              </a:rPr>
              <a:t>User should not change cell</a:t>
            </a:r>
          </a:p>
        </xdr:txBody>
      </xdr:sp>
    </xdr:grp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150132</xdr:colOff>
      <xdr:row>91</xdr:row>
      <xdr:rowOff>107040</xdr:rowOff>
    </xdr:from>
    <xdr:to>
      <xdr:col>17</xdr:col>
      <xdr:colOff>212575</xdr:colOff>
      <xdr:row>134</xdr:row>
      <xdr:rowOff>152401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138792</xdr:colOff>
      <xdr:row>59</xdr:row>
      <xdr:rowOff>10887</xdr:rowOff>
    </xdr:from>
    <xdr:to>
      <xdr:col>17</xdr:col>
      <xdr:colOff>361949</xdr:colOff>
      <xdr:row>90</xdr:row>
      <xdr:rowOff>155121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3</xdr:col>
      <xdr:colOff>424655</xdr:colOff>
      <xdr:row>32</xdr:row>
      <xdr:rowOff>142876</xdr:rowOff>
    </xdr:from>
    <xdr:to>
      <xdr:col>14</xdr:col>
      <xdr:colOff>407987</xdr:colOff>
      <xdr:row>49</xdr:row>
      <xdr:rowOff>21169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317496</xdr:colOff>
      <xdr:row>0</xdr:row>
      <xdr:rowOff>10584</xdr:rowOff>
    </xdr:from>
    <xdr:to>
      <xdr:col>14</xdr:col>
      <xdr:colOff>519638</xdr:colOff>
      <xdr:row>4</xdr:row>
      <xdr:rowOff>52917</xdr:rowOff>
    </xdr:to>
    <xdr:pic>
      <xdr:nvPicPr>
        <xdr:cNvPr id="3" name="il_fi" descr="http://cleanpowersf.org/wp-content/uploads/2010/04/SFWPS_onlineversion.png"/>
        <xdr:cNvPicPr/>
      </xdr:nvPicPr>
      <xdr:blipFill>
        <a:blip xmlns:r="http://schemas.openxmlformats.org/officeDocument/2006/relationships" r:embed="rId2" cstate="print"/>
        <a:srcRect l="14432" t="11550" r="12173" b="35099"/>
        <a:stretch>
          <a:fillRect/>
        </a:stretch>
      </xdr:blipFill>
      <xdr:spPr bwMode="auto">
        <a:xfrm>
          <a:off x="8974663" y="10584"/>
          <a:ext cx="1874309" cy="1026583"/>
        </a:xfrm>
        <a:prstGeom prst="rect">
          <a:avLst/>
        </a:prstGeom>
        <a:solidFill>
          <a:schemeClr val="bg1"/>
        </a:solidFill>
        <a:ln w="9525">
          <a:solidFill>
            <a:schemeClr val="tx1"/>
          </a:solidFill>
          <a:miter lim="800000"/>
          <a:headEnd/>
          <a:tailEn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16</xdr:col>
      <xdr:colOff>66675</xdr:colOff>
      <xdr:row>80</xdr:row>
      <xdr:rowOff>133350</xdr:rowOff>
    </xdr:to>
    <xdr:pic>
      <xdr:nvPicPr>
        <xdr:cNvPr id="28674"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609600" y="1133475"/>
          <a:ext cx="9210675" cy="1195387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www.water.ca.gov/wateruseefficiency/docs/wucols00.pdf" TargetMode="External"/><Relationship Id="rId1" Type="http://schemas.openxmlformats.org/officeDocument/2006/relationships/hyperlink" Target="http://sfwater.org/index.aspx?page=101" TargetMode="Externa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6.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7.xml"/><Relationship Id="rId1" Type="http://schemas.openxmlformats.org/officeDocument/2006/relationships/printerSettings" Target="../printerSettings/printerSettings21.bin"/><Relationship Id="rId4" Type="http://schemas.openxmlformats.org/officeDocument/2006/relationships/comments" Target="../comments1.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sheetPr>
    <pageSetUpPr fitToPage="1"/>
  </sheetPr>
  <dimension ref="A1:M55"/>
  <sheetViews>
    <sheetView tabSelected="1" workbookViewId="0">
      <selection activeCell="AB19" sqref="AB19"/>
    </sheetView>
  </sheetViews>
  <sheetFormatPr defaultRowHeight="15"/>
  <cols>
    <col min="1" max="1" width="5.42578125" style="1280" customWidth="1"/>
    <col min="2" max="2" width="18" style="1280" customWidth="1"/>
    <col min="3" max="3" width="79.85546875" style="1280" customWidth="1"/>
    <col min="4" max="16384" width="9.140625" style="1280"/>
  </cols>
  <sheetData>
    <row r="1" spans="1:13" s="1152" customFormat="1" ht="39">
      <c r="A1" s="1282" t="s">
        <v>1304</v>
      </c>
      <c r="B1" s="1150"/>
      <c r="C1" s="1150"/>
      <c r="D1" s="1150"/>
      <c r="E1" s="1151"/>
      <c r="G1" s="1151"/>
      <c r="H1" s="1151"/>
      <c r="I1" s="1151"/>
      <c r="J1" s="1151"/>
      <c r="K1" s="1151"/>
      <c r="L1" s="1151"/>
      <c r="M1" s="1151"/>
    </row>
    <row r="3" spans="1:13" s="1281" customFormat="1" ht="15.75">
      <c r="B3" s="1281" t="s">
        <v>1292</v>
      </c>
    </row>
    <row r="4" spans="1:13" s="1283" customFormat="1" ht="15.75">
      <c r="B4" s="1283" t="s">
        <v>1293</v>
      </c>
    </row>
    <row r="5" spans="1:13" s="1283" customFormat="1" ht="15.75">
      <c r="B5" s="1283" t="s">
        <v>1294</v>
      </c>
    </row>
    <row r="6" spans="1:13" s="1283" customFormat="1" ht="15.75">
      <c r="B6" s="1283" t="s">
        <v>1295</v>
      </c>
    </row>
    <row r="7" spans="1:13" s="1283" customFormat="1" ht="15.75"/>
    <row r="8" spans="1:13" s="1283" customFormat="1" ht="15" customHeight="1">
      <c r="B8" s="1425" t="s">
        <v>1305</v>
      </c>
      <c r="C8" s="1425"/>
      <c r="D8" s="1425"/>
      <c r="E8" s="1425"/>
      <c r="F8" s="1425"/>
      <c r="G8" s="1425"/>
      <c r="H8" s="1425"/>
    </row>
    <row r="9" spans="1:13" s="1283" customFormat="1" ht="15.75">
      <c r="B9" s="1425"/>
      <c r="C9" s="1425"/>
      <c r="D9" s="1425"/>
      <c r="E9" s="1425"/>
      <c r="F9" s="1425"/>
      <c r="G9" s="1425"/>
      <c r="H9" s="1425"/>
    </row>
    <row r="10" spans="1:13" s="1283" customFormat="1" ht="15.75">
      <c r="B10" s="1425"/>
      <c r="C10" s="1425"/>
      <c r="D10" s="1425"/>
      <c r="E10" s="1425"/>
      <c r="F10" s="1425"/>
      <c r="G10" s="1425"/>
      <c r="H10" s="1425"/>
    </row>
    <row r="11" spans="1:13" s="1283" customFormat="1" ht="15.75">
      <c r="B11" s="1425"/>
      <c r="C11" s="1425"/>
      <c r="D11" s="1425"/>
      <c r="E11" s="1425"/>
      <c r="F11" s="1425"/>
      <c r="G11" s="1425"/>
      <c r="H11" s="1425"/>
    </row>
    <row r="12" spans="1:13" s="1283" customFormat="1" ht="15.75">
      <c r="B12" s="1425"/>
      <c r="C12" s="1425"/>
      <c r="D12" s="1425"/>
      <c r="E12" s="1425"/>
      <c r="F12" s="1425"/>
      <c r="G12" s="1425"/>
      <c r="H12" s="1425"/>
    </row>
    <row r="13" spans="1:13" s="1283" customFormat="1" ht="15.75">
      <c r="B13" s="1284"/>
      <c r="C13" s="1284"/>
      <c r="D13" s="1284"/>
      <c r="E13" s="1284"/>
      <c r="F13" s="1284"/>
      <c r="G13" s="1284"/>
      <c r="H13" s="1284"/>
    </row>
    <row r="14" spans="1:13" s="1283" customFormat="1" ht="15.75">
      <c r="B14" s="1425" t="s">
        <v>1296</v>
      </c>
      <c r="C14" s="1425"/>
      <c r="D14" s="1425"/>
      <c r="E14" s="1425"/>
      <c r="F14" s="1425"/>
      <c r="G14" s="1425"/>
      <c r="H14" s="1425"/>
      <c r="I14" s="1425"/>
    </row>
    <row r="15" spans="1:13" s="1283" customFormat="1" ht="15.75">
      <c r="B15" s="1425"/>
      <c r="C15" s="1425"/>
      <c r="D15" s="1425"/>
      <c r="E15" s="1425"/>
      <c r="F15" s="1425"/>
      <c r="G15" s="1425"/>
      <c r="H15" s="1425"/>
      <c r="I15" s="1425"/>
    </row>
    <row r="16" spans="1:13" s="1283" customFormat="1" ht="15.75">
      <c r="B16" s="1425"/>
      <c r="C16" s="1425"/>
      <c r="D16" s="1425"/>
      <c r="E16" s="1425"/>
      <c r="F16" s="1425"/>
      <c r="G16" s="1425"/>
      <c r="H16" s="1425"/>
      <c r="I16" s="1425"/>
    </row>
    <row r="17" spans="2:9" s="1283" customFormat="1" ht="15.75">
      <c r="B17" s="1285" t="s">
        <v>1297</v>
      </c>
      <c r="C17" s="1284"/>
      <c r="D17" s="1284"/>
      <c r="E17" s="1284"/>
      <c r="F17" s="1284"/>
      <c r="G17" s="1284"/>
      <c r="H17" s="1284"/>
      <c r="I17" s="1284"/>
    </row>
    <row r="18" spans="2:9" s="1283" customFormat="1" ht="15.75">
      <c r="B18" s="1285"/>
      <c r="C18" s="1405"/>
      <c r="D18" s="1405"/>
      <c r="E18" s="1405"/>
      <c r="F18" s="1405"/>
      <c r="G18" s="1405"/>
      <c r="H18" s="1405"/>
      <c r="I18" s="1405"/>
    </row>
    <row r="19" spans="2:9" s="1283" customFormat="1" ht="15.75">
      <c r="B19" s="1285" t="s">
        <v>1421</v>
      </c>
      <c r="C19" s="1405"/>
      <c r="D19" s="1405"/>
      <c r="E19" s="1405"/>
      <c r="F19" s="1405"/>
      <c r="G19" s="1405"/>
      <c r="H19" s="1405"/>
      <c r="I19" s="1405"/>
    </row>
    <row r="20" spans="2:9" s="1283" customFormat="1" ht="15.75">
      <c r="B20" s="1285" t="s">
        <v>1422</v>
      </c>
      <c r="C20" s="1405"/>
      <c r="D20" s="1405"/>
      <c r="E20" s="1405"/>
      <c r="F20" s="1405"/>
      <c r="G20" s="1405"/>
      <c r="H20" s="1405"/>
      <c r="I20" s="1405"/>
    </row>
    <row r="21" spans="2:9" s="1283" customFormat="1" ht="15.75">
      <c r="B21" s="1285"/>
      <c r="C21" s="1424"/>
      <c r="D21" s="1424"/>
      <c r="E21" s="1424"/>
      <c r="F21" s="1424"/>
      <c r="G21" s="1424"/>
      <c r="H21" s="1424"/>
      <c r="I21" s="1424"/>
    </row>
    <row r="22" spans="2:9" s="1283" customFormat="1" ht="15.75">
      <c r="B22" s="1285" t="s">
        <v>1433</v>
      </c>
      <c r="C22" s="1424"/>
      <c r="D22" s="1424"/>
      <c r="E22" s="1424"/>
      <c r="F22" s="1424"/>
      <c r="G22" s="1424"/>
      <c r="H22" s="1424"/>
      <c r="I22" s="1424"/>
    </row>
    <row r="23" spans="2:9" s="1283" customFormat="1" ht="15.75">
      <c r="B23" s="1285" t="s">
        <v>1434</v>
      </c>
      <c r="C23" s="1424"/>
      <c r="D23" s="1424"/>
      <c r="E23" s="1424"/>
      <c r="F23" s="1424"/>
      <c r="G23" s="1424"/>
      <c r="H23" s="1424"/>
      <c r="I23" s="1424"/>
    </row>
    <row r="24" spans="2:9" s="1283" customFormat="1" ht="15.75"/>
    <row r="25" spans="2:9" s="1281" customFormat="1" ht="15.75">
      <c r="B25" s="1281" t="s">
        <v>1291</v>
      </c>
    </row>
    <row r="26" spans="2:9" s="1283" customFormat="1" ht="15.75">
      <c r="B26" s="1286" t="s">
        <v>1289</v>
      </c>
    </row>
    <row r="27" spans="2:9" s="1283" customFormat="1" ht="15.75">
      <c r="B27" s="1287" t="s">
        <v>1298</v>
      </c>
    </row>
    <row r="28" spans="2:9" s="1283" customFormat="1" ht="15.75">
      <c r="B28" s="1283" t="s">
        <v>1299</v>
      </c>
    </row>
    <row r="29" spans="2:9" s="1283" customFormat="1" ht="15.75">
      <c r="B29" s="1283" t="s">
        <v>1290</v>
      </c>
    </row>
    <row r="30" spans="2:9" s="1283" customFormat="1" ht="15.75">
      <c r="B30" s="1283" t="s">
        <v>1300</v>
      </c>
    </row>
    <row r="31" spans="2:9" s="1283" customFormat="1" ht="15.75"/>
    <row r="32" spans="2:9" s="1281" customFormat="1" ht="15.75">
      <c r="B32" s="1281" t="s">
        <v>1280</v>
      </c>
    </row>
    <row r="33" spans="1:3" s="1283" customFormat="1" ht="15.75">
      <c r="B33" s="1283" t="s">
        <v>1429</v>
      </c>
    </row>
    <row r="34" spans="1:3" s="1283" customFormat="1" ht="16.5" thickBot="1"/>
    <row r="35" spans="1:3" s="1283" customFormat="1" ht="15.75">
      <c r="B35" s="1288" t="s">
        <v>1279</v>
      </c>
      <c r="C35" s="1289" t="s">
        <v>902</v>
      </c>
    </row>
    <row r="36" spans="1:3" s="1283" customFormat="1" ht="15.75">
      <c r="B36" s="1290" t="s">
        <v>200</v>
      </c>
      <c r="C36" s="1291" t="s">
        <v>1281</v>
      </c>
    </row>
    <row r="37" spans="1:3" s="1283" customFormat="1" ht="15.75">
      <c r="B37" s="1290" t="s">
        <v>201</v>
      </c>
      <c r="C37" s="1291" t="s">
        <v>1282</v>
      </c>
    </row>
    <row r="38" spans="1:3" s="1283" customFormat="1" ht="15.75">
      <c r="B38" s="1290" t="s">
        <v>202</v>
      </c>
      <c r="C38" s="1291" t="s">
        <v>1283</v>
      </c>
    </row>
    <row r="39" spans="1:3" s="1283" customFormat="1" ht="15.75">
      <c r="B39" s="1290" t="s">
        <v>203</v>
      </c>
      <c r="C39" s="1291" t="s">
        <v>1284</v>
      </c>
    </row>
    <row r="40" spans="1:3" s="1283" customFormat="1" ht="15.75">
      <c r="B40" s="1290" t="s">
        <v>204</v>
      </c>
      <c r="C40" s="1291" t="s">
        <v>1285</v>
      </c>
    </row>
    <row r="41" spans="1:3" s="1283" customFormat="1" ht="15.75">
      <c r="B41" s="1290" t="s">
        <v>205</v>
      </c>
      <c r="C41" s="1291" t="s">
        <v>1286</v>
      </c>
    </row>
    <row r="42" spans="1:3" s="1283" customFormat="1" ht="15.75">
      <c r="B42" s="1290" t="s">
        <v>206</v>
      </c>
      <c r="C42" s="1291" t="s">
        <v>1287</v>
      </c>
    </row>
    <row r="43" spans="1:3" s="1283" customFormat="1" ht="16.5" thickBot="1">
      <c r="B43" s="1292" t="s">
        <v>207</v>
      </c>
      <c r="C43" s="1293" t="s">
        <v>1424</v>
      </c>
    </row>
    <row r="44" spans="1:3" s="1283" customFormat="1" ht="15.75"/>
    <row r="45" spans="1:3" s="1281" customFormat="1" ht="15.75">
      <c r="B45" s="1281" t="s">
        <v>1301</v>
      </c>
    </row>
    <row r="46" spans="1:3" s="1283" customFormat="1" ht="15.75"/>
    <row r="47" spans="1:3" s="1283" customFormat="1" ht="15.75">
      <c r="A47" s="1286"/>
      <c r="B47" s="1283" t="s">
        <v>1302</v>
      </c>
    </row>
    <row r="48" spans="1:3" s="1283" customFormat="1" ht="15.75">
      <c r="A48" s="1286"/>
    </row>
    <row r="49" spans="1:12" s="1283" customFormat="1" ht="15.75">
      <c r="B49" s="1283" t="s">
        <v>1306</v>
      </c>
    </row>
    <row r="50" spans="1:12" s="1283" customFormat="1" ht="15.75"/>
    <row r="51" spans="1:12" s="1283" customFormat="1" ht="15.75" customHeight="1">
      <c r="B51" s="1426" t="s">
        <v>1303</v>
      </c>
      <c r="C51" s="1426"/>
      <c r="D51" s="1426"/>
      <c r="E51" s="1426"/>
      <c r="F51" s="1426"/>
      <c r="G51" s="1426"/>
      <c r="H51" s="1426"/>
      <c r="I51" s="1426"/>
      <c r="J51" s="1426"/>
      <c r="K51" s="1426"/>
      <c r="L51" s="1426"/>
    </row>
    <row r="52" spans="1:12" s="1283" customFormat="1" ht="15.75">
      <c r="B52" s="1426"/>
      <c r="C52" s="1426"/>
      <c r="D52" s="1426"/>
      <c r="E52" s="1426"/>
      <c r="F52" s="1426"/>
      <c r="G52" s="1426"/>
      <c r="H52" s="1426"/>
      <c r="I52" s="1426"/>
      <c r="J52" s="1426"/>
      <c r="K52" s="1426"/>
      <c r="L52" s="1426"/>
    </row>
    <row r="53" spans="1:12">
      <c r="B53" s="1426"/>
      <c r="C53" s="1426"/>
      <c r="D53" s="1426"/>
      <c r="E53" s="1426"/>
      <c r="F53" s="1426"/>
      <c r="G53" s="1426"/>
      <c r="H53" s="1426"/>
      <c r="I53" s="1426"/>
      <c r="J53" s="1426"/>
      <c r="K53" s="1426"/>
      <c r="L53" s="1426"/>
    </row>
    <row r="55" spans="1:12" s="1298" customFormat="1" ht="23.25">
      <c r="A55" s="1153"/>
      <c r="B55" s="1294" t="s">
        <v>1307</v>
      </c>
      <c r="C55" s="1295"/>
      <c r="D55" s="1296"/>
      <c r="E55" s="1295"/>
      <c r="F55" s="1297"/>
      <c r="H55" s="1297"/>
      <c r="I55" s="1297"/>
      <c r="J55" s="1297"/>
      <c r="K55" s="1297"/>
      <c r="L55" s="1297"/>
    </row>
  </sheetData>
  <mergeCells count="3">
    <mergeCell ref="B8:H12"/>
    <mergeCell ref="B14:I16"/>
    <mergeCell ref="B51:L53"/>
  </mergeCells>
  <pageMargins left="0.7" right="0.7" top="0.75" bottom="0.75" header="0.3" footer="0.3"/>
  <pageSetup paperSize="119" scale="64" orientation="portrait" r:id="rId1"/>
</worksheet>
</file>

<file path=xl/worksheets/sheet2.xml><?xml version="1.0" encoding="utf-8"?>
<worksheet xmlns="http://schemas.openxmlformats.org/spreadsheetml/2006/main" xmlns:r="http://schemas.openxmlformats.org/officeDocument/2006/relationships">
  <sheetPr>
    <pageSetUpPr fitToPage="1"/>
  </sheetPr>
  <dimension ref="A1:AD169"/>
  <sheetViews>
    <sheetView topLeftCell="A94" zoomScale="85" zoomScaleNormal="85" zoomScalePageLayoutView="60" workbookViewId="0">
      <selection activeCell="D109" sqref="D109"/>
    </sheetView>
  </sheetViews>
  <sheetFormatPr defaultRowHeight="12.75"/>
  <cols>
    <col min="1" max="1" width="2.7109375" style="512" customWidth="1"/>
    <col min="2" max="2" width="48.85546875" style="513" customWidth="1"/>
    <col min="3" max="3" width="19.28515625" style="513" customWidth="1"/>
    <col min="4" max="4" width="40.140625" style="618" customWidth="1"/>
    <col min="5" max="5" width="15.7109375" style="513" customWidth="1"/>
    <col min="6" max="6" width="4.7109375" style="514" customWidth="1"/>
    <col min="7" max="7" width="16.7109375" style="512" customWidth="1"/>
    <col min="8" max="8" width="4.7109375" style="514" customWidth="1"/>
    <col min="9" max="9" width="16.7109375" style="514" customWidth="1"/>
    <col min="10" max="10" width="3" style="514" customWidth="1"/>
    <col min="11" max="12" width="16.7109375" style="514" customWidth="1"/>
    <col min="13" max="16384" width="9.140625" style="512"/>
  </cols>
  <sheetData>
    <row r="1" spans="1:12" s="463" customFormat="1" ht="26.25">
      <c r="A1" s="460" t="s">
        <v>867</v>
      </c>
      <c r="B1" s="461"/>
      <c r="C1" s="461"/>
      <c r="D1" s="616"/>
      <c r="E1" s="461"/>
      <c r="F1" s="462"/>
      <c r="H1" s="462"/>
      <c r="I1" s="462"/>
      <c r="J1" s="462"/>
      <c r="K1" s="462"/>
      <c r="L1" s="462"/>
    </row>
    <row r="2" spans="1:12" s="560" customFormat="1" ht="23.25">
      <c r="A2" s="1160" t="s">
        <v>1246</v>
      </c>
      <c r="B2" s="558"/>
      <c r="C2" s="558"/>
      <c r="D2" s="617"/>
      <c r="E2" s="558"/>
      <c r="F2" s="559"/>
      <c r="H2" s="559"/>
      <c r="I2" s="559"/>
      <c r="J2" s="559"/>
      <c r="K2" s="559"/>
      <c r="L2" s="559"/>
    </row>
    <row r="4" spans="1:12" s="520" customFormat="1" ht="15" customHeight="1">
      <c r="B4" s="566" t="s">
        <v>908</v>
      </c>
      <c r="C4" s="566"/>
      <c r="D4" s="886"/>
      <c r="E4" s="540"/>
      <c r="F4" s="478"/>
      <c r="G4" s="539" t="s">
        <v>868</v>
      </c>
      <c r="H4" s="794"/>
      <c r="I4" s="794"/>
      <c r="J4" s="478"/>
      <c r="K4" s="478"/>
      <c r="L4" s="478"/>
    </row>
    <row r="5" spans="1:12" s="520" customFormat="1" ht="15" customHeight="1">
      <c r="B5" s="1442" t="s">
        <v>1379</v>
      </c>
      <c r="C5" s="1442"/>
      <c r="D5" s="1442"/>
      <c r="E5" s="1442"/>
      <c r="F5" s="478"/>
      <c r="G5" s="854" t="s">
        <v>1091</v>
      </c>
      <c r="H5" s="895"/>
      <c r="I5" s="1359"/>
      <c r="J5" s="478"/>
      <c r="K5" s="478"/>
      <c r="L5" s="478"/>
    </row>
    <row r="6" spans="1:12" s="520" customFormat="1" ht="15" customHeight="1">
      <c r="B6" s="1442"/>
      <c r="C6" s="1442"/>
      <c r="D6" s="1442"/>
      <c r="E6" s="1442"/>
      <c r="F6" s="478"/>
      <c r="G6" s="896" t="s">
        <v>960</v>
      </c>
      <c r="H6" s="897"/>
      <c r="I6" s="799"/>
      <c r="J6" s="478"/>
      <c r="K6" s="478"/>
      <c r="L6" s="478"/>
    </row>
    <row r="7" spans="1:12" s="520" customFormat="1" ht="15" customHeight="1">
      <c r="B7" s="1442"/>
      <c r="C7" s="1442"/>
      <c r="D7" s="1442"/>
      <c r="E7" s="1442"/>
      <c r="F7" s="478"/>
      <c r="G7" s="896" t="s">
        <v>961</v>
      </c>
      <c r="H7" s="897"/>
      <c r="I7" s="805"/>
      <c r="J7" s="478"/>
      <c r="K7" s="478"/>
      <c r="L7" s="478"/>
    </row>
    <row r="8" spans="1:12">
      <c r="H8" s="515"/>
    </row>
    <row r="9" spans="1:12" s="517" customFormat="1" ht="18.75">
      <c r="B9" s="1178" t="s">
        <v>1241</v>
      </c>
      <c r="C9" s="571"/>
      <c r="D9" s="619"/>
      <c r="E9" s="571"/>
      <c r="F9" s="572"/>
      <c r="G9" s="573"/>
      <c r="H9" s="574"/>
      <c r="I9" s="574"/>
      <c r="J9" s="574"/>
      <c r="K9" s="574"/>
      <c r="L9" s="574"/>
    </row>
    <row r="10" spans="1:12" s="790" customFormat="1" ht="15">
      <c r="B10" s="468" t="s">
        <v>1096</v>
      </c>
      <c r="C10" s="566"/>
      <c r="D10" s="623"/>
      <c r="E10" s="566"/>
      <c r="F10" s="696"/>
      <c r="G10" s="611"/>
      <c r="H10" s="810"/>
      <c r="I10" s="810"/>
      <c r="J10" s="810"/>
      <c r="K10" s="810"/>
      <c r="L10" s="810"/>
    </row>
    <row r="11" spans="1:12" s="790" customFormat="1" ht="15">
      <c r="B11" s="1388" t="s">
        <v>1090</v>
      </c>
      <c r="C11" s="566"/>
      <c r="D11" s="623"/>
      <c r="E11" s="566"/>
      <c r="F11" s="696"/>
      <c r="G11" s="611"/>
      <c r="H11" s="810"/>
      <c r="I11" s="810"/>
      <c r="J11" s="810"/>
      <c r="K11" s="810"/>
      <c r="L11" s="810"/>
    </row>
    <row r="12" spans="1:12">
      <c r="B12" s="516"/>
      <c r="C12" s="516"/>
      <c r="D12" s="518"/>
    </row>
    <row r="13" spans="1:12" s="520" customFormat="1" ht="15">
      <c r="B13" s="566" t="s">
        <v>869</v>
      </c>
      <c r="C13" s="1465" t="s">
        <v>1423</v>
      </c>
      <c r="D13" s="1466"/>
      <c r="E13" s="1314" t="s">
        <v>1350</v>
      </c>
      <c r="F13" s="567"/>
      <c r="H13" s="478"/>
      <c r="I13" s="478"/>
      <c r="J13" s="478"/>
      <c r="K13" s="478"/>
      <c r="L13" s="478"/>
    </row>
    <row r="14" spans="1:12" s="520" customFormat="1" ht="15">
      <c r="B14" s="566"/>
      <c r="C14" s="623"/>
      <c r="D14" s="620" t="s">
        <v>997</v>
      </c>
      <c r="E14" s="624"/>
      <c r="F14" s="567"/>
      <c r="H14" s="478"/>
      <c r="I14" s="478"/>
      <c r="J14" s="478"/>
      <c r="K14" s="478"/>
      <c r="L14" s="478"/>
    </row>
    <row r="15" spans="1:12" s="520" customFormat="1" ht="15" customHeight="1">
      <c r="B15" s="566" t="s">
        <v>870</v>
      </c>
      <c r="C15" s="1453"/>
      <c r="D15" s="1454"/>
      <c r="E15" s="1314" t="s">
        <v>1351</v>
      </c>
      <c r="F15" s="567"/>
      <c r="H15" s="478"/>
      <c r="I15" s="478"/>
      <c r="J15" s="478"/>
      <c r="K15" s="478"/>
      <c r="L15" s="478"/>
    </row>
    <row r="16" spans="1:12" s="520" customFormat="1" ht="15">
      <c r="B16" s="566"/>
      <c r="C16" s="1455"/>
      <c r="D16" s="1456"/>
      <c r="E16" s="1314"/>
      <c r="F16" s="567"/>
      <c r="H16" s="478"/>
      <c r="I16" s="478"/>
      <c r="J16" s="478"/>
      <c r="K16" s="478"/>
      <c r="L16" s="478"/>
    </row>
    <row r="17" spans="2:12" s="520" customFormat="1" ht="15">
      <c r="B17" s="566"/>
      <c r="C17" s="1457"/>
      <c r="D17" s="1458"/>
      <c r="E17" s="1314"/>
      <c r="F17" s="567"/>
      <c r="H17" s="478"/>
      <c r="I17" s="478"/>
      <c r="J17" s="478"/>
      <c r="K17" s="478"/>
      <c r="L17" s="478"/>
    </row>
    <row r="18" spans="2:12" s="520" customFormat="1" ht="15">
      <c r="B18" s="566"/>
      <c r="C18" s="623"/>
      <c r="D18" s="620"/>
      <c r="E18" s="624"/>
      <c r="F18" s="567"/>
      <c r="H18" s="478"/>
      <c r="I18" s="478"/>
      <c r="J18" s="478"/>
      <c r="K18" s="478"/>
      <c r="L18" s="478"/>
    </row>
    <row r="19" spans="2:12" s="520" customFormat="1" ht="15">
      <c r="B19" s="566" t="s">
        <v>1000</v>
      </c>
      <c r="C19" s="1450"/>
      <c r="D19" s="1451"/>
      <c r="E19" s="1314" t="s">
        <v>1352</v>
      </c>
      <c r="F19" s="567"/>
      <c r="H19" s="478"/>
      <c r="I19" s="478"/>
      <c r="J19" s="478"/>
      <c r="K19" s="478"/>
      <c r="L19" s="478"/>
    </row>
    <row r="20" spans="2:12" s="520" customFormat="1" ht="15">
      <c r="B20" s="566"/>
      <c r="C20" s="623"/>
      <c r="D20" s="621"/>
      <c r="E20" s="625"/>
      <c r="F20" s="567"/>
      <c r="H20" s="478"/>
      <c r="I20" s="478"/>
      <c r="J20" s="478"/>
      <c r="K20" s="478"/>
      <c r="L20" s="478"/>
    </row>
    <row r="21" spans="2:12" s="520" customFormat="1" ht="15">
      <c r="B21" s="566" t="s">
        <v>871</v>
      </c>
      <c r="C21" s="1360"/>
      <c r="D21" s="626" t="s">
        <v>999</v>
      </c>
      <c r="E21" s="625"/>
      <c r="F21" s="567"/>
      <c r="H21" s="478"/>
      <c r="I21" s="478"/>
      <c r="J21" s="478"/>
      <c r="K21" s="478"/>
      <c r="L21" s="478"/>
    </row>
    <row r="22" spans="2:12" s="520" customFormat="1" ht="15">
      <c r="B22" s="566"/>
      <c r="C22" s="623"/>
      <c r="D22" s="620"/>
      <c r="E22" s="624"/>
      <c r="F22" s="567"/>
      <c r="H22" s="478"/>
      <c r="I22" s="478"/>
      <c r="J22" s="478"/>
      <c r="K22" s="478"/>
      <c r="L22" s="478"/>
    </row>
    <row r="23" spans="2:12" s="520" customFormat="1" ht="15" customHeight="1">
      <c r="B23" s="566" t="s">
        <v>872</v>
      </c>
      <c r="C23" s="1459"/>
      <c r="D23" s="1460"/>
      <c r="E23" s="1314" t="s">
        <v>1353</v>
      </c>
      <c r="F23" s="567"/>
      <c r="H23" s="478"/>
      <c r="I23" s="478"/>
      <c r="J23" s="478"/>
      <c r="K23" s="478"/>
      <c r="L23" s="478"/>
    </row>
    <row r="24" spans="2:12" s="520" customFormat="1" ht="15">
      <c r="B24" s="566"/>
      <c r="C24" s="1461"/>
      <c r="D24" s="1462"/>
      <c r="E24" s="1314" t="s">
        <v>1354</v>
      </c>
      <c r="F24" s="567"/>
      <c r="H24" s="478"/>
      <c r="I24" s="478"/>
      <c r="J24" s="478"/>
      <c r="K24" s="478"/>
      <c r="L24" s="478"/>
    </row>
    <row r="25" spans="2:12" s="520" customFormat="1" ht="15">
      <c r="B25" s="566"/>
      <c r="C25" s="1463"/>
      <c r="D25" s="1464"/>
      <c r="E25" s="1314" t="s">
        <v>1355</v>
      </c>
      <c r="F25" s="567"/>
      <c r="H25" s="478"/>
      <c r="I25" s="478"/>
      <c r="J25" s="478"/>
      <c r="K25" s="478"/>
      <c r="L25" s="478"/>
    </row>
    <row r="26" spans="2:12" s="520" customFormat="1" ht="15">
      <c r="B26" s="566"/>
      <c r="C26" s="623"/>
      <c r="D26" s="620"/>
      <c r="E26" s="470"/>
      <c r="F26" s="567"/>
      <c r="H26" s="478"/>
      <c r="I26" s="478"/>
      <c r="J26" s="478"/>
      <c r="K26" s="478"/>
      <c r="L26" s="478"/>
    </row>
    <row r="27" spans="2:12" s="520" customFormat="1" ht="17.25">
      <c r="B27" s="539" t="s">
        <v>1049</v>
      </c>
      <c r="C27" s="1361"/>
      <c r="D27" s="1358" t="s">
        <v>1363</v>
      </c>
      <c r="F27" s="567"/>
      <c r="H27" s="478"/>
      <c r="I27" s="478"/>
      <c r="J27" s="478"/>
      <c r="K27" s="557"/>
      <c r="L27" s="478"/>
    </row>
    <row r="28" spans="2:12" s="790" customFormat="1" ht="15">
      <c r="B28" s="539"/>
      <c r="C28" s="568"/>
      <c r="D28" s="1358"/>
      <c r="F28" s="567"/>
      <c r="H28" s="788"/>
      <c r="I28" s="788"/>
      <c r="J28" s="788"/>
      <c r="K28" s="557"/>
      <c r="L28" s="788"/>
    </row>
    <row r="29" spans="2:12" s="520" customFormat="1" ht="15">
      <c r="B29" s="539" t="s">
        <v>1097</v>
      </c>
      <c r="C29" s="1361"/>
      <c r="D29" s="1358" t="s">
        <v>1364</v>
      </c>
      <c r="E29" s="470"/>
      <c r="F29" s="567"/>
      <c r="H29" s="478"/>
      <c r="I29" s="478"/>
      <c r="J29" s="478"/>
      <c r="K29" s="557"/>
      <c r="L29" s="478"/>
    </row>
    <row r="30" spans="2:12" s="790" customFormat="1" ht="15">
      <c r="B30" s="539"/>
      <c r="C30" s="568"/>
      <c r="D30" s="1358"/>
      <c r="E30" s="470"/>
      <c r="F30" s="567"/>
      <c r="H30" s="788"/>
      <c r="I30" s="788"/>
      <c r="J30" s="788"/>
      <c r="K30" s="557"/>
      <c r="L30" s="788"/>
    </row>
    <row r="31" spans="2:12" s="790" customFormat="1" ht="15">
      <c r="B31" s="539" t="s">
        <v>1110</v>
      </c>
      <c r="C31" s="1361"/>
      <c r="D31" s="1358" t="s">
        <v>1365</v>
      </c>
      <c r="E31" s="470"/>
      <c r="F31" s="567"/>
      <c r="H31" s="788"/>
      <c r="I31" s="788"/>
      <c r="J31" s="788"/>
      <c r="K31" s="557"/>
      <c r="L31" s="788"/>
    </row>
    <row r="32" spans="2:12" ht="15">
      <c r="D32" s="518"/>
      <c r="E32" s="569"/>
      <c r="F32" s="567"/>
    </row>
    <row r="33" spans="2:12" s="517" customFormat="1" ht="18.75">
      <c r="B33" s="1178" t="s">
        <v>1242</v>
      </c>
      <c r="C33" s="571"/>
      <c r="D33" s="619"/>
      <c r="E33" s="571"/>
      <c r="F33" s="572"/>
      <c r="G33" s="573"/>
      <c r="H33" s="574"/>
      <c r="I33" s="574"/>
      <c r="J33" s="574"/>
      <c r="K33" s="574"/>
      <c r="L33" s="574"/>
    </row>
    <row r="34" spans="2:12" s="790" customFormat="1" ht="15">
      <c r="B34" s="468" t="s">
        <v>1096</v>
      </c>
      <c r="C34" s="566"/>
      <c r="D34" s="623"/>
      <c r="E34" s="566"/>
      <c r="F34" s="696"/>
      <c r="G34" s="611"/>
      <c r="H34" s="810"/>
      <c r="I34" s="810"/>
      <c r="J34" s="810"/>
      <c r="K34" s="810"/>
      <c r="L34" s="810"/>
    </row>
    <row r="35" spans="2:12" s="790" customFormat="1" ht="15">
      <c r="B35" s="1388" t="s">
        <v>1092</v>
      </c>
      <c r="C35" s="566"/>
      <c r="D35" s="623"/>
      <c r="E35" s="566"/>
      <c r="F35" s="696"/>
      <c r="G35" s="611"/>
      <c r="H35" s="810"/>
      <c r="I35" s="810"/>
      <c r="J35" s="810"/>
      <c r="K35" s="810"/>
      <c r="L35" s="810"/>
    </row>
    <row r="36" spans="2:12" ht="15">
      <c r="E36" s="569"/>
      <c r="F36" s="567"/>
    </row>
    <row r="37" spans="2:12" ht="15">
      <c r="B37" s="539" t="s">
        <v>873</v>
      </c>
      <c r="C37" s="1362" t="s">
        <v>874</v>
      </c>
      <c r="D37" s="1358" t="s">
        <v>1366</v>
      </c>
      <c r="E37" s="512"/>
      <c r="F37" s="567"/>
    </row>
    <row r="38" spans="2:12" ht="15">
      <c r="E38" s="569"/>
      <c r="F38" s="567"/>
    </row>
    <row r="39" spans="2:12" s="520" customFormat="1" ht="15" customHeight="1">
      <c r="B39" s="1432" t="s">
        <v>1081</v>
      </c>
      <c r="C39" s="1433"/>
      <c r="D39" s="1433"/>
      <c r="E39" s="1434"/>
      <c r="F39" s="611"/>
      <c r="G39" s="611"/>
      <c r="H39" s="478"/>
      <c r="I39" s="478"/>
      <c r="J39" s="478"/>
      <c r="K39" s="478"/>
      <c r="L39" s="478"/>
    </row>
    <row r="40" spans="2:12" s="520" customFormat="1" ht="15">
      <c r="B40" s="612" t="s">
        <v>874</v>
      </c>
      <c r="C40" s="1431" t="s">
        <v>875</v>
      </c>
      <c r="D40" s="1431"/>
      <c r="E40" s="1431"/>
      <c r="F40" s="611"/>
      <c r="G40" s="611"/>
      <c r="H40" s="478"/>
      <c r="I40" s="478"/>
      <c r="J40" s="478"/>
      <c r="K40" s="478"/>
      <c r="L40" s="478"/>
    </row>
    <row r="41" spans="2:12" s="523" customFormat="1" ht="32.25" customHeight="1">
      <c r="B41" s="561" t="s">
        <v>876</v>
      </c>
      <c r="C41" s="1435" t="s">
        <v>877</v>
      </c>
      <c r="D41" s="1435"/>
      <c r="E41" s="1435"/>
      <c r="F41" s="554"/>
      <c r="G41" s="554"/>
      <c r="H41" s="522"/>
      <c r="I41" s="522"/>
      <c r="J41" s="522"/>
      <c r="K41" s="522"/>
      <c r="L41" s="522"/>
    </row>
    <row r="42" spans="2:12" s="523" customFormat="1" ht="32.25" customHeight="1">
      <c r="B42" s="561" t="s">
        <v>878</v>
      </c>
      <c r="C42" s="1435" t="s">
        <v>879</v>
      </c>
      <c r="D42" s="1435"/>
      <c r="E42" s="1435"/>
      <c r="F42" s="554"/>
      <c r="G42" s="554"/>
      <c r="H42" s="522"/>
      <c r="I42" s="522"/>
      <c r="J42" s="522"/>
      <c r="K42" s="522"/>
      <c r="L42" s="522"/>
    </row>
    <row r="43" spans="2:12" s="523" customFormat="1" ht="34.5" customHeight="1">
      <c r="B43" s="561" t="s">
        <v>880</v>
      </c>
      <c r="C43" s="1435" t="s">
        <v>881</v>
      </c>
      <c r="D43" s="1435"/>
      <c r="E43" s="1435"/>
      <c r="F43" s="554"/>
      <c r="G43" s="554"/>
      <c r="H43" s="522"/>
      <c r="I43" s="522"/>
      <c r="J43" s="522"/>
      <c r="K43" s="522"/>
      <c r="L43" s="522"/>
    </row>
    <row r="44" spans="2:12" s="523" customFormat="1" ht="92.25" customHeight="1">
      <c r="B44" s="561" t="s">
        <v>882</v>
      </c>
      <c r="C44" s="1435" t="s">
        <v>883</v>
      </c>
      <c r="D44" s="1435"/>
      <c r="E44" s="1435"/>
      <c r="F44" s="554"/>
      <c r="G44" s="554"/>
      <c r="H44" s="522"/>
      <c r="I44" s="522"/>
      <c r="J44" s="522"/>
      <c r="K44" s="522"/>
      <c r="L44" s="522"/>
    </row>
    <row r="45" spans="2:12" s="523" customFormat="1" ht="32.25" customHeight="1">
      <c r="B45" s="561" t="s">
        <v>884</v>
      </c>
      <c r="C45" s="1435" t="s">
        <v>885</v>
      </c>
      <c r="D45" s="1435"/>
      <c r="E45" s="1435"/>
      <c r="F45" s="554"/>
      <c r="G45" s="554"/>
      <c r="H45" s="522"/>
      <c r="I45" s="522"/>
      <c r="J45" s="522"/>
      <c r="K45" s="522"/>
      <c r="L45" s="522"/>
    </row>
    <row r="46" spans="2:12" s="523" customFormat="1" ht="17.25" customHeight="1">
      <c r="B46" s="561" t="s">
        <v>886</v>
      </c>
      <c r="C46" s="1435" t="s">
        <v>887</v>
      </c>
      <c r="D46" s="1435"/>
      <c r="E46" s="1435"/>
      <c r="F46" s="554"/>
      <c r="G46" s="554"/>
      <c r="H46" s="522"/>
      <c r="I46" s="522"/>
      <c r="J46" s="522"/>
      <c r="K46" s="522"/>
      <c r="L46" s="522"/>
    </row>
    <row r="47" spans="2:12" s="523" customFormat="1" ht="16.5" customHeight="1">
      <c r="B47" s="561" t="s">
        <v>888</v>
      </c>
      <c r="C47" s="1435" t="s">
        <v>889</v>
      </c>
      <c r="D47" s="1435"/>
      <c r="E47" s="1435"/>
      <c r="F47" s="554"/>
      <c r="G47" s="554"/>
      <c r="H47" s="522"/>
      <c r="I47" s="522"/>
      <c r="J47" s="522"/>
      <c r="K47" s="522"/>
      <c r="L47" s="522"/>
    </row>
    <row r="48" spans="2:12" s="523" customFormat="1" ht="33" customHeight="1">
      <c r="B48" s="561" t="s">
        <v>890</v>
      </c>
      <c r="C48" s="1435" t="s">
        <v>891</v>
      </c>
      <c r="D48" s="1435"/>
      <c r="E48" s="1435"/>
      <c r="F48" s="554"/>
      <c r="G48" s="554"/>
      <c r="H48" s="522"/>
      <c r="I48" s="522"/>
      <c r="J48" s="522"/>
      <c r="K48" s="522"/>
      <c r="L48" s="522"/>
    </row>
    <row r="49" spans="2:30" s="523" customFormat="1" ht="30.75" customHeight="1">
      <c r="B49" s="561" t="s">
        <v>892</v>
      </c>
      <c r="C49" s="1435" t="s">
        <v>893</v>
      </c>
      <c r="D49" s="1435"/>
      <c r="E49" s="1435"/>
      <c r="F49" s="554"/>
      <c r="G49" s="554"/>
      <c r="H49" s="522"/>
      <c r="I49" s="522"/>
      <c r="J49" s="522"/>
      <c r="K49" s="522"/>
      <c r="L49" s="522"/>
    </row>
    <row r="50" spans="2:30" s="520" customFormat="1" ht="15">
      <c r="B50" s="521"/>
      <c r="C50" s="521"/>
      <c r="D50" s="622"/>
      <c r="E50" s="521"/>
      <c r="F50" s="478"/>
      <c r="H50" s="478"/>
      <c r="I50" s="478"/>
      <c r="J50" s="478"/>
      <c r="K50" s="478"/>
      <c r="L50" s="478"/>
    </row>
    <row r="51" spans="2:30" s="520" customFormat="1" ht="15">
      <c r="B51" s="521"/>
      <c r="C51" s="521"/>
      <c r="D51" s="622"/>
      <c r="E51" s="521"/>
      <c r="F51" s="478"/>
      <c r="H51" s="478"/>
      <c r="I51" s="478"/>
      <c r="J51" s="478"/>
      <c r="K51" s="478"/>
      <c r="L51" s="478"/>
    </row>
    <row r="52" spans="2:30" s="636" customFormat="1" ht="15.75">
      <c r="B52" s="680" t="s">
        <v>957</v>
      </c>
      <c r="C52" s="680"/>
      <c r="D52" s="681"/>
      <c r="E52" s="682"/>
      <c r="F52" s="683"/>
      <c r="G52" s="684"/>
      <c r="H52" s="683"/>
      <c r="I52" s="683"/>
      <c r="J52" s="683"/>
      <c r="K52" s="683"/>
      <c r="L52" s="683"/>
    </row>
    <row r="53" spans="2:30" s="520" customFormat="1" ht="15">
      <c r="B53" s="1157" t="s">
        <v>1096</v>
      </c>
      <c r="C53" s="898"/>
      <c r="D53" s="899"/>
      <c r="E53" s="900"/>
      <c r="F53" s="603"/>
      <c r="G53" s="609"/>
      <c r="H53" s="603"/>
      <c r="I53" s="603"/>
      <c r="J53" s="603"/>
      <c r="K53" s="603"/>
      <c r="L53" s="603"/>
    </row>
    <row r="54" spans="2:30" ht="15.75" customHeight="1">
      <c r="B54" s="1452" t="s">
        <v>1243</v>
      </c>
      <c r="C54" s="1452"/>
      <c r="D54" s="1452"/>
      <c r="E54" s="1452"/>
      <c r="F54" s="1452"/>
      <c r="G54" s="1452"/>
      <c r="H54" s="1452"/>
      <c r="I54" s="1452"/>
      <c r="J54" s="1452"/>
      <c r="K54" s="1452"/>
      <c r="L54" s="1452"/>
    </row>
    <row r="55" spans="2:30" ht="15.75" customHeight="1">
      <c r="B55" s="1452"/>
      <c r="C55" s="1452"/>
      <c r="D55" s="1452"/>
      <c r="E55" s="1452"/>
      <c r="F55" s="1452"/>
      <c r="G55" s="1452"/>
      <c r="H55" s="1452"/>
      <c r="I55" s="1452"/>
      <c r="J55" s="1452"/>
      <c r="K55" s="1452"/>
      <c r="L55" s="1452"/>
    </row>
    <row r="56" spans="2:30" s="789" customFormat="1" ht="15.75" customHeight="1">
      <c r="B56" s="789" t="s">
        <v>1054</v>
      </c>
      <c r="C56" s="540"/>
      <c r="D56" s="540"/>
      <c r="E56" s="540"/>
      <c r="F56" s="540"/>
      <c r="G56" s="540"/>
      <c r="H56" s="540"/>
      <c r="I56" s="540"/>
      <c r="J56" s="540"/>
      <c r="K56" s="540"/>
      <c r="L56" s="540"/>
    </row>
    <row r="57" spans="2:30" s="518" customFormat="1" ht="15" customHeight="1">
      <c r="B57" s="854"/>
      <c r="C57" s="854"/>
      <c r="D57" s="854"/>
      <c r="E57" s="854"/>
      <c r="F57" s="854"/>
      <c r="G57" s="854"/>
      <c r="H57" s="854"/>
      <c r="I57" s="854"/>
      <c r="J57" s="854"/>
      <c r="K57" s="854"/>
      <c r="L57" s="854"/>
    </row>
    <row r="58" spans="2:30" s="524" customFormat="1" ht="15.75" customHeight="1">
      <c r="B58" s="1443" t="s">
        <v>958</v>
      </c>
      <c r="C58" s="1443"/>
      <c r="D58" s="1443"/>
      <c r="E58" s="1443"/>
      <c r="F58" s="1444" t="s">
        <v>959</v>
      </c>
      <c r="G58" s="1445"/>
      <c r="H58" s="1445"/>
      <c r="I58" s="1445"/>
      <c r="J58" s="1445"/>
      <c r="K58" s="1445"/>
      <c r="L58" s="1446"/>
      <c r="M58" s="830"/>
      <c r="N58" s="830"/>
      <c r="O58" s="830"/>
      <c r="P58" s="830"/>
      <c r="Q58" s="830"/>
      <c r="R58" s="830"/>
      <c r="S58" s="830"/>
      <c r="T58" s="830"/>
      <c r="U58" s="830"/>
      <c r="V58" s="830"/>
      <c r="W58" s="830"/>
      <c r="X58" s="830"/>
      <c r="Y58" s="830"/>
      <c r="Z58" s="830"/>
      <c r="AA58" s="830"/>
      <c r="AB58" s="830"/>
      <c r="AC58" s="830"/>
      <c r="AD58" s="830"/>
    </row>
    <row r="59" spans="2:30" s="524" customFormat="1" ht="15.75" customHeight="1">
      <c r="B59" s="1443"/>
      <c r="C59" s="1443"/>
      <c r="D59" s="1443"/>
      <c r="E59" s="1443"/>
      <c r="F59" s="1447"/>
      <c r="G59" s="1448"/>
      <c r="H59" s="1448"/>
      <c r="I59" s="1448"/>
      <c r="J59" s="1448"/>
      <c r="K59" s="1448"/>
      <c r="L59" s="1449"/>
      <c r="M59" s="830"/>
      <c r="N59" s="830"/>
      <c r="O59" s="830"/>
      <c r="P59" s="830"/>
      <c r="Q59" s="830"/>
      <c r="R59" s="830"/>
      <c r="S59" s="830"/>
      <c r="T59" s="830"/>
      <c r="U59" s="830"/>
      <c r="V59" s="830"/>
      <c r="W59" s="830"/>
      <c r="X59" s="830"/>
      <c r="Y59" s="830"/>
      <c r="Z59" s="830"/>
      <c r="AA59" s="830"/>
      <c r="AB59" s="830"/>
      <c r="AC59" s="830"/>
      <c r="AD59" s="830"/>
    </row>
    <row r="60" spans="2:30" s="524" customFormat="1" ht="15">
      <c r="B60" s="471" t="s">
        <v>463</v>
      </c>
      <c r="C60" s="1436" t="s">
        <v>464</v>
      </c>
      <c r="D60" s="1437"/>
      <c r="E60" s="471" t="s">
        <v>465</v>
      </c>
      <c r="F60" s="471"/>
      <c r="G60" s="471" t="s">
        <v>466</v>
      </c>
      <c r="H60" s="471"/>
      <c r="I60" s="471" t="s">
        <v>467</v>
      </c>
      <c r="J60" s="578"/>
      <c r="K60" s="471" t="s">
        <v>468</v>
      </c>
      <c r="L60" s="471" t="s">
        <v>469</v>
      </c>
      <c r="M60" s="830"/>
      <c r="N60" s="830"/>
      <c r="O60" s="830"/>
      <c r="P60" s="830"/>
      <c r="Q60" s="830"/>
      <c r="R60" s="830"/>
      <c r="S60" s="830"/>
      <c r="T60" s="830"/>
      <c r="U60" s="830"/>
      <c r="V60" s="830"/>
      <c r="W60" s="830"/>
      <c r="X60" s="830"/>
      <c r="Y60" s="830"/>
      <c r="Z60" s="830"/>
      <c r="AA60" s="830"/>
      <c r="AB60" s="830"/>
      <c r="AC60" s="830"/>
      <c r="AD60" s="830"/>
    </row>
    <row r="61" spans="2:30" s="570" customFormat="1" ht="45" customHeight="1">
      <c r="B61" s="472" t="s">
        <v>901</v>
      </c>
      <c r="C61" s="1438" t="s">
        <v>902</v>
      </c>
      <c r="D61" s="1439"/>
      <c r="E61" s="631" t="s">
        <v>1051</v>
      </c>
      <c r="F61" s="472"/>
      <c r="G61" s="631" t="s">
        <v>1053</v>
      </c>
      <c r="H61" s="474"/>
      <c r="I61" s="631" t="s">
        <v>1053</v>
      </c>
      <c r="J61" s="579"/>
      <c r="K61" s="473" t="s">
        <v>903</v>
      </c>
      <c r="L61" s="473" t="s">
        <v>962</v>
      </c>
      <c r="M61" s="831"/>
      <c r="N61" s="831"/>
      <c r="O61" s="831"/>
      <c r="P61" s="831"/>
      <c r="Q61" s="831"/>
      <c r="R61" s="831"/>
      <c r="S61" s="831"/>
      <c r="T61" s="831"/>
      <c r="U61" s="831"/>
      <c r="V61" s="831"/>
      <c r="W61" s="831"/>
      <c r="X61" s="831"/>
      <c r="Y61" s="831"/>
      <c r="Z61" s="831"/>
      <c r="AA61" s="831"/>
      <c r="AB61" s="831"/>
      <c r="AC61" s="831"/>
      <c r="AD61" s="831"/>
    </row>
    <row r="62" spans="2:30" s="534" customFormat="1" ht="30">
      <c r="B62" s="475" t="s">
        <v>901</v>
      </c>
      <c r="C62" s="1428" t="s">
        <v>904</v>
      </c>
      <c r="D62" s="1429"/>
      <c r="E62" s="476" t="s">
        <v>1052</v>
      </c>
      <c r="F62" s="476"/>
      <c r="G62" s="475" t="s">
        <v>983</v>
      </c>
      <c r="H62" s="475"/>
      <c r="I62" s="475" t="s">
        <v>984</v>
      </c>
      <c r="J62" s="477"/>
      <c r="K62" s="1428" t="s">
        <v>1001</v>
      </c>
      <c r="L62" s="1429"/>
      <c r="M62" s="832"/>
      <c r="N62" s="832"/>
      <c r="O62" s="832"/>
      <c r="P62" s="832"/>
      <c r="Q62" s="832"/>
      <c r="R62" s="832"/>
      <c r="S62" s="832"/>
      <c r="T62" s="832"/>
      <c r="U62" s="832"/>
      <c r="V62" s="832"/>
      <c r="W62" s="832"/>
      <c r="X62" s="832"/>
      <c r="Y62" s="832"/>
      <c r="Z62" s="832"/>
      <c r="AA62" s="832"/>
      <c r="AB62" s="832"/>
      <c r="AC62" s="832"/>
      <c r="AD62" s="832"/>
    </row>
    <row r="63" spans="2:30" s="535" customFormat="1" ht="15">
      <c r="B63" s="562" t="s">
        <v>985</v>
      </c>
      <c r="C63" s="1440"/>
      <c r="D63" s="1441"/>
      <c r="E63" s="1363">
        <v>1</v>
      </c>
      <c r="F63" s="536" t="s">
        <v>905</v>
      </c>
      <c r="G63" s="562">
        <v>250</v>
      </c>
      <c r="H63" s="537" t="s">
        <v>905</v>
      </c>
      <c r="I63" s="564">
        <v>0</v>
      </c>
      <c r="J63" s="538"/>
      <c r="K63" s="663">
        <f>E63/G63</f>
        <v>4.0000000000000001E-3</v>
      </c>
      <c r="L63" s="663">
        <v>0</v>
      </c>
      <c r="M63" s="833"/>
      <c r="N63" s="833"/>
      <c r="O63" s="833"/>
      <c r="P63" s="833"/>
      <c r="Q63" s="833"/>
      <c r="R63" s="833"/>
      <c r="S63" s="833"/>
      <c r="T63" s="833"/>
      <c r="U63" s="833"/>
      <c r="V63" s="833"/>
      <c r="W63" s="833"/>
      <c r="X63" s="833"/>
      <c r="Y63" s="833"/>
      <c r="Z63" s="833"/>
      <c r="AA63" s="833"/>
      <c r="AB63" s="833"/>
      <c r="AC63" s="833"/>
      <c r="AD63" s="833"/>
    </row>
    <row r="64" spans="2:30" s="535" customFormat="1" ht="15">
      <c r="B64" s="562" t="s">
        <v>986</v>
      </c>
      <c r="C64" s="1440"/>
      <c r="D64" s="1441"/>
      <c r="E64" s="1363"/>
      <c r="F64" s="536" t="s">
        <v>905</v>
      </c>
      <c r="G64" s="562">
        <v>550</v>
      </c>
      <c r="H64" s="537" t="s">
        <v>905</v>
      </c>
      <c r="I64" s="564">
        <v>130</v>
      </c>
      <c r="J64" s="538"/>
      <c r="K64" s="663">
        <f t="shared" ref="K64:K73" si="0">E64/G64</f>
        <v>0</v>
      </c>
      <c r="L64" s="663">
        <f t="shared" ref="L64:L73" si="1">E64/I64</f>
        <v>0</v>
      </c>
      <c r="M64" s="833"/>
      <c r="N64" s="833"/>
      <c r="O64" s="833"/>
      <c r="P64" s="833"/>
      <c r="Q64" s="833"/>
      <c r="R64" s="833"/>
      <c r="S64" s="833"/>
      <c r="T64" s="833"/>
      <c r="U64" s="833"/>
      <c r="V64" s="833"/>
      <c r="W64" s="833"/>
      <c r="X64" s="833"/>
      <c r="Y64" s="833"/>
      <c r="Z64" s="833"/>
      <c r="AA64" s="833"/>
      <c r="AB64" s="833"/>
      <c r="AC64" s="833"/>
      <c r="AD64" s="833"/>
    </row>
    <row r="65" spans="2:30" s="535" customFormat="1" ht="15">
      <c r="B65" s="562" t="s">
        <v>996</v>
      </c>
      <c r="C65" s="1440"/>
      <c r="D65" s="1441"/>
      <c r="E65" s="1363"/>
      <c r="F65" s="536" t="s">
        <v>905</v>
      </c>
      <c r="G65" s="562">
        <v>600</v>
      </c>
      <c r="H65" s="537" t="s">
        <v>905</v>
      </c>
      <c r="I65" s="564">
        <v>130</v>
      </c>
      <c r="J65" s="538"/>
      <c r="K65" s="663">
        <f t="shared" si="0"/>
        <v>0</v>
      </c>
      <c r="L65" s="663">
        <f t="shared" si="1"/>
        <v>0</v>
      </c>
      <c r="M65" s="833"/>
      <c r="N65" s="833"/>
      <c r="O65" s="833"/>
      <c r="P65" s="833"/>
      <c r="Q65" s="833"/>
      <c r="R65" s="833"/>
      <c r="S65" s="833"/>
      <c r="T65" s="833"/>
      <c r="U65" s="833"/>
      <c r="V65" s="833"/>
      <c r="W65" s="833"/>
      <c r="X65" s="833"/>
      <c r="Y65" s="833"/>
      <c r="Z65" s="833"/>
      <c r="AA65" s="833"/>
      <c r="AB65" s="833"/>
      <c r="AC65" s="833"/>
      <c r="AD65" s="833"/>
    </row>
    <row r="66" spans="2:30" s="535" customFormat="1" ht="15">
      <c r="B66" s="562" t="s">
        <v>906</v>
      </c>
      <c r="C66" s="1440"/>
      <c r="D66" s="1441"/>
      <c r="E66" s="1363"/>
      <c r="F66" s="536" t="s">
        <v>905</v>
      </c>
      <c r="G66" s="562">
        <v>435</v>
      </c>
      <c r="H66" s="537" t="s">
        <v>905</v>
      </c>
      <c r="I66" s="564">
        <v>95</v>
      </c>
      <c r="J66" s="538"/>
      <c r="K66" s="663">
        <f t="shared" si="0"/>
        <v>0</v>
      </c>
      <c r="L66" s="663">
        <f t="shared" si="1"/>
        <v>0</v>
      </c>
      <c r="M66" s="833"/>
      <c r="N66" s="833"/>
      <c r="O66" s="833"/>
      <c r="P66" s="833"/>
      <c r="Q66" s="833"/>
      <c r="R66" s="833"/>
      <c r="S66" s="833"/>
      <c r="T66" s="833"/>
      <c r="U66" s="833"/>
      <c r="V66" s="833"/>
      <c r="W66" s="833"/>
      <c r="X66" s="833"/>
      <c r="Y66" s="833"/>
      <c r="Z66" s="833"/>
      <c r="AA66" s="833"/>
      <c r="AB66" s="833"/>
      <c r="AC66" s="833"/>
      <c r="AD66" s="833"/>
    </row>
    <row r="67" spans="2:30" s="535" customFormat="1" ht="15">
      <c r="B67" s="562" t="s">
        <v>987</v>
      </c>
      <c r="C67" s="1440"/>
      <c r="D67" s="1441"/>
      <c r="E67" s="1363"/>
      <c r="F67" s="536" t="s">
        <v>905</v>
      </c>
      <c r="G67" s="562">
        <v>550</v>
      </c>
      <c r="H67" s="537" t="s">
        <v>905</v>
      </c>
      <c r="I67" s="564">
        <v>115</v>
      </c>
      <c r="J67" s="538"/>
      <c r="K67" s="663">
        <f t="shared" si="0"/>
        <v>0</v>
      </c>
      <c r="L67" s="663">
        <f t="shared" si="1"/>
        <v>0</v>
      </c>
      <c r="M67" s="833"/>
      <c r="N67" s="833"/>
      <c r="O67" s="833"/>
      <c r="P67" s="833"/>
      <c r="Q67" s="833"/>
      <c r="R67" s="833"/>
      <c r="S67" s="833"/>
      <c r="T67" s="833"/>
      <c r="U67" s="833"/>
      <c r="V67" s="833"/>
      <c r="W67" s="833"/>
      <c r="X67" s="833"/>
      <c r="Y67" s="833"/>
      <c r="Z67" s="833"/>
      <c r="AA67" s="833"/>
      <c r="AB67" s="833"/>
      <c r="AC67" s="833"/>
      <c r="AD67" s="833"/>
    </row>
    <row r="68" spans="2:30" s="535" customFormat="1" ht="15">
      <c r="B68" s="562" t="s">
        <v>988</v>
      </c>
      <c r="C68" s="1440"/>
      <c r="D68" s="1441"/>
      <c r="E68" s="1363"/>
      <c r="F68" s="536" t="s">
        <v>905</v>
      </c>
      <c r="G68" s="562">
        <v>225</v>
      </c>
      <c r="H68" s="537" t="s">
        <v>905</v>
      </c>
      <c r="I68" s="564">
        <v>330</v>
      </c>
      <c r="J68" s="538"/>
      <c r="K68" s="663">
        <f t="shared" si="0"/>
        <v>0</v>
      </c>
      <c r="L68" s="663">
        <f t="shared" si="1"/>
        <v>0</v>
      </c>
      <c r="M68" s="833"/>
      <c r="N68" s="833"/>
      <c r="O68" s="833"/>
      <c r="P68" s="833"/>
      <c r="Q68" s="833"/>
      <c r="R68" s="833"/>
      <c r="S68" s="833"/>
      <c r="T68" s="833"/>
      <c r="U68" s="833"/>
      <c r="V68" s="833"/>
      <c r="W68" s="833"/>
      <c r="X68" s="833"/>
      <c r="Y68" s="833"/>
      <c r="Z68" s="833"/>
      <c r="AA68" s="833"/>
      <c r="AB68" s="833"/>
      <c r="AC68" s="833"/>
      <c r="AD68" s="833"/>
    </row>
    <row r="69" spans="2:30" s="535" customFormat="1" ht="15">
      <c r="B69" s="562" t="s">
        <v>989</v>
      </c>
      <c r="C69" s="1440"/>
      <c r="D69" s="1441"/>
      <c r="E69" s="1363"/>
      <c r="F69" s="536" t="s">
        <v>905</v>
      </c>
      <c r="G69" s="562">
        <v>400</v>
      </c>
      <c r="H69" s="537" t="s">
        <v>905</v>
      </c>
      <c r="I69" s="564">
        <v>0</v>
      </c>
      <c r="J69" s="538"/>
      <c r="K69" s="663">
        <f t="shared" si="0"/>
        <v>0</v>
      </c>
      <c r="L69" s="663">
        <v>0</v>
      </c>
      <c r="M69" s="833"/>
      <c r="N69" s="833"/>
      <c r="O69" s="833"/>
      <c r="P69" s="833"/>
      <c r="Q69" s="833"/>
      <c r="R69" s="833"/>
      <c r="S69" s="833"/>
      <c r="T69" s="833"/>
      <c r="U69" s="833"/>
      <c r="V69" s="833"/>
      <c r="W69" s="833"/>
      <c r="X69" s="833"/>
      <c r="Y69" s="833"/>
      <c r="Z69" s="833"/>
      <c r="AA69" s="833"/>
      <c r="AB69" s="833"/>
      <c r="AC69" s="833"/>
      <c r="AD69" s="833"/>
    </row>
    <row r="70" spans="2:30" s="535" customFormat="1" ht="15">
      <c r="B70" s="562" t="s">
        <v>990</v>
      </c>
      <c r="C70" s="1440"/>
      <c r="D70" s="1441"/>
      <c r="E70" s="1363"/>
      <c r="F70" s="536" t="s">
        <v>905</v>
      </c>
      <c r="G70" s="562">
        <v>2500</v>
      </c>
      <c r="H70" s="537" t="s">
        <v>905</v>
      </c>
      <c r="I70" s="564">
        <v>0</v>
      </c>
      <c r="J70" s="538"/>
      <c r="K70" s="663">
        <f t="shared" si="0"/>
        <v>0</v>
      </c>
      <c r="L70" s="663">
        <v>0</v>
      </c>
      <c r="M70" s="833"/>
      <c r="N70" s="833"/>
      <c r="O70" s="833"/>
      <c r="P70" s="833"/>
      <c r="Q70" s="833"/>
      <c r="R70" s="833"/>
      <c r="S70" s="833"/>
      <c r="T70" s="833"/>
      <c r="U70" s="833"/>
      <c r="V70" s="833"/>
      <c r="W70" s="833"/>
      <c r="X70" s="833"/>
      <c r="Y70" s="833"/>
      <c r="Z70" s="833"/>
      <c r="AA70" s="833"/>
      <c r="AB70" s="833"/>
      <c r="AC70" s="833"/>
      <c r="AD70" s="833"/>
    </row>
    <row r="71" spans="2:30" s="535" customFormat="1" ht="15">
      <c r="B71" s="562" t="s">
        <v>991</v>
      </c>
      <c r="C71" s="1440"/>
      <c r="D71" s="1441"/>
      <c r="E71" s="1363"/>
      <c r="F71" s="536" t="s">
        <v>905</v>
      </c>
      <c r="G71" s="562">
        <v>20000</v>
      </c>
      <c r="H71" s="537" t="s">
        <v>905</v>
      </c>
      <c r="I71" s="564">
        <v>0</v>
      </c>
      <c r="J71" s="538"/>
      <c r="K71" s="663">
        <f t="shared" si="0"/>
        <v>0</v>
      </c>
      <c r="L71" s="663">
        <v>0</v>
      </c>
      <c r="M71" s="833"/>
      <c r="N71" s="833"/>
      <c r="O71" s="833"/>
      <c r="P71" s="833"/>
      <c r="Q71" s="833"/>
      <c r="R71" s="833"/>
      <c r="S71" s="833"/>
      <c r="T71" s="833"/>
      <c r="U71" s="833"/>
      <c r="V71" s="833"/>
      <c r="W71" s="833"/>
      <c r="X71" s="833"/>
      <c r="Y71" s="833"/>
      <c r="Z71" s="833"/>
      <c r="AA71" s="833"/>
      <c r="AB71" s="833"/>
      <c r="AC71" s="833"/>
      <c r="AD71" s="833"/>
    </row>
    <row r="72" spans="2:30" s="535" customFormat="1" ht="15">
      <c r="B72" s="562" t="s">
        <v>992</v>
      </c>
      <c r="C72" s="1440"/>
      <c r="D72" s="1441"/>
      <c r="E72" s="1363"/>
      <c r="F72" s="536" t="s">
        <v>905</v>
      </c>
      <c r="G72" s="562">
        <v>1500</v>
      </c>
      <c r="H72" s="537" t="s">
        <v>905</v>
      </c>
      <c r="I72" s="564">
        <v>700</v>
      </c>
      <c r="J72" s="538"/>
      <c r="K72" s="663">
        <f t="shared" si="0"/>
        <v>0</v>
      </c>
      <c r="L72" s="663">
        <f t="shared" si="1"/>
        <v>0</v>
      </c>
      <c r="M72" s="833"/>
      <c r="N72" s="833"/>
      <c r="O72" s="833"/>
      <c r="P72" s="833"/>
      <c r="Q72" s="833"/>
      <c r="R72" s="833"/>
      <c r="S72" s="833"/>
      <c r="T72" s="833"/>
      <c r="U72" s="833"/>
      <c r="V72" s="833"/>
      <c r="W72" s="833"/>
      <c r="X72" s="833"/>
      <c r="Y72" s="833"/>
      <c r="Z72" s="833"/>
      <c r="AA72" s="833"/>
      <c r="AB72" s="833"/>
      <c r="AC72" s="833"/>
      <c r="AD72" s="833"/>
    </row>
    <row r="73" spans="2:30" s="535" customFormat="1" ht="15">
      <c r="B73" s="562" t="s">
        <v>993</v>
      </c>
      <c r="C73" s="1440"/>
      <c r="D73" s="1441"/>
      <c r="E73" s="1363"/>
      <c r="F73" s="536" t="s">
        <v>905</v>
      </c>
      <c r="G73" s="562">
        <v>630</v>
      </c>
      <c r="H73" s="537" t="s">
        <v>905</v>
      </c>
      <c r="I73" s="564">
        <v>105</v>
      </c>
      <c r="J73" s="538"/>
      <c r="K73" s="663">
        <f t="shared" si="0"/>
        <v>0</v>
      </c>
      <c r="L73" s="663">
        <f t="shared" si="1"/>
        <v>0</v>
      </c>
      <c r="M73" s="833"/>
      <c r="N73" s="833"/>
      <c r="O73" s="833"/>
      <c r="P73" s="833"/>
      <c r="Q73" s="833"/>
      <c r="R73" s="833"/>
      <c r="S73" s="833"/>
      <c r="T73" s="833"/>
      <c r="U73" s="833"/>
      <c r="V73" s="833"/>
      <c r="W73" s="833"/>
      <c r="X73" s="833"/>
      <c r="Y73" s="833"/>
      <c r="Z73" s="833"/>
      <c r="AA73" s="833"/>
      <c r="AB73" s="833"/>
      <c r="AC73" s="833"/>
      <c r="AD73" s="833"/>
    </row>
    <row r="74" spans="2:30" s="535" customFormat="1" ht="15">
      <c r="B74" s="562" t="s">
        <v>994</v>
      </c>
      <c r="C74" s="1440"/>
      <c r="D74" s="1441"/>
      <c r="E74" s="1363"/>
      <c r="F74" s="536" t="s">
        <v>905</v>
      </c>
      <c r="G74" s="563">
        <v>1300</v>
      </c>
      <c r="H74" s="537" t="s">
        <v>905</v>
      </c>
      <c r="I74" s="565">
        <v>140</v>
      </c>
      <c r="J74" s="538"/>
      <c r="K74" s="663">
        <f t="shared" ref="K74" si="2">E74/G74</f>
        <v>0</v>
      </c>
      <c r="L74" s="663">
        <f t="shared" ref="L74:L75" si="3">E74/I74</f>
        <v>0</v>
      </c>
      <c r="M74" s="833"/>
      <c r="N74" s="833"/>
      <c r="O74" s="833"/>
      <c r="P74" s="833"/>
      <c r="Q74" s="833"/>
      <c r="R74" s="833"/>
      <c r="S74" s="833"/>
      <c r="T74" s="833"/>
      <c r="U74" s="833"/>
      <c r="V74" s="833"/>
      <c r="W74" s="833"/>
      <c r="X74" s="833"/>
      <c r="Y74" s="833"/>
      <c r="Z74" s="833"/>
      <c r="AA74" s="833"/>
      <c r="AB74" s="833"/>
      <c r="AC74" s="833"/>
      <c r="AD74" s="833"/>
    </row>
    <row r="75" spans="2:30" s="535" customFormat="1" ht="15">
      <c r="B75" s="562" t="s">
        <v>995</v>
      </c>
      <c r="C75" s="1440"/>
      <c r="D75" s="1441"/>
      <c r="E75" s="1363"/>
      <c r="F75" s="536" t="s">
        <v>905</v>
      </c>
      <c r="G75" s="563">
        <v>2100</v>
      </c>
      <c r="H75" s="537" t="s">
        <v>905</v>
      </c>
      <c r="I75" s="565">
        <v>150</v>
      </c>
      <c r="J75" s="538"/>
      <c r="K75" s="663">
        <f>E75/G75</f>
        <v>0</v>
      </c>
      <c r="L75" s="663">
        <f t="shared" si="3"/>
        <v>0</v>
      </c>
      <c r="M75" s="833"/>
      <c r="N75" s="833"/>
      <c r="O75" s="833"/>
      <c r="P75" s="833"/>
      <c r="Q75" s="833"/>
      <c r="R75" s="833"/>
      <c r="S75" s="833"/>
      <c r="T75" s="833"/>
      <c r="U75" s="833"/>
      <c r="V75" s="833"/>
      <c r="W75" s="833"/>
      <c r="X75" s="833"/>
      <c r="Y75" s="833"/>
      <c r="Z75" s="833"/>
      <c r="AA75" s="833"/>
      <c r="AB75" s="833"/>
      <c r="AC75" s="833"/>
      <c r="AD75" s="833"/>
    </row>
    <row r="76" spans="2:30" s="535" customFormat="1" ht="15">
      <c r="B76" s="1362" t="s">
        <v>1032</v>
      </c>
      <c r="C76" s="1440"/>
      <c r="D76" s="1441"/>
      <c r="E76" s="1363"/>
      <c r="F76" s="536" t="s">
        <v>905</v>
      </c>
      <c r="G76" s="1364"/>
      <c r="H76" s="537" t="s">
        <v>905</v>
      </c>
      <c r="I76" s="1365"/>
      <c r="J76" s="538"/>
      <c r="K76" s="663" t="e">
        <f>E76/G76</f>
        <v>#DIV/0!</v>
      </c>
      <c r="L76" s="663" t="e">
        <f>E76/I76</f>
        <v>#DIV/0!</v>
      </c>
      <c r="M76" s="833"/>
      <c r="N76" s="833"/>
      <c r="O76" s="833"/>
      <c r="P76" s="833"/>
      <c r="Q76" s="833"/>
      <c r="R76" s="833"/>
      <c r="S76" s="833"/>
      <c r="T76" s="833"/>
      <c r="U76" s="833"/>
      <c r="V76" s="833"/>
      <c r="W76" s="833"/>
      <c r="X76" s="833"/>
      <c r="Y76" s="833"/>
      <c r="Z76" s="833"/>
      <c r="AA76" s="833"/>
      <c r="AB76" s="833"/>
      <c r="AC76" s="833"/>
      <c r="AD76" s="833"/>
    </row>
    <row r="77" spans="2:30" s="535" customFormat="1" ht="15">
      <c r="B77" s="1362" t="s">
        <v>1032</v>
      </c>
      <c r="C77" s="1440"/>
      <c r="D77" s="1441"/>
      <c r="E77" s="1363"/>
      <c r="F77" s="536" t="s">
        <v>905</v>
      </c>
      <c r="G77" s="1364"/>
      <c r="H77" s="537" t="s">
        <v>905</v>
      </c>
      <c r="I77" s="1365"/>
      <c r="J77" s="538"/>
      <c r="K77" s="663" t="e">
        <f t="shared" ref="K77:K78" si="4">E77/G77</f>
        <v>#DIV/0!</v>
      </c>
      <c r="L77" s="663" t="e">
        <f t="shared" ref="L77:L78" si="5">E77/I77</f>
        <v>#DIV/0!</v>
      </c>
      <c r="M77" s="833"/>
      <c r="N77" s="833"/>
      <c r="O77" s="833"/>
      <c r="P77" s="833"/>
      <c r="Q77" s="833"/>
      <c r="R77" s="833"/>
      <c r="S77" s="833"/>
      <c r="T77" s="833"/>
      <c r="U77" s="833"/>
      <c r="V77" s="833"/>
      <c r="W77" s="833"/>
      <c r="X77" s="833"/>
      <c r="Y77" s="833"/>
      <c r="Z77" s="833"/>
      <c r="AA77" s="833"/>
      <c r="AB77" s="833"/>
      <c r="AC77" s="833"/>
      <c r="AD77" s="833"/>
    </row>
    <row r="78" spans="2:30" s="535" customFormat="1" ht="15">
      <c r="B78" s="1362" t="s">
        <v>1032</v>
      </c>
      <c r="C78" s="1440"/>
      <c r="D78" s="1441"/>
      <c r="E78" s="1363"/>
      <c r="F78" s="536" t="s">
        <v>905</v>
      </c>
      <c r="G78" s="1364"/>
      <c r="H78" s="537" t="s">
        <v>905</v>
      </c>
      <c r="I78" s="1365"/>
      <c r="J78" s="538"/>
      <c r="K78" s="663" t="e">
        <f t="shared" si="4"/>
        <v>#DIV/0!</v>
      </c>
      <c r="L78" s="663" t="e">
        <f t="shared" si="5"/>
        <v>#DIV/0!</v>
      </c>
      <c r="M78" s="833"/>
      <c r="N78" s="833"/>
      <c r="O78" s="833"/>
      <c r="P78" s="833"/>
      <c r="Q78" s="833"/>
      <c r="R78" s="833"/>
      <c r="S78" s="833"/>
      <c r="T78" s="833"/>
      <c r="U78" s="833"/>
      <c r="V78" s="833"/>
      <c r="W78" s="833"/>
      <c r="X78" s="833"/>
      <c r="Y78" s="833"/>
      <c r="Z78" s="833"/>
      <c r="AA78" s="833"/>
      <c r="AB78" s="833"/>
      <c r="AC78" s="833"/>
      <c r="AD78" s="833"/>
    </row>
    <row r="79" spans="2:30" s="535" customFormat="1" ht="15">
      <c r="B79" s="1430" t="s">
        <v>476</v>
      </c>
      <c r="C79" s="1430"/>
      <c r="D79" s="1430"/>
      <c r="E79" s="526">
        <f>SUM(E63:E78)</f>
        <v>1</v>
      </c>
      <c r="F79" s="575"/>
      <c r="G79" s="576"/>
      <c r="H79" s="576"/>
      <c r="I79" s="577"/>
      <c r="J79" s="536"/>
      <c r="K79" s="664">
        <f>SUM(K63:K75)</f>
        <v>4.0000000000000001E-3</v>
      </c>
      <c r="L79" s="664">
        <f>SUM(L63:L75)</f>
        <v>0</v>
      </c>
      <c r="M79" s="833"/>
      <c r="N79" s="833"/>
      <c r="O79" s="833"/>
      <c r="P79" s="833"/>
      <c r="Q79" s="833"/>
      <c r="R79" s="833"/>
      <c r="S79" s="833"/>
      <c r="T79" s="833"/>
      <c r="U79" s="833"/>
      <c r="V79" s="833"/>
      <c r="W79" s="833"/>
      <c r="X79" s="833"/>
      <c r="Y79" s="833"/>
      <c r="Z79" s="833"/>
      <c r="AA79" s="833"/>
      <c r="AB79" s="833"/>
      <c r="AC79" s="833"/>
      <c r="AD79" s="833"/>
    </row>
    <row r="80" spans="2:30" s="519" customFormat="1">
      <c r="B80" s="516"/>
      <c r="C80" s="516"/>
      <c r="D80" s="518"/>
      <c r="E80" s="1389" t="str">
        <f>IF(E79&lt;&gt;C29,"!!!Gross Area Square Footage Values do not summ to the Total Building Size in Cell C29; Please update C29 or cells above","")</f>
        <v>!!!Gross Area Square Footage Values do not summ to the Total Building Size in Cell C29; Please update C29 or cells above</v>
      </c>
      <c r="F80" s="515"/>
      <c r="H80" s="515"/>
      <c r="I80" s="515"/>
      <c r="J80" s="515"/>
      <c r="K80" s="515"/>
      <c r="L80" s="515"/>
      <c r="M80" s="834"/>
      <c r="N80" s="834"/>
      <c r="O80" s="834"/>
      <c r="P80" s="834"/>
      <c r="Q80" s="834"/>
      <c r="R80" s="834"/>
      <c r="S80" s="834"/>
      <c r="T80" s="834"/>
      <c r="U80" s="834"/>
      <c r="V80" s="834"/>
      <c r="W80" s="834"/>
      <c r="X80" s="834"/>
      <c r="Y80" s="834"/>
      <c r="Z80" s="834"/>
      <c r="AA80" s="834"/>
      <c r="AB80" s="834"/>
      <c r="AC80" s="834"/>
      <c r="AD80" s="834"/>
    </row>
    <row r="81" spans="2:30" s="520" customFormat="1" ht="15">
      <c r="B81" s="521"/>
      <c r="C81" s="521"/>
      <c r="D81" s="622"/>
      <c r="E81" s="521"/>
      <c r="F81" s="478"/>
      <c r="H81" s="478"/>
      <c r="I81" s="478"/>
      <c r="J81" s="478"/>
      <c r="K81" s="478"/>
      <c r="L81" s="478"/>
      <c r="M81" s="835"/>
      <c r="N81" s="835"/>
      <c r="O81" s="835"/>
      <c r="P81" s="835"/>
      <c r="Q81" s="835"/>
      <c r="R81" s="835"/>
      <c r="S81" s="835"/>
      <c r="T81" s="835"/>
      <c r="U81" s="835"/>
      <c r="V81" s="835"/>
      <c r="W81" s="835"/>
      <c r="X81" s="835"/>
      <c r="Y81" s="835"/>
      <c r="Z81" s="835"/>
      <c r="AA81" s="835"/>
      <c r="AB81" s="835"/>
      <c r="AC81" s="835"/>
      <c r="AD81" s="835"/>
    </row>
    <row r="82" spans="2:30" s="636" customFormat="1" ht="15.75">
      <c r="B82" s="680" t="s">
        <v>894</v>
      </c>
      <c r="C82" s="680"/>
      <c r="D82" s="681"/>
      <c r="E82" s="682"/>
      <c r="F82" s="683"/>
      <c r="G82" s="684"/>
      <c r="H82" s="683"/>
      <c r="I82" s="683"/>
      <c r="J82" s="683"/>
      <c r="K82" s="683"/>
      <c r="L82" s="683"/>
      <c r="M82" s="836"/>
      <c r="N82" s="836"/>
      <c r="O82" s="836"/>
      <c r="P82" s="836"/>
      <c r="Q82" s="836"/>
      <c r="R82" s="836"/>
      <c r="S82" s="836"/>
      <c r="T82" s="836"/>
      <c r="U82" s="836"/>
      <c r="V82" s="836"/>
      <c r="W82" s="836"/>
      <c r="X82" s="836"/>
      <c r="Y82" s="836"/>
      <c r="Z82" s="836"/>
      <c r="AA82" s="836"/>
      <c r="AB82" s="836"/>
      <c r="AC82" s="836"/>
      <c r="AD82" s="836"/>
    </row>
    <row r="83" spans="2:30" s="790" customFormat="1" ht="15">
      <c r="B83" s="468" t="s">
        <v>1096</v>
      </c>
      <c r="C83" s="566"/>
      <c r="D83" s="793"/>
      <c r="E83" s="890"/>
      <c r="F83" s="794"/>
      <c r="G83" s="797"/>
      <c r="H83" s="794"/>
      <c r="I83" s="794"/>
      <c r="J83" s="794"/>
      <c r="K83" s="794"/>
      <c r="L83" s="794"/>
      <c r="M83" s="835"/>
      <c r="N83" s="835"/>
      <c r="O83" s="835"/>
      <c r="P83" s="835"/>
      <c r="Q83" s="835"/>
      <c r="R83" s="835"/>
      <c r="S83" s="835"/>
      <c r="T83" s="835"/>
      <c r="U83" s="835"/>
      <c r="V83" s="835"/>
      <c r="W83" s="835"/>
      <c r="X83" s="835"/>
      <c r="Y83" s="835"/>
      <c r="Z83" s="835"/>
      <c r="AA83" s="835"/>
      <c r="AB83" s="835"/>
      <c r="AC83" s="835"/>
      <c r="AD83" s="835"/>
    </row>
    <row r="84" spans="2:30" s="790" customFormat="1" ht="15">
      <c r="B84" s="902" t="s">
        <v>1094</v>
      </c>
      <c r="C84" s="566"/>
      <c r="D84" s="793"/>
      <c r="E84" s="890"/>
      <c r="F84" s="794"/>
      <c r="G84" s="797"/>
      <c r="H84" s="794"/>
      <c r="I84" s="794"/>
      <c r="J84" s="794"/>
      <c r="K84" s="794"/>
      <c r="L84" s="794"/>
      <c r="M84" s="835"/>
      <c r="N84" s="835"/>
      <c r="O84" s="835"/>
      <c r="P84" s="835"/>
      <c r="Q84" s="835"/>
      <c r="R84" s="835"/>
      <c r="S84" s="835"/>
      <c r="T84" s="835"/>
      <c r="U84" s="835"/>
      <c r="V84" s="835"/>
      <c r="W84" s="835"/>
      <c r="X84" s="835"/>
      <c r="Y84" s="835"/>
      <c r="Z84" s="835"/>
      <c r="AA84" s="835"/>
      <c r="AB84" s="835"/>
      <c r="AC84" s="835"/>
      <c r="AD84" s="835"/>
    </row>
    <row r="85" spans="2:30" s="790" customFormat="1" ht="15">
      <c r="B85" s="539"/>
      <c r="C85" s="539"/>
      <c r="D85" s="622"/>
      <c r="E85" s="791"/>
      <c r="F85" s="788"/>
      <c r="H85" s="788"/>
      <c r="I85" s="788"/>
      <c r="J85" s="788"/>
      <c r="K85" s="788"/>
      <c r="L85" s="788"/>
    </row>
    <row r="86" spans="2:30" s="520" customFormat="1" ht="15">
      <c r="B86" s="539" t="s">
        <v>895</v>
      </c>
      <c r="C86" s="539"/>
      <c r="D86" s="562" t="s">
        <v>896</v>
      </c>
      <c r="E86" s="624" t="s">
        <v>897</v>
      </c>
      <c r="F86" s="567"/>
      <c r="H86" s="478"/>
      <c r="I86" s="478"/>
      <c r="J86" s="478"/>
      <c r="K86" s="478"/>
      <c r="L86" s="478"/>
    </row>
    <row r="87" spans="2:30" s="520" customFormat="1" ht="15">
      <c r="B87" s="539"/>
      <c r="C87" s="539"/>
      <c r="D87" s="525"/>
      <c r="E87" s="624"/>
      <c r="F87" s="567"/>
      <c r="H87" s="478"/>
      <c r="I87" s="478"/>
      <c r="J87" s="478"/>
      <c r="K87" s="478"/>
      <c r="L87" s="478"/>
    </row>
    <row r="88" spans="2:30" s="520" customFormat="1" ht="15">
      <c r="B88" s="539" t="s">
        <v>898</v>
      </c>
      <c r="C88" s="539"/>
      <c r="D88" s="562">
        <v>2.0099999999999998</v>
      </c>
      <c r="E88" s="804" t="s">
        <v>1082</v>
      </c>
      <c r="F88" s="567"/>
      <c r="H88" s="478"/>
      <c r="I88" s="478"/>
      <c r="J88" s="478"/>
      <c r="K88" s="478"/>
      <c r="L88" s="478"/>
    </row>
    <row r="89" spans="2:30" s="520" customFormat="1" ht="15">
      <c r="B89" s="539"/>
      <c r="C89" s="539"/>
      <c r="D89" s="478"/>
      <c r="E89" s="685"/>
      <c r="F89" s="478"/>
      <c r="H89" s="478"/>
      <c r="I89" s="478"/>
      <c r="J89" s="478"/>
      <c r="K89" s="478"/>
      <c r="L89" s="478"/>
    </row>
    <row r="90" spans="2:30" s="520" customFormat="1" ht="15">
      <c r="B90" s="539" t="s">
        <v>899</v>
      </c>
      <c r="C90" s="539"/>
      <c r="D90" s="1363">
        <v>1</v>
      </c>
      <c r="E90" s="1314" t="s">
        <v>1367</v>
      </c>
      <c r="F90" s="567"/>
      <c r="H90" s="478"/>
      <c r="I90" s="478"/>
      <c r="J90" s="478"/>
      <c r="K90" s="478"/>
      <c r="L90" s="478"/>
    </row>
    <row r="91" spans="2:30" s="520" customFormat="1" ht="15">
      <c r="B91" s="539"/>
      <c r="C91" s="539"/>
      <c r="D91" s="527"/>
      <c r="E91" s="624"/>
      <c r="F91" s="567"/>
      <c r="H91" s="478"/>
      <c r="I91" s="478"/>
      <c r="J91" s="478"/>
      <c r="K91" s="478"/>
      <c r="L91" s="478"/>
    </row>
    <row r="92" spans="2:30" s="520" customFormat="1" ht="15">
      <c r="B92" s="539" t="s">
        <v>900</v>
      </c>
      <c r="C92" s="539"/>
      <c r="D92" s="663">
        <f>D88*D90</f>
        <v>2.0099999999999998</v>
      </c>
      <c r="E92" s="624" t="s">
        <v>1004</v>
      </c>
      <c r="F92" s="567"/>
      <c r="H92" s="478"/>
      <c r="I92" s="478"/>
      <c r="J92" s="478"/>
      <c r="K92" s="478"/>
      <c r="L92" s="478"/>
    </row>
    <row r="93" spans="2:30" s="520" customFormat="1" ht="15">
      <c r="B93" s="521"/>
      <c r="C93" s="521"/>
      <c r="D93" s="478"/>
      <c r="E93" s="685"/>
      <c r="F93" s="478"/>
      <c r="H93" s="478"/>
      <c r="I93" s="478"/>
      <c r="J93" s="478"/>
      <c r="K93" s="478"/>
      <c r="L93" s="478"/>
    </row>
    <row r="94" spans="2:30" s="520" customFormat="1" ht="15">
      <c r="B94" s="521"/>
      <c r="C94" s="521"/>
      <c r="D94" s="478"/>
      <c r="E94" s="685"/>
      <c r="F94" s="478"/>
      <c r="H94" s="478"/>
      <c r="I94" s="478"/>
      <c r="J94" s="478"/>
      <c r="K94" s="478"/>
      <c r="L94" s="478"/>
    </row>
    <row r="95" spans="2:30" s="517" customFormat="1" ht="18.75">
      <c r="B95" s="1178" t="s">
        <v>1244</v>
      </c>
      <c r="C95" s="571"/>
      <c r="D95" s="619"/>
      <c r="E95" s="571"/>
      <c r="F95" s="572"/>
      <c r="G95" s="573"/>
      <c r="H95" s="574"/>
      <c r="I95" s="574"/>
      <c r="J95" s="574"/>
      <c r="K95" s="574"/>
      <c r="L95" s="574"/>
    </row>
    <row r="96" spans="2:30" s="790" customFormat="1" ht="15">
      <c r="B96" s="539" t="s">
        <v>1096</v>
      </c>
      <c r="C96" s="791"/>
      <c r="D96" s="788"/>
      <c r="E96" s="685"/>
      <c r="F96" s="788"/>
      <c r="H96" s="788"/>
      <c r="I96" s="788"/>
      <c r="J96" s="788"/>
      <c r="K96" s="788"/>
      <c r="L96" s="788"/>
    </row>
    <row r="97" spans="2:12" s="790" customFormat="1" ht="15">
      <c r="B97" s="900" t="s">
        <v>1183</v>
      </c>
      <c r="C97" s="791"/>
      <c r="D97" s="788"/>
      <c r="E97" s="685"/>
      <c r="F97" s="788"/>
      <c r="H97" s="788"/>
      <c r="I97" s="788"/>
      <c r="J97" s="788"/>
      <c r="K97" s="788"/>
      <c r="L97" s="788"/>
    </row>
    <row r="98" spans="2:12" s="790" customFormat="1" ht="15">
      <c r="B98" s="791"/>
      <c r="C98" s="791"/>
      <c r="D98" s="788"/>
      <c r="E98" s="685"/>
      <c r="F98" s="788"/>
      <c r="H98" s="788"/>
      <c r="I98" s="788"/>
      <c r="J98" s="788"/>
      <c r="K98" s="788"/>
      <c r="L98" s="788"/>
    </row>
    <row r="99" spans="2:12" s="961" customFormat="1" ht="17.25">
      <c r="B99" s="976" t="s">
        <v>1125</v>
      </c>
      <c r="C99" s="955" t="s">
        <v>1050</v>
      </c>
      <c r="D99" s="958"/>
      <c r="E99" s="978"/>
      <c r="F99" s="958"/>
      <c r="H99" s="958"/>
      <c r="I99" s="958"/>
      <c r="J99" s="958"/>
      <c r="K99" s="958"/>
      <c r="L99" s="958"/>
    </row>
    <row r="100" spans="2:12" s="961" customFormat="1" ht="15">
      <c r="B100" s="969" t="s">
        <v>1035</v>
      </c>
      <c r="C100" s="1363">
        <v>1</v>
      </c>
      <c r="D100" s="1314" t="s">
        <v>1369</v>
      </c>
      <c r="E100" s="978"/>
      <c r="F100" s="958"/>
      <c r="H100" s="958"/>
      <c r="I100" s="958"/>
      <c r="J100" s="958"/>
      <c r="K100" s="958"/>
      <c r="L100" s="958"/>
    </row>
    <row r="101" spans="2:12" s="961" customFormat="1" ht="15">
      <c r="B101" s="1366" t="s">
        <v>1032</v>
      </c>
      <c r="C101" s="1363">
        <v>0</v>
      </c>
      <c r="D101" s="1314" t="s">
        <v>1380</v>
      </c>
      <c r="E101" s="978"/>
      <c r="F101" s="958"/>
      <c r="H101" s="958"/>
      <c r="I101" s="958"/>
      <c r="J101" s="958"/>
      <c r="K101" s="958"/>
      <c r="L101" s="958"/>
    </row>
    <row r="102" spans="2:12" s="961" customFormat="1" ht="15">
      <c r="B102" s="977" t="s">
        <v>473</v>
      </c>
      <c r="C102" s="965">
        <f>SUM(C100:C101)</f>
        <v>1</v>
      </c>
      <c r="D102" s="958"/>
      <c r="E102" s="978"/>
      <c r="F102" s="958"/>
      <c r="H102" s="958"/>
      <c r="I102" s="958"/>
      <c r="J102" s="958"/>
      <c r="K102" s="958"/>
      <c r="L102" s="958"/>
    </row>
    <row r="103" spans="2:12" s="961" customFormat="1" ht="15">
      <c r="B103" s="962"/>
      <c r="C103" s="968"/>
      <c r="D103" s="958"/>
      <c r="E103" s="978"/>
      <c r="F103" s="958"/>
      <c r="H103" s="958"/>
      <c r="I103" s="958"/>
      <c r="J103" s="958"/>
      <c r="K103" s="958"/>
      <c r="L103" s="958"/>
    </row>
    <row r="104" spans="2:12" s="961" customFormat="1" ht="17.25">
      <c r="B104" s="976" t="s">
        <v>1126</v>
      </c>
      <c r="C104" s="955" t="s">
        <v>1050</v>
      </c>
      <c r="D104" s="958"/>
      <c r="E104" s="978"/>
      <c r="F104" s="958"/>
      <c r="H104" s="958"/>
      <c r="I104" s="958"/>
      <c r="J104" s="958"/>
      <c r="K104" s="958"/>
      <c r="L104" s="958"/>
    </row>
    <row r="105" spans="2:12" s="961" customFormat="1" ht="15">
      <c r="B105" s="969" t="s">
        <v>1036</v>
      </c>
      <c r="C105" s="1363">
        <v>1</v>
      </c>
      <c r="D105" s="1314" t="s">
        <v>1369</v>
      </c>
      <c r="E105" s="978"/>
      <c r="F105" s="958"/>
      <c r="H105" s="958"/>
      <c r="I105" s="958"/>
      <c r="J105" s="958"/>
      <c r="K105" s="958"/>
      <c r="L105" s="958"/>
    </row>
    <row r="106" spans="2:12" s="961" customFormat="1" ht="15">
      <c r="B106" s="1366" t="s">
        <v>1032</v>
      </c>
      <c r="C106" s="1363">
        <v>0</v>
      </c>
      <c r="D106" s="1314" t="s">
        <v>1381</v>
      </c>
      <c r="E106" s="978"/>
      <c r="F106" s="958"/>
      <c r="H106" s="958"/>
      <c r="I106" s="958"/>
      <c r="J106" s="958"/>
      <c r="K106" s="958"/>
      <c r="L106" s="958"/>
    </row>
    <row r="107" spans="2:12" s="961" customFormat="1" ht="15">
      <c r="B107" s="1366" t="s">
        <v>1032</v>
      </c>
      <c r="C107" s="1363">
        <v>0</v>
      </c>
      <c r="D107" s="1314" t="s">
        <v>1381</v>
      </c>
      <c r="E107" s="978"/>
      <c r="F107" s="958"/>
      <c r="H107" s="958"/>
      <c r="I107" s="958"/>
      <c r="J107" s="958"/>
      <c r="K107" s="958"/>
      <c r="L107" s="958"/>
    </row>
    <row r="108" spans="2:12" s="961" customFormat="1" ht="15">
      <c r="B108" s="977" t="s">
        <v>473</v>
      </c>
      <c r="C108" s="965">
        <f>SUM(C105:C107)</f>
        <v>1</v>
      </c>
      <c r="D108" s="958"/>
      <c r="E108" s="978"/>
      <c r="F108" s="958"/>
      <c r="H108" s="958"/>
      <c r="I108" s="958"/>
      <c r="J108" s="958"/>
      <c r="K108" s="958"/>
      <c r="L108" s="958"/>
    </row>
    <row r="109" spans="2:12" s="961" customFormat="1" ht="15">
      <c r="B109" s="890"/>
      <c r="C109" s="958"/>
      <c r="D109" s="958"/>
      <c r="E109" s="978"/>
      <c r="F109" s="958"/>
      <c r="H109" s="958"/>
      <c r="I109" s="958"/>
      <c r="J109" s="958"/>
      <c r="K109" s="958"/>
      <c r="L109" s="958"/>
    </row>
    <row r="110" spans="2:12" s="961" customFormat="1" ht="17.25">
      <c r="B110" s="976" t="s">
        <v>1124</v>
      </c>
      <c r="C110" s="955" t="s">
        <v>1050</v>
      </c>
      <c r="D110" s="959"/>
      <c r="E110" s="978"/>
      <c r="F110" s="958"/>
      <c r="H110" s="958"/>
      <c r="I110" s="958"/>
      <c r="J110" s="958"/>
      <c r="K110" s="958"/>
      <c r="L110" s="958"/>
    </row>
    <row r="111" spans="2:12" s="961" customFormat="1" ht="15">
      <c r="B111" s="969" t="s">
        <v>1130</v>
      </c>
      <c r="C111" s="1363">
        <v>1</v>
      </c>
      <c r="D111" s="1314" t="s">
        <v>1382</v>
      </c>
      <c r="E111" s="978"/>
      <c r="F111" s="958"/>
      <c r="H111" s="958"/>
      <c r="I111" s="958"/>
      <c r="J111" s="958"/>
      <c r="K111" s="958"/>
      <c r="L111" s="958"/>
    </row>
    <row r="112" spans="2:12" s="961" customFormat="1" ht="15">
      <c r="B112" s="969" t="s">
        <v>1124</v>
      </c>
      <c r="C112" s="1363">
        <v>0</v>
      </c>
      <c r="D112" s="1314" t="s">
        <v>1383</v>
      </c>
      <c r="E112" s="979"/>
      <c r="F112" s="958"/>
      <c r="H112" s="958"/>
      <c r="I112" s="958"/>
      <c r="J112" s="958"/>
      <c r="K112" s="958"/>
      <c r="L112" s="958"/>
    </row>
    <row r="113" spans="2:13" s="961" customFormat="1" ht="15">
      <c r="B113" s="969" t="s">
        <v>1127</v>
      </c>
      <c r="C113" s="1363">
        <v>0</v>
      </c>
      <c r="D113" s="1314" t="s">
        <v>1384</v>
      </c>
      <c r="E113" s="979"/>
      <c r="F113" s="958"/>
      <c r="H113" s="958"/>
      <c r="I113" s="958"/>
      <c r="J113" s="958"/>
      <c r="K113" s="958"/>
      <c r="L113" s="958"/>
    </row>
    <row r="114" spans="2:13" s="961" customFormat="1" ht="15">
      <c r="B114" s="1366" t="s">
        <v>1032</v>
      </c>
      <c r="C114" s="1363">
        <v>0</v>
      </c>
      <c r="D114" s="1314" t="s">
        <v>1369</v>
      </c>
      <c r="E114" s="979"/>
      <c r="F114" s="958"/>
      <c r="H114" s="958"/>
      <c r="I114" s="958"/>
      <c r="J114" s="958"/>
      <c r="K114" s="958"/>
      <c r="L114" s="958"/>
    </row>
    <row r="115" spans="2:13" s="961" customFormat="1" ht="15">
      <c r="B115" s="977" t="s">
        <v>473</v>
      </c>
      <c r="C115" s="965">
        <f>SUM(C111:C114)</f>
        <v>1</v>
      </c>
      <c r="D115" s="959"/>
      <c r="E115" s="978"/>
      <c r="F115" s="958"/>
      <c r="H115" s="958"/>
      <c r="I115" s="958"/>
      <c r="J115" s="958"/>
      <c r="K115" s="958"/>
      <c r="L115" s="958"/>
    </row>
    <row r="116" spans="2:13" s="520" customFormat="1" ht="15">
      <c r="B116" s="521"/>
      <c r="C116" s="521"/>
      <c r="D116" s="738"/>
      <c r="E116" s="685"/>
      <c r="F116" s="478"/>
      <c r="H116" s="478"/>
      <c r="I116" s="478"/>
      <c r="J116" s="478"/>
      <c r="K116" s="478"/>
      <c r="L116" s="478"/>
    </row>
    <row r="117" spans="2:13" s="790" customFormat="1" ht="15">
      <c r="B117" s="791"/>
      <c r="C117" s="791"/>
      <c r="D117" s="738"/>
      <c r="E117" s="685"/>
      <c r="F117" s="788"/>
      <c r="H117" s="788"/>
      <c r="I117" s="788"/>
      <c r="J117" s="788"/>
      <c r="K117" s="788"/>
      <c r="L117" s="788"/>
    </row>
    <row r="118" spans="2:13" s="517" customFormat="1" ht="18.75">
      <c r="B118" s="1178" t="s">
        <v>1245</v>
      </c>
      <c r="C118" s="571"/>
      <c r="D118" s="619"/>
      <c r="E118" s="571"/>
      <c r="F118" s="572"/>
      <c r="G118" s="573"/>
      <c r="H118" s="574"/>
      <c r="I118" s="574"/>
      <c r="J118" s="574"/>
      <c r="K118" s="574"/>
      <c r="L118" s="574"/>
    </row>
    <row r="119" spans="2:13" s="790" customFormat="1" ht="15">
      <c r="B119" s="962" t="s">
        <v>1096</v>
      </c>
      <c r="C119" s="566"/>
      <c r="D119" s="623"/>
      <c r="E119" s="566"/>
      <c r="F119" s="696"/>
      <c r="G119" s="611"/>
      <c r="H119" s="810"/>
      <c r="I119" s="810"/>
      <c r="J119" s="810"/>
      <c r="K119" s="810"/>
      <c r="L119" s="810"/>
    </row>
    <row r="120" spans="2:13" s="790" customFormat="1" ht="15">
      <c r="B120" s="903" t="s">
        <v>1093</v>
      </c>
      <c r="C120" s="566"/>
      <c r="D120" s="623"/>
      <c r="E120" s="566"/>
      <c r="F120" s="696"/>
      <c r="G120" s="611"/>
      <c r="H120" s="810"/>
      <c r="I120" s="810"/>
      <c r="J120" s="810"/>
      <c r="K120" s="810"/>
      <c r="L120" s="810"/>
    </row>
    <row r="121" spans="2:13" s="790" customFormat="1" ht="15">
      <c r="B121" s="890"/>
      <c r="C121" s="566"/>
      <c r="D121" s="623"/>
      <c r="E121" s="566"/>
      <c r="F121" s="696"/>
      <c r="G121" s="611"/>
      <c r="H121" s="810"/>
      <c r="I121" s="810"/>
      <c r="J121" s="810"/>
      <c r="K121" s="810"/>
      <c r="L121" s="810"/>
    </row>
    <row r="122" spans="2:13" s="520" customFormat="1" ht="15">
      <c r="B122" s="539" t="s">
        <v>1083</v>
      </c>
      <c r="C122" s="1362" t="s">
        <v>971</v>
      </c>
      <c r="D122" s="1314" t="s">
        <v>1368</v>
      </c>
      <c r="F122" s="478"/>
      <c r="H122" s="478"/>
      <c r="I122" s="478"/>
      <c r="J122" s="478"/>
      <c r="K122" s="478"/>
      <c r="L122" s="478"/>
      <c r="M122" s="835" t="s">
        <v>963</v>
      </c>
    </row>
    <row r="123" spans="2:13" ht="15">
      <c r="K123" s="478"/>
      <c r="L123" s="478"/>
      <c r="M123" s="835" t="s">
        <v>971</v>
      </c>
    </row>
    <row r="124" spans="2:13" ht="15">
      <c r="K124" s="478"/>
      <c r="L124" s="478"/>
      <c r="M124" s="835" t="s">
        <v>970</v>
      </c>
    </row>
    <row r="125" spans="2:13" ht="15">
      <c r="K125" s="478"/>
      <c r="L125" s="478"/>
    </row>
    <row r="169" spans="2:12" s="517" customFormat="1" ht="18.75">
      <c r="B169" s="1427" t="s">
        <v>1095</v>
      </c>
      <c r="C169" s="1427"/>
      <c r="D169" s="1427"/>
      <c r="E169" s="1427"/>
      <c r="F169" s="1427"/>
      <c r="G169" s="1427"/>
      <c r="H169" s="574"/>
      <c r="I169" s="574"/>
      <c r="J169" s="574"/>
      <c r="K169" s="574"/>
      <c r="L169" s="574"/>
    </row>
  </sheetData>
  <mergeCells count="45">
    <mergeCell ref="C66:D66"/>
    <mergeCell ref="C67:D67"/>
    <mergeCell ref="C68:D68"/>
    <mergeCell ref="C69:D69"/>
    <mergeCell ref="C70:D70"/>
    <mergeCell ref="C76:D76"/>
    <mergeCell ref="C77:D77"/>
    <mergeCell ref="C78:D78"/>
    <mergeCell ref="C71:D71"/>
    <mergeCell ref="C72:D72"/>
    <mergeCell ref="C73:D73"/>
    <mergeCell ref="C74:D74"/>
    <mergeCell ref="C75:D75"/>
    <mergeCell ref="B5:E7"/>
    <mergeCell ref="B58:E59"/>
    <mergeCell ref="F58:L59"/>
    <mergeCell ref="C19:D19"/>
    <mergeCell ref="C43:E43"/>
    <mergeCell ref="C44:E44"/>
    <mergeCell ref="C48:E48"/>
    <mergeCell ref="C49:E49"/>
    <mergeCell ref="B54:L55"/>
    <mergeCell ref="C15:D15"/>
    <mergeCell ref="C16:D16"/>
    <mergeCell ref="C17:D17"/>
    <mergeCell ref="C23:D23"/>
    <mergeCell ref="C24:D24"/>
    <mergeCell ref="C25:D25"/>
    <mergeCell ref="C13:D13"/>
    <mergeCell ref="B169:G169"/>
    <mergeCell ref="K62:L62"/>
    <mergeCell ref="B79:D79"/>
    <mergeCell ref="C40:E40"/>
    <mergeCell ref="B39:E39"/>
    <mergeCell ref="C45:E45"/>
    <mergeCell ref="C46:E46"/>
    <mergeCell ref="C47:E47"/>
    <mergeCell ref="C41:E41"/>
    <mergeCell ref="C42:E42"/>
    <mergeCell ref="C60:D60"/>
    <mergeCell ref="C61:D61"/>
    <mergeCell ref="C62:D62"/>
    <mergeCell ref="C63:D63"/>
    <mergeCell ref="C64:D64"/>
    <mergeCell ref="C65:D65"/>
  </mergeCells>
  <dataValidations count="2">
    <dataValidation type="list" allowBlank="1" showInputMessage="1" showErrorMessage="1" sqref="C122">
      <formula1>$M$122:$M$124</formula1>
    </dataValidation>
    <dataValidation type="list" allowBlank="1" showInputMessage="1" showErrorMessage="1" sqref="C37">
      <formula1>$B$40:$B$49</formula1>
    </dataValidation>
  </dataValidations>
  <pageMargins left="0.7" right="0.7" top="0.75" bottom="0.75" header="0.3" footer="0.3"/>
  <pageSetup paperSize="3" scale="54" orientation="portrait" r:id="rId1"/>
  <drawing r:id="rId2"/>
</worksheet>
</file>

<file path=xl/worksheets/sheet3.xml><?xml version="1.0" encoding="utf-8"?>
<worksheet xmlns="http://schemas.openxmlformats.org/spreadsheetml/2006/main" xmlns:r="http://schemas.openxmlformats.org/officeDocument/2006/relationships">
  <sheetPr>
    <pageSetUpPr fitToPage="1"/>
  </sheetPr>
  <dimension ref="A1:BM108"/>
  <sheetViews>
    <sheetView topLeftCell="A10" zoomScale="80" zoomScaleNormal="80" workbookViewId="0">
      <selection activeCell="B32" sqref="B32"/>
    </sheetView>
  </sheetViews>
  <sheetFormatPr defaultRowHeight="12.75"/>
  <cols>
    <col min="1" max="1" width="2.7109375" style="512" customWidth="1"/>
    <col min="2" max="2" width="46.85546875" style="512" customWidth="1"/>
    <col min="3" max="4" width="14.7109375" style="514" customWidth="1"/>
    <col min="5" max="6" width="14.7109375" style="512" customWidth="1"/>
    <col min="7" max="7" width="16.140625" style="580" customWidth="1"/>
    <col min="8" max="9" width="14.7109375" style="580" customWidth="1"/>
    <col min="10" max="10" width="14.7109375" style="514" customWidth="1"/>
    <col min="11" max="12" width="14.7109375" style="512" customWidth="1"/>
    <col min="13" max="13" width="5.7109375" style="789" customWidth="1"/>
    <col min="14" max="15" width="14.7109375" style="512" hidden="1" customWidth="1"/>
    <col min="16" max="16" width="16.7109375" style="512" customWidth="1"/>
    <col min="17" max="17" width="16.7109375" style="514" customWidth="1"/>
    <col min="18" max="18" width="12.7109375" style="514" customWidth="1"/>
    <col min="19" max="22" width="15.7109375" style="512" customWidth="1"/>
    <col min="23" max="16384" width="9.140625" style="512"/>
  </cols>
  <sheetData>
    <row r="1" spans="1:18" s="463" customFormat="1" ht="26.25">
      <c r="A1" s="460" t="s">
        <v>867</v>
      </c>
      <c r="B1" s="462"/>
      <c r="C1" s="462"/>
      <c r="D1" s="462"/>
      <c r="G1" s="479"/>
      <c r="H1" s="479"/>
      <c r="I1" s="479"/>
      <c r="J1" s="462"/>
      <c r="M1" s="630"/>
      <c r="Q1" s="462"/>
      <c r="R1" s="462"/>
    </row>
    <row r="2" spans="1:18" s="481" customFormat="1" ht="23.25">
      <c r="A2" s="1160" t="s">
        <v>1247</v>
      </c>
      <c r="B2" s="480"/>
      <c r="C2" s="480"/>
      <c r="D2" s="480"/>
      <c r="G2" s="482"/>
      <c r="H2" s="482"/>
      <c r="I2" s="482"/>
      <c r="J2" s="480"/>
      <c r="M2" s="634"/>
      <c r="Q2" s="480"/>
      <c r="R2" s="480"/>
    </row>
    <row r="3" spans="1:18">
      <c r="B3" s="514"/>
    </row>
    <row r="4" spans="1:18" s="790" customFormat="1" ht="15">
      <c r="B4" s="892" t="s">
        <v>869</v>
      </c>
      <c r="C4" s="788"/>
      <c r="D4" s="788"/>
      <c r="F4" s="801"/>
      <c r="G4" s="792" t="s">
        <v>868</v>
      </c>
      <c r="H4" s="802"/>
      <c r="I4" s="802"/>
      <c r="J4" s="788"/>
      <c r="M4" s="957"/>
      <c r="Q4" s="788"/>
      <c r="R4" s="788"/>
    </row>
    <row r="5" spans="1:18" s="790" customFormat="1" ht="15">
      <c r="B5" s="893" t="str">
        <f>'1. Building Information'!$C$13</f>
        <v>ABC Building</v>
      </c>
      <c r="C5" s="788"/>
      <c r="D5" s="788"/>
      <c r="F5" s="797"/>
      <c r="G5" s="860" t="s">
        <v>1091</v>
      </c>
      <c r="H5" s="861"/>
      <c r="I5" s="1362"/>
      <c r="J5" s="788"/>
      <c r="M5" s="957"/>
      <c r="Q5" s="788"/>
      <c r="R5" s="788"/>
    </row>
    <row r="6" spans="1:18" s="790" customFormat="1" ht="15">
      <c r="B6" s="622"/>
      <c r="C6" s="788"/>
      <c r="D6" s="788"/>
      <c r="F6" s="797"/>
      <c r="G6" s="860" t="s">
        <v>964</v>
      </c>
      <c r="H6" s="861"/>
      <c r="I6" s="862"/>
      <c r="J6" s="788"/>
      <c r="M6" s="957"/>
      <c r="Q6" s="788"/>
      <c r="R6" s="788"/>
    </row>
    <row r="7" spans="1:18" s="581" customFormat="1" ht="15">
      <c r="B7" s="582" t="s">
        <v>908</v>
      </c>
      <c r="D7" s="525"/>
      <c r="E7" s="535"/>
      <c r="F7" s="797"/>
      <c r="G7" s="863" t="s">
        <v>960</v>
      </c>
      <c r="H7" s="864"/>
      <c r="I7" s="651"/>
      <c r="J7" s="525"/>
      <c r="K7" s="535"/>
      <c r="L7" s="535"/>
      <c r="M7" s="961"/>
      <c r="N7" s="535"/>
      <c r="O7" s="535"/>
      <c r="P7" s="535"/>
      <c r="Q7" s="584"/>
      <c r="R7" s="584"/>
    </row>
    <row r="8" spans="1:18" s="520" customFormat="1" ht="15" customHeight="1">
      <c r="B8" s="1467" t="s">
        <v>1277</v>
      </c>
      <c r="C8" s="1467"/>
      <c r="D8" s="1467"/>
      <c r="E8" s="1467"/>
      <c r="F8" s="797"/>
      <c r="G8" s="863" t="s">
        <v>961</v>
      </c>
      <c r="H8" s="864"/>
      <c r="I8" s="894"/>
      <c r="J8" s="525"/>
      <c r="K8" s="535"/>
      <c r="L8" s="535"/>
      <c r="M8" s="961"/>
      <c r="N8" s="535"/>
      <c r="P8" s="478"/>
      <c r="Q8" s="478"/>
      <c r="R8" s="478"/>
    </row>
    <row r="9" spans="1:18" s="520" customFormat="1" ht="15">
      <c r="B9" s="1467"/>
      <c r="C9" s="1467"/>
      <c r="D9" s="1467"/>
      <c r="E9" s="1467"/>
      <c r="K9" s="535"/>
      <c r="L9" s="535"/>
      <c r="M9" s="961"/>
      <c r="N9" s="535"/>
      <c r="Q9" s="478"/>
      <c r="R9" s="478"/>
    </row>
    <row r="10" spans="1:18" s="520" customFormat="1" ht="15">
      <c r="B10" s="1467"/>
      <c r="C10" s="1467"/>
      <c r="D10" s="1467"/>
      <c r="E10" s="1467"/>
      <c r="K10" s="535"/>
      <c r="L10" s="535"/>
      <c r="M10" s="961"/>
      <c r="N10" s="535"/>
      <c r="Q10" s="478"/>
      <c r="R10" s="478"/>
    </row>
    <row r="11" spans="1:18" s="790" customFormat="1" ht="15">
      <c r="B11" s="1467"/>
      <c r="C11" s="1467"/>
      <c r="D11" s="1467"/>
      <c r="E11" s="1467"/>
      <c r="K11" s="797"/>
      <c r="L11" s="797"/>
      <c r="M11" s="961"/>
      <c r="N11" s="797"/>
      <c r="Q11" s="788"/>
      <c r="R11" s="788"/>
    </row>
    <row r="12" spans="1:18" s="790" customFormat="1" ht="15">
      <c r="B12" s="794"/>
      <c r="C12" s="794"/>
      <c r="D12" s="794"/>
      <c r="E12" s="797"/>
      <c r="F12" s="837"/>
      <c r="G12" s="837"/>
      <c r="H12" s="802"/>
      <c r="I12" s="802"/>
      <c r="J12" s="794"/>
      <c r="K12" s="797"/>
      <c r="L12" s="797"/>
      <c r="M12" s="961"/>
      <c r="N12" s="797"/>
      <c r="O12" s="797"/>
      <c r="P12" s="797"/>
      <c r="Q12" s="788"/>
      <c r="R12" s="788"/>
    </row>
    <row r="13" spans="1:18" s="531" customFormat="1" ht="15.75">
      <c r="B13" s="1158" t="s">
        <v>1248</v>
      </c>
      <c r="C13" s="532"/>
      <c r="D13" s="533"/>
      <c r="E13" s="533"/>
      <c r="F13" s="533"/>
      <c r="G13" s="533"/>
      <c r="H13" s="533"/>
      <c r="I13" s="533"/>
      <c r="J13" s="533"/>
      <c r="K13" s="533"/>
      <c r="L13" s="533"/>
      <c r="M13" s="942"/>
      <c r="N13" s="533"/>
      <c r="O13" s="533"/>
      <c r="P13" s="533"/>
    </row>
    <row r="14" spans="1:18" s="520" customFormat="1" ht="15">
      <c r="B14" s="469"/>
      <c r="C14" s="521"/>
      <c r="D14" s="478"/>
      <c r="E14" s="478"/>
      <c r="F14" s="478"/>
      <c r="G14" s="478"/>
      <c r="H14" s="478"/>
      <c r="I14" s="478"/>
      <c r="J14" s="478"/>
      <c r="K14" s="478"/>
      <c r="L14" s="478"/>
      <c r="M14" s="937"/>
      <c r="N14" s="478"/>
      <c r="O14" s="478"/>
      <c r="P14" s="478"/>
    </row>
    <row r="15" spans="1:18" s="520" customFormat="1" ht="15">
      <c r="B15" s="787" t="s">
        <v>1006</v>
      </c>
      <c r="C15" s="539"/>
      <c r="D15" s="686"/>
      <c r="E15" s="686"/>
      <c r="F15" s="686"/>
      <c r="G15" s="686"/>
      <c r="H15" s="686"/>
      <c r="I15" s="686"/>
      <c r="J15" s="478"/>
      <c r="K15" s="478"/>
      <c r="L15" s="478"/>
      <c r="M15" s="937"/>
      <c r="N15" s="478"/>
      <c r="O15" s="478"/>
      <c r="P15" s="478"/>
    </row>
    <row r="16" spans="1:18" s="520" customFormat="1" ht="15">
      <c r="B16" s="469"/>
      <c r="C16" s="521"/>
      <c r="D16" s="478"/>
      <c r="E16" s="478"/>
      <c r="F16" s="478"/>
      <c r="G16" s="478"/>
      <c r="H16" s="478"/>
      <c r="I16" s="478"/>
      <c r="J16" s="478"/>
      <c r="K16" s="478"/>
      <c r="L16" s="478"/>
      <c r="M16" s="937"/>
      <c r="N16" s="478"/>
      <c r="O16" s="478"/>
      <c r="P16" s="478"/>
    </row>
    <row r="17" spans="2:18" s="589" customFormat="1" ht="45">
      <c r="B17" s="635" t="s">
        <v>1005</v>
      </c>
      <c r="C17" s="885" t="s">
        <v>910</v>
      </c>
      <c r="D17" s="885" t="s">
        <v>911</v>
      </c>
      <c r="E17" s="1423" t="s">
        <v>1415</v>
      </c>
      <c r="F17" s="885" t="s">
        <v>911</v>
      </c>
      <c r="G17" s="1415" t="s">
        <v>1418</v>
      </c>
      <c r="H17" s="486" t="s">
        <v>930</v>
      </c>
      <c r="I17" s="1415" t="s">
        <v>1417</v>
      </c>
      <c r="J17" s="486" t="s">
        <v>962</v>
      </c>
      <c r="K17" s="631" t="s">
        <v>965</v>
      </c>
      <c r="L17" s="631" t="s">
        <v>966</v>
      </c>
      <c r="M17" s="608"/>
      <c r="N17" s="631" t="s">
        <v>1016</v>
      </c>
      <c r="O17" s="631" t="s">
        <v>967</v>
      </c>
    </row>
    <row r="18" spans="2:18" s="541" customFormat="1" ht="17.25">
      <c r="B18" s="1422" t="s">
        <v>1420</v>
      </c>
      <c r="C18" s="610">
        <v>2</v>
      </c>
      <c r="D18" s="610" t="s">
        <v>916</v>
      </c>
      <c r="E18" s="610">
        <v>5</v>
      </c>
      <c r="F18" s="610" t="s">
        <v>236</v>
      </c>
      <c r="G18" s="610">
        <v>0.65</v>
      </c>
      <c r="H18" s="613">
        <f>'1. Building Information'!K72+0.5%*'1. Building Information'!K63</f>
        <v>2.0000000000000002E-5</v>
      </c>
      <c r="I18" s="610">
        <v>0</v>
      </c>
      <c r="J18" s="613">
        <f>'1. Building Information'!L72+0.5%*'1. Building Information'!L63</f>
        <v>0</v>
      </c>
      <c r="K18" s="665">
        <f>(C18*E18*G18*H18)+(C18*E18*I18*J18)</f>
        <v>1.3000000000000002E-4</v>
      </c>
      <c r="L18" s="614" t="s">
        <v>934</v>
      </c>
      <c r="M18" s="988"/>
      <c r="N18" s="665">
        <f>IF(L18="No",K18,0)</f>
        <v>1.3000000000000002E-4</v>
      </c>
      <c r="O18" s="665">
        <f>IF(L18="No",0,K18)</f>
        <v>0</v>
      </c>
    </row>
    <row r="19" spans="2:18" s="541" customFormat="1" ht="17.25">
      <c r="B19" s="658" t="s">
        <v>1085</v>
      </c>
      <c r="C19" s="610">
        <v>0.4</v>
      </c>
      <c r="D19" s="610" t="s">
        <v>916</v>
      </c>
      <c r="E19" s="610">
        <v>0.25</v>
      </c>
      <c r="F19" s="610" t="s">
        <v>236</v>
      </c>
      <c r="G19" s="610">
        <v>3</v>
      </c>
      <c r="H19" s="613">
        <f>'1. Building Information'!K79</f>
        <v>4.0000000000000001E-3</v>
      </c>
      <c r="I19" s="610">
        <v>0.5</v>
      </c>
      <c r="J19" s="613">
        <f>'1. Building Information'!L79</f>
        <v>0</v>
      </c>
      <c r="K19" s="665">
        <f t="shared" ref="K19" si="0">(C19*E19*G19*H19)+(C19*E19*I19*J19)</f>
        <v>1.2000000000000001E-3</v>
      </c>
      <c r="L19" s="614" t="s">
        <v>934</v>
      </c>
      <c r="M19" s="988"/>
      <c r="N19" s="665">
        <f t="shared" ref="N19:N23" si="1">IF(L19="No",K19,0)</f>
        <v>1.2000000000000001E-3</v>
      </c>
      <c r="O19" s="665">
        <f t="shared" ref="O19:O23" si="2">IF(L19="No",0,K19)</f>
        <v>0</v>
      </c>
    </row>
    <row r="20" spans="2:18" s="541" customFormat="1" ht="17.25">
      <c r="B20" s="658" t="s">
        <v>1038</v>
      </c>
      <c r="C20" s="610">
        <v>0.5</v>
      </c>
      <c r="D20" s="610" t="s">
        <v>1057</v>
      </c>
      <c r="E20" s="610">
        <v>1</v>
      </c>
      <c r="F20" s="610" t="s">
        <v>923</v>
      </c>
      <c r="G20" s="610">
        <v>1.74</v>
      </c>
      <c r="H20" s="613">
        <f>'1. Building Information'!K79*0.5</f>
        <v>2E-3</v>
      </c>
      <c r="I20" s="610">
        <v>0.4</v>
      </c>
      <c r="J20" s="613">
        <f>'1. Building Information'!L79*0.5</f>
        <v>0</v>
      </c>
      <c r="K20" s="665">
        <f>(C20*E20*G20*H20)+(C20*E20*I20*J20)</f>
        <v>1.74E-3</v>
      </c>
      <c r="L20" s="614" t="s">
        <v>933</v>
      </c>
      <c r="M20" s="988"/>
      <c r="N20" s="665">
        <f t="shared" si="1"/>
        <v>0</v>
      </c>
      <c r="O20" s="665">
        <f t="shared" si="2"/>
        <v>1.74E-3</v>
      </c>
    </row>
    <row r="21" spans="2:18" s="541" customFormat="1" ht="17.25">
      <c r="B21" s="658" t="s">
        <v>1039</v>
      </c>
      <c r="C21" s="610">
        <v>1.28</v>
      </c>
      <c r="D21" s="610" t="s">
        <v>1057</v>
      </c>
      <c r="E21" s="610">
        <v>1</v>
      </c>
      <c r="F21" s="610" t="s">
        <v>923</v>
      </c>
      <c r="G21" s="610">
        <v>1.74</v>
      </c>
      <c r="H21" s="613">
        <f>'1. Building Information'!K79</f>
        <v>4.0000000000000001E-3</v>
      </c>
      <c r="I21" s="610">
        <v>0.5</v>
      </c>
      <c r="J21" s="613">
        <f>'1. Building Information'!L79</f>
        <v>0</v>
      </c>
      <c r="K21" s="665">
        <f>(C21*E21*G21*H21)+(C21*E21*I21*J21)</f>
        <v>8.9087999999999997E-3</v>
      </c>
      <c r="L21" s="614" t="s">
        <v>933</v>
      </c>
      <c r="M21" s="988"/>
      <c r="N21" s="665">
        <f t="shared" si="1"/>
        <v>0</v>
      </c>
      <c r="O21" s="665">
        <f t="shared" si="2"/>
        <v>8.9087999999999997E-3</v>
      </c>
    </row>
    <row r="22" spans="2:18" s="541" customFormat="1" ht="17.25">
      <c r="B22" s="658" t="s">
        <v>1084</v>
      </c>
      <c r="C22" s="610">
        <v>1.8</v>
      </c>
      <c r="D22" s="610" t="s">
        <v>916</v>
      </c>
      <c r="E22" s="610">
        <f>15/60</f>
        <v>0.25</v>
      </c>
      <c r="F22" s="610" t="s">
        <v>236</v>
      </c>
      <c r="G22" s="610">
        <v>1</v>
      </c>
      <c r="H22" s="613">
        <f>'1. Building Information'!K63+'1. Building Information'!K67+'1. Building Information'!K68+'1. Building Information'!K69+'1. Building Information'!K73+'1. Building Information'!K74+'1. Building Information'!K75</f>
        <v>4.0000000000000001E-3</v>
      </c>
      <c r="I22" s="610">
        <v>0</v>
      </c>
      <c r="J22" s="613">
        <f>'1. Building Information'!L63+'1. Building Information'!L67+'1. Building Information'!L68+'1. Building Information'!L69+'1. Building Information'!L73+'1. Building Information'!L74+'1. Building Information'!L75</f>
        <v>0</v>
      </c>
      <c r="K22" s="665">
        <f>(C22*E22*G22*H22)+(C22*E22*I22*J22)</f>
        <v>1.8000000000000002E-3</v>
      </c>
      <c r="L22" s="614" t="s">
        <v>934</v>
      </c>
      <c r="M22" s="988"/>
      <c r="N22" s="665">
        <f t="shared" si="1"/>
        <v>1.8000000000000002E-3</v>
      </c>
      <c r="O22" s="665">
        <f t="shared" si="2"/>
        <v>0</v>
      </c>
    </row>
    <row r="23" spans="2:18" s="541" customFormat="1" ht="17.25">
      <c r="B23" s="658" t="s">
        <v>1068</v>
      </c>
      <c r="C23" s="610">
        <v>82.51</v>
      </c>
      <c r="D23" s="610" t="s">
        <v>931</v>
      </c>
      <c r="E23" s="610">
        <v>1</v>
      </c>
      <c r="F23" s="610" t="s">
        <v>932</v>
      </c>
      <c r="G23" s="610">
        <v>1</v>
      </c>
      <c r="H23" s="613">
        <f>'1. Building Information'!K66</f>
        <v>0</v>
      </c>
      <c r="I23" s="610">
        <v>0</v>
      </c>
      <c r="J23" s="613">
        <f>'1. Building Information'!L66</f>
        <v>0</v>
      </c>
      <c r="K23" s="665">
        <f>(C23*E23*G23*H23)+(C23*E23*I23*J23)</f>
        <v>0</v>
      </c>
      <c r="L23" s="614" t="s">
        <v>934</v>
      </c>
      <c r="M23" s="988"/>
      <c r="N23" s="665">
        <f t="shared" si="1"/>
        <v>0</v>
      </c>
      <c r="O23" s="665">
        <f t="shared" si="2"/>
        <v>0</v>
      </c>
    </row>
    <row r="24" spans="2:18" s="541" customFormat="1" ht="30" customHeight="1">
      <c r="B24" s="1471" t="s">
        <v>476</v>
      </c>
      <c r="C24" s="1472"/>
      <c r="D24" s="1472"/>
      <c r="E24" s="1472"/>
      <c r="F24" s="1472"/>
      <c r="G24" s="1472"/>
      <c r="H24" s="1472"/>
      <c r="I24" s="1472"/>
      <c r="J24" s="1472"/>
      <c r="K24" s="989">
        <f>SUM(K18:K23)</f>
        <v>1.3778799999999999E-2</v>
      </c>
      <c r="L24" s="614"/>
      <c r="M24" s="988"/>
      <c r="N24" s="667">
        <f>SUM(N18:N23)</f>
        <v>3.13E-3</v>
      </c>
      <c r="O24" s="667">
        <f>SUM(O18:O23)</f>
        <v>1.06488E-2</v>
      </c>
    </row>
    <row r="25" spans="2:18" s="594" customFormat="1" ht="15">
      <c r="B25" s="590"/>
      <c r="C25" s="591"/>
      <c r="D25" s="591"/>
      <c r="E25" s="591"/>
      <c r="F25" s="591"/>
      <c r="G25" s="591"/>
      <c r="H25" s="591"/>
      <c r="I25" s="591"/>
      <c r="J25" s="591"/>
      <c r="K25" s="592"/>
      <c r="L25" s="592"/>
      <c r="M25" s="592"/>
      <c r="N25" s="592"/>
      <c r="O25" s="592"/>
      <c r="P25" s="592"/>
      <c r="Q25" s="593"/>
      <c r="R25" s="593"/>
    </row>
    <row r="26" spans="2:18" s="594" customFormat="1" ht="15">
      <c r="B26" s="595" t="s">
        <v>907</v>
      </c>
      <c r="C26" s="591"/>
      <c r="D26" s="591"/>
      <c r="E26" s="591"/>
      <c r="F26" s="591"/>
      <c r="G26" s="591"/>
      <c r="H26" s="591"/>
      <c r="I26" s="591"/>
      <c r="J26" s="855" t="s">
        <v>1055</v>
      </c>
      <c r="K26" s="592"/>
      <c r="M26" s="964"/>
      <c r="N26" s="592"/>
      <c r="O26" s="592"/>
      <c r="P26" s="592"/>
      <c r="Q26" s="593"/>
      <c r="R26" s="593"/>
    </row>
    <row r="27" spans="2:18" s="594" customFormat="1" ht="15">
      <c r="B27" s="1417" t="s">
        <v>1086</v>
      </c>
      <c r="C27" s="591"/>
      <c r="D27" s="591"/>
      <c r="E27" s="591"/>
      <c r="F27" s="591"/>
      <c r="G27" s="591"/>
      <c r="H27" s="591"/>
      <c r="I27" s="591"/>
      <c r="J27" s="789" t="s">
        <v>1056</v>
      </c>
      <c r="K27" s="592"/>
      <c r="M27" s="964"/>
      <c r="N27" s="592"/>
      <c r="O27" s="592"/>
      <c r="P27" s="592"/>
      <c r="Q27" s="593"/>
      <c r="R27" s="593"/>
    </row>
    <row r="28" spans="2:18" s="521" customFormat="1" ht="15">
      <c r="B28" s="596" t="s">
        <v>1067</v>
      </c>
      <c r="C28" s="597"/>
      <c r="D28" s="597"/>
      <c r="E28" s="598"/>
      <c r="F28" s="598"/>
      <c r="G28" s="597"/>
      <c r="H28" s="597"/>
      <c r="I28" s="597"/>
      <c r="J28" s="789" t="s">
        <v>1058</v>
      </c>
      <c r="K28" s="598"/>
      <c r="M28" s="938"/>
      <c r="N28" s="598"/>
      <c r="O28" s="598"/>
      <c r="P28" s="598"/>
      <c r="Q28" s="478"/>
      <c r="R28" s="478"/>
    </row>
    <row r="29" spans="2:18" s="520" customFormat="1" ht="15">
      <c r="B29" s="599" t="s">
        <v>1088</v>
      </c>
      <c r="C29" s="600"/>
      <c r="D29" s="600"/>
      <c r="E29" s="601"/>
      <c r="F29" s="601"/>
      <c r="G29" s="600"/>
      <c r="H29" s="600"/>
      <c r="I29" s="600"/>
      <c r="J29" s="789" t="s">
        <v>1059</v>
      </c>
      <c r="K29" s="601"/>
      <c r="M29" s="957"/>
      <c r="N29" s="602"/>
      <c r="O29" s="602"/>
      <c r="P29" s="602"/>
      <c r="Q29" s="603"/>
      <c r="R29" s="478"/>
    </row>
    <row r="30" spans="2:18" s="520" customFormat="1" ht="15">
      <c r="B30" s="599" t="s">
        <v>1002</v>
      </c>
      <c r="C30" s="600"/>
      <c r="D30" s="600"/>
      <c r="E30" s="601"/>
      <c r="F30" s="601"/>
      <c r="G30" s="600"/>
      <c r="H30" s="600"/>
      <c r="I30" s="600"/>
      <c r="J30" s="600"/>
      <c r="K30" s="601"/>
      <c r="L30" s="602"/>
      <c r="M30" s="602"/>
      <c r="N30" s="602"/>
      <c r="O30" s="602"/>
      <c r="P30" s="602"/>
      <c r="Q30" s="603"/>
      <c r="R30" s="478"/>
    </row>
    <row r="31" spans="2:18" s="520" customFormat="1" ht="15">
      <c r="B31" s="599" t="s">
        <v>1089</v>
      </c>
      <c r="C31" s="600"/>
      <c r="D31" s="600"/>
      <c r="E31" s="601"/>
      <c r="F31" s="601"/>
      <c r="G31" s="600"/>
      <c r="H31" s="600"/>
      <c r="I31" s="600"/>
      <c r="J31" s="600"/>
      <c r="K31" s="601"/>
      <c r="L31" s="602"/>
      <c r="M31" s="602"/>
      <c r="N31" s="602"/>
      <c r="O31" s="602"/>
      <c r="P31" s="602"/>
      <c r="Q31" s="603"/>
      <c r="R31" s="478"/>
    </row>
    <row r="32" spans="2:18" s="790" customFormat="1" ht="15">
      <c r="B32" s="599" t="s">
        <v>1069</v>
      </c>
      <c r="C32" s="600"/>
      <c r="D32" s="600"/>
      <c r="E32" s="601"/>
      <c r="F32" s="601"/>
      <c r="G32" s="600"/>
      <c r="H32" s="600"/>
      <c r="I32" s="600"/>
      <c r="J32" s="600"/>
      <c r="K32" s="601"/>
      <c r="L32" s="602"/>
      <c r="M32" s="602"/>
      <c r="N32" s="602"/>
      <c r="O32" s="602"/>
      <c r="P32" s="602"/>
      <c r="Q32" s="603"/>
      <c r="R32" s="788"/>
    </row>
    <row r="33" spans="1:18" s="1409" customFormat="1" ht="15">
      <c r="B33" s="599" t="s">
        <v>1416</v>
      </c>
      <c r="C33" s="1410"/>
      <c r="D33" s="1410"/>
      <c r="E33" s="1411"/>
      <c r="F33" s="1411"/>
      <c r="G33" s="1410"/>
      <c r="H33" s="1410"/>
      <c r="I33" s="1410"/>
      <c r="J33" s="1410"/>
      <c r="K33" s="1411"/>
      <c r="L33" s="1412"/>
      <c r="M33" s="1412"/>
      <c r="N33" s="1412"/>
      <c r="O33" s="1412"/>
      <c r="P33" s="1412"/>
      <c r="Q33" s="1413"/>
      <c r="R33" s="1408"/>
    </row>
    <row r="34" spans="1:18" s="1416" customFormat="1" ht="15">
      <c r="B34" s="599" t="s">
        <v>1432</v>
      </c>
      <c r="C34" s="1418"/>
      <c r="D34" s="1418"/>
      <c r="E34" s="1419"/>
      <c r="F34" s="1419"/>
      <c r="G34" s="1418"/>
      <c r="H34" s="1418"/>
      <c r="I34" s="1418"/>
      <c r="J34" s="1418"/>
      <c r="K34" s="1419"/>
      <c r="L34" s="1420"/>
      <c r="M34" s="1420"/>
      <c r="N34" s="1420"/>
      <c r="O34" s="1420"/>
      <c r="P34" s="1420"/>
      <c r="Q34" s="1421"/>
      <c r="R34" s="1414"/>
    </row>
    <row r="35" spans="1:18" s="1416" customFormat="1" ht="15">
      <c r="B35" s="599" t="s">
        <v>1419</v>
      </c>
      <c r="C35" s="1418"/>
      <c r="D35" s="1418"/>
      <c r="E35" s="1419"/>
      <c r="F35" s="1419"/>
      <c r="G35" s="1418"/>
      <c r="H35" s="1418"/>
      <c r="I35" s="1418"/>
      <c r="J35" s="1418"/>
      <c r="K35" s="1419"/>
      <c r="L35" s="1420"/>
      <c r="M35" s="1420"/>
      <c r="N35" s="1420"/>
      <c r="O35" s="1420"/>
      <c r="P35" s="1420"/>
      <c r="Q35" s="1421"/>
      <c r="R35" s="1414"/>
    </row>
    <row r="36" spans="1:18" s="520" customFormat="1" ht="15">
      <c r="B36" s="599"/>
      <c r="C36" s="600"/>
      <c r="D36" s="600"/>
      <c r="E36" s="601"/>
      <c r="F36" s="601"/>
      <c r="G36" s="600"/>
      <c r="H36" s="600"/>
      <c r="I36" s="600"/>
      <c r="J36" s="600"/>
      <c r="K36" s="601"/>
      <c r="L36" s="602"/>
      <c r="M36" s="602"/>
      <c r="N36" s="602"/>
      <c r="O36" s="602"/>
      <c r="P36" s="602"/>
      <c r="Q36" s="603"/>
      <c r="R36" s="478"/>
    </row>
    <row r="37" spans="1:18" s="528" customFormat="1" ht="15.75">
      <c r="B37" s="1184" t="s">
        <v>1249</v>
      </c>
      <c r="C37" s="529"/>
      <c r="D37" s="530"/>
      <c r="E37" s="530"/>
      <c r="F37" s="530"/>
      <c r="G37" s="530"/>
      <c r="H37" s="530"/>
      <c r="I37" s="530"/>
      <c r="J37" s="530"/>
      <c r="K37" s="530"/>
      <c r="L37" s="530"/>
      <c r="M37" s="644"/>
      <c r="N37" s="530"/>
      <c r="O37" s="530"/>
      <c r="P37" s="530"/>
    </row>
    <row r="38" spans="1:18" s="520" customFormat="1" ht="15" customHeight="1">
      <c r="B38" s="469"/>
      <c r="C38" s="521"/>
      <c r="D38" s="478"/>
      <c r="E38" s="478"/>
      <c r="F38" s="478"/>
      <c r="G38" s="478"/>
      <c r="H38" s="478"/>
      <c r="I38" s="478"/>
      <c r="J38" s="478"/>
      <c r="K38" s="478"/>
      <c r="L38" s="478"/>
      <c r="M38" s="937"/>
      <c r="N38" s="478"/>
      <c r="O38" s="478"/>
      <c r="P38" s="478"/>
    </row>
    <row r="39" spans="1:18" s="520" customFormat="1" ht="15" customHeight="1">
      <c r="B39" s="469" t="s">
        <v>968</v>
      </c>
      <c r="C39" s="521"/>
      <c r="D39" s="478"/>
      <c r="E39" s="478"/>
      <c r="F39" s="478"/>
      <c r="G39" s="478"/>
      <c r="H39" s="478"/>
      <c r="I39" s="478"/>
      <c r="J39" s="478"/>
      <c r="K39" s="478"/>
      <c r="L39" s="478"/>
      <c r="M39" s="937"/>
      <c r="N39" s="478"/>
      <c r="O39" s="478"/>
      <c r="P39" s="478"/>
    </row>
    <row r="40" spans="1:18" s="520" customFormat="1" ht="15" customHeight="1">
      <c r="A40" s="535"/>
      <c r="B40" s="535"/>
      <c r="C40" s="525"/>
      <c r="D40" s="525"/>
      <c r="E40" s="535"/>
      <c r="F40" s="535"/>
      <c r="G40" s="604"/>
      <c r="H40" s="604"/>
      <c r="I40" s="604"/>
      <c r="J40" s="605"/>
      <c r="K40" s="606"/>
      <c r="L40" s="468"/>
      <c r="M40" s="468"/>
      <c r="N40" s="468"/>
      <c r="O40" s="468"/>
      <c r="P40" s="468"/>
    </row>
    <row r="41" spans="1:18" s="607" customFormat="1" ht="45">
      <c r="A41" s="589"/>
      <c r="B41" s="858" t="s">
        <v>909</v>
      </c>
      <c r="C41" s="885" t="s">
        <v>910</v>
      </c>
      <c r="D41" s="885" t="s">
        <v>911</v>
      </c>
      <c r="E41" s="885" t="s">
        <v>912</v>
      </c>
      <c r="F41" s="885" t="s">
        <v>911</v>
      </c>
      <c r="G41" s="485" t="s">
        <v>913</v>
      </c>
      <c r="H41" s="859" t="s">
        <v>914</v>
      </c>
      <c r="I41" s="631" t="s">
        <v>965</v>
      </c>
      <c r="J41" s="631" t="s">
        <v>966</v>
      </c>
      <c r="N41" s="631" t="s">
        <v>1016</v>
      </c>
      <c r="O41" s="631" t="s">
        <v>967</v>
      </c>
    </row>
    <row r="42" spans="1:18" s="594" customFormat="1" ht="17.25">
      <c r="A42" s="541"/>
      <c r="B42" s="824" t="s">
        <v>915</v>
      </c>
      <c r="C42" s="610">
        <v>2</v>
      </c>
      <c r="D42" s="610" t="s">
        <v>916</v>
      </c>
      <c r="E42" s="610">
        <v>8.1999999999999993</v>
      </c>
      <c r="F42" s="610" t="s">
        <v>236</v>
      </c>
      <c r="G42" s="610">
        <v>0.65</v>
      </c>
      <c r="H42" s="865">
        <f>'1. Building Information'!$D$92</f>
        <v>2.0099999999999998</v>
      </c>
      <c r="I42" s="665">
        <f t="shared" ref="I42:I48" si="3">C42*E42*G42*H42</f>
        <v>21.426599999999997</v>
      </c>
      <c r="J42" s="659" t="s">
        <v>934</v>
      </c>
      <c r="M42" s="964"/>
      <c r="N42" s="665">
        <f t="shared" ref="N42:N48" si="4">IF(J42="No",I42,0)</f>
        <v>21.426599999999997</v>
      </c>
      <c r="O42" s="665">
        <f t="shared" ref="O42:O48" si="5">IF(J42="No",0,I42)</f>
        <v>0</v>
      </c>
    </row>
    <row r="43" spans="1:18" s="594" customFormat="1" ht="17.25">
      <c r="A43" s="541"/>
      <c r="B43" s="824" t="s">
        <v>918</v>
      </c>
      <c r="C43" s="610">
        <v>1.3</v>
      </c>
      <c r="D43" s="610" t="s">
        <v>916</v>
      </c>
      <c r="E43" s="610">
        <v>1.5</v>
      </c>
      <c r="F43" s="610" t="s">
        <v>236</v>
      </c>
      <c r="G43" s="610">
        <v>1</v>
      </c>
      <c r="H43" s="865">
        <f>'1. Building Information'!$D$92</f>
        <v>2.0099999999999998</v>
      </c>
      <c r="I43" s="665">
        <f t="shared" si="3"/>
        <v>3.9194999999999998</v>
      </c>
      <c r="J43" s="659" t="s">
        <v>934</v>
      </c>
      <c r="M43" s="964"/>
      <c r="N43" s="665">
        <f t="shared" si="4"/>
        <v>3.9194999999999998</v>
      </c>
      <c r="O43" s="665">
        <f t="shared" si="5"/>
        <v>0</v>
      </c>
    </row>
    <row r="44" spans="1:18" s="594" customFormat="1" ht="17.25">
      <c r="A44" s="541"/>
      <c r="B44" s="824" t="s">
        <v>919</v>
      </c>
      <c r="C44" s="610">
        <v>25</v>
      </c>
      <c r="D44" s="610" t="s">
        <v>920</v>
      </c>
      <c r="E44" s="610">
        <v>1</v>
      </c>
      <c r="F44" s="610" t="s">
        <v>921</v>
      </c>
      <c r="G44" s="610">
        <v>0.1</v>
      </c>
      <c r="H44" s="865">
        <f>'1. Building Information'!$D$92</f>
        <v>2.0099999999999998</v>
      </c>
      <c r="I44" s="665">
        <f t="shared" si="3"/>
        <v>5.0249999999999995</v>
      </c>
      <c r="J44" s="659" t="s">
        <v>934</v>
      </c>
      <c r="M44" s="964"/>
      <c r="N44" s="665">
        <f t="shared" si="4"/>
        <v>5.0249999999999995</v>
      </c>
      <c r="O44" s="665">
        <f t="shared" si="5"/>
        <v>0</v>
      </c>
    </row>
    <row r="45" spans="1:18" s="594" customFormat="1" ht="17.25">
      <c r="A45" s="541"/>
      <c r="B45" s="824" t="s">
        <v>925</v>
      </c>
      <c r="C45" s="610">
        <v>36.9</v>
      </c>
      <c r="D45" s="610" t="s">
        <v>343</v>
      </c>
      <c r="E45" s="610">
        <v>1</v>
      </c>
      <c r="F45" s="610"/>
      <c r="G45" s="610">
        <v>0.31</v>
      </c>
      <c r="H45" s="865">
        <f>'1. Building Information'!$D$92</f>
        <v>2.0099999999999998</v>
      </c>
      <c r="I45" s="665">
        <f>C45*E45*G45*H45</f>
        <v>22.992389999999997</v>
      </c>
      <c r="J45" s="659" t="s">
        <v>934</v>
      </c>
      <c r="M45" s="964"/>
      <c r="N45" s="665">
        <f t="shared" si="4"/>
        <v>22.992389999999997</v>
      </c>
      <c r="O45" s="665">
        <f t="shared" si="5"/>
        <v>0</v>
      </c>
    </row>
    <row r="46" spans="1:18" s="594" customFormat="1" ht="17.25">
      <c r="A46" s="541"/>
      <c r="B46" s="824" t="s">
        <v>922</v>
      </c>
      <c r="C46" s="610">
        <v>1.28</v>
      </c>
      <c r="D46" s="610" t="s">
        <v>1057</v>
      </c>
      <c r="E46" s="610">
        <v>1</v>
      </c>
      <c r="F46" s="610" t="s">
        <v>923</v>
      </c>
      <c r="G46" s="610">
        <v>4.75</v>
      </c>
      <c r="H46" s="865">
        <f>'1. Building Information'!$D$92</f>
        <v>2.0099999999999998</v>
      </c>
      <c r="I46" s="665">
        <f>C46*E46*G46*H46</f>
        <v>12.220799999999999</v>
      </c>
      <c r="J46" s="659" t="s">
        <v>933</v>
      </c>
      <c r="M46" s="964"/>
      <c r="N46" s="665">
        <f t="shared" si="4"/>
        <v>0</v>
      </c>
      <c r="O46" s="665">
        <f t="shared" si="5"/>
        <v>12.220799999999999</v>
      </c>
    </row>
    <row r="47" spans="1:18" s="594" customFormat="1" ht="17.25">
      <c r="A47" s="541"/>
      <c r="B47" s="824" t="s">
        <v>924</v>
      </c>
      <c r="C47" s="610">
        <v>1.8</v>
      </c>
      <c r="D47" s="610" t="s">
        <v>916</v>
      </c>
      <c r="E47" s="610">
        <v>7.82</v>
      </c>
      <c r="F47" s="610" t="s">
        <v>236</v>
      </c>
      <c r="G47" s="610">
        <v>1</v>
      </c>
      <c r="H47" s="865">
        <f>'1. Building Information'!$D$92</f>
        <v>2.0099999999999998</v>
      </c>
      <c r="I47" s="665">
        <f>C47*E47*G47*H47</f>
        <v>28.292759999999998</v>
      </c>
      <c r="J47" s="659" t="s">
        <v>934</v>
      </c>
      <c r="M47" s="964"/>
      <c r="N47" s="665">
        <f t="shared" si="4"/>
        <v>28.292759999999998</v>
      </c>
      <c r="O47" s="665">
        <f t="shared" si="5"/>
        <v>0</v>
      </c>
    </row>
    <row r="48" spans="1:18" s="594" customFormat="1" ht="17.25">
      <c r="A48" s="541"/>
      <c r="B48" s="824" t="s">
        <v>926</v>
      </c>
      <c r="C48" s="610">
        <v>11.15</v>
      </c>
      <c r="D48" s="610" t="s">
        <v>343</v>
      </c>
      <c r="E48" s="610">
        <v>1</v>
      </c>
      <c r="F48" s="610"/>
      <c r="G48" s="610">
        <v>0.04</v>
      </c>
      <c r="H48" s="865">
        <f>'1. Building Information'!$D$92</f>
        <v>2.0099999999999998</v>
      </c>
      <c r="I48" s="665">
        <f t="shared" si="3"/>
        <v>0.89645999999999992</v>
      </c>
      <c r="J48" s="659" t="s">
        <v>934</v>
      </c>
      <c r="M48" s="964"/>
      <c r="N48" s="665">
        <f t="shared" si="4"/>
        <v>0.89645999999999992</v>
      </c>
      <c r="O48" s="665">
        <f t="shared" si="5"/>
        <v>0</v>
      </c>
    </row>
    <row r="49" spans="1:18" s="594" customFormat="1" ht="30" customHeight="1">
      <c r="A49" s="541"/>
      <c r="B49" s="1471" t="s">
        <v>476</v>
      </c>
      <c r="C49" s="1473"/>
      <c r="D49" s="1473"/>
      <c r="E49" s="1473"/>
      <c r="F49" s="1473"/>
      <c r="G49" s="1473"/>
      <c r="H49" s="1471"/>
      <c r="I49" s="667">
        <f>SUM(I42:I48)</f>
        <v>94.773510000000002</v>
      </c>
      <c r="J49" s="615"/>
      <c r="K49" s="541"/>
      <c r="M49" s="964"/>
      <c r="N49" s="667">
        <f>SUM(N42:N48)</f>
        <v>82.55270999999999</v>
      </c>
      <c r="O49" s="667">
        <f>SUM(O42:O48)</f>
        <v>12.220799999999999</v>
      </c>
    </row>
    <row r="50" spans="1:18" s="594" customFormat="1" ht="15" customHeight="1">
      <c r="B50" s="1469"/>
      <c r="C50" s="1469"/>
      <c r="D50" s="1469"/>
      <c r="E50" s="1469"/>
      <c r="F50" s="1469"/>
      <c r="G50" s="1469"/>
      <c r="H50" s="1469"/>
      <c r="I50" s="1469"/>
      <c r="J50" s="1469"/>
      <c r="K50" s="1470"/>
      <c r="L50" s="592"/>
      <c r="M50" s="592"/>
      <c r="N50" s="592"/>
      <c r="O50" s="592"/>
      <c r="P50" s="592"/>
      <c r="Q50" s="593"/>
      <c r="R50" s="593"/>
    </row>
    <row r="51" spans="1:18" s="594" customFormat="1" ht="15" customHeight="1">
      <c r="B51" s="595" t="s">
        <v>907</v>
      </c>
      <c r="C51" s="591"/>
      <c r="D51" s="591"/>
      <c r="E51" s="591"/>
      <c r="F51" s="591"/>
      <c r="G51" s="591"/>
      <c r="H51" s="591"/>
      <c r="J51" s="855" t="s">
        <v>1055</v>
      </c>
      <c r="K51" s="592"/>
      <c r="L51" s="592"/>
      <c r="M51" s="592"/>
      <c r="N51" s="592"/>
      <c r="O51" s="592"/>
      <c r="P51" s="592"/>
      <c r="Q51" s="593"/>
      <c r="R51" s="593"/>
    </row>
    <row r="52" spans="1:18" s="594" customFormat="1" ht="15" customHeight="1">
      <c r="B52" s="596" t="s">
        <v>927</v>
      </c>
      <c r="C52" s="591"/>
      <c r="D52" s="591"/>
      <c r="E52" s="591"/>
      <c r="F52" s="591"/>
      <c r="G52" s="591"/>
      <c r="H52" s="591"/>
      <c r="J52" s="789" t="s">
        <v>1056</v>
      </c>
      <c r="K52" s="592"/>
      <c r="L52" s="592"/>
      <c r="M52" s="592"/>
      <c r="N52" s="592"/>
      <c r="O52" s="592"/>
      <c r="P52" s="592"/>
      <c r="Q52" s="593"/>
      <c r="R52" s="593"/>
    </row>
    <row r="53" spans="1:18" s="521" customFormat="1" ht="15" customHeight="1">
      <c r="B53" s="599" t="s">
        <v>1087</v>
      </c>
      <c r="C53" s="597"/>
      <c r="D53" s="597"/>
      <c r="E53" s="598"/>
      <c r="F53" s="598"/>
      <c r="G53" s="597"/>
      <c r="H53" s="597"/>
      <c r="J53" s="789" t="s">
        <v>1060</v>
      </c>
      <c r="K53" s="598"/>
      <c r="L53" s="598"/>
      <c r="M53" s="598"/>
      <c r="N53" s="598"/>
      <c r="O53" s="598"/>
      <c r="P53" s="598"/>
      <c r="Q53" s="478"/>
      <c r="R53" s="478"/>
    </row>
    <row r="54" spans="1:18" s="520" customFormat="1" ht="15" customHeight="1">
      <c r="B54" s="520" t="s">
        <v>928</v>
      </c>
      <c r="C54" s="600"/>
      <c r="D54" s="600"/>
      <c r="E54" s="601"/>
      <c r="F54" s="601"/>
      <c r="G54" s="600"/>
      <c r="H54" s="600"/>
      <c r="J54" s="789" t="s">
        <v>1061</v>
      </c>
      <c r="K54" s="601"/>
      <c r="L54" s="601"/>
      <c r="M54" s="601"/>
      <c r="N54" s="601"/>
      <c r="O54" s="601"/>
      <c r="P54" s="601"/>
      <c r="Q54" s="478"/>
      <c r="R54" s="478"/>
    </row>
    <row r="55" spans="1:18" s="520" customFormat="1" ht="15" customHeight="1">
      <c r="B55" s="599" t="s">
        <v>998</v>
      </c>
      <c r="C55" s="600"/>
      <c r="D55" s="600"/>
      <c r="E55" s="601"/>
      <c r="F55" s="601"/>
      <c r="G55" s="600"/>
      <c r="H55" s="600"/>
      <c r="J55" s="857" t="s">
        <v>1058</v>
      </c>
      <c r="K55" s="601"/>
      <c r="L55" s="601"/>
      <c r="M55" s="601"/>
      <c r="N55" s="601"/>
      <c r="O55" s="601"/>
      <c r="P55" s="601"/>
      <c r="Q55" s="478"/>
      <c r="R55" s="478"/>
    </row>
    <row r="56" spans="1:18" s="520" customFormat="1" ht="15" customHeight="1">
      <c r="B56" s="599" t="s">
        <v>929</v>
      </c>
      <c r="C56" s="600"/>
      <c r="D56" s="600"/>
      <c r="E56" s="601"/>
      <c r="F56" s="601"/>
      <c r="G56" s="600"/>
      <c r="H56" s="600"/>
      <c r="I56" s="856"/>
      <c r="J56" s="600"/>
      <c r="K56" s="601"/>
      <c r="L56" s="601"/>
      <c r="M56" s="601"/>
      <c r="N56" s="601"/>
      <c r="O56" s="601"/>
      <c r="P56" s="601"/>
      <c r="Q56" s="478"/>
      <c r="R56" s="478"/>
    </row>
    <row r="57" spans="1:18" s="790" customFormat="1" ht="15" customHeight="1">
      <c r="B57" s="599"/>
      <c r="C57" s="600"/>
      <c r="D57" s="600"/>
      <c r="E57" s="601"/>
      <c r="F57" s="601"/>
      <c r="G57" s="600"/>
      <c r="H57" s="600"/>
      <c r="I57" s="856"/>
      <c r="J57" s="600"/>
      <c r="K57" s="601"/>
      <c r="L57" s="601"/>
      <c r="M57" s="601"/>
      <c r="N57" s="601"/>
      <c r="O57" s="601"/>
      <c r="P57" s="601"/>
      <c r="Q57" s="788"/>
      <c r="R57" s="788"/>
    </row>
    <row r="58" spans="1:18" s="960" customFormat="1" ht="15.75">
      <c r="B58" s="1184" t="s">
        <v>1250</v>
      </c>
      <c r="C58" s="529"/>
      <c r="D58" s="644"/>
      <c r="E58" s="644"/>
      <c r="F58" s="644"/>
      <c r="G58" s="644"/>
      <c r="H58" s="644"/>
      <c r="I58" s="644"/>
      <c r="J58" s="644"/>
      <c r="K58" s="644"/>
      <c r="L58" s="644"/>
      <c r="M58" s="644"/>
      <c r="N58" s="644"/>
      <c r="O58" s="644"/>
      <c r="P58" s="644"/>
    </row>
    <row r="59" spans="1:18" s="790" customFormat="1" ht="15">
      <c r="B59" s="905"/>
      <c r="C59" s="791"/>
      <c r="D59" s="788"/>
      <c r="E59" s="788"/>
      <c r="F59" s="788"/>
      <c r="G59" s="788"/>
      <c r="H59" s="788"/>
      <c r="I59" s="788"/>
      <c r="J59" s="788"/>
      <c r="K59" s="788"/>
      <c r="L59" s="788"/>
      <c r="M59" s="937"/>
      <c r="N59" s="788"/>
      <c r="O59" s="788"/>
      <c r="P59" s="788"/>
    </row>
    <row r="60" spans="1:18" s="790" customFormat="1" ht="15">
      <c r="B60" s="905" t="s">
        <v>1101</v>
      </c>
      <c r="C60" s="553">
        <f>'1. Building Information'!C29</f>
        <v>0</v>
      </c>
      <c r="D60" s="621" t="s">
        <v>1063</v>
      </c>
      <c r="E60" s="788"/>
      <c r="F60" s="788"/>
      <c r="G60" s="788"/>
      <c r="H60" s="788"/>
      <c r="I60" s="788"/>
      <c r="J60" s="788"/>
      <c r="K60" s="788"/>
      <c r="L60" s="788"/>
      <c r="M60" s="937"/>
      <c r="N60" s="788"/>
      <c r="O60" s="788"/>
      <c r="P60" s="788"/>
    </row>
    <row r="61" spans="1:18" s="790" customFormat="1" ht="15">
      <c r="B61" s="905"/>
      <c r="C61" s="791"/>
      <c r="D61" s="788"/>
      <c r="E61" s="788"/>
      <c r="F61" s="788"/>
      <c r="G61" s="788"/>
      <c r="H61" s="788"/>
      <c r="I61" s="788"/>
      <c r="J61" s="788"/>
      <c r="K61" s="788"/>
      <c r="L61" s="788"/>
      <c r="M61" s="937"/>
      <c r="N61" s="788"/>
      <c r="O61" s="788"/>
      <c r="P61" s="788"/>
    </row>
    <row r="62" spans="1:18" s="790" customFormat="1" ht="47.25">
      <c r="B62" s="915" t="s">
        <v>585</v>
      </c>
      <c r="C62" s="916" t="s">
        <v>1105</v>
      </c>
      <c r="D62" s="916" t="s">
        <v>1106</v>
      </c>
      <c r="E62" s="916" t="s">
        <v>1099</v>
      </c>
      <c r="F62" s="916" t="s">
        <v>1100</v>
      </c>
      <c r="G62" s="788"/>
      <c r="H62" s="788"/>
      <c r="I62" s="788"/>
      <c r="J62" s="788"/>
      <c r="K62" s="788"/>
      <c r="L62" s="788"/>
      <c r="M62" s="937"/>
      <c r="N62" s="788"/>
      <c r="O62" s="788"/>
      <c r="P62" s="788"/>
    </row>
    <row r="63" spans="1:18" s="790" customFormat="1" ht="15">
      <c r="B63" s="913" t="s">
        <v>596</v>
      </c>
      <c r="C63" s="912">
        <v>51.04</v>
      </c>
      <c r="D63" s="911">
        <v>1.4135955735999996E-2</v>
      </c>
      <c r="E63" s="663">
        <f>$C$60*D63</f>
        <v>0</v>
      </c>
      <c r="F63" s="663">
        <f>E63*31</f>
        <v>0</v>
      </c>
      <c r="G63" s="788"/>
      <c r="H63" s="855" t="s">
        <v>1055</v>
      </c>
      <c r="I63" s="788"/>
      <c r="J63" s="788"/>
      <c r="K63" s="788"/>
      <c r="L63" s="788"/>
      <c r="M63" s="937"/>
      <c r="N63" s="788"/>
      <c r="O63" s="788"/>
      <c r="P63" s="788"/>
    </row>
    <row r="64" spans="1:18" s="790" customFormat="1" ht="15.75">
      <c r="B64" s="913" t="s">
        <v>597</v>
      </c>
      <c r="C64" s="912">
        <v>53.87</v>
      </c>
      <c r="D64" s="911">
        <v>1.6593084557999994E-2</v>
      </c>
      <c r="E64" s="663">
        <f t="shared" ref="E64:E74" si="6">$C$60*D64</f>
        <v>0</v>
      </c>
      <c r="F64" s="663">
        <f>E64*28</f>
        <v>0</v>
      </c>
      <c r="G64" s="788"/>
      <c r="H64" s="789" t="s">
        <v>1062</v>
      </c>
      <c r="I64" s="788"/>
      <c r="J64" s="788"/>
      <c r="K64" s="788"/>
      <c r="L64" s="788"/>
      <c r="M64" s="937"/>
      <c r="N64" s="788"/>
      <c r="O64" s="788"/>
      <c r="P64" s="788"/>
    </row>
    <row r="65" spans="2:16" s="790" customFormat="1" ht="15">
      <c r="B65" s="913" t="s">
        <v>598</v>
      </c>
      <c r="C65" s="912">
        <v>55.21</v>
      </c>
      <c r="D65" s="911">
        <v>1.7756530713999998E-2</v>
      </c>
      <c r="E65" s="663">
        <f t="shared" si="6"/>
        <v>0</v>
      </c>
      <c r="F65" s="663">
        <f>E65*31</f>
        <v>0</v>
      </c>
      <c r="G65" s="788"/>
      <c r="H65" s="789" t="s">
        <v>1064</v>
      </c>
      <c r="I65" s="788"/>
      <c r="J65" s="788"/>
      <c r="K65" s="788"/>
      <c r="L65" s="788"/>
      <c r="M65" s="937"/>
      <c r="N65" s="788"/>
      <c r="O65" s="788"/>
      <c r="P65" s="788"/>
    </row>
    <row r="66" spans="2:16" s="790" customFormat="1" ht="15">
      <c r="B66" s="913" t="s">
        <v>599</v>
      </c>
      <c r="C66" s="912">
        <v>56.25</v>
      </c>
      <c r="D66" s="911">
        <v>1.8659503850000002E-2</v>
      </c>
      <c r="E66" s="663">
        <f t="shared" si="6"/>
        <v>0</v>
      </c>
      <c r="F66" s="663">
        <f>E66*30</f>
        <v>0</v>
      </c>
      <c r="G66" s="788"/>
      <c r="H66" s="789" t="s">
        <v>1065</v>
      </c>
      <c r="I66" s="788"/>
      <c r="J66" s="788"/>
      <c r="K66" s="788"/>
      <c r="L66" s="788"/>
      <c r="M66" s="937"/>
      <c r="N66" s="788"/>
      <c r="O66" s="788"/>
      <c r="P66" s="788"/>
    </row>
    <row r="67" spans="2:16" s="790" customFormat="1" ht="15">
      <c r="B67" s="913" t="s">
        <v>600</v>
      </c>
      <c r="C67" s="912">
        <v>57.53</v>
      </c>
      <c r="D67" s="911">
        <v>1.9770855402E-2</v>
      </c>
      <c r="E67" s="663">
        <f t="shared" si="6"/>
        <v>0</v>
      </c>
      <c r="F67" s="663">
        <f>E67*31</f>
        <v>0</v>
      </c>
      <c r="G67" s="788"/>
      <c r="H67" s="857" t="s">
        <v>1102</v>
      </c>
      <c r="I67" s="788"/>
      <c r="J67" s="788"/>
      <c r="K67" s="788"/>
      <c r="L67" s="788"/>
      <c r="M67" s="937"/>
      <c r="N67" s="788"/>
      <c r="O67" s="788"/>
      <c r="P67" s="788"/>
    </row>
    <row r="68" spans="2:16" s="790" customFormat="1" ht="15">
      <c r="B68" s="913" t="s">
        <v>601</v>
      </c>
      <c r="C68" s="912">
        <v>59.49</v>
      </c>
      <c r="D68" s="911">
        <v>2.1472612466000005E-2</v>
      </c>
      <c r="E68" s="663">
        <f t="shared" si="6"/>
        <v>0</v>
      </c>
      <c r="F68" s="663">
        <f>E68*30</f>
        <v>0</v>
      </c>
      <c r="G68" s="788"/>
      <c r="H68" s="857" t="s">
        <v>1066</v>
      </c>
      <c r="I68" s="788"/>
      <c r="J68" s="788"/>
      <c r="K68" s="788"/>
      <c r="L68" s="788"/>
      <c r="M68" s="937"/>
      <c r="N68" s="788"/>
      <c r="O68" s="788"/>
      <c r="P68" s="788"/>
    </row>
    <row r="69" spans="2:16" s="790" customFormat="1" ht="15">
      <c r="B69" s="913" t="s">
        <v>341</v>
      </c>
      <c r="C69" s="912">
        <v>59.77</v>
      </c>
      <c r="D69" s="911">
        <v>2.1715720617999999E-2</v>
      </c>
      <c r="E69" s="663">
        <f t="shared" si="6"/>
        <v>0</v>
      </c>
      <c r="F69" s="663">
        <f>E69*31</f>
        <v>0</v>
      </c>
      <c r="G69" s="788"/>
      <c r="H69" s="788"/>
      <c r="I69" s="788"/>
      <c r="J69" s="788"/>
      <c r="K69" s="788"/>
      <c r="L69" s="788"/>
      <c r="M69" s="937"/>
      <c r="N69" s="788"/>
      <c r="O69" s="788"/>
      <c r="P69" s="788"/>
    </row>
    <row r="70" spans="2:16" s="790" customFormat="1" ht="15">
      <c r="B70" s="913" t="s">
        <v>342</v>
      </c>
      <c r="C70" s="912">
        <v>60.61</v>
      </c>
      <c r="D70" s="911">
        <v>2.2445045073999997E-2</v>
      </c>
      <c r="E70" s="663">
        <f t="shared" si="6"/>
        <v>0</v>
      </c>
      <c r="F70" s="663">
        <f>E70*31</f>
        <v>0</v>
      </c>
      <c r="G70" s="788"/>
      <c r="H70" s="788"/>
      <c r="I70" s="788"/>
      <c r="J70" s="788"/>
      <c r="K70" s="788"/>
      <c r="L70" s="788"/>
      <c r="M70" s="937"/>
      <c r="N70" s="788"/>
      <c r="O70" s="788"/>
      <c r="P70" s="788"/>
    </row>
    <row r="71" spans="2:16" s="790" customFormat="1" ht="15">
      <c r="B71" s="913" t="s">
        <v>49</v>
      </c>
      <c r="C71" s="912">
        <v>62.68</v>
      </c>
      <c r="D71" s="911">
        <v>2.4242308912E-2</v>
      </c>
      <c r="E71" s="663">
        <f t="shared" si="6"/>
        <v>0</v>
      </c>
      <c r="F71" s="663">
        <f>E71*30</f>
        <v>0</v>
      </c>
      <c r="G71" s="788"/>
      <c r="H71" s="788"/>
      <c r="I71" s="788"/>
      <c r="J71" s="788"/>
      <c r="K71" s="788"/>
      <c r="L71" s="788"/>
      <c r="M71" s="937"/>
      <c r="N71" s="788"/>
      <c r="O71" s="788"/>
      <c r="P71" s="788"/>
    </row>
    <row r="72" spans="2:16" s="790" customFormat="1" ht="15">
      <c r="B72" s="913" t="s">
        <v>112</v>
      </c>
      <c r="C72" s="912">
        <v>61.78</v>
      </c>
      <c r="D72" s="911">
        <v>2.3460889851999997E-2</v>
      </c>
      <c r="E72" s="663">
        <f t="shared" si="6"/>
        <v>0</v>
      </c>
      <c r="F72" s="663">
        <f>E72*31</f>
        <v>0</v>
      </c>
      <c r="G72" s="788"/>
      <c r="H72" s="788"/>
      <c r="I72" s="788"/>
      <c r="J72" s="788"/>
      <c r="K72" s="788"/>
      <c r="L72" s="788"/>
      <c r="M72" s="937"/>
      <c r="N72" s="788"/>
      <c r="O72" s="788"/>
      <c r="P72" s="788"/>
    </row>
    <row r="73" spans="2:16" s="790" customFormat="1" ht="15">
      <c r="B73" s="913" t="s">
        <v>113</v>
      </c>
      <c r="C73" s="912">
        <v>57.38</v>
      </c>
      <c r="D73" s="911">
        <v>1.9640618892E-2</v>
      </c>
      <c r="E73" s="663">
        <f t="shared" si="6"/>
        <v>0</v>
      </c>
      <c r="F73" s="663">
        <f>E73*30</f>
        <v>0</v>
      </c>
      <c r="G73" s="788"/>
      <c r="H73" s="788"/>
      <c r="I73" s="788"/>
      <c r="J73" s="788"/>
      <c r="K73" s="788"/>
      <c r="L73" s="788"/>
      <c r="M73" s="937"/>
      <c r="N73" s="788"/>
      <c r="O73" s="788"/>
      <c r="P73" s="788"/>
    </row>
    <row r="74" spans="2:16" s="790" customFormat="1" ht="15">
      <c r="B74" s="913" t="s">
        <v>114</v>
      </c>
      <c r="C74" s="912">
        <v>52.03</v>
      </c>
      <c r="D74" s="911">
        <v>1.4995516702E-2</v>
      </c>
      <c r="E74" s="663">
        <f t="shared" si="6"/>
        <v>0</v>
      </c>
      <c r="F74" s="663">
        <f>E74*31</f>
        <v>0</v>
      </c>
      <c r="G74" s="788"/>
      <c r="H74" s="788"/>
      <c r="I74" s="788"/>
      <c r="J74" s="788"/>
      <c r="K74" s="788"/>
      <c r="L74" s="788"/>
      <c r="M74" s="937"/>
      <c r="N74" s="788"/>
      <c r="O74" s="788"/>
      <c r="P74" s="788"/>
    </row>
    <row r="75" spans="2:16" s="790" customFormat="1" ht="15">
      <c r="B75" s="909" t="s">
        <v>1098</v>
      </c>
      <c r="C75" s="910">
        <f>AVERAGE(C63:C74)</f>
        <v>57.30333333333332</v>
      </c>
      <c r="D75" s="908">
        <f>AVERAGE(D63:D74)</f>
        <v>1.9574053564666665E-2</v>
      </c>
      <c r="E75" s="664">
        <f>AVERAGE(E63:E74)</f>
        <v>0</v>
      </c>
      <c r="F75" s="738"/>
      <c r="G75" s="788"/>
      <c r="H75" s="788"/>
      <c r="I75" s="788"/>
      <c r="J75" s="788"/>
      <c r="K75" s="788"/>
      <c r="L75" s="788"/>
      <c r="M75" s="937"/>
      <c r="N75" s="788"/>
      <c r="O75" s="788"/>
      <c r="P75" s="788"/>
    </row>
    <row r="76" spans="2:16" s="790" customFormat="1" ht="15">
      <c r="B76" s="907"/>
      <c r="C76" s="906"/>
      <c r="D76" s="914"/>
      <c r="E76" s="738"/>
      <c r="F76" s="696"/>
      <c r="G76" s="788"/>
      <c r="H76" s="788"/>
      <c r="I76" s="788"/>
      <c r="J76" s="788"/>
      <c r="K76" s="788"/>
      <c r="L76" s="788"/>
      <c r="M76" s="937"/>
      <c r="N76" s="788"/>
      <c r="O76" s="788"/>
      <c r="P76" s="788"/>
    </row>
    <row r="77" spans="2:16" s="790" customFormat="1" ht="15">
      <c r="B77" s="656" t="s">
        <v>907</v>
      </c>
      <c r="C77" s="906"/>
      <c r="D77" s="914"/>
      <c r="E77" s="738"/>
      <c r="F77" s="696"/>
      <c r="G77" s="788"/>
      <c r="H77" s="788"/>
      <c r="I77" s="788"/>
      <c r="J77" s="788"/>
      <c r="K77" s="788"/>
      <c r="L77" s="788"/>
      <c r="M77" s="937"/>
      <c r="N77" s="788"/>
      <c r="O77" s="788"/>
      <c r="P77" s="788"/>
    </row>
    <row r="78" spans="2:16" s="790" customFormat="1" ht="15">
      <c r="B78" s="596" t="s">
        <v>1104</v>
      </c>
      <c r="C78" s="906"/>
      <c r="D78" s="914"/>
      <c r="E78" s="738"/>
      <c r="F78" s="696"/>
      <c r="G78" s="788"/>
      <c r="H78" s="788"/>
      <c r="I78" s="788"/>
      <c r="J78" s="788"/>
      <c r="K78" s="788"/>
      <c r="L78" s="788"/>
      <c r="M78" s="937"/>
      <c r="N78" s="788"/>
      <c r="O78" s="788"/>
      <c r="P78" s="788"/>
    </row>
    <row r="79" spans="2:16" s="790" customFormat="1" ht="15">
      <c r="B79" s="599" t="s">
        <v>1103</v>
      </c>
      <c r="C79" s="906"/>
      <c r="D79" s="914"/>
      <c r="E79" s="738"/>
      <c r="F79" s="696"/>
      <c r="G79" s="788"/>
      <c r="H79" s="788"/>
      <c r="I79" s="788"/>
      <c r="J79" s="788"/>
      <c r="K79" s="788"/>
      <c r="L79" s="788"/>
      <c r="M79" s="937"/>
      <c r="N79" s="788"/>
      <c r="O79" s="788"/>
      <c r="P79" s="788"/>
    </row>
    <row r="80" spans="2:16" s="790" customFormat="1" ht="15">
      <c r="B80" s="907"/>
      <c r="C80" s="906"/>
      <c r="D80" s="914"/>
      <c r="E80" s="738"/>
      <c r="F80" s="696"/>
      <c r="G80" s="788"/>
      <c r="H80" s="788"/>
      <c r="I80" s="788"/>
      <c r="J80" s="788"/>
      <c r="K80" s="788"/>
      <c r="L80" s="788"/>
      <c r="M80" s="937"/>
      <c r="N80" s="788"/>
      <c r="O80" s="788"/>
      <c r="P80" s="788"/>
    </row>
    <row r="81" spans="2:65" s="790" customFormat="1" ht="15">
      <c r="B81" s="905" t="s">
        <v>1107</v>
      </c>
      <c r="C81" s="664">
        <f>SUM(F63:F74)</f>
        <v>0</v>
      </c>
      <c r="D81" s="621"/>
      <c r="E81" s="795"/>
      <c r="F81" s="788"/>
      <c r="G81" s="788"/>
      <c r="H81" s="788"/>
      <c r="I81" s="788"/>
      <c r="J81" s="788"/>
      <c r="K81" s="788"/>
      <c r="L81" s="788"/>
      <c r="M81" s="937"/>
      <c r="N81" s="788"/>
      <c r="O81" s="788"/>
      <c r="P81" s="788"/>
    </row>
    <row r="82" spans="2:65" s="957" customFormat="1" ht="15">
      <c r="B82" s="905"/>
      <c r="C82" s="968"/>
      <c r="D82" s="621"/>
      <c r="E82" s="959"/>
      <c r="F82" s="937"/>
      <c r="G82" s="937"/>
      <c r="H82" s="937"/>
      <c r="I82" s="937"/>
      <c r="J82" s="937"/>
      <c r="K82" s="937"/>
      <c r="L82" s="937"/>
      <c r="M82" s="937"/>
      <c r="N82" s="937"/>
      <c r="O82" s="937"/>
      <c r="P82" s="937"/>
    </row>
    <row r="83" spans="2:65" s="982" customFormat="1" ht="15.75">
      <c r="B83" s="983" t="s">
        <v>1251</v>
      </c>
      <c r="C83" s="984"/>
      <c r="D83" s="985"/>
      <c r="E83" s="986"/>
      <c r="F83" s="987"/>
      <c r="G83" s="987"/>
      <c r="H83" s="987"/>
      <c r="I83" s="987"/>
      <c r="J83" s="987"/>
      <c r="K83" s="987"/>
      <c r="L83" s="987"/>
      <c r="M83" s="987"/>
      <c r="N83" s="987"/>
      <c r="O83" s="987"/>
      <c r="P83" s="987"/>
    </row>
    <row r="84" spans="2:65" s="957" customFormat="1" ht="15">
      <c r="B84" s="1036" t="s">
        <v>1096</v>
      </c>
      <c r="C84" s="968"/>
      <c r="D84" s="621"/>
      <c r="E84" s="959"/>
      <c r="F84" s="937"/>
      <c r="G84" s="937"/>
      <c r="H84" s="937"/>
      <c r="I84" s="937"/>
      <c r="J84" s="937"/>
      <c r="K84" s="937"/>
      <c r="L84" s="937"/>
      <c r="M84" s="937"/>
      <c r="N84" s="937"/>
      <c r="O84" s="937"/>
      <c r="P84" s="937"/>
    </row>
    <row r="85" spans="2:65" s="957" customFormat="1" ht="15">
      <c r="B85" s="609" t="s">
        <v>1020</v>
      </c>
      <c r="C85" s="968"/>
      <c r="D85" s="621"/>
      <c r="E85" s="959"/>
      <c r="F85" s="937"/>
      <c r="G85" s="937"/>
      <c r="H85" s="937"/>
      <c r="I85" s="937"/>
      <c r="J85" s="937"/>
      <c r="K85" s="937"/>
      <c r="L85" s="937"/>
      <c r="M85" s="937"/>
      <c r="N85" s="937"/>
      <c r="O85" s="937"/>
      <c r="P85" s="937"/>
    </row>
    <row r="86" spans="2:65" s="957" customFormat="1" ht="15">
      <c r="B86" s="905"/>
      <c r="C86" s="968"/>
      <c r="D86" s="621"/>
      <c r="E86" s="959"/>
      <c r="F86" s="937"/>
      <c r="G86" s="937"/>
      <c r="H86" s="937"/>
      <c r="I86" s="937"/>
      <c r="J86" s="937"/>
      <c r="K86" s="937"/>
      <c r="L86" s="937"/>
      <c r="M86" s="937"/>
      <c r="N86" s="937"/>
      <c r="O86" s="937"/>
      <c r="P86" s="937"/>
    </row>
    <row r="87" spans="2:65" s="790" customFormat="1" ht="15">
      <c r="B87" s="695" t="s">
        <v>1011</v>
      </c>
      <c r="C87" s="788"/>
      <c r="D87" s="788"/>
      <c r="G87" s="803"/>
      <c r="H87" s="803"/>
      <c r="I87" s="803"/>
      <c r="J87" s="788"/>
      <c r="K87" s="609"/>
      <c r="L87" s="609"/>
      <c r="M87" s="609"/>
      <c r="N87" s="609"/>
      <c r="O87" s="609"/>
      <c r="P87" s="609"/>
      <c r="Q87" s="603"/>
      <c r="R87" s="603"/>
      <c r="S87" s="609"/>
      <c r="T87" s="609"/>
      <c r="U87" s="609"/>
      <c r="V87" s="609"/>
      <c r="W87" s="609"/>
      <c r="X87" s="609"/>
      <c r="Y87" s="609"/>
      <c r="Z87" s="609"/>
      <c r="AA87" s="609"/>
      <c r="AB87" s="609"/>
      <c r="AC87" s="609"/>
      <c r="AD87" s="609"/>
      <c r="AE87" s="609"/>
      <c r="AF87" s="609"/>
      <c r="AG87" s="609"/>
      <c r="AH87" s="609"/>
      <c r="AI87" s="609"/>
      <c r="AJ87" s="609"/>
      <c r="AK87" s="609"/>
      <c r="AL87" s="609"/>
      <c r="AM87" s="609"/>
      <c r="AN87" s="609"/>
      <c r="AO87" s="609"/>
      <c r="AP87" s="609"/>
      <c r="AQ87" s="609"/>
      <c r="AR87" s="609"/>
      <c r="AS87" s="609"/>
      <c r="AT87" s="609"/>
      <c r="AU87" s="609"/>
      <c r="AV87" s="609"/>
      <c r="AW87" s="609"/>
      <c r="AX87" s="609"/>
      <c r="AY87" s="609"/>
      <c r="AZ87" s="609"/>
      <c r="BA87" s="609"/>
      <c r="BB87" s="609"/>
      <c r="BC87" s="609"/>
      <c r="BD87" s="609"/>
      <c r="BE87" s="609"/>
      <c r="BF87" s="609"/>
      <c r="BG87" s="609"/>
      <c r="BH87" s="609"/>
      <c r="BI87" s="609"/>
      <c r="BJ87" s="609"/>
      <c r="BK87" s="609"/>
      <c r="BL87" s="609"/>
      <c r="BM87" s="609"/>
    </row>
    <row r="88" spans="2:65" s="520" customFormat="1" ht="15">
      <c r="B88" s="818" t="s">
        <v>1023</v>
      </c>
      <c r="C88" s="1363">
        <v>100</v>
      </c>
      <c r="D88" s="651" t="s">
        <v>593</v>
      </c>
      <c r="E88" s="1278" t="s">
        <v>1356</v>
      </c>
      <c r="F88" s="797"/>
      <c r="G88" s="802"/>
      <c r="H88" s="802"/>
      <c r="I88" s="583"/>
      <c r="J88" s="603"/>
      <c r="K88" s="609"/>
      <c r="L88" s="609"/>
      <c r="M88" s="609"/>
      <c r="N88" s="609"/>
      <c r="O88" s="609"/>
      <c r="P88" s="609"/>
      <c r="Q88" s="603"/>
      <c r="R88" s="603"/>
      <c r="S88" s="609"/>
      <c r="T88" s="609"/>
      <c r="U88" s="609"/>
      <c r="V88" s="609"/>
      <c r="W88" s="609"/>
      <c r="X88" s="609"/>
      <c r="Y88" s="609"/>
      <c r="Z88" s="609"/>
      <c r="AA88" s="609"/>
      <c r="AB88" s="609"/>
      <c r="AC88" s="609"/>
      <c r="AD88" s="609"/>
      <c r="AE88" s="609"/>
      <c r="AF88" s="609"/>
      <c r="AG88" s="609"/>
      <c r="AH88" s="609"/>
      <c r="AI88" s="609"/>
      <c r="AJ88" s="609"/>
      <c r="AK88" s="609"/>
      <c r="AL88" s="609"/>
      <c r="AM88" s="609"/>
      <c r="AN88" s="609"/>
      <c r="AO88" s="609"/>
      <c r="AP88" s="609"/>
      <c r="AQ88" s="609"/>
      <c r="AR88" s="609"/>
      <c r="AS88" s="609"/>
      <c r="AT88" s="609"/>
      <c r="AU88" s="609"/>
      <c r="AV88" s="609"/>
      <c r="AW88" s="609"/>
      <c r="AX88" s="609"/>
      <c r="AY88" s="609"/>
      <c r="AZ88" s="609"/>
      <c r="BA88" s="609"/>
      <c r="BB88" s="609"/>
      <c r="BC88" s="609"/>
      <c r="BD88" s="609"/>
      <c r="BE88" s="609"/>
      <c r="BF88" s="609"/>
      <c r="BG88" s="609"/>
      <c r="BH88" s="609"/>
      <c r="BI88" s="609"/>
      <c r="BJ88" s="609"/>
      <c r="BK88" s="609"/>
      <c r="BL88" s="609"/>
      <c r="BM88" s="609"/>
    </row>
    <row r="89" spans="2:65" s="790" customFormat="1" ht="15">
      <c r="B89" s="817"/>
      <c r="C89" s="1363">
        <v>250</v>
      </c>
      <c r="D89" s="651" t="s">
        <v>1019</v>
      </c>
      <c r="E89" s="1278" t="s">
        <v>1357</v>
      </c>
      <c r="F89" s="797"/>
      <c r="G89" s="802"/>
      <c r="H89" s="802"/>
      <c r="I89" s="802"/>
      <c r="J89" s="603"/>
      <c r="K89" s="609"/>
      <c r="L89" s="609"/>
      <c r="M89" s="609"/>
      <c r="N89" s="609"/>
      <c r="O89" s="609"/>
      <c r="P89" s="609"/>
      <c r="Q89" s="603"/>
      <c r="R89" s="603"/>
      <c r="S89" s="609"/>
      <c r="T89" s="609"/>
      <c r="U89" s="609"/>
      <c r="V89" s="609"/>
      <c r="W89" s="609"/>
      <c r="X89" s="609"/>
      <c r="Y89" s="609"/>
      <c r="Z89" s="609"/>
      <c r="AA89" s="609"/>
      <c r="AB89" s="609"/>
      <c r="AC89" s="609"/>
      <c r="AD89" s="609"/>
      <c r="AE89" s="609"/>
      <c r="AF89" s="609"/>
      <c r="AG89" s="609"/>
      <c r="AH89" s="609"/>
      <c r="AI89" s="609"/>
      <c r="AJ89" s="609"/>
      <c r="AK89" s="609"/>
      <c r="AL89" s="609"/>
      <c r="AM89" s="609"/>
      <c r="AN89" s="609"/>
      <c r="AO89" s="609"/>
      <c r="AP89" s="609"/>
      <c r="AQ89" s="609"/>
      <c r="AR89" s="609"/>
      <c r="AS89" s="609"/>
      <c r="AT89" s="609"/>
      <c r="AU89" s="609"/>
      <c r="AV89" s="609"/>
      <c r="AW89" s="609"/>
      <c r="AX89" s="609"/>
      <c r="AY89" s="609"/>
      <c r="AZ89" s="609"/>
      <c r="BA89" s="609"/>
      <c r="BB89" s="609"/>
      <c r="BC89" s="609"/>
      <c r="BD89" s="609"/>
      <c r="BE89" s="609"/>
      <c r="BF89" s="609"/>
      <c r="BG89" s="609"/>
      <c r="BH89" s="609"/>
      <c r="BI89" s="609"/>
      <c r="BJ89" s="609"/>
      <c r="BK89" s="609"/>
      <c r="BL89" s="609"/>
      <c r="BM89" s="609"/>
    </row>
    <row r="90" spans="2:65" s="790" customFormat="1" ht="15">
      <c r="B90" s="817"/>
      <c r="C90" s="663">
        <f>C88*C89</f>
        <v>25000</v>
      </c>
      <c r="D90" s="651" t="s">
        <v>1007</v>
      </c>
      <c r="E90" s="741"/>
      <c r="F90" s="797"/>
      <c r="G90" s="802"/>
      <c r="H90" s="802"/>
      <c r="I90" s="802"/>
      <c r="J90" s="603"/>
      <c r="K90" s="609"/>
      <c r="L90" s="609"/>
      <c r="M90" s="609"/>
      <c r="N90" s="609"/>
      <c r="O90" s="609"/>
      <c r="P90" s="609"/>
      <c r="Q90" s="603"/>
      <c r="R90" s="603"/>
      <c r="S90" s="609"/>
      <c r="T90" s="609"/>
      <c r="U90" s="609"/>
      <c r="V90" s="609"/>
      <c r="W90" s="609"/>
      <c r="X90" s="609"/>
      <c r="Y90" s="609"/>
      <c r="Z90" s="609"/>
      <c r="AA90" s="609"/>
      <c r="AB90" s="609"/>
      <c r="AC90" s="609"/>
      <c r="AD90" s="609"/>
      <c r="AE90" s="609"/>
      <c r="AF90" s="609"/>
      <c r="AG90" s="609"/>
      <c r="AH90" s="609"/>
      <c r="AI90" s="609"/>
      <c r="AJ90" s="609"/>
      <c r="AK90" s="609"/>
      <c r="AL90" s="609"/>
      <c r="AM90" s="609"/>
      <c r="AN90" s="609"/>
      <c r="AO90" s="609"/>
      <c r="AP90" s="609"/>
      <c r="AQ90" s="609"/>
      <c r="AR90" s="609"/>
      <c r="AS90" s="609"/>
      <c r="AT90" s="609"/>
      <c r="AU90" s="609"/>
      <c r="AV90" s="609"/>
      <c r="AW90" s="609"/>
      <c r="AX90" s="609"/>
      <c r="AY90" s="609"/>
      <c r="AZ90" s="609"/>
      <c r="BA90" s="609"/>
      <c r="BB90" s="609"/>
      <c r="BC90" s="609"/>
      <c r="BD90" s="609"/>
      <c r="BE90" s="609"/>
      <c r="BF90" s="609"/>
      <c r="BG90" s="609"/>
      <c r="BH90" s="609"/>
      <c r="BI90" s="609"/>
      <c r="BJ90" s="609"/>
      <c r="BK90" s="609"/>
      <c r="BL90" s="609"/>
      <c r="BM90" s="609"/>
    </row>
    <row r="91" spans="2:65" s="520" customFormat="1" ht="15">
      <c r="B91" s="660"/>
      <c r="C91" s="795"/>
      <c r="D91" s="794"/>
      <c r="E91" s="797"/>
      <c r="F91" s="797"/>
      <c r="G91" s="802"/>
      <c r="H91" s="802"/>
      <c r="I91" s="583"/>
      <c r="J91" s="603"/>
      <c r="K91" s="609"/>
      <c r="L91" s="609"/>
      <c r="M91" s="609"/>
      <c r="N91" s="609"/>
      <c r="O91" s="609"/>
      <c r="P91" s="609"/>
      <c r="Q91" s="603"/>
      <c r="R91" s="603"/>
      <c r="S91" s="609"/>
      <c r="T91" s="609"/>
      <c r="U91" s="609"/>
      <c r="V91" s="609"/>
      <c r="W91" s="609"/>
      <c r="X91" s="609"/>
      <c r="Y91" s="609"/>
      <c r="Z91" s="609"/>
      <c r="AA91" s="609"/>
      <c r="AB91" s="609"/>
      <c r="AC91" s="609"/>
      <c r="AD91" s="609"/>
      <c r="AE91" s="609"/>
      <c r="AF91" s="609"/>
      <c r="AG91" s="609"/>
      <c r="AH91" s="609"/>
      <c r="AI91" s="609"/>
      <c r="AJ91" s="609"/>
      <c r="AK91" s="609"/>
      <c r="AL91" s="609"/>
      <c r="AM91" s="609"/>
      <c r="AN91" s="609"/>
      <c r="AO91" s="609"/>
      <c r="AP91" s="609"/>
      <c r="AQ91" s="609"/>
      <c r="AR91" s="609"/>
      <c r="AS91" s="609"/>
      <c r="AT91" s="609"/>
      <c r="AU91" s="609"/>
      <c r="AV91" s="609"/>
      <c r="AW91" s="609"/>
      <c r="AX91" s="609"/>
      <c r="AY91" s="609"/>
      <c r="AZ91" s="609"/>
      <c r="BA91" s="609"/>
      <c r="BB91" s="609"/>
      <c r="BC91" s="609"/>
      <c r="BD91" s="609"/>
      <c r="BE91" s="609"/>
      <c r="BF91" s="609"/>
      <c r="BG91" s="609"/>
      <c r="BH91" s="609"/>
      <c r="BI91" s="609"/>
      <c r="BJ91" s="609"/>
      <c r="BK91" s="609"/>
      <c r="BL91" s="609"/>
      <c r="BM91" s="609"/>
    </row>
    <row r="92" spans="2:65" s="790" customFormat="1" ht="15">
      <c r="B92" s="904" t="s">
        <v>1012</v>
      </c>
      <c r="C92" s="795"/>
      <c r="D92" s="794"/>
      <c r="E92" s="797"/>
      <c r="F92" s="797"/>
      <c r="G92" s="802"/>
      <c r="H92" s="802"/>
      <c r="I92" s="802"/>
      <c r="J92" s="603"/>
      <c r="K92" s="609"/>
      <c r="L92" s="609"/>
      <c r="M92" s="609"/>
      <c r="N92" s="609"/>
      <c r="O92" s="609"/>
      <c r="P92" s="609"/>
      <c r="Q92" s="603"/>
      <c r="R92" s="603"/>
      <c r="S92" s="609"/>
      <c r="T92" s="609"/>
      <c r="U92" s="609"/>
      <c r="V92" s="609"/>
      <c r="W92" s="609"/>
      <c r="X92" s="609"/>
      <c r="Y92" s="609"/>
      <c r="Z92" s="609"/>
      <c r="AA92" s="609"/>
      <c r="AB92" s="609"/>
      <c r="AC92" s="609"/>
      <c r="AD92" s="609"/>
      <c r="AE92" s="609"/>
      <c r="AF92" s="609"/>
      <c r="AG92" s="609"/>
      <c r="AH92" s="609"/>
      <c r="AI92" s="609"/>
      <c r="AJ92" s="609"/>
      <c r="AK92" s="609"/>
      <c r="AL92" s="609"/>
      <c r="AM92" s="609"/>
      <c r="AN92" s="609"/>
      <c r="AO92" s="609"/>
      <c r="AP92" s="609"/>
      <c r="AQ92" s="609"/>
      <c r="AR92" s="609"/>
      <c r="AS92" s="609"/>
      <c r="AT92" s="609"/>
      <c r="AU92" s="609"/>
      <c r="AV92" s="609"/>
      <c r="AW92" s="609"/>
      <c r="AX92" s="609"/>
      <c r="AY92" s="609"/>
      <c r="AZ92" s="609"/>
      <c r="BA92" s="609"/>
      <c r="BB92" s="609"/>
      <c r="BC92" s="609"/>
      <c r="BD92" s="609"/>
      <c r="BE92" s="609"/>
      <c r="BF92" s="609"/>
      <c r="BG92" s="609"/>
      <c r="BH92" s="609"/>
      <c r="BI92" s="609"/>
      <c r="BJ92" s="609"/>
      <c r="BK92" s="609"/>
      <c r="BL92" s="609"/>
      <c r="BM92" s="609"/>
    </row>
    <row r="93" spans="2:65" s="520" customFormat="1" ht="15">
      <c r="B93" s="1468" t="s">
        <v>1109</v>
      </c>
      <c r="C93" s="1363">
        <v>17</v>
      </c>
      <c r="D93" s="651" t="s">
        <v>1017</v>
      </c>
      <c r="E93" s="1278" t="s">
        <v>1358</v>
      </c>
      <c r="F93" s="797"/>
      <c r="G93" s="802"/>
      <c r="H93" s="802"/>
      <c r="I93" s="583"/>
      <c r="J93" s="603"/>
      <c r="K93" s="609"/>
      <c r="L93" s="609"/>
      <c r="M93" s="609"/>
      <c r="N93" s="609"/>
      <c r="O93" s="609"/>
      <c r="P93" s="609"/>
      <c r="Q93" s="603"/>
      <c r="R93" s="603"/>
      <c r="S93" s="609"/>
      <c r="T93" s="609"/>
      <c r="U93" s="609"/>
      <c r="V93" s="609"/>
      <c r="W93" s="609"/>
      <c r="X93" s="609"/>
      <c r="Y93" s="609"/>
      <c r="Z93" s="609"/>
      <c r="AA93" s="609"/>
      <c r="AB93" s="609"/>
      <c r="AC93" s="609"/>
      <c r="AD93" s="609"/>
      <c r="AE93" s="609"/>
      <c r="AF93" s="609"/>
      <c r="AG93" s="609"/>
      <c r="AH93" s="609"/>
      <c r="AI93" s="609"/>
      <c r="AJ93" s="609"/>
      <c r="AK93" s="609"/>
      <c r="AL93" s="609"/>
      <c r="AM93" s="609"/>
      <c r="AN93" s="609"/>
      <c r="AO93" s="609"/>
      <c r="AP93" s="609"/>
      <c r="AQ93" s="609"/>
      <c r="AR93" s="609"/>
      <c r="AS93" s="609"/>
      <c r="AT93" s="609"/>
      <c r="AU93" s="609"/>
      <c r="AV93" s="609"/>
      <c r="AW93" s="609"/>
      <c r="AX93" s="609"/>
      <c r="AY93" s="609"/>
      <c r="AZ93" s="609"/>
      <c r="BA93" s="609"/>
      <c r="BB93" s="609"/>
      <c r="BC93" s="609"/>
      <c r="BD93" s="609"/>
      <c r="BE93" s="609"/>
      <c r="BF93" s="609"/>
      <c r="BG93" s="609"/>
      <c r="BH93" s="609"/>
      <c r="BI93" s="609"/>
      <c r="BJ93" s="609"/>
      <c r="BK93" s="609"/>
      <c r="BL93" s="609"/>
      <c r="BM93" s="609"/>
    </row>
    <row r="94" spans="2:65" s="790" customFormat="1" ht="15">
      <c r="B94" s="1468"/>
      <c r="C94" s="1363">
        <v>2</v>
      </c>
      <c r="D94" s="651" t="s">
        <v>1018</v>
      </c>
      <c r="E94" s="1278" t="s">
        <v>1359</v>
      </c>
      <c r="F94" s="797"/>
      <c r="G94" s="802"/>
      <c r="H94" s="802"/>
      <c r="I94" s="802"/>
      <c r="J94" s="603"/>
      <c r="K94" s="609"/>
      <c r="L94" s="609"/>
      <c r="M94" s="609"/>
      <c r="N94" s="609"/>
      <c r="O94" s="609"/>
      <c r="P94" s="609"/>
      <c r="Q94" s="603"/>
      <c r="R94" s="603"/>
      <c r="S94" s="609"/>
      <c r="T94" s="609"/>
      <c r="U94" s="609"/>
      <c r="V94" s="609"/>
      <c r="W94" s="609"/>
      <c r="X94" s="609"/>
      <c r="Y94" s="609"/>
      <c r="Z94" s="609"/>
      <c r="AA94" s="609"/>
      <c r="AB94" s="609"/>
      <c r="AC94" s="609"/>
      <c r="AD94" s="609"/>
      <c r="AE94" s="609"/>
      <c r="AF94" s="609"/>
      <c r="AG94" s="609"/>
      <c r="AH94" s="609"/>
      <c r="AI94" s="609"/>
      <c r="AJ94" s="609"/>
      <c r="AK94" s="609"/>
      <c r="AL94" s="609"/>
      <c r="AM94" s="609"/>
      <c r="AN94" s="609"/>
      <c r="AO94" s="609"/>
      <c r="AP94" s="609"/>
      <c r="AQ94" s="609"/>
      <c r="AR94" s="609"/>
      <c r="AS94" s="609"/>
      <c r="AT94" s="609"/>
      <c r="AU94" s="609"/>
      <c r="AV94" s="609"/>
      <c r="AW94" s="609"/>
      <c r="AX94" s="609"/>
      <c r="AY94" s="609"/>
      <c r="AZ94" s="609"/>
      <c r="BA94" s="609"/>
      <c r="BB94" s="609"/>
      <c r="BC94" s="609"/>
      <c r="BD94" s="609"/>
      <c r="BE94" s="609"/>
      <c r="BF94" s="609"/>
      <c r="BG94" s="609"/>
      <c r="BH94" s="609"/>
      <c r="BI94" s="609"/>
      <c r="BJ94" s="609"/>
      <c r="BK94" s="609"/>
      <c r="BL94" s="609"/>
      <c r="BM94" s="609"/>
    </row>
    <row r="95" spans="2:65" s="790" customFormat="1" ht="15">
      <c r="B95" s="1468"/>
      <c r="C95" s="663">
        <f>C93*C94</f>
        <v>34</v>
      </c>
      <c r="D95" s="651" t="s">
        <v>593</v>
      </c>
      <c r="E95" s="741"/>
      <c r="F95" s="797"/>
      <c r="G95" s="802"/>
      <c r="H95" s="802"/>
      <c r="I95" s="802"/>
      <c r="J95" s="603"/>
      <c r="K95" s="609"/>
      <c r="L95" s="609"/>
      <c r="M95" s="609"/>
      <c r="N95" s="609"/>
      <c r="O95" s="609"/>
      <c r="P95" s="609"/>
      <c r="Q95" s="603"/>
      <c r="R95" s="603"/>
      <c r="S95" s="609"/>
      <c r="T95" s="609"/>
      <c r="U95" s="609"/>
      <c r="V95" s="609"/>
      <c r="W95" s="609"/>
      <c r="X95" s="609"/>
      <c r="Y95" s="609"/>
      <c r="Z95" s="609"/>
      <c r="AA95" s="609"/>
      <c r="AB95" s="609"/>
      <c r="AC95" s="609"/>
      <c r="AD95" s="609"/>
      <c r="AE95" s="609"/>
      <c r="AF95" s="609"/>
      <c r="AG95" s="609"/>
      <c r="AH95" s="609"/>
      <c r="AI95" s="609"/>
      <c r="AJ95" s="609"/>
      <c r="AK95" s="609"/>
      <c r="AL95" s="609"/>
      <c r="AM95" s="609"/>
      <c r="AN95" s="609"/>
      <c r="AO95" s="609"/>
      <c r="AP95" s="609"/>
      <c r="AQ95" s="609"/>
      <c r="AR95" s="609"/>
      <c r="AS95" s="609"/>
      <c r="AT95" s="609"/>
      <c r="AU95" s="609"/>
      <c r="AV95" s="609"/>
      <c r="AW95" s="609"/>
      <c r="AX95" s="609"/>
      <c r="AY95" s="609"/>
      <c r="AZ95" s="609"/>
      <c r="BA95" s="609"/>
      <c r="BB95" s="609"/>
      <c r="BC95" s="609"/>
      <c r="BD95" s="609"/>
      <c r="BE95" s="609"/>
      <c r="BF95" s="609"/>
      <c r="BG95" s="609"/>
      <c r="BH95" s="609"/>
      <c r="BI95" s="609"/>
      <c r="BJ95" s="609"/>
      <c r="BK95" s="609"/>
      <c r="BL95" s="609"/>
      <c r="BM95" s="609"/>
    </row>
    <row r="96" spans="2:65" s="790" customFormat="1" ht="15">
      <c r="B96" s="1468"/>
      <c r="C96" s="1363">
        <v>52</v>
      </c>
      <c r="D96" s="651" t="s">
        <v>1019</v>
      </c>
      <c r="E96" s="1278" t="s">
        <v>1360</v>
      </c>
      <c r="F96" s="797"/>
      <c r="G96" s="802"/>
      <c r="H96" s="802"/>
      <c r="I96" s="802"/>
      <c r="J96" s="603"/>
      <c r="K96" s="609"/>
      <c r="L96" s="609"/>
      <c r="M96" s="609"/>
      <c r="N96" s="609"/>
      <c r="O96" s="609"/>
      <c r="P96" s="609"/>
      <c r="Q96" s="603"/>
      <c r="R96" s="603"/>
      <c r="S96" s="609"/>
      <c r="T96" s="609"/>
      <c r="U96" s="609"/>
      <c r="V96" s="609"/>
      <c r="W96" s="609"/>
      <c r="X96" s="609"/>
      <c r="Y96" s="609"/>
      <c r="Z96" s="609"/>
      <c r="AA96" s="609"/>
      <c r="AB96" s="609"/>
      <c r="AC96" s="609"/>
      <c r="AD96" s="609"/>
      <c r="AE96" s="609"/>
      <c r="AF96" s="609"/>
      <c r="AG96" s="609"/>
      <c r="AH96" s="609"/>
      <c r="AI96" s="609"/>
      <c r="AJ96" s="609"/>
      <c r="AK96" s="609"/>
      <c r="AL96" s="609"/>
      <c r="AM96" s="609"/>
      <c r="AN96" s="609"/>
      <c r="AO96" s="609"/>
      <c r="AP96" s="609"/>
      <c r="AQ96" s="609"/>
      <c r="AR96" s="609"/>
      <c r="AS96" s="609"/>
      <c r="AT96" s="609"/>
      <c r="AU96" s="609"/>
      <c r="AV96" s="609"/>
      <c r="AW96" s="609"/>
      <c r="AX96" s="609"/>
      <c r="AY96" s="609"/>
      <c r="AZ96" s="609"/>
      <c r="BA96" s="609"/>
      <c r="BB96" s="609"/>
      <c r="BC96" s="609"/>
      <c r="BD96" s="609"/>
      <c r="BE96" s="609"/>
      <c r="BF96" s="609"/>
      <c r="BG96" s="609"/>
      <c r="BH96" s="609"/>
      <c r="BI96" s="609"/>
      <c r="BJ96" s="609"/>
      <c r="BK96" s="609"/>
      <c r="BL96" s="609"/>
      <c r="BM96" s="609"/>
    </row>
    <row r="97" spans="2:65" s="520" customFormat="1" ht="15">
      <c r="B97" s="1468"/>
      <c r="C97" s="663">
        <f>C95*C96</f>
        <v>1768</v>
      </c>
      <c r="D97" s="651" t="s">
        <v>1007</v>
      </c>
      <c r="E97" s="797"/>
      <c r="F97" s="797"/>
      <c r="G97" s="802"/>
      <c r="H97" s="802"/>
      <c r="I97" s="583"/>
      <c r="J97" s="603"/>
      <c r="K97" s="609"/>
      <c r="L97" s="609"/>
      <c r="M97" s="609"/>
      <c r="N97" s="609"/>
      <c r="O97" s="609"/>
      <c r="P97" s="609"/>
      <c r="Q97" s="603"/>
      <c r="R97" s="603"/>
      <c r="S97" s="609"/>
      <c r="T97" s="609"/>
      <c r="U97" s="609"/>
      <c r="V97" s="609"/>
      <c r="W97" s="609"/>
      <c r="X97" s="609"/>
      <c r="Y97" s="609"/>
      <c r="Z97" s="609"/>
      <c r="AA97" s="609"/>
      <c r="AB97" s="609"/>
      <c r="AC97" s="609"/>
      <c r="AD97" s="609"/>
      <c r="AE97" s="609"/>
      <c r="AF97" s="609"/>
      <c r="AG97" s="609"/>
      <c r="AH97" s="609"/>
      <c r="AI97" s="609"/>
      <c r="AJ97" s="609"/>
      <c r="AK97" s="609"/>
      <c r="AL97" s="609"/>
      <c r="AM97" s="609"/>
      <c r="AN97" s="609"/>
      <c r="AO97" s="609"/>
      <c r="AP97" s="609"/>
      <c r="AQ97" s="609"/>
      <c r="AR97" s="609"/>
      <c r="AS97" s="609"/>
      <c r="AT97" s="609"/>
      <c r="AU97" s="609"/>
      <c r="AV97" s="609"/>
      <c r="AW97" s="609"/>
      <c r="AX97" s="609"/>
      <c r="AY97" s="609"/>
      <c r="AZ97" s="609"/>
      <c r="BA97" s="609"/>
      <c r="BB97" s="609"/>
      <c r="BC97" s="609"/>
      <c r="BD97" s="609"/>
      <c r="BE97" s="609"/>
      <c r="BF97" s="609"/>
      <c r="BG97" s="609"/>
      <c r="BH97" s="609"/>
      <c r="BI97" s="609"/>
      <c r="BJ97" s="609"/>
      <c r="BK97" s="609"/>
      <c r="BL97" s="609"/>
      <c r="BM97" s="609"/>
    </row>
    <row r="98" spans="2:65" s="790" customFormat="1" ht="15">
      <c r="B98" s="797"/>
      <c r="C98" s="795"/>
      <c r="D98" s="794"/>
      <c r="E98" s="797"/>
      <c r="F98" s="797"/>
      <c r="G98" s="802"/>
      <c r="H98" s="802"/>
      <c r="I98" s="802"/>
      <c r="J98" s="603"/>
      <c r="K98" s="609"/>
      <c r="L98" s="609"/>
      <c r="M98" s="609"/>
      <c r="N98" s="609"/>
      <c r="O98" s="609"/>
      <c r="P98" s="609"/>
      <c r="Q98" s="603"/>
      <c r="R98" s="603"/>
      <c r="S98" s="609"/>
      <c r="T98" s="609"/>
      <c r="U98" s="609"/>
      <c r="V98" s="609"/>
      <c r="W98" s="609"/>
      <c r="X98" s="609"/>
      <c r="Y98" s="609"/>
      <c r="Z98" s="609"/>
      <c r="AA98" s="609"/>
      <c r="AB98" s="609"/>
      <c r="AC98" s="609"/>
      <c r="AD98" s="609"/>
      <c r="AE98" s="609"/>
      <c r="AF98" s="609"/>
      <c r="AG98" s="609"/>
      <c r="AH98" s="609"/>
      <c r="AI98" s="609"/>
      <c r="AJ98" s="609"/>
      <c r="AK98" s="609"/>
      <c r="AL98" s="609"/>
      <c r="AM98" s="609"/>
      <c r="AN98" s="609"/>
      <c r="AO98" s="609"/>
      <c r="AP98" s="609"/>
      <c r="AQ98" s="609"/>
      <c r="AR98" s="609"/>
      <c r="AS98" s="609"/>
      <c r="AT98" s="609"/>
      <c r="AU98" s="609"/>
      <c r="AV98" s="609"/>
      <c r="AW98" s="609"/>
      <c r="AX98" s="609"/>
      <c r="AY98" s="609"/>
      <c r="AZ98" s="609"/>
      <c r="BA98" s="609"/>
      <c r="BB98" s="609"/>
      <c r="BC98" s="609"/>
      <c r="BD98" s="609"/>
      <c r="BE98" s="609"/>
      <c r="BF98" s="609"/>
      <c r="BG98" s="609"/>
      <c r="BH98" s="609"/>
      <c r="BI98" s="609"/>
      <c r="BJ98" s="609"/>
      <c r="BK98" s="609"/>
      <c r="BL98" s="609"/>
      <c r="BM98" s="609"/>
    </row>
    <row r="99" spans="2:65" s="520" customFormat="1" ht="15">
      <c r="B99" s="904" t="s">
        <v>1108</v>
      </c>
      <c r="C99" s="795"/>
      <c r="D99" s="794"/>
      <c r="E99" s="797"/>
      <c r="F99" s="797"/>
      <c r="G99" s="802"/>
      <c r="H99" s="802"/>
      <c r="I99" s="583"/>
      <c r="J99" s="603"/>
      <c r="K99" s="609"/>
      <c r="L99" s="609"/>
      <c r="M99" s="609"/>
      <c r="N99" s="609"/>
      <c r="O99" s="609"/>
      <c r="P99" s="609"/>
      <c r="Q99" s="603"/>
      <c r="R99" s="603"/>
      <c r="S99" s="609"/>
      <c r="T99" s="609"/>
      <c r="U99" s="609"/>
      <c r="V99" s="609"/>
      <c r="W99" s="609"/>
      <c r="X99" s="609"/>
      <c r="Y99" s="609"/>
      <c r="Z99" s="609"/>
      <c r="AA99" s="609"/>
      <c r="AB99" s="609"/>
      <c r="AC99" s="609"/>
      <c r="AD99" s="609"/>
      <c r="AE99" s="609"/>
      <c r="AF99" s="609"/>
      <c r="AG99" s="609"/>
      <c r="AH99" s="609"/>
      <c r="AI99" s="609"/>
      <c r="AJ99" s="609"/>
      <c r="AK99" s="609"/>
      <c r="AL99" s="609"/>
      <c r="AM99" s="609"/>
      <c r="AN99" s="609"/>
      <c r="AO99" s="609"/>
      <c r="AP99" s="609"/>
      <c r="AQ99" s="609"/>
      <c r="AR99" s="609"/>
      <c r="AS99" s="609"/>
      <c r="AT99" s="609"/>
      <c r="AU99" s="609"/>
      <c r="AV99" s="609"/>
      <c r="AW99" s="609"/>
      <c r="AX99" s="609"/>
      <c r="AY99" s="609"/>
      <c r="AZ99" s="609"/>
      <c r="BA99" s="609"/>
      <c r="BB99" s="609"/>
      <c r="BC99" s="609"/>
      <c r="BD99" s="609"/>
      <c r="BE99" s="609"/>
      <c r="BF99" s="609"/>
      <c r="BG99" s="609"/>
      <c r="BH99" s="609"/>
      <c r="BI99" s="609"/>
      <c r="BJ99" s="609"/>
      <c r="BK99" s="609"/>
      <c r="BL99" s="609"/>
      <c r="BM99" s="609"/>
    </row>
    <row r="100" spans="2:65" s="520" customFormat="1" ht="15">
      <c r="B100" s="970" t="s">
        <v>1128</v>
      </c>
      <c r="C100" s="1363">
        <v>0</v>
      </c>
      <c r="D100" s="651" t="s">
        <v>593</v>
      </c>
      <c r="E100" s="1278" t="s">
        <v>1361</v>
      </c>
      <c r="F100" s="797"/>
      <c r="G100" s="802"/>
      <c r="H100" s="802"/>
      <c r="I100" s="583"/>
      <c r="J100" s="603"/>
      <c r="K100" s="609"/>
      <c r="L100" s="609"/>
      <c r="M100" s="609"/>
      <c r="N100" s="609"/>
      <c r="O100" s="609"/>
      <c r="P100" s="609"/>
      <c r="Q100" s="603"/>
      <c r="R100" s="603"/>
      <c r="S100" s="609"/>
      <c r="T100" s="609"/>
      <c r="U100" s="609"/>
      <c r="V100" s="609"/>
      <c r="W100" s="609"/>
      <c r="X100" s="609"/>
      <c r="Y100" s="609"/>
      <c r="Z100" s="609"/>
      <c r="AA100" s="609"/>
      <c r="AB100" s="609"/>
      <c r="AC100" s="609"/>
      <c r="AD100" s="609"/>
      <c r="AE100" s="609"/>
      <c r="AF100" s="609"/>
      <c r="AG100" s="609"/>
      <c r="AH100" s="609"/>
      <c r="AI100" s="609"/>
      <c r="AJ100" s="609"/>
      <c r="AK100" s="609"/>
      <c r="AL100" s="609"/>
      <c r="AM100" s="609"/>
      <c r="AN100" s="609"/>
      <c r="AO100" s="609"/>
      <c r="AP100" s="609"/>
      <c r="AQ100" s="609"/>
      <c r="AR100" s="609"/>
      <c r="AS100" s="609"/>
      <c r="AT100" s="609"/>
      <c r="AU100" s="609"/>
      <c r="AV100" s="609"/>
      <c r="AW100" s="609"/>
      <c r="AX100" s="609"/>
      <c r="AY100" s="609"/>
      <c r="AZ100" s="609"/>
      <c r="BA100" s="609"/>
      <c r="BB100" s="609"/>
      <c r="BC100" s="609"/>
      <c r="BD100" s="609"/>
      <c r="BE100" s="609"/>
      <c r="BF100" s="609"/>
      <c r="BG100" s="609"/>
      <c r="BH100" s="609"/>
      <c r="BI100" s="609"/>
      <c r="BJ100" s="609"/>
      <c r="BK100" s="609"/>
      <c r="BL100" s="609"/>
      <c r="BM100" s="609"/>
    </row>
    <row r="101" spans="2:65" s="790" customFormat="1" ht="15">
      <c r="B101" s="818"/>
      <c r="C101" s="1363">
        <v>0</v>
      </c>
      <c r="D101" s="651" t="s">
        <v>1019</v>
      </c>
      <c r="E101" s="1278" t="s">
        <v>1362</v>
      </c>
      <c r="F101" s="797"/>
      <c r="G101" s="802"/>
      <c r="H101" s="802"/>
      <c r="I101" s="802"/>
      <c r="J101" s="603"/>
      <c r="K101" s="609"/>
      <c r="L101" s="609"/>
      <c r="M101" s="609"/>
      <c r="N101" s="609"/>
      <c r="O101" s="609"/>
      <c r="P101" s="609"/>
      <c r="Q101" s="603"/>
      <c r="R101" s="603"/>
      <c r="S101" s="609"/>
      <c r="T101" s="609"/>
      <c r="U101" s="609"/>
      <c r="V101" s="609"/>
      <c r="W101" s="609"/>
      <c r="X101" s="609"/>
      <c r="Y101" s="609"/>
      <c r="Z101" s="609"/>
      <c r="AA101" s="609"/>
      <c r="AB101" s="609"/>
      <c r="AC101" s="609"/>
      <c r="AD101" s="609"/>
      <c r="AE101" s="609"/>
      <c r="AF101" s="609"/>
      <c r="AG101" s="609"/>
      <c r="AH101" s="609"/>
      <c r="AI101" s="609"/>
      <c r="AJ101" s="609"/>
      <c r="AK101" s="609"/>
      <c r="AL101" s="609"/>
      <c r="AM101" s="609"/>
      <c r="AN101" s="609"/>
      <c r="AO101" s="609"/>
      <c r="AP101" s="609"/>
      <c r="AQ101" s="609"/>
      <c r="AR101" s="609"/>
      <c r="AS101" s="609"/>
      <c r="AT101" s="609"/>
      <c r="AU101" s="609"/>
      <c r="AV101" s="609"/>
      <c r="AW101" s="609"/>
      <c r="AX101" s="609"/>
      <c r="AY101" s="609"/>
      <c r="AZ101" s="609"/>
      <c r="BA101" s="609"/>
      <c r="BB101" s="609"/>
      <c r="BC101" s="609"/>
      <c r="BD101" s="609"/>
      <c r="BE101" s="609"/>
      <c r="BF101" s="609"/>
      <c r="BG101" s="609"/>
      <c r="BH101" s="609"/>
      <c r="BI101" s="609"/>
      <c r="BJ101" s="609"/>
      <c r="BK101" s="609"/>
      <c r="BL101" s="609"/>
      <c r="BM101" s="609"/>
    </row>
    <row r="102" spans="2:65" s="520" customFormat="1" ht="15">
      <c r="B102" s="816"/>
      <c r="C102" s="663">
        <f>C100*C101</f>
        <v>0</v>
      </c>
      <c r="D102" s="651" t="s">
        <v>1007</v>
      </c>
      <c r="E102" s="797"/>
      <c r="F102" s="797"/>
      <c r="G102" s="802"/>
      <c r="H102" s="802"/>
      <c r="I102" s="583"/>
      <c r="J102" s="603"/>
      <c r="K102" s="609"/>
      <c r="L102" s="609"/>
      <c r="M102" s="609"/>
      <c r="N102" s="609"/>
      <c r="O102" s="609"/>
      <c r="P102" s="609"/>
      <c r="Q102" s="603"/>
      <c r="R102" s="603"/>
      <c r="S102" s="609"/>
      <c r="T102" s="609"/>
      <c r="U102" s="609"/>
      <c r="V102" s="609"/>
      <c r="W102" s="609"/>
      <c r="X102" s="609"/>
      <c r="Y102" s="609"/>
      <c r="Z102" s="609"/>
      <c r="AA102" s="609"/>
      <c r="AB102" s="609"/>
      <c r="AC102" s="609"/>
      <c r="AD102" s="609"/>
      <c r="AE102" s="609"/>
      <c r="AF102" s="609"/>
      <c r="AG102" s="609"/>
      <c r="AH102" s="609"/>
      <c r="AI102" s="609"/>
      <c r="AJ102" s="609"/>
      <c r="AK102" s="609"/>
      <c r="AL102" s="609"/>
      <c r="AM102" s="609"/>
      <c r="AN102" s="609"/>
      <c r="AO102" s="609"/>
      <c r="AP102" s="609"/>
      <c r="AQ102" s="609"/>
      <c r="AR102" s="609"/>
      <c r="AS102" s="609"/>
      <c r="AT102" s="609"/>
      <c r="AU102" s="609"/>
      <c r="AV102" s="609"/>
      <c r="AW102" s="609"/>
      <c r="AX102" s="609"/>
      <c r="AY102" s="609"/>
      <c r="AZ102" s="609"/>
      <c r="BA102" s="609"/>
      <c r="BB102" s="609"/>
      <c r="BC102" s="609"/>
      <c r="BD102" s="609"/>
      <c r="BE102" s="609"/>
      <c r="BF102" s="609"/>
      <c r="BG102" s="609"/>
      <c r="BH102" s="609"/>
      <c r="BI102" s="609"/>
      <c r="BJ102" s="609"/>
      <c r="BK102" s="609"/>
      <c r="BL102" s="609"/>
      <c r="BM102" s="609"/>
    </row>
    <row r="103" spans="2:65" s="957" customFormat="1" ht="15">
      <c r="B103" s="816"/>
      <c r="C103" s="959"/>
      <c r="D103" s="958"/>
      <c r="E103" s="961"/>
      <c r="F103" s="961"/>
      <c r="G103" s="802"/>
      <c r="H103" s="802"/>
      <c r="I103" s="802"/>
      <c r="J103" s="603"/>
      <c r="K103" s="609"/>
      <c r="L103" s="609"/>
      <c r="M103" s="609"/>
      <c r="N103" s="609"/>
      <c r="O103" s="609"/>
      <c r="P103" s="609"/>
      <c r="Q103" s="603"/>
      <c r="R103" s="603"/>
      <c r="S103" s="609"/>
      <c r="T103" s="609"/>
      <c r="U103" s="609"/>
      <c r="V103" s="609"/>
      <c r="W103" s="609"/>
      <c r="X103" s="609"/>
      <c r="Y103" s="609"/>
      <c r="Z103" s="609"/>
      <c r="AA103" s="609"/>
      <c r="AB103" s="609"/>
      <c r="AC103" s="609"/>
      <c r="AD103" s="609"/>
      <c r="AE103" s="609"/>
      <c r="AF103" s="609"/>
      <c r="AG103" s="609"/>
      <c r="AH103" s="609"/>
      <c r="AI103" s="609"/>
      <c r="AJ103" s="609"/>
      <c r="AK103" s="609"/>
      <c r="AL103" s="609"/>
      <c r="AM103" s="609"/>
      <c r="AN103" s="609"/>
      <c r="AO103" s="609"/>
      <c r="AP103" s="609"/>
      <c r="AQ103" s="609"/>
      <c r="AR103" s="609"/>
      <c r="AS103" s="609"/>
      <c r="AT103" s="609"/>
      <c r="AU103" s="609"/>
      <c r="AV103" s="609"/>
      <c r="AW103" s="609"/>
      <c r="AX103" s="609"/>
      <c r="AY103" s="609"/>
      <c r="AZ103" s="609"/>
      <c r="BA103" s="609"/>
      <c r="BB103" s="609"/>
      <c r="BC103" s="609"/>
      <c r="BD103" s="609"/>
      <c r="BE103" s="609"/>
      <c r="BF103" s="609"/>
      <c r="BG103" s="609"/>
      <c r="BH103" s="609"/>
      <c r="BI103" s="609"/>
      <c r="BJ103" s="609"/>
      <c r="BK103" s="609"/>
      <c r="BL103" s="609"/>
      <c r="BM103" s="609"/>
    </row>
    <row r="104" spans="2:65" s="790" customFormat="1" ht="15">
      <c r="B104" s="816"/>
      <c r="C104" s="795"/>
      <c r="D104" s="794"/>
      <c r="E104" s="797"/>
      <c r="F104" s="797"/>
      <c r="G104" s="802"/>
      <c r="H104" s="802"/>
      <c r="I104" s="802"/>
      <c r="J104" s="603"/>
      <c r="K104" s="609"/>
      <c r="L104" s="609"/>
      <c r="M104" s="609"/>
      <c r="N104" s="609"/>
      <c r="O104" s="609"/>
      <c r="P104" s="609"/>
      <c r="Q104" s="603"/>
      <c r="R104" s="603"/>
      <c r="S104" s="609"/>
      <c r="T104" s="609"/>
      <c r="U104" s="609"/>
      <c r="V104" s="609"/>
      <c r="W104" s="609"/>
      <c r="X104" s="609"/>
      <c r="Y104" s="609"/>
      <c r="Z104" s="609"/>
      <c r="AA104" s="609"/>
      <c r="AB104" s="609"/>
      <c r="AC104" s="609"/>
      <c r="AD104" s="609"/>
      <c r="AE104" s="609"/>
      <c r="AF104" s="609"/>
      <c r="AG104" s="609"/>
      <c r="AH104" s="609"/>
      <c r="AI104" s="609"/>
      <c r="AJ104" s="609"/>
      <c r="AK104" s="609"/>
      <c r="AL104" s="609"/>
      <c r="AM104" s="609"/>
      <c r="AN104" s="609"/>
      <c r="AO104" s="609"/>
      <c r="AP104" s="609"/>
      <c r="AQ104" s="609"/>
      <c r="AR104" s="609"/>
      <c r="AS104" s="609"/>
      <c r="AT104" s="609"/>
      <c r="AU104" s="609"/>
      <c r="AV104" s="609"/>
      <c r="AW104" s="609"/>
      <c r="AX104" s="609"/>
      <c r="AY104" s="609"/>
      <c r="AZ104" s="609"/>
      <c r="BA104" s="609"/>
      <c r="BB104" s="609"/>
      <c r="BC104" s="609"/>
      <c r="BD104" s="609"/>
      <c r="BE104" s="609"/>
      <c r="BF104" s="609"/>
      <c r="BG104" s="609"/>
      <c r="BH104" s="609"/>
      <c r="BI104" s="609"/>
      <c r="BJ104" s="609"/>
      <c r="BK104" s="609"/>
      <c r="BL104" s="609"/>
      <c r="BM104" s="609"/>
    </row>
    <row r="105" spans="2:65" s="517" customFormat="1" ht="18.75">
      <c r="B105" s="1427" t="s">
        <v>1111</v>
      </c>
      <c r="C105" s="1427"/>
      <c r="D105" s="1427"/>
      <c r="E105" s="1427"/>
      <c r="F105" s="1427"/>
      <c r="G105" s="1427"/>
      <c r="H105" s="574"/>
      <c r="I105" s="574"/>
      <c r="J105" s="574"/>
      <c r="K105" s="574"/>
      <c r="L105" s="574"/>
      <c r="M105" s="963"/>
    </row>
    <row r="106" spans="2:65">
      <c r="B106" s="789"/>
    </row>
    <row r="107" spans="2:65">
      <c r="B107" s="789"/>
    </row>
    <row r="108" spans="2:65">
      <c r="B108" s="789"/>
    </row>
  </sheetData>
  <mergeCells count="6">
    <mergeCell ref="B8:E11"/>
    <mergeCell ref="B93:B97"/>
    <mergeCell ref="B105:G105"/>
    <mergeCell ref="B50:K50"/>
    <mergeCell ref="B24:J24"/>
    <mergeCell ref="B49:H49"/>
  </mergeCells>
  <pageMargins left="0.7" right="0.7" top="0.75" bottom="0.75" header="0.3" footer="0.3"/>
  <pageSetup paperSize="3" scale="61" orientation="portrait" r:id="rId1"/>
</worksheet>
</file>

<file path=xl/worksheets/sheet4.xml><?xml version="1.0" encoding="utf-8"?>
<worksheet xmlns="http://schemas.openxmlformats.org/spreadsheetml/2006/main" xmlns:r="http://schemas.openxmlformats.org/officeDocument/2006/relationships">
  <sheetPr>
    <pageSetUpPr fitToPage="1"/>
  </sheetPr>
  <dimension ref="A1:L97"/>
  <sheetViews>
    <sheetView zoomScale="90" zoomScaleNormal="90" workbookViewId="0">
      <selection activeCell="H53" sqref="H53"/>
    </sheetView>
  </sheetViews>
  <sheetFormatPr defaultRowHeight="12.75"/>
  <cols>
    <col min="1" max="1" width="2.7109375" style="636" customWidth="1"/>
    <col min="2" max="2" width="45.42578125" style="636" customWidth="1"/>
    <col min="3" max="3" width="15.7109375" style="636" customWidth="1"/>
    <col min="4" max="4" width="16" style="636" customWidth="1"/>
    <col min="5" max="6" width="15.7109375" style="636" customWidth="1"/>
    <col min="7" max="7" width="14.7109375" style="636" customWidth="1"/>
    <col min="8" max="9" width="15.7109375" style="636" customWidth="1"/>
    <col min="10" max="16384" width="9.140625" style="636"/>
  </cols>
  <sheetData>
    <row r="1" spans="1:12" s="630" customFormat="1" ht="26.25">
      <c r="A1" s="628" t="s">
        <v>867</v>
      </c>
      <c r="B1" s="629"/>
      <c r="J1" s="629"/>
      <c r="K1" s="629"/>
    </row>
    <row r="2" spans="1:12" s="634" customFormat="1" ht="23.25">
      <c r="A2" s="1160" t="s">
        <v>1252</v>
      </c>
      <c r="B2" s="633"/>
      <c r="J2" s="633"/>
      <c r="K2" s="633"/>
    </row>
    <row r="3" spans="1:12" s="637" customFormat="1" ht="15">
      <c r="B3" s="632"/>
      <c r="J3" s="632"/>
      <c r="K3" s="632"/>
    </row>
    <row r="4" spans="1:12" s="790" customFormat="1" ht="15">
      <c r="B4" s="892" t="s">
        <v>869</v>
      </c>
      <c r="F4" s="944"/>
      <c r="G4" s="939" t="s">
        <v>868</v>
      </c>
      <c r="H4" s="937"/>
      <c r="I4" s="957"/>
      <c r="J4" s="788"/>
      <c r="K4" s="788"/>
    </row>
    <row r="5" spans="1:12" s="790" customFormat="1" ht="15">
      <c r="B5" s="893" t="str">
        <f>'1. Building Information'!$C$13</f>
        <v>ABC Building</v>
      </c>
      <c r="F5" s="961"/>
      <c r="G5" s="970" t="s">
        <v>1091</v>
      </c>
      <c r="H5" s="917"/>
      <c r="I5" s="1367"/>
      <c r="J5" s="788"/>
      <c r="K5" s="788"/>
    </row>
    <row r="6" spans="1:12" s="790" customFormat="1" ht="15">
      <c r="B6" s="891"/>
      <c r="F6" s="890"/>
      <c r="G6" s="919" t="s">
        <v>964</v>
      </c>
      <c r="H6" s="897"/>
      <c r="I6" s="796"/>
      <c r="J6" s="788"/>
      <c r="K6" s="788"/>
    </row>
    <row r="7" spans="1:12" s="652" customFormat="1" ht="15">
      <c r="B7" s="653" t="s">
        <v>908</v>
      </c>
      <c r="C7" s="645"/>
      <c r="D7" s="645"/>
      <c r="E7" s="645"/>
      <c r="F7" s="890"/>
      <c r="G7" s="919" t="s">
        <v>960</v>
      </c>
      <c r="H7" s="897"/>
      <c r="I7" s="799"/>
      <c r="J7" s="655"/>
      <c r="K7" s="655"/>
    </row>
    <row r="8" spans="1:12" s="637" customFormat="1" ht="15" customHeight="1">
      <c r="B8" s="1442" t="s">
        <v>1253</v>
      </c>
      <c r="C8" s="1442"/>
      <c r="D8" s="1442"/>
      <c r="E8" s="1442"/>
      <c r="F8" s="890"/>
      <c r="G8" s="919" t="s">
        <v>961</v>
      </c>
      <c r="H8" s="897"/>
      <c r="I8" s="805"/>
      <c r="J8" s="632"/>
      <c r="K8" s="645"/>
      <c r="L8" s="645"/>
    </row>
    <row r="9" spans="1:12" s="637" customFormat="1" ht="15">
      <c r="B9" s="1442"/>
      <c r="C9" s="1442"/>
      <c r="D9" s="1442"/>
      <c r="E9" s="1442"/>
      <c r="K9" s="645"/>
    </row>
    <row r="10" spans="1:12" s="637" customFormat="1" ht="15">
      <c r="B10" s="1442"/>
      <c r="C10" s="1442"/>
      <c r="D10" s="1442"/>
      <c r="E10" s="1442"/>
      <c r="K10" s="645"/>
    </row>
    <row r="11" spans="1:12" s="637" customFormat="1" ht="15">
      <c r="B11" s="640"/>
      <c r="C11" s="645"/>
      <c r="D11" s="645"/>
      <c r="E11" s="645"/>
      <c r="F11" s="645"/>
      <c r="G11" s="645"/>
      <c r="H11" s="645"/>
      <c r="I11" s="645"/>
      <c r="J11" s="632"/>
      <c r="K11" s="632"/>
    </row>
    <row r="12" spans="1:12" s="643" customFormat="1" ht="15.75">
      <c r="B12" s="1158" t="s">
        <v>1254</v>
      </c>
      <c r="C12" s="644"/>
      <c r="D12" s="644"/>
      <c r="E12" s="644"/>
      <c r="F12" s="644"/>
      <c r="G12" s="644"/>
      <c r="H12" s="644"/>
    </row>
    <row r="13" spans="1:12" s="637" customFormat="1" ht="15"/>
    <row r="14" spans="1:12" s="639" customFormat="1" ht="47.25">
      <c r="B14" s="627"/>
      <c r="C14" s="649" t="s">
        <v>1425</v>
      </c>
      <c r="D14" s="649" t="s">
        <v>1426</v>
      </c>
      <c r="E14" s="649" t="s">
        <v>935</v>
      </c>
      <c r="F14" s="649" t="s">
        <v>1428</v>
      </c>
      <c r="G14" s="649" t="s">
        <v>1427</v>
      </c>
      <c r="H14" s="649" t="s">
        <v>936</v>
      </c>
      <c r="J14" s="855" t="s">
        <v>1055</v>
      </c>
    </row>
    <row r="15" spans="1:12" s="637" customFormat="1" ht="17.25" customHeight="1">
      <c r="B15" s="635" t="s">
        <v>909</v>
      </c>
      <c r="C15" s="631"/>
      <c r="D15" s="631"/>
      <c r="E15" s="631"/>
      <c r="F15" s="631"/>
      <c r="G15" s="631"/>
      <c r="H15" s="631"/>
      <c r="J15" s="789" t="s">
        <v>1065</v>
      </c>
    </row>
    <row r="16" spans="1:12" s="637" customFormat="1" ht="15">
      <c r="B16" s="658" t="s">
        <v>937</v>
      </c>
      <c r="C16" s="646">
        <f>'2. Indoor Water Demand'!K18</f>
        <v>1.3000000000000002E-4</v>
      </c>
      <c r="D16" s="668">
        <v>0.9</v>
      </c>
      <c r="E16" s="665">
        <f>C16*D16</f>
        <v>1.1700000000000001E-4</v>
      </c>
      <c r="F16" s="646" t="s">
        <v>917</v>
      </c>
      <c r="G16" s="659" t="s">
        <v>917</v>
      </c>
      <c r="H16" s="665" t="s">
        <v>917</v>
      </c>
      <c r="J16" s="789"/>
    </row>
    <row r="17" spans="2:10" s="637" customFormat="1" ht="15">
      <c r="B17" s="658" t="s">
        <v>944</v>
      </c>
      <c r="C17" s="646">
        <f>'2. Indoor Water Demand'!K19</f>
        <v>1.2000000000000001E-3</v>
      </c>
      <c r="D17" s="668">
        <v>0.9</v>
      </c>
      <c r="E17" s="665">
        <f>C17*D17</f>
        <v>1.0800000000000002E-3</v>
      </c>
      <c r="F17" s="646" t="s">
        <v>917</v>
      </c>
      <c r="G17" s="659" t="s">
        <v>917</v>
      </c>
      <c r="H17" s="665" t="s">
        <v>917</v>
      </c>
    </row>
    <row r="18" spans="2:10" s="790" customFormat="1" ht="15">
      <c r="B18" s="658" t="s">
        <v>1003</v>
      </c>
      <c r="C18" s="646">
        <f>'2. Indoor Water Demand'!C95</f>
        <v>34</v>
      </c>
      <c r="D18" s="668">
        <v>0.9</v>
      </c>
      <c r="E18" s="665">
        <f>C18*D18</f>
        <v>30.6</v>
      </c>
      <c r="F18" s="646" t="s">
        <v>917</v>
      </c>
      <c r="G18" s="659" t="s">
        <v>917</v>
      </c>
      <c r="H18" s="665" t="s">
        <v>917</v>
      </c>
    </row>
    <row r="19" spans="2:10" s="637" customFormat="1" ht="15">
      <c r="B19" s="658" t="s">
        <v>1040</v>
      </c>
      <c r="C19" s="646" t="s">
        <v>917</v>
      </c>
      <c r="D19" s="659" t="s">
        <v>917</v>
      </c>
      <c r="E19" s="665" t="s">
        <v>917</v>
      </c>
      <c r="F19" s="646">
        <f>'2. Indoor Water Demand'!K20</f>
        <v>1.74E-3</v>
      </c>
      <c r="G19" s="668">
        <v>0.9</v>
      </c>
      <c r="H19" s="665">
        <f>F19*G19</f>
        <v>1.5660000000000001E-3</v>
      </c>
    </row>
    <row r="20" spans="2:10" s="637" customFormat="1" ht="15">
      <c r="B20" s="658" t="s">
        <v>940</v>
      </c>
      <c r="C20" s="646" t="s">
        <v>917</v>
      </c>
      <c r="D20" s="659" t="s">
        <v>917</v>
      </c>
      <c r="E20" s="665" t="s">
        <v>917</v>
      </c>
      <c r="F20" s="646">
        <f>'2. Indoor Water Demand'!K21</f>
        <v>8.9087999999999997E-3</v>
      </c>
      <c r="G20" s="668">
        <v>0.9</v>
      </c>
      <c r="H20" s="665">
        <f t="shared" ref="H20:H22" si="0">F20*G20</f>
        <v>8.0179199999999996E-3</v>
      </c>
    </row>
    <row r="21" spans="2:10" s="637" customFormat="1" ht="15">
      <c r="B21" s="824" t="s">
        <v>941</v>
      </c>
      <c r="C21" s="646" t="s">
        <v>917</v>
      </c>
      <c r="D21" s="659" t="s">
        <v>917</v>
      </c>
      <c r="E21" s="665" t="s">
        <v>917</v>
      </c>
      <c r="F21" s="646">
        <f>'2. Indoor Water Demand'!K22</f>
        <v>1.8000000000000002E-3</v>
      </c>
      <c r="G21" s="668">
        <v>0.9</v>
      </c>
      <c r="H21" s="665">
        <f>F21*G21</f>
        <v>1.6200000000000001E-3</v>
      </c>
    </row>
    <row r="22" spans="2:10" s="637" customFormat="1" ht="15.75" thickBot="1">
      <c r="B22" s="674" t="s">
        <v>945</v>
      </c>
      <c r="C22" s="647" t="s">
        <v>917</v>
      </c>
      <c r="D22" s="669" t="s">
        <v>917</v>
      </c>
      <c r="E22" s="673" t="s">
        <v>917</v>
      </c>
      <c r="F22" s="647">
        <f>'2. Indoor Water Demand'!K23</f>
        <v>0</v>
      </c>
      <c r="G22" s="672">
        <v>0.9</v>
      </c>
      <c r="H22" s="673">
        <f t="shared" si="0"/>
        <v>0</v>
      </c>
    </row>
    <row r="23" spans="2:10" s="637" customFormat="1" ht="15.75" thickTop="1">
      <c r="B23" s="670" t="s">
        <v>476</v>
      </c>
      <c r="C23" s="648">
        <f>SUM(C16:C22)</f>
        <v>34.001330000000003</v>
      </c>
      <c r="D23" s="671"/>
      <c r="E23" s="666">
        <f>SUM(E16:E22)</f>
        <v>30.601197000000003</v>
      </c>
      <c r="F23" s="648">
        <f>SUM(F16:F22)</f>
        <v>1.2448799999999999E-2</v>
      </c>
      <c r="G23" s="671"/>
      <c r="H23" s="666">
        <f>SUM(H16:H22)</f>
        <v>1.1203919999999999E-2</v>
      </c>
    </row>
    <row r="24" spans="2:10" s="637" customFormat="1" ht="15"/>
    <row r="25" spans="2:10" s="637" customFormat="1" ht="15">
      <c r="B25" s="656" t="s">
        <v>907</v>
      </c>
    </row>
    <row r="26" spans="2:10" s="1416" customFormat="1" ht="15">
      <c r="B26" s="790" t="s">
        <v>1112</v>
      </c>
    </row>
    <row r="27" spans="2:10" s="637" customFormat="1" ht="15"/>
    <row r="28" spans="2:10" s="643" customFormat="1" ht="15.75">
      <c r="B28" s="1158" t="s">
        <v>1255</v>
      </c>
      <c r="C28" s="644"/>
      <c r="D28" s="644"/>
      <c r="E28" s="644"/>
      <c r="F28" s="644"/>
      <c r="G28" s="644"/>
      <c r="H28" s="644"/>
    </row>
    <row r="29" spans="2:10" s="637" customFormat="1" ht="15"/>
    <row r="30" spans="2:10" s="639" customFormat="1" ht="47.25">
      <c r="B30" s="627"/>
      <c r="C30" s="649" t="s">
        <v>1425</v>
      </c>
      <c r="D30" s="649" t="s">
        <v>1426</v>
      </c>
      <c r="E30" s="649" t="s">
        <v>935</v>
      </c>
      <c r="F30" s="649" t="s">
        <v>1428</v>
      </c>
      <c r="G30" s="649" t="s">
        <v>1430</v>
      </c>
      <c r="H30" s="649" t="s">
        <v>936</v>
      </c>
      <c r="J30" s="855" t="s">
        <v>1055</v>
      </c>
    </row>
    <row r="31" spans="2:10" s="637" customFormat="1" ht="17.25" customHeight="1">
      <c r="B31" s="635" t="s">
        <v>909</v>
      </c>
      <c r="C31" s="631"/>
      <c r="D31" s="631"/>
      <c r="E31" s="631"/>
      <c r="F31" s="631"/>
      <c r="G31" s="631"/>
      <c r="H31" s="631"/>
      <c r="J31" s="789" t="s">
        <v>1065</v>
      </c>
    </row>
    <row r="32" spans="2:10" s="637" customFormat="1" ht="15">
      <c r="B32" s="658" t="s">
        <v>937</v>
      </c>
      <c r="C32" s="646">
        <f>'2. Indoor Water Demand'!I42</f>
        <v>21.426599999999997</v>
      </c>
      <c r="D32" s="668">
        <v>0.9</v>
      </c>
      <c r="E32" s="665">
        <f>C32*D32</f>
        <v>19.283939999999998</v>
      </c>
      <c r="F32" s="646" t="s">
        <v>917</v>
      </c>
      <c r="G32" s="659" t="s">
        <v>917</v>
      </c>
      <c r="H32" s="677" t="s">
        <v>917</v>
      </c>
    </row>
    <row r="33" spans="2:10" s="637" customFormat="1" ht="15">
      <c r="B33" s="658" t="s">
        <v>938</v>
      </c>
      <c r="C33" s="646">
        <f>'2. Indoor Water Demand'!I43</f>
        <v>3.9194999999999998</v>
      </c>
      <c r="D33" s="668">
        <v>0.9</v>
      </c>
      <c r="E33" s="665">
        <f t="shared" ref="E33:E34" si="1">C33*D33</f>
        <v>3.5275499999999997</v>
      </c>
      <c r="F33" s="646" t="s">
        <v>917</v>
      </c>
      <c r="G33" s="659" t="s">
        <v>917</v>
      </c>
      <c r="H33" s="677" t="s">
        <v>917</v>
      </c>
    </row>
    <row r="34" spans="2:10" s="637" customFormat="1" ht="15">
      <c r="B34" s="658" t="s">
        <v>939</v>
      </c>
      <c r="C34" s="646">
        <f>'2. Indoor Water Demand'!I44</f>
        <v>5.0249999999999995</v>
      </c>
      <c r="D34" s="668">
        <v>0.9</v>
      </c>
      <c r="E34" s="665">
        <f t="shared" si="1"/>
        <v>4.5225</v>
      </c>
      <c r="F34" s="646" t="s">
        <v>917</v>
      </c>
      <c r="G34" s="659" t="s">
        <v>917</v>
      </c>
      <c r="H34" s="677" t="s">
        <v>917</v>
      </c>
    </row>
    <row r="35" spans="2:10" s="637" customFormat="1" ht="15">
      <c r="B35" s="658" t="s">
        <v>942</v>
      </c>
      <c r="C35" s="646">
        <f>'2. Indoor Water Demand'!I45</f>
        <v>22.992389999999997</v>
      </c>
      <c r="D35" s="668">
        <v>0.9</v>
      </c>
      <c r="E35" s="665">
        <f>C35*D35</f>
        <v>20.693150999999997</v>
      </c>
      <c r="F35" s="646" t="s">
        <v>917</v>
      </c>
      <c r="G35" s="659" t="s">
        <v>917</v>
      </c>
      <c r="H35" s="677" t="s">
        <v>917</v>
      </c>
    </row>
    <row r="36" spans="2:10" s="637" customFormat="1" ht="15">
      <c r="B36" s="658" t="s">
        <v>940</v>
      </c>
      <c r="C36" s="646" t="s">
        <v>917</v>
      </c>
      <c r="D36" s="659" t="s">
        <v>917</v>
      </c>
      <c r="E36" s="665" t="s">
        <v>917</v>
      </c>
      <c r="F36" s="646">
        <f>'2. Indoor Water Demand'!I46</f>
        <v>12.220799999999999</v>
      </c>
      <c r="G36" s="668">
        <v>0.9</v>
      </c>
      <c r="H36" s="677">
        <f>F36*G36</f>
        <v>10.998719999999999</v>
      </c>
    </row>
    <row r="37" spans="2:10" s="637" customFormat="1" ht="15">
      <c r="B37" s="658" t="s">
        <v>941</v>
      </c>
      <c r="C37" s="646" t="s">
        <v>917</v>
      </c>
      <c r="D37" s="659" t="s">
        <v>917</v>
      </c>
      <c r="E37" s="665" t="s">
        <v>917</v>
      </c>
      <c r="F37" s="646">
        <f>'2. Indoor Water Demand'!I47</f>
        <v>28.292759999999998</v>
      </c>
      <c r="G37" s="668">
        <v>0.9</v>
      </c>
      <c r="H37" s="677">
        <f>F37*G37</f>
        <v>25.463483999999998</v>
      </c>
    </row>
    <row r="38" spans="2:10" s="637" customFormat="1" ht="15.75" thickBot="1">
      <c r="B38" s="674" t="s">
        <v>943</v>
      </c>
      <c r="C38" s="647" t="s">
        <v>917</v>
      </c>
      <c r="D38" s="669" t="s">
        <v>917</v>
      </c>
      <c r="E38" s="673" t="s">
        <v>917</v>
      </c>
      <c r="F38" s="647">
        <f>'2. Indoor Water Demand'!I48</f>
        <v>0.89645999999999992</v>
      </c>
      <c r="G38" s="672">
        <v>0.9</v>
      </c>
      <c r="H38" s="678">
        <f>F38*G38</f>
        <v>0.80681399999999992</v>
      </c>
    </row>
    <row r="39" spans="2:10" s="637" customFormat="1" ht="15.75" thickTop="1">
      <c r="B39" s="675" t="s">
        <v>476</v>
      </c>
      <c r="C39" s="648">
        <f>SUM(C32:C38)</f>
        <v>53.363489999999992</v>
      </c>
      <c r="D39" s="676"/>
      <c r="E39" s="666">
        <f>SUM(E32:E38)</f>
        <v>48.027141</v>
      </c>
      <c r="F39" s="648">
        <f>SUM(F32:F38)</f>
        <v>41.410019999999996</v>
      </c>
      <c r="G39" s="676"/>
      <c r="H39" s="679">
        <f>SUM(H32:H38)</f>
        <v>37.269018000000003</v>
      </c>
    </row>
    <row r="40" spans="2:10" s="637" customFormat="1" ht="15">
      <c r="B40" s="656"/>
      <c r="C40" s="657"/>
      <c r="D40" s="657"/>
      <c r="E40" s="657"/>
      <c r="F40" s="657"/>
      <c r="G40" s="657"/>
      <c r="H40" s="657"/>
    </row>
    <row r="41" spans="2:10" s="637" customFormat="1" ht="15">
      <c r="B41" s="656" t="s">
        <v>907</v>
      </c>
      <c r="C41" s="657"/>
      <c r="D41" s="657"/>
      <c r="E41" s="657"/>
      <c r="F41" s="657"/>
      <c r="G41" s="657"/>
      <c r="H41" s="657"/>
    </row>
    <row r="42" spans="2:10" s="637" customFormat="1" ht="15">
      <c r="B42" s="790" t="s">
        <v>1112</v>
      </c>
    </row>
    <row r="43" spans="2:10" s="637" customFormat="1" ht="15"/>
    <row r="44" spans="2:10" s="643" customFormat="1" ht="15.75">
      <c r="B44" s="1158" t="s">
        <v>1256</v>
      </c>
      <c r="C44" s="644"/>
      <c r="D44" s="644"/>
      <c r="E44" s="644"/>
      <c r="F44" s="644"/>
      <c r="G44" s="644"/>
      <c r="H44" s="644"/>
    </row>
    <row r="45" spans="2:10" s="637" customFormat="1" ht="15">
      <c r="B45" s="645"/>
      <c r="C45" s="654"/>
      <c r="D45" s="640"/>
      <c r="E45" s="654"/>
      <c r="F45" s="640"/>
      <c r="G45" s="645"/>
      <c r="H45" s="645"/>
    </row>
    <row r="46" spans="2:10" s="637" customFormat="1" ht="62.25">
      <c r="B46" s="820" t="s">
        <v>585</v>
      </c>
      <c r="C46" s="821" t="s">
        <v>1008</v>
      </c>
      <c r="D46" s="821" t="s">
        <v>1113</v>
      </c>
      <c r="E46" s="821" t="s">
        <v>1116</v>
      </c>
      <c r="F46" s="821" t="s">
        <v>1431</v>
      </c>
      <c r="G46" s="822" t="s">
        <v>1114</v>
      </c>
      <c r="J46" s="855"/>
    </row>
    <row r="47" spans="2:10" s="637" customFormat="1" ht="15">
      <c r="B47" s="920" t="s">
        <v>596</v>
      </c>
      <c r="C47" s="553">
        <f>'2. Indoor Water Demand'!E63</f>
        <v>0</v>
      </c>
      <c r="D47" s="553">
        <f>'2. Indoor Water Demand'!F63</f>
        <v>0</v>
      </c>
      <c r="E47" s="921">
        <v>0.9</v>
      </c>
      <c r="F47" s="553">
        <f>C47*E47</f>
        <v>0</v>
      </c>
      <c r="G47" s="663">
        <f t="shared" ref="G47:G58" si="2">D47*E47</f>
        <v>0</v>
      </c>
      <c r="H47" s="645"/>
      <c r="J47" s="789"/>
    </row>
    <row r="48" spans="2:10" s="790" customFormat="1" ht="15">
      <c r="B48" s="920" t="s">
        <v>597</v>
      </c>
      <c r="C48" s="553">
        <f>'2. Indoor Water Demand'!E64</f>
        <v>0</v>
      </c>
      <c r="D48" s="553">
        <f>'2. Indoor Water Demand'!F64</f>
        <v>0</v>
      </c>
      <c r="E48" s="921">
        <v>0.9</v>
      </c>
      <c r="F48" s="553">
        <f t="shared" ref="F48:F58" si="3">C48*E48</f>
        <v>0</v>
      </c>
      <c r="G48" s="663">
        <f t="shared" si="2"/>
        <v>0</v>
      </c>
      <c r="H48" s="797"/>
      <c r="J48" s="789"/>
    </row>
    <row r="49" spans="2:10" s="790" customFormat="1" ht="15">
      <c r="B49" s="920" t="s">
        <v>598</v>
      </c>
      <c r="C49" s="553">
        <f>'2. Indoor Water Demand'!E65</f>
        <v>0</v>
      </c>
      <c r="D49" s="553">
        <f>'2. Indoor Water Demand'!F65</f>
        <v>0</v>
      </c>
      <c r="E49" s="921">
        <v>0.9</v>
      </c>
      <c r="F49" s="553">
        <f t="shared" si="3"/>
        <v>0</v>
      </c>
      <c r="G49" s="663">
        <f t="shared" si="2"/>
        <v>0</v>
      </c>
      <c r="H49" s="797"/>
      <c r="J49" s="789"/>
    </row>
    <row r="50" spans="2:10" s="790" customFormat="1" ht="15">
      <c r="B50" s="920" t="s">
        <v>599</v>
      </c>
      <c r="C50" s="553">
        <f>'2. Indoor Water Demand'!E66</f>
        <v>0</v>
      </c>
      <c r="D50" s="553">
        <f>'2. Indoor Water Demand'!F66</f>
        <v>0</v>
      </c>
      <c r="E50" s="921">
        <v>0.9</v>
      </c>
      <c r="F50" s="553">
        <f t="shared" si="3"/>
        <v>0</v>
      </c>
      <c r="G50" s="663">
        <f t="shared" si="2"/>
        <v>0</v>
      </c>
      <c r="H50" s="797"/>
      <c r="J50" s="789"/>
    </row>
    <row r="51" spans="2:10" s="790" customFormat="1" ht="15">
      <c r="B51" s="920" t="s">
        <v>600</v>
      </c>
      <c r="C51" s="553">
        <f>'2. Indoor Water Demand'!E67</f>
        <v>0</v>
      </c>
      <c r="D51" s="553">
        <f>'2. Indoor Water Demand'!F67</f>
        <v>0</v>
      </c>
      <c r="E51" s="921">
        <v>0.9</v>
      </c>
      <c r="F51" s="553">
        <f t="shared" si="3"/>
        <v>0</v>
      </c>
      <c r="G51" s="663">
        <f t="shared" si="2"/>
        <v>0</v>
      </c>
      <c r="H51" s="797"/>
      <c r="J51" s="789"/>
    </row>
    <row r="52" spans="2:10" s="790" customFormat="1" ht="15">
      <c r="B52" s="920" t="s">
        <v>601</v>
      </c>
      <c r="C52" s="553">
        <f>'2. Indoor Water Demand'!E68</f>
        <v>0</v>
      </c>
      <c r="D52" s="553">
        <f>'2. Indoor Water Demand'!F68</f>
        <v>0</v>
      </c>
      <c r="E52" s="921">
        <v>0.9</v>
      </c>
      <c r="F52" s="553">
        <f t="shared" si="3"/>
        <v>0</v>
      </c>
      <c r="G52" s="663">
        <f t="shared" si="2"/>
        <v>0</v>
      </c>
      <c r="H52" s="797"/>
      <c r="J52" s="789"/>
    </row>
    <row r="53" spans="2:10" s="790" customFormat="1" ht="15">
      <c r="B53" s="920" t="s">
        <v>341</v>
      </c>
      <c r="C53" s="553">
        <f>'2. Indoor Water Demand'!E69</f>
        <v>0</v>
      </c>
      <c r="D53" s="553">
        <f>'2. Indoor Water Demand'!F69</f>
        <v>0</v>
      </c>
      <c r="E53" s="921">
        <v>0.9</v>
      </c>
      <c r="F53" s="553">
        <f t="shared" si="3"/>
        <v>0</v>
      </c>
      <c r="G53" s="663">
        <f t="shared" si="2"/>
        <v>0</v>
      </c>
      <c r="H53" s="797"/>
      <c r="J53" s="789"/>
    </row>
    <row r="54" spans="2:10" s="790" customFormat="1" ht="15">
      <c r="B54" s="920" t="s">
        <v>342</v>
      </c>
      <c r="C54" s="553">
        <f>'2. Indoor Water Demand'!E70</f>
        <v>0</v>
      </c>
      <c r="D54" s="553">
        <f>'2. Indoor Water Demand'!F70</f>
        <v>0</v>
      </c>
      <c r="E54" s="921">
        <v>0.9</v>
      </c>
      <c r="F54" s="553">
        <f t="shared" si="3"/>
        <v>0</v>
      </c>
      <c r="G54" s="663">
        <f t="shared" si="2"/>
        <v>0</v>
      </c>
      <c r="H54" s="797"/>
      <c r="J54" s="789"/>
    </row>
    <row r="55" spans="2:10" s="790" customFormat="1" ht="15">
      <c r="B55" s="920" t="s">
        <v>49</v>
      </c>
      <c r="C55" s="553">
        <f>'2. Indoor Water Demand'!E71</f>
        <v>0</v>
      </c>
      <c r="D55" s="553">
        <f>'2. Indoor Water Demand'!F71</f>
        <v>0</v>
      </c>
      <c r="E55" s="921">
        <v>0.9</v>
      </c>
      <c r="F55" s="553">
        <f t="shared" si="3"/>
        <v>0</v>
      </c>
      <c r="G55" s="663">
        <f t="shared" si="2"/>
        <v>0</v>
      </c>
      <c r="H55" s="797"/>
      <c r="J55" s="789"/>
    </row>
    <row r="56" spans="2:10" s="790" customFormat="1" ht="15">
      <c r="B56" s="920" t="s">
        <v>112</v>
      </c>
      <c r="C56" s="553">
        <f>'2. Indoor Water Demand'!E72</f>
        <v>0</v>
      </c>
      <c r="D56" s="553">
        <f>'2. Indoor Water Demand'!F72</f>
        <v>0</v>
      </c>
      <c r="E56" s="921">
        <v>0.9</v>
      </c>
      <c r="F56" s="553">
        <f t="shared" si="3"/>
        <v>0</v>
      </c>
      <c r="G56" s="663">
        <f t="shared" si="2"/>
        <v>0</v>
      </c>
      <c r="H56" s="797"/>
      <c r="J56" s="789"/>
    </row>
    <row r="57" spans="2:10" s="790" customFormat="1" ht="15">
      <c r="B57" s="920" t="s">
        <v>113</v>
      </c>
      <c r="C57" s="553">
        <f>'2. Indoor Water Demand'!E73</f>
        <v>0</v>
      </c>
      <c r="D57" s="553">
        <f>'2. Indoor Water Demand'!F73</f>
        <v>0</v>
      </c>
      <c r="E57" s="921">
        <v>0.9</v>
      </c>
      <c r="F57" s="553">
        <f t="shared" si="3"/>
        <v>0</v>
      </c>
      <c r="G57" s="663">
        <f t="shared" si="2"/>
        <v>0</v>
      </c>
      <c r="H57" s="797"/>
      <c r="J57" s="789"/>
    </row>
    <row r="58" spans="2:10" s="790" customFormat="1" ht="15.75" thickBot="1">
      <c r="B58" s="923" t="s">
        <v>114</v>
      </c>
      <c r="C58" s="924">
        <f>'2. Indoor Water Demand'!E74</f>
        <v>0</v>
      </c>
      <c r="D58" s="924">
        <f>'2. Indoor Water Demand'!F74</f>
        <v>0</v>
      </c>
      <c r="E58" s="925">
        <v>0.9</v>
      </c>
      <c r="F58" s="924">
        <f t="shared" si="3"/>
        <v>0</v>
      </c>
      <c r="G58" s="926">
        <f t="shared" si="2"/>
        <v>0</v>
      </c>
      <c r="H58" s="797"/>
      <c r="J58" s="789"/>
    </row>
    <row r="59" spans="2:10" s="790" customFormat="1" ht="16.5" thickTop="1" thickBot="1">
      <c r="B59" s="928" t="s">
        <v>1098</v>
      </c>
      <c r="C59" s="980">
        <f>AVERAGE(C47:C58)</f>
        <v>0</v>
      </c>
      <c r="D59" s="918" t="s">
        <v>917</v>
      </c>
      <c r="E59" s="929" t="s">
        <v>917</v>
      </c>
      <c r="F59" s="980">
        <f>AVERAGE(F47:F58)</f>
        <v>0</v>
      </c>
      <c r="G59" s="930" t="s">
        <v>917</v>
      </c>
      <c r="H59" s="797"/>
      <c r="J59" s="789"/>
    </row>
    <row r="60" spans="2:10" s="637" customFormat="1" ht="15.75" thickTop="1">
      <c r="B60" s="922" t="s">
        <v>473</v>
      </c>
      <c r="C60" s="981" t="s">
        <v>917</v>
      </c>
      <c r="D60" s="927">
        <f>SUM(D47:D58)</f>
        <v>0</v>
      </c>
      <c r="E60" s="753" t="s">
        <v>917</v>
      </c>
      <c r="F60" s="981" t="s">
        <v>917</v>
      </c>
      <c r="G60" s="758">
        <f>SUM(G47:G58)</f>
        <v>0</v>
      </c>
      <c r="H60" s="645"/>
      <c r="J60" s="789"/>
    </row>
    <row r="61" spans="2:10" s="790" customFormat="1" ht="15">
      <c r="B61" s="797"/>
      <c r="C61" s="795"/>
      <c r="D61" s="794"/>
      <c r="E61" s="661"/>
      <c r="F61" s="794"/>
      <c r="G61" s="797"/>
      <c r="H61" s="797"/>
      <c r="J61" s="789"/>
    </row>
    <row r="62" spans="2:10" s="637" customFormat="1" ht="15">
      <c r="B62" s="653" t="s">
        <v>907</v>
      </c>
      <c r="C62" s="641"/>
      <c r="D62" s="640"/>
      <c r="E62" s="661"/>
      <c r="F62" s="640"/>
      <c r="G62" s="645"/>
      <c r="H62" s="645"/>
    </row>
    <row r="63" spans="2:10" s="637" customFormat="1" ht="15">
      <c r="B63" s="645" t="s">
        <v>1009</v>
      </c>
      <c r="C63" s="641"/>
      <c r="D63" s="640"/>
      <c r="E63" s="661"/>
      <c r="F63" s="640"/>
      <c r="G63" s="645"/>
      <c r="H63" s="645"/>
    </row>
    <row r="64" spans="2:10" s="637" customFormat="1" ht="15">
      <c r="B64" s="797" t="s">
        <v>1115</v>
      </c>
      <c r="C64" s="641"/>
      <c r="D64" s="640"/>
      <c r="E64" s="661"/>
      <c r="F64" s="640"/>
      <c r="G64" s="645"/>
      <c r="H64" s="645"/>
    </row>
    <row r="65" spans="2:12" s="637" customFormat="1" ht="15"/>
    <row r="66" spans="2:12" s="643" customFormat="1" ht="15.75">
      <c r="B66" s="1158" t="s">
        <v>1257</v>
      </c>
      <c r="C66" s="644"/>
      <c r="D66" s="644"/>
      <c r="E66" s="644"/>
      <c r="F66" s="644"/>
      <c r="G66" s="644"/>
      <c r="H66" s="644"/>
    </row>
    <row r="67" spans="2:12" s="637" customFormat="1" ht="15">
      <c r="B67" s="1036" t="s">
        <v>908</v>
      </c>
    </row>
    <row r="68" spans="2:12" s="637" customFormat="1" ht="15">
      <c r="B68" s="609" t="s">
        <v>1027</v>
      </c>
    </row>
    <row r="69" spans="2:12" s="637" customFormat="1" ht="15">
      <c r="B69" s="660"/>
      <c r="C69" s="640"/>
      <c r="D69" s="640"/>
      <c r="E69" s="640"/>
      <c r="F69" s="645"/>
      <c r="G69" s="645"/>
      <c r="H69" s="645"/>
      <c r="I69" s="654"/>
    </row>
    <row r="70" spans="2:12" s="637" customFormat="1" ht="60">
      <c r="B70" s="820" t="s">
        <v>1026</v>
      </c>
      <c r="C70" s="821" t="s">
        <v>1028</v>
      </c>
      <c r="D70" s="821" t="s">
        <v>1030</v>
      </c>
      <c r="E70" s="821" t="s">
        <v>1029</v>
      </c>
      <c r="F70" s="822" t="s">
        <v>1033</v>
      </c>
      <c r="G70" s="1107"/>
      <c r="H70" s="1107"/>
      <c r="I70" s="802"/>
      <c r="J70" s="1101"/>
    </row>
    <row r="71" spans="2:12" s="790" customFormat="1" ht="15">
      <c r="B71" s="825" t="s">
        <v>946</v>
      </c>
      <c r="C71" s="1368"/>
      <c r="D71" s="1368"/>
      <c r="E71" s="823">
        <f>C71*D71</f>
        <v>0</v>
      </c>
      <c r="F71" s="990" t="s">
        <v>982</v>
      </c>
      <c r="G71" s="1278" t="s">
        <v>1385</v>
      </c>
      <c r="H71" s="1101"/>
      <c r="I71" s="802"/>
      <c r="J71" s="1101"/>
    </row>
    <row r="72" spans="2:12" s="637" customFormat="1" ht="30">
      <c r="B72" s="825" t="s">
        <v>1034</v>
      </c>
      <c r="C72" s="1368">
        <v>1000</v>
      </c>
      <c r="D72" s="1368">
        <v>365</v>
      </c>
      <c r="E72" s="823">
        <f t="shared" ref="E72:E75" si="4">C72*D72</f>
        <v>365000</v>
      </c>
      <c r="F72" s="990" t="s">
        <v>1015</v>
      </c>
      <c r="G72" s="1278" t="s">
        <v>1386</v>
      </c>
      <c r="J72" s="1101"/>
      <c r="K72" s="1203" t="s">
        <v>969</v>
      </c>
    </row>
    <row r="73" spans="2:12" s="790" customFormat="1" ht="15">
      <c r="B73" s="815" t="s">
        <v>1031</v>
      </c>
      <c r="C73" s="1368"/>
      <c r="D73" s="1368"/>
      <c r="E73" s="823">
        <f t="shared" si="4"/>
        <v>0</v>
      </c>
      <c r="F73" s="1370" t="s">
        <v>969</v>
      </c>
      <c r="G73" s="1278" t="s">
        <v>1387</v>
      </c>
      <c r="J73" s="1101"/>
      <c r="K73" s="1202" t="s">
        <v>982</v>
      </c>
    </row>
    <row r="74" spans="2:12" s="790" customFormat="1" ht="15">
      <c r="B74" s="815" t="s">
        <v>1031</v>
      </c>
      <c r="C74" s="1368"/>
      <c r="D74" s="1368"/>
      <c r="E74" s="823">
        <f t="shared" si="4"/>
        <v>0</v>
      </c>
      <c r="F74" s="1370" t="s">
        <v>969</v>
      </c>
      <c r="G74" s="1278" t="s">
        <v>1387</v>
      </c>
      <c r="J74" s="1101"/>
      <c r="K74" s="1202" t="s">
        <v>1014</v>
      </c>
    </row>
    <row r="75" spans="2:12" s="637" customFormat="1" ht="15">
      <c r="B75" s="815" t="s">
        <v>1031</v>
      </c>
      <c r="C75" s="1369"/>
      <c r="D75" s="1368"/>
      <c r="E75" s="823">
        <f t="shared" si="4"/>
        <v>0</v>
      </c>
      <c r="F75" s="1370" t="s">
        <v>969</v>
      </c>
      <c r="G75" s="1278" t="s">
        <v>1387</v>
      </c>
      <c r="H75" s="1107"/>
      <c r="I75" s="1107"/>
      <c r="J75" s="1101"/>
      <c r="K75" s="1203"/>
    </row>
    <row r="76" spans="2:12" s="637" customFormat="1" ht="15">
      <c r="B76" s="797"/>
      <c r="C76" s="795"/>
      <c r="D76" s="794"/>
      <c r="E76" s="797"/>
      <c r="F76" s="793"/>
      <c r="G76" s="1107"/>
      <c r="H76" s="1107"/>
      <c r="I76" s="1107"/>
      <c r="J76" s="1101"/>
    </row>
    <row r="77" spans="2:12" s="957" customFormat="1" ht="15">
      <c r="B77" s="991" t="s">
        <v>1184</v>
      </c>
      <c r="C77" s="1039"/>
      <c r="D77" s="1102"/>
      <c r="E77" s="1107"/>
      <c r="F77" s="793"/>
      <c r="G77" s="1107"/>
      <c r="H77" s="961"/>
      <c r="I77" s="961"/>
    </row>
    <row r="79" spans="2:12" s="517" customFormat="1" ht="18.75">
      <c r="B79" s="1427" t="s">
        <v>1117</v>
      </c>
      <c r="C79" s="1427"/>
      <c r="D79" s="1427"/>
      <c r="E79" s="1427"/>
      <c r="F79" s="1427"/>
      <c r="G79" s="1427"/>
      <c r="H79" s="574"/>
      <c r="I79" s="574"/>
      <c r="J79" s="574"/>
      <c r="K79" s="574"/>
      <c r="L79" s="574"/>
    </row>
    <row r="82" spans="2:8" ht="45" hidden="1">
      <c r="B82" s="1122" t="s">
        <v>1157</v>
      </c>
      <c r="C82" s="819" t="s">
        <v>1169</v>
      </c>
      <c r="D82" s="819" t="s">
        <v>1170</v>
      </c>
      <c r="E82" s="819" t="s">
        <v>1171</v>
      </c>
      <c r="F82" s="819" t="s">
        <v>1185</v>
      </c>
      <c r="G82" s="819" t="s">
        <v>1186</v>
      </c>
      <c r="H82" s="819" t="s">
        <v>1187</v>
      </c>
    </row>
    <row r="83" spans="2:8" ht="15" hidden="1">
      <c r="B83" s="1097" t="s">
        <v>937</v>
      </c>
      <c r="C83" s="1038">
        <f>E16+E32</f>
        <v>19.284056999999997</v>
      </c>
      <c r="D83" s="1103">
        <v>0</v>
      </c>
      <c r="E83" s="1103">
        <v>0</v>
      </c>
      <c r="F83" s="1038">
        <f>C83*'1. Building Information'!$C$31</f>
        <v>0</v>
      </c>
      <c r="G83" s="1038">
        <f>D83*'1. Building Information'!$C$31</f>
        <v>0</v>
      </c>
      <c r="H83" s="1038">
        <f>E83*'1. Building Information'!$C$31</f>
        <v>0</v>
      </c>
    </row>
    <row r="84" spans="2:8" ht="15" hidden="1">
      <c r="B84" s="1097" t="s">
        <v>1158</v>
      </c>
      <c r="C84" s="1038">
        <f>E17+E33</f>
        <v>3.5286299999999997</v>
      </c>
      <c r="D84" s="1103">
        <v>0</v>
      </c>
      <c r="E84" s="1103">
        <v>0</v>
      </c>
      <c r="F84" s="1038">
        <f>C84*'1. Building Information'!$C$31</f>
        <v>0</v>
      </c>
      <c r="G84" s="1038">
        <f>D84*'1. Building Information'!$C$31</f>
        <v>0</v>
      </c>
      <c r="H84" s="1038">
        <f>E84*'1. Building Information'!$C$31</f>
        <v>0</v>
      </c>
    </row>
    <row r="85" spans="2:8" ht="15" hidden="1">
      <c r="B85" s="1097" t="s">
        <v>939</v>
      </c>
      <c r="C85" s="1038">
        <f>E34</f>
        <v>4.5225</v>
      </c>
      <c r="D85" s="1103">
        <v>0</v>
      </c>
      <c r="E85" s="1103">
        <v>0</v>
      </c>
      <c r="F85" s="1038">
        <f>C85*'1. Building Information'!$C$31</f>
        <v>0</v>
      </c>
      <c r="G85" s="1038">
        <f>D85*'1. Building Information'!$C$31</f>
        <v>0</v>
      </c>
      <c r="H85" s="1038">
        <f>E85*'1. Building Information'!$C$31</f>
        <v>0</v>
      </c>
    </row>
    <row r="86" spans="2:8" ht="15" hidden="1">
      <c r="B86" s="1097" t="s">
        <v>942</v>
      </c>
      <c r="C86" s="1038">
        <f>E18+E35</f>
        <v>51.293150999999995</v>
      </c>
      <c r="D86" s="1103">
        <v>0</v>
      </c>
      <c r="E86" s="1103">
        <v>0</v>
      </c>
      <c r="F86" s="1038">
        <f>C86*'1. Building Information'!$C$31</f>
        <v>0</v>
      </c>
      <c r="G86" s="1038">
        <f>D86*'1. Building Information'!$C$31</f>
        <v>0</v>
      </c>
      <c r="H86" s="1038">
        <f>E86*'1. Building Information'!$C$31</f>
        <v>0</v>
      </c>
    </row>
    <row r="87" spans="2:8" ht="15" hidden="1">
      <c r="B87" s="1097" t="s">
        <v>1159</v>
      </c>
      <c r="C87" s="1103">
        <v>0</v>
      </c>
      <c r="D87" s="1038">
        <f>H19+H20+H36</f>
        <v>11.008303919999999</v>
      </c>
      <c r="E87" s="1103">
        <v>0</v>
      </c>
      <c r="F87" s="1038">
        <f>C87*'1. Building Information'!$C$31</f>
        <v>0</v>
      </c>
      <c r="G87" s="1038">
        <f>D87*'1. Building Information'!$C$31</f>
        <v>0</v>
      </c>
      <c r="H87" s="1038">
        <f>E87*'1. Building Information'!$C$31</f>
        <v>0</v>
      </c>
    </row>
    <row r="88" spans="2:8" ht="15" hidden="1">
      <c r="B88" s="1097" t="s">
        <v>1168</v>
      </c>
      <c r="C88" s="1103">
        <v>0</v>
      </c>
      <c r="D88" s="1038">
        <f>H21+H37</f>
        <v>25.465103999999997</v>
      </c>
      <c r="E88" s="1103">
        <v>0</v>
      </c>
      <c r="F88" s="1038">
        <f>C88*'1. Building Information'!$C$31</f>
        <v>0</v>
      </c>
      <c r="G88" s="1038">
        <f>D88*'1. Building Information'!$C$31</f>
        <v>0</v>
      </c>
      <c r="H88" s="1038">
        <f>E88*'1. Building Information'!$C$31</f>
        <v>0</v>
      </c>
    </row>
    <row r="89" spans="2:8" ht="15" hidden="1">
      <c r="B89" s="1097" t="s">
        <v>945</v>
      </c>
      <c r="C89" s="1103">
        <v>0</v>
      </c>
      <c r="D89" s="1038">
        <f>H22</f>
        <v>0</v>
      </c>
      <c r="E89" s="1103">
        <v>0</v>
      </c>
      <c r="F89" s="1038">
        <f>C89*'1. Building Information'!$C$31</f>
        <v>0</v>
      </c>
      <c r="G89" s="1038">
        <f>D89*'1. Building Information'!$C$31</f>
        <v>0</v>
      </c>
      <c r="H89" s="1038">
        <f>E89*'1. Building Information'!$C$31</f>
        <v>0</v>
      </c>
    </row>
    <row r="90" spans="2:8" ht="15" hidden="1">
      <c r="B90" s="1097" t="s">
        <v>943</v>
      </c>
      <c r="C90" s="1103">
        <v>0</v>
      </c>
      <c r="D90" s="1038">
        <f>H38</f>
        <v>0.80681399999999992</v>
      </c>
      <c r="E90" s="1103">
        <v>0</v>
      </c>
      <c r="F90" s="1038">
        <f>C90*'1. Building Information'!$C$31</f>
        <v>0</v>
      </c>
      <c r="G90" s="1038">
        <f>D90*'1. Building Information'!$C$31</f>
        <v>0</v>
      </c>
      <c r="H90" s="1038">
        <f>E90*'1. Building Information'!$C$31</f>
        <v>0</v>
      </c>
    </row>
    <row r="91" spans="2:8" ht="15" hidden="1">
      <c r="B91" s="1097" t="s">
        <v>946</v>
      </c>
      <c r="C91" s="1038">
        <f>C71</f>
        <v>0</v>
      </c>
      <c r="D91" s="1038">
        <v>0</v>
      </c>
      <c r="E91" s="1103">
        <v>0</v>
      </c>
      <c r="F91" s="1038">
        <f>E71</f>
        <v>0</v>
      </c>
      <c r="G91" s="1038">
        <f>D91*'1. Building Information'!$C$31</f>
        <v>0</v>
      </c>
      <c r="H91" s="1038">
        <f>E91*'1. Building Information'!$C$31</f>
        <v>0</v>
      </c>
    </row>
    <row r="92" spans="2:8" ht="15" hidden="1">
      <c r="B92" s="1097" t="s">
        <v>1015</v>
      </c>
      <c r="C92" s="1103">
        <v>0</v>
      </c>
      <c r="D92" s="1103">
        <v>0</v>
      </c>
      <c r="E92" s="1038">
        <f>C72</f>
        <v>1000</v>
      </c>
      <c r="F92" s="1038">
        <f>E72</f>
        <v>365000</v>
      </c>
      <c r="G92" s="1038">
        <f>D92*'1. Building Information'!$C$31</f>
        <v>0</v>
      </c>
      <c r="H92" s="1038">
        <f>E92*'1. Building Information'!$C$31</f>
        <v>0</v>
      </c>
    </row>
    <row r="93" spans="2:8" ht="15" hidden="1">
      <c r="B93" s="1097" t="str">
        <f>B73</f>
        <v>Other &lt;Please specify&gt;</v>
      </c>
      <c r="C93" s="1103">
        <f>IF(F73="Graywater",C73,0)</f>
        <v>0</v>
      </c>
      <c r="D93" s="1103">
        <f>IF(F73="Blackwater",C73,0)</f>
        <v>0</v>
      </c>
      <c r="E93" s="1103">
        <v>0</v>
      </c>
      <c r="F93" s="1103">
        <f>IF(F73="Graywater",E73,0)</f>
        <v>0</v>
      </c>
      <c r="G93" s="1038">
        <f>IF(F73="Blackwater",E73,0)</f>
        <v>0</v>
      </c>
      <c r="H93" s="1038">
        <f>IF(F75="Foundation Drainage",E75,0)</f>
        <v>0</v>
      </c>
    </row>
    <row r="94" spans="2:8" ht="15" hidden="1">
      <c r="B94" s="1097" t="str">
        <f>B74</f>
        <v>Other &lt;Please specify&gt;</v>
      </c>
      <c r="C94" s="1103">
        <f t="shared" ref="C94:C95" si="5">IF(F74="Graywater",C74,0)</f>
        <v>0</v>
      </c>
      <c r="D94" s="1103">
        <f t="shared" ref="D94:D95" si="6">IF(F74="Blackwater",C74,0)</f>
        <v>0</v>
      </c>
      <c r="E94" s="1103">
        <v>0</v>
      </c>
      <c r="F94" s="1103">
        <f t="shared" ref="F94:F95" si="7">IF(F74="Graywater",E74,0)</f>
        <v>0</v>
      </c>
      <c r="G94" s="1038">
        <f t="shared" ref="G94:G95" si="8">IF(F74="Blackwater",E74,0)</f>
        <v>0</v>
      </c>
      <c r="H94" s="1038">
        <f t="shared" ref="H94:H95" si="9">IF(F76="Foundation Drainage",E76,0)</f>
        <v>0</v>
      </c>
    </row>
    <row r="95" spans="2:8" ht="15" hidden="1">
      <c r="B95" s="1097" t="str">
        <f>B75</f>
        <v>Other &lt;Please specify&gt;</v>
      </c>
      <c r="C95" s="1103">
        <f t="shared" si="5"/>
        <v>0</v>
      </c>
      <c r="D95" s="1103">
        <f t="shared" si="6"/>
        <v>0</v>
      </c>
      <c r="E95" s="1103">
        <v>0</v>
      </c>
      <c r="F95" s="1103">
        <f t="shared" si="7"/>
        <v>0</v>
      </c>
      <c r="G95" s="1038">
        <f t="shared" si="8"/>
        <v>0</v>
      </c>
      <c r="H95" s="1038">
        <f t="shared" si="9"/>
        <v>0</v>
      </c>
    </row>
    <row r="96" spans="2:8" ht="15" hidden="1">
      <c r="B96" s="1140" t="s">
        <v>473</v>
      </c>
      <c r="C96" s="1141">
        <f>SUM(C83:C95)</f>
        <v>78.628337999999985</v>
      </c>
      <c r="D96" s="1141">
        <f t="shared" ref="D96:H96" si="10">SUM(D83:D95)</f>
        <v>37.280221920000002</v>
      </c>
      <c r="E96" s="1141">
        <f t="shared" si="10"/>
        <v>1000</v>
      </c>
      <c r="F96" s="1141">
        <f t="shared" si="10"/>
        <v>365000</v>
      </c>
      <c r="G96" s="1141">
        <f t="shared" si="10"/>
        <v>0</v>
      </c>
      <c r="H96" s="1141">
        <f t="shared" si="10"/>
        <v>0</v>
      </c>
    </row>
    <row r="97" spans="2:2" ht="15">
      <c r="B97" s="1048"/>
    </row>
  </sheetData>
  <mergeCells count="2">
    <mergeCell ref="B79:G79"/>
    <mergeCell ref="B8:E10"/>
  </mergeCells>
  <dataValidations count="1">
    <dataValidation type="list" allowBlank="1" showInputMessage="1" showErrorMessage="1" sqref="F73:F75">
      <formula1>$K$72:$K$74</formula1>
    </dataValidation>
  </dataValidations>
  <pageMargins left="0.7" right="0.7" top="0.75" bottom="0.75" header="0.3" footer="0.3"/>
  <pageSetup paperSize="3" scale="67" orientation="portrait" r:id="rId1"/>
</worksheet>
</file>

<file path=xl/worksheets/sheet5.xml><?xml version="1.0" encoding="utf-8"?>
<worksheet xmlns="http://schemas.openxmlformats.org/spreadsheetml/2006/main" xmlns:r="http://schemas.openxmlformats.org/officeDocument/2006/relationships">
  <sheetPr codeName="Sheet12">
    <pageSetUpPr fitToPage="1"/>
  </sheetPr>
  <dimension ref="A1:T126"/>
  <sheetViews>
    <sheetView zoomScale="90" zoomScaleNormal="90" zoomScaleSheetLayoutView="50" workbookViewId="0">
      <selection activeCell="E34" sqref="E34"/>
    </sheetView>
  </sheetViews>
  <sheetFormatPr defaultColWidth="8.85546875" defaultRowHeight="15"/>
  <cols>
    <col min="1" max="1" width="2.7109375" style="698" customWidth="1"/>
    <col min="2" max="2" width="39.85546875" style="698" customWidth="1"/>
    <col min="3" max="7" width="15.7109375" style="698" customWidth="1"/>
    <col min="8" max="8" width="18.42578125" style="698" customWidth="1"/>
    <col min="9" max="9" width="15.7109375" style="698" customWidth="1"/>
    <col min="10" max="10" width="14.28515625" style="698" customWidth="1"/>
    <col min="11" max="11" width="10.7109375" style="698" customWidth="1"/>
    <col min="12" max="12" width="16.7109375" style="687" customWidth="1"/>
    <col min="13" max="13" width="18.42578125" style="637" customWidth="1"/>
    <col min="14" max="14" width="13.140625" style="637" customWidth="1"/>
    <col min="15" max="15" width="9.140625" style="637" customWidth="1"/>
    <col min="16" max="16" width="2.5703125" style="637" customWidth="1"/>
    <col min="17" max="17" width="8.85546875" style="645" customWidth="1"/>
    <col min="18" max="18" width="8.85546875" style="706" customWidth="1"/>
    <col min="19" max="19" width="8.85546875" style="698" customWidth="1"/>
    <col min="20" max="16384" width="8.85546875" style="698"/>
  </cols>
  <sheetData>
    <row r="1" spans="1:18" s="630" customFormat="1" ht="26.25">
      <c r="A1" s="628" t="s">
        <v>867</v>
      </c>
      <c r="B1" s="629"/>
      <c r="C1" s="629"/>
      <c r="D1" s="629"/>
      <c r="G1" s="479"/>
      <c r="H1" s="479"/>
      <c r="I1" s="479"/>
      <c r="J1" s="629"/>
      <c r="L1" s="551"/>
      <c r="R1" s="548"/>
    </row>
    <row r="2" spans="1:18" s="634" customFormat="1" ht="23.25">
      <c r="A2" s="1160" t="s">
        <v>1258</v>
      </c>
      <c r="B2" s="633"/>
      <c r="C2" s="633"/>
      <c r="D2" s="633"/>
      <c r="G2" s="482"/>
      <c r="H2" s="482"/>
      <c r="I2" s="482"/>
      <c r="J2" s="633"/>
      <c r="L2" s="552"/>
      <c r="M2" s="555"/>
      <c r="N2" s="555"/>
      <c r="O2" s="555"/>
      <c r="P2" s="555"/>
      <c r="Q2" s="555"/>
      <c r="R2" s="549"/>
    </row>
    <row r="3" spans="1:18" s="636" customFormat="1">
      <c r="B3" s="514"/>
      <c r="C3" s="514"/>
      <c r="D3" s="514"/>
      <c r="G3" s="580"/>
      <c r="H3" s="580"/>
      <c r="I3" s="580"/>
      <c r="J3" s="514"/>
      <c r="L3" s="687"/>
      <c r="M3" s="637"/>
      <c r="N3" s="637"/>
      <c r="O3" s="637"/>
      <c r="P3" s="632"/>
      <c r="Q3" s="640"/>
      <c r="R3" s="519"/>
    </row>
    <row r="4" spans="1:18" s="789" customFormat="1">
      <c r="B4" s="892" t="s">
        <v>869</v>
      </c>
      <c r="C4" s="514"/>
      <c r="D4" s="514"/>
      <c r="F4" s="638" t="s">
        <v>868</v>
      </c>
      <c r="G4" s="654"/>
      <c r="H4" s="654"/>
      <c r="I4" s="580"/>
      <c r="J4" s="514"/>
      <c r="L4" s="687"/>
      <c r="M4" s="957"/>
      <c r="N4" s="957"/>
      <c r="O4" s="957"/>
      <c r="P4" s="937"/>
      <c r="Q4" s="958"/>
      <c r="R4" s="519"/>
    </row>
    <row r="5" spans="1:18" s="789" customFormat="1">
      <c r="B5" s="893" t="str">
        <f>'1. Building Information'!$C$13</f>
        <v>ABC Building</v>
      </c>
      <c r="C5" s="514"/>
      <c r="D5" s="514"/>
      <c r="F5" s="860" t="s">
        <v>1091</v>
      </c>
      <c r="G5" s="917"/>
      <c r="H5" s="1367"/>
      <c r="I5" s="580"/>
      <c r="J5" s="514"/>
      <c r="L5" s="687"/>
      <c r="M5" s="957"/>
      <c r="N5" s="957"/>
      <c r="O5" s="957"/>
      <c r="P5" s="937"/>
      <c r="Q5" s="958"/>
      <c r="R5" s="519"/>
    </row>
    <row r="6" spans="1:18" s="789" customFormat="1">
      <c r="B6" s="891"/>
      <c r="C6" s="514"/>
      <c r="D6" s="514"/>
      <c r="F6" s="863" t="s">
        <v>964</v>
      </c>
      <c r="G6" s="864"/>
      <c r="H6" s="642"/>
      <c r="I6" s="580"/>
      <c r="J6" s="514"/>
      <c r="L6" s="687"/>
      <c r="M6" s="957"/>
      <c r="N6" s="957"/>
      <c r="O6" s="957"/>
      <c r="P6" s="937"/>
      <c r="Q6" s="958"/>
      <c r="R6" s="519"/>
    </row>
    <row r="7" spans="1:18" s="652" customFormat="1">
      <c r="B7" s="653" t="s">
        <v>908</v>
      </c>
      <c r="D7" s="640"/>
      <c r="E7" s="645"/>
      <c r="F7" s="863" t="s">
        <v>960</v>
      </c>
      <c r="G7" s="864"/>
      <c r="H7" s="650"/>
      <c r="I7" s="654"/>
      <c r="J7" s="640"/>
      <c r="K7" s="645"/>
      <c r="L7" s="688"/>
      <c r="M7" s="645"/>
      <c r="N7" s="645"/>
      <c r="O7" s="645"/>
      <c r="P7" s="655"/>
      <c r="Q7" s="654"/>
      <c r="R7" s="689"/>
    </row>
    <row r="8" spans="1:18" s="637" customFormat="1" ht="15" customHeight="1">
      <c r="B8" s="1467" t="s">
        <v>1262</v>
      </c>
      <c r="C8" s="1467"/>
      <c r="D8" s="1467"/>
      <c r="E8" s="1467"/>
      <c r="F8" s="863" t="s">
        <v>961</v>
      </c>
      <c r="G8" s="864"/>
      <c r="H8" s="662"/>
      <c r="I8" s="654"/>
      <c r="J8" s="640"/>
      <c r="K8" s="645"/>
      <c r="L8" s="688"/>
      <c r="M8" s="645"/>
      <c r="O8" s="632"/>
      <c r="P8" s="632"/>
      <c r="Q8" s="640"/>
      <c r="R8" s="645"/>
    </row>
    <row r="9" spans="1:18" s="637" customFormat="1">
      <c r="B9" s="1467"/>
      <c r="C9" s="1467"/>
      <c r="D9" s="1467"/>
      <c r="E9" s="1467"/>
      <c r="K9" s="645"/>
      <c r="L9" s="688"/>
      <c r="M9" s="645"/>
      <c r="P9" s="632"/>
      <c r="Q9" s="640"/>
      <c r="R9" s="645"/>
    </row>
    <row r="10" spans="1:18" s="637" customFormat="1">
      <c r="B10" s="1467"/>
      <c r="C10" s="1467"/>
      <c r="D10" s="1467"/>
      <c r="E10" s="1467"/>
      <c r="K10" s="645"/>
      <c r="L10" s="688"/>
      <c r="M10" s="645"/>
      <c r="P10" s="632"/>
      <c r="Q10" s="640"/>
      <c r="R10" s="645"/>
    </row>
    <row r="11" spans="1:18" s="1167" customFormat="1">
      <c r="B11" s="1467"/>
      <c r="C11" s="1467"/>
      <c r="D11" s="1467"/>
      <c r="E11" s="1467"/>
      <c r="K11" s="1174"/>
      <c r="L11" s="1187"/>
      <c r="M11" s="1174"/>
      <c r="P11" s="1159"/>
      <c r="Q11" s="1169"/>
      <c r="R11" s="1174"/>
    </row>
    <row r="12" spans="1:18" s="637" customFormat="1">
      <c r="B12" s="640"/>
      <c r="C12" s="640"/>
      <c r="D12" s="640"/>
      <c r="E12" s="645"/>
      <c r="F12" s="645"/>
      <c r="G12" s="654"/>
      <c r="H12" s="654"/>
      <c r="I12" s="654"/>
      <c r="J12" s="640"/>
      <c r="K12" s="645"/>
      <c r="L12" s="688"/>
      <c r="M12" s="645"/>
      <c r="N12" s="645"/>
      <c r="O12" s="645"/>
      <c r="P12" s="632"/>
      <c r="Q12" s="640"/>
      <c r="R12" s="645"/>
    </row>
    <row r="13" spans="1:18" s="531" customFormat="1" ht="15.75">
      <c r="B13" s="1158" t="s">
        <v>1259</v>
      </c>
      <c r="C13" s="532"/>
      <c r="D13" s="533"/>
      <c r="E13" s="533"/>
      <c r="F13" s="533"/>
      <c r="G13" s="533"/>
      <c r="H13" s="533"/>
      <c r="I13" s="533"/>
      <c r="J13" s="533"/>
      <c r="K13" s="533"/>
      <c r="L13" s="484"/>
      <c r="M13" s="644"/>
      <c r="N13" s="644"/>
      <c r="O13" s="644"/>
      <c r="P13" s="643"/>
      <c r="Q13" s="556"/>
      <c r="R13" s="550"/>
    </row>
    <row r="14" spans="1:18" s="790" customFormat="1">
      <c r="B14" s="962" t="s">
        <v>1096</v>
      </c>
      <c r="C14" s="791"/>
      <c r="D14" s="788"/>
      <c r="E14" s="788"/>
      <c r="F14" s="788"/>
      <c r="G14" s="788"/>
      <c r="H14" s="788"/>
      <c r="I14" s="788"/>
      <c r="J14" s="788"/>
      <c r="K14" s="788"/>
      <c r="L14" s="931"/>
      <c r="M14" s="788"/>
      <c r="N14" s="788"/>
      <c r="O14" s="788"/>
      <c r="Q14" s="797"/>
      <c r="R14" s="797"/>
    </row>
    <row r="15" spans="1:18" s="790" customFormat="1">
      <c r="B15" s="902" t="s">
        <v>1388</v>
      </c>
      <c r="C15" s="791"/>
      <c r="D15" s="788"/>
      <c r="E15" s="788"/>
      <c r="F15" s="788"/>
      <c r="G15" s="788"/>
      <c r="H15" s="788"/>
      <c r="I15" s="937"/>
      <c r="J15" s="788"/>
      <c r="K15" s="788"/>
      <c r="L15" s="931"/>
      <c r="M15" s="788"/>
      <c r="N15" s="788"/>
      <c r="O15" s="788"/>
      <c r="Q15" s="797"/>
      <c r="R15" s="797"/>
    </row>
    <row r="16" spans="1:18" s="585" customFormat="1" ht="15.75">
      <c r="B16" s="586"/>
      <c r="C16" s="587"/>
      <c r="D16" s="588"/>
      <c r="E16" s="588"/>
      <c r="F16" s="588"/>
      <c r="G16" s="588"/>
      <c r="J16" s="588"/>
      <c r="K16" s="690"/>
      <c r="M16" s="632"/>
      <c r="N16" s="632"/>
      <c r="O16" s="632"/>
      <c r="P16" s="637"/>
      <c r="Q16" s="645"/>
      <c r="R16" s="691"/>
    </row>
    <row r="17" spans="1:20" s="637" customFormat="1" ht="17.100000000000001" customHeight="1">
      <c r="A17" s="638"/>
      <c r="B17" s="1010" t="str">
        <f>'1. Building Information'!B111</f>
        <v>Turfgrass</v>
      </c>
      <c r="C17" s="992">
        <f>'1. Building Information'!$C$111</f>
        <v>1</v>
      </c>
      <c r="D17" s="957" t="s">
        <v>1131</v>
      </c>
      <c r="I17" s="1372" t="s">
        <v>1144</v>
      </c>
      <c r="J17" s="995"/>
      <c r="K17" s="996"/>
      <c r="L17" s="1483" t="s">
        <v>1143</v>
      </c>
      <c r="M17" s="1483"/>
      <c r="N17" s="1483"/>
      <c r="O17" s="1483"/>
      <c r="P17" s="1483"/>
      <c r="Q17" s="645"/>
      <c r="R17" s="645"/>
    </row>
    <row r="18" spans="1:20" s="637" customFormat="1" ht="17.100000000000001" customHeight="1">
      <c r="B18" s="1005" t="s">
        <v>1129</v>
      </c>
      <c r="C18" s="1379">
        <v>0.7</v>
      </c>
      <c r="D18" s="993" t="s">
        <v>1389</v>
      </c>
      <c r="I18" s="997" t="s">
        <v>1133</v>
      </c>
      <c r="J18" s="998"/>
      <c r="K18" s="998"/>
      <c r="L18" s="998"/>
      <c r="M18" s="998"/>
      <c r="N18" s="998"/>
      <c r="O18" s="998"/>
      <c r="P18" s="998"/>
      <c r="Q18" s="645"/>
      <c r="R18" s="645"/>
    </row>
    <row r="19" spans="1:20" s="637" customFormat="1" ht="17.100000000000001" customHeight="1">
      <c r="B19" s="1010" t="str">
        <f>'1. Building Information'!B112</f>
        <v>Landscaped Area</v>
      </c>
      <c r="C19" s="992">
        <f>'1. Building Information'!$C$112</f>
        <v>0</v>
      </c>
      <c r="D19" s="957" t="s">
        <v>1131</v>
      </c>
      <c r="I19" s="998" t="s">
        <v>1138</v>
      </c>
      <c r="J19" s="998"/>
      <c r="K19" s="996"/>
      <c r="L19" s="998"/>
      <c r="M19" s="998"/>
      <c r="N19" s="998"/>
      <c r="O19" s="998"/>
      <c r="P19" s="998"/>
      <c r="Q19" s="645"/>
      <c r="R19" s="645"/>
    </row>
    <row r="20" spans="1:20" s="637" customFormat="1" ht="17.100000000000001" customHeight="1">
      <c r="B20" s="1006" t="s">
        <v>975</v>
      </c>
      <c r="C20" s="1380">
        <v>0.5</v>
      </c>
      <c r="D20" s="994" t="s">
        <v>1390</v>
      </c>
      <c r="I20" s="998"/>
      <c r="J20" s="998"/>
      <c r="K20" s="998"/>
      <c r="L20" s="998"/>
      <c r="M20" s="998"/>
      <c r="N20" s="999"/>
      <c r="O20" s="999"/>
      <c r="P20" s="1000"/>
      <c r="Q20" s="692"/>
      <c r="R20" s="692"/>
      <c r="S20" s="594"/>
      <c r="T20" s="594"/>
    </row>
    <row r="21" spans="1:20" s="637" customFormat="1" ht="17.100000000000001" customHeight="1">
      <c r="B21" s="1006" t="s">
        <v>976</v>
      </c>
      <c r="C21" s="1380">
        <v>1</v>
      </c>
      <c r="D21" s="994" t="s">
        <v>1391</v>
      </c>
      <c r="I21" s="1001" t="s">
        <v>1134</v>
      </c>
      <c r="J21" s="998"/>
      <c r="K21" s="998"/>
      <c r="L21" s="998"/>
      <c r="M21" s="998"/>
      <c r="N21" s="998"/>
      <c r="O21" s="998"/>
      <c r="P21" s="1000"/>
      <c r="Q21" s="692"/>
      <c r="R21" s="692"/>
      <c r="S21" s="594"/>
      <c r="T21" s="594"/>
    </row>
    <row r="22" spans="1:20" s="637" customFormat="1" ht="17.100000000000001" customHeight="1">
      <c r="B22" s="1006" t="s">
        <v>977</v>
      </c>
      <c r="C22" s="1380">
        <v>1</v>
      </c>
      <c r="D22" s="994" t="s">
        <v>1392</v>
      </c>
      <c r="I22" s="998" t="s">
        <v>1139</v>
      </c>
      <c r="J22" s="998"/>
      <c r="K22" s="998"/>
      <c r="L22" s="998"/>
      <c r="M22" s="998"/>
      <c r="N22" s="998"/>
      <c r="O22" s="998"/>
      <c r="P22" s="1000"/>
      <c r="Q22" s="694"/>
      <c r="R22" s="694"/>
      <c r="S22" s="594"/>
      <c r="T22" s="594"/>
    </row>
    <row r="23" spans="1:20" s="637" customFormat="1" ht="17.100000000000001" customHeight="1">
      <c r="B23" s="1009" t="s">
        <v>978</v>
      </c>
      <c r="C23" s="894">
        <f>C20*C21*C22</f>
        <v>0.5</v>
      </c>
      <c r="D23" s="994" t="s">
        <v>1132</v>
      </c>
      <c r="I23" s="998"/>
      <c r="J23" s="1002"/>
      <c r="K23" s="998"/>
      <c r="L23" s="998"/>
      <c r="M23" s="998"/>
      <c r="N23" s="998"/>
      <c r="O23" s="998"/>
      <c r="P23" s="1000"/>
      <c r="Q23" s="694"/>
      <c r="R23" s="694"/>
      <c r="S23" s="594"/>
      <c r="T23" s="594"/>
    </row>
    <row r="24" spans="1:20" s="957" customFormat="1" ht="17.100000000000001" customHeight="1">
      <c r="B24" s="1010" t="str">
        <f>'1. Building Information'!$B$113</f>
        <v>Green Roof</v>
      </c>
      <c r="C24" s="992">
        <f>'1. Building Information'!$C$113</f>
        <v>0</v>
      </c>
      <c r="D24" s="957" t="s">
        <v>1131</v>
      </c>
      <c r="I24" s="997" t="s">
        <v>1135</v>
      </c>
      <c r="J24" s="1002"/>
      <c r="K24" s="998"/>
      <c r="L24" s="998"/>
      <c r="M24" s="998"/>
      <c r="N24" s="998"/>
      <c r="O24" s="998"/>
      <c r="P24" s="1000"/>
      <c r="Q24" s="967"/>
      <c r="R24" s="967"/>
      <c r="S24" s="964"/>
      <c r="T24" s="964"/>
    </row>
    <row r="25" spans="1:20" s="957" customFormat="1" ht="17.100000000000001" customHeight="1">
      <c r="B25" s="1006" t="s">
        <v>975</v>
      </c>
      <c r="C25" s="1380">
        <v>0.1</v>
      </c>
      <c r="D25" s="994" t="s">
        <v>1393</v>
      </c>
      <c r="I25" s="1482" t="s">
        <v>1142</v>
      </c>
      <c r="J25" s="1482"/>
      <c r="K25" s="1482"/>
      <c r="L25" s="1482"/>
      <c r="M25" s="1482"/>
      <c r="N25" s="1003"/>
      <c r="O25" s="998"/>
      <c r="P25" s="1000"/>
      <c r="Q25" s="967"/>
      <c r="R25" s="967"/>
      <c r="S25" s="964"/>
      <c r="T25" s="964"/>
    </row>
    <row r="26" spans="1:20" s="957" customFormat="1" ht="17.100000000000001" customHeight="1">
      <c r="B26" s="1006" t="s">
        <v>976</v>
      </c>
      <c r="C26" s="1380">
        <v>1</v>
      </c>
      <c r="D26" s="994" t="s">
        <v>1391</v>
      </c>
      <c r="I26" s="1482"/>
      <c r="J26" s="1482"/>
      <c r="K26" s="1482"/>
      <c r="L26" s="1482"/>
      <c r="M26" s="1482"/>
      <c r="N26" s="1003"/>
      <c r="O26" s="998"/>
      <c r="P26" s="1000"/>
      <c r="Q26" s="967"/>
      <c r="R26" s="967"/>
      <c r="S26" s="964"/>
      <c r="T26" s="964"/>
    </row>
    <row r="27" spans="1:20" s="957" customFormat="1" ht="17.100000000000001" customHeight="1">
      <c r="B27" s="1006" t="s">
        <v>977</v>
      </c>
      <c r="C27" s="1380">
        <v>1.2</v>
      </c>
      <c r="D27" s="994" t="s">
        <v>1394</v>
      </c>
      <c r="I27" s="998"/>
      <c r="J27" s="1002"/>
      <c r="K27" s="998"/>
      <c r="L27" s="998"/>
      <c r="M27" s="998"/>
      <c r="N27" s="998"/>
      <c r="O27" s="998"/>
      <c r="P27" s="1000"/>
      <c r="Q27" s="967"/>
      <c r="R27" s="967"/>
      <c r="S27" s="964"/>
      <c r="T27" s="964"/>
    </row>
    <row r="28" spans="1:20" s="957" customFormat="1" ht="17.100000000000001" customHeight="1">
      <c r="B28" s="1009" t="s">
        <v>978</v>
      </c>
      <c r="C28" s="894">
        <f>C25*C26*C27</f>
        <v>0.12</v>
      </c>
      <c r="D28" s="994" t="s">
        <v>1132</v>
      </c>
      <c r="I28" s="997" t="s">
        <v>1136</v>
      </c>
      <c r="J28" s="1004"/>
      <c r="K28" s="1004"/>
      <c r="L28" s="1004"/>
      <c r="M28" s="1004"/>
      <c r="N28" s="1004"/>
      <c r="O28" s="998"/>
      <c r="P28" s="1000"/>
      <c r="Q28" s="967"/>
      <c r="R28" s="967"/>
      <c r="S28" s="964"/>
      <c r="T28" s="964"/>
    </row>
    <row r="29" spans="1:20" s="957" customFormat="1" ht="17.100000000000001" customHeight="1">
      <c r="B29" s="1011" t="str">
        <f>'1. Building Information'!$B$114</f>
        <v>Other &lt;Please Specify&gt;</v>
      </c>
      <c r="C29" s="553">
        <f>'1. Building Information'!C114</f>
        <v>0</v>
      </c>
      <c r="D29" s="957" t="s">
        <v>1131</v>
      </c>
      <c r="I29" s="1482" t="s">
        <v>1141</v>
      </c>
      <c r="J29" s="1482"/>
      <c r="K29" s="1482"/>
      <c r="L29" s="1482"/>
      <c r="M29" s="1482"/>
      <c r="N29" s="1003"/>
      <c r="O29" s="998"/>
      <c r="P29" s="1000"/>
      <c r="Q29" s="967"/>
      <c r="R29" s="967"/>
      <c r="S29" s="964"/>
      <c r="T29" s="964"/>
    </row>
    <row r="30" spans="1:20" s="957" customFormat="1" ht="17.100000000000001" customHeight="1">
      <c r="B30" s="1006" t="s">
        <v>975</v>
      </c>
      <c r="C30" s="1371">
        <v>0</v>
      </c>
      <c r="D30" s="994" t="s">
        <v>1395</v>
      </c>
      <c r="H30" s="961"/>
      <c r="I30" s="1482"/>
      <c r="J30" s="1482"/>
      <c r="K30" s="1482"/>
      <c r="L30" s="1482"/>
      <c r="M30" s="1482"/>
      <c r="N30" s="1003"/>
      <c r="O30" s="998"/>
      <c r="P30" s="1000"/>
      <c r="Q30" s="967"/>
      <c r="R30" s="967"/>
      <c r="S30" s="964"/>
      <c r="T30" s="964"/>
    </row>
    <row r="31" spans="1:20" s="957" customFormat="1" ht="17.100000000000001" customHeight="1">
      <c r="B31" s="1006" t="s">
        <v>976</v>
      </c>
      <c r="C31" s="1371">
        <v>0</v>
      </c>
      <c r="D31" s="994" t="s">
        <v>1396</v>
      </c>
      <c r="H31" s="961"/>
      <c r="I31" s="1482"/>
      <c r="J31" s="1482"/>
      <c r="K31" s="1482"/>
      <c r="L31" s="1482"/>
      <c r="M31" s="1482"/>
      <c r="N31" s="1003"/>
      <c r="O31" s="998"/>
      <c r="P31" s="1000"/>
      <c r="Q31" s="967"/>
      <c r="R31" s="967"/>
      <c r="S31" s="964"/>
      <c r="T31" s="964"/>
    </row>
    <row r="32" spans="1:20" s="957" customFormat="1" ht="17.100000000000001" customHeight="1">
      <c r="B32" s="1006" t="s">
        <v>977</v>
      </c>
      <c r="C32" s="1371">
        <v>0</v>
      </c>
      <c r="D32" s="994" t="s">
        <v>1397</v>
      </c>
      <c r="H32" s="961"/>
      <c r="I32" s="1003"/>
      <c r="J32" s="1003"/>
      <c r="K32" s="1003"/>
      <c r="L32" s="1003"/>
      <c r="M32" s="1003"/>
      <c r="N32" s="1003"/>
      <c r="O32" s="998"/>
      <c r="P32" s="1000"/>
      <c r="Q32" s="967"/>
      <c r="R32" s="967"/>
      <c r="S32" s="964"/>
      <c r="T32" s="964"/>
    </row>
    <row r="33" spans="1:20" s="957" customFormat="1" ht="17.100000000000001" customHeight="1">
      <c r="B33" s="1009" t="s">
        <v>978</v>
      </c>
      <c r="C33" s="894">
        <f>C30*C31*C32</f>
        <v>0</v>
      </c>
      <c r="D33" s="994" t="s">
        <v>1132</v>
      </c>
      <c r="H33" s="961"/>
      <c r="I33" s="997" t="s">
        <v>1137</v>
      </c>
      <c r="J33" s="1003"/>
      <c r="K33" s="1003"/>
      <c r="L33" s="1003"/>
      <c r="M33" s="1003"/>
      <c r="N33" s="1003"/>
      <c r="O33" s="998"/>
      <c r="P33" s="1000"/>
      <c r="Q33" s="967"/>
      <c r="R33" s="967"/>
      <c r="S33" s="964"/>
      <c r="T33" s="964"/>
    </row>
    <row r="34" spans="1:20" s="637" customFormat="1" ht="17.100000000000001" customHeight="1">
      <c r="A34" s="638"/>
      <c r="B34" s="1012" t="s">
        <v>618</v>
      </c>
      <c r="C34" s="965">
        <f>SUM(C19,C17,C24,C29)</f>
        <v>1</v>
      </c>
      <c r="D34" s="957" t="s">
        <v>1131</v>
      </c>
      <c r="H34" s="961"/>
      <c r="I34" s="1482" t="s">
        <v>1140</v>
      </c>
      <c r="J34" s="1482"/>
      <c r="K34" s="1482"/>
      <c r="L34" s="1482"/>
      <c r="M34" s="1482"/>
      <c r="N34" s="1003"/>
      <c r="O34" s="998"/>
      <c r="P34" s="1000"/>
      <c r="Q34" s="694"/>
      <c r="R34" s="694"/>
      <c r="S34" s="594"/>
      <c r="T34" s="594"/>
    </row>
    <row r="35" spans="1:20" s="637" customFormat="1" ht="17.100000000000001" customHeight="1">
      <c r="A35" s="695"/>
      <c r="B35" s="1013" t="s">
        <v>619</v>
      </c>
      <c r="C35" s="760">
        <f>IF(C34&gt;0,(C17*C18+C19*C23+C24*C28+C29*C33)/C34,0)</f>
        <v>0.7</v>
      </c>
      <c r="H35" s="961"/>
      <c r="I35" s="1482"/>
      <c r="J35" s="1482"/>
      <c r="K35" s="1482"/>
      <c r="L35" s="1482"/>
      <c r="M35" s="1482"/>
      <c r="N35" s="1003"/>
      <c r="O35" s="998"/>
      <c r="P35" s="1000"/>
      <c r="Q35" s="694"/>
      <c r="R35" s="694"/>
      <c r="S35" s="594"/>
      <c r="T35" s="594"/>
    </row>
    <row r="36" spans="1:20" s="637" customFormat="1" ht="17.100000000000001" customHeight="1">
      <c r="B36" s="1007" t="s">
        <v>620</v>
      </c>
      <c r="C36" s="1390">
        <v>0.9</v>
      </c>
      <c r="D36" s="994" t="s">
        <v>1398</v>
      </c>
      <c r="H36" s="961"/>
      <c r="I36" s="1482"/>
      <c r="J36" s="1482"/>
      <c r="K36" s="1482"/>
      <c r="L36" s="1482"/>
      <c r="M36" s="1482"/>
      <c r="N36" s="1003"/>
      <c r="O36" s="998"/>
      <c r="P36" s="1000"/>
      <c r="Q36" s="694"/>
      <c r="R36" s="694"/>
      <c r="S36" s="594"/>
      <c r="T36" s="594"/>
    </row>
    <row r="37" spans="1:20" s="637" customFormat="1" ht="17.100000000000001" customHeight="1">
      <c r="A37" s="696"/>
      <c r="B37" s="1014" t="s">
        <v>1145</v>
      </c>
      <c r="C37" s="1008" t="str">
        <f>'1. Building Information'!$C$122</f>
        <v>Eastern SF</v>
      </c>
      <c r="G37" s="991"/>
      <c r="H37" s="961"/>
      <c r="I37" s="1482"/>
      <c r="J37" s="1482"/>
      <c r="K37" s="1482"/>
      <c r="L37" s="1482"/>
      <c r="M37" s="1482"/>
      <c r="N37" s="998"/>
      <c r="O37" s="998"/>
      <c r="P37" s="1000"/>
      <c r="Q37" s="694"/>
      <c r="R37" s="694"/>
      <c r="S37" s="594"/>
      <c r="T37" s="594"/>
    </row>
    <row r="38" spans="1:20" ht="15" customHeight="1">
      <c r="A38" s="697"/>
      <c r="J38" s="699"/>
      <c r="P38" s="692"/>
      <c r="Q38" s="694"/>
      <c r="R38" s="694"/>
      <c r="S38" s="700"/>
      <c r="T38" s="700"/>
    </row>
    <row r="39" spans="1:20" ht="15" customHeight="1">
      <c r="A39" s="697"/>
      <c r="B39" s="701"/>
      <c r="C39" s="702"/>
      <c r="D39" s="703"/>
      <c r="E39" s="703"/>
      <c r="F39" s="693"/>
      <c r="G39" s="693"/>
      <c r="H39" s="693"/>
      <c r="I39" s="693"/>
      <c r="J39" s="699"/>
      <c r="P39" s="692"/>
      <c r="Q39" s="694"/>
      <c r="R39" s="694"/>
      <c r="S39" s="700"/>
      <c r="T39" s="700"/>
    </row>
    <row r="40" spans="1:20" ht="45">
      <c r="A40" s="697"/>
      <c r="B40" s="542" t="s">
        <v>585</v>
      </c>
      <c r="C40" s="543" t="s">
        <v>972</v>
      </c>
      <c r="D40" s="543" t="s">
        <v>973</v>
      </c>
      <c r="E40" s="543" t="s">
        <v>951</v>
      </c>
      <c r="F40" s="1476" t="s">
        <v>584</v>
      </c>
      <c r="G40" s="1476"/>
      <c r="H40" s="1476"/>
      <c r="I40" s="544" t="s">
        <v>974</v>
      </c>
      <c r="J40" s="699"/>
      <c r="P40" s="692"/>
      <c r="Q40" s="694"/>
      <c r="R40" s="694"/>
      <c r="S40" s="700"/>
      <c r="T40" s="700"/>
    </row>
    <row r="41" spans="1:20" ht="18.75">
      <c r="A41" s="697"/>
      <c r="B41" s="545"/>
      <c r="C41" s="546" t="s">
        <v>590</v>
      </c>
      <c r="D41" s="798" t="s">
        <v>1070</v>
      </c>
      <c r="E41" s="546" t="s">
        <v>979</v>
      </c>
      <c r="F41" s="546" t="s">
        <v>980</v>
      </c>
      <c r="G41" s="546" t="s">
        <v>592</v>
      </c>
      <c r="H41" s="546" t="s">
        <v>593</v>
      </c>
      <c r="I41" s="547"/>
      <c r="J41" s="699"/>
      <c r="K41" s="840" t="s">
        <v>585</v>
      </c>
      <c r="L41" s="841" t="s">
        <v>594</v>
      </c>
      <c r="M41" s="842" t="s">
        <v>595</v>
      </c>
      <c r="P41" s="692"/>
      <c r="Q41" s="694"/>
      <c r="R41" s="694"/>
      <c r="S41" s="700"/>
      <c r="T41" s="700"/>
    </row>
    <row r="42" spans="1:20" ht="15" customHeight="1">
      <c r="A42" s="697"/>
      <c r="B42" s="744" t="s">
        <v>596</v>
      </c>
      <c r="C42" s="745">
        <v>4.5616000000000003</v>
      </c>
      <c r="D42" s="746">
        <f>IF($C$37="Western SF",'Climate Data'!D27,'Climate Data'!D8)</f>
        <v>1.24</v>
      </c>
      <c r="E42" s="826">
        <f>D42*$C$35</f>
        <v>0.86799999999999999</v>
      </c>
      <c r="F42" s="739">
        <f>(L42/12)*$C$34</f>
        <v>0</v>
      </c>
      <c r="G42" s="754"/>
      <c r="H42" s="742"/>
      <c r="I42" s="742"/>
      <c r="J42" s="699"/>
      <c r="K42" s="843" t="s">
        <v>596</v>
      </c>
      <c r="L42" s="844">
        <f>IF(E42-C42&gt;0, (E42-C42)/$C$36,0)</f>
        <v>0</v>
      </c>
      <c r="M42" s="845">
        <v>31</v>
      </c>
      <c r="P42" s="692"/>
      <c r="Q42" s="694"/>
      <c r="R42" s="694"/>
      <c r="S42" s="700"/>
      <c r="T42" s="700"/>
    </row>
    <row r="43" spans="1:20" ht="15" customHeight="1">
      <c r="A43" s="697"/>
      <c r="B43" s="747" t="s">
        <v>597</v>
      </c>
      <c r="C43" s="748">
        <v>3.8450000000000002</v>
      </c>
      <c r="D43" s="838">
        <f>IF($C$37="Western SF",'Climate Data'!D28,'Climate Data'!D9)</f>
        <v>1.68</v>
      </c>
      <c r="E43" s="827">
        <f t="shared" ref="E43:E53" si="0">D43*$C$35</f>
        <v>1.1759999999999999</v>
      </c>
      <c r="F43" s="737">
        <f t="shared" ref="F43:F53" si="1">(L43/12)*$C$34</f>
        <v>0</v>
      </c>
      <c r="G43" s="755"/>
      <c r="H43" s="736"/>
      <c r="I43" s="736"/>
      <c r="J43" s="699"/>
      <c r="K43" s="843" t="s">
        <v>597</v>
      </c>
      <c r="L43" s="844">
        <f t="shared" ref="L43:L53" si="2">IF(E43-C43&gt;0, (E43-C43)/$C$36,0)</f>
        <v>0</v>
      </c>
      <c r="M43" s="845">
        <v>28</v>
      </c>
      <c r="P43" s="692"/>
      <c r="Q43" s="694"/>
      <c r="R43" s="694"/>
      <c r="S43" s="700"/>
      <c r="T43" s="700"/>
    </row>
    <row r="44" spans="1:20" ht="15" customHeight="1">
      <c r="A44" s="697"/>
      <c r="B44" s="747" t="s">
        <v>598</v>
      </c>
      <c r="C44" s="748">
        <v>2.9074</v>
      </c>
      <c r="D44" s="838">
        <f>IF($C$37="Western SF",'Climate Data'!D29,'Climate Data'!D10)</f>
        <v>3.1</v>
      </c>
      <c r="E44" s="827">
        <f t="shared" si="0"/>
        <v>2.17</v>
      </c>
      <c r="F44" s="737">
        <f t="shared" si="1"/>
        <v>0</v>
      </c>
      <c r="G44" s="755"/>
      <c r="H44" s="736"/>
      <c r="I44" s="736"/>
      <c r="J44" s="699"/>
      <c r="K44" s="843" t="s">
        <v>598</v>
      </c>
      <c r="L44" s="844">
        <f t="shared" si="2"/>
        <v>0</v>
      </c>
      <c r="M44" s="845">
        <v>31</v>
      </c>
      <c r="P44" s="692"/>
      <c r="Q44" s="704"/>
      <c r="R44" s="705"/>
      <c r="S44" s="700"/>
      <c r="T44" s="700"/>
    </row>
    <row r="45" spans="1:20" ht="15" customHeight="1">
      <c r="A45" s="697"/>
      <c r="B45" s="747" t="s">
        <v>599</v>
      </c>
      <c r="C45" s="748">
        <v>1.4120618556701032</v>
      </c>
      <c r="D45" s="838">
        <f>IF($C$37="Western SF",'Climate Data'!D30,'Climate Data'!D11)</f>
        <v>3.9</v>
      </c>
      <c r="E45" s="827">
        <f>D45*$C$35</f>
        <v>2.73</v>
      </c>
      <c r="F45" s="737">
        <f t="shared" si="1"/>
        <v>0.12203130966017563</v>
      </c>
      <c r="G45" s="737">
        <f>(F45*7.48)</f>
        <v>0.91279419625811375</v>
      </c>
      <c r="H45" s="737">
        <f t="shared" ref="H45:H51" si="3">(G45)/M45</f>
        <v>3.0426473208603793E-2</v>
      </c>
      <c r="I45" s="756">
        <f>G45/$G$54</f>
        <v>7.6883135526602878E-2</v>
      </c>
      <c r="J45" s="699"/>
      <c r="K45" s="843" t="s">
        <v>599</v>
      </c>
      <c r="L45" s="844">
        <f t="shared" si="2"/>
        <v>1.4643757159221076</v>
      </c>
      <c r="M45" s="845">
        <v>30</v>
      </c>
      <c r="N45" s="632"/>
      <c r="O45" s="632"/>
    </row>
    <row r="46" spans="1:20" ht="15" customHeight="1">
      <c r="A46" s="707"/>
      <c r="B46" s="747" t="s">
        <v>600</v>
      </c>
      <c r="C46" s="748">
        <v>0.6282558139534884</v>
      </c>
      <c r="D46" s="838">
        <f>IF($C$37="Western SF",'Climate Data'!D31,'Climate Data'!D12)</f>
        <v>4.6500000000000004</v>
      </c>
      <c r="E46" s="827">
        <f t="shared" si="0"/>
        <v>3.2549999999999999</v>
      </c>
      <c r="F46" s="737">
        <f t="shared" si="1"/>
        <v>0.24321705426356588</v>
      </c>
      <c r="G46" s="737">
        <f t="shared" ref="G46:G51" si="4">(F46*7.48)</f>
        <v>1.8192635658914729</v>
      </c>
      <c r="H46" s="737">
        <f t="shared" si="3"/>
        <v>5.8685921480370093E-2</v>
      </c>
      <c r="I46" s="756">
        <f t="shared" ref="I46:I51" si="5">G46/$G$54</f>
        <v>0.1532335414362048</v>
      </c>
      <c r="J46" s="699"/>
      <c r="K46" s="843" t="s">
        <v>600</v>
      </c>
      <c r="L46" s="844">
        <f t="shared" si="2"/>
        <v>2.9186046511627906</v>
      </c>
      <c r="M46" s="845">
        <v>31</v>
      </c>
    </row>
    <row r="47" spans="1:20" ht="15" customHeight="1">
      <c r="A47" s="707"/>
      <c r="B47" s="747" t="s">
        <v>601</v>
      </c>
      <c r="C47" s="748">
        <v>0.22030303030303031</v>
      </c>
      <c r="D47" s="838">
        <f>IF($C$37="Western SF",'Climate Data'!D32,'Climate Data'!D13)</f>
        <v>5.0999999999999996</v>
      </c>
      <c r="E47" s="827">
        <f t="shared" si="0"/>
        <v>3.5699999999999994</v>
      </c>
      <c r="F47" s="737">
        <f t="shared" si="1"/>
        <v>0.31015712682379343</v>
      </c>
      <c r="G47" s="737">
        <f t="shared" si="4"/>
        <v>2.319975308641975</v>
      </c>
      <c r="H47" s="737">
        <f t="shared" si="3"/>
        <v>7.7332510288065828E-2</v>
      </c>
      <c r="I47" s="756">
        <f t="shared" si="5"/>
        <v>0.19540765794073464</v>
      </c>
      <c r="J47" s="699"/>
      <c r="K47" s="843" t="s">
        <v>601</v>
      </c>
      <c r="L47" s="844">
        <f t="shared" si="2"/>
        <v>3.7218855218855214</v>
      </c>
      <c r="M47" s="845">
        <v>30</v>
      </c>
    </row>
    <row r="48" spans="1:20" ht="15" customHeight="1">
      <c r="A48" s="708"/>
      <c r="B48" s="747" t="s">
        <v>341</v>
      </c>
      <c r="C48" s="748">
        <v>4.9722222222222223E-2</v>
      </c>
      <c r="D48" s="838">
        <f>IF($C$37="Western SF",'Climate Data'!D33,'Climate Data'!D14)</f>
        <v>4.96</v>
      </c>
      <c r="E48" s="827">
        <f t="shared" si="0"/>
        <v>3.472</v>
      </c>
      <c r="F48" s="737">
        <f t="shared" si="1"/>
        <v>0.31687757201646088</v>
      </c>
      <c r="G48" s="737">
        <f t="shared" si="4"/>
        <v>2.3702442386831275</v>
      </c>
      <c r="H48" s="737">
        <f t="shared" si="3"/>
        <v>7.6459491570423463E-2</v>
      </c>
      <c r="I48" s="756">
        <f t="shared" si="5"/>
        <v>0.19964172623014165</v>
      </c>
      <c r="J48" s="699"/>
      <c r="K48" s="843" t="s">
        <v>341</v>
      </c>
      <c r="L48" s="844">
        <f t="shared" si="2"/>
        <v>3.8025308641975304</v>
      </c>
      <c r="M48" s="845">
        <v>31</v>
      </c>
    </row>
    <row r="49" spans="1:18" ht="15" customHeight="1">
      <c r="A49" s="697"/>
      <c r="B49" s="747" t="s">
        <v>342</v>
      </c>
      <c r="C49" s="748">
        <v>0.1076086956521739</v>
      </c>
      <c r="D49" s="838">
        <f>IF($C$37="Western SF",'Climate Data'!D34,'Climate Data'!D15)</f>
        <v>4.6500000000000004</v>
      </c>
      <c r="E49" s="827">
        <f t="shared" si="0"/>
        <v>3.2549999999999999</v>
      </c>
      <c r="F49" s="737">
        <f t="shared" si="1"/>
        <v>0.29142512077294686</v>
      </c>
      <c r="G49" s="737">
        <f t="shared" si="4"/>
        <v>2.1798599033816428</v>
      </c>
      <c r="H49" s="737">
        <f t="shared" si="3"/>
        <v>7.0318061399407827E-2</v>
      </c>
      <c r="I49" s="756">
        <f t="shared" si="5"/>
        <v>0.1836059706204651</v>
      </c>
      <c r="K49" s="843" t="s">
        <v>342</v>
      </c>
      <c r="L49" s="844">
        <f t="shared" si="2"/>
        <v>3.497101449275362</v>
      </c>
      <c r="M49" s="845">
        <v>31</v>
      </c>
    </row>
    <row r="50" spans="1:18" ht="15" customHeight="1">
      <c r="B50" s="747" t="s">
        <v>49</v>
      </c>
      <c r="C50" s="748">
        <v>0.37031249999999999</v>
      </c>
      <c r="D50" s="838">
        <f>IF($C$37="Western SF",'Climate Data'!D35,'Climate Data'!D16)</f>
        <v>3.9</v>
      </c>
      <c r="E50" s="827">
        <f t="shared" si="0"/>
        <v>2.73</v>
      </c>
      <c r="F50" s="737">
        <f t="shared" si="1"/>
        <v>0.21848958333333335</v>
      </c>
      <c r="G50" s="737">
        <f t="shared" si="4"/>
        <v>1.6343020833333335</v>
      </c>
      <c r="H50" s="737">
        <f t="shared" si="3"/>
        <v>5.4476736111111118E-2</v>
      </c>
      <c r="I50" s="756">
        <f t="shared" si="5"/>
        <v>0.1376545436851086</v>
      </c>
      <c r="K50" s="843" t="s">
        <v>49</v>
      </c>
      <c r="L50" s="844">
        <f t="shared" si="2"/>
        <v>2.6218750000000002</v>
      </c>
      <c r="M50" s="845">
        <v>30</v>
      </c>
    </row>
    <row r="51" spans="1:18" ht="15" customHeight="1">
      <c r="B51" s="747" t="s">
        <v>112</v>
      </c>
      <c r="C51" s="748">
        <v>1.034639175257732</v>
      </c>
      <c r="D51" s="838">
        <f>IF($C$37="Western SF",'Climate Data'!D36,'Climate Data'!D17)</f>
        <v>2.79</v>
      </c>
      <c r="E51" s="827">
        <f t="shared" si="0"/>
        <v>1.9529999999999998</v>
      </c>
      <c r="F51" s="737">
        <f t="shared" si="1"/>
        <v>8.5033409698358139E-2</v>
      </c>
      <c r="G51" s="737">
        <f t="shared" si="4"/>
        <v>0.6360499045437189</v>
      </c>
      <c r="H51" s="737">
        <f t="shared" si="3"/>
        <v>2.0517738856248996E-2</v>
      </c>
      <c r="I51" s="756">
        <f t="shared" si="5"/>
        <v>5.3573424560742412E-2</v>
      </c>
      <c r="K51" s="843" t="s">
        <v>112</v>
      </c>
      <c r="L51" s="844">
        <f t="shared" si="2"/>
        <v>1.0204009163802976</v>
      </c>
      <c r="M51" s="845">
        <v>31</v>
      </c>
    </row>
    <row r="52" spans="1:18" ht="15" customHeight="1">
      <c r="B52" s="747" t="s">
        <v>113</v>
      </c>
      <c r="C52" s="748">
        <v>2.6849484536082473</v>
      </c>
      <c r="D52" s="838">
        <f>IF($C$37="Western SF",'Climate Data'!D37,'Climate Data'!D18)</f>
        <v>1.8</v>
      </c>
      <c r="E52" s="827">
        <f t="shared" si="0"/>
        <v>1.26</v>
      </c>
      <c r="F52" s="737">
        <f t="shared" si="1"/>
        <v>0</v>
      </c>
      <c r="G52" s="755"/>
      <c r="H52" s="736"/>
      <c r="I52" s="736"/>
      <c r="K52" s="843" t="s">
        <v>113</v>
      </c>
      <c r="L52" s="844">
        <f t="shared" si="2"/>
        <v>0</v>
      </c>
      <c r="M52" s="845">
        <v>30</v>
      </c>
    </row>
    <row r="53" spans="1:18" ht="15" customHeight="1" thickBot="1">
      <c r="B53" s="749" t="s">
        <v>114</v>
      </c>
      <c r="C53" s="750">
        <v>4.0832323232323233</v>
      </c>
      <c r="D53" s="839">
        <f>IF($C$37="Western SF",'Climate Data'!D38,'Climate Data'!D19)</f>
        <v>1.24</v>
      </c>
      <c r="E53" s="828">
        <f t="shared" si="0"/>
        <v>0.86799999999999999</v>
      </c>
      <c r="F53" s="740">
        <f t="shared" si="1"/>
        <v>0</v>
      </c>
      <c r="G53" s="757"/>
      <c r="H53" s="743"/>
      <c r="I53" s="743"/>
      <c r="K53" s="843" t="s">
        <v>114</v>
      </c>
      <c r="L53" s="844">
        <f t="shared" si="2"/>
        <v>0</v>
      </c>
      <c r="M53" s="845">
        <v>31</v>
      </c>
    </row>
    <row r="54" spans="1:18" ht="15" customHeight="1" thickTop="1">
      <c r="B54" s="751" t="s">
        <v>476</v>
      </c>
      <c r="C54" s="752">
        <f>SUM(C42:C53)</f>
        <v>21.905084069899321</v>
      </c>
      <c r="D54" s="753">
        <f>SUM(D42:D53)</f>
        <v>39.01</v>
      </c>
      <c r="E54" s="760">
        <f t="shared" ref="E54:F54" si="6">SUM(E42:E53)</f>
        <v>27.307000000000002</v>
      </c>
      <c r="F54" s="758">
        <f t="shared" si="6"/>
        <v>1.587231176568634</v>
      </c>
      <c r="G54" s="758">
        <f>SUM(G42:G53)</f>
        <v>11.872489200733384</v>
      </c>
      <c r="H54" s="758"/>
      <c r="I54" s="759"/>
      <c r="K54" s="846"/>
      <c r="L54" s="847">
        <f>SUM(L42:L53)</f>
        <v>19.04677411882361</v>
      </c>
      <c r="M54" s="848">
        <f>SUM(M42:M53)</f>
        <v>365</v>
      </c>
    </row>
    <row r="55" spans="1:18" ht="15" customHeight="1"/>
    <row r="56" spans="1:18" ht="15" customHeight="1">
      <c r="D56" s="706"/>
      <c r="E56" s="706"/>
      <c r="M56" s="790"/>
      <c r="N56" s="790"/>
      <c r="O56" s="790"/>
      <c r="P56" s="790"/>
      <c r="Q56" s="797"/>
    </row>
    <row r="57" spans="1:18" s="761" customFormat="1" ht="15" customHeight="1">
      <c r="B57" s="1196" t="s">
        <v>1260</v>
      </c>
      <c r="L57" s="483"/>
      <c r="M57" s="643"/>
      <c r="N57" s="643"/>
      <c r="O57" s="643"/>
      <c r="P57" s="643"/>
      <c r="Q57" s="556"/>
      <c r="R57" s="762"/>
    </row>
    <row r="58" spans="1:18" ht="15" customHeight="1">
      <c r="B58" s="962" t="s">
        <v>1096</v>
      </c>
    </row>
    <row r="59" spans="1:18" ht="15" customHeight="1">
      <c r="B59" s="902" t="s">
        <v>1263</v>
      </c>
      <c r="M59" s="790"/>
      <c r="N59" s="790"/>
      <c r="O59" s="790"/>
      <c r="P59" s="790"/>
      <c r="Q59" s="797"/>
    </row>
    <row r="60" spans="1:18" ht="15" customHeight="1">
      <c r="B60" s="797"/>
      <c r="C60" s="794"/>
      <c r="D60" s="794"/>
      <c r="E60" s="797"/>
      <c r="F60" s="797"/>
      <c r="G60" s="802"/>
      <c r="H60" s="802"/>
      <c r="M60" s="790"/>
      <c r="N60" s="790"/>
      <c r="O60" s="790"/>
      <c r="P60" s="790"/>
      <c r="Q60" s="797"/>
    </row>
    <row r="61" spans="1:18" ht="15" customHeight="1">
      <c r="B61" s="797"/>
      <c r="C61" s="794"/>
      <c r="D61" s="1373" t="s">
        <v>1025</v>
      </c>
      <c r="E61" s="696" t="s">
        <v>911</v>
      </c>
      <c r="F61" s="797"/>
      <c r="G61" s="802"/>
      <c r="H61" s="802"/>
    </row>
    <row r="62" spans="1:18" ht="15" customHeight="1">
      <c r="C62" s="794"/>
      <c r="D62" s="696"/>
      <c r="E62" s="696"/>
      <c r="F62" s="797"/>
      <c r="G62" s="802"/>
      <c r="H62" s="802"/>
    </row>
    <row r="63" spans="1:18" ht="15" customHeight="1">
      <c r="B63" s="660" t="s">
        <v>1010</v>
      </c>
      <c r="C63" s="794"/>
      <c r="D63" s="1363">
        <v>100</v>
      </c>
      <c r="E63" s="651" t="s">
        <v>593</v>
      </c>
      <c r="F63" s="797"/>
      <c r="G63" s="802"/>
      <c r="H63" s="802"/>
    </row>
    <row r="64" spans="1:18" ht="15" customHeight="1">
      <c r="B64" s="829" t="s">
        <v>1037</v>
      </c>
      <c r="C64" s="794"/>
      <c r="D64" s="1363">
        <v>250</v>
      </c>
      <c r="E64" s="651" t="s">
        <v>1019</v>
      </c>
      <c r="F64" s="797"/>
      <c r="G64" s="802"/>
      <c r="H64" s="802"/>
      <c r="M64" s="790"/>
      <c r="N64" s="790"/>
      <c r="O64" s="790"/>
      <c r="P64" s="790"/>
      <c r="Q64" s="797"/>
    </row>
    <row r="65" spans="2:18" ht="15" customHeight="1">
      <c r="B65" s="660"/>
      <c r="C65" s="794"/>
      <c r="D65" s="1185">
        <f>D63*D64</f>
        <v>25000</v>
      </c>
      <c r="E65" s="651" t="s">
        <v>1007</v>
      </c>
      <c r="F65" s="797"/>
      <c r="G65" s="802"/>
      <c r="H65" s="802"/>
      <c r="M65" s="790"/>
      <c r="N65" s="790"/>
      <c r="O65" s="790"/>
      <c r="P65" s="790"/>
      <c r="Q65" s="797"/>
    </row>
    <row r="66" spans="2:18" s="1053" customFormat="1" ht="15" customHeight="1">
      <c r="B66" s="660"/>
      <c r="C66" s="1102"/>
      <c r="D66" s="1039"/>
      <c r="E66" s="1102"/>
      <c r="F66" s="1107"/>
      <c r="G66" s="802"/>
      <c r="H66" s="802"/>
      <c r="L66" s="1050"/>
      <c r="M66" s="1101"/>
      <c r="N66" s="1101"/>
      <c r="O66" s="1101"/>
      <c r="P66" s="1101"/>
      <c r="Q66" s="1107"/>
      <c r="R66" s="1054"/>
    </row>
    <row r="67" spans="2:18" ht="15" customHeight="1">
      <c r="B67" s="660" t="s">
        <v>1024</v>
      </c>
      <c r="C67" s="794"/>
      <c r="D67" s="794"/>
      <c r="E67" s="794"/>
      <c r="F67" s="797"/>
      <c r="G67" s="802"/>
      <c r="H67" s="802"/>
      <c r="M67" s="790"/>
      <c r="N67" s="790"/>
      <c r="O67" s="790"/>
      <c r="P67" s="790"/>
      <c r="Q67" s="797"/>
    </row>
    <row r="68" spans="2:18" ht="15" customHeight="1">
      <c r="B68" s="1135" t="s">
        <v>1128</v>
      </c>
      <c r="C68" s="1124"/>
      <c r="D68" s="1363">
        <v>0</v>
      </c>
      <c r="E68" s="651" t="s">
        <v>593</v>
      </c>
      <c r="F68" s="797"/>
      <c r="G68" s="802"/>
      <c r="H68" s="802"/>
      <c r="L68" s="709"/>
      <c r="M68" s="641"/>
      <c r="N68" s="645"/>
    </row>
    <row r="69" spans="2:18" ht="15" customHeight="1">
      <c r="C69" s="794"/>
      <c r="D69" s="1363">
        <v>0</v>
      </c>
      <c r="E69" s="651" t="s">
        <v>1019</v>
      </c>
      <c r="F69" s="797"/>
      <c r="G69" s="802"/>
      <c r="H69" s="802"/>
      <c r="L69" s="709"/>
      <c r="M69" s="795"/>
      <c r="N69" s="797"/>
      <c r="O69" s="790"/>
      <c r="P69" s="790"/>
      <c r="Q69" s="797"/>
    </row>
    <row r="70" spans="2:18" ht="15" customHeight="1">
      <c r="B70" s="829"/>
      <c r="C70" s="794"/>
      <c r="D70" s="1185">
        <f>D68*D69</f>
        <v>0</v>
      </c>
      <c r="E70" s="651" t="s">
        <v>1007</v>
      </c>
      <c r="F70" s="797"/>
      <c r="G70" s="802"/>
      <c r="H70" s="802"/>
      <c r="L70" s="709"/>
      <c r="M70" s="795"/>
      <c r="N70" s="797"/>
      <c r="O70" s="790"/>
      <c r="P70" s="790"/>
      <c r="Q70" s="797"/>
    </row>
    <row r="71" spans="2:18" ht="15" customHeight="1">
      <c r="B71" s="797"/>
      <c r="C71" s="794"/>
      <c r="D71" s="794"/>
      <c r="E71" s="797"/>
      <c r="F71" s="797"/>
      <c r="G71" s="802"/>
      <c r="H71" s="802"/>
      <c r="L71" s="709"/>
      <c r="M71" s="641"/>
      <c r="N71" s="645"/>
    </row>
    <row r="73" spans="2:18" s="875" customFormat="1" ht="15" customHeight="1">
      <c r="B73" s="1205" t="s">
        <v>1261</v>
      </c>
      <c r="L73" s="876"/>
      <c r="M73" s="877"/>
      <c r="N73" s="877"/>
      <c r="O73" s="877"/>
      <c r="P73" s="877"/>
      <c r="Q73" s="878"/>
      <c r="R73" s="879"/>
    </row>
    <row r="74" spans="2:18" s="875" customFormat="1" ht="15" customHeight="1">
      <c r="B74" s="1016" t="s">
        <v>1146</v>
      </c>
      <c r="L74" s="876"/>
      <c r="M74" s="877"/>
      <c r="N74" s="877"/>
      <c r="O74" s="877"/>
      <c r="P74" s="877"/>
      <c r="Q74" s="878"/>
      <c r="R74" s="879"/>
    </row>
    <row r="75" spans="2:18" s="948" customFormat="1" ht="15" customHeight="1">
      <c r="B75" s="902"/>
      <c r="L75" s="687"/>
      <c r="M75" s="957"/>
      <c r="N75" s="957"/>
      <c r="O75" s="957"/>
      <c r="P75" s="957"/>
      <c r="Q75" s="961"/>
      <c r="R75" s="949"/>
    </row>
    <row r="76" spans="2:18" ht="15" customHeight="1">
      <c r="B76" s="719" t="s">
        <v>1072</v>
      </c>
      <c r="D76" s="887">
        <v>35.1</v>
      </c>
      <c r="E76" s="698" t="s">
        <v>1042</v>
      </c>
      <c r="M76" s="790"/>
      <c r="N76" s="790"/>
      <c r="O76" s="790"/>
      <c r="P76" s="790"/>
      <c r="Q76" s="797"/>
    </row>
    <row r="77" spans="2:18" ht="15" customHeight="1">
      <c r="D77" s="708"/>
      <c r="M77" s="790"/>
      <c r="N77" s="790"/>
      <c r="O77" s="790"/>
      <c r="P77" s="790"/>
      <c r="Q77" s="797"/>
    </row>
    <row r="78" spans="2:18" ht="15" customHeight="1">
      <c r="B78" s="719" t="s">
        <v>1043</v>
      </c>
      <c r="D78" s="1015">
        <f>C34</f>
        <v>1</v>
      </c>
      <c r="E78" s="698" t="s">
        <v>1044</v>
      </c>
      <c r="M78" s="790"/>
      <c r="N78" s="790"/>
      <c r="O78" s="790"/>
      <c r="P78" s="790"/>
      <c r="Q78" s="797"/>
    </row>
    <row r="79" spans="2:18" ht="15" customHeight="1">
      <c r="B79" s="1477" t="s">
        <v>1071</v>
      </c>
      <c r="C79" s="1477"/>
      <c r="D79" s="1477"/>
      <c r="E79" s="1477"/>
      <c r="F79" s="1477"/>
      <c r="G79" s="1477"/>
      <c r="H79" s="1477"/>
      <c r="I79" s="1477"/>
      <c r="M79" s="790"/>
      <c r="N79" s="790"/>
      <c r="O79" s="790"/>
      <c r="P79" s="790"/>
      <c r="Q79" s="797"/>
    </row>
    <row r="80" spans="2:18" ht="15" customHeight="1">
      <c r="B80" s="1477"/>
      <c r="C80" s="1477"/>
      <c r="D80" s="1477"/>
      <c r="E80" s="1477"/>
      <c r="F80" s="1477"/>
      <c r="G80" s="1477"/>
      <c r="H80" s="1477"/>
      <c r="I80" s="1477"/>
      <c r="M80" s="790"/>
      <c r="N80" s="790"/>
      <c r="O80" s="790"/>
      <c r="P80" s="790"/>
      <c r="Q80" s="797"/>
    </row>
    <row r="81" spans="1:17" ht="15" customHeight="1">
      <c r="B81" s="1477"/>
      <c r="C81" s="1477"/>
      <c r="D81" s="1477"/>
      <c r="E81" s="1477"/>
      <c r="F81" s="1477"/>
      <c r="G81" s="1477"/>
      <c r="H81" s="1477"/>
      <c r="I81" s="1477"/>
      <c r="M81" s="790"/>
      <c r="N81" s="790"/>
      <c r="O81" s="790"/>
      <c r="P81" s="790"/>
      <c r="Q81" s="797"/>
    </row>
    <row r="82" spans="1:17" ht="15" customHeight="1">
      <c r="B82" s="871"/>
      <c r="C82" s="871"/>
      <c r="D82" s="871"/>
      <c r="E82" s="871"/>
      <c r="F82" s="871"/>
      <c r="G82" s="871"/>
      <c r="H82" s="871"/>
      <c r="I82" s="871"/>
      <c r="M82" s="790"/>
      <c r="N82" s="790"/>
      <c r="O82" s="790"/>
      <c r="P82" s="790"/>
      <c r="Q82" s="797"/>
    </row>
    <row r="83" spans="1:17" ht="15" customHeight="1">
      <c r="B83" s="719" t="s">
        <v>1045</v>
      </c>
      <c r="D83" s="1015">
        <f>'1. Building Information'!C111</f>
        <v>1</v>
      </c>
      <c r="E83" s="698" t="s">
        <v>1047</v>
      </c>
      <c r="M83" s="790"/>
      <c r="N83" s="790"/>
      <c r="O83" s="790"/>
      <c r="P83" s="790"/>
      <c r="Q83" s="797"/>
    </row>
    <row r="84" spans="1:17" ht="15" customHeight="1">
      <c r="B84" s="1478" t="s">
        <v>1046</v>
      </c>
      <c r="C84" s="1478"/>
      <c r="D84" s="1478"/>
      <c r="E84" s="1478"/>
      <c r="F84" s="1478"/>
      <c r="G84" s="1478"/>
      <c r="H84" s="1478"/>
      <c r="I84" s="1478"/>
      <c r="M84" s="790"/>
      <c r="N84" s="790"/>
      <c r="O84" s="790"/>
      <c r="P84" s="790"/>
      <c r="Q84" s="797"/>
    </row>
    <row r="85" spans="1:17" ht="15" customHeight="1">
      <c r="B85" s="1478"/>
      <c r="C85" s="1478"/>
      <c r="D85" s="1478"/>
      <c r="E85" s="1478"/>
      <c r="F85" s="1478"/>
      <c r="G85" s="1478"/>
      <c r="H85" s="1478"/>
      <c r="I85" s="1478"/>
      <c r="M85" s="790"/>
      <c r="N85" s="790"/>
      <c r="O85" s="790"/>
      <c r="P85" s="790"/>
      <c r="Q85" s="797"/>
    </row>
    <row r="86" spans="1:17" ht="15" customHeight="1" thickBot="1">
      <c r="B86" s="872"/>
      <c r="C86" s="872"/>
      <c r="D86" s="708"/>
      <c r="M86" s="790"/>
      <c r="N86" s="790"/>
      <c r="O86" s="790"/>
      <c r="P86" s="790"/>
      <c r="Q86" s="797"/>
    </row>
    <row r="87" spans="1:17" ht="15" customHeight="1">
      <c r="A87" s="706"/>
      <c r="B87" s="866" t="s">
        <v>1073</v>
      </c>
      <c r="C87" s="867"/>
      <c r="D87" s="811"/>
      <c r="E87" s="867"/>
      <c r="F87" s="867"/>
      <c r="G87" s="867"/>
      <c r="H87" s="867"/>
      <c r="I87" s="867"/>
      <c r="J87" s="867"/>
      <c r="K87" s="867"/>
      <c r="L87" s="880"/>
      <c r="M87" s="790"/>
      <c r="N87" s="790"/>
      <c r="O87" s="790"/>
      <c r="P87" s="790"/>
      <c r="Q87" s="797"/>
    </row>
    <row r="88" spans="1:17" ht="15" customHeight="1">
      <c r="A88" s="706"/>
      <c r="B88" s="881" t="s">
        <v>1074</v>
      </c>
      <c r="C88" s="706"/>
      <c r="D88" s="812"/>
      <c r="E88" s="706"/>
      <c r="F88" s="706"/>
      <c r="G88" s="706"/>
      <c r="H88" s="706"/>
      <c r="I88" s="706"/>
      <c r="J88" s="706"/>
      <c r="K88" s="706"/>
      <c r="L88" s="882"/>
      <c r="M88" s="790"/>
      <c r="N88" s="790"/>
      <c r="O88" s="790"/>
      <c r="P88" s="790"/>
      <c r="Q88" s="797"/>
    </row>
    <row r="89" spans="1:17" ht="15" customHeight="1">
      <c r="A89" s="706"/>
      <c r="B89" s="883"/>
      <c r="C89" s="706"/>
      <c r="D89" s="812"/>
      <c r="E89" s="706"/>
      <c r="F89" s="706"/>
      <c r="G89" s="706"/>
      <c r="H89" s="706"/>
      <c r="I89" s="706"/>
      <c r="J89" s="706"/>
      <c r="K89" s="706"/>
      <c r="L89" s="882"/>
      <c r="M89" s="790"/>
      <c r="N89" s="790"/>
      <c r="O89" s="790"/>
      <c r="P89" s="790"/>
      <c r="Q89" s="797"/>
    </row>
    <row r="90" spans="1:17" ht="15" customHeight="1">
      <c r="A90" s="706"/>
      <c r="B90" s="868" t="s">
        <v>1048</v>
      </c>
      <c r="C90" s="706"/>
      <c r="D90" s="888">
        <f>$D$76*0.62*(0.7*D78+0.3*D83)</f>
        <v>21.762</v>
      </c>
      <c r="E90" s="706" t="s">
        <v>1007</v>
      </c>
      <c r="F90" s="4" t="s">
        <v>1370</v>
      </c>
      <c r="G90" s="2"/>
      <c r="H90" s="2"/>
      <c r="I90" s="2"/>
      <c r="J90" s="2"/>
      <c r="K90" s="2"/>
      <c r="L90" s="882"/>
      <c r="M90" s="790"/>
      <c r="N90" s="790"/>
      <c r="O90" s="790"/>
      <c r="P90" s="790"/>
      <c r="Q90" s="797"/>
    </row>
    <row r="91" spans="1:17" ht="15" customHeight="1">
      <c r="A91" s="706"/>
      <c r="B91" s="868"/>
      <c r="C91" s="706"/>
      <c r="D91" s="870"/>
      <c r="E91" s="706"/>
      <c r="F91" s="1480" t="s">
        <v>1371</v>
      </c>
      <c r="G91" s="1480"/>
      <c r="H91" s="1480"/>
      <c r="I91" s="1480"/>
      <c r="J91" s="1480"/>
      <c r="K91" s="1480"/>
      <c r="L91" s="1481"/>
      <c r="M91" s="790"/>
      <c r="N91" s="790"/>
      <c r="O91" s="790"/>
      <c r="P91" s="790"/>
      <c r="Q91" s="797"/>
    </row>
    <row r="92" spans="1:17" ht="15" customHeight="1">
      <c r="A92" s="706"/>
      <c r="B92" s="883" t="s">
        <v>1077</v>
      </c>
      <c r="C92" s="706"/>
      <c r="D92" s="870"/>
      <c r="E92" s="706"/>
      <c r="F92" s="1480"/>
      <c r="G92" s="1480"/>
      <c r="H92" s="1480"/>
      <c r="I92" s="1480"/>
      <c r="J92" s="1480"/>
      <c r="K92" s="1480"/>
      <c r="L92" s="1481"/>
      <c r="M92" s="790"/>
      <c r="N92" s="790"/>
      <c r="O92" s="790"/>
      <c r="P92" s="790"/>
      <c r="Q92" s="797"/>
    </row>
    <row r="93" spans="1:17" ht="15" customHeight="1">
      <c r="B93" s="868" t="s">
        <v>1076</v>
      </c>
      <c r="C93" s="706"/>
      <c r="D93" s="888">
        <f>G54+D65+D70</f>
        <v>25011.872489200734</v>
      </c>
      <c r="E93" s="706" t="s">
        <v>1007</v>
      </c>
      <c r="F93" s="4" t="s">
        <v>1080</v>
      </c>
      <c r="G93" s="706"/>
      <c r="H93" s="706"/>
      <c r="I93" s="706"/>
      <c r="J93" s="706"/>
      <c r="K93" s="706"/>
      <c r="L93" s="882"/>
      <c r="M93" s="790"/>
      <c r="N93" s="790"/>
      <c r="O93" s="790"/>
      <c r="P93" s="790"/>
      <c r="Q93" s="797"/>
    </row>
    <row r="94" spans="1:17" ht="15" customHeight="1">
      <c r="B94" s="868"/>
      <c r="C94" s="706"/>
      <c r="D94" s="706"/>
      <c r="E94" s="706"/>
      <c r="F94" s="706"/>
      <c r="G94" s="706"/>
      <c r="H94" s="706"/>
      <c r="I94" s="706"/>
      <c r="J94" s="706"/>
      <c r="K94" s="706"/>
      <c r="L94" s="882"/>
      <c r="M94" s="790"/>
      <c r="N94" s="790"/>
      <c r="O94" s="790"/>
      <c r="P94" s="790"/>
      <c r="Q94" s="797"/>
    </row>
    <row r="95" spans="1:17" ht="15" customHeight="1">
      <c r="B95" s="868" t="s">
        <v>1078</v>
      </c>
      <c r="C95" s="706"/>
      <c r="D95" s="889" t="str">
        <f>IF(D93&lt;D90, "Yes", "No")</f>
        <v>No</v>
      </c>
      <c r="E95" s="706"/>
      <c r="F95" s="706"/>
      <c r="G95" s="706"/>
      <c r="H95" s="706"/>
      <c r="I95" s="706"/>
      <c r="J95" s="706"/>
      <c r="K95" s="706"/>
      <c r="L95" s="882"/>
      <c r="M95" s="790"/>
      <c r="N95" s="790"/>
      <c r="O95" s="790"/>
      <c r="P95" s="790"/>
      <c r="Q95" s="797"/>
    </row>
    <row r="96" spans="1:17" ht="15" customHeight="1">
      <c r="B96" s="868"/>
      <c r="C96" s="706"/>
      <c r="D96" s="812"/>
      <c r="E96" s="706"/>
      <c r="F96" s="706"/>
      <c r="G96" s="706"/>
      <c r="H96" s="706"/>
      <c r="I96" s="706"/>
      <c r="J96" s="706"/>
      <c r="K96" s="706"/>
      <c r="L96" s="882"/>
      <c r="M96" s="790"/>
      <c r="N96" s="790"/>
      <c r="O96" s="790"/>
      <c r="P96" s="790"/>
      <c r="Q96" s="797"/>
    </row>
    <row r="97" spans="1:18" ht="15" customHeight="1">
      <c r="B97" s="868" t="s">
        <v>1079</v>
      </c>
      <c r="C97" s="706"/>
      <c r="D97" s="888">
        <f>IF(D93&lt;D90,"N/A",(D93-D90))</f>
        <v>24990.110489200735</v>
      </c>
      <c r="E97" s="706" t="s">
        <v>1007</v>
      </c>
      <c r="F97" s="706"/>
      <c r="G97" s="706"/>
      <c r="H97" s="706"/>
      <c r="I97" s="706"/>
      <c r="J97" s="706"/>
      <c r="K97" s="706"/>
      <c r="L97" s="882"/>
      <c r="M97" s="790"/>
      <c r="N97" s="790"/>
      <c r="O97" s="790"/>
      <c r="P97" s="790"/>
      <c r="Q97" s="797"/>
    </row>
    <row r="98" spans="1:18" ht="15" customHeight="1" thickBot="1">
      <c r="B98" s="873"/>
      <c r="C98" s="869"/>
      <c r="D98" s="874"/>
      <c r="E98" s="869"/>
      <c r="F98" s="869"/>
      <c r="G98" s="869"/>
      <c r="H98" s="869"/>
      <c r="I98" s="869"/>
      <c r="J98" s="869"/>
      <c r="K98" s="869"/>
      <c r="L98" s="884"/>
      <c r="M98" s="790"/>
      <c r="N98" s="790"/>
      <c r="O98" s="790"/>
      <c r="P98" s="790"/>
      <c r="Q98" s="797"/>
    </row>
    <row r="99" spans="1:18" ht="15" customHeight="1">
      <c r="B99" s="706"/>
      <c r="C99" s="706"/>
      <c r="D99" s="870"/>
      <c r="E99" s="706"/>
      <c r="F99" s="706"/>
      <c r="G99" s="706"/>
      <c r="H99" s="706"/>
      <c r="I99" s="706"/>
      <c r="J99" s="706"/>
      <c r="K99" s="706"/>
      <c r="L99" s="688"/>
      <c r="M99" s="790"/>
      <c r="N99" s="790"/>
      <c r="O99" s="790"/>
      <c r="P99" s="790"/>
      <c r="Q99" s="797"/>
    </row>
    <row r="100" spans="1:18" ht="15" customHeight="1">
      <c r="B100" s="1479" t="s">
        <v>1075</v>
      </c>
      <c r="C100" s="1479"/>
      <c r="D100" s="1479"/>
      <c r="E100" s="706"/>
      <c r="M100" s="790"/>
      <c r="N100" s="790"/>
      <c r="O100" s="790"/>
      <c r="P100" s="790"/>
      <c r="Q100" s="797"/>
    </row>
    <row r="101" spans="1:18" s="1053" customFormat="1" ht="15" customHeight="1">
      <c r="B101" s="1063"/>
      <c r="C101" s="1063"/>
      <c r="D101" s="1063"/>
      <c r="E101" s="1054"/>
      <c r="L101" s="1050"/>
      <c r="M101" s="1035"/>
      <c r="N101" s="1035"/>
      <c r="O101" s="1035"/>
      <c r="P101" s="1035"/>
      <c r="Q101" s="1041"/>
      <c r="R101" s="1054"/>
    </row>
    <row r="102" spans="1:18" ht="15" customHeight="1">
      <c r="B102" s="816"/>
      <c r="C102" s="794"/>
      <c r="D102" s="795"/>
      <c r="E102" s="794"/>
      <c r="F102" s="797"/>
      <c r="G102" s="802"/>
      <c r="H102" s="802"/>
      <c r="L102" s="709"/>
      <c r="M102" s="795"/>
      <c r="N102" s="797"/>
      <c r="O102" s="790"/>
      <c r="P102" s="790"/>
      <c r="Q102" s="797"/>
    </row>
    <row r="103" spans="1:18" s="517" customFormat="1" ht="18.75">
      <c r="B103" s="1427" t="s">
        <v>1118</v>
      </c>
      <c r="C103" s="1427"/>
      <c r="D103" s="1427"/>
      <c r="E103" s="1427"/>
      <c r="F103" s="1427"/>
      <c r="G103" s="1427"/>
      <c r="H103" s="574"/>
      <c r="I103" s="574"/>
      <c r="J103" s="574"/>
      <c r="K103" s="574"/>
      <c r="L103" s="574"/>
    </row>
    <row r="104" spans="1:18">
      <c r="B104" s="710"/>
      <c r="C104" s="711"/>
      <c r="D104" s="712"/>
      <c r="E104" s="711"/>
      <c r="F104" s="713"/>
      <c r="G104" s="714"/>
      <c r="H104" s="715"/>
      <c r="I104" s="716"/>
      <c r="J104" s="711"/>
      <c r="K104" s="714"/>
    </row>
    <row r="105" spans="1:18">
      <c r="C105" s="717"/>
      <c r="D105" s="706"/>
      <c r="E105" s="708"/>
      <c r="F105" s="708"/>
      <c r="G105" s="708"/>
      <c r="H105" s="718"/>
      <c r="I105" s="718"/>
      <c r="J105" s="718"/>
      <c r="K105" s="708"/>
    </row>
    <row r="106" spans="1:18" ht="16.5" customHeight="1">
      <c r="A106" s="719"/>
    </row>
    <row r="107" spans="1:18" ht="26.25" customHeight="1">
      <c r="A107" s="719"/>
      <c r="C107" s="720"/>
      <c r="D107" s="710"/>
      <c r="E107" s="710"/>
      <c r="F107" s="710"/>
      <c r="G107" s="710"/>
      <c r="H107" s="721"/>
      <c r="I107" s="722"/>
      <c r="J107" s="723"/>
    </row>
    <row r="108" spans="1:18">
      <c r="A108" s="724"/>
      <c r="B108" s="729"/>
      <c r="C108" s="725"/>
      <c r="D108" s="726"/>
      <c r="E108" s="727"/>
      <c r="F108" s="728"/>
      <c r="G108" s="726"/>
      <c r="H108" s="729"/>
      <c r="I108" s="729"/>
      <c r="J108" s="729"/>
    </row>
    <row r="109" spans="1:18">
      <c r="A109" s="724"/>
      <c r="B109" s="725"/>
      <c r="C109" s="725"/>
      <c r="D109" s="726"/>
      <c r="E109" s="726"/>
      <c r="F109" s="726"/>
      <c r="G109" s="726"/>
      <c r="H109" s="729"/>
      <c r="I109" s="730"/>
      <c r="J109" s="730"/>
    </row>
    <row r="110" spans="1:18">
      <c r="A110" s="731"/>
      <c r="B110" s="729"/>
      <c r="C110" s="729"/>
      <c r="D110" s="726"/>
      <c r="E110" s="727"/>
      <c r="F110" s="727"/>
      <c r="G110" s="726"/>
      <c r="H110" s="729"/>
      <c r="I110" s="729"/>
      <c r="J110" s="729"/>
    </row>
    <row r="111" spans="1:18">
      <c r="A111" s="731"/>
      <c r="B111" s="725"/>
      <c r="C111" s="729"/>
      <c r="D111" s="729"/>
      <c r="E111" s="726"/>
      <c r="F111" s="726"/>
      <c r="G111" s="726"/>
      <c r="H111" s="732"/>
      <c r="I111" s="730"/>
      <c r="J111" s="730"/>
    </row>
    <row r="112" spans="1:18">
      <c r="A112" s="731"/>
      <c r="B112" s="725"/>
      <c r="C112" s="729"/>
      <c r="D112" s="729"/>
      <c r="E112" s="726"/>
      <c r="F112" s="726"/>
      <c r="G112" s="726"/>
      <c r="H112" s="732"/>
      <c r="I112" s="729"/>
      <c r="J112" s="729"/>
    </row>
    <row r="113" spans="1:10">
      <c r="A113" s="733"/>
      <c r="B113" s="725"/>
      <c r="C113" s="725"/>
      <c r="D113" s="729"/>
      <c r="E113" s="726"/>
      <c r="F113" s="726"/>
      <c r="G113" s="726"/>
      <c r="H113" s="732"/>
      <c r="I113" s="729"/>
      <c r="J113" s="729"/>
    </row>
    <row r="114" spans="1:10" ht="13.5" customHeight="1">
      <c r="A114" s="733"/>
      <c r="B114" s="725"/>
      <c r="C114" s="729"/>
      <c r="D114" s="729"/>
      <c r="E114" s="726"/>
      <c r="F114" s="726"/>
      <c r="G114" s="726"/>
      <c r="H114" s="732"/>
      <c r="I114" s="729"/>
      <c r="J114" s="729"/>
    </row>
    <row r="115" spans="1:10" ht="14.25" customHeight="1">
      <c r="A115" s="724"/>
      <c r="B115" s="1474"/>
      <c r="C115" s="1474"/>
      <c r="D115" s="1474"/>
      <c r="E115" s="1474"/>
      <c r="F115" s="1474"/>
      <c r="G115" s="1474"/>
      <c r="H115" s="1474"/>
      <c r="I115" s="1474"/>
      <c r="J115" s="1474"/>
    </row>
    <row r="116" spans="1:10">
      <c r="A116" s="724"/>
      <c r="B116" s="725"/>
      <c r="C116" s="729"/>
      <c r="D116" s="729"/>
      <c r="E116" s="726"/>
      <c r="F116" s="726"/>
      <c r="G116" s="726"/>
      <c r="H116" s="732"/>
      <c r="I116" s="729"/>
      <c r="J116" s="729"/>
    </row>
    <row r="117" spans="1:10">
      <c r="A117" s="724"/>
      <c r="B117" s="1474"/>
      <c r="C117" s="1474"/>
      <c r="D117" s="1474"/>
      <c r="E117" s="1474"/>
      <c r="F117" s="1474"/>
      <c r="G117" s="1474"/>
      <c r="H117" s="1474"/>
      <c r="I117" s="1474"/>
      <c r="J117" s="1474"/>
    </row>
    <row r="118" spans="1:10">
      <c r="A118" s="724"/>
      <c r="B118" s="725"/>
      <c r="C118" s="734"/>
      <c r="D118" s="734"/>
      <c r="E118" s="734"/>
      <c r="F118" s="734"/>
      <c r="G118" s="734"/>
      <c r="H118" s="734"/>
      <c r="I118" s="734"/>
      <c r="J118" s="734"/>
    </row>
    <row r="120" spans="1:10" ht="15.75" customHeight="1">
      <c r="A120" s="735"/>
    </row>
    <row r="121" spans="1:10">
      <c r="A121" s="725"/>
      <c r="B121" s="729"/>
      <c r="C121" s="729"/>
      <c r="D121" s="729"/>
      <c r="E121" s="729"/>
      <c r="F121" s="729"/>
      <c r="G121" s="729"/>
      <c r="H121" s="729"/>
      <c r="I121" s="729"/>
    </row>
    <row r="122" spans="1:10">
      <c r="A122" s="725"/>
      <c r="B122" s="729"/>
      <c r="C122" s="729"/>
      <c r="D122" s="729"/>
      <c r="E122" s="729"/>
      <c r="F122" s="729"/>
      <c r="G122" s="729"/>
      <c r="H122" s="729"/>
      <c r="I122" s="729"/>
    </row>
    <row r="123" spans="1:10">
      <c r="A123" s="1474"/>
      <c r="B123" s="1475"/>
      <c r="C123" s="1475"/>
      <c r="D123" s="1475"/>
      <c r="E123" s="1475"/>
      <c r="F123" s="1475"/>
      <c r="G123" s="1475"/>
      <c r="H123" s="1475"/>
      <c r="I123" s="1475"/>
      <c r="J123" s="722"/>
    </row>
    <row r="124" spans="1:10">
      <c r="A124" s="1474"/>
      <c r="B124" s="1475"/>
      <c r="C124" s="1475"/>
      <c r="D124" s="1475"/>
      <c r="E124" s="1475"/>
      <c r="F124" s="1475"/>
      <c r="G124" s="1475"/>
      <c r="H124" s="1475"/>
      <c r="I124" s="1475"/>
    </row>
    <row r="126" spans="1:10">
      <c r="A126" s="720"/>
      <c r="C126" s="720"/>
      <c r="D126" s="710"/>
      <c r="E126" s="710"/>
      <c r="F126" s="710"/>
      <c r="G126" s="710"/>
    </row>
  </sheetData>
  <sheetProtection selectLockedCells="1"/>
  <mergeCells count="15">
    <mergeCell ref="B8:E11"/>
    <mergeCell ref="I25:M26"/>
    <mergeCell ref="I29:M31"/>
    <mergeCell ref="I34:M37"/>
    <mergeCell ref="L17:P17"/>
    <mergeCell ref="B117:J117"/>
    <mergeCell ref="A123:I123"/>
    <mergeCell ref="A124:I124"/>
    <mergeCell ref="F40:H40"/>
    <mergeCell ref="B115:J115"/>
    <mergeCell ref="B79:I81"/>
    <mergeCell ref="B84:I85"/>
    <mergeCell ref="B100:D100"/>
    <mergeCell ref="B103:G103"/>
    <mergeCell ref="F91:L92"/>
  </mergeCells>
  <hyperlinks>
    <hyperlink ref="B100" r:id="rId1"/>
    <hyperlink ref="L17" r:id="rId2"/>
  </hyperlinks>
  <pageMargins left="0.5" right="0.5" top="0.35" bottom="0.4" header="0.35" footer="0.4"/>
  <pageSetup paperSize="3" scale="53" fitToHeight="0" orientation="portrait" r:id="rId3"/>
  <headerFooter alignWithMargins="0">
    <oddFooter>&amp;L&amp;8November 2010 Version</oddFooter>
  </headerFooter>
  <rowBreaks count="1" manualBreakCount="1">
    <brk id="105" max="10" man="1"/>
  </rowBreaks>
  <drawing r:id="rId4"/>
</worksheet>
</file>

<file path=xl/worksheets/sheet6.xml><?xml version="1.0" encoding="utf-8"?>
<worksheet xmlns="http://schemas.openxmlformats.org/spreadsheetml/2006/main" xmlns:r="http://schemas.openxmlformats.org/officeDocument/2006/relationships">
  <sheetPr>
    <pageSetUpPr fitToPage="1"/>
  </sheetPr>
  <dimension ref="A1:X76"/>
  <sheetViews>
    <sheetView zoomScale="87" zoomScaleNormal="87" zoomScaleSheetLayoutView="50" workbookViewId="0">
      <selection activeCell="A6" sqref="A6"/>
    </sheetView>
  </sheetViews>
  <sheetFormatPr defaultColWidth="8.85546875" defaultRowHeight="12.75"/>
  <cols>
    <col min="1" max="1" width="2.7109375" style="948" customWidth="1"/>
    <col min="2" max="2" width="44.85546875" style="948" customWidth="1"/>
    <col min="3" max="7" width="14.7109375" style="948" customWidth="1"/>
    <col min="8" max="8" width="15.140625" style="948" customWidth="1"/>
    <col min="9" max="9" width="18.42578125" style="948" customWidth="1"/>
    <col min="10" max="11" width="14.28515625" style="948" customWidth="1"/>
    <col min="12" max="12" width="16.7109375" style="948" hidden="1" customWidth="1"/>
    <col min="13" max="13" width="17.42578125" style="948" hidden="1" customWidth="1"/>
    <col min="14" max="14" width="11" style="948" hidden="1" customWidth="1"/>
    <col min="15" max="15" width="9.140625" style="948" hidden="1" customWidth="1"/>
    <col min="16" max="17" width="8.85546875" style="948" hidden="1" customWidth="1"/>
    <col min="18" max="18" width="9.140625" style="948" hidden="1" customWidth="1"/>
    <col min="19" max="20" width="8.85546875" style="948" hidden="1" customWidth="1"/>
    <col min="21" max="21" width="10.28515625" style="948" customWidth="1"/>
    <col min="22" max="22" width="13" style="948" customWidth="1"/>
    <col min="23" max="23" width="8.85546875" style="948" customWidth="1"/>
    <col min="24" max="16384" width="8.85546875" style="948"/>
  </cols>
  <sheetData>
    <row r="1" spans="1:24" s="630" customFormat="1" ht="26.25">
      <c r="A1" s="628" t="s">
        <v>867</v>
      </c>
      <c r="B1" s="629"/>
      <c r="J1" s="629"/>
      <c r="K1" s="629"/>
    </row>
    <row r="2" spans="1:24" s="634" customFormat="1" ht="23.25">
      <c r="A2" s="1160" t="s">
        <v>1267</v>
      </c>
      <c r="B2" s="633"/>
      <c r="J2" s="633"/>
      <c r="K2" s="633"/>
    </row>
    <row r="3" spans="1:24" s="957" customFormat="1" ht="15">
      <c r="B3" s="937"/>
      <c r="J3" s="937"/>
      <c r="K3" s="937"/>
    </row>
    <row r="4" spans="1:24" s="1035" customFormat="1" ht="15">
      <c r="B4" s="892" t="s">
        <v>869</v>
      </c>
      <c r="F4" s="939" t="s">
        <v>868</v>
      </c>
      <c r="G4" s="937"/>
      <c r="H4" s="957"/>
      <c r="J4" s="1034"/>
      <c r="K4" s="1034"/>
    </row>
    <row r="5" spans="1:24" s="1035" customFormat="1" ht="15">
      <c r="B5" s="893" t="str">
        <f>'1. Building Information'!$C$13</f>
        <v>ABC Building</v>
      </c>
      <c r="F5" s="970" t="s">
        <v>1091</v>
      </c>
      <c r="G5" s="917"/>
      <c r="H5" s="1367"/>
      <c r="J5" s="1034"/>
      <c r="K5" s="1034"/>
    </row>
    <row r="6" spans="1:24" s="1035" customFormat="1" ht="15">
      <c r="B6" s="891"/>
      <c r="F6" s="919" t="s">
        <v>964</v>
      </c>
      <c r="G6" s="897"/>
      <c r="H6" s="796"/>
      <c r="J6" s="1034"/>
      <c r="K6" s="1034"/>
    </row>
    <row r="7" spans="1:24" s="800" customFormat="1" ht="15">
      <c r="B7" s="944" t="s">
        <v>908</v>
      </c>
      <c r="C7" s="961"/>
      <c r="D7" s="961"/>
      <c r="E7" s="961"/>
      <c r="F7" s="972" t="s">
        <v>960</v>
      </c>
      <c r="G7" s="973"/>
      <c r="H7" s="974"/>
      <c r="I7" s="961"/>
      <c r="J7" s="803"/>
      <c r="K7" s="803"/>
    </row>
    <row r="8" spans="1:24" s="957" customFormat="1" ht="15">
      <c r="B8" s="1442" t="s">
        <v>1266</v>
      </c>
      <c r="C8" s="1442"/>
      <c r="D8" s="1442"/>
      <c r="E8" s="937"/>
      <c r="F8" s="919" t="s">
        <v>961</v>
      </c>
      <c r="G8" s="975"/>
      <c r="H8" s="894"/>
      <c r="I8" s="937"/>
      <c r="J8" s="937"/>
      <c r="K8" s="961"/>
      <c r="L8" s="961"/>
    </row>
    <row r="9" spans="1:24" s="957" customFormat="1" ht="15">
      <c r="B9" s="1442"/>
      <c r="C9" s="1442"/>
      <c r="D9" s="1442"/>
      <c r="K9" s="961"/>
    </row>
    <row r="10" spans="1:24" s="957" customFormat="1" ht="15">
      <c r="B10" s="958"/>
      <c r="C10" s="961"/>
      <c r="D10" s="961"/>
      <c r="E10" s="961"/>
      <c r="F10" s="961"/>
      <c r="G10" s="961"/>
      <c r="H10" s="961"/>
      <c r="I10" s="961"/>
      <c r="J10" s="937"/>
      <c r="K10" s="937"/>
    </row>
    <row r="11" spans="1:24" s="940" customFormat="1" ht="15.75">
      <c r="B11" s="1158" t="s">
        <v>1264</v>
      </c>
      <c r="C11" s="941"/>
      <c r="D11" s="942"/>
      <c r="E11" s="942"/>
      <c r="F11" s="942"/>
      <c r="G11" s="942"/>
      <c r="H11" s="942"/>
      <c r="I11" s="942"/>
      <c r="J11" s="942"/>
      <c r="K11" s="942"/>
      <c r="L11" s="942"/>
      <c r="M11" s="942"/>
      <c r="N11" s="942"/>
      <c r="O11" s="942"/>
      <c r="Q11" s="943"/>
      <c r="R11" s="943"/>
      <c r="S11" s="943"/>
      <c r="T11" s="943"/>
      <c r="U11" s="943"/>
      <c r="V11" s="943"/>
      <c r="W11" s="943"/>
      <c r="X11" s="943"/>
    </row>
    <row r="12" spans="1:24" s="945" customFormat="1" ht="15.75">
      <c r="B12" s="901" t="s">
        <v>1096</v>
      </c>
      <c r="C12" s="946"/>
      <c r="D12" s="947"/>
      <c r="E12" s="947"/>
      <c r="F12" s="947"/>
      <c r="G12" s="947"/>
      <c r="H12" s="947"/>
      <c r="I12" s="947"/>
      <c r="J12" s="947"/>
      <c r="K12" s="947"/>
      <c r="L12" s="947"/>
      <c r="M12" s="947"/>
      <c r="N12" s="947"/>
      <c r="O12" s="947"/>
      <c r="Q12" s="966"/>
      <c r="R12" s="966"/>
      <c r="S12" s="966"/>
      <c r="T12" s="966"/>
      <c r="U12" s="966"/>
      <c r="V12" s="966"/>
      <c r="W12" s="966"/>
      <c r="X12" s="966"/>
    </row>
    <row r="13" spans="1:24" s="945" customFormat="1" ht="15.75">
      <c r="B13" s="902" t="s">
        <v>1399</v>
      </c>
      <c r="C13" s="946"/>
      <c r="D13" s="947"/>
      <c r="E13" s="947"/>
      <c r="F13" s="947"/>
      <c r="G13" s="947"/>
      <c r="H13" s="947"/>
      <c r="I13" s="947"/>
      <c r="J13" s="947"/>
      <c r="K13" s="947"/>
      <c r="L13" s="947"/>
      <c r="M13" s="947"/>
      <c r="N13" s="947"/>
      <c r="O13" s="947"/>
      <c r="Q13" s="966"/>
      <c r="R13" s="966"/>
      <c r="S13" s="966"/>
      <c r="T13" s="966"/>
      <c r="U13" s="966"/>
      <c r="V13" s="966"/>
      <c r="W13" s="966"/>
      <c r="X13" s="966"/>
    </row>
    <row r="14" spans="1:24" s="945" customFormat="1" ht="15.75">
      <c r="B14" s="954"/>
      <c r="C14" s="946"/>
      <c r="D14" s="947"/>
      <c r="E14" s="947"/>
      <c r="F14" s="947"/>
      <c r="G14" s="947"/>
      <c r="H14" s="947"/>
      <c r="I14" s="947"/>
      <c r="J14" s="947"/>
      <c r="K14" s="947"/>
      <c r="L14" s="947"/>
      <c r="M14" s="947"/>
      <c r="N14" s="947"/>
      <c r="O14" s="947"/>
      <c r="Q14" s="966"/>
      <c r="R14" s="966"/>
      <c r="S14" s="966"/>
      <c r="T14" s="966"/>
      <c r="U14" s="966"/>
      <c r="V14" s="966"/>
      <c r="W14" s="966"/>
      <c r="X14" s="966"/>
    </row>
    <row r="15" spans="1:24" s="945" customFormat="1" ht="18">
      <c r="B15" s="1079" t="str">
        <f>'1. Building Information'!B100</f>
        <v>Roof (Conventional)</v>
      </c>
      <c r="C15" s="953">
        <f>'1. Building Information'!C100</f>
        <v>1</v>
      </c>
      <c r="D15" s="1071" t="s">
        <v>1150</v>
      </c>
      <c r="E15" s="1026"/>
      <c r="F15" s="947"/>
      <c r="G15" s="947"/>
      <c r="H15" s="947"/>
      <c r="I15" s="947"/>
      <c r="J15" s="947"/>
      <c r="K15" s="947"/>
      <c r="L15" s="947"/>
      <c r="M15" s="947"/>
      <c r="N15" s="947"/>
      <c r="O15" s="947"/>
      <c r="Q15" s="966"/>
      <c r="R15" s="966"/>
      <c r="S15" s="966"/>
      <c r="T15" s="966"/>
      <c r="U15" s="966"/>
      <c r="V15" s="966"/>
      <c r="W15" s="966"/>
      <c r="X15" s="966"/>
    </row>
    <row r="16" spans="1:24" s="1046" customFormat="1" ht="15.75">
      <c r="B16" s="1072" t="s">
        <v>1147</v>
      </c>
      <c r="C16" s="1381">
        <v>0.85</v>
      </c>
      <c r="D16" s="1071" t="s">
        <v>1400</v>
      </c>
      <c r="E16" s="1047"/>
      <c r="F16" s="1047"/>
      <c r="G16" s="1047"/>
      <c r="H16" s="1047"/>
      <c r="I16" s="1047"/>
      <c r="J16" s="1047"/>
      <c r="K16" s="1047"/>
      <c r="L16" s="1047"/>
      <c r="M16" s="1047"/>
      <c r="N16" s="1047"/>
      <c r="O16" s="1047"/>
      <c r="Q16" s="1051"/>
      <c r="R16" s="1051"/>
      <c r="S16" s="1051"/>
      <c r="T16" s="1051"/>
      <c r="U16" s="1051"/>
      <c r="V16" s="1051"/>
      <c r="W16" s="1051"/>
      <c r="X16" s="1051"/>
    </row>
    <row r="17" spans="1:24" s="1046" customFormat="1" ht="18">
      <c r="B17" s="1079" t="str">
        <f>'1. Building Information'!B101</f>
        <v>Other &lt;Please Specify&gt;</v>
      </c>
      <c r="C17" s="953">
        <f>'1. Building Information'!C101</f>
        <v>0</v>
      </c>
      <c r="D17" s="1071" t="s">
        <v>1150</v>
      </c>
      <c r="E17" s="1047"/>
      <c r="F17" s="1047"/>
      <c r="G17" s="1047"/>
      <c r="H17" s="1047"/>
      <c r="I17" s="1047"/>
      <c r="J17" s="1047"/>
      <c r="K17" s="1047"/>
      <c r="L17" s="1047"/>
      <c r="M17" s="1047"/>
      <c r="N17" s="1047"/>
      <c r="O17" s="1047"/>
      <c r="Q17" s="1051"/>
      <c r="R17" s="1051"/>
      <c r="S17" s="1051"/>
      <c r="T17" s="1051"/>
      <c r="U17" s="1051"/>
      <c r="V17" s="1051"/>
      <c r="W17" s="1051"/>
      <c r="X17" s="1051"/>
    </row>
    <row r="18" spans="1:24" s="945" customFormat="1" ht="15.75">
      <c r="B18" s="1073" t="s">
        <v>1151</v>
      </c>
      <c r="C18" s="1382">
        <v>0.7</v>
      </c>
      <c r="D18" s="1391" t="s">
        <v>1401</v>
      </c>
      <c r="E18" s="1026"/>
      <c r="F18" s="947"/>
      <c r="G18" s="947"/>
      <c r="H18" s="947"/>
      <c r="I18" s="947"/>
      <c r="J18" s="947"/>
      <c r="K18" s="947"/>
      <c r="L18" s="947"/>
      <c r="M18" s="947"/>
      <c r="N18" s="947"/>
      <c r="O18" s="947"/>
      <c r="Q18" s="966"/>
      <c r="R18" s="966"/>
      <c r="S18" s="966"/>
      <c r="T18" s="966"/>
      <c r="U18" s="966"/>
      <c r="V18" s="966"/>
      <c r="W18" s="966"/>
      <c r="X18" s="966"/>
    </row>
    <row r="19" spans="1:24" s="1046" customFormat="1" ht="18">
      <c r="B19" s="1080" t="s">
        <v>1152</v>
      </c>
      <c r="C19" s="1081">
        <f>C15+C17</f>
        <v>1</v>
      </c>
      <c r="D19" s="1071" t="s">
        <v>1150</v>
      </c>
      <c r="E19" s="1047"/>
      <c r="F19" s="1047"/>
      <c r="G19" s="1047"/>
      <c r="H19" s="1047"/>
      <c r="I19" s="1047"/>
      <c r="J19" s="1047"/>
      <c r="K19" s="1047"/>
      <c r="L19" s="1047"/>
      <c r="M19" s="1047"/>
      <c r="N19" s="1047"/>
      <c r="O19" s="1047"/>
      <c r="Q19" s="1051"/>
      <c r="R19" s="1051"/>
      <c r="S19" s="1051"/>
      <c r="T19" s="1051"/>
      <c r="U19" s="1051"/>
      <c r="V19" s="1051"/>
      <c r="W19" s="1051"/>
      <c r="X19" s="1051"/>
    </row>
    <row r="20" spans="1:24" s="1046" customFormat="1" ht="15.75">
      <c r="B20" s="1073" t="s">
        <v>981</v>
      </c>
      <c r="C20" s="1374">
        <f>IF(C19&gt;0,(C15*C16+C17*C18)/C19,0)</f>
        <v>0.85</v>
      </c>
      <c r="D20" s="1071"/>
      <c r="E20" s="1047"/>
      <c r="F20" s="1047"/>
      <c r="G20" s="1047"/>
      <c r="H20" s="1047"/>
      <c r="I20" s="1047"/>
      <c r="J20" s="1047"/>
      <c r="K20" s="1047"/>
      <c r="L20" s="1047"/>
      <c r="M20" s="1047"/>
      <c r="N20" s="1047"/>
      <c r="O20" s="1047"/>
      <c r="Q20" s="1051"/>
      <c r="R20" s="1051"/>
      <c r="S20" s="1051"/>
      <c r="T20" s="1051"/>
      <c r="U20" s="1051"/>
      <c r="V20" s="1051"/>
      <c r="W20" s="1051"/>
      <c r="X20" s="1051"/>
    </row>
    <row r="21" spans="1:24" s="1046" customFormat="1" ht="15.75">
      <c r="B21" s="1095"/>
      <c r="C21" s="1092"/>
      <c r="D21" s="1071"/>
      <c r="E21" s="1047"/>
      <c r="F21" s="1047"/>
      <c r="G21" s="1047"/>
      <c r="H21" s="1047"/>
      <c r="I21" s="1047"/>
      <c r="J21" s="1047"/>
      <c r="K21" s="1047"/>
      <c r="L21" s="1047"/>
      <c r="M21" s="1047"/>
      <c r="N21" s="1047"/>
      <c r="O21" s="1047"/>
      <c r="Q21" s="1051"/>
      <c r="R21" s="1051"/>
      <c r="S21" s="1051"/>
      <c r="T21" s="1051"/>
      <c r="U21" s="1051"/>
      <c r="V21" s="1051"/>
      <c r="W21" s="1051"/>
      <c r="X21" s="1051"/>
    </row>
    <row r="22" spans="1:24" s="1046" customFormat="1" ht="15.75">
      <c r="B22" s="1093" t="s">
        <v>1154</v>
      </c>
      <c r="C22" s="1094">
        <v>0.8</v>
      </c>
      <c r="D22" s="1391" t="s">
        <v>1401</v>
      </c>
      <c r="E22" s="1047"/>
      <c r="F22" s="1047"/>
      <c r="G22" s="1047"/>
      <c r="H22" s="1047"/>
      <c r="I22" s="1047"/>
      <c r="J22" s="1047"/>
      <c r="K22" s="1047"/>
      <c r="L22" s="1047"/>
      <c r="M22" s="1047"/>
      <c r="N22" s="1047"/>
      <c r="O22" s="1047"/>
      <c r="Q22" s="1051"/>
      <c r="R22" s="1051"/>
      <c r="S22" s="1051"/>
      <c r="T22" s="1051"/>
      <c r="U22" s="1051"/>
      <c r="V22" s="1051"/>
      <c r="W22" s="1051"/>
      <c r="X22" s="1051"/>
    </row>
    <row r="23" spans="1:24" s="945" customFormat="1" ht="15.75">
      <c r="B23" s="954"/>
      <c r="C23" s="1029"/>
      <c r="D23" s="1026"/>
      <c r="E23" s="1026"/>
      <c r="F23" s="947"/>
      <c r="G23" s="947"/>
      <c r="H23" s="947"/>
      <c r="I23" s="947"/>
      <c r="J23" s="947"/>
      <c r="K23" s="947"/>
      <c r="L23" s="947"/>
      <c r="M23" s="947"/>
      <c r="N23" s="947"/>
      <c r="O23" s="947"/>
      <c r="Q23" s="966"/>
      <c r="R23" s="966"/>
      <c r="S23" s="966"/>
      <c r="T23" s="966"/>
      <c r="U23" s="966"/>
      <c r="V23" s="966"/>
      <c r="W23" s="966"/>
      <c r="X23" s="966"/>
    </row>
    <row r="24" spans="1:24" s="1022" customFormat="1" ht="30">
      <c r="B24" s="1064" t="s">
        <v>585</v>
      </c>
      <c r="C24" s="1042" t="s">
        <v>972</v>
      </c>
      <c r="D24" s="1042" t="s">
        <v>1149</v>
      </c>
      <c r="E24" s="1485" t="s">
        <v>1155</v>
      </c>
      <c r="F24" s="1486"/>
      <c r="G24" s="1031"/>
      <c r="H24" s="1031"/>
      <c r="I24" s="1031"/>
      <c r="J24" s="1031"/>
      <c r="K24" s="1031"/>
      <c r="L24" s="1031"/>
      <c r="M24" s="1031"/>
      <c r="N24" s="1031"/>
      <c r="O24" s="1031"/>
      <c r="Q24" s="1025"/>
      <c r="R24" s="1025"/>
      <c r="S24" s="1025"/>
      <c r="T24" s="1025"/>
      <c r="U24" s="1025"/>
      <c r="V24" s="1025"/>
      <c r="W24" s="1025"/>
      <c r="X24" s="1025"/>
    </row>
    <row r="25" spans="1:24" s="1022" customFormat="1" ht="15.75">
      <c r="B25" s="1065"/>
      <c r="C25" s="1061" t="s">
        <v>1148</v>
      </c>
      <c r="D25" s="1061"/>
      <c r="E25" s="1061" t="s">
        <v>168</v>
      </c>
      <c r="F25" s="1086" t="s">
        <v>593</v>
      </c>
      <c r="G25" s="1031"/>
      <c r="H25" s="1031"/>
      <c r="I25" s="1031"/>
      <c r="J25" s="1031"/>
      <c r="K25" s="1031"/>
      <c r="L25" s="1031"/>
      <c r="M25" s="1031"/>
      <c r="N25" s="1031"/>
      <c r="O25" s="1031"/>
      <c r="Q25" s="1025"/>
      <c r="R25" s="1025"/>
      <c r="S25" s="1025"/>
      <c r="T25" s="1025"/>
      <c r="U25" s="1025"/>
      <c r="V25" s="1025"/>
      <c r="W25" s="1025"/>
      <c r="X25" s="1025"/>
    </row>
    <row r="26" spans="1:24" s="1022" customFormat="1" ht="15.75">
      <c r="B26" s="1066" t="s">
        <v>596</v>
      </c>
      <c r="C26" s="1082">
        <f>'Climate Data'!C8</f>
        <v>4.5616000000000003</v>
      </c>
      <c r="D26" s="1068">
        <v>31</v>
      </c>
      <c r="E26" s="1083">
        <f>((C26/12)*$C$19*$C$20)*7.48*$C$22</f>
        <v>1.9335101866666671</v>
      </c>
      <c r="F26" s="1083">
        <f>E26/D26</f>
        <v>6.2371296344086037E-2</v>
      </c>
      <c r="G26" s="1031"/>
      <c r="H26" s="1031"/>
      <c r="I26" s="1031"/>
      <c r="J26" s="1031"/>
      <c r="K26" s="1031"/>
      <c r="L26" s="1031"/>
      <c r="M26" s="1031"/>
      <c r="N26" s="1031"/>
      <c r="O26" s="1031"/>
      <c r="Q26" s="1025"/>
      <c r="R26" s="1025"/>
      <c r="S26" s="1025"/>
      <c r="T26" s="1025"/>
      <c r="U26" s="1025"/>
      <c r="V26" s="1025"/>
      <c r="W26" s="1025"/>
      <c r="X26" s="1025"/>
    </row>
    <row r="27" spans="1:24" s="1022" customFormat="1" ht="15.75">
      <c r="B27" s="1066" t="s">
        <v>597</v>
      </c>
      <c r="C27" s="1082">
        <f>'Climate Data'!C9</f>
        <v>3.8450000000000002</v>
      </c>
      <c r="D27" s="1068">
        <v>28</v>
      </c>
      <c r="E27" s="1083">
        <f t="shared" ref="E27:E37" si="0">((C27/12)*$C$19*$C$20)*7.48*$C$22</f>
        <v>1.6297673333333336</v>
      </c>
      <c r="F27" s="1083">
        <f t="shared" ref="F27:F37" si="1">E27/D27</f>
        <v>5.8205976190476197E-2</v>
      </c>
      <c r="G27" s="1031"/>
      <c r="H27" s="1031"/>
      <c r="I27" s="1031"/>
      <c r="J27" s="1031"/>
      <c r="K27" s="1031"/>
      <c r="L27" s="1031"/>
      <c r="M27" s="1031"/>
      <c r="N27" s="1031"/>
      <c r="O27" s="1031"/>
      <c r="Q27" s="1025"/>
      <c r="R27" s="1025"/>
      <c r="S27" s="1025"/>
      <c r="T27" s="1025"/>
      <c r="U27" s="1025"/>
      <c r="V27" s="1025"/>
      <c r="W27" s="1025"/>
      <c r="X27" s="1025"/>
    </row>
    <row r="28" spans="1:24" s="1022" customFormat="1" ht="15.75">
      <c r="B28" s="1066" t="s">
        <v>598</v>
      </c>
      <c r="C28" s="1082">
        <f>'Climate Data'!C10</f>
        <v>2.9074</v>
      </c>
      <c r="D28" s="1068">
        <v>31</v>
      </c>
      <c r="E28" s="1083">
        <f t="shared" si="0"/>
        <v>1.2323499466666668</v>
      </c>
      <c r="F28" s="1083">
        <f t="shared" si="1"/>
        <v>3.9753224086021506E-2</v>
      </c>
      <c r="G28" s="1031"/>
      <c r="H28" s="1031"/>
      <c r="I28" s="1031"/>
      <c r="J28" s="1031"/>
      <c r="K28" s="1031"/>
      <c r="L28" s="1031"/>
      <c r="M28" s="1031"/>
      <c r="N28" s="1031"/>
      <c r="O28" s="1031"/>
      <c r="Q28" s="1025"/>
      <c r="R28" s="1025"/>
      <c r="S28" s="1025"/>
      <c r="T28" s="1025"/>
      <c r="U28" s="1025"/>
      <c r="V28" s="1025"/>
      <c r="W28" s="1025"/>
      <c r="X28" s="1025"/>
    </row>
    <row r="29" spans="1:24" s="1027" customFormat="1" ht="15">
      <c r="B29" s="1066" t="s">
        <v>599</v>
      </c>
      <c r="C29" s="1082">
        <f>'Climate Data'!C11</f>
        <v>1.4120618556701032</v>
      </c>
      <c r="D29" s="1068">
        <v>30</v>
      </c>
      <c r="E29" s="1083">
        <f t="shared" si="0"/>
        <v>0.59852595189003444</v>
      </c>
      <c r="F29" s="1083">
        <f t="shared" si="1"/>
        <v>1.9950865063001148E-2</v>
      </c>
      <c r="G29" s="1028"/>
      <c r="H29" s="1028"/>
      <c r="I29" s="1028"/>
      <c r="J29" s="1028"/>
      <c r="K29" s="1028"/>
      <c r="L29" s="1028"/>
      <c r="M29" s="1028"/>
      <c r="N29" s="1028"/>
      <c r="O29" s="1028"/>
      <c r="Q29" s="1030"/>
      <c r="R29" s="1030"/>
      <c r="S29" s="1030"/>
      <c r="T29" s="1030"/>
      <c r="U29" s="1030"/>
      <c r="V29" s="1030"/>
      <c r="W29" s="1030"/>
      <c r="X29" s="1030"/>
    </row>
    <row r="30" spans="1:24" s="1030" customFormat="1" ht="15">
      <c r="A30" s="1023"/>
      <c r="B30" s="1066" t="s">
        <v>600</v>
      </c>
      <c r="C30" s="1082">
        <f>'Climate Data'!C12</f>
        <v>0.6282558139534884</v>
      </c>
      <c r="D30" s="1068">
        <v>31</v>
      </c>
      <c r="E30" s="1083">
        <f t="shared" si="0"/>
        <v>0.26629669767441866</v>
      </c>
      <c r="F30" s="1083">
        <f t="shared" si="1"/>
        <v>8.590216054013505E-3</v>
      </c>
      <c r="G30" s="1021"/>
      <c r="H30" s="1023"/>
      <c r="I30" s="1023"/>
      <c r="J30" s="1023"/>
      <c r="K30" s="1021"/>
      <c r="N30" s="1023"/>
      <c r="O30" s="1020"/>
      <c r="P30" s="1023"/>
    </row>
    <row r="31" spans="1:24" s="1030" customFormat="1" ht="15">
      <c r="A31" s="1023"/>
      <c r="B31" s="1066" t="s">
        <v>601</v>
      </c>
      <c r="C31" s="1082">
        <f>'Climate Data'!C13</f>
        <v>0.22030303030303031</v>
      </c>
      <c r="D31" s="1068">
        <v>30</v>
      </c>
      <c r="E31" s="1083">
        <f t="shared" si="0"/>
        <v>9.3379111111111121E-2</v>
      </c>
      <c r="F31" s="1083">
        <f t="shared" si="1"/>
        <v>3.1126370370370372E-3</v>
      </c>
      <c r="G31" s="1021"/>
      <c r="H31" s="1023"/>
      <c r="I31" s="1023"/>
      <c r="J31" s="1023"/>
      <c r="K31" s="1021"/>
      <c r="N31" s="1023"/>
      <c r="O31" s="1020"/>
      <c r="P31" s="1023"/>
    </row>
    <row r="32" spans="1:24" s="1030" customFormat="1" ht="15">
      <c r="A32" s="1023"/>
      <c r="B32" s="1066" t="s">
        <v>341</v>
      </c>
      <c r="C32" s="1082">
        <f>'Climate Data'!C14</f>
        <v>4.9722222222222223E-2</v>
      </c>
      <c r="D32" s="1068">
        <v>31</v>
      </c>
      <c r="E32" s="1083">
        <f t="shared" si="0"/>
        <v>2.1075592592592597E-2</v>
      </c>
      <c r="F32" s="1083">
        <f t="shared" si="1"/>
        <v>6.7985782556750311E-4</v>
      </c>
      <c r="G32" s="1021"/>
      <c r="H32" s="1023"/>
      <c r="I32" s="1023"/>
      <c r="J32" s="1023"/>
      <c r="K32" s="1021"/>
      <c r="N32" s="1023"/>
      <c r="O32" s="1020"/>
      <c r="P32" s="1023"/>
    </row>
    <row r="33" spans="1:24" s="1030" customFormat="1" ht="15">
      <c r="A33" s="1023"/>
      <c r="B33" s="1066" t="s">
        <v>342</v>
      </c>
      <c r="C33" s="1082">
        <f>'Climate Data'!C15</f>
        <v>0.1076086956521739</v>
      </c>
      <c r="D33" s="1068">
        <v>31</v>
      </c>
      <c r="E33" s="1083">
        <f t="shared" si="0"/>
        <v>4.5611739130434779E-2</v>
      </c>
      <c r="F33" s="1083">
        <f t="shared" si="1"/>
        <v>1.4713464235624123E-3</v>
      </c>
      <c r="G33" s="1021"/>
      <c r="H33" s="1023"/>
      <c r="I33" s="1023"/>
      <c r="J33" s="1023"/>
      <c r="K33" s="1021"/>
      <c r="N33" s="1023"/>
      <c r="O33" s="1020"/>
      <c r="P33" s="1023"/>
    </row>
    <row r="34" spans="1:24" s="1030" customFormat="1" ht="15">
      <c r="A34" s="1023"/>
      <c r="B34" s="1066" t="s">
        <v>49</v>
      </c>
      <c r="C34" s="1082">
        <f>'Climate Data'!C16</f>
        <v>0.37031249999999999</v>
      </c>
      <c r="D34" s="1068">
        <v>30</v>
      </c>
      <c r="E34" s="1083">
        <f t="shared" si="0"/>
        <v>0.15696312499999998</v>
      </c>
      <c r="F34" s="1083">
        <f t="shared" si="1"/>
        <v>5.2321041666666662E-3</v>
      </c>
      <c r="G34" s="1021"/>
      <c r="H34" s="1023"/>
      <c r="I34" s="1023"/>
      <c r="J34" s="1023"/>
      <c r="K34" s="1021"/>
      <c r="N34" s="1023"/>
      <c r="O34" s="1020"/>
      <c r="P34" s="1023"/>
    </row>
    <row r="35" spans="1:24" s="1030" customFormat="1" ht="15">
      <c r="A35" s="1023"/>
      <c r="B35" s="1066" t="s">
        <v>112</v>
      </c>
      <c r="C35" s="1082">
        <f>'Climate Data'!C17</f>
        <v>1.034639175257732</v>
      </c>
      <c r="D35" s="1068">
        <v>31</v>
      </c>
      <c r="E35" s="1083">
        <f t="shared" si="0"/>
        <v>0.43854905841924402</v>
      </c>
      <c r="F35" s="1083">
        <f t="shared" si="1"/>
        <v>1.4146743819975613E-2</v>
      </c>
      <c r="G35" s="1021"/>
      <c r="H35" s="1023"/>
      <c r="I35" s="1023"/>
      <c r="J35" s="1023"/>
      <c r="K35" s="1021"/>
      <c r="N35" s="1023"/>
      <c r="O35" s="1020"/>
      <c r="P35" s="1023"/>
    </row>
    <row r="36" spans="1:24" s="1030" customFormat="1" ht="15">
      <c r="A36" s="1023"/>
      <c r="B36" s="1066" t="s">
        <v>113</v>
      </c>
      <c r="C36" s="1082">
        <f>'Climate Data'!C18</f>
        <v>2.6849484536082473</v>
      </c>
      <c r="D36" s="1068">
        <v>30</v>
      </c>
      <c r="E36" s="1083">
        <f t="shared" si="0"/>
        <v>1.1380601512027493</v>
      </c>
      <c r="F36" s="1083">
        <f t="shared" si="1"/>
        <v>3.7935338373424977E-2</v>
      </c>
      <c r="G36" s="1021"/>
      <c r="H36" s="1023"/>
      <c r="I36" s="1023"/>
      <c r="J36" s="1023"/>
      <c r="K36" s="1021"/>
      <c r="N36" s="1023"/>
      <c r="O36" s="1020"/>
      <c r="P36" s="1023"/>
    </row>
    <row r="37" spans="1:24" s="1030" customFormat="1" ht="15.75" thickBot="1">
      <c r="A37" s="1023"/>
      <c r="B37" s="1067" t="s">
        <v>114</v>
      </c>
      <c r="C37" s="1084">
        <f>'Climate Data'!C19</f>
        <v>4.0832323232323233</v>
      </c>
      <c r="D37" s="1069">
        <v>31</v>
      </c>
      <c r="E37" s="1085">
        <f t="shared" si="0"/>
        <v>1.7307460740740741</v>
      </c>
      <c r="F37" s="1085">
        <f t="shared" si="1"/>
        <v>5.5830518518518522E-2</v>
      </c>
      <c r="G37" s="1021"/>
      <c r="H37" s="1023"/>
      <c r="I37" s="1023"/>
      <c r="J37" s="1023"/>
      <c r="K37" s="1021"/>
      <c r="N37" s="1023"/>
      <c r="O37" s="1020"/>
      <c r="P37" s="1023"/>
    </row>
    <row r="38" spans="1:24" s="1030" customFormat="1" ht="15.75" thickTop="1">
      <c r="A38" s="1023"/>
      <c r="B38" s="1087" t="s">
        <v>476</v>
      </c>
      <c r="C38" s="1088">
        <f>SUM(C26:C37)</f>
        <v>21.905084069899321</v>
      </c>
      <c r="D38" s="1089">
        <f>SUM(D26:D37)</f>
        <v>365</v>
      </c>
      <c r="E38" s="1090">
        <f>SUM(E26:E37)</f>
        <v>9.2848349677613271</v>
      </c>
      <c r="F38" s="1091"/>
      <c r="G38" s="1021"/>
      <c r="H38" s="1023"/>
      <c r="I38" s="1023"/>
      <c r="J38" s="1023"/>
      <c r="K38" s="1021"/>
      <c r="N38" s="1023"/>
      <c r="O38" s="1020"/>
      <c r="P38" s="1023"/>
    </row>
    <row r="39" spans="1:24" s="1030" customFormat="1" ht="15">
      <c r="A39" s="1023"/>
      <c r="B39" s="1018"/>
      <c r="C39" s="1024"/>
      <c r="D39" s="1019"/>
      <c r="E39" s="1021"/>
      <c r="F39" s="1021"/>
      <c r="G39" s="1021"/>
      <c r="H39" s="1023"/>
      <c r="I39" s="1023"/>
      <c r="J39" s="1023"/>
      <c r="K39" s="1021"/>
      <c r="N39" s="1023"/>
      <c r="O39" s="1020"/>
      <c r="P39" s="1023"/>
    </row>
    <row r="40" spans="1:24" s="957" customFormat="1" ht="15">
      <c r="B40" s="1032" t="s">
        <v>1119</v>
      </c>
      <c r="C40" s="1185">
        <f>E38</f>
        <v>9.2848349677613271</v>
      </c>
      <c r="D40" s="1070" t="s">
        <v>1007</v>
      </c>
      <c r="N40" s="950"/>
      <c r="O40" s="952"/>
      <c r="P40" s="951"/>
    </row>
    <row r="41" spans="1:24" s="957" customFormat="1" ht="19.5" customHeight="1">
      <c r="N41" s="950"/>
      <c r="O41" s="952"/>
      <c r="P41" s="951"/>
    </row>
    <row r="42" spans="1:24" s="940" customFormat="1" ht="15.75">
      <c r="B42" s="1158" t="s">
        <v>1265</v>
      </c>
      <c r="C42" s="941"/>
      <c r="D42" s="942"/>
      <c r="E42" s="942"/>
      <c r="F42" s="942"/>
      <c r="G42" s="942"/>
      <c r="H42" s="942"/>
      <c r="I42" s="942"/>
      <c r="J42" s="942"/>
      <c r="K42" s="942"/>
      <c r="L42" s="942"/>
      <c r="M42" s="942"/>
      <c r="N42" s="942"/>
      <c r="O42" s="942"/>
      <c r="Q42" s="943"/>
      <c r="R42" s="943"/>
      <c r="S42" s="943"/>
      <c r="T42" s="943"/>
      <c r="U42" s="943"/>
      <c r="V42" s="943"/>
      <c r="W42" s="943"/>
      <c r="X42" s="943"/>
    </row>
    <row r="43" spans="1:24" s="1051" customFormat="1" ht="15.75">
      <c r="B43" s="901" t="s">
        <v>1096</v>
      </c>
      <c r="C43" s="1074"/>
      <c r="D43" s="1056"/>
      <c r="E43" s="1056"/>
      <c r="F43" s="1056"/>
      <c r="G43" s="1056"/>
      <c r="H43" s="1056"/>
      <c r="I43" s="1056"/>
      <c r="J43" s="1056"/>
      <c r="K43" s="1056"/>
      <c r="L43" s="1056"/>
      <c r="M43" s="1056"/>
      <c r="N43" s="1056"/>
      <c r="O43" s="1056"/>
    </row>
    <row r="44" spans="1:24" s="1051" customFormat="1" ht="15.75">
      <c r="B44" s="902" t="s">
        <v>1402</v>
      </c>
      <c r="C44" s="1074"/>
      <c r="D44" s="1056"/>
      <c r="E44" s="1056"/>
      <c r="F44" s="1056"/>
      <c r="G44" s="1056"/>
      <c r="H44" s="1056"/>
      <c r="I44" s="1056"/>
      <c r="J44" s="1056"/>
      <c r="K44" s="1056"/>
      <c r="L44" s="1056"/>
      <c r="M44" s="1056"/>
      <c r="N44" s="1056"/>
      <c r="O44" s="1056"/>
    </row>
    <row r="45" spans="1:24" s="1051" customFormat="1" ht="15.75">
      <c r="B45" s="1045"/>
      <c r="C45" s="1074"/>
      <c r="D45" s="1056"/>
      <c r="E45" s="1056"/>
      <c r="F45" s="1056"/>
      <c r="G45" s="1056"/>
      <c r="H45" s="1056"/>
      <c r="I45" s="1056"/>
      <c r="J45" s="1056"/>
      <c r="K45" s="1056"/>
      <c r="L45" s="1056"/>
      <c r="M45" s="1056"/>
      <c r="N45" s="1056"/>
      <c r="O45" s="1056"/>
    </row>
    <row r="46" spans="1:24" s="1051" customFormat="1" ht="18">
      <c r="B46" s="1079" t="str">
        <f>'1. Building Information'!B105</f>
        <v>Pavement (Conventional)</v>
      </c>
      <c r="C46" s="953">
        <f>'1. Building Information'!C105</f>
        <v>1</v>
      </c>
      <c r="D46" s="1071" t="s">
        <v>1150</v>
      </c>
      <c r="E46" s="1056"/>
      <c r="F46" s="1056"/>
      <c r="G46" s="1056"/>
      <c r="H46" s="1056"/>
      <c r="I46" s="1056"/>
      <c r="J46" s="1056"/>
      <c r="K46" s="1056"/>
      <c r="L46" s="1056"/>
      <c r="M46" s="1056"/>
      <c r="N46" s="1056"/>
      <c r="O46" s="1056"/>
    </row>
    <row r="47" spans="1:24" s="1041" customFormat="1" ht="15.75">
      <c r="B47" s="1072" t="s">
        <v>1151</v>
      </c>
      <c r="C47" s="1381">
        <v>0.9</v>
      </c>
      <c r="D47" s="1071" t="s">
        <v>1403</v>
      </c>
      <c r="E47" s="1037"/>
      <c r="F47" s="1037"/>
      <c r="G47" s="1037"/>
      <c r="H47" s="1037"/>
      <c r="I47" s="1037"/>
      <c r="J47" s="1037"/>
      <c r="K47" s="1037"/>
      <c r="L47" s="1037"/>
      <c r="M47" s="1037"/>
      <c r="N47" s="1037"/>
      <c r="O47" s="1037"/>
    </row>
    <row r="48" spans="1:24" s="1041" customFormat="1" ht="18">
      <c r="A48" s="1054"/>
      <c r="B48" s="1079" t="str">
        <f>'1. Building Information'!B106</f>
        <v>Other &lt;Please Specify&gt;</v>
      </c>
      <c r="C48" s="953">
        <f>'1. Building Information'!C106</f>
        <v>0</v>
      </c>
      <c r="D48" s="1071" t="s">
        <v>1150</v>
      </c>
      <c r="E48" s="1054"/>
      <c r="F48" s="1054"/>
      <c r="G48" s="1054"/>
      <c r="H48" s="932"/>
      <c r="I48" s="1054"/>
      <c r="J48" s="1054"/>
      <c r="N48" s="1059"/>
      <c r="O48" s="1059"/>
      <c r="P48" s="1059"/>
    </row>
    <row r="49" spans="1:16" s="1041" customFormat="1" ht="15.75">
      <c r="A49" s="933"/>
      <c r="B49" s="1073" t="s">
        <v>1151</v>
      </c>
      <c r="C49" s="1382">
        <v>0.8</v>
      </c>
      <c r="D49" s="1391" t="s">
        <v>1401</v>
      </c>
      <c r="E49" s="936"/>
      <c r="F49" s="1054"/>
      <c r="G49" s="1055"/>
      <c r="H49" s="1054"/>
      <c r="I49" s="1054"/>
      <c r="J49" s="1054"/>
      <c r="N49" s="1059"/>
      <c r="O49" s="1060"/>
      <c r="P49" s="1059"/>
    </row>
    <row r="50" spans="1:16" s="1041" customFormat="1" ht="18">
      <c r="A50" s="933"/>
      <c r="B50" s="1080" t="str">
        <f>'1. Building Information'!B107</f>
        <v>Other &lt;Please Specify&gt;</v>
      </c>
      <c r="C50" s="1081">
        <f>'1. Building Information'!C107</f>
        <v>0</v>
      </c>
      <c r="D50" s="1071" t="s">
        <v>1150</v>
      </c>
      <c r="E50" s="936"/>
      <c r="F50" s="1054"/>
      <c r="G50" s="1055"/>
      <c r="H50" s="1054"/>
      <c r="I50" s="1054"/>
      <c r="J50" s="1054"/>
      <c r="N50" s="1059"/>
      <c r="O50" s="1060"/>
      <c r="P50" s="1059"/>
    </row>
    <row r="51" spans="1:16" s="1041" customFormat="1" ht="15.75">
      <c r="A51" s="933"/>
      <c r="B51" s="1073" t="s">
        <v>1151</v>
      </c>
      <c r="C51" s="1382">
        <v>0.7</v>
      </c>
      <c r="D51" s="1391" t="s">
        <v>1401</v>
      </c>
      <c r="E51" s="936"/>
      <c r="F51" s="1054"/>
      <c r="G51" s="1055"/>
      <c r="H51" s="1054"/>
      <c r="I51" s="1054"/>
      <c r="J51" s="1054"/>
      <c r="N51" s="1059"/>
      <c r="O51" s="1060"/>
      <c r="P51" s="1059"/>
    </row>
    <row r="52" spans="1:16" s="1041" customFormat="1" ht="18">
      <c r="A52" s="933"/>
      <c r="B52" s="1080" t="s">
        <v>1153</v>
      </c>
      <c r="C52" s="1081">
        <f>C46+C48+C50</f>
        <v>1</v>
      </c>
      <c r="D52" s="1071" t="s">
        <v>1150</v>
      </c>
      <c r="E52" s="1054"/>
      <c r="F52" s="1054"/>
      <c r="G52" s="1055"/>
      <c r="H52" s="1484"/>
      <c r="I52" s="1484"/>
      <c r="J52" s="1484"/>
      <c r="K52" s="1054"/>
      <c r="N52" s="1059"/>
      <c r="O52" s="1060"/>
      <c r="P52" s="1059"/>
    </row>
    <row r="53" spans="1:16" s="1041" customFormat="1" ht="15" customHeight="1">
      <c r="A53" s="934"/>
      <c r="B53" s="1073" t="s">
        <v>981</v>
      </c>
      <c r="C53" s="1374">
        <f>IF(C52&gt;0,(C46*C47+C48*C49+C50*C51)/C52,0)</f>
        <v>0.9</v>
      </c>
      <c r="D53" s="1071"/>
      <c r="E53" s="1487"/>
      <c r="F53" s="1487"/>
      <c r="G53" s="1487"/>
      <c r="H53" s="1487"/>
      <c r="I53" s="1487"/>
      <c r="J53" s="1054"/>
      <c r="K53" s="1054"/>
      <c r="N53" s="1059"/>
      <c r="O53" s="1060"/>
      <c r="P53" s="1059"/>
    </row>
    <row r="54" spans="1:16" s="1041" customFormat="1" ht="15" customHeight="1">
      <c r="A54" s="934"/>
      <c r="B54" s="1095"/>
      <c r="C54" s="1092"/>
      <c r="D54" s="1071"/>
      <c r="E54" s="1058"/>
      <c r="F54" s="1058"/>
      <c r="G54" s="1058"/>
      <c r="H54" s="1058"/>
      <c r="I54" s="1058"/>
      <c r="J54" s="1054"/>
      <c r="K54" s="1054"/>
      <c r="N54" s="1059"/>
      <c r="O54" s="1060"/>
      <c r="P54" s="1059"/>
    </row>
    <row r="55" spans="1:16" s="1041" customFormat="1" ht="15" customHeight="1">
      <c r="A55" s="934"/>
      <c r="B55" s="1093" t="s">
        <v>1154</v>
      </c>
      <c r="C55" s="1094">
        <v>0.8</v>
      </c>
      <c r="D55" s="1391" t="s">
        <v>1401</v>
      </c>
      <c r="E55" s="1058"/>
      <c r="F55" s="1058"/>
      <c r="G55" s="1058"/>
      <c r="H55" s="1058"/>
      <c r="I55" s="1058"/>
      <c r="J55" s="1054"/>
      <c r="K55" s="1054"/>
      <c r="N55" s="1059"/>
      <c r="O55" s="1060"/>
      <c r="P55" s="1059"/>
    </row>
    <row r="56" spans="1:16" s="1041" customFormat="1" ht="15" customHeight="1">
      <c r="A56" s="933"/>
      <c r="B56" s="1075"/>
      <c r="C56" s="1076"/>
      <c r="D56" s="935"/>
      <c r="E56" s="1058"/>
      <c r="F56" s="1058"/>
      <c r="G56" s="1058"/>
      <c r="H56" s="1058"/>
      <c r="I56" s="1058"/>
      <c r="J56" s="1054"/>
      <c r="K56" s="1054"/>
      <c r="N56" s="1059"/>
      <c r="O56" s="1060"/>
      <c r="P56" s="1059"/>
    </row>
    <row r="57" spans="1:16" s="1041" customFormat="1" ht="30">
      <c r="A57" s="933"/>
      <c r="B57" s="1064" t="s">
        <v>585</v>
      </c>
      <c r="C57" s="1042" t="s">
        <v>972</v>
      </c>
      <c r="D57" s="1042" t="s">
        <v>1149</v>
      </c>
      <c r="E57" s="1485" t="s">
        <v>1156</v>
      </c>
      <c r="F57" s="1486"/>
      <c r="G57" s="1058"/>
      <c r="H57" s="1488"/>
      <c r="I57" s="1488"/>
      <c r="J57" s="1488"/>
      <c r="K57" s="1054"/>
      <c r="N57" s="1059"/>
      <c r="O57" s="1060"/>
      <c r="P57" s="1059"/>
    </row>
    <row r="58" spans="1:16" s="1041" customFormat="1" ht="15">
      <c r="A58" s="1059"/>
      <c r="B58" s="1065"/>
      <c r="C58" s="1061" t="s">
        <v>1148</v>
      </c>
      <c r="D58" s="1061"/>
      <c r="E58" s="1061" t="s">
        <v>168</v>
      </c>
      <c r="F58" s="1086" t="s">
        <v>593</v>
      </c>
      <c r="G58" s="1054"/>
      <c r="H58" s="1484"/>
      <c r="I58" s="1484"/>
      <c r="J58" s="1484"/>
      <c r="K58" s="1054"/>
      <c r="N58" s="1059"/>
      <c r="O58" s="1060"/>
      <c r="P58" s="1059"/>
    </row>
    <row r="59" spans="1:16" s="1041" customFormat="1" ht="15">
      <c r="A59" s="1059"/>
      <c r="B59" s="1066" t="s">
        <v>596</v>
      </c>
      <c r="C59" s="1082">
        <f>'Climate Data'!C8</f>
        <v>4.5616000000000003</v>
      </c>
      <c r="D59" s="1068">
        <v>31</v>
      </c>
      <c r="E59" s="1083">
        <f>((C59/12)*$C$52*$C$53)*7.48*$C$55</f>
        <v>2.0472460800000003</v>
      </c>
      <c r="F59" s="1083">
        <f>E59/D59</f>
        <v>6.6040196129032266E-2</v>
      </c>
      <c r="G59" s="1054"/>
      <c r="H59" s="1054"/>
      <c r="I59" s="1054"/>
      <c r="J59" s="1054"/>
      <c r="K59" s="1054"/>
      <c r="N59" s="1059"/>
      <c r="O59" s="1060"/>
      <c r="P59" s="1059"/>
    </row>
    <row r="60" spans="1:16" s="1041" customFormat="1" ht="15">
      <c r="A60" s="1059"/>
      <c r="B60" s="1066" t="s">
        <v>597</v>
      </c>
      <c r="C60" s="1082">
        <f>'Climate Data'!C9</f>
        <v>3.8450000000000002</v>
      </c>
      <c r="D60" s="1068">
        <v>28</v>
      </c>
      <c r="E60" s="1083">
        <f t="shared" ref="E60:E70" si="2">((C60/12)*$C$52*$C$53)*7.48*$C$55</f>
        <v>1.7256360000000006</v>
      </c>
      <c r="F60" s="1083">
        <f t="shared" ref="F60:F70" si="3">E60/D60</f>
        <v>6.1629857142857167E-2</v>
      </c>
      <c r="G60" s="1054"/>
      <c r="H60" s="1054"/>
      <c r="I60" s="1054"/>
      <c r="J60" s="1054"/>
      <c r="K60" s="1054"/>
      <c r="N60" s="1059"/>
      <c r="O60" s="1060"/>
      <c r="P60" s="1059"/>
    </row>
    <row r="61" spans="1:16" s="1041" customFormat="1" ht="15">
      <c r="A61" s="1052"/>
      <c r="B61" s="1066" t="s">
        <v>598</v>
      </c>
      <c r="C61" s="1082">
        <f>'Climate Data'!C10</f>
        <v>2.9074</v>
      </c>
      <c r="D61" s="1068">
        <v>31</v>
      </c>
      <c r="E61" s="1083">
        <f t="shared" si="2"/>
        <v>1.3048411200000001</v>
      </c>
      <c r="F61" s="1083">
        <f t="shared" si="3"/>
        <v>4.2091649032258066E-2</v>
      </c>
      <c r="G61" s="1077"/>
      <c r="H61" s="1077"/>
      <c r="I61" s="1078"/>
      <c r="J61" s="1078"/>
      <c r="K61" s="1078"/>
      <c r="L61" s="1078"/>
      <c r="N61" s="1059"/>
      <c r="O61" s="1060"/>
      <c r="P61" s="1059"/>
    </row>
    <row r="62" spans="1:16" s="1041" customFormat="1" ht="15">
      <c r="A62" s="1054"/>
      <c r="B62" s="1066" t="s">
        <v>599</v>
      </c>
      <c r="C62" s="1082">
        <f>'Climate Data'!C11</f>
        <v>1.4120618556701032</v>
      </c>
      <c r="D62" s="1068">
        <v>30</v>
      </c>
      <c r="E62" s="1083">
        <f t="shared" si="2"/>
        <v>0.63373336082474241</v>
      </c>
      <c r="F62" s="1083">
        <f t="shared" si="3"/>
        <v>2.1124445360824747E-2</v>
      </c>
      <c r="G62" s="1078"/>
      <c r="H62" s="1078"/>
      <c r="I62" s="1078"/>
      <c r="J62" s="1078"/>
      <c r="K62" s="1078"/>
      <c r="L62" s="1078"/>
      <c r="N62" s="1059"/>
      <c r="O62" s="1060"/>
      <c r="P62" s="1059"/>
    </row>
    <row r="63" spans="1:16" s="1041" customFormat="1" ht="15">
      <c r="A63" s="1054"/>
      <c r="B63" s="1066" t="s">
        <v>600</v>
      </c>
      <c r="C63" s="1082">
        <f>'Climate Data'!C12</f>
        <v>0.6282558139534884</v>
      </c>
      <c r="D63" s="1068">
        <v>31</v>
      </c>
      <c r="E63" s="1083">
        <f t="shared" si="2"/>
        <v>0.2819612093023256</v>
      </c>
      <c r="F63" s="1083">
        <f t="shared" si="3"/>
        <v>9.0955228807201808E-3</v>
      </c>
      <c r="G63" s="1039"/>
      <c r="H63" s="1039"/>
      <c r="I63" s="1039"/>
      <c r="J63" s="1039"/>
      <c r="K63" s="1039"/>
      <c r="L63" s="1039"/>
      <c r="N63" s="1059"/>
      <c r="O63" s="1060"/>
      <c r="P63" s="1059"/>
    </row>
    <row r="64" spans="1:16" s="1041" customFormat="1" ht="15">
      <c r="A64" s="1054"/>
      <c r="B64" s="1066" t="s">
        <v>601</v>
      </c>
      <c r="C64" s="1082">
        <f>'Climate Data'!C13</f>
        <v>0.22030303030303031</v>
      </c>
      <c r="D64" s="1068">
        <v>30</v>
      </c>
      <c r="E64" s="1083">
        <f t="shared" si="2"/>
        <v>9.8872000000000015E-2</v>
      </c>
      <c r="F64" s="1083">
        <f t="shared" si="3"/>
        <v>3.2957333333333339E-3</v>
      </c>
      <c r="G64" s="1039"/>
      <c r="H64" s="1039"/>
      <c r="I64" s="1039"/>
      <c r="J64" s="1039"/>
      <c r="K64" s="1039"/>
      <c r="L64" s="1039"/>
      <c r="N64" s="1059"/>
      <c r="O64" s="1060"/>
      <c r="P64" s="1059"/>
    </row>
    <row r="65" spans="1:16" s="1041" customFormat="1" ht="15">
      <c r="A65" s="1054"/>
      <c r="B65" s="1066" t="s">
        <v>341</v>
      </c>
      <c r="C65" s="1082">
        <f>'Climate Data'!C14</f>
        <v>4.9722222222222223E-2</v>
      </c>
      <c r="D65" s="1068">
        <v>31</v>
      </c>
      <c r="E65" s="1083">
        <f t="shared" si="2"/>
        <v>2.2315333333333336E-2</v>
      </c>
      <c r="F65" s="1083">
        <f t="shared" si="3"/>
        <v>7.198494623655915E-4</v>
      </c>
      <c r="G65" s="1039"/>
      <c r="H65" s="1039"/>
      <c r="I65" s="1039"/>
      <c r="J65" s="1039"/>
      <c r="K65" s="1039"/>
      <c r="L65" s="1039"/>
      <c r="N65" s="1059"/>
      <c r="O65" s="1060"/>
      <c r="P65" s="1059"/>
    </row>
    <row r="66" spans="1:16" s="1041" customFormat="1" ht="15">
      <c r="A66" s="1054"/>
      <c r="B66" s="1066" t="s">
        <v>342</v>
      </c>
      <c r="C66" s="1082">
        <f>'Climate Data'!C15</f>
        <v>0.1076086956521739</v>
      </c>
      <c r="D66" s="1068">
        <v>31</v>
      </c>
      <c r="E66" s="1083">
        <f t="shared" si="2"/>
        <v>4.8294782608695658E-2</v>
      </c>
      <c r="F66" s="1083">
        <f t="shared" si="3"/>
        <v>1.5578962131837309E-3</v>
      </c>
      <c r="G66" s="1039"/>
      <c r="H66" s="1039"/>
      <c r="I66" s="1039"/>
      <c r="J66" s="1039"/>
      <c r="K66" s="1039"/>
      <c r="L66" s="1039"/>
      <c r="N66" s="1059"/>
      <c r="O66" s="1060"/>
      <c r="P66" s="1059"/>
    </row>
    <row r="67" spans="1:16" s="1041" customFormat="1" ht="15">
      <c r="A67" s="1054"/>
      <c r="B67" s="1066" t="s">
        <v>49</v>
      </c>
      <c r="C67" s="1082">
        <f>'Climate Data'!C16</f>
        <v>0.37031249999999999</v>
      </c>
      <c r="D67" s="1068">
        <v>30</v>
      </c>
      <c r="E67" s="1083">
        <f t="shared" si="2"/>
        <v>0.16619625000000002</v>
      </c>
      <c r="F67" s="1083">
        <f t="shared" si="3"/>
        <v>5.5398750000000005E-3</v>
      </c>
      <c r="G67" s="1039"/>
      <c r="H67" s="1039"/>
      <c r="I67" s="1039"/>
      <c r="J67" s="1039"/>
      <c r="K67" s="1039"/>
      <c r="L67" s="1039"/>
      <c r="N67" s="1059"/>
      <c r="O67" s="1060"/>
      <c r="P67" s="1059"/>
    </row>
    <row r="68" spans="1:16" s="1041" customFormat="1" ht="15">
      <c r="A68" s="1054"/>
      <c r="B68" s="1066" t="s">
        <v>112</v>
      </c>
      <c r="C68" s="1082">
        <f>'Climate Data'!C17</f>
        <v>1.034639175257732</v>
      </c>
      <c r="D68" s="1068">
        <v>31</v>
      </c>
      <c r="E68" s="1083">
        <f t="shared" si="2"/>
        <v>0.46434606185567012</v>
      </c>
      <c r="F68" s="1083">
        <f t="shared" si="3"/>
        <v>1.4978905221150649E-2</v>
      </c>
      <c r="G68" s="1039"/>
      <c r="H68" s="1039"/>
      <c r="I68" s="1039"/>
      <c r="J68" s="1039"/>
      <c r="K68" s="1039"/>
      <c r="L68" s="1039"/>
      <c r="N68" s="1059"/>
      <c r="O68" s="1060"/>
      <c r="P68" s="1059"/>
    </row>
    <row r="69" spans="1:16" s="1041" customFormat="1" ht="15">
      <c r="A69" s="1054"/>
      <c r="B69" s="1066" t="s">
        <v>113</v>
      </c>
      <c r="C69" s="1082">
        <f>'Climate Data'!C18</f>
        <v>2.6849484536082473</v>
      </c>
      <c r="D69" s="1068">
        <v>30</v>
      </c>
      <c r="E69" s="1083">
        <f t="shared" si="2"/>
        <v>1.2050048659793817</v>
      </c>
      <c r="F69" s="1083">
        <f t="shared" si="3"/>
        <v>4.0166828865979394E-2</v>
      </c>
      <c r="G69" s="1039"/>
      <c r="H69" s="1039"/>
      <c r="I69" s="1039"/>
      <c r="J69" s="1039"/>
      <c r="K69" s="1039"/>
      <c r="L69" s="1039"/>
      <c r="N69" s="1059"/>
      <c r="O69" s="1060"/>
      <c r="P69" s="1059"/>
    </row>
    <row r="70" spans="1:16" s="1041" customFormat="1" ht="15.75" thickBot="1">
      <c r="A70" s="1054"/>
      <c r="B70" s="1067" t="s">
        <v>114</v>
      </c>
      <c r="C70" s="1084">
        <f>'Climate Data'!C19</f>
        <v>4.0832323232323233</v>
      </c>
      <c r="D70" s="1069">
        <v>31</v>
      </c>
      <c r="E70" s="1085">
        <f t="shared" si="2"/>
        <v>1.8325546666666668</v>
      </c>
      <c r="F70" s="1085">
        <f t="shared" si="3"/>
        <v>5.911466666666667E-2</v>
      </c>
      <c r="G70" s="1039"/>
      <c r="H70" s="1039"/>
      <c r="I70" s="1039"/>
      <c r="J70" s="1039"/>
      <c r="K70" s="1039"/>
      <c r="L70" s="1039"/>
      <c r="N70" s="1059"/>
      <c r="O70" s="1060"/>
      <c r="P70" s="1059"/>
    </row>
    <row r="71" spans="1:16" s="1041" customFormat="1" ht="15.75" thickTop="1">
      <c r="A71" s="1054"/>
      <c r="B71" s="1087" t="s">
        <v>476</v>
      </c>
      <c r="C71" s="1088">
        <f>SUM(C59:C70)</f>
        <v>21.905084069899321</v>
      </c>
      <c r="D71" s="1089">
        <f>SUM(D59:D70)</f>
        <v>365</v>
      </c>
      <c r="E71" s="1090">
        <f>SUM(E59:E70)</f>
        <v>9.8310017305708151</v>
      </c>
      <c r="F71" s="1091"/>
      <c r="G71" s="1039"/>
      <c r="H71" s="1039"/>
      <c r="I71" s="1039"/>
      <c r="J71" s="1039"/>
      <c r="K71" s="1039"/>
      <c r="L71" s="1039"/>
      <c r="N71" s="1059"/>
      <c r="O71" s="1060"/>
      <c r="P71" s="1059"/>
    </row>
    <row r="72" spans="1:16" s="1041" customFormat="1" ht="15">
      <c r="A72" s="1054"/>
      <c r="B72" s="1018"/>
      <c r="C72" s="1024"/>
      <c r="D72" s="1019"/>
      <c r="E72" s="1021"/>
      <c r="F72" s="1021"/>
      <c r="G72" s="1039"/>
      <c r="H72" s="1039"/>
      <c r="I72" s="1039"/>
      <c r="J72" s="1039"/>
      <c r="K72" s="1039"/>
      <c r="L72" s="1039"/>
      <c r="N72" s="1059"/>
      <c r="O72" s="1060"/>
      <c r="P72" s="1059"/>
    </row>
    <row r="73" spans="1:16" s="1041" customFormat="1" ht="15">
      <c r="A73" s="1054"/>
      <c r="B73" s="1032" t="s">
        <v>1120</v>
      </c>
      <c r="C73" s="1185">
        <f>E71</f>
        <v>9.8310017305708151</v>
      </c>
      <c r="D73" s="1070" t="s">
        <v>1007</v>
      </c>
      <c r="E73" s="1035"/>
      <c r="F73" s="1035"/>
      <c r="G73" s="1039"/>
      <c r="H73" s="1039"/>
      <c r="I73" s="1039"/>
      <c r="J73" s="1039"/>
      <c r="K73" s="1039"/>
      <c r="L73" s="1039"/>
      <c r="N73" s="1059"/>
      <c r="O73" s="1060"/>
      <c r="P73" s="1059"/>
    </row>
    <row r="74" spans="1:16" s="1041" customFormat="1" ht="15">
      <c r="A74" s="1054"/>
      <c r="C74" s="1057"/>
      <c r="D74" s="1039"/>
      <c r="E74" s="1039"/>
      <c r="F74" s="1039"/>
      <c r="G74" s="1039"/>
      <c r="H74" s="1039"/>
      <c r="I74" s="1039"/>
      <c r="J74" s="1039"/>
      <c r="K74" s="1039"/>
      <c r="L74" s="1039"/>
      <c r="N74" s="1059"/>
      <c r="O74" s="1060"/>
      <c r="P74" s="1059"/>
    </row>
    <row r="75" spans="1:16" s="1053" customFormat="1"/>
    <row r="76" spans="1:16" s="956" customFormat="1" ht="18.75">
      <c r="B76" s="1427" t="s">
        <v>1123</v>
      </c>
      <c r="C76" s="1427"/>
      <c r="D76" s="1427"/>
      <c r="E76" s="1427"/>
      <c r="F76" s="1427"/>
      <c r="G76" s="1427"/>
      <c r="H76" s="963"/>
      <c r="I76" s="963"/>
      <c r="J76" s="963"/>
      <c r="K76" s="963"/>
      <c r="L76" s="963"/>
    </row>
  </sheetData>
  <mergeCells count="8">
    <mergeCell ref="H58:J58"/>
    <mergeCell ref="B76:G76"/>
    <mergeCell ref="B8:D9"/>
    <mergeCell ref="E24:F24"/>
    <mergeCell ref="E57:F57"/>
    <mergeCell ref="H52:J52"/>
    <mergeCell ref="E53:I53"/>
    <mergeCell ref="H57:J57"/>
  </mergeCells>
  <pageMargins left="0.5" right="0.5" top="0.35" bottom="0.4" header="0.35" footer="0.4"/>
  <pageSetup paperSize="3" scale="65" fitToHeight="0" orientation="portrait" r:id="rId1"/>
  <headerFooter alignWithMargins="0">
    <oddFooter>&amp;L&amp;8November 2010 Version</oddFooter>
  </headerFooter>
  <drawing r:id="rId2"/>
</worksheet>
</file>

<file path=xl/worksheets/sheet7.xml><?xml version="1.0" encoding="utf-8"?>
<worksheet xmlns="http://schemas.openxmlformats.org/spreadsheetml/2006/main" xmlns:r="http://schemas.openxmlformats.org/officeDocument/2006/relationships">
  <sheetPr codeName="Sheet1" enableFormatConditionsCalculation="0">
    <tabColor indexed="12"/>
    <pageSetUpPr fitToPage="1"/>
  </sheetPr>
  <dimension ref="A1:AH95"/>
  <sheetViews>
    <sheetView view="pageBreakPreview" topLeftCell="A6" zoomScale="85" zoomScaleNormal="75" zoomScaleSheetLayoutView="50" workbookViewId="0">
      <selection activeCell="D5" sqref="D5"/>
    </sheetView>
  </sheetViews>
  <sheetFormatPr defaultColWidth="8.85546875" defaultRowHeight="12.75"/>
  <cols>
    <col min="1" max="1" width="5.42578125" customWidth="1"/>
    <col min="2" max="2" width="26.42578125" customWidth="1"/>
    <col min="3" max="3" width="15.28515625" customWidth="1"/>
    <col min="4" max="4" width="8.42578125" customWidth="1"/>
    <col min="5" max="17" width="8.140625" customWidth="1"/>
    <col min="18" max="18" width="9.7109375" customWidth="1"/>
    <col min="19" max="20" width="8.140625" customWidth="1"/>
    <col min="21" max="21" width="9.7109375" customWidth="1"/>
    <col min="22" max="22" width="12.42578125" customWidth="1"/>
    <col min="29" max="43" width="0" hidden="1" customWidth="1"/>
  </cols>
  <sheetData>
    <row r="1" spans="1:21" s="37" customFormat="1" ht="15.75">
      <c r="A1" s="38" t="s">
        <v>582</v>
      </c>
      <c r="N1"/>
      <c r="O1"/>
      <c r="P1"/>
    </row>
    <row r="2" spans="1:21" s="45" customFormat="1">
      <c r="A2" s="44" t="s">
        <v>520</v>
      </c>
      <c r="B2" s="44"/>
      <c r="N2"/>
      <c r="O2"/>
      <c r="P2"/>
    </row>
    <row r="3" spans="1:21" s="45" customFormat="1">
      <c r="A3" s="180"/>
      <c r="B3" s="180"/>
      <c r="C3" s="153"/>
    </row>
    <row r="4" spans="1:21" ht="13.5" thickBot="1">
      <c r="A4" s="1" t="s">
        <v>430</v>
      </c>
      <c r="G4" s="71"/>
    </row>
    <row r="5" spans="1:21" ht="13.5" thickBot="1">
      <c r="A5" s="1489" t="s">
        <v>200</v>
      </c>
      <c r="B5" s="1490"/>
      <c r="C5" s="369" t="s">
        <v>462</v>
      </c>
      <c r="D5" s="397"/>
      <c r="E5" t="s">
        <v>455</v>
      </c>
      <c r="G5" s="221"/>
      <c r="H5" s="70"/>
    </row>
    <row r="6" spans="1:21" ht="13.5" thickBot="1">
      <c r="A6" s="1489" t="s">
        <v>201</v>
      </c>
      <c r="B6" s="1490"/>
      <c r="C6" s="369" t="s">
        <v>12</v>
      </c>
      <c r="D6" s="398"/>
      <c r="G6" s="264"/>
      <c r="H6" s="70"/>
    </row>
    <row r="7" spans="1:21" ht="13.5" thickBot="1">
      <c r="A7" s="3"/>
      <c r="B7" s="20"/>
      <c r="C7" s="35"/>
      <c r="D7" s="40"/>
    </row>
    <row r="8" spans="1:21" ht="13.5" thickBot="1">
      <c r="A8" s="1501" t="s">
        <v>202</v>
      </c>
      <c r="B8" s="1490"/>
      <c r="C8" s="112" t="s">
        <v>203</v>
      </c>
      <c r="D8" s="3"/>
      <c r="E8" s="1501" t="s">
        <v>204</v>
      </c>
      <c r="F8" s="1502"/>
      <c r="G8" s="1502"/>
      <c r="H8" s="1503"/>
      <c r="I8" s="112" t="s">
        <v>205</v>
      </c>
      <c r="J8" s="3"/>
      <c r="K8" s="123" t="s">
        <v>206</v>
      </c>
      <c r="L8" s="124"/>
      <c r="M8" s="123" t="s">
        <v>207</v>
      </c>
      <c r="N8" s="124"/>
      <c r="O8" s="124"/>
      <c r="P8" s="124"/>
      <c r="Q8" s="124"/>
      <c r="R8" s="124"/>
      <c r="S8" s="125"/>
      <c r="T8" s="111" t="s">
        <v>208</v>
      </c>
      <c r="U8" s="111" t="s">
        <v>209</v>
      </c>
    </row>
    <row r="9" spans="1:21" ht="13.5" thickBot="1">
      <c r="D9" s="1510" t="s">
        <v>475</v>
      </c>
      <c r="E9" s="1511"/>
      <c r="F9" s="1511"/>
      <c r="G9" s="1511"/>
      <c r="H9" s="1511"/>
      <c r="I9" s="1512"/>
      <c r="J9" s="1510" t="s">
        <v>533</v>
      </c>
      <c r="K9" s="1511"/>
      <c r="L9" s="1511"/>
      <c r="M9" s="1511"/>
      <c r="N9" s="1511"/>
      <c r="O9" s="1511"/>
      <c r="P9" s="1511"/>
      <c r="Q9" s="1511"/>
      <c r="R9" s="1511"/>
      <c r="S9" s="1511"/>
      <c r="T9" s="1512"/>
    </row>
    <row r="10" spans="1:21" ht="127.5" customHeight="1">
      <c r="A10" s="329" t="s">
        <v>10</v>
      </c>
      <c r="B10" s="330"/>
      <c r="C10" s="331" t="s">
        <v>14</v>
      </c>
      <c r="D10" s="332" t="s">
        <v>476</v>
      </c>
      <c r="E10" s="333" t="s">
        <v>477</v>
      </c>
      <c r="F10" s="333" t="s">
        <v>456</v>
      </c>
      <c r="G10" s="333" t="s">
        <v>457</v>
      </c>
      <c r="H10" s="333" t="s">
        <v>502</v>
      </c>
      <c r="I10" s="334" t="s">
        <v>458</v>
      </c>
      <c r="J10" s="335" t="s">
        <v>476</v>
      </c>
      <c r="K10" s="336" t="s">
        <v>568</v>
      </c>
      <c r="L10" s="336" t="s">
        <v>569</v>
      </c>
      <c r="M10" s="336" t="s">
        <v>45</v>
      </c>
      <c r="N10" s="336" t="s">
        <v>496</v>
      </c>
      <c r="O10" s="336" t="s">
        <v>497</v>
      </c>
      <c r="P10" s="337" t="s">
        <v>498</v>
      </c>
      <c r="Q10" s="337" t="s">
        <v>499</v>
      </c>
      <c r="R10" s="337" t="s">
        <v>500</v>
      </c>
      <c r="S10" s="337" t="s">
        <v>501</v>
      </c>
      <c r="T10" s="338" t="s">
        <v>458</v>
      </c>
      <c r="U10" s="339" t="s">
        <v>459</v>
      </c>
    </row>
    <row r="11" spans="1:21" ht="13.5" thickBot="1">
      <c r="A11" s="340"/>
      <c r="B11" s="341"/>
      <c r="C11" s="342"/>
      <c r="D11" s="343"/>
      <c r="E11" s="344"/>
      <c r="F11" s="344"/>
      <c r="G11" s="344"/>
      <c r="H11" s="344"/>
      <c r="I11" s="345"/>
      <c r="J11" s="343"/>
      <c r="K11" s="344"/>
      <c r="L11" s="344"/>
      <c r="M11" s="344"/>
      <c r="N11" s="344"/>
      <c r="O11" s="344"/>
      <c r="P11" s="344"/>
      <c r="Q11" s="344"/>
      <c r="R11" s="344"/>
      <c r="S11" s="344"/>
      <c r="T11" s="345"/>
      <c r="U11" s="346"/>
    </row>
    <row r="12" spans="1:21" ht="13.5" thickTop="1">
      <c r="A12" s="392" t="s">
        <v>463</v>
      </c>
      <c r="B12" s="399"/>
      <c r="C12" s="400"/>
      <c r="D12" s="113">
        <f>SUM(E12:I12)</f>
        <v>0</v>
      </c>
      <c r="E12" s="394"/>
      <c r="F12" s="394"/>
      <c r="G12" s="394"/>
      <c r="H12" s="394"/>
      <c r="I12" s="395"/>
      <c r="J12" s="113">
        <f t="shared" ref="J12:J21" si="0">SUM(K12:T12)</f>
        <v>0</v>
      </c>
      <c r="K12" s="394"/>
      <c r="L12" s="394"/>
      <c r="M12" s="394"/>
      <c r="N12" s="394"/>
      <c r="O12" s="394"/>
      <c r="P12" s="394"/>
      <c r="Q12" s="394"/>
      <c r="R12" s="394"/>
      <c r="S12" s="394"/>
      <c r="T12" s="395"/>
      <c r="U12" s="120" t="str">
        <f t="shared" ref="U12:U21" si="1">IF(J12+D12=C12,"Okay","Check Areas!")</f>
        <v>Okay</v>
      </c>
    </row>
    <row r="13" spans="1:21">
      <c r="A13" s="392" t="s">
        <v>464</v>
      </c>
      <c r="B13" s="399"/>
      <c r="C13" s="400"/>
      <c r="D13" s="113">
        <f t="shared" ref="D13:D21" si="2">SUM(E13:I13)</f>
        <v>0</v>
      </c>
      <c r="E13" s="394"/>
      <c r="F13" s="394"/>
      <c r="G13" s="394"/>
      <c r="H13" s="394"/>
      <c r="I13" s="395"/>
      <c r="J13" s="113">
        <f t="shared" si="0"/>
        <v>0</v>
      </c>
      <c r="K13" s="394"/>
      <c r="L13" s="394"/>
      <c r="M13" s="394"/>
      <c r="N13" s="394"/>
      <c r="O13" s="394"/>
      <c r="P13" s="394"/>
      <c r="Q13" s="394"/>
      <c r="R13" s="394"/>
      <c r="S13" s="394"/>
      <c r="T13" s="395"/>
      <c r="U13" s="120" t="str">
        <f t="shared" si="1"/>
        <v>Okay</v>
      </c>
    </row>
    <row r="14" spans="1:21">
      <c r="A14" s="392" t="s">
        <v>465</v>
      </c>
      <c r="B14" s="399"/>
      <c r="C14" s="400"/>
      <c r="D14" s="113">
        <f t="shared" si="2"/>
        <v>0</v>
      </c>
      <c r="E14" s="394"/>
      <c r="F14" s="394"/>
      <c r="G14" s="394"/>
      <c r="H14" s="394"/>
      <c r="I14" s="395"/>
      <c r="J14" s="113">
        <f t="shared" si="0"/>
        <v>0</v>
      </c>
      <c r="K14" s="394"/>
      <c r="L14" s="394"/>
      <c r="M14" s="394"/>
      <c r="N14" s="394"/>
      <c r="O14" s="394"/>
      <c r="P14" s="394"/>
      <c r="Q14" s="394"/>
      <c r="R14" s="394"/>
      <c r="S14" s="394"/>
      <c r="T14" s="395"/>
      <c r="U14" s="120" t="str">
        <f t="shared" si="1"/>
        <v>Okay</v>
      </c>
    </row>
    <row r="15" spans="1:21">
      <c r="A15" s="392" t="s">
        <v>466</v>
      </c>
      <c r="B15" s="399"/>
      <c r="C15" s="400"/>
      <c r="D15" s="113">
        <f t="shared" si="2"/>
        <v>0</v>
      </c>
      <c r="E15" s="394"/>
      <c r="F15" s="394"/>
      <c r="G15" s="394"/>
      <c r="H15" s="394"/>
      <c r="I15" s="395"/>
      <c r="J15" s="113">
        <f t="shared" si="0"/>
        <v>0</v>
      </c>
      <c r="K15" s="394"/>
      <c r="L15" s="394"/>
      <c r="M15" s="394"/>
      <c r="N15" s="394"/>
      <c r="O15" s="394"/>
      <c r="P15" s="394"/>
      <c r="Q15" s="394"/>
      <c r="R15" s="394"/>
      <c r="S15" s="394"/>
      <c r="T15" s="395"/>
      <c r="U15" s="120" t="str">
        <f t="shared" si="1"/>
        <v>Okay</v>
      </c>
    </row>
    <row r="16" spans="1:21">
      <c r="A16" s="392" t="s">
        <v>467</v>
      </c>
      <c r="B16" s="399"/>
      <c r="C16" s="400"/>
      <c r="D16" s="113">
        <f t="shared" si="2"/>
        <v>0</v>
      </c>
      <c r="E16" s="394"/>
      <c r="F16" s="394"/>
      <c r="G16" s="394"/>
      <c r="H16" s="394"/>
      <c r="I16" s="395"/>
      <c r="J16" s="113">
        <f t="shared" si="0"/>
        <v>0</v>
      </c>
      <c r="K16" s="394"/>
      <c r="L16" s="394"/>
      <c r="M16" s="394"/>
      <c r="N16" s="394"/>
      <c r="O16" s="394"/>
      <c r="P16" s="394"/>
      <c r="Q16" s="394"/>
      <c r="R16" s="394"/>
      <c r="S16" s="394"/>
      <c r="T16" s="395"/>
      <c r="U16" s="120" t="str">
        <f t="shared" si="1"/>
        <v>Okay</v>
      </c>
    </row>
    <row r="17" spans="1:34">
      <c r="A17" s="392" t="s">
        <v>468</v>
      </c>
      <c r="B17" s="399"/>
      <c r="C17" s="400"/>
      <c r="D17" s="113">
        <f t="shared" si="2"/>
        <v>0</v>
      </c>
      <c r="E17" s="394"/>
      <c r="F17" s="394"/>
      <c r="G17" s="394"/>
      <c r="H17" s="394"/>
      <c r="I17" s="395"/>
      <c r="J17" s="113">
        <f t="shared" si="0"/>
        <v>0</v>
      </c>
      <c r="K17" s="394"/>
      <c r="L17" s="394"/>
      <c r="M17" s="394"/>
      <c r="N17" s="394"/>
      <c r="O17" s="394"/>
      <c r="P17" s="394"/>
      <c r="Q17" s="394"/>
      <c r="R17" s="394"/>
      <c r="S17" s="394"/>
      <c r="T17" s="395"/>
      <c r="U17" s="120" t="str">
        <f t="shared" si="1"/>
        <v>Okay</v>
      </c>
    </row>
    <row r="18" spans="1:34">
      <c r="A18" s="392" t="s">
        <v>469</v>
      </c>
      <c r="B18" s="399"/>
      <c r="C18" s="400"/>
      <c r="D18" s="113">
        <f t="shared" si="2"/>
        <v>0</v>
      </c>
      <c r="E18" s="394"/>
      <c r="F18" s="394"/>
      <c r="G18" s="394"/>
      <c r="H18" s="394"/>
      <c r="I18" s="395"/>
      <c r="J18" s="113">
        <f t="shared" si="0"/>
        <v>0</v>
      </c>
      <c r="K18" s="394"/>
      <c r="L18" s="394"/>
      <c r="M18" s="394"/>
      <c r="N18" s="394"/>
      <c r="O18" s="394"/>
      <c r="P18" s="394"/>
      <c r="Q18" s="394"/>
      <c r="R18" s="394"/>
      <c r="S18" s="394"/>
      <c r="T18" s="395"/>
      <c r="U18" s="120" t="str">
        <f t="shared" si="1"/>
        <v>Okay</v>
      </c>
    </row>
    <row r="19" spans="1:34">
      <c r="A19" s="392" t="s">
        <v>470</v>
      </c>
      <c r="B19" s="399"/>
      <c r="C19" s="400"/>
      <c r="D19" s="113">
        <f t="shared" si="2"/>
        <v>0</v>
      </c>
      <c r="E19" s="394"/>
      <c r="F19" s="394"/>
      <c r="G19" s="394"/>
      <c r="H19" s="394"/>
      <c r="I19" s="395"/>
      <c r="J19" s="113">
        <f t="shared" si="0"/>
        <v>0</v>
      </c>
      <c r="K19" s="394"/>
      <c r="L19" s="394"/>
      <c r="M19" s="394"/>
      <c r="N19" s="394"/>
      <c r="O19" s="394"/>
      <c r="P19" s="394"/>
      <c r="Q19" s="394"/>
      <c r="R19" s="394"/>
      <c r="S19" s="394"/>
      <c r="T19" s="395"/>
      <c r="U19" s="120" t="str">
        <f t="shared" si="1"/>
        <v>Okay</v>
      </c>
    </row>
    <row r="20" spans="1:34">
      <c r="A20" s="392" t="s">
        <v>471</v>
      </c>
      <c r="B20" s="399"/>
      <c r="C20" s="400"/>
      <c r="D20" s="113">
        <f t="shared" si="2"/>
        <v>0</v>
      </c>
      <c r="E20" s="394"/>
      <c r="F20" s="394"/>
      <c r="G20" s="394"/>
      <c r="H20" s="394"/>
      <c r="I20" s="395"/>
      <c r="J20" s="113">
        <f t="shared" si="0"/>
        <v>0</v>
      </c>
      <c r="K20" s="394"/>
      <c r="L20" s="394"/>
      <c r="M20" s="394"/>
      <c r="N20" s="394"/>
      <c r="O20" s="394"/>
      <c r="P20" s="394"/>
      <c r="Q20" s="394"/>
      <c r="R20" s="394"/>
      <c r="S20" s="394"/>
      <c r="T20" s="395"/>
      <c r="U20" s="120" t="str">
        <f t="shared" si="1"/>
        <v>Okay</v>
      </c>
      <c r="AD20" s="24" t="s">
        <v>264</v>
      </c>
      <c r="AE20" s="1529" t="s">
        <v>260</v>
      </c>
      <c r="AF20" s="1530"/>
      <c r="AG20" s="1530"/>
      <c r="AH20" s="1530"/>
    </row>
    <row r="21" spans="1:34" ht="13.5" thickBot="1">
      <c r="A21" s="393" t="s">
        <v>472</v>
      </c>
      <c r="B21" s="401"/>
      <c r="C21" s="402"/>
      <c r="D21" s="114">
        <f t="shared" si="2"/>
        <v>0</v>
      </c>
      <c r="E21" s="396"/>
      <c r="F21" s="396"/>
      <c r="G21" s="396"/>
      <c r="H21" s="396"/>
      <c r="I21" s="403"/>
      <c r="J21" s="114">
        <f t="shared" si="0"/>
        <v>0</v>
      </c>
      <c r="K21" s="396"/>
      <c r="L21" s="396"/>
      <c r="M21" s="396"/>
      <c r="N21" s="396"/>
      <c r="O21" s="396"/>
      <c r="P21" s="396"/>
      <c r="Q21" s="396"/>
      <c r="R21" s="396"/>
      <c r="S21" s="396"/>
      <c r="T21" s="396"/>
      <c r="U21" s="121" t="str">
        <f t="shared" si="1"/>
        <v>Okay</v>
      </c>
      <c r="AD21" s="30" t="s">
        <v>265</v>
      </c>
      <c r="AE21" s="1531" t="s">
        <v>262</v>
      </c>
      <c r="AF21" s="1532"/>
      <c r="AG21" s="1531" t="s">
        <v>263</v>
      </c>
      <c r="AH21" s="1533"/>
    </row>
    <row r="22" spans="1:34" ht="13.5" thickBot="1">
      <c r="A22" s="117"/>
      <c r="B22" s="118" t="s">
        <v>473</v>
      </c>
      <c r="C22" s="119">
        <f>SUM(C12:C21)</f>
        <v>0</v>
      </c>
      <c r="AD22" s="31" t="s">
        <v>261</v>
      </c>
      <c r="AE22" s="25">
        <v>0.8</v>
      </c>
      <c r="AF22" s="26">
        <v>0.9</v>
      </c>
      <c r="AG22" s="27">
        <v>0.8</v>
      </c>
      <c r="AH22" s="27">
        <v>0.9</v>
      </c>
    </row>
    <row r="23" spans="1:34" ht="14.25" thickTop="1" thickBot="1">
      <c r="A23" s="6"/>
      <c r="B23" s="115" t="s">
        <v>459</v>
      </c>
      <c r="C23" s="120" t="str">
        <f>IF(C22=D5,"Okay","Check Total and DMA Areas!")</f>
        <v>Okay</v>
      </c>
      <c r="E23" s="1498" t="s">
        <v>534</v>
      </c>
      <c r="F23" s="1499"/>
      <c r="G23" s="1499"/>
      <c r="H23" s="1500"/>
      <c r="M23" s="1498" t="s">
        <v>535</v>
      </c>
      <c r="N23" s="1499"/>
      <c r="O23" s="1499"/>
      <c r="P23" s="1499"/>
      <c r="Q23" s="1500"/>
      <c r="AD23" s="14">
        <v>0.05</v>
      </c>
      <c r="AE23" s="28">
        <v>2.5000000000000001E-2</v>
      </c>
      <c r="AF23" s="14">
        <v>0.04</v>
      </c>
      <c r="AG23" s="13">
        <v>0.04</v>
      </c>
      <c r="AH23" s="13">
        <v>5.5E-2</v>
      </c>
    </row>
    <row r="24" spans="1:34" ht="15.75" thickTop="1" thickBot="1">
      <c r="A24" s="9"/>
      <c r="B24" s="116" t="s">
        <v>11</v>
      </c>
      <c r="C24" s="121" t="str">
        <f>IF(COUNTA(C12:C21)=D6,"Okay","Check Number of DMAs!")</f>
        <v>Okay</v>
      </c>
      <c r="E24" s="348" t="s">
        <v>477</v>
      </c>
      <c r="F24" s="349"/>
      <c r="G24" s="349"/>
      <c r="H24" s="421">
        <v>0.85</v>
      </c>
      <c r="M24" s="352" t="s">
        <v>753</v>
      </c>
      <c r="N24" s="349"/>
      <c r="O24" s="349"/>
      <c r="P24" s="349"/>
      <c r="Q24" s="423" t="s">
        <v>572</v>
      </c>
      <c r="AD24" s="14">
        <v>0.1</v>
      </c>
      <c r="AE24" s="29">
        <v>0.06</v>
      </c>
      <c r="AF24" s="14">
        <v>7.4999999999999997E-2</v>
      </c>
      <c r="AG24" s="13">
        <v>7.4999999999999997E-2</v>
      </c>
      <c r="AH24" s="13">
        <v>0.105</v>
      </c>
    </row>
    <row r="25" spans="1:34" ht="14.25">
      <c r="E25" s="348" t="s">
        <v>456</v>
      </c>
      <c r="F25" s="349"/>
      <c r="G25" s="349"/>
      <c r="H25" s="421">
        <v>0.8</v>
      </c>
      <c r="M25" s="352" t="s">
        <v>754</v>
      </c>
      <c r="N25" s="349"/>
      <c r="O25" s="349"/>
      <c r="P25" s="349"/>
      <c r="Q25" s="424" t="s">
        <v>572</v>
      </c>
      <c r="AD25" s="14">
        <v>0.15</v>
      </c>
      <c r="AE25" s="29">
        <v>8.5000000000000006E-2</v>
      </c>
      <c r="AF25" s="14">
        <v>0.12</v>
      </c>
      <c r="AG25" s="13">
        <v>0.11</v>
      </c>
      <c r="AH25" s="13">
        <v>0.15</v>
      </c>
    </row>
    <row r="26" spans="1:34" ht="14.25">
      <c r="E26" s="348" t="s">
        <v>457</v>
      </c>
      <c r="F26" s="349"/>
      <c r="G26" s="349"/>
      <c r="H26" s="421">
        <v>0.9</v>
      </c>
      <c r="I26" s="12"/>
      <c r="M26" s="353" t="s">
        <v>756</v>
      </c>
      <c r="N26" s="349"/>
      <c r="O26" s="349"/>
      <c r="P26" s="349"/>
      <c r="Q26" s="421">
        <v>0.25</v>
      </c>
      <c r="AD26" s="14">
        <v>0.2</v>
      </c>
      <c r="AE26" s="29">
        <v>0.11</v>
      </c>
      <c r="AF26" s="14">
        <v>0.1525</v>
      </c>
      <c r="AG26" s="13">
        <v>0.14749999999999999</v>
      </c>
      <c r="AH26" s="13">
        <v>0.2</v>
      </c>
    </row>
    <row r="27" spans="1:34" ht="13.5" thickBot="1">
      <c r="E27" s="348" t="s">
        <v>502</v>
      </c>
      <c r="F27" s="349"/>
      <c r="G27" s="349"/>
      <c r="H27" s="421">
        <v>0.75</v>
      </c>
      <c r="M27" s="352" t="s">
        <v>496</v>
      </c>
      <c r="N27" s="349"/>
      <c r="O27" s="349"/>
      <c r="P27" s="349"/>
      <c r="Q27" s="421">
        <v>0.2</v>
      </c>
      <c r="AD27" s="14">
        <v>0.25</v>
      </c>
      <c r="AE27" s="29">
        <v>0.13500000000000001</v>
      </c>
      <c r="AF27" s="14">
        <v>0.19</v>
      </c>
      <c r="AG27" s="13">
        <v>0.185</v>
      </c>
      <c r="AH27" s="13">
        <v>0.2525</v>
      </c>
    </row>
    <row r="28" spans="1:34" ht="13.5" thickBot="1">
      <c r="E28" s="350" t="s">
        <v>458</v>
      </c>
      <c r="F28" s="351"/>
      <c r="G28" s="351"/>
      <c r="H28" s="404"/>
      <c r="I28" s="347" t="s">
        <v>413</v>
      </c>
      <c r="M28" s="353" t="s">
        <v>497</v>
      </c>
      <c r="N28" s="349"/>
      <c r="O28" s="349"/>
      <c r="P28" s="349"/>
      <c r="Q28" s="421">
        <v>0.35</v>
      </c>
      <c r="AD28" s="14">
        <v>0.3</v>
      </c>
      <c r="AE28" s="29">
        <v>0.16250000000000001</v>
      </c>
      <c r="AF28" s="14">
        <v>0.23</v>
      </c>
      <c r="AG28" s="13">
        <v>0.22750000000000001</v>
      </c>
      <c r="AH28" s="13">
        <v>0.30499999999999999</v>
      </c>
    </row>
    <row r="29" spans="1:34" ht="13.5" thickBot="1">
      <c r="M29" s="353" t="s">
        <v>498</v>
      </c>
      <c r="N29" s="349"/>
      <c r="O29" s="349"/>
      <c r="P29" s="349"/>
      <c r="Q29" s="421">
        <v>0.08</v>
      </c>
      <c r="AD29" s="14">
        <v>0.35</v>
      </c>
      <c r="AE29" s="29">
        <v>0.19</v>
      </c>
      <c r="AF29" s="14">
        <v>0.26</v>
      </c>
      <c r="AG29" s="13">
        <v>0.26</v>
      </c>
      <c r="AH29" s="13">
        <v>0.35749999999999998</v>
      </c>
    </row>
    <row r="30" spans="1:34" ht="13.5" thickBot="1">
      <c r="C30" s="1501" t="s">
        <v>150</v>
      </c>
      <c r="D30" s="1502"/>
      <c r="E30" s="1503"/>
      <c r="M30" s="353" t="s">
        <v>499</v>
      </c>
      <c r="N30" s="349"/>
      <c r="O30" s="349"/>
      <c r="P30" s="349"/>
      <c r="Q30" s="421">
        <v>0.17</v>
      </c>
      <c r="AD30" s="14">
        <v>0.4</v>
      </c>
      <c r="AE30" s="29">
        <v>0.215</v>
      </c>
      <c r="AF30" s="14">
        <v>0.3</v>
      </c>
      <c r="AG30" s="13">
        <v>0.29749999999999999</v>
      </c>
      <c r="AH30" s="13">
        <v>0.40749999999999997</v>
      </c>
    </row>
    <row r="31" spans="1:34" ht="13.5" thickBot="1">
      <c r="A31" s="367" t="s">
        <v>13</v>
      </c>
      <c r="B31" s="406"/>
      <c r="C31" s="1504" t="s">
        <v>536</v>
      </c>
      <c r="D31" s="1505"/>
      <c r="E31" s="1506"/>
      <c r="M31" s="353" t="s">
        <v>500</v>
      </c>
      <c r="N31" s="349"/>
      <c r="O31" s="349"/>
      <c r="P31" s="349"/>
      <c r="Q31" s="421">
        <v>0.15</v>
      </c>
      <c r="AD31" s="14">
        <v>0.45</v>
      </c>
      <c r="AE31" s="29">
        <v>0.24</v>
      </c>
      <c r="AF31" s="14">
        <v>0.32500000000000001</v>
      </c>
      <c r="AG31" s="13">
        <v>0.33250000000000002</v>
      </c>
      <c r="AH31" s="13">
        <v>0.46</v>
      </c>
    </row>
    <row r="32" spans="1:34" ht="14.25" thickTop="1" thickBot="1">
      <c r="A32" s="270" t="s">
        <v>463</v>
      </c>
      <c r="B32" s="142">
        <f t="shared" ref="B32:B41" si="3">B12</f>
        <v>0</v>
      </c>
      <c r="C32" s="92"/>
      <c r="D32" s="106" t="e">
        <f>(E12*$H$24+F12*$H$25+G12*$H$26+H12*$H$27+I12*$H$28+K12*0+L12*0+M12*$Q$26+N12*$Q$27+O12*$Q$28+P12*$Q$29+Q12*$Q$30+R12*$Q$31+S12*$Q$32+T12*$Q$33)/(J12+D12)</f>
        <v>#DIV/0!</v>
      </c>
      <c r="E32" s="91"/>
      <c r="M32" s="353" t="s">
        <v>501</v>
      </c>
      <c r="N32" s="349"/>
      <c r="O32" s="349"/>
      <c r="P32" s="349"/>
      <c r="Q32" s="422">
        <v>0.3</v>
      </c>
      <c r="AD32" s="14">
        <v>0.5</v>
      </c>
      <c r="AE32" s="29">
        <v>0.27</v>
      </c>
      <c r="AF32" s="14">
        <v>0.375</v>
      </c>
      <c r="AG32" s="13">
        <v>0.37</v>
      </c>
      <c r="AH32" s="13">
        <v>0.51</v>
      </c>
    </row>
    <row r="33" spans="1:34" ht="13.5" thickBot="1">
      <c r="A33" s="270" t="s">
        <v>464</v>
      </c>
      <c r="B33" s="142">
        <f t="shared" si="3"/>
        <v>0</v>
      </c>
      <c r="C33" s="92"/>
      <c r="D33" s="106" t="e">
        <f t="shared" ref="D33:D41" si="4">(E13*$H$24+F13*$H$25+G13*$H$26+H13*$H$27+I13*$H$28+K13*0+L13*0+M13*$Q$26+N13*$Q$27+O13*$Q$28+P13*$Q$29+Q13*$Q$30+R13*$Q$31+S13*$Q$32+T13*$Q$33)/(J13+D13)</f>
        <v>#DIV/0!</v>
      </c>
      <c r="E33" s="91"/>
      <c r="G33" s="3"/>
      <c r="H33" s="22"/>
      <c r="I33" s="23"/>
      <c r="M33" s="354" t="s">
        <v>458</v>
      </c>
      <c r="N33" s="351"/>
      <c r="O33" s="351"/>
      <c r="P33" s="351"/>
      <c r="Q33" s="404"/>
      <c r="R33" s="347" t="s">
        <v>208</v>
      </c>
      <c r="AD33" s="14">
        <v>0.55000000000000004</v>
      </c>
      <c r="AE33" s="29">
        <v>0.3</v>
      </c>
      <c r="AF33" s="14">
        <v>0.42</v>
      </c>
      <c r="AG33" s="13">
        <v>0.40749999999999997</v>
      </c>
      <c r="AH33" s="13">
        <v>0.5605</v>
      </c>
    </row>
    <row r="34" spans="1:34" ht="13.5" thickBot="1">
      <c r="A34" s="270" t="s">
        <v>465</v>
      </c>
      <c r="B34" s="142">
        <f t="shared" si="3"/>
        <v>0</v>
      </c>
      <c r="C34" s="92"/>
      <c r="D34" s="106" t="e">
        <f t="shared" si="4"/>
        <v>#DIV/0!</v>
      </c>
      <c r="E34" s="91"/>
      <c r="H34" s="3"/>
      <c r="I34" s="3"/>
      <c r="J34" s="3"/>
      <c r="Q34" s="3"/>
      <c r="AD34" s="14">
        <v>0.6</v>
      </c>
      <c r="AE34" s="29">
        <v>0.32500000000000001</v>
      </c>
      <c r="AF34" s="14">
        <v>0.45250000000000001</v>
      </c>
      <c r="AG34" s="13">
        <v>0.44</v>
      </c>
      <c r="AH34" s="13">
        <v>0.61499999999999999</v>
      </c>
    </row>
    <row r="35" spans="1:34" ht="13.5" thickBot="1">
      <c r="A35" s="270" t="s">
        <v>466</v>
      </c>
      <c r="B35" s="142">
        <f t="shared" si="3"/>
        <v>0</v>
      </c>
      <c r="C35" s="92"/>
      <c r="D35" s="106" t="e">
        <f t="shared" si="4"/>
        <v>#DIV/0!</v>
      </c>
      <c r="E35" s="91"/>
      <c r="H35" s="1507" t="s">
        <v>228</v>
      </c>
      <c r="I35" s="1508"/>
      <c r="J35" s="1508"/>
      <c r="K35" s="1508"/>
      <c r="L35" s="1508"/>
      <c r="M35" s="1508"/>
      <c r="N35" s="1508"/>
      <c r="O35" s="1508"/>
      <c r="P35" s="1509"/>
      <c r="Q35" s="405"/>
      <c r="R35" s="347" t="s">
        <v>151</v>
      </c>
      <c r="AD35" s="14">
        <v>0.65</v>
      </c>
      <c r="AE35" s="29">
        <v>0.35</v>
      </c>
      <c r="AF35" s="14">
        <v>0.495</v>
      </c>
      <c r="AG35" s="13">
        <v>0.48</v>
      </c>
      <c r="AH35" s="13">
        <v>0.66500000000000004</v>
      </c>
    </row>
    <row r="36" spans="1:34">
      <c r="A36" s="270" t="s">
        <v>467</v>
      </c>
      <c r="B36" s="142">
        <f t="shared" si="3"/>
        <v>0</v>
      </c>
      <c r="C36" s="92"/>
      <c r="D36" s="106" t="e">
        <f t="shared" si="4"/>
        <v>#DIV/0!</v>
      </c>
      <c r="E36" s="91"/>
      <c r="H36" s="355" t="s">
        <v>37</v>
      </c>
      <c r="I36" s="223" t="s">
        <v>701</v>
      </c>
      <c r="J36" s="349"/>
      <c r="K36" s="349"/>
      <c r="L36" s="349"/>
      <c r="M36" s="349"/>
      <c r="N36" s="349"/>
      <c r="O36" s="349"/>
      <c r="P36" s="349"/>
      <c r="Q36" s="356"/>
      <c r="AD36" s="14">
        <v>0.7</v>
      </c>
      <c r="AE36" s="29">
        <v>0.38</v>
      </c>
      <c r="AF36" s="14">
        <v>0.53</v>
      </c>
      <c r="AG36" s="13">
        <v>0.51500000000000001</v>
      </c>
      <c r="AH36" s="13">
        <v>0.72</v>
      </c>
    </row>
    <row r="37" spans="1:34" ht="13.5" thickBot="1">
      <c r="A37" s="270" t="s">
        <v>468</v>
      </c>
      <c r="B37" s="142">
        <f t="shared" si="3"/>
        <v>0</v>
      </c>
      <c r="C37" s="92"/>
      <c r="D37" s="106" t="e">
        <f t="shared" si="4"/>
        <v>#DIV/0!</v>
      </c>
      <c r="E37" s="91"/>
      <c r="H37" s="357" t="s">
        <v>38</v>
      </c>
      <c r="I37" s="358" t="s">
        <v>855</v>
      </c>
      <c r="J37" s="351"/>
      <c r="K37" s="351"/>
      <c r="L37" s="351"/>
      <c r="M37" s="351"/>
      <c r="N37" s="351"/>
      <c r="O37" s="351"/>
      <c r="P37" s="351"/>
      <c r="Q37" s="359"/>
      <c r="AD37" s="14">
        <v>0.75</v>
      </c>
      <c r="AE37" s="29">
        <v>0.41</v>
      </c>
      <c r="AF37" s="14">
        <v>0.56499999999999995</v>
      </c>
      <c r="AG37" s="13">
        <v>0.55249999999999999</v>
      </c>
      <c r="AH37" s="13">
        <v>0.77</v>
      </c>
    </row>
    <row r="38" spans="1:34" ht="13.5" thickBot="1">
      <c r="A38" s="270" t="s">
        <v>469</v>
      </c>
      <c r="B38" s="142">
        <f t="shared" si="3"/>
        <v>0</v>
      </c>
      <c r="C38" s="92"/>
      <c r="D38" s="106" t="e">
        <f t="shared" si="4"/>
        <v>#DIV/0!</v>
      </c>
      <c r="E38" s="91"/>
      <c r="H38" s="266"/>
      <c r="I38" s="34"/>
      <c r="J38" s="3"/>
      <c r="K38" s="3"/>
      <c r="L38" s="3"/>
      <c r="M38" s="3"/>
      <c r="N38" s="3"/>
      <c r="O38" s="3"/>
      <c r="P38" s="3"/>
      <c r="Q38" s="3"/>
      <c r="AD38" s="14">
        <v>0.8</v>
      </c>
      <c r="AE38" s="29">
        <v>0.43</v>
      </c>
      <c r="AF38" s="14">
        <v>0.60499999999999998</v>
      </c>
      <c r="AG38" s="13">
        <v>0.59</v>
      </c>
      <c r="AH38" s="13">
        <v>0.82</v>
      </c>
    </row>
    <row r="39" spans="1:34" ht="13.5" thickBot="1">
      <c r="A39" s="270" t="s">
        <v>470</v>
      </c>
      <c r="B39" s="142">
        <f t="shared" si="3"/>
        <v>0</v>
      </c>
      <c r="C39" s="92"/>
      <c r="D39" s="106" t="e">
        <f t="shared" si="4"/>
        <v>#DIV/0!</v>
      </c>
      <c r="E39" s="91"/>
      <c r="H39" s="272" t="s">
        <v>411</v>
      </c>
      <c r="I39" s="273"/>
      <c r="J39" s="273"/>
      <c r="K39" s="273"/>
      <c r="L39" s="273"/>
      <c r="M39" s="273"/>
      <c r="N39" s="273"/>
      <c r="O39" s="273"/>
      <c r="P39" s="273"/>
      <c r="Q39" s="274"/>
      <c r="AD39" s="14">
        <v>0.85</v>
      </c>
      <c r="AE39" s="29">
        <v>0.46500000000000002</v>
      </c>
      <c r="AF39" s="14">
        <v>0.64500000000000002</v>
      </c>
      <c r="AG39" s="13">
        <v>0.625</v>
      </c>
      <c r="AH39" s="13">
        <v>0.87</v>
      </c>
    </row>
    <row r="40" spans="1:34" ht="14.25" thickTop="1" thickBot="1">
      <c r="A40" s="270" t="s">
        <v>471</v>
      </c>
      <c r="B40" s="142">
        <f t="shared" si="3"/>
        <v>0</v>
      </c>
      <c r="C40" s="92"/>
      <c r="D40" s="106" t="e">
        <f t="shared" si="4"/>
        <v>#DIV/0!</v>
      </c>
      <c r="E40" s="91"/>
      <c r="H40" s="350" t="s">
        <v>410</v>
      </c>
      <c r="I40" s="351"/>
      <c r="J40" s="351"/>
      <c r="K40" s="351"/>
      <c r="L40" s="351"/>
      <c r="M40" s="351"/>
      <c r="N40" s="351"/>
      <c r="O40" s="351"/>
      <c r="P40" s="360"/>
      <c r="Q40" s="422">
        <v>0.2</v>
      </c>
      <c r="AD40" s="14">
        <v>0.9</v>
      </c>
      <c r="AE40" s="29">
        <v>0.49</v>
      </c>
      <c r="AF40" s="14">
        <v>0.68500000000000005</v>
      </c>
      <c r="AG40" s="13">
        <v>0.66</v>
      </c>
      <c r="AH40" s="13">
        <v>0.92</v>
      </c>
    </row>
    <row r="41" spans="1:34" ht="13.5" thickBot="1">
      <c r="A41" s="271" t="s">
        <v>472</v>
      </c>
      <c r="B41" s="143">
        <f t="shared" si="3"/>
        <v>0</v>
      </c>
      <c r="C41" s="93"/>
      <c r="D41" s="108" t="e">
        <f t="shared" si="4"/>
        <v>#DIV/0!</v>
      </c>
      <c r="E41" s="94"/>
      <c r="H41" s="268" t="s">
        <v>434</v>
      </c>
      <c r="AD41" s="14">
        <v>0.95</v>
      </c>
      <c r="AE41" s="29">
        <v>0.51500000000000001</v>
      </c>
      <c r="AF41" s="14">
        <v>0.72</v>
      </c>
      <c r="AG41" s="13">
        <v>0.69499999999999995</v>
      </c>
      <c r="AH41" s="13">
        <v>0.97</v>
      </c>
    </row>
    <row r="42" spans="1:34" ht="13.5" thickBot="1">
      <c r="AD42" s="14">
        <v>1</v>
      </c>
      <c r="AE42" s="29">
        <v>0.54</v>
      </c>
      <c r="AF42" s="14">
        <v>0.755</v>
      </c>
      <c r="AG42" s="13">
        <v>0.73499999999999999</v>
      </c>
      <c r="AH42" s="13">
        <v>1.0249999999999999</v>
      </c>
    </row>
    <row r="43" spans="1:34" ht="13.5" thickBot="1">
      <c r="C43" s="1501" t="s">
        <v>152</v>
      </c>
      <c r="D43" s="1502"/>
      <c r="E43" s="1503"/>
      <c r="F43" s="1501" t="s">
        <v>197</v>
      </c>
      <c r="G43" s="1502"/>
      <c r="H43" s="1503"/>
      <c r="I43" s="3"/>
      <c r="J43" s="1501" t="s">
        <v>196</v>
      </c>
      <c r="K43" s="1502"/>
      <c r="L43" s="1502"/>
      <c r="M43" s="1502"/>
      <c r="N43" s="1502"/>
      <c r="O43" s="1502"/>
      <c r="P43" s="1502"/>
      <c r="Q43" s="1502"/>
      <c r="R43" s="1502"/>
      <c r="S43" s="1502"/>
      <c r="T43" s="1502"/>
      <c r="U43" s="1516"/>
    </row>
    <row r="44" spans="1:34" ht="13.5" thickBot="1">
      <c r="A44" s="329" t="s">
        <v>13</v>
      </c>
      <c r="B44" s="330"/>
      <c r="C44" s="1495" t="s">
        <v>553</v>
      </c>
      <c r="D44" s="1496"/>
      <c r="E44" s="1497"/>
      <c r="F44" s="1495" t="s">
        <v>554</v>
      </c>
      <c r="G44" s="1496"/>
      <c r="H44" s="1497"/>
      <c r="I44" s="3"/>
      <c r="J44" s="362" t="s">
        <v>232</v>
      </c>
      <c r="K44" s="363" t="s">
        <v>233</v>
      </c>
      <c r="L44" s="1513" t="s">
        <v>234</v>
      </c>
      <c r="M44" s="1514"/>
      <c r="N44" s="1514"/>
      <c r="O44" s="1514"/>
      <c r="P44" s="1514"/>
      <c r="Q44" s="1514"/>
      <c r="R44" s="1514"/>
      <c r="S44" s="1514"/>
      <c r="T44" s="1514"/>
      <c r="U44" s="1515"/>
    </row>
    <row r="45" spans="1:34" ht="13.5" thickBot="1">
      <c r="A45" s="340"/>
      <c r="B45" s="361"/>
      <c r="C45" s="1521" t="s">
        <v>537</v>
      </c>
      <c r="D45" s="1522"/>
      <c r="E45" s="1523"/>
      <c r="F45" s="1521" t="s">
        <v>460</v>
      </c>
      <c r="G45" s="1522"/>
      <c r="H45" s="1523"/>
      <c r="I45" s="3"/>
      <c r="J45" s="110"/>
      <c r="K45" s="377" t="s">
        <v>474</v>
      </c>
      <c r="L45" s="367" t="s">
        <v>235</v>
      </c>
      <c r="M45" s="364"/>
      <c r="N45" s="364"/>
      <c r="O45" s="365" t="s">
        <v>236</v>
      </c>
      <c r="P45" s="366" t="s">
        <v>237</v>
      </c>
      <c r="Q45" s="367" t="s">
        <v>235</v>
      </c>
      <c r="R45" s="364"/>
      <c r="S45" s="364"/>
      <c r="T45" s="368" t="s">
        <v>236</v>
      </c>
      <c r="U45" s="366" t="s">
        <v>237</v>
      </c>
    </row>
    <row r="46" spans="1:34" ht="13.5" thickTop="1">
      <c r="A46" s="270" t="s">
        <v>463</v>
      </c>
      <c r="B46" s="144">
        <f t="shared" ref="B46:B55" si="5">B32</f>
        <v>0</v>
      </c>
      <c r="C46" s="92"/>
      <c r="D46" s="102" t="e">
        <f t="shared" ref="D46:D55" si="6">D32*$Q$40*((C12)/43560)</f>
        <v>#DIV/0!</v>
      </c>
      <c r="E46" s="103"/>
      <c r="F46" s="104"/>
      <c r="G46" s="105" t="str">
        <f t="shared" ref="G46:G55" si="7">IF($Q$35=1,((D32/1.3583)/12)*(C12), IF($Q$35=2,(D32*C12*0.75/12),"ERROR"))</f>
        <v>ERROR</v>
      </c>
      <c r="H46" s="91"/>
      <c r="I46" s="3"/>
      <c r="J46" s="269" t="s">
        <v>854</v>
      </c>
      <c r="K46" s="378">
        <f t="shared" ref="K46:K55" si="8">C12/43560</f>
        <v>0</v>
      </c>
      <c r="L46" s="323" t="s">
        <v>238</v>
      </c>
      <c r="M46" s="322"/>
      <c r="N46" s="2"/>
      <c r="O46" s="306" t="s">
        <v>239</v>
      </c>
      <c r="P46" s="307"/>
      <c r="Q46" s="373" t="s">
        <v>759</v>
      </c>
      <c r="R46" s="374"/>
      <c r="S46" s="374"/>
      <c r="T46" s="308"/>
      <c r="U46" s="309" t="s">
        <v>556</v>
      </c>
    </row>
    <row r="47" spans="1:34">
      <c r="A47" s="270" t="s">
        <v>464</v>
      </c>
      <c r="B47" s="142">
        <f t="shared" si="5"/>
        <v>0</v>
      </c>
      <c r="C47" s="92"/>
      <c r="D47" s="106" t="e">
        <f t="shared" si="6"/>
        <v>#DIV/0!</v>
      </c>
      <c r="E47" s="91"/>
      <c r="F47" s="92"/>
      <c r="G47" s="107" t="str">
        <f t="shared" si="7"/>
        <v>ERROR</v>
      </c>
      <c r="H47" s="91"/>
      <c r="I47" s="3"/>
      <c r="J47" s="270" t="s">
        <v>464</v>
      </c>
      <c r="K47" s="379">
        <f t="shared" si="8"/>
        <v>0</v>
      </c>
      <c r="L47" s="47" t="s">
        <v>241</v>
      </c>
      <c r="M47" s="2"/>
      <c r="N47" s="2"/>
      <c r="O47" s="306" t="s">
        <v>416</v>
      </c>
      <c r="P47" s="307"/>
      <c r="Q47" s="47" t="s">
        <v>419</v>
      </c>
      <c r="R47" s="2"/>
      <c r="S47" s="2"/>
      <c r="T47" s="310"/>
      <c r="U47" s="307" t="s">
        <v>416</v>
      </c>
    </row>
    <row r="48" spans="1:34">
      <c r="A48" s="270" t="s">
        <v>465</v>
      </c>
      <c r="B48" s="142">
        <f t="shared" si="5"/>
        <v>0</v>
      </c>
      <c r="C48" s="92"/>
      <c r="D48" s="106" t="e">
        <f t="shared" si="6"/>
        <v>#DIV/0!</v>
      </c>
      <c r="E48" s="91"/>
      <c r="F48" s="92"/>
      <c r="G48" s="107" t="str">
        <f t="shared" si="7"/>
        <v>ERROR</v>
      </c>
      <c r="H48" s="91"/>
      <c r="I48" s="3"/>
      <c r="J48" s="270" t="s">
        <v>465</v>
      </c>
      <c r="K48" s="379">
        <f t="shared" si="8"/>
        <v>0</v>
      </c>
      <c r="L48" s="47" t="s">
        <v>417</v>
      </c>
      <c r="M48" s="2"/>
      <c r="N48" s="2"/>
      <c r="O48" s="306"/>
      <c r="P48" s="307" t="s">
        <v>418</v>
      </c>
      <c r="Q48" s="47" t="s">
        <v>50</v>
      </c>
      <c r="R48" s="2"/>
      <c r="S48" s="2"/>
      <c r="T48" s="310"/>
      <c r="U48" s="307" t="s">
        <v>240</v>
      </c>
    </row>
    <row r="49" spans="1:21">
      <c r="A49" s="270" t="s">
        <v>466</v>
      </c>
      <c r="B49" s="142">
        <f t="shared" si="5"/>
        <v>0</v>
      </c>
      <c r="C49" s="92"/>
      <c r="D49" s="106" t="e">
        <f t="shared" si="6"/>
        <v>#DIV/0!</v>
      </c>
      <c r="E49" s="91"/>
      <c r="F49" s="92"/>
      <c r="G49" s="107" t="str">
        <f t="shared" si="7"/>
        <v>ERROR</v>
      </c>
      <c r="H49" s="91"/>
      <c r="J49" s="270" t="s">
        <v>466</v>
      </c>
      <c r="K49" s="379">
        <f t="shared" si="8"/>
        <v>0</v>
      </c>
      <c r="L49" s="47" t="s">
        <v>420</v>
      </c>
      <c r="M49" s="2"/>
      <c r="N49" s="2"/>
      <c r="O49" s="306"/>
      <c r="P49" s="307" t="s">
        <v>421</v>
      </c>
      <c r="Q49" s="370" t="s">
        <v>52</v>
      </c>
      <c r="R49" s="371"/>
      <c r="S49" s="375"/>
      <c r="T49" s="1493" t="s">
        <v>53</v>
      </c>
      <c r="U49" s="1494"/>
    </row>
    <row r="50" spans="1:21">
      <c r="A50" s="270" t="s">
        <v>467</v>
      </c>
      <c r="B50" s="142">
        <f t="shared" si="5"/>
        <v>0</v>
      </c>
      <c r="C50" s="92"/>
      <c r="D50" s="106" t="e">
        <f t="shared" si="6"/>
        <v>#DIV/0!</v>
      </c>
      <c r="E50" s="91"/>
      <c r="F50" s="92"/>
      <c r="G50" s="107" t="str">
        <f t="shared" si="7"/>
        <v>ERROR</v>
      </c>
      <c r="H50" s="91"/>
      <c r="J50" s="270" t="s">
        <v>467</v>
      </c>
      <c r="K50" s="379">
        <f t="shared" si="8"/>
        <v>0</v>
      </c>
      <c r="L50" s="47" t="s">
        <v>51</v>
      </c>
      <c r="M50" s="2"/>
      <c r="N50" s="2"/>
      <c r="O50" s="306"/>
      <c r="P50" s="307" t="s">
        <v>416</v>
      </c>
      <c r="Q50" s="370" t="s">
        <v>55</v>
      </c>
      <c r="R50" s="371"/>
      <c r="S50" s="372"/>
      <c r="T50" s="1493" t="s">
        <v>53</v>
      </c>
      <c r="U50" s="1494"/>
    </row>
    <row r="51" spans="1:21">
      <c r="A51" s="270" t="s">
        <v>468</v>
      </c>
      <c r="B51" s="142">
        <f t="shared" si="5"/>
        <v>0</v>
      </c>
      <c r="C51" s="92"/>
      <c r="D51" s="106" t="e">
        <f t="shared" si="6"/>
        <v>#DIV/0!</v>
      </c>
      <c r="E51" s="91"/>
      <c r="F51" s="92"/>
      <c r="G51" s="107" t="str">
        <f t="shared" si="7"/>
        <v>ERROR</v>
      </c>
      <c r="H51" s="91"/>
      <c r="J51" s="270" t="s">
        <v>468</v>
      </c>
      <c r="K51" s="379">
        <f t="shared" si="8"/>
        <v>0</v>
      </c>
      <c r="L51" s="47" t="s">
        <v>54</v>
      </c>
      <c r="M51" s="2"/>
      <c r="N51" s="2"/>
      <c r="O51" s="306"/>
      <c r="P51" s="307" t="s">
        <v>416</v>
      </c>
      <c r="Q51" s="370" t="s">
        <v>58</v>
      </c>
      <c r="R51" s="371"/>
      <c r="S51" s="371"/>
      <c r="T51" s="1493" t="s">
        <v>53</v>
      </c>
      <c r="U51" s="1494"/>
    </row>
    <row r="52" spans="1:21" ht="15.75">
      <c r="A52" s="270" t="s">
        <v>469</v>
      </c>
      <c r="B52" s="142">
        <f t="shared" si="5"/>
        <v>0</v>
      </c>
      <c r="C52" s="92"/>
      <c r="D52" s="106" t="e">
        <f t="shared" si="6"/>
        <v>#DIV/0!</v>
      </c>
      <c r="E52" s="91"/>
      <c r="F52" s="92"/>
      <c r="G52" s="107" t="str">
        <f t="shared" si="7"/>
        <v>ERROR</v>
      </c>
      <c r="H52" s="91"/>
      <c r="J52" s="270" t="s">
        <v>469</v>
      </c>
      <c r="K52" s="379">
        <f t="shared" si="8"/>
        <v>0</v>
      </c>
      <c r="L52" s="370" t="s">
        <v>56</v>
      </c>
      <c r="M52" s="371"/>
      <c r="N52" s="372"/>
      <c r="O52" s="306"/>
      <c r="P52" s="307" t="s">
        <v>57</v>
      </c>
      <c r="Q52" s="370" t="s">
        <v>60</v>
      </c>
      <c r="R52" s="371"/>
      <c r="S52" s="371"/>
      <c r="T52" s="1493" t="s">
        <v>53</v>
      </c>
      <c r="U52" s="1494"/>
    </row>
    <row r="53" spans="1:21">
      <c r="A53" s="270" t="s">
        <v>470</v>
      </c>
      <c r="B53" s="142">
        <f t="shared" si="5"/>
        <v>0</v>
      </c>
      <c r="C53" s="92"/>
      <c r="D53" s="106" t="e">
        <f t="shared" si="6"/>
        <v>#DIV/0!</v>
      </c>
      <c r="E53" s="91"/>
      <c r="F53" s="92"/>
      <c r="G53" s="107" t="str">
        <f t="shared" si="7"/>
        <v>ERROR</v>
      </c>
      <c r="H53" s="91"/>
      <c r="J53" s="270" t="s">
        <v>470</v>
      </c>
      <c r="K53" s="379">
        <f t="shared" si="8"/>
        <v>0</v>
      </c>
      <c r="L53" s="370" t="s">
        <v>59</v>
      </c>
      <c r="M53" s="371"/>
      <c r="N53" s="372"/>
      <c r="O53" s="306" t="s">
        <v>362</v>
      </c>
      <c r="P53" s="307"/>
      <c r="Q53" s="370" t="s">
        <v>851</v>
      </c>
      <c r="R53" s="371"/>
      <c r="S53" s="371"/>
      <c r="T53" s="1493" t="s">
        <v>53</v>
      </c>
      <c r="U53" s="1494"/>
    </row>
    <row r="54" spans="1:21">
      <c r="A54" s="270" t="s">
        <v>471</v>
      </c>
      <c r="B54" s="142">
        <f t="shared" si="5"/>
        <v>0</v>
      </c>
      <c r="C54" s="92"/>
      <c r="D54" s="106" t="e">
        <f t="shared" si="6"/>
        <v>#DIV/0!</v>
      </c>
      <c r="E54" s="91"/>
      <c r="F54" s="92"/>
      <c r="G54" s="107" t="str">
        <f t="shared" si="7"/>
        <v>ERROR</v>
      </c>
      <c r="H54" s="91"/>
      <c r="J54" s="270" t="s">
        <v>471</v>
      </c>
      <c r="K54" s="379">
        <f t="shared" si="8"/>
        <v>0</v>
      </c>
      <c r="L54" s="387" t="s">
        <v>423</v>
      </c>
      <c r="M54" s="311"/>
      <c r="N54" s="311"/>
      <c r="O54" s="312"/>
      <c r="P54" s="313" t="s">
        <v>421</v>
      </c>
      <c r="Q54" s="382" t="s">
        <v>853</v>
      </c>
      <c r="R54" s="383"/>
      <c r="S54" s="384"/>
      <c r="T54" s="1526" t="s">
        <v>53</v>
      </c>
      <c r="U54" s="1527"/>
    </row>
    <row r="55" spans="1:21" ht="13.5" thickBot="1">
      <c r="A55" s="271" t="s">
        <v>472</v>
      </c>
      <c r="B55" s="143">
        <f t="shared" si="5"/>
        <v>0</v>
      </c>
      <c r="C55" s="93"/>
      <c r="D55" s="108" t="e">
        <f t="shared" si="6"/>
        <v>#DIV/0!</v>
      </c>
      <c r="E55" s="94"/>
      <c r="F55" s="93"/>
      <c r="G55" s="109" t="str">
        <f t="shared" si="7"/>
        <v>ERROR</v>
      </c>
      <c r="H55" s="94"/>
      <c r="J55" s="271" t="s">
        <v>472</v>
      </c>
      <c r="K55" s="376">
        <f t="shared" si="8"/>
        <v>0</v>
      </c>
      <c r="L55" s="380" t="s">
        <v>852</v>
      </c>
      <c r="M55" s="381"/>
      <c r="N55" s="381"/>
      <c r="O55" s="51"/>
      <c r="P55" s="51"/>
      <c r="Q55" s="459" t="s">
        <v>555</v>
      </c>
      <c r="R55" s="10"/>
      <c r="S55" s="10"/>
      <c r="T55" s="10"/>
      <c r="U55" s="11"/>
    </row>
    <row r="57" spans="1:21" s="46" customFormat="1">
      <c r="A57" s="1" t="s">
        <v>719</v>
      </c>
    </row>
    <row r="58" spans="1:21" s="46" customFormat="1">
      <c r="A58" s="55" t="s">
        <v>758</v>
      </c>
    </row>
    <row r="59" spans="1:21" ht="14.1" customHeight="1">
      <c r="A59" s="386">
        <v>1</v>
      </c>
      <c r="B59" s="219" t="s">
        <v>326</v>
      </c>
      <c r="C59" s="218"/>
      <c r="D59" s="218"/>
      <c r="E59" s="218"/>
      <c r="F59" s="218"/>
      <c r="G59" s="218"/>
      <c r="H59" s="218"/>
      <c r="I59" s="218"/>
      <c r="J59" s="218"/>
      <c r="K59" s="218"/>
      <c r="L59" s="218"/>
      <c r="M59" s="218"/>
      <c r="N59" s="218"/>
      <c r="O59" s="218"/>
      <c r="P59" s="218"/>
      <c r="Q59" s="3"/>
      <c r="R59" s="3"/>
      <c r="S59" s="3"/>
      <c r="T59" s="3"/>
    </row>
    <row r="60" spans="1:21" ht="14.1" customHeight="1">
      <c r="A60" s="386">
        <v>2</v>
      </c>
      <c r="B60" s="1491" t="s">
        <v>429</v>
      </c>
      <c r="C60" s="1492"/>
      <c r="D60" s="1492"/>
      <c r="E60" s="1492"/>
      <c r="F60" s="1492"/>
      <c r="G60" s="1492"/>
      <c r="H60" s="1492"/>
      <c r="I60" s="1492"/>
      <c r="J60" s="1492"/>
      <c r="K60" s="1492"/>
      <c r="L60" s="1492"/>
      <c r="M60" s="1492"/>
      <c r="N60" s="1492"/>
      <c r="O60" s="1492"/>
      <c r="P60" s="1492"/>
      <c r="Q60" s="1492"/>
      <c r="R60" s="1492"/>
      <c r="S60" s="1492"/>
      <c r="T60" s="1492"/>
      <c r="U60" s="1492"/>
    </row>
    <row r="61" spans="1:21" ht="14.1" customHeight="1">
      <c r="A61" s="386">
        <v>3</v>
      </c>
      <c r="B61" s="219" t="s">
        <v>414</v>
      </c>
      <c r="C61" s="218"/>
      <c r="D61" s="218"/>
      <c r="E61" s="218"/>
      <c r="F61" s="218"/>
      <c r="G61" s="218"/>
      <c r="H61" s="218"/>
      <c r="I61" s="218"/>
      <c r="J61" s="218"/>
      <c r="K61" s="218"/>
      <c r="L61" s="218"/>
      <c r="M61" s="218"/>
      <c r="N61" s="218"/>
      <c r="O61" s="218"/>
      <c r="P61" s="218"/>
      <c r="Q61" s="3"/>
      <c r="R61" s="3"/>
      <c r="S61" s="3"/>
      <c r="T61" s="3"/>
    </row>
    <row r="62" spans="1:21" ht="14.1" customHeight="1">
      <c r="A62" s="386">
        <v>4</v>
      </c>
      <c r="B62" s="219" t="s">
        <v>415</v>
      </c>
      <c r="C62" s="218"/>
      <c r="D62" s="218"/>
      <c r="E62" s="218"/>
      <c r="F62" s="218"/>
      <c r="G62" s="218"/>
      <c r="H62" s="218"/>
      <c r="I62" s="218"/>
      <c r="J62" s="218"/>
      <c r="K62" s="218"/>
      <c r="L62" s="218"/>
      <c r="M62" s="218"/>
      <c r="N62" s="218"/>
      <c r="O62" s="218"/>
      <c r="P62" s="218"/>
      <c r="Q62" s="3"/>
      <c r="R62" s="3"/>
      <c r="S62" s="3"/>
      <c r="T62" s="3"/>
    </row>
    <row r="63" spans="1:21" ht="30.75" customHeight="1">
      <c r="A63" s="386">
        <v>5</v>
      </c>
      <c r="B63" s="1491" t="s">
        <v>412</v>
      </c>
      <c r="C63" s="1492"/>
      <c r="D63" s="1492"/>
      <c r="E63" s="1492"/>
      <c r="F63" s="1492"/>
      <c r="G63" s="1492"/>
      <c r="H63" s="1492"/>
      <c r="I63" s="1492"/>
      <c r="J63" s="1492"/>
      <c r="K63" s="1492"/>
      <c r="L63" s="1492"/>
      <c r="M63" s="1492"/>
      <c r="N63" s="1492"/>
      <c r="O63" s="1492"/>
      <c r="P63" s="1492"/>
      <c r="Q63" s="1492"/>
      <c r="R63" s="1492"/>
      <c r="S63" s="1492"/>
      <c r="T63" s="1492"/>
      <c r="U63" s="1492"/>
    </row>
    <row r="64" spans="1:21" ht="18" customHeight="1">
      <c r="A64" s="386">
        <v>6</v>
      </c>
      <c r="B64" s="1524" t="s">
        <v>702</v>
      </c>
      <c r="C64" s="1492"/>
      <c r="D64" s="1492"/>
      <c r="E64" s="1492"/>
      <c r="F64" s="1492"/>
      <c r="G64" s="1492"/>
      <c r="H64" s="1492"/>
      <c r="I64" s="1492"/>
      <c r="J64" s="1492"/>
      <c r="K64" s="1492"/>
      <c r="L64" s="1492"/>
      <c r="M64" s="1492"/>
      <c r="N64" s="1492"/>
      <c r="O64" s="1492"/>
      <c r="P64" s="1492"/>
      <c r="Q64" s="1492"/>
      <c r="R64" s="1492"/>
      <c r="S64" s="1492"/>
      <c r="T64" s="1492"/>
      <c r="U64" s="1492"/>
    </row>
    <row r="65" spans="1:21" ht="25.5" customHeight="1">
      <c r="A65" s="386">
        <v>7</v>
      </c>
      <c r="B65" s="1528" t="s">
        <v>755</v>
      </c>
      <c r="C65" s="1492"/>
      <c r="D65" s="1492"/>
      <c r="E65" s="1492"/>
      <c r="F65" s="1492"/>
      <c r="G65" s="1492"/>
      <c r="H65" s="1492"/>
      <c r="I65" s="1492"/>
      <c r="J65" s="1492"/>
      <c r="K65" s="1492"/>
      <c r="L65" s="1492"/>
      <c r="M65" s="1492"/>
      <c r="N65" s="1492"/>
      <c r="O65" s="1492"/>
      <c r="P65" s="1492"/>
      <c r="Q65" s="1492"/>
      <c r="R65" s="1492"/>
      <c r="S65" s="1492"/>
      <c r="T65" s="1492"/>
      <c r="U65" s="1492"/>
    </row>
    <row r="66" spans="1:21">
      <c r="A66" s="386">
        <v>8</v>
      </c>
      <c r="B66" s="1491" t="s">
        <v>757</v>
      </c>
      <c r="C66" s="1492"/>
      <c r="D66" s="1492"/>
      <c r="E66" s="1492"/>
      <c r="F66" s="1492"/>
      <c r="G66" s="1492"/>
      <c r="H66" s="1492"/>
      <c r="I66" s="1492"/>
      <c r="J66" s="1492"/>
      <c r="K66" s="1492"/>
      <c r="L66" s="1492"/>
      <c r="M66" s="1492"/>
      <c r="N66" s="1492"/>
      <c r="O66" s="1492"/>
      <c r="P66" s="1492"/>
      <c r="Q66" s="1492"/>
      <c r="R66" s="1492"/>
      <c r="S66" s="1492"/>
      <c r="T66" s="1492"/>
      <c r="U66" s="1492"/>
    </row>
    <row r="67" spans="1:21" ht="24.75" customHeight="1">
      <c r="A67" s="386">
        <v>9</v>
      </c>
      <c r="B67" s="1525" t="s">
        <v>436</v>
      </c>
      <c r="C67" s="1492"/>
      <c r="D67" s="1492"/>
      <c r="E67" s="1492"/>
      <c r="F67" s="1492"/>
      <c r="G67" s="1492"/>
      <c r="H67" s="1492"/>
      <c r="I67" s="1492"/>
      <c r="J67" s="1492"/>
      <c r="K67" s="1492"/>
      <c r="L67" s="1492"/>
      <c r="M67" s="1492"/>
      <c r="N67" s="1492"/>
      <c r="O67" s="1492"/>
      <c r="P67" s="1492"/>
      <c r="Q67" s="1492"/>
      <c r="R67" s="1492"/>
      <c r="S67" s="1492"/>
      <c r="T67" s="1492"/>
      <c r="U67" s="1492"/>
    </row>
    <row r="68" spans="1:21" ht="14.1" customHeight="1">
      <c r="A68" s="386">
        <v>10</v>
      </c>
      <c r="B68" s="218" t="s">
        <v>504</v>
      </c>
      <c r="C68" s="218"/>
      <c r="D68" s="218"/>
      <c r="E68" s="218"/>
      <c r="F68" s="218"/>
      <c r="G68" s="218"/>
      <c r="H68" s="218"/>
      <c r="I68" s="218"/>
      <c r="J68" s="218"/>
      <c r="K68" s="218"/>
      <c r="L68" s="218"/>
      <c r="M68" s="218"/>
      <c r="N68" s="218"/>
      <c r="O68" s="218"/>
      <c r="P68" s="218"/>
      <c r="Q68" s="3"/>
      <c r="R68" s="3"/>
      <c r="S68" s="3"/>
      <c r="T68" s="3"/>
    </row>
    <row r="69" spans="1:21" ht="14.1" customHeight="1">
      <c r="A69" s="386">
        <v>11</v>
      </c>
      <c r="B69" s="218" t="s">
        <v>718</v>
      </c>
      <c r="C69" s="218"/>
      <c r="D69" s="218"/>
      <c r="E69" s="218"/>
      <c r="F69" s="218"/>
      <c r="G69" s="218"/>
      <c r="H69" s="218"/>
      <c r="I69" s="218"/>
      <c r="J69" s="218"/>
      <c r="K69" s="218"/>
      <c r="L69" s="218"/>
      <c r="M69" s="218"/>
      <c r="N69" s="218"/>
      <c r="O69" s="218"/>
      <c r="P69" s="218"/>
      <c r="Q69" s="3"/>
      <c r="R69" s="3"/>
      <c r="S69" s="3"/>
      <c r="T69" s="3"/>
    </row>
    <row r="70" spans="1:21" ht="14.1" customHeight="1">
      <c r="A70" s="386">
        <v>12</v>
      </c>
      <c r="B70" s="219" t="s">
        <v>46</v>
      </c>
      <c r="C70" s="218"/>
      <c r="D70" s="218"/>
      <c r="E70" s="218"/>
      <c r="F70" s="218"/>
      <c r="G70" s="218"/>
      <c r="H70" s="218"/>
      <c r="I70" s="218"/>
      <c r="J70" s="218"/>
      <c r="K70" s="218"/>
      <c r="L70" s="218"/>
      <c r="M70" s="218"/>
      <c r="N70" s="218"/>
      <c r="O70" s="218"/>
      <c r="P70" s="218"/>
      <c r="Q70" s="3"/>
      <c r="R70" s="3"/>
      <c r="S70" s="3"/>
      <c r="T70" s="3"/>
    </row>
    <row r="71" spans="1:21">
      <c r="A71" s="386">
        <v>13</v>
      </c>
      <c r="B71" s="1524" t="s">
        <v>294</v>
      </c>
      <c r="C71" s="1492"/>
      <c r="D71" s="1492"/>
      <c r="E71" s="1492"/>
      <c r="F71" s="1492"/>
      <c r="G71" s="1492"/>
      <c r="H71" s="1492"/>
      <c r="I71" s="1492"/>
      <c r="J71" s="1492"/>
      <c r="K71" s="1492"/>
      <c r="L71" s="1492"/>
      <c r="M71" s="1492"/>
      <c r="N71" s="1492"/>
      <c r="O71" s="1492"/>
      <c r="P71" s="1492"/>
      <c r="Q71" s="1492"/>
      <c r="R71" s="1492"/>
      <c r="S71" s="1492"/>
      <c r="T71" s="1492"/>
      <c r="U71" s="1492"/>
    </row>
    <row r="72" spans="1:21">
      <c r="A72" s="386">
        <v>14</v>
      </c>
      <c r="B72" s="1524" t="s">
        <v>222</v>
      </c>
      <c r="C72" s="1492"/>
      <c r="D72" s="1492"/>
      <c r="E72" s="1492"/>
      <c r="F72" s="1492"/>
      <c r="G72" s="1492"/>
      <c r="H72" s="1492"/>
      <c r="I72" s="1492"/>
      <c r="J72" s="1492"/>
      <c r="K72" s="1492"/>
      <c r="L72" s="1492"/>
      <c r="M72" s="1492"/>
      <c r="N72" s="1492"/>
      <c r="O72" s="1492"/>
      <c r="P72" s="1492"/>
      <c r="Q72" s="1492"/>
      <c r="R72" s="1492"/>
      <c r="S72" s="1492"/>
      <c r="T72" s="1492"/>
      <c r="U72" s="1492"/>
    </row>
    <row r="73" spans="1:21" s="45" customFormat="1" ht="14.1" customHeight="1">
      <c r="A73" s="386">
        <v>15</v>
      </c>
      <c r="B73" s="218" t="s">
        <v>47</v>
      </c>
      <c r="C73" s="385"/>
      <c r="D73" s="385"/>
      <c r="E73" s="385"/>
      <c r="F73" s="385"/>
      <c r="G73" s="385"/>
      <c r="H73" s="385"/>
      <c r="I73" s="385"/>
      <c r="J73" s="385"/>
      <c r="K73" s="385"/>
      <c r="L73" s="385"/>
      <c r="M73" s="385"/>
      <c r="N73" s="385"/>
      <c r="O73" s="385"/>
      <c r="P73" s="385"/>
      <c r="Q73" s="385"/>
      <c r="R73" s="385"/>
      <c r="S73" s="385"/>
      <c r="T73" s="385"/>
    </row>
    <row r="74" spans="1:21" s="45" customFormat="1" ht="14.1" customHeight="1">
      <c r="A74" s="180"/>
      <c r="B74" s="180"/>
      <c r="C74" s="218"/>
    </row>
    <row r="75" spans="1:21">
      <c r="A75" s="23" t="s">
        <v>478</v>
      </c>
      <c r="B75" s="3"/>
    </row>
    <row r="76" spans="1:21">
      <c r="B76" s="32" t="s">
        <v>191</v>
      </c>
    </row>
    <row r="77" spans="1:21">
      <c r="B77" s="32" t="s">
        <v>521</v>
      </c>
    </row>
    <row r="78" spans="1:21">
      <c r="B78" s="32" t="s">
        <v>522</v>
      </c>
    </row>
    <row r="80" spans="1:21">
      <c r="A80" s="23" t="s">
        <v>616</v>
      </c>
      <c r="B80" s="3"/>
    </row>
    <row r="81" spans="1:21" ht="38.25" customHeight="1">
      <c r="A81" s="126" t="s">
        <v>15</v>
      </c>
      <c r="B81" s="1517" t="s">
        <v>822</v>
      </c>
      <c r="C81" s="1518"/>
      <c r="D81" s="1518"/>
      <c r="E81" s="1518"/>
      <c r="F81" s="1518"/>
      <c r="G81" s="1518"/>
      <c r="H81" s="1518"/>
      <c r="I81" s="1518"/>
      <c r="J81" s="1518"/>
      <c r="K81" s="1518"/>
      <c r="L81" s="1518"/>
      <c r="M81" s="1518"/>
      <c r="N81" s="1518"/>
      <c r="O81" s="1518"/>
      <c r="P81" s="1518"/>
      <c r="Q81" s="1518"/>
      <c r="R81" s="1519"/>
      <c r="S81" s="1519"/>
      <c r="T81" s="1519"/>
      <c r="U81" s="1519"/>
    </row>
    <row r="82" spans="1:21">
      <c r="A82" s="69" t="s">
        <v>16</v>
      </c>
      <c r="B82" s="32" t="s">
        <v>355</v>
      </c>
    </row>
    <row r="83" spans="1:21" ht="27" customHeight="1">
      <c r="A83" s="126" t="s">
        <v>17</v>
      </c>
      <c r="B83" s="1520" t="s">
        <v>44</v>
      </c>
      <c r="C83" s="1520"/>
      <c r="D83" s="1520"/>
      <c r="E83" s="1520"/>
      <c r="F83" s="1520"/>
      <c r="G83" s="1520"/>
      <c r="H83" s="1520"/>
      <c r="I83" s="1520"/>
      <c r="J83" s="1520"/>
      <c r="K83" s="1520"/>
      <c r="L83" s="1520"/>
      <c r="M83" s="1520"/>
      <c r="N83" s="1520"/>
      <c r="O83" s="1520"/>
      <c r="P83" s="1520"/>
      <c r="Q83" s="1520"/>
      <c r="R83" s="1519"/>
      <c r="S83" s="1519"/>
      <c r="T83" s="1519"/>
      <c r="U83" s="1519"/>
    </row>
    <row r="84" spans="1:21">
      <c r="A84" s="32"/>
      <c r="B84" s="181"/>
    </row>
    <row r="85" spans="1:21">
      <c r="A85" s="1" t="s">
        <v>34</v>
      </c>
      <c r="B85" s="181"/>
    </row>
    <row r="86" spans="1:21">
      <c r="B86" s="265" t="s">
        <v>229</v>
      </c>
      <c r="C86" s="42" t="s">
        <v>766</v>
      </c>
    </row>
    <row r="87" spans="1:21">
      <c r="B87" s="265" t="s">
        <v>679</v>
      </c>
      <c r="C87" s="42" t="s">
        <v>433</v>
      </c>
    </row>
    <row r="88" spans="1:21">
      <c r="B88" s="3"/>
    </row>
    <row r="89" spans="1:21">
      <c r="B89" s="69" t="s">
        <v>230</v>
      </c>
      <c r="C89" s="80" t="s">
        <v>680</v>
      </c>
      <c r="E89" s="42"/>
      <c r="H89" s="3"/>
      <c r="I89" s="3"/>
      <c r="J89" s="3"/>
      <c r="K89" s="3"/>
    </row>
    <row r="90" spans="1:21">
      <c r="C90" s="80" t="s">
        <v>681</v>
      </c>
      <c r="D90" s="3"/>
      <c r="E90" s="3"/>
      <c r="F90" s="3"/>
      <c r="G90" s="3"/>
      <c r="H90" s="3"/>
      <c r="I90" s="3"/>
      <c r="J90" s="3"/>
      <c r="K90" s="3"/>
    </row>
    <row r="91" spans="1:21">
      <c r="C91" s="80" t="s">
        <v>231</v>
      </c>
    </row>
    <row r="92" spans="1:21">
      <c r="C92" s="267" t="s">
        <v>432</v>
      </c>
      <c r="S92" s="42" t="s">
        <v>617</v>
      </c>
    </row>
    <row r="93" spans="1:21">
      <c r="B93" s="3"/>
      <c r="C93" s="80" t="s">
        <v>324</v>
      </c>
      <c r="D93" s="3"/>
    </row>
    <row r="94" spans="1:21">
      <c r="B94" s="3"/>
      <c r="C94" s="80" t="s">
        <v>435</v>
      </c>
    </row>
    <row r="95" spans="1:21">
      <c r="B95" s="3"/>
      <c r="C95" s="3"/>
    </row>
  </sheetData>
  <sheetProtection selectLockedCells="1"/>
  <mergeCells count="38">
    <mergeCell ref="C43:E43"/>
    <mergeCell ref="F43:H43"/>
    <mergeCell ref="AE20:AH20"/>
    <mergeCell ref="AE21:AF21"/>
    <mergeCell ref="AG21:AH21"/>
    <mergeCell ref="E23:H23"/>
    <mergeCell ref="B81:U81"/>
    <mergeCell ref="B83:U83"/>
    <mergeCell ref="C45:E45"/>
    <mergeCell ref="F45:H45"/>
    <mergeCell ref="B63:U63"/>
    <mergeCell ref="B64:U64"/>
    <mergeCell ref="T50:U50"/>
    <mergeCell ref="B60:U60"/>
    <mergeCell ref="B72:U72"/>
    <mergeCell ref="T49:U49"/>
    <mergeCell ref="B67:U67"/>
    <mergeCell ref="T53:U53"/>
    <mergeCell ref="T54:U54"/>
    <mergeCell ref="T51:U51"/>
    <mergeCell ref="B65:U65"/>
    <mergeCell ref="B71:U71"/>
    <mergeCell ref="A5:B5"/>
    <mergeCell ref="B66:U66"/>
    <mergeCell ref="T52:U52"/>
    <mergeCell ref="F44:H44"/>
    <mergeCell ref="M23:Q23"/>
    <mergeCell ref="C30:E30"/>
    <mergeCell ref="C31:E31"/>
    <mergeCell ref="H35:P35"/>
    <mergeCell ref="A6:B6"/>
    <mergeCell ref="C44:E44"/>
    <mergeCell ref="A8:B8"/>
    <mergeCell ref="E8:H8"/>
    <mergeCell ref="D9:I9"/>
    <mergeCell ref="J9:T9"/>
    <mergeCell ref="L44:U44"/>
    <mergeCell ref="J43:U43"/>
  </mergeCells>
  <phoneticPr fontId="0" type="noConversion"/>
  <pageMargins left="0.5" right="0.5" top="0.35" bottom="0.4" header="0.35" footer="0.4"/>
  <pageSetup scale="65" fitToHeight="0" orientation="landscape" horizontalDpi="4294967293" verticalDpi="4294967293" copies="6" r:id="rId1"/>
  <headerFooter alignWithMargins="0">
    <oddFooter>&amp;L&amp;8November 2010 Version</oddFooter>
  </headerFooter>
  <rowBreaks count="1" manualBreakCount="1">
    <brk id="56" max="20" man="1"/>
  </rowBreaks>
  <drawing r:id="rId2"/>
  <legacyDrawing r:id="rId3"/>
</worksheet>
</file>

<file path=xl/worksheets/sheet8.xml><?xml version="1.0" encoding="utf-8"?>
<worksheet xmlns="http://schemas.openxmlformats.org/spreadsheetml/2006/main" xmlns:r="http://schemas.openxmlformats.org/officeDocument/2006/relationships">
  <sheetPr codeName="Sheet2">
    <pageSetUpPr fitToPage="1"/>
  </sheetPr>
  <dimension ref="A1:J84"/>
  <sheetViews>
    <sheetView topLeftCell="A2" zoomScaleNormal="100" zoomScaleSheetLayoutView="50" workbookViewId="0">
      <selection activeCell="E7" sqref="E7"/>
    </sheetView>
  </sheetViews>
  <sheetFormatPr defaultColWidth="8.85546875" defaultRowHeight="12.75"/>
  <cols>
    <col min="1" max="1" width="7.28515625" customWidth="1"/>
    <col min="2" max="2" width="37.42578125" customWidth="1"/>
    <col min="3" max="3" width="9" bestFit="1" customWidth="1"/>
    <col min="4" max="4" width="1.28515625" customWidth="1"/>
    <col min="5" max="5" width="41.7109375" customWidth="1"/>
    <col min="8" max="8" width="57.7109375" customWidth="1"/>
    <col min="9" max="9" width="10.140625" bestFit="1" customWidth="1"/>
    <col min="10" max="10" width="7.140625" customWidth="1"/>
    <col min="11" max="11" width="34" customWidth="1"/>
  </cols>
  <sheetData>
    <row r="1" spans="1:6" ht="15.75" customHeight="1">
      <c r="A1" s="39" t="s">
        <v>508</v>
      </c>
    </row>
    <row r="2" spans="1:6">
      <c r="A2" t="s">
        <v>760</v>
      </c>
    </row>
    <row r="8" spans="1:6">
      <c r="A8" s="1" t="s">
        <v>36</v>
      </c>
    </row>
    <row r="9" spans="1:6" ht="13.5" thickBot="1">
      <c r="A9" s="1" t="s">
        <v>506</v>
      </c>
      <c r="B9" s="1"/>
    </row>
    <row r="10" spans="1:6">
      <c r="A10" s="328">
        <v>1</v>
      </c>
      <c r="B10" s="5" t="s">
        <v>704</v>
      </c>
      <c r="C10" s="407"/>
      <c r="D10" s="15"/>
      <c r="E10" s="16" t="s">
        <v>460</v>
      </c>
      <c r="F10" s="7"/>
    </row>
    <row r="11" spans="1:6">
      <c r="A11" s="328">
        <v>2</v>
      </c>
      <c r="B11" s="6" t="s">
        <v>539</v>
      </c>
      <c r="C11" s="425">
        <v>0.35</v>
      </c>
      <c r="D11" s="7"/>
      <c r="E11" s="73" t="s">
        <v>810</v>
      </c>
      <c r="F11" s="7"/>
    </row>
    <row r="12" spans="1:6">
      <c r="A12" s="328">
        <v>3</v>
      </c>
      <c r="B12" s="72" t="s">
        <v>517</v>
      </c>
      <c r="C12" s="408"/>
      <c r="D12" s="7"/>
      <c r="E12" s="73" t="s">
        <v>779</v>
      </c>
      <c r="F12" s="7"/>
    </row>
    <row r="13" spans="1:6">
      <c r="A13" s="328"/>
      <c r="B13" s="72" t="s">
        <v>127</v>
      </c>
      <c r="C13" s="425">
        <v>2</v>
      </c>
      <c r="D13" s="7"/>
      <c r="E13" s="73" t="s">
        <v>162</v>
      </c>
      <c r="F13" s="7"/>
    </row>
    <row r="14" spans="1:6">
      <c r="A14" s="328"/>
      <c r="B14" s="6" t="s">
        <v>532</v>
      </c>
      <c r="C14" s="425">
        <v>2</v>
      </c>
      <c r="D14" s="7"/>
      <c r="E14" s="8" t="s">
        <v>487</v>
      </c>
      <c r="F14" s="7"/>
    </row>
    <row r="15" spans="1:6">
      <c r="A15" s="328"/>
      <c r="B15" s="88" t="s">
        <v>699</v>
      </c>
      <c r="C15" s="425">
        <v>48</v>
      </c>
      <c r="D15" s="7"/>
      <c r="E15" s="73" t="s">
        <v>180</v>
      </c>
      <c r="F15" s="7"/>
    </row>
    <row r="16" spans="1:6" ht="13.5" thickBot="1">
      <c r="A16" s="328">
        <v>4</v>
      </c>
      <c r="B16" s="17" t="s">
        <v>531</v>
      </c>
      <c r="C16" s="409"/>
      <c r="D16" s="10"/>
      <c r="E16" s="131" t="s">
        <v>5</v>
      </c>
      <c r="F16" s="7"/>
    </row>
    <row r="17" spans="1:10" ht="13.5" thickBot="1">
      <c r="A17" s="369"/>
      <c r="F17" s="2"/>
    </row>
    <row r="18" spans="1:10">
      <c r="A18" s="328">
        <v>5</v>
      </c>
      <c r="B18" s="100" t="s">
        <v>567</v>
      </c>
      <c r="C18" s="85">
        <f>IF(C12/C13*C15/12/C11&lt;C16-4,ROUND(C12/C13*C15/12/C11,1),ROUND(C16-4,1))</f>
        <v>-4</v>
      </c>
      <c r="D18" s="87"/>
      <c r="E18" s="148" t="s">
        <v>780</v>
      </c>
      <c r="F18" s="2"/>
    </row>
    <row r="19" spans="1:10">
      <c r="A19" s="328"/>
      <c r="B19" s="88" t="s">
        <v>340</v>
      </c>
      <c r="C19" s="408"/>
      <c r="D19" s="2"/>
      <c r="E19" s="74" t="s">
        <v>177</v>
      </c>
      <c r="F19" s="2"/>
    </row>
    <row r="20" spans="1:10" ht="13.5" thickBot="1">
      <c r="A20" s="328"/>
      <c r="B20" s="52" t="s">
        <v>268</v>
      </c>
      <c r="C20" s="122" t="str">
        <f>IF(AND(C19&lt;=C18, C19&lt;=8),"Okay","Error, reduce depth")</f>
        <v>Error, reduce depth</v>
      </c>
      <c r="D20" s="51"/>
      <c r="E20" s="43"/>
      <c r="F20" s="2"/>
    </row>
    <row r="21" spans="1:10" ht="13.5" thickBot="1">
      <c r="A21" s="369"/>
      <c r="F21" s="2"/>
    </row>
    <row r="22" spans="1:10">
      <c r="A22" s="328">
        <v>6</v>
      </c>
      <c r="B22" s="141" t="s">
        <v>35</v>
      </c>
      <c r="C22" s="210" t="e">
        <f>$C$10/(($C$11*$C$19)+(($C$12/C13*$C$14)/12))</f>
        <v>#DIV/0!</v>
      </c>
      <c r="D22" s="87"/>
      <c r="E22" s="33" t="s">
        <v>455</v>
      </c>
      <c r="F22" s="2"/>
    </row>
    <row r="23" spans="1:10" ht="13.5" thickBot="1">
      <c r="A23" s="328">
        <v>7</v>
      </c>
      <c r="B23" s="9" t="s">
        <v>1</v>
      </c>
      <c r="C23" s="409"/>
      <c r="D23" s="10"/>
      <c r="E23" s="128" t="s">
        <v>675</v>
      </c>
      <c r="F23" s="2"/>
    </row>
    <row r="24" spans="1:10" ht="13.5" thickBot="1">
      <c r="A24" s="369"/>
      <c r="F24" s="2"/>
    </row>
    <row r="25" spans="1:10">
      <c r="A25" s="328">
        <v>8</v>
      </c>
      <c r="B25" s="141" t="s">
        <v>2</v>
      </c>
      <c r="C25" s="90"/>
      <c r="D25" s="87"/>
      <c r="E25" s="33"/>
    </row>
    <row r="26" spans="1:10">
      <c r="A26" s="328"/>
      <c r="B26" s="88" t="s">
        <v>6</v>
      </c>
      <c r="C26" s="96">
        <f>C19</f>
        <v>0</v>
      </c>
      <c r="D26" s="2"/>
      <c r="E26" s="19" t="s">
        <v>5</v>
      </c>
      <c r="H26" s="7"/>
      <c r="I26" s="7"/>
      <c r="J26" s="7"/>
    </row>
    <row r="27" spans="1:10">
      <c r="A27" s="328"/>
      <c r="B27" s="47" t="s">
        <v>3</v>
      </c>
      <c r="C27" s="97">
        <f>C23</f>
        <v>0</v>
      </c>
      <c r="D27" s="2"/>
      <c r="E27" s="19" t="s">
        <v>5</v>
      </c>
      <c r="H27" s="7"/>
      <c r="I27" s="7"/>
      <c r="J27" s="7"/>
    </row>
    <row r="28" spans="1:10" ht="13.5" thickBot="1">
      <c r="A28" s="328"/>
      <c r="B28" s="17" t="s">
        <v>4</v>
      </c>
      <c r="C28" s="98" t="e">
        <f>C22/C23</f>
        <v>#DIV/0!</v>
      </c>
      <c r="D28" s="51"/>
      <c r="E28" s="43" t="s">
        <v>5</v>
      </c>
      <c r="H28" s="7"/>
      <c r="I28" s="81"/>
      <c r="J28" s="7"/>
    </row>
    <row r="29" spans="1:10" ht="13.5" thickBot="1">
      <c r="A29" s="328"/>
      <c r="B29" s="21" t="s">
        <v>571</v>
      </c>
      <c r="C29" s="99" t="e">
        <f>((C22/PI())^0.5)*2</f>
        <v>#DIV/0!</v>
      </c>
      <c r="D29" s="89"/>
      <c r="E29" s="68" t="s">
        <v>5</v>
      </c>
      <c r="H29" s="7"/>
      <c r="I29" s="82"/>
      <c r="J29" s="83"/>
    </row>
    <row r="30" spans="1:10" hidden="1">
      <c r="A30" s="328"/>
      <c r="B30" s="147" t="s">
        <v>725</v>
      </c>
      <c r="C30" s="50">
        <f>C10/0.9/(0.75/12)</f>
        <v>0</v>
      </c>
      <c r="D30" s="35"/>
      <c r="E30" s="147" t="s">
        <v>727</v>
      </c>
      <c r="H30" s="7"/>
      <c r="I30" s="81"/>
      <c r="J30" s="7"/>
    </row>
    <row r="31" spans="1:10" hidden="1">
      <c r="A31" s="328"/>
      <c r="B31" s="35" t="s">
        <v>726</v>
      </c>
      <c r="C31" s="184" t="e">
        <f>C22/C30</f>
        <v>#DIV/0!</v>
      </c>
      <c r="H31" s="7"/>
      <c r="I31" s="81"/>
      <c r="J31" s="7"/>
    </row>
    <row r="32" spans="1:10">
      <c r="A32" s="369"/>
      <c r="H32" s="7"/>
      <c r="I32" s="81"/>
      <c r="J32" s="7"/>
    </row>
    <row r="33" spans="1:10" ht="13.5" thickBot="1">
      <c r="A33" s="220" t="s">
        <v>507</v>
      </c>
      <c r="H33" s="7"/>
      <c r="I33" s="81"/>
      <c r="J33" s="7"/>
    </row>
    <row r="34" spans="1:10">
      <c r="A34" s="328">
        <v>9</v>
      </c>
      <c r="B34" s="5" t="s">
        <v>199</v>
      </c>
      <c r="C34" s="410"/>
      <c r="D34" s="15"/>
      <c r="E34" s="16" t="s">
        <v>5</v>
      </c>
      <c r="H34" s="7"/>
      <c r="I34" s="81"/>
      <c r="J34" s="7"/>
    </row>
    <row r="35" spans="1:10">
      <c r="A35" s="328">
        <v>10</v>
      </c>
      <c r="B35" s="6" t="s">
        <v>544</v>
      </c>
      <c r="C35" s="408"/>
      <c r="D35" s="7"/>
      <c r="E35" s="73" t="s">
        <v>673</v>
      </c>
      <c r="H35" s="7"/>
      <c r="I35" s="81"/>
      <c r="J35" s="7"/>
    </row>
    <row r="36" spans="1:10">
      <c r="A36" s="328">
        <v>11</v>
      </c>
      <c r="B36" s="6" t="s">
        <v>539</v>
      </c>
      <c r="C36" s="408"/>
      <c r="D36" s="7"/>
      <c r="E36" s="8" t="s">
        <v>538</v>
      </c>
      <c r="H36" s="7"/>
      <c r="I36" s="81"/>
      <c r="J36" s="7"/>
    </row>
    <row r="37" spans="1:10">
      <c r="A37" s="328">
        <v>12</v>
      </c>
      <c r="B37" s="72" t="s">
        <v>517</v>
      </c>
      <c r="C37" s="408"/>
      <c r="D37" s="7"/>
      <c r="E37" s="73" t="s">
        <v>779</v>
      </c>
      <c r="H37" s="7"/>
      <c r="I37" s="81"/>
      <c r="J37" s="7"/>
    </row>
    <row r="38" spans="1:10">
      <c r="A38" s="328"/>
      <c r="B38" s="72" t="s">
        <v>127</v>
      </c>
      <c r="C38" s="425">
        <v>2</v>
      </c>
      <c r="D38" s="7"/>
      <c r="E38" s="73" t="s">
        <v>162</v>
      </c>
      <c r="H38" s="7"/>
      <c r="I38" s="81"/>
      <c r="J38" s="7"/>
    </row>
    <row r="39" spans="1:10">
      <c r="A39" s="328"/>
      <c r="B39" s="6" t="s">
        <v>540</v>
      </c>
      <c r="C39" s="425">
        <v>2</v>
      </c>
      <c r="D39" s="7"/>
      <c r="E39" s="8" t="s">
        <v>487</v>
      </c>
      <c r="H39" s="7"/>
      <c r="I39" s="81"/>
      <c r="J39" s="7"/>
    </row>
    <row r="40" spans="1:10">
      <c r="A40" s="328"/>
      <c r="B40" s="88" t="s">
        <v>700</v>
      </c>
      <c r="C40" s="425">
        <v>48</v>
      </c>
      <c r="D40" s="7"/>
      <c r="E40" s="73" t="s">
        <v>180</v>
      </c>
      <c r="H40" s="7"/>
      <c r="I40" s="81"/>
      <c r="J40" s="7"/>
    </row>
    <row r="41" spans="1:10" ht="13.5" thickBot="1">
      <c r="A41" s="328">
        <v>13</v>
      </c>
      <c r="B41" s="17" t="s">
        <v>531</v>
      </c>
      <c r="C41" s="409"/>
      <c r="D41" s="10"/>
      <c r="E41" s="131" t="s">
        <v>5</v>
      </c>
      <c r="H41" s="7"/>
      <c r="I41" s="81"/>
      <c r="J41" s="7"/>
    </row>
    <row r="42" spans="1:10" ht="13.5" thickBot="1">
      <c r="A42" s="369"/>
      <c r="H42" s="7"/>
      <c r="I42" s="81"/>
      <c r="J42" s="7"/>
    </row>
    <row r="43" spans="1:10">
      <c r="A43" s="328">
        <v>14</v>
      </c>
      <c r="B43" s="79" t="s">
        <v>567</v>
      </c>
      <c r="C43" s="85" t="e">
        <f>IF(C37/C38*C40/12/C36&lt;C41-4,ROUND(C37/C38*C40/12/C36,1),ROUND(C41-4,1))</f>
        <v>#DIV/0!</v>
      </c>
      <c r="D43" s="15"/>
      <c r="E43" s="127" t="s">
        <v>32</v>
      </c>
      <c r="H43" s="7"/>
      <c r="I43" s="81"/>
      <c r="J43" s="7"/>
    </row>
    <row r="44" spans="1:10">
      <c r="A44" s="328"/>
      <c r="B44" s="88" t="s">
        <v>340</v>
      </c>
      <c r="C44" s="408"/>
      <c r="D44" s="2"/>
      <c r="E44" s="74" t="s">
        <v>177</v>
      </c>
      <c r="H44" s="7"/>
      <c r="I44" s="81"/>
      <c r="J44" s="7"/>
    </row>
    <row r="45" spans="1:10" ht="13.5" thickBot="1">
      <c r="A45" s="328"/>
      <c r="B45" s="52" t="s">
        <v>268</v>
      </c>
      <c r="C45" s="122" t="e">
        <f>IF(AND(C44&lt;=C43, C44&lt;=8),"Okay","Error, reduce depth")</f>
        <v>#DIV/0!</v>
      </c>
      <c r="D45" s="51"/>
      <c r="E45" s="43"/>
      <c r="H45" s="7"/>
      <c r="I45" s="81"/>
      <c r="J45" s="7"/>
    </row>
    <row r="46" spans="1:10" ht="13.5" thickBot="1">
      <c r="A46" s="369"/>
      <c r="H46" s="7"/>
      <c r="I46" s="81"/>
      <c r="J46" s="7"/>
    </row>
    <row r="47" spans="1:10" ht="13.5" thickBot="1">
      <c r="A47" s="328">
        <v>15</v>
      </c>
      <c r="B47" s="101" t="s">
        <v>78</v>
      </c>
      <c r="C47" s="95">
        <f>$C$34*$C$35*(($C$36*$C$44)+($C$37/C38*$C$39/12))</f>
        <v>0</v>
      </c>
      <c r="D47" s="89"/>
      <c r="E47" s="68" t="s">
        <v>460</v>
      </c>
      <c r="H47" s="7"/>
      <c r="I47" s="81"/>
      <c r="J47" s="7"/>
    </row>
    <row r="48" spans="1:10" ht="13.5" thickBot="1">
      <c r="A48" s="76"/>
      <c r="B48" s="101" t="s">
        <v>79</v>
      </c>
      <c r="C48" s="95">
        <f>PI()*((C34/2)^2)*(($C$36*$C$44)+($C$37/2*$C$39/12))</f>
        <v>0</v>
      </c>
      <c r="D48" s="89"/>
      <c r="E48" s="68" t="s">
        <v>460</v>
      </c>
      <c r="H48" s="7"/>
      <c r="I48" s="81"/>
      <c r="J48" s="7"/>
    </row>
    <row r="49" spans="1:10">
      <c r="H49" s="7"/>
      <c r="I49" s="81"/>
      <c r="J49" s="7"/>
    </row>
    <row r="50" spans="1:10">
      <c r="A50" s="1" t="s">
        <v>33</v>
      </c>
    </row>
    <row r="51" spans="1:10">
      <c r="A51" s="44" t="s">
        <v>789</v>
      </c>
    </row>
    <row r="53" spans="1:10">
      <c r="A53" s="1" t="s">
        <v>615</v>
      </c>
    </row>
    <row r="54" spans="1:10">
      <c r="A54" s="55" t="s">
        <v>758</v>
      </c>
    </row>
    <row r="55" spans="1:10">
      <c r="A55" s="386">
        <v>1</v>
      </c>
      <c r="B55" s="152" t="s">
        <v>243</v>
      </c>
      <c r="C55" s="153"/>
      <c r="D55" s="153"/>
      <c r="E55" s="153"/>
      <c r="F55" s="153"/>
      <c r="G55" s="153"/>
      <c r="H55" s="153"/>
      <c r="I55" s="153"/>
    </row>
    <row r="56" spans="1:10">
      <c r="A56" s="386">
        <v>2</v>
      </c>
      <c r="B56" s="153" t="s">
        <v>583</v>
      </c>
      <c r="C56" s="153"/>
      <c r="D56" s="153"/>
      <c r="E56" s="153"/>
      <c r="F56" s="153"/>
      <c r="G56" s="153"/>
      <c r="H56" s="153"/>
      <c r="I56" s="153"/>
    </row>
    <row r="57" spans="1:10" ht="39.75" customHeight="1">
      <c r="A57" s="386">
        <v>3</v>
      </c>
      <c r="B57" s="1534" t="s">
        <v>437</v>
      </c>
      <c r="C57" s="1519"/>
      <c r="D57" s="1519"/>
      <c r="E57" s="1519"/>
      <c r="F57" s="1519"/>
      <c r="G57" s="1519"/>
      <c r="H57" s="1519"/>
      <c r="I57" s="153"/>
    </row>
    <row r="58" spans="1:10">
      <c r="A58" s="386">
        <v>4</v>
      </c>
      <c r="B58" s="152" t="s">
        <v>176</v>
      </c>
      <c r="C58" s="153"/>
      <c r="D58" s="153"/>
      <c r="E58" s="153"/>
      <c r="F58" s="153"/>
      <c r="G58" s="153"/>
      <c r="H58" s="152"/>
      <c r="I58" s="153"/>
    </row>
    <row r="59" spans="1:10">
      <c r="A59" s="386">
        <v>5</v>
      </c>
      <c r="B59" s="153" t="s">
        <v>486</v>
      </c>
      <c r="C59" s="153"/>
      <c r="D59" s="153"/>
      <c r="E59" s="153"/>
      <c r="F59" s="153"/>
      <c r="G59" s="153"/>
      <c r="H59" s="153"/>
      <c r="I59" s="153"/>
    </row>
    <row r="60" spans="1:10">
      <c r="A60" s="386">
        <v>6</v>
      </c>
      <c r="B60" s="153" t="s">
        <v>310</v>
      </c>
      <c r="C60" s="153"/>
      <c r="D60" s="153"/>
      <c r="E60" s="153"/>
      <c r="F60" s="153"/>
      <c r="G60" s="153"/>
      <c r="H60" s="153"/>
      <c r="I60" s="153"/>
    </row>
    <row r="61" spans="1:10">
      <c r="A61" s="386">
        <v>7</v>
      </c>
      <c r="B61" s="153" t="s">
        <v>509</v>
      </c>
      <c r="C61" s="153"/>
      <c r="D61" s="153"/>
      <c r="E61" s="153"/>
      <c r="F61" s="153"/>
      <c r="G61" s="153"/>
      <c r="H61" s="153"/>
      <c r="I61" s="153"/>
    </row>
    <row r="62" spans="1:10">
      <c r="A62" s="386">
        <v>8</v>
      </c>
      <c r="B62" s="153" t="s">
        <v>523</v>
      </c>
      <c r="C62" s="153"/>
      <c r="D62" s="153"/>
      <c r="E62" s="153"/>
      <c r="F62" s="153"/>
      <c r="G62" s="153"/>
      <c r="H62" s="153"/>
      <c r="I62" s="153"/>
    </row>
    <row r="64" spans="1:10">
      <c r="A64" s="23" t="s">
        <v>195</v>
      </c>
    </row>
    <row r="65" spans="1:10">
      <c r="A65" s="328">
        <v>9</v>
      </c>
      <c r="B65" t="s">
        <v>628</v>
      </c>
    </row>
    <row r="66" spans="1:10">
      <c r="A66" s="328">
        <v>10</v>
      </c>
      <c r="B66" s="32" t="s">
        <v>148</v>
      </c>
    </row>
    <row r="67" spans="1:10">
      <c r="A67" s="328">
        <v>11</v>
      </c>
      <c r="B67" t="s">
        <v>570</v>
      </c>
    </row>
    <row r="68" spans="1:10">
      <c r="A68" s="328">
        <v>12</v>
      </c>
      <c r="B68" t="s">
        <v>267</v>
      </c>
    </row>
    <row r="69" spans="1:10">
      <c r="A69" s="328"/>
      <c r="B69" s="32" t="s">
        <v>160</v>
      </c>
    </row>
    <row r="70" spans="1:10">
      <c r="A70" s="328"/>
      <c r="B70" s="32" t="s">
        <v>678</v>
      </c>
    </row>
    <row r="71" spans="1:10">
      <c r="A71" s="328">
        <v>13</v>
      </c>
      <c r="B71" s="32" t="s">
        <v>703</v>
      </c>
    </row>
    <row r="72" spans="1:10">
      <c r="A72" s="328">
        <v>14</v>
      </c>
      <c r="B72" t="s">
        <v>486</v>
      </c>
    </row>
    <row r="73" spans="1:10">
      <c r="A73" s="328">
        <v>15</v>
      </c>
      <c r="B73" t="s">
        <v>626</v>
      </c>
    </row>
    <row r="75" spans="1:10">
      <c r="A75" s="324" t="s">
        <v>34</v>
      </c>
      <c r="H75" s="7"/>
      <c r="I75" s="84"/>
      <c r="J75" s="7"/>
    </row>
    <row r="76" spans="1:10" ht="24.75" customHeight="1">
      <c r="B76" s="295" t="s">
        <v>332</v>
      </c>
      <c r="C76" s="1535" t="s">
        <v>677</v>
      </c>
      <c r="D76" s="1535"/>
      <c r="E76" s="1535"/>
      <c r="F76" s="1535"/>
      <c r="G76" s="1535"/>
      <c r="H76" s="1535"/>
    </row>
    <row r="77" spans="1:10">
      <c r="B77" s="295" t="s">
        <v>480</v>
      </c>
      <c r="C77" s="32" t="s">
        <v>161</v>
      </c>
    </row>
    <row r="78" spans="1:10" ht="24.75" customHeight="1">
      <c r="B78" s="295" t="s">
        <v>147</v>
      </c>
      <c r="C78" s="1536" t="s">
        <v>713</v>
      </c>
      <c r="D78" s="1535"/>
      <c r="E78" s="1535"/>
      <c r="F78" s="1535"/>
      <c r="G78" s="1535"/>
      <c r="H78" s="1535"/>
      <c r="I78" s="288"/>
    </row>
    <row r="79" spans="1:10">
      <c r="B79" s="295" t="s">
        <v>481</v>
      </c>
      <c r="C79" s="32" t="s">
        <v>483</v>
      </c>
    </row>
    <row r="80" spans="1:10">
      <c r="B80" s="295" t="s">
        <v>698</v>
      </c>
      <c r="C80" s="32" t="s">
        <v>452</v>
      </c>
    </row>
    <row r="81" spans="2:3">
      <c r="B81" s="295" t="s">
        <v>482</v>
      </c>
      <c r="C81" s="32" t="s">
        <v>400</v>
      </c>
    </row>
    <row r="82" spans="2:3">
      <c r="B82" s="295" t="s">
        <v>4</v>
      </c>
      <c r="C82" s="32" t="s">
        <v>401</v>
      </c>
    </row>
    <row r="83" spans="2:3">
      <c r="B83" s="295" t="s">
        <v>3</v>
      </c>
      <c r="C83" s="32" t="s">
        <v>402</v>
      </c>
    </row>
    <row r="84" spans="2:3">
      <c r="B84" s="295" t="s">
        <v>625</v>
      </c>
      <c r="C84" s="32" t="s">
        <v>198</v>
      </c>
    </row>
  </sheetData>
  <sheetProtection selectLockedCells="1"/>
  <mergeCells count="3">
    <mergeCell ref="B57:H57"/>
    <mergeCell ref="C76:H76"/>
    <mergeCell ref="C78:H78"/>
  </mergeCells>
  <phoneticPr fontId="0" type="noConversion"/>
  <pageMargins left="0.5" right="0.5" top="0.35" bottom="0.4" header="0.35" footer="0.4"/>
  <pageSetup scale="75" fitToHeight="0" orientation="landscape" horizontalDpi="4294967293" verticalDpi="4294967293" r:id="rId1"/>
  <headerFooter alignWithMargins="0">
    <oddFooter>&amp;L&amp;8November 2010 Version</oddFooter>
  </headerFooter>
  <rowBreaks count="1" manualBreakCount="1">
    <brk id="49" max="7" man="1"/>
  </rowBreaks>
  <drawing r:id="rId2"/>
  <legacyDrawing r:id="rId3"/>
</worksheet>
</file>

<file path=xl/worksheets/sheet9.xml><?xml version="1.0" encoding="utf-8"?>
<worksheet xmlns="http://schemas.openxmlformats.org/spreadsheetml/2006/main" xmlns:r="http://schemas.openxmlformats.org/officeDocument/2006/relationships">
  <sheetPr codeName="Sheet5">
    <pageSetUpPr fitToPage="1"/>
  </sheetPr>
  <dimension ref="A1:K63"/>
  <sheetViews>
    <sheetView zoomScaleNormal="100" zoomScaleSheetLayoutView="50" workbookViewId="0">
      <selection activeCell="C9" sqref="C9"/>
    </sheetView>
  </sheetViews>
  <sheetFormatPr defaultColWidth="8.85546875" defaultRowHeight="12.75"/>
  <cols>
    <col min="2" max="2" width="27.140625" customWidth="1"/>
    <col min="4" max="4" width="4.7109375" customWidth="1"/>
    <col min="5" max="5" width="78" customWidth="1"/>
    <col min="6" max="6" width="8.140625" customWidth="1"/>
    <col min="8" max="8" width="17.85546875" customWidth="1"/>
    <col min="10" max="10" width="1.7109375" customWidth="1"/>
    <col min="11" max="11" width="68" customWidth="1"/>
  </cols>
  <sheetData>
    <row r="1" spans="1:11" ht="15.75">
      <c r="A1" s="38" t="s">
        <v>425</v>
      </c>
    </row>
    <row r="2" spans="1:11">
      <c r="A2" t="s">
        <v>802</v>
      </c>
    </row>
    <row r="3" spans="1:11" ht="15.75">
      <c r="A3" s="38"/>
    </row>
    <row r="4" spans="1:11" ht="15.75">
      <c r="A4" s="38"/>
    </row>
    <row r="5" spans="1:11">
      <c r="A5" s="1"/>
    </row>
    <row r="7" spans="1:11">
      <c r="A7" s="1" t="s">
        <v>36</v>
      </c>
      <c r="G7" s="2"/>
      <c r="H7" s="4"/>
      <c r="I7" s="2"/>
      <c r="J7" s="2"/>
      <c r="K7" s="2"/>
    </row>
    <row r="8" spans="1:11" ht="13.5" thickBot="1">
      <c r="A8" s="1" t="s">
        <v>604</v>
      </c>
      <c r="B8" s="1"/>
      <c r="G8" s="2"/>
      <c r="H8" s="4"/>
      <c r="I8" s="2"/>
      <c r="J8" s="2"/>
      <c r="K8" s="2"/>
    </row>
    <row r="9" spans="1:11">
      <c r="A9" s="328">
        <v>1</v>
      </c>
      <c r="B9" s="5" t="s">
        <v>704</v>
      </c>
      <c r="C9" s="407"/>
      <c r="D9" s="15"/>
      <c r="E9" s="16" t="s">
        <v>460</v>
      </c>
      <c r="F9" s="7"/>
      <c r="G9" s="4"/>
      <c r="H9" s="2"/>
      <c r="I9" s="2"/>
      <c r="J9" s="2"/>
      <c r="K9" s="2"/>
    </row>
    <row r="10" spans="1:11">
      <c r="A10" s="328">
        <v>2</v>
      </c>
      <c r="B10" s="6" t="s">
        <v>714</v>
      </c>
      <c r="C10" s="408"/>
      <c r="D10" s="7"/>
      <c r="E10" s="8" t="s">
        <v>715</v>
      </c>
      <c r="F10" s="7"/>
      <c r="G10" s="4"/>
      <c r="H10" s="2"/>
      <c r="I10" s="2"/>
      <c r="J10" s="2"/>
      <c r="K10" s="2"/>
    </row>
    <row r="11" spans="1:11">
      <c r="A11" s="328">
        <v>3</v>
      </c>
      <c r="B11" s="47" t="s">
        <v>142</v>
      </c>
      <c r="C11" s="425">
        <v>2</v>
      </c>
      <c r="D11" s="7"/>
      <c r="E11" s="8" t="s">
        <v>143</v>
      </c>
      <c r="F11" s="7"/>
      <c r="G11" s="4"/>
      <c r="H11" s="2"/>
      <c r="I11" s="2"/>
      <c r="J11" s="2"/>
      <c r="K11" s="2"/>
    </row>
    <row r="12" spans="1:11">
      <c r="A12" s="328">
        <v>4</v>
      </c>
      <c r="B12" s="47" t="s">
        <v>716</v>
      </c>
      <c r="C12" s="425">
        <v>48</v>
      </c>
      <c r="D12" s="7"/>
      <c r="E12" s="8" t="s">
        <v>588</v>
      </c>
      <c r="F12" s="7"/>
      <c r="G12" s="4"/>
      <c r="H12" s="2"/>
      <c r="I12" s="168"/>
      <c r="J12" s="2"/>
      <c r="K12" s="237"/>
    </row>
    <row r="13" spans="1:11" ht="13.5" thickBot="1">
      <c r="A13" s="328">
        <v>5</v>
      </c>
      <c r="B13" s="191" t="s">
        <v>35</v>
      </c>
      <c r="C13" s="161" t="e">
        <f>C9/(C12*C10/2/12)</f>
        <v>#DIV/0!</v>
      </c>
      <c r="D13" s="51"/>
      <c r="E13" s="43" t="s">
        <v>455</v>
      </c>
      <c r="G13" s="2"/>
      <c r="H13" s="2"/>
      <c r="I13" s="2"/>
      <c r="J13" s="2"/>
      <c r="K13" s="2"/>
    </row>
    <row r="14" spans="1:11" ht="13.5" thickBot="1">
      <c r="A14" s="369"/>
      <c r="B14" s="7"/>
      <c r="C14" s="7"/>
      <c r="D14" s="7"/>
      <c r="E14" s="7"/>
      <c r="F14" s="2"/>
      <c r="G14" s="4"/>
      <c r="H14" s="20"/>
      <c r="I14" s="4"/>
      <c r="J14" s="2"/>
      <c r="K14" s="2"/>
    </row>
    <row r="15" spans="1:11">
      <c r="A15" s="328">
        <v>6</v>
      </c>
      <c r="B15" s="5" t="s">
        <v>221</v>
      </c>
      <c r="C15" s="410"/>
      <c r="D15" s="15"/>
      <c r="E15" s="33" t="s">
        <v>138</v>
      </c>
      <c r="G15" s="2"/>
      <c r="H15" s="2"/>
      <c r="I15" s="2"/>
      <c r="J15" s="2"/>
      <c r="K15" s="2"/>
    </row>
    <row r="16" spans="1:11">
      <c r="A16" s="328">
        <v>7</v>
      </c>
      <c r="B16" s="6" t="s">
        <v>139</v>
      </c>
      <c r="C16" s="408"/>
      <c r="D16" s="7"/>
      <c r="E16" s="19" t="s">
        <v>396</v>
      </c>
      <c r="G16" s="2"/>
      <c r="H16" s="2"/>
      <c r="I16" s="2"/>
      <c r="J16" s="2"/>
      <c r="K16" s="2"/>
    </row>
    <row r="17" spans="1:11">
      <c r="A17" s="328">
        <v>8</v>
      </c>
      <c r="B17" s="6" t="s">
        <v>140</v>
      </c>
      <c r="C17" s="275" t="e">
        <f>C13/C16</f>
        <v>#DIV/0!</v>
      </c>
      <c r="D17" s="7"/>
      <c r="E17" s="19" t="s">
        <v>141</v>
      </c>
      <c r="G17" s="2"/>
      <c r="H17" s="2"/>
      <c r="I17" s="2"/>
      <c r="J17" s="2"/>
      <c r="K17" s="2"/>
    </row>
    <row r="18" spans="1:11">
      <c r="A18" s="328">
        <v>9</v>
      </c>
      <c r="B18" s="234" t="s">
        <v>223</v>
      </c>
      <c r="C18" s="408"/>
      <c r="D18" s="7"/>
      <c r="E18" s="19" t="s">
        <v>692</v>
      </c>
      <c r="G18" s="2"/>
      <c r="H18" s="2"/>
      <c r="I18" s="2"/>
      <c r="J18" s="2"/>
      <c r="K18" s="2"/>
    </row>
    <row r="19" spans="1:11">
      <c r="A19" s="328">
        <v>10</v>
      </c>
      <c r="B19" s="234" t="s">
        <v>834</v>
      </c>
      <c r="C19" s="277">
        <f>C16+C15*C18*2</f>
        <v>0</v>
      </c>
      <c r="D19" s="7"/>
      <c r="E19" s="19" t="s">
        <v>694</v>
      </c>
      <c r="G19" s="2"/>
      <c r="H19" s="2"/>
      <c r="I19" s="2"/>
      <c r="J19" s="2"/>
      <c r="K19" s="2"/>
    </row>
    <row r="20" spans="1:11">
      <c r="A20" s="328"/>
      <c r="B20" s="234" t="s">
        <v>293</v>
      </c>
      <c r="C20" s="277" t="e">
        <f>C17+C15*C18*2</f>
        <v>#DIV/0!</v>
      </c>
      <c r="D20" s="7"/>
      <c r="E20" s="19" t="s">
        <v>694</v>
      </c>
      <c r="G20" s="2"/>
      <c r="H20" s="2"/>
      <c r="I20" s="2"/>
      <c r="J20" s="2"/>
      <c r="K20" s="2"/>
    </row>
    <row r="21" spans="1:11">
      <c r="A21" s="328">
        <v>11</v>
      </c>
      <c r="B21" s="234" t="s">
        <v>146</v>
      </c>
      <c r="C21" s="276" t="e">
        <f>C18*(C16*C17+C19*C20+SQRT(C16*C17*C19*C20))/3</f>
        <v>#DIV/0!</v>
      </c>
      <c r="D21" s="7"/>
      <c r="E21" s="236" t="s">
        <v>577</v>
      </c>
    </row>
    <row r="22" spans="1:11" ht="13.5" customHeight="1" thickBot="1">
      <c r="A22" s="328">
        <v>12</v>
      </c>
      <c r="B22" s="52" t="s">
        <v>693</v>
      </c>
      <c r="C22" s="280" t="e">
        <f>IF(C21&gt;C9,"Okay", "Error, increase depth")</f>
        <v>#DIV/0!</v>
      </c>
      <c r="D22" s="10"/>
      <c r="E22" s="43"/>
    </row>
    <row r="23" spans="1:11" ht="14.25" hidden="1">
      <c r="B23" s="35" t="s">
        <v>850</v>
      </c>
      <c r="C23" s="202">
        <f>C9/(0.75/12)/0.9</f>
        <v>0</v>
      </c>
      <c r="D23" s="34"/>
      <c r="E23" s="35" t="s">
        <v>102</v>
      </c>
    </row>
    <row r="24" spans="1:11" hidden="1">
      <c r="B24" s="35" t="s">
        <v>184</v>
      </c>
      <c r="C24" s="203" t="e">
        <f>C20*C19/C23</f>
        <v>#DIV/0!</v>
      </c>
      <c r="D24" s="34"/>
      <c r="E24" s="34"/>
    </row>
    <row r="26" spans="1:11">
      <c r="A26" s="1" t="s">
        <v>33</v>
      </c>
    </row>
    <row r="27" spans="1:11">
      <c r="A27" s="44" t="s">
        <v>369</v>
      </c>
    </row>
    <row r="29" spans="1:11">
      <c r="A29" s="55" t="s">
        <v>758</v>
      </c>
    </row>
    <row r="30" spans="1:11" ht="26.25" customHeight="1">
      <c r="A30" s="386">
        <v>1</v>
      </c>
      <c r="B30" s="1537" t="s">
        <v>549</v>
      </c>
      <c r="C30" s="1538"/>
      <c r="D30" s="1538"/>
      <c r="E30" s="1538"/>
    </row>
    <row r="31" spans="1:11" ht="26.25" customHeight="1">
      <c r="A31" s="386">
        <v>2</v>
      </c>
      <c r="B31" s="1537" t="s">
        <v>267</v>
      </c>
      <c r="C31" s="1538"/>
      <c r="D31" s="1538"/>
      <c r="E31" s="1538"/>
    </row>
    <row r="32" spans="1:11" ht="26.1" customHeight="1">
      <c r="A32" s="386">
        <v>3</v>
      </c>
      <c r="B32" s="1537" t="s">
        <v>394</v>
      </c>
      <c r="C32" s="1537"/>
      <c r="D32" s="1537"/>
      <c r="E32" s="1537"/>
      <c r="F32" s="314"/>
      <c r="G32" s="314"/>
      <c r="H32" s="314"/>
      <c r="I32" s="314"/>
    </row>
    <row r="33" spans="1:9">
      <c r="A33" s="386">
        <v>4</v>
      </c>
      <c r="B33" s="1537" t="s">
        <v>395</v>
      </c>
      <c r="C33" s="1537"/>
      <c r="D33" s="1537"/>
      <c r="E33" s="1537"/>
    </row>
    <row r="34" spans="1:9" ht="26.25" customHeight="1">
      <c r="A34" s="386">
        <v>5</v>
      </c>
      <c r="B34" s="1537" t="s">
        <v>849</v>
      </c>
      <c r="C34" s="1537"/>
      <c r="D34" s="1537"/>
      <c r="E34" s="1537"/>
    </row>
    <row r="35" spans="1:9" ht="26.25" customHeight="1">
      <c r="A35" s="386">
        <v>6</v>
      </c>
      <c r="B35" s="1537" t="s">
        <v>390</v>
      </c>
      <c r="C35" s="1537"/>
      <c r="D35" s="1537"/>
      <c r="E35" s="1537"/>
    </row>
    <row r="36" spans="1:9">
      <c r="A36" s="386">
        <v>7</v>
      </c>
      <c r="B36" s="1537" t="s">
        <v>391</v>
      </c>
      <c r="C36" s="1537"/>
      <c r="D36" s="1537"/>
      <c r="E36" s="1537"/>
    </row>
    <row r="37" spans="1:9">
      <c r="A37" s="386">
        <v>8</v>
      </c>
      <c r="B37" s="1537" t="s">
        <v>691</v>
      </c>
      <c r="C37" s="1537"/>
      <c r="D37" s="1537"/>
      <c r="E37" s="1537"/>
    </row>
    <row r="38" spans="1:9" ht="39" customHeight="1">
      <c r="A38" s="386">
        <v>9</v>
      </c>
      <c r="B38" s="1537" t="s">
        <v>331</v>
      </c>
      <c r="C38" s="1537"/>
      <c r="D38" s="1537"/>
      <c r="E38" s="1537"/>
      <c r="F38" s="288"/>
      <c r="G38" s="288"/>
      <c r="H38" s="288"/>
      <c r="I38" s="288"/>
    </row>
    <row r="39" spans="1:9">
      <c r="A39" s="386">
        <v>10</v>
      </c>
      <c r="B39" s="1537" t="s">
        <v>225</v>
      </c>
      <c r="C39" s="1537"/>
      <c r="D39" s="1537"/>
      <c r="E39" s="1537"/>
    </row>
    <row r="40" spans="1:9">
      <c r="A40" s="386">
        <v>11</v>
      </c>
      <c r="B40" s="1537" t="s">
        <v>640</v>
      </c>
      <c r="C40" s="1537"/>
      <c r="D40" s="1537"/>
      <c r="E40" s="1537"/>
    </row>
    <row r="41" spans="1:9">
      <c r="A41" s="386">
        <v>12</v>
      </c>
      <c r="B41" s="1537" t="s">
        <v>608</v>
      </c>
      <c r="C41" s="1537"/>
      <c r="D41" s="1537"/>
      <c r="E41" s="1537"/>
    </row>
    <row r="42" spans="1:9">
      <c r="A42" s="153"/>
      <c r="B42" s="153"/>
      <c r="C42" s="153"/>
      <c r="D42" s="153"/>
      <c r="E42" s="153"/>
    </row>
    <row r="43" spans="1:9">
      <c r="A43" s="324" t="s">
        <v>34</v>
      </c>
      <c r="B43" s="153"/>
      <c r="C43" s="153"/>
      <c r="D43" s="153"/>
      <c r="E43" s="153"/>
    </row>
    <row r="44" spans="1:9" ht="26.1" customHeight="1">
      <c r="A44" s="153"/>
      <c r="B44" s="295" t="s">
        <v>332</v>
      </c>
      <c r="C44" s="1519" t="s">
        <v>677</v>
      </c>
      <c r="D44" s="1519"/>
      <c r="E44" s="1519"/>
      <c r="F44" s="66"/>
    </row>
    <row r="45" spans="1:9" ht="26.1" customHeight="1">
      <c r="A45" s="153"/>
      <c r="B45" s="295" t="s">
        <v>147</v>
      </c>
      <c r="C45" s="1519" t="s">
        <v>713</v>
      </c>
      <c r="D45" s="1519"/>
      <c r="E45" s="1519"/>
      <c r="F45" s="66"/>
    </row>
    <row r="46" spans="1:9" ht="12.75" customHeight="1">
      <c r="A46" s="153"/>
      <c r="B46" s="295" t="s">
        <v>374</v>
      </c>
      <c r="C46" s="1519" t="s">
        <v>118</v>
      </c>
      <c r="D46" s="1519"/>
      <c r="E46" s="1519"/>
      <c r="F46" s="66"/>
    </row>
    <row r="47" spans="1:9" ht="12.75" customHeight="1">
      <c r="A47" s="153"/>
      <c r="B47" s="295" t="s">
        <v>224</v>
      </c>
      <c r="C47" s="1519" t="s">
        <v>409</v>
      </c>
      <c r="D47" s="1519"/>
      <c r="E47" s="1519"/>
      <c r="F47" s="66"/>
    </row>
    <row r="48" spans="1:9" ht="12.75" customHeight="1">
      <c r="A48" s="153"/>
      <c r="B48" s="295" t="s">
        <v>479</v>
      </c>
      <c r="C48" s="1519" t="s">
        <v>119</v>
      </c>
      <c r="D48" s="1519"/>
      <c r="E48" s="1519"/>
      <c r="F48" s="66"/>
    </row>
    <row r="50" spans="2:8">
      <c r="B50" s="35"/>
      <c r="C50" s="2"/>
      <c r="D50" s="35"/>
      <c r="E50" s="2"/>
      <c r="F50" s="2"/>
      <c r="G50" s="2"/>
      <c r="H50" s="2"/>
    </row>
    <row r="51" spans="2:8">
      <c r="B51" s="2"/>
      <c r="C51" s="2"/>
      <c r="D51" s="2"/>
      <c r="E51" s="2"/>
      <c r="F51" s="2"/>
      <c r="G51" s="2"/>
      <c r="H51" s="2"/>
    </row>
    <row r="52" spans="2:8">
      <c r="B52" s="4"/>
      <c r="C52" s="2"/>
      <c r="D52" s="2"/>
      <c r="E52" s="2"/>
      <c r="F52" s="2"/>
      <c r="G52" s="2"/>
      <c r="H52" s="2"/>
    </row>
    <row r="53" spans="2:8">
      <c r="B53" s="53"/>
      <c r="C53" s="2"/>
      <c r="D53" s="2"/>
      <c r="E53" s="2"/>
      <c r="F53" s="2"/>
      <c r="G53" s="278"/>
      <c r="H53" s="2"/>
    </row>
    <row r="54" spans="2:8">
      <c r="B54" s="53"/>
      <c r="C54" s="67"/>
      <c r="D54" s="2"/>
      <c r="E54" s="2"/>
      <c r="F54" s="53"/>
      <c r="G54" s="2"/>
      <c r="H54" s="2"/>
    </row>
    <row r="55" spans="2:8">
      <c r="B55" s="53"/>
      <c r="C55" s="67"/>
      <c r="D55" s="2"/>
      <c r="E55" s="2"/>
      <c r="F55" s="53"/>
      <c r="G55" s="67"/>
      <c r="H55" s="2"/>
    </row>
    <row r="56" spans="2:8">
      <c r="B56" s="53"/>
      <c r="C56" s="67"/>
      <c r="D56" s="2"/>
      <c r="E56" s="2"/>
      <c r="F56" s="53"/>
      <c r="G56" s="67"/>
      <c r="H56" s="2"/>
    </row>
    <row r="57" spans="2:8">
      <c r="B57" s="53"/>
      <c r="C57" s="67"/>
      <c r="D57" s="2"/>
      <c r="E57" s="279"/>
      <c r="F57" s="53"/>
      <c r="G57" s="2"/>
      <c r="H57" s="2"/>
    </row>
    <row r="58" spans="2:8">
      <c r="B58" s="53"/>
      <c r="C58" s="279"/>
      <c r="D58" s="2"/>
      <c r="E58" s="2"/>
      <c r="F58" s="2"/>
      <c r="G58" s="2"/>
      <c r="H58" s="53"/>
    </row>
    <row r="59" spans="2:8">
      <c r="B59" s="53"/>
      <c r="C59" s="67"/>
      <c r="D59" s="2"/>
      <c r="E59" s="2"/>
      <c r="F59" s="2"/>
      <c r="G59" s="2"/>
      <c r="H59" s="2"/>
    </row>
    <row r="60" spans="2:8">
      <c r="B60" s="53"/>
      <c r="C60" s="67"/>
      <c r="D60" s="2"/>
      <c r="E60" s="2"/>
      <c r="F60" s="2"/>
      <c r="G60" s="2"/>
      <c r="H60" s="2"/>
    </row>
    <row r="61" spans="2:8">
      <c r="B61" s="2"/>
      <c r="C61" s="2"/>
      <c r="D61" s="2"/>
      <c r="E61" s="2"/>
      <c r="F61" s="2"/>
      <c r="G61" s="2"/>
      <c r="H61" s="2"/>
    </row>
    <row r="62" spans="2:8">
      <c r="B62" s="2"/>
      <c r="C62" s="2"/>
      <c r="D62" s="2"/>
      <c r="E62" s="2"/>
      <c r="F62" s="2"/>
      <c r="G62" s="2"/>
      <c r="H62" s="2"/>
    </row>
    <row r="63" spans="2:8">
      <c r="B63" s="2"/>
      <c r="C63" s="2"/>
      <c r="D63" s="2"/>
      <c r="E63" s="2"/>
      <c r="F63" s="2"/>
      <c r="G63" s="2"/>
      <c r="H63" s="2"/>
    </row>
  </sheetData>
  <sheetProtection selectLockedCells="1"/>
  <mergeCells count="17">
    <mergeCell ref="B30:E30"/>
    <mergeCell ref="B31:E31"/>
    <mergeCell ref="B32:E32"/>
    <mergeCell ref="B33:E33"/>
    <mergeCell ref="B34:E34"/>
    <mergeCell ref="C48:E48"/>
    <mergeCell ref="B39:E39"/>
    <mergeCell ref="B35:E35"/>
    <mergeCell ref="B36:E36"/>
    <mergeCell ref="C45:E45"/>
    <mergeCell ref="B37:E37"/>
    <mergeCell ref="B38:E38"/>
    <mergeCell ref="C47:E47"/>
    <mergeCell ref="C46:E46"/>
    <mergeCell ref="B40:E40"/>
    <mergeCell ref="B41:E41"/>
    <mergeCell ref="C44:E44"/>
  </mergeCells>
  <phoneticPr fontId="36" type="noConversion"/>
  <pageMargins left="0.5" right="0.5" top="0.35" bottom="0.4" header="0.35" footer="0.4"/>
  <pageSetup fitToHeight="0" orientation="landscape" horizontalDpi="4294967292" verticalDpi="4294967292" r:id="rId1"/>
  <headerFooter alignWithMargins="0">
    <oddFooter>&amp;L&amp;8November 2010 Version</oddFooter>
  </headerFooter>
  <rowBreaks count="1" manualBreakCount="1">
    <brk id="25" max="16383" man="1"/>
  </rowBreaks>
  <drawing r:id="rId2"/>
  <legacyDrawing r:id="rId3"/>
</worksheet>
</file>

<file path=xl/worksheets/sheet10.xml><?xml version="1.0" encoding="utf-8"?>
<worksheet xmlns="http://schemas.openxmlformats.org/spreadsheetml/2006/main" xmlns:r="http://schemas.openxmlformats.org/officeDocument/2006/relationships">
  <sheetPr codeName="Sheet3">
    <pageSetUpPr fitToPage="1"/>
  </sheetPr>
  <dimension ref="A1:K58"/>
  <sheetViews>
    <sheetView zoomScaleNormal="100" zoomScaleSheetLayoutView="50" workbookViewId="0">
      <selection activeCell="C9" sqref="C9"/>
    </sheetView>
  </sheetViews>
  <sheetFormatPr defaultColWidth="8.85546875" defaultRowHeight="12.75"/>
  <cols>
    <col min="1" max="1" width="5.85546875" customWidth="1"/>
    <col min="2" max="2" width="39.28515625" customWidth="1"/>
    <col min="3" max="3" width="16.140625" customWidth="1"/>
    <col min="4" max="4" width="1.42578125" customWidth="1"/>
    <col min="5" max="5" width="87.42578125" customWidth="1"/>
    <col min="7" max="7" width="1.42578125" customWidth="1"/>
    <col min="8" max="8" width="27.7109375" customWidth="1"/>
    <col min="11" max="11" width="56" bestFit="1" customWidth="1"/>
  </cols>
  <sheetData>
    <row r="1" spans="1:11" ht="15.75">
      <c r="A1" s="38" t="s">
        <v>68</v>
      </c>
    </row>
    <row r="2" spans="1:11">
      <c r="A2" s="32" t="s">
        <v>524</v>
      </c>
    </row>
    <row r="7" spans="1:11">
      <c r="A7" s="180"/>
      <c r="C7" s="153"/>
      <c r="D7" s="153"/>
      <c r="E7" s="153"/>
      <c r="F7" s="153"/>
      <c r="G7" s="153"/>
    </row>
    <row r="8" spans="1:11">
      <c r="A8" s="1" t="s">
        <v>36</v>
      </c>
      <c r="G8" s="2"/>
      <c r="H8" s="4"/>
      <c r="I8" s="2"/>
      <c r="J8" s="2"/>
      <c r="K8" s="2"/>
    </row>
    <row r="9" spans="1:11" ht="13.5" thickBot="1">
      <c r="A9" s="1" t="s">
        <v>778</v>
      </c>
      <c r="B9" s="1"/>
      <c r="G9" s="2"/>
      <c r="H9" s="4"/>
      <c r="I9" s="2"/>
      <c r="J9" s="2"/>
      <c r="K9" s="2"/>
    </row>
    <row r="10" spans="1:11">
      <c r="A10" s="388">
        <v>1</v>
      </c>
      <c r="B10" s="5" t="s">
        <v>697</v>
      </c>
      <c r="C10" s="411"/>
      <c r="D10" s="15"/>
      <c r="E10" s="16" t="s">
        <v>460</v>
      </c>
      <c r="F10" s="7"/>
      <c r="G10" s="4"/>
      <c r="H10" s="2"/>
      <c r="I10" s="2"/>
      <c r="J10" s="2"/>
      <c r="K10" s="2"/>
    </row>
    <row r="11" spans="1:11">
      <c r="A11" s="388">
        <v>2</v>
      </c>
      <c r="B11" s="72" t="s">
        <v>103</v>
      </c>
      <c r="C11" s="412"/>
      <c r="D11" s="7"/>
      <c r="E11" s="73" t="s">
        <v>762</v>
      </c>
      <c r="F11" s="7"/>
      <c r="G11" s="4"/>
      <c r="H11" s="2"/>
      <c r="I11" s="2"/>
      <c r="J11" s="2"/>
      <c r="K11" s="2"/>
    </row>
    <row r="12" spans="1:11">
      <c r="A12" s="388">
        <v>3</v>
      </c>
      <c r="B12" s="72" t="s">
        <v>826</v>
      </c>
      <c r="C12" s="413"/>
      <c r="D12" s="7"/>
      <c r="E12" s="73" t="s">
        <v>166</v>
      </c>
      <c r="F12" s="2"/>
      <c r="G12" s="4"/>
      <c r="H12" s="2"/>
      <c r="I12" s="2"/>
      <c r="J12" s="2"/>
      <c r="K12" s="2"/>
    </row>
    <row r="13" spans="1:11">
      <c r="A13" s="388">
        <v>4</v>
      </c>
      <c r="B13" s="88" t="s">
        <v>809</v>
      </c>
      <c r="C13" s="173">
        <f>IF(C12="Permeable Pavers", 40%,40%)</f>
        <v>0.4</v>
      </c>
      <c r="D13" s="2"/>
      <c r="E13" s="74" t="s">
        <v>399</v>
      </c>
      <c r="F13" s="2"/>
      <c r="G13" s="4"/>
      <c r="H13" s="2"/>
      <c r="I13" s="2"/>
      <c r="J13" s="2"/>
      <c r="K13" s="2"/>
    </row>
    <row r="14" spans="1:11">
      <c r="A14" s="388">
        <v>5</v>
      </c>
      <c r="B14" s="175" t="s">
        <v>109</v>
      </c>
      <c r="C14" s="174">
        <f>C11*C13</f>
        <v>0</v>
      </c>
      <c r="D14" s="2"/>
      <c r="E14" s="74" t="s">
        <v>763</v>
      </c>
      <c r="F14" s="2"/>
      <c r="G14" s="4"/>
      <c r="H14" s="2"/>
      <c r="I14" s="2"/>
      <c r="J14" s="2"/>
      <c r="K14" s="2"/>
    </row>
    <row r="15" spans="1:11">
      <c r="A15" s="388">
        <v>6</v>
      </c>
      <c r="B15" s="6" t="s">
        <v>126</v>
      </c>
      <c r="C15" s="413"/>
      <c r="D15" s="7"/>
      <c r="E15" s="73" t="s">
        <v>439</v>
      </c>
      <c r="F15" s="7"/>
      <c r="G15" s="4"/>
      <c r="H15" s="2"/>
      <c r="I15" s="2"/>
      <c r="J15" s="2"/>
      <c r="K15" s="2"/>
    </row>
    <row r="16" spans="1:11">
      <c r="A16" s="388"/>
      <c r="B16" s="47" t="s">
        <v>127</v>
      </c>
      <c r="C16" s="426">
        <v>2</v>
      </c>
      <c r="D16" s="7"/>
      <c r="E16" s="73" t="s">
        <v>165</v>
      </c>
      <c r="F16" s="7"/>
      <c r="G16" s="2"/>
      <c r="H16" s="2"/>
      <c r="I16" s="2"/>
      <c r="J16" s="2"/>
      <c r="K16" s="2"/>
    </row>
    <row r="17" spans="1:11">
      <c r="A17" s="388">
        <v>7</v>
      </c>
      <c r="B17" s="88" t="s">
        <v>107</v>
      </c>
      <c r="C17" s="171" t="str">
        <f>IF(C15/C16&lt;0.25,"Yes", "No")</f>
        <v>Yes</v>
      </c>
      <c r="D17" s="7"/>
      <c r="E17" s="73" t="s">
        <v>764</v>
      </c>
      <c r="F17" s="7"/>
      <c r="G17" s="4"/>
      <c r="H17" s="2"/>
      <c r="I17" s="2"/>
      <c r="J17" s="2"/>
      <c r="K17" s="2"/>
    </row>
    <row r="18" spans="1:11">
      <c r="A18" s="388">
        <v>8</v>
      </c>
      <c r="B18" s="6" t="s">
        <v>105</v>
      </c>
      <c r="C18" s="427">
        <v>0.35</v>
      </c>
      <c r="D18" s="7"/>
      <c r="E18" s="19" t="s">
        <v>538</v>
      </c>
      <c r="F18" s="7"/>
      <c r="G18" s="4"/>
      <c r="H18" s="2"/>
      <c r="I18" s="2"/>
      <c r="J18" s="2"/>
      <c r="K18" s="2"/>
    </row>
    <row r="19" spans="1:11" ht="13.5" thickBot="1">
      <c r="A19" s="388"/>
      <c r="B19" s="9" t="s">
        <v>540</v>
      </c>
      <c r="C19" s="428">
        <v>2</v>
      </c>
      <c r="D19" s="10"/>
      <c r="E19" s="11" t="s">
        <v>128</v>
      </c>
      <c r="F19" s="7"/>
      <c r="G19" s="4"/>
      <c r="H19" s="20"/>
      <c r="I19" s="67"/>
      <c r="J19" s="2"/>
      <c r="K19" s="2"/>
    </row>
    <row r="20" spans="1:11" ht="13.5" thickBot="1">
      <c r="A20" s="224"/>
      <c r="B20" s="2"/>
      <c r="C20" s="2"/>
      <c r="D20" s="2"/>
      <c r="E20" s="2"/>
      <c r="F20" s="7"/>
      <c r="G20" s="4"/>
      <c r="H20" s="20"/>
      <c r="I20" s="67"/>
      <c r="J20" s="2"/>
      <c r="K20" s="2"/>
    </row>
    <row r="21" spans="1:11">
      <c r="A21" s="388">
        <v>9</v>
      </c>
      <c r="B21" s="5" t="s">
        <v>106</v>
      </c>
      <c r="C21" s="414"/>
      <c r="D21" s="15"/>
      <c r="E21" s="127" t="s">
        <v>821</v>
      </c>
      <c r="F21" s="2"/>
      <c r="G21" s="4"/>
      <c r="H21" s="20"/>
      <c r="I21" s="67"/>
      <c r="J21" s="2"/>
      <c r="K21" s="2"/>
    </row>
    <row r="22" spans="1:11">
      <c r="A22" s="388"/>
      <c r="B22" s="72" t="s">
        <v>179</v>
      </c>
      <c r="C22" s="415"/>
      <c r="D22" s="7"/>
      <c r="E22" s="73" t="s">
        <v>178</v>
      </c>
      <c r="F22" s="3"/>
      <c r="G22" s="4"/>
      <c r="H22" s="2"/>
      <c r="I22" s="2"/>
      <c r="J22" s="2"/>
      <c r="K22" s="2"/>
    </row>
    <row r="23" spans="1:11" hidden="1">
      <c r="A23" s="388"/>
      <c r="B23" s="72" t="s">
        <v>167</v>
      </c>
      <c r="C23" s="178" t="e">
        <f>(C$10-C$15/C$16/12*C$14*C$19)/(C$14*C$18)*12</f>
        <v>#DIV/0!</v>
      </c>
      <c r="D23" s="7"/>
      <c r="E23" s="73" t="s">
        <v>542</v>
      </c>
      <c r="F23" s="3"/>
      <c r="G23" s="4"/>
      <c r="H23" s="2"/>
      <c r="I23" s="2"/>
      <c r="J23" s="2"/>
      <c r="K23" s="2"/>
    </row>
    <row r="24" spans="1:11" ht="13.5" thickBot="1">
      <c r="A24" s="388">
        <v>10</v>
      </c>
      <c r="B24" s="176" t="s">
        <v>164</v>
      </c>
      <c r="C24" s="177" t="e">
        <f>MAX((C$10-C$15/C$16/12*C$14*C$19)/(C$14*C$18)*12,6)</f>
        <v>#DIV/0!</v>
      </c>
      <c r="D24" s="10"/>
      <c r="E24" s="128" t="s">
        <v>163</v>
      </c>
      <c r="F24" s="35"/>
      <c r="G24" s="4"/>
      <c r="H24" s="2"/>
      <c r="I24" s="2"/>
      <c r="J24" s="2"/>
      <c r="K24" s="2"/>
    </row>
    <row r="25" spans="1:11" ht="13.5" thickBot="1">
      <c r="A25" s="369"/>
      <c r="F25" s="35"/>
      <c r="G25" s="4"/>
      <c r="H25" s="20"/>
      <c r="I25" s="41"/>
      <c r="J25" s="2"/>
      <c r="K25" s="2"/>
    </row>
    <row r="26" spans="1:11">
      <c r="A26" s="328">
        <v>11</v>
      </c>
      <c r="B26" s="48" t="s">
        <v>129</v>
      </c>
      <c r="C26" s="172" t="str">
        <f>IF(C17="No",C10/(C15/C16/12)/C14,"N/A")</f>
        <v>N/A</v>
      </c>
      <c r="D26" s="87"/>
      <c r="E26" s="148" t="s">
        <v>101</v>
      </c>
      <c r="F26" s="35"/>
    </row>
    <row r="27" spans="1:11">
      <c r="A27" s="328">
        <v>12</v>
      </c>
      <c r="B27" s="234" t="s">
        <v>576</v>
      </c>
      <c r="C27" s="416"/>
      <c r="D27" s="2"/>
      <c r="E27" s="236" t="s">
        <v>575</v>
      </c>
      <c r="F27" s="2"/>
    </row>
    <row r="28" spans="1:11" ht="12" customHeight="1" thickBot="1">
      <c r="A28" s="328">
        <v>13</v>
      </c>
      <c r="B28" s="256" t="s">
        <v>373</v>
      </c>
      <c r="C28" s="282" t="e">
        <f>IF(C17="No", "N/A",(C10/(C27*60*60))*7.48*60)</f>
        <v>#DIV/0!</v>
      </c>
      <c r="D28" s="51"/>
      <c r="E28" s="131" t="s">
        <v>134</v>
      </c>
      <c r="F28" s="3"/>
    </row>
    <row r="29" spans="1:11" ht="12" hidden="1" customHeight="1">
      <c r="B29" s="147" t="s">
        <v>725</v>
      </c>
      <c r="C29" s="50">
        <f>C10/0.9/(0.75/12)</f>
        <v>0</v>
      </c>
      <c r="D29" s="35"/>
      <c r="E29" s="147" t="s">
        <v>102</v>
      </c>
    </row>
    <row r="30" spans="1:11" ht="12" hidden="1" customHeight="1">
      <c r="B30" s="35" t="s">
        <v>447</v>
      </c>
      <c r="C30" s="184" t="e">
        <f>C14/C29</f>
        <v>#DIV/0!</v>
      </c>
    </row>
    <row r="31" spans="1:11" ht="12" customHeight="1"/>
    <row r="32" spans="1:11" ht="12" customHeight="1">
      <c r="A32" s="1" t="s">
        <v>33</v>
      </c>
    </row>
    <row r="33" spans="1:7">
      <c r="A33" s="44" t="s">
        <v>61</v>
      </c>
    </row>
    <row r="35" spans="1:7">
      <c r="A35" s="55" t="s">
        <v>758</v>
      </c>
    </row>
    <row r="36" spans="1:7" ht="25.5" customHeight="1">
      <c r="A36" s="386">
        <v>1</v>
      </c>
      <c r="B36" s="1534" t="s">
        <v>243</v>
      </c>
      <c r="C36" s="1519"/>
      <c r="D36" s="1519"/>
      <c r="E36" s="1519"/>
      <c r="F36" s="153"/>
      <c r="G36" s="153"/>
    </row>
    <row r="37" spans="1:7">
      <c r="A37" s="386">
        <v>2</v>
      </c>
      <c r="B37" s="152" t="s">
        <v>811</v>
      </c>
      <c r="C37" s="153"/>
      <c r="D37" s="153"/>
      <c r="E37" s="153"/>
      <c r="F37" s="153"/>
      <c r="G37" s="153"/>
    </row>
    <row r="38" spans="1:7">
      <c r="A38" s="386">
        <v>3</v>
      </c>
      <c r="B38" s="152" t="s">
        <v>440</v>
      </c>
      <c r="C38" s="153"/>
      <c r="D38" s="153"/>
      <c r="E38" s="153"/>
      <c r="F38" s="153"/>
      <c r="G38" s="153"/>
    </row>
    <row r="39" spans="1:7" ht="39" customHeight="1">
      <c r="A39" s="386">
        <v>4</v>
      </c>
      <c r="B39" s="1534" t="s">
        <v>856</v>
      </c>
      <c r="C39" s="1519"/>
      <c r="D39" s="1519"/>
      <c r="E39" s="1519"/>
      <c r="F39" s="66"/>
      <c r="G39" s="66"/>
    </row>
    <row r="40" spans="1:7" ht="12.75" customHeight="1">
      <c r="A40" s="386">
        <v>5</v>
      </c>
      <c r="B40" s="179" t="s">
        <v>857</v>
      </c>
      <c r="C40" s="66"/>
      <c r="D40" s="66"/>
      <c r="E40" s="66"/>
      <c r="F40" s="66"/>
      <c r="G40" s="66"/>
    </row>
    <row r="41" spans="1:7" ht="40.5" customHeight="1">
      <c r="A41" s="386">
        <v>6</v>
      </c>
      <c r="B41" s="1534" t="s">
        <v>827</v>
      </c>
      <c r="C41" s="1519"/>
      <c r="D41" s="1519"/>
      <c r="E41" s="1519"/>
      <c r="F41" s="66"/>
      <c r="G41" s="66"/>
    </row>
    <row r="42" spans="1:7" ht="25.5" customHeight="1">
      <c r="A42" s="386">
        <v>7</v>
      </c>
      <c r="B42" s="1534" t="s">
        <v>823</v>
      </c>
      <c r="C42" s="1519"/>
      <c r="D42" s="1519"/>
      <c r="E42" s="1519"/>
      <c r="F42" s="66"/>
      <c r="G42" s="66"/>
    </row>
    <row r="43" spans="1:7" ht="12.75" customHeight="1">
      <c r="A43" s="386">
        <v>8</v>
      </c>
      <c r="B43" s="152" t="s">
        <v>750</v>
      </c>
      <c r="C43" s="153"/>
      <c r="D43" s="153"/>
      <c r="E43" s="153"/>
      <c r="F43" s="153"/>
      <c r="G43" s="153"/>
    </row>
    <row r="44" spans="1:7" ht="40.5" customHeight="1">
      <c r="A44" s="386">
        <v>9</v>
      </c>
      <c r="B44" s="1534" t="s">
        <v>629</v>
      </c>
      <c r="C44" s="1519"/>
      <c r="D44" s="1519"/>
      <c r="E44" s="1519"/>
      <c r="F44" s="66"/>
      <c r="G44" s="66"/>
    </row>
    <row r="45" spans="1:7" ht="14.25" customHeight="1">
      <c r="A45" s="386">
        <v>10</v>
      </c>
      <c r="B45" s="152" t="s">
        <v>329</v>
      </c>
      <c r="C45" s="153"/>
      <c r="D45" s="153"/>
      <c r="E45" s="153"/>
      <c r="F45" s="153"/>
      <c r="G45" s="153"/>
    </row>
    <row r="46" spans="1:7" ht="13.5" customHeight="1">
      <c r="A46" s="386">
        <v>11</v>
      </c>
      <c r="B46" s="152" t="s">
        <v>187</v>
      </c>
      <c r="C46" s="66"/>
      <c r="D46" s="66"/>
      <c r="E46" s="66"/>
      <c r="F46" s="66"/>
      <c r="G46" s="66"/>
    </row>
    <row r="47" spans="1:7">
      <c r="A47" s="386">
        <v>12</v>
      </c>
      <c r="B47" s="152" t="s">
        <v>80</v>
      </c>
      <c r="C47" s="153"/>
      <c r="D47" s="153"/>
      <c r="E47" s="153"/>
      <c r="F47" s="153"/>
      <c r="G47" s="153"/>
    </row>
    <row r="48" spans="1:7" ht="25.5" customHeight="1">
      <c r="A48" s="386">
        <v>13</v>
      </c>
      <c r="B48" s="1519" t="s">
        <v>397</v>
      </c>
      <c r="C48" s="1519"/>
      <c r="D48" s="1519"/>
      <c r="E48" s="1519"/>
      <c r="F48" s="153"/>
      <c r="G48" s="153"/>
    </row>
    <row r="49" spans="1:7">
      <c r="B49" s="153"/>
      <c r="C49" s="153"/>
      <c r="D49" s="153"/>
      <c r="E49" s="153"/>
      <c r="F49" s="153"/>
      <c r="G49" s="153"/>
    </row>
    <row r="50" spans="1:7">
      <c r="A50" s="1" t="s">
        <v>34</v>
      </c>
    </row>
    <row r="51" spans="1:7" ht="25.5" customHeight="1">
      <c r="B51" s="295" t="s">
        <v>332</v>
      </c>
      <c r="C51" s="1519" t="s">
        <v>677</v>
      </c>
      <c r="D51" s="1519"/>
      <c r="E51" s="1519"/>
      <c r="F51" s="153"/>
    </row>
    <row r="52" spans="1:7" ht="26.1" customHeight="1">
      <c r="B52" s="295" t="s">
        <v>147</v>
      </c>
      <c r="C52" s="1519" t="s">
        <v>713</v>
      </c>
      <c r="D52" s="1519"/>
      <c r="E52" s="1519"/>
      <c r="F52" s="66"/>
    </row>
    <row r="53" spans="1:7" ht="25.5" customHeight="1">
      <c r="B53" s="295" t="s">
        <v>480</v>
      </c>
      <c r="C53" s="1519" t="s">
        <v>161</v>
      </c>
      <c r="D53" s="1519"/>
      <c r="E53" s="1519"/>
      <c r="F53" s="66"/>
    </row>
    <row r="54" spans="1:7" ht="12.75" customHeight="1">
      <c r="B54" s="295" t="s">
        <v>481</v>
      </c>
      <c r="C54" s="1519" t="s">
        <v>404</v>
      </c>
      <c r="D54" s="1519"/>
      <c r="E54" s="1519"/>
      <c r="F54" s="66"/>
    </row>
    <row r="55" spans="1:7" ht="38.25" customHeight="1">
      <c r="B55" s="295" t="s">
        <v>405</v>
      </c>
      <c r="C55" s="1519" t="s">
        <v>650</v>
      </c>
      <c r="D55" s="1519"/>
      <c r="E55" s="1519"/>
      <c r="F55" s="66"/>
    </row>
    <row r="56" spans="1:7" ht="25.5" customHeight="1">
      <c r="B56" s="295" t="s">
        <v>441</v>
      </c>
      <c r="C56" s="1519" t="s">
        <v>682</v>
      </c>
      <c r="D56" s="1519"/>
      <c r="E56" s="1519"/>
      <c r="F56" s="66"/>
    </row>
    <row r="57" spans="1:7" ht="25.5" customHeight="1">
      <c r="B57" s="295" t="s">
        <v>104</v>
      </c>
      <c r="C57" s="1519" t="s">
        <v>67</v>
      </c>
      <c r="D57" s="1519"/>
      <c r="E57" s="1519"/>
      <c r="F57" s="66"/>
    </row>
    <row r="58" spans="1:7" ht="12.75" customHeight="1">
      <c r="B58" s="295" t="s">
        <v>698</v>
      </c>
      <c r="C58" s="1519" t="s">
        <v>89</v>
      </c>
      <c r="D58" s="1519"/>
      <c r="E58" s="1519"/>
      <c r="F58" s="66"/>
    </row>
  </sheetData>
  <sheetProtection selectLockedCells="1"/>
  <mergeCells count="14">
    <mergeCell ref="C56:E56"/>
    <mergeCell ref="C57:E57"/>
    <mergeCell ref="C58:E58"/>
    <mergeCell ref="C52:E52"/>
    <mergeCell ref="C53:E53"/>
    <mergeCell ref="C54:E54"/>
    <mergeCell ref="C55:E55"/>
    <mergeCell ref="B36:E36"/>
    <mergeCell ref="B39:E39"/>
    <mergeCell ref="B41:E41"/>
    <mergeCell ref="C51:E51"/>
    <mergeCell ref="B42:E42"/>
    <mergeCell ref="B44:E44"/>
    <mergeCell ref="B48:E48"/>
  </mergeCells>
  <phoneticPr fontId="0" type="noConversion"/>
  <dataValidations count="1">
    <dataValidation type="list" allowBlank="1" showInputMessage="1" showErrorMessage="1" sqref="C12">
      <formula1>"Permeable Pavers, Porous Asphalt, Pervious Concrete"</formula1>
    </dataValidation>
  </dataValidations>
  <pageMargins left="0.5" right="0.5" top="0.35" bottom="0.4" header="0.35" footer="0.4"/>
  <pageSetup scale="86" fitToHeight="0" orientation="landscape" r:id="rId1"/>
  <headerFooter alignWithMargins="0">
    <oddFooter>&amp;L&amp;8November 2010 Version</oddFooter>
  </headerFooter>
  <rowBreaks count="1" manualBreakCount="1">
    <brk id="31" max="4" man="1"/>
  </rowBreaks>
  <drawing r:id="rId2"/>
  <legacyDrawing r:id="rId3"/>
</worksheet>
</file>

<file path=xl/worksheets/sheet11.xml><?xml version="1.0" encoding="utf-8"?>
<worksheet xmlns="http://schemas.openxmlformats.org/spreadsheetml/2006/main" xmlns:r="http://schemas.openxmlformats.org/officeDocument/2006/relationships">
  <sheetPr codeName="Sheet6">
    <pageSetUpPr fitToPage="1"/>
  </sheetPr>
  <dimension ref="A1:K60"/>
  <sheetViews>
    <sheetView zoomScaleNormal="100" zoomScaleSheetLayoutView="50" workbookViewId="0">
      <selection activeCell="C9" sqref="C9"/>
    </sheetView>
  </sheetViews>
  <sheetFormatPr defaultColWidth="8.85546875" defaultRowHeight="12.75"/>
  <cols>
    <col min="1" max="1" width="8.140625" customWidth="1"/>
    <col min="2" max="2" width="33.7109375" customWidth="1"/>
    <col min="3" max="3" width="20.42578125" customWidth="1"/>
    <col min="4" max="4" width="4.28515625" customWidth="1"/>
    <col min="5" max="5" width="71.85546875" customWidth="1"/>
    <col min="6" max="6" width="31.42578125" customWidth="1"/>
    <col min="9" max="9" width="59.7109375" customWidth="1"/>
  </cols>
  <sheetData>
    <row r="1" spans="1:11" ht="15.75">
      <c r="A1" s="38" t="s">
        <v>589</v>
      </c>
      <c r="G1" s="1"/>
    </row>
    <row r="2" spans="1:11">
      <c r="A2" s="44" t="s">
        <v>803</v>
      </c>
      <c r="G2" s="1"/>
    </row>
    <row r="3" spans="1:11">
      <c r="A3" s="1"/>
      <c r="G3" s="1"/>
    </row>
    <row r="4" spans="1:11">
      <c r="A4" s="1"/>
      <c r="G4" s="1"/>
    </row>
    <row r="5" spans="1:11">
      <c r="G5" s="1"/>
    </row>
    <row r="6" spans="1:11" ht="19.5" customHeight="1">
      <c r="A6" s="1"/>
      <c r="G6" s="1"/>
    </row>
    <row r="7" spans="1:11">
      <c r="A7" s="1" t="s">
        <v>36</v>
      </c>
      <c r="G7" s="1"/>
    </row>
    <row r="8" spans="1:11" ht="13.5" thickBot="1">
      <c r="A8" s="4" t="s">
        <v>427</v>
      </c>
      <c r="B8" s="4"/>
      <c r="G8" s="1"/>
    </row>
    <row r="9" spans="1:11">
      <c r="A9" s="328">
        <v>1</v>
      </c>
      <c r="B9" s="5" t="s">
        <v>704</v>
      </c>
      <c r="C9" s="417"/>
      <c r="D9" s="15"/>
      <c r="E9" s="16" t="s">
        <v>460</v>
      </c>
    </row>
    <row r="10" spans="1:11" ht="13.5" thickBot="1">
      <c r="A10" s="328">
        <v>2</v>
      </c>
      <c r="B10" s="191" t="s">
        <v>227</v>
      </c>
      <c r="C10" s="98">
        <f>C9*0.1</f>
        <v>0</v>
      </c>
      <c r="D10" s="51"/>
      <c r="E10" s="43" t="s">
        <v>460</v>
      </c>
    </row>
    <row r="11" spans="1:11" ht="13.5" thickBot="1">
      <c r="A11" s="369"/>
    </row>
    <row r="12" spans="1:11">
      <c r="A12" s="328">
        <v>3</v>
      </c>
      <c r="B12" s="285" t="s">
        <v>837</v>
      </c>
      <c r="C12" s="132"/>
      <c r="D12" s="15"/>
      <c r="E12" s="16"/>
    </row>
    <row r="13" spans="1:11">
      <c r="A13" s="328">
        <v>4</v>
      </c>
      <c r="B13" s="234" t="s">
        <v>223</v>
      </c>
      <c r="C13" s="408"/>
      <c r="D13" s="7"/>
      <c r="E13" s="19" t="s">
        <v>639</v>
      </c>
      <c r="G13" s="2"/>
      <c r="H13" s="2"/>
      <c r="I13" s="2"/>
      <c r="J13" s="2"/>
      <c r="K13" s="2"/>
    </row>
    <row r="14" spans="1:11">
      <c r="A14" s="328">
        <v>5</v>
      </c>
      <c r="B14" s="6" t="s">
        <v>289</v>
      </c>
      <c r="C14" s="408"/>
      <c r="D14" s="7"/>
      <c r="E14" s="19" t="s">
        <v>287</v>
      </c>
      <c r="G14" s="2"/>
      <c r="H14" s="2"/>
      <c r="I14" s="2"/>
      <c r="J14" s="2"/>
      <c r="K14" s="2"/>
    </row>
    <row r="15" spans="1:11">
      <c r="A15" s="328">
        <v>6</v>
      </c>
      <c r="B15" s="6" t="s">
        <v>290</v>
      </c>
      <c r="C15" s="408"/>
      <c r="D15" s="7"/>
      <c r="E15" s="19" t="s">
        <v>138</v>
      </c>
      <c r="G15" s="2"/>
      <c r="H15" s="2"/>
      <c r="I15" s="2"/>
      <c r="J15" s="2"/>
      <c r="K15" s="2"/>
    </row>
    <row r="16" spans="1:11">
      <c r="A16" s="328">
        <v>7</v>
      </c>
      <c r="B16" s="6" t="s">
        <v>288</v>
      </c>
      <c r="C16" s="408"/>
      <c r="D16" s="7"/>
      <c r="E16" s="236" t="s">
        <v>578</v>
      </c>
      <c r="G16" s="2"/>
      <c r="H16" s="2"/>
      <c r="I16" s="2"/>
      <c r="J16" s="2"/>
      <c r="K16" s="2"/>
    </row>
    <row r="17" spans="1:11">
      <c r="A17" s="328">
        <v>8</v>
      </c>
      <c r="B17" s="6" t="s">
        <v>632</v>
      </c>
      <c r="C17" s="275">
        <f>C16*C14</f>
        <v>0</v>
      </c>
      <c r="D17" s="7"/>
      <c r="E17" s="19" t="s">
        <v>141</v>
      </c>
      <c r="G17" s="2"/>
      <c r="H17" s="2"/>
      <c r="I17" s="2"/>
      <c r="J17" s="2"/>
      <c r="K17" s="2"/>
    </row>
    <row r="18" spans="1:11">
      <c r="A18" s="328">
        <v>9</v>
      </c>
      <c r="B18" s="234" t="s">
        <v>291</v>
      </c>
      <c r="C18" s="277">
        <f>C16+C15*C13*2</f>
        <v>0</v>
      </c>
      <c r="D18" s="7"/>
      <c r="E18" s="19" t="s">
        <v>694</v>
      </c>
      <c r="G18" s="2"/>
      <c r="H18" s="2"/>
      <c r="I18" s="2"/>
      <c r="J18" s="2"/>
      <c r="K18" s="2"/>
    </row>
    <row r="19" spans="1:11">
      <c r="A19" s="328"/>
      <c r="B19" s="234" t="s">
        <v>292</v>
      </c>
      <c r="C19" s="277">
        <f>C17+C15*C13*2</f>
        <v>0</v>
      </c>
      <c r="D19" s="7"/>
      <c r="E19" s="19" t="s">
        <v>694</v>
      </c>
      <c r="G19" s="2"/>
      <c r="H19" s="2"/>
      <c r="I19" s="2"/>
      <c r="J19" s="2"/>
      <c r="K19" s="2"/>
    </row>
    <row r="20" spans="1:11">
      <c r="A20" s="328">
        <v>10</v>
      </c>
      <c r="B20" s="234" t="s">
        <v>146</v>
      </c>
      <c r="C20" s="276">
        <f>C13*(C16*C17+C18*C19+SQRT(C16*C17*C18*C19))/3</f>
        <v>0</v>
      </c>
      <c r="D20" s="7"/>
      <c r="E20" s="19" t="s">
        <v>145</v>
      </c>
      <c r="G20" s="2"/>
      <c r="H20" s="2"/>
      <c r="I20" s="2"/>
      <c r="J20" s="2"/>
      <c r="K20" s="2"/>
    </row>
    <row r="21" spans="1:11" ht="13.5" thickBot="1">
      <c r="A21" s="328">
        <v>11</v>
      </c>
      <c r="B21" s="52" t="s">
        <v>693</v>
      </c>
      <c r="C21" s="280" t="str">
        <f>IF(C20&gt;C9,"Okay", "Error, increase pond width or depth")</f>
        <v>Error, increase pond width or depth</v>
      </c>
      <c r="D21" s="10"/>
      <c r="E21" s="43"/>
    </row>
    <row r="22" spans="1:11" ht="13.5" thickBot="1">
      <c r="A22" s="369"/>
    </row>
    <row r="23" spans="1:11">
      <c r="A23" s="328">
        <v>12</v>
      </c>
      <c r="B23" s="48" t="s">
        <v>836</v>
      </c>
      <c r="C23" s="444">
        <v>48</v>
      </c>
      <c r="D23" s="15"/>
      <c r="E23" s="33" t="s">
        <v>841</v>
      </c>
    </row>
    <row r="24" spans="1:11" hidden="1">
      <c r="A24" s="328"/>
      <c r="B24" s="6" t="s">
        <v>393</v>
      </c>
      <c r="C24" s="133">
        <f>(C16+C15*C13)*(C17+C15*C13)</f>
        <v>0</v>
      </c>
      <c r="D24" s="7"/>
      <c r="E24" s="8" t="s">
        <v>711</v>
      </c>
    </row>
    <row r="25" spans="1:11" hidden="1">
      <c r="A25" s="328"/>
      <c r="B25" s="6" t="s">
        <v>696</v>
      </c>
      <c r="C25" s="286">
        <f>(2*C24*(C13)^0.5)/(3600*0.66*C23*(2*32.2)^0.5)</f>
        <v>0</v>
      </c>
      <c r="D25" s="7"/>
      <c r="E25" s="8" t="s">
        <v>711</v>
      </c>
    </row>
    <row r="26" spans="1:11">
      <c r="A26" s="328">
        <v>13</v>
      </c>
      <c r="B26" s="6" t="s">
        <v>712</v>
      </c>
      <c r="C26" s="199">
        <f>12*(4*C25/PI())^0.5</f>
        <v>0</v>
      </c>
      <c r="D26" s="7"/>
      <c r="E26" s="8" t="s">
        <v>386</v>
      </c>
    </row>
    <row r="27" spans="1:11" ht="13.5" thickBot="1">
      <c r="A27" s="328">
        <v>14</v>
      </c>
      <c r="B27" s="9" t="s">
        <v>387</v>
      </c>
      <c r="C27" s="284">
        <f>449*0.66*C25*(2*32.2*C13)^0.5</f>
        <v>0</v>
      </c>
      <c r="D27" s="10"/>
      <c r="E27" s="11" t="s">
        <v>226</v>
      </c>
    </row>
    <row r="28" spans="1:11" ht="14.25" hidden="1">
      <c r="B28" s="35" t="s">
        <v>850</v>
      </c>
      <c r="C28" s="202">
        <f>C9/(0.75/12)/0.9</f>
        <v>0</v>
      </c>
      <c r="D28" s="34"/>
      <c r="E28" s="35" t="s">
        <v>102</v>
      </c>
    </row>
    <row r="29" spans="1:11" hidden="1">
      <c r="B29" s="35" t="s">
        <v>184</v>
      </c>
      <c r="C29" s="203" t="e">
        <f>C19*C18/C28</f>
        <v>#DIV/0!</v>
      </c>
      <c r="D29" s="34"/>
      <c r="E29" s="34"/>
    </row>
    <row r="30" spans="1:11" hidden="1">
      <c r="B30" s="35" t="s">
        <v>392</v>
      </c>
      <c r="C30" s="184" t="e">
        <f>((C19*C18)+C10/1.5)/C28</f>
        <v>#DIV/0!</v>
      </c>
    </row>
    <row r="32" spans="1:11">
      <c r="A32" s="1" t="s">
        <v>33</v>
      </c>
    </row>
    <row r="33" spans="1:6">
      <c r="A33" s="44" t="s">
        <v>370</v>
      </c>
    </row>
    <row r="35" spans="1:6">
      <c r="A35" s="55" t="s">
        <v>758</v>
      </c>
    </row>
    <row r="36" spans="1:6">
      <c r="A36" s="386">
        <v>1</v>
      </c>
      <c r="B36" s="1519" t="s">
        <v>549</v>
      </c>
      <c r="C36" s="1519"/>
      <c r="D36" s="1519"/>
      <c r="E36" s="1519"/>
    </row>
    <row r="37" spans="1:6">
      <c r="A37" s="386">
        <v>2</v>
      </c>
      <c r="B37" s="1519" t="s">
        <v>120</v>
      </c>
      <c r="C37" s="1519"/>
      <c r="D37" s="1519"/>
      <c r="E37" s="1519"/>
      <c r="F37" s="288"/>
    </row>
    <row r="38" spans="1:6">
      <c r="A38" s="386">
        <v>3</v>
      </c>
      <c r="B38" s="1519" t="s">
        <v>846</v>
      </c>
      <c r="C38" s="1519"/>
      <c r="D38" s="1519"/>
      <c r="E38" s="1519"/>
      <c r="F38" s="288"/>
    </row>
    <row r="39" spans="1:6" ht="39.75" customHeight="1">
      <c r="A39" s="386">
        <v>4</v>
      </c>
      <c r="B39" s="1519" t="s">
        <v>242</v>
      </c>
      <c r="C39" s="1519"/>
      <c r="D39" s="1519"/>
      <c r="E39" s="1519"/>
      <c r="F39" s="288"/>
    </row>
    <row r="40" spans="1:6">
      <c r="A40" s="386">
        <v>5</v>
      </c>
      <c r="B40" s="1519" t="s">
        <v>847</v>
      </c>
      <c r="C40" s="1519"/>
      <c r="D40" s="1519"/>
      <c r="E40" s="1519"/>
      <c r="F40" s="288"/>
    </row>
    <row r="41" spans="1:6" ht="24" customHeight="1">
      <c r="A41" s="386">
        <v>6</v>
      </c>
      <c r="B41" s="1519" t="s">
        <v>219</v>
      </c>
      <c r="C41" s="1519"/>
      <c r="D41" s="1519"/>
      <c r="E41" s="1519"/>
      <c r="F41" s="288"/>
    </row>
    <row r="42" spans="1:6">
      <c r="A42" s="386">
        <v>7</v>
      </c>
      <c r="B42" s="1539" t="s">
        <v>557</v>
      </c>
      <c r="C42" s="1539"/>
      <c r="D42" s="1539"/>
      <c r="E42" s="1539"/>
      <c r="F42" s="288"/>
    </row>
    <row r="43" spans="1:6" ht="12.75" customHeight="1">
      <c r="A43" s="386">
        <v>8</v>
      </c>
      <c r="B43" s="1519" t="s">
        <v>708</v>
      </c>
      <c r="C43" s="1519"/>
      <c r="D43" s="1519"/>
      <c r="E43" s="1519"/>
      <c r="F43" s="288"/>
    </row>
    <row r="44" spans="1:6">
      <c r="A44" s="386">
        <v>9</v>
      </c>
      <c r="B44" s="1519" t="s">
        <v>663</v>
      </c>
      <c r="C44" s="1519"/>
      <c r="D44" s="1519"/>
      <c r="E44" s="1519"/>
      <c r="F44" s="288"/>
    </row>
    <row r="45" spans="1:6" ht="27" customHeight="1">
      <c r="A45" s="386">
        <v>10</v>
      </c>
      <c r="B45" s="1519" t="s">
        <v>422</v>
      </c>
      <c r="C45" s="1519"/>
      <c r="D45" s="1519"/>
      <c r="E45" s="1519"/>
      <c r="F45" s="288"/>
    </row>
    <row r="46" spans="1:6">
      <c r="A46" s="386">
        <v>11</v>
      </c>
      <c r="B46" s="1519" t="s">
        <v>638</v>
      </c>
      <c r="C46" s="1519"/>
      <c r="D46" s="1519"/>
      <c r="E46" s="1519"/>
      <c r="F46" s="288"/>
    </row>
    <row r="47" spans="1:6">
      <c r="A47" s="386">
        <v>12</v>
      </c>
      <c r="B47" s="1519" t="s">
        <v>840</v>
      </c>
      <c r="C47" s="1519"/>
      <c r="D47" s="1519"/>
      <c r="E47" s="1519"/>
      <c r="F47" s="288"/>
    </row>
    <row r="48" spans="1:6" ht="38.1" customHeight="1">
      <c r="A48" s="386">
        <v>13</v>
      </c>
      <c r="B48" s="1519" t="s">
        <v>649</v>
      </c>
      <c r="C48" s="1519"/>
      <c r="D48" s="1519"/>
      <c r="E48" s="1519"/>
      <c r="F48" s="288"/>
    </row>
    <row r="49" spans="1:7">
      <c r="A49" s="386">
        <v>14</v>
      </c>
      <c r="B49" s="1519" t="s">
        <v>835</v>
      </c>
      <c r="C49" s="1519"/>
      <c r="D49" s="1519"/>
      <c r="E49" s="1519"/>
      <c r="F49" s="288"/>
    </row>
    <row r="50" spans="1:7" s="3" customFormat="1">
      <c r="A50" s="218"/>
      <c r="B50" s="325"/>
      <c r="C50" s="325"/>
      <c r="D50" s="325"/>
      <c r="E50" s="325"/>
      <c r="F50" s="326"/>
    </row>
    <row r="51" spans="1:7">
      <c r="A51" s="324" t="s">
        <v>34</v>
      </c>
      <c r="B51" s="153"/>
      <c r="C51" s="153"/>
      <c r="D51" s="153"/>
      <c r="E51" s="153"/>
      <c r="G51" s="1"/>
    </row>
    <row r="52" spans="1:7" ht="24" customHeight="1">
      <c r="A52" s="153"/>
      <c r="B52" s="295" t="s">
        <v>332</v>
      </c>
      <c r="C52" s="1519" t="s">
        <v>677</v>
      </c>
      <c r="D52" s="1519"/>
      <c r="E52" s="1519"/>
      <c r="F52" s="66"/>
      <c r="G52" s="1"/>
    </row>
    <row r="53" spans="1:7" ht="12.75" customHeight="1">
      <c r="A53" s="153"/>
      <c r="B53" s="295" t="s">
        <v>479</v>
      </c>
      <c r="C53" s="1519" t="s">
        <v>119</v>
      </c>
      <c r="D53" s="1519"/>
      <c r="E53" s="1519"/>
      <c r="F53" s="66"/>
      <c r="G53" s="1"/>
    </row>
    <row r="54" spans="1:7">
      <c r="A54" s="153"/>
      <c r="B54" s="295" t="s">
        <v>695</v>
      </c>
      <c r="C54" s="1519" t="s">
        <v>385</v>
      </c>
      <c r="D54" s="1519"/>
      <c r="E54" s="1519"/>
      <c r="F54" s="66"/>
      <c r="G54" s="1"/>
    </row>
    <row r="55" spans="1:7" ht="12.75" customHeight="1">
      <c r="A55" s="153"/>
      <c r="B55" s="295" t="s">
        <v>603</v>
      </c>
      <c r="C55" s="1519" t="s">
        <v>42</v>
      </c>
      <c r="D55" s="1519"/>
      <c r="E55" s="1519"/>
      <c r="F55" s="66"/>
      <c r="G55" s="1"/>
    </row>
    <row r="56" spans="1:7" ht="24.75" customHeight="1">
      <c r="A56" s="153"/>
      <c r="B56" s="295" t="s">
        <v>43</v>
      </c>
      <c r="C56" s="1519" t="s">
        <v>838</v>
      </c>
      <c r="D56" s="1519"/>
      <c r="E56" s="1519"/>
      <c r="F56" s="66"/>
      <c r="G56" s="1"/>
    </row>
    <row r="57" spans="1:7" ht="12.75" customHeight="1">
      <c r="A57" s="153"/>
      <c r="B57" s="295" t="s">
        <v>374</v>
      </c>
      <c r="C57" s="1519" t="s">
        <v>118</v>
      </c>
      <c r="D57" s="1519"/>
      <c r="E57" s="1519"/>
      <c r="F57" s="66"/>
      <c r="G57" s="1"/>
    </row>
    <row r="58" spans="1:7" ht="12.75" customHeight="1">
      <c r="A58" s="153"/>
      <c r="B58" s="295" t="s">
        <v>224</v>
      </c>
      <c r="C58" s="1519" t="s">
        <v>409</v>
      </c>
      <c r="D58" s="1519"/>
      <c r="E58" s="1519"/>
      <c r="F58" s="66"/>
      <c r="G58" s="1"/>
    </row>
    <row r="60" spans="1:7">
      <c r="C60" s="222"/>
    </row>
  </sheetData>
  <sheetProtection selectLockedCells="1"/>
  <mergeCells count="21">
    <mergeCell ref="B36:E36"/>
    <mergeCell ref="B37:E37"/>
    <mergeCell ref="B38:E38"/>
    <mergeCell ref="B39:E39"/>
    <mergeCell ref="B40:E40"/>
    <mergeCell ref="C52:E52"/>
    <mergeCell ref="B41:E41"/>
    <mergeCell ref="B49:E49"/>
    <mergeCell ref="B42:E42"/>
    <mergeCell ref="B44:E44"/>
    <mergeCell ref="B48:E48"/>
    <mergeCell ref="B45:E45"/>
    <mergeCell ref="B43:E43"/>
    <mergeCell ref="B46:E46"/>
    <mergeCell ref="B47:E47"/>
    <mergeCell ref="C53:E53"/>
    <mergeCell ref="C54:E54"/>
    <mergeCell ref="C55:E55"/>
    <mergeCell ref="C57:E57"/>
    <mergeCell ref="C58:E58"/>
    <mergeCell ref="C56:E56"/>
  </mergeCells>
  <phoneticPr fontId="36" type="noConversion"/>
  <pageMargins left="0.5" right="0.5" top="0.35" bottom="0.4" header="0.35" footer="0.4"/>
  <pageSetup scale="94" fitToHeight="0" orientation="landscape" horizontalDpi="4294967292" verticalDpi="4294967292" r:id="rId1"/>
  <headerFooter alignWithMargins="0">
    <oddFooter>&amp;L&amp;8November 2010 Version</oddFooter>
  </headerFooter>
  <rowBreaks count="1" manualBreakCount="1">
    <brk id="31" max="4" man="1"/>
  </rowBreaks>
  <drawing r:id="rId2"/>
  <legacyDrawing r:id="rId3"/>
</worksheet>
</file>

<file path=xl/worksheets/sheet12.xml><?xml version="1.0" encoding="utf-8"?>
<worksheet xmlns="http://schemas.openxmlformats.org/spreadsheetml/2006/main" xmlns:r="http://schemas.openxmlformats.org/officeDocument/2006/relationships">
  <sheetPr codeName="Sheet9">
    <pageSetUpPr fitToPage="1"/>
  </sheetPr>
  <dimension ref="A1:K50"/>
  <sheetViews>
    <sheetView zoomScaleNormal="100" zoomScaleSheetLayoutView="50" workbookViewId="0">
      <selection activeCell="C9" sqref="C9"/>
    </sheetView>
  </sheetViews>
  <sheetFormatPr defaultColWidth="8.85546875" defaultRowHeight="12.75"/>
  <cols>
    <col min="2" max="2" width="29.28515625" customWidth="1"/>
    <col min="3" max="3" width="12.42578125" customWidth="1"/>
    <col min="4" max="4" width="1.85546875" customWidth="1"/>
    <col min="5" max="5" width="28.7109375" customWidth="1"/>
    <col min="6" max="6" width="3.7109375" customWidth="1"/>
    <col min="8" max="8" width="28.42578125" customWidth="1"/>
    <col min="10" max="10" width="1.85546875" customWidth="1"/>
    <col min="11" max="11" width="16.7109375" customWidth="1"/>
    <col min="12" max="12" width="10.42578125" customWidth="1"/>
  </cols>
  <sheetData>
    <row r="1" spans="1:7" ht="15.75" customHeight="1">
      <c r="A1" s="39" t="s">
        <v>155</v>
      </c>
    </row>
    <row r="2" spans="1:7" s="32" customFormat="1">
      <c r="A2" t="s">
        <v>801</v>
      </c>
      <c r="E2"/>
      <c r="F2"/>
      <c r="G2"/>
    </row>
    <row r="3" spans="1:7" s="32" customFormat="1">
      <c r="A3" s="1"/>
      <c r="E3"/>
      <c r="F3"/>
      <c r="G3"/>
    </row>
    <row r="4" spans="1:7">
      <c r="A4" s="1"/>
    </row>
    <row r="5" spans="1:7">
      <c r="A5" s="1"/>
    </row>
    <row r="8" spans="1:7">
      <c r="A8" s="1" t="s">
        <v>36</v>
      </c>
    </row>
    <row r="9" spans="1:7" ht="13.5" thickBot="1">
      <c r="A9" s="1" t="s">
        <v>311</v>
      </c>
      <c r="B9" s="1"/>
    </row>
    <row r="10" spans="1:7">
      <c r="A10" s="328">
        <v>1</v>
      </c>
      <c r="B10" s="5" t="s">
        <v>704</v>
      </c>
      <c r="C10" s="442"/>
      <c r="D10" s="15"/>
      <c r="E10" s="16" t="s">
        <v>460</v>
      </c>
      <c r="F10" s="7"/>
    </row>
    <row r="11" spans="1:7">
      <c r="A11" s="328">
        <v>2</v>
      </c>
      <c r="B11" s="6" t="s">
        <v>406</v>
      </c>
      <c r="C11" s="419"/>
      <c r="D11" s="7"/>
      <c r="E11" s="73" t="s">
        <v>729</v>
      </c>
      <c r="F11" s="7"/>
    </row>
    <row r="12" spans="1:7" ht="13.5" thickBot="1">
      <c r="A12" s="328">
        <v>3</v>
      </c>
      <c r="B12" s="17" t="s">
        <v>560</v>
      </c>
      <c r="C12" s="443"/>
      <c r="D12" s="10"/>
      <c r="E12" s="128" t="s">
        <v>185</v>
      </c>
      <c r="F12" s="7"/>
    </row>
    <row r="13" spans="1:7" ht="13.5" thickBot="1">
      <c r="A13" s="369"/>
      <c r="F13" s="7"/>
    </row>
    <row r="14" spans="1:7">
      <c r="A14" s="328">
        <v>4</v>
      </c>
      <c r="B14" s="204" t="s">
        <v>4</v>
      </c>
      <c r="C14" s="197" t="e">
        <f>C15*C12</f>
        <v>#DIV/0!</v>
      </c>
      <c r="D14" s="87"/>
      <c r="E14" s="33" t="s">
        <v>5</v>
      </c>
      <c r="F14" s="2"/>
    </row>
    <row r="15" spans="1:7" ht="13.5" thickBot="1">
      <c r="A15" s="328"/>
      <c r="B15" s="191" t="s">
        <v>3</v>
      </c>
      <c r="C15" s="207" t="e">
        <f>(C10/C11/C12)^0.5</f>
        <v>#DIV/0!</v>
      </c>
      <c r="D15" s="51"/>
      <c r="E15" s="43" t="s">
        <v>5</v>
      </c>
      <c r="F15" s="2"/>
    </row>
    <row r="16" spans="1:7" ht="13.5" thickBot="1">
      <c r="A16" s="369"/>
    </row>
    <row r="17" spans="1:11">
      <c r="A17" s="328">
        <v>5</v>
      </c>
      <c r="B17" s="5" t="s">
        <v>833</v>
      </c>
      <c r="C17" s="444">
        <v>48</v>
      </c>
      <c r="D17" s="15"/>
      <c r="E17" s="16" t="s">
        <v>717</v>
      </c>
    </row>
    <row r="18" spans="1:11" ht="13.5" thickBot="1">
      <c r="A18" s="328">
        <v>6</v>
      </c>
      <c r="B18" s="256" t="s">
        <v>373</v>
      </c>
      <c r="C18" s="283">
        <f>C10/C17/3600*449</f>
        <v>0</v>
      </c>
      <c r="D18" s="51"/>
      <c r="E18" s="43" t="s">
        <v>220</v>
      </c>
    </row>
    <row r="19" spans="1:11" ht="14.25" hidden="1">
      <c r="B19" s="35" t="s">
        <v>183</v>
      </c>
      <c r="C19" s="202">
        <f>C10/(0.75/12)/0.9</f>
        <v>0</v>
      </c>
      <c r="D19" s="34"/>
      <c r="E19" s="35" t="s">
        <v>102</v>
      </c>
    </row>
    <row r="20" spans="1:11" hidden="1">
      <c r="B20" s="35" t="s">
        <v>184</v>
      </c>
      <c r="C20" s="203" t="e">
        <f>C14*C15/C19</f>
        <v>#DIV/0!</v>
      </c>
      <c r="D20" s="34"/>
      <c r="E20" s="34"/>
    </row>
    <row r="22" spans="1:11" ht="13.5" thickBot="1">
      <c r="A22" s="1" t="s">
        <v>259</v>
      </c>
      <c r="C22" s="1"/>
    </row>
    <row r="23" spans="1:11">
      <c r="A23" s="328">
        <v>7</v>
      </c>
      <c r="B23" s="5" t="s">
        <v>158</v>
      </c>
      <c r="C23" s="445"/>
      <c r="D23" s="15"/>
      <c r="E23" s="16" t="s">
        <v>455</v>
      </c>
    </row>
    <row r="24" spans="1:11">
      <c r="A24" s="328">
        <v>8</v>
      </c>
      <c r="B24" s="6" t="s">
        <v>276</v>
      </c>
      <c r="C24" s="419"/>
      <c r="D24" s="7"/>
      <c r="E24" s="8" t="s">
        <v>5</v>
      </c>
    </row>
    <row r="25" spans="1:11" ht="13.5" thickBot="1">
      <c r="A25" s="328">
        <v>9</v>
      </c>
      <c r="B25" s="191" t="s">
        <v>545</v>
      </c>
      <c r="C25" s="161">
        <f>$C$23*$C$24</f>
        <v>0</v>
      </c>
      <c r="D25" s="51"/>
      <c r="E25" s="43" t="s">
        <v>460</v>
      </c>
    </row>
    <row r="27" spans="1:11">
      <c r="A27" s="1" t="s">
        <v>33</v>
      </c>
    </row>
    <row r="28" spans="1:11">
      <c r="A28" s="44" t="s">
        <v>159</v>
      </c>
    </row>
    <row r="30" spans="1:11">
      <c r="A30" s="55" t="s">
        <v>758</v>
      </c>
    </row>
    <row r="31" spans="1:11">
      <c r="A31" s="324" t="s">
        <v>218</v>
      </c>
    </row>
    <row r="32" spans="1:11">
      <c r="A32" s="386">
        <v>1</v>
      </c>
      <c r="B32" s="153" t="s">
        <v>243</v>
      </c>
      <c r="C32" s="153"/>
      <c r="D32" s="153"/>
      <c r="E32" s="153"/>
      <c r="F32" s="153"/>
      <c r="G32" s="153"/>
      <c r="H32" s="153"/>
      <c r="I32" s="153"/>
      <c r="J32" s="153"/>
      <c r="K32" s="153"/>
    </row>
    <row r="33" spans="1:11" ht="26.25" customHeight="1">
      <c r="A33" s="386">
        <v>2</v>
      </c>
      <c r="B33" s="1534" t="s">
        <v>730</v>
      </c>
      <c r="C33" s="1519"/>
      <c r="D33" s="1519"/>
      <c r="E33" s="1519"/>
      <c r="F33" s="1519"/>
      <c r="G33" s="1519"/>
      <c r="H33" s="1519"/>
      <c r="I33" s="1519"/>
      <c r="J33" s="1519"/>
      <c r="K33" s="1519"/>
    </row>
    <row r="34" spans="1:11">
      <c r="A34" s="386">
        <v>3</v>
      </c>
      <c r="B34" s="152" t="s">
        <v>322</v>
      </c>
      <c r="C34" s="153"/>
      <c r="D34" s="153"/>
      <c r="E34" s="153"/>
      <c r="F34" s="153"/>
      <c r="G34" s="153"/>
      <c r="H34" s="153"/>
      <c r="I34" s="153"/>
      <c r="J34" s="153"/>
      <c r="K34" s="153"/>
    </row>
    <row r="35" spans="1:11">
      <c r="A35" s="386">
        <v>4</v>
      </c>
      <c r="B35" s="153" t="s">
        <v>96</v>
      </c>
      <c r="C35" s="153"/>
      <c r="D35" s="153"/>
      <c r="E35" s="153"/>
      <c r="F35" s="153"/>
      <c r="G35" s="153"/>
      <c r="H35" s="153"/>
      <c r="I35" s="153"/>
      <c r="J35" s="153"/>
      <c r="K35" s="153"/>
    </row>
    <row r="36" spans="1:11">
      <c r="A36" s="386">
        <v>5</v>
      </c>
      <c r="B36" s="153" t="s">
        <v>323</v>
      </c>
      <c r="C36" s="153"/>
      <c r="D36" s="153"/>
      <c r="E36" s="153"/>
      <c r="F36" s="153"/>
      <c r="G36" s="153"/>
      <c r="H36" s="153"/>
      <c r="I36" s="153"/>
      <c r="J36" s="153"/>
      <c r="K36" s="153"/>
    </row>
    <row r="37" spans="1:11" ht="23.25" customHeight="1">
      <c r="A37" s="386">
        <v>6</v>
      </c>
      <c r="B37" s="1519" t="s">
        <v>398</v>
      </c>
      <c r="C37" s="1519"/>
      <c r="D37" s="1519"/>
      <c r="E37" s="1519"/>
      <c r="F37" s="1519"/>
      <c r="G37" s="1519"/>
      <c r="H37" s="1519"/>
      <c r="I37" s="1519"/>
      <c r="J37" s="1519"/>
      <c r="K37" s="1519"/>
    </row>
    <row r="38" spans="1:11">
      <c r="A38" s="153"/>
      <c r="B38" s="153"/>
      <c r="C38" s="153"/>
      <c r="D38" s="153"/>
      <c r="E38" s="153"/>
      <c r="F38" s="153"/>
      <c r="G38" s="153"/>
      <c r="H38" s="153"/>
      <c r="I38" s="153"/>
      <c r="J38" s="153"/>
      <c r="K38" s="153"/>
    </row>
    <row r="39" spans="1:11">
      <c r="A39" s="180" t="s">
        <v>274</v>
      </c>
      <c r="B39" s="153"/>
      <c r="C39" s="153"/>
      <c r="D39" s="153"/>
      <c r="E39" s="153"/>
      <c r="F39" s="153"/>
      <c r="G39" s="153"/>
      <c r="H39" s="153"/>
      <c r="I39" s="153"/>
      <c r="J39" s="153"/>
      <c r="K39" s="153"/>
    </row>
    <row r="40" spans="1:11">
      <c r="A40" s="386">
        <v>7</v>
      </c>
      <c r="B40" s="153" t="s">
        <v>149</v>
      </c>
      <c r="C40" s="153"/>
      <c r="D40" s="153"/>
      <c r="E40" s="153"/>
      <c r="F40" s="153"/>
      <c r="G40" s="153"/>
      <c r="H40" s="153"/>
      <c r="I40" s="153"/>
      <c r="J40" s="153"/>
      <c r="K40" s="153"/>
    </row>
    <row r="41" spans="1:11">
      <c r="A41" s="386">
        <v>8</v>
      </c>
      <c r="B41" s="153" t="s">
        <v>31</v>
      </c>
      <c r="C41" s="153"/>
      <c r="D41" s="153"/>
      <c r="E41" s="153"/>
      <c r="F41" s="153"/>
      <c r="G41" s="153"/>
      <c r="H41" s="153"/>
      <c r="I41" s="153"/>
      <c r="J41" s="153"/>
      <c r="K41" s="153"/>
    </row>
    <row r="42" spans="1:11">
      <c r="A42" s="386">
        <v>9</v>
      </c>
      <c r="B42" s="1519" t="s">
        <v>273</v>
      </c>
      <c r="C42" s="1519"/>
      <c r="D42" s="1519"/>
      <c r="E42" s="1519"/>
      <c r="F42" s="1519"/>
      <c r="G42" s="1519"/>
      <c r="H42" s="1519"/>
      <c r="I42" s="1519"/>
      <c r="J42" s="1519"/>
      <c r="K42" s="1519"/>
    </row>
    <row r="43" spans="1:11">
      <c r="A43" s="153"/>
      <c r="B43" s="153"/>
      <c r="C43" s="153"/>
      <c r="D43" s="153"/>
      <c r="E43" s="153"/>
      <c r="F43" s="153"/>
      <c r="G43" s="153"/>
      <c r="H43" s="153"/>
      <c r="I43" s="153"/>
      <c r="J43" s="153"/>
      <c r="K43" s="153"/>
    </row>
    <row r="44" spans="1:11">
      <c r="A44" s="324" t="s">
        <v>34</v>
      </c>
      <c r="B44" s="153"/>
      <c r="C44" s="153"/>
      <c r="D44" s="153"/>
      <c r="E44" s="153"/>
      <c r="F44" s="153"/>
      <c r="G44" s="153"/>
      <c r="H44" s="153"/>
      <c r="I44" s="153"/>
      <c r="J44" s="153"/>
      <c r="K44" s="153"/>
    </row>
    <row r="45" spans="1:11" ht="24.75" customHeight="1">
      <c r="A45" s="153"/>
      <c r="B45" s="295" t="s">
        <v>332</v>
      </c>
      <c r="C45" s="1519" t="s">
        <v>677</v>
      </c>
      <c r="D45" s="1519"/>
      <c r="E45" s="1519"/>
      <c r="F45" s="1519"/>
      <c r="G45" s="1519"/>
      <c r="H45" s="1519"/>
      <c r="I45" s="1519"/>
      <c r="J45" s="1519"/>
      <c r="K45" s="1519"/>
    </row>
    <row r="46" spans="1:11">
      <c r="A46" s="153"/>
      <c r="B46" s="295" t="s">
        <v>275</v>
      </c>
      <c r="C46" s="152" t="s">
        <v>728</v>
      </c>
      <c r="D46" s="153"/>
      <c r="E46" s="153"/>
      <c r="F46" s="153"/>
      <c r="G46" s="153"/>
      <c r="H46" s="153"/>
      <c r="I46" s="153"/>
      <c r="J46" s="153"/>
      <c r="K46" s="153"/>
    </row>
    <row r="47" spans="1:11">
      <c r="A47" s="153"/>
      <c r="B47" s="295" t="s">
        <v>4</v>
      </c>
      <c r="C47" s="152" t="s">
        <v>156</v>
      </c>
      <c r="D47" s="153"/>
      <c r="E47" s="153"/>
      <c r="F47" s="153"/>
      <c r="G47" s="153"/>
      <c r="H47" s="153"/>
      <c r="I47" s="153"/>
      <c r="J47" s="153"/>
      <c r="K47" s="153"/>
    </row>
    <row r="48" spans="1:11">
      <c r="A48" s="153"/>
      <c r="B48" s="295" t="s">
        <v>3</v>
      </c>
      <c r="C48" s="152" t="s">
        <v>157</v>
      </c>
      <c r="D48" s="153"/>
      <c r="E48" s="153"/>
      <c r="F48" s="153"/>
      <c r="G48" s="153"/>
      <c r="H48" s="153"/>
      <c r="I48" s="153"/>
      <c r="J48" s="153"/>
      <c r="K48" s="153"/>
    </row>
    <row r="49" spans="1:11">
      <c r="A49" s="153"/>
      <c r="B49" s="295" t="s">
        <v>625</v>
      </c>
      <c r="C49" s="152" t="s">
        <v>485</v>
      </c>
      <c r="D49" s="153"/>
      <c r="E49" s="153"/>
      <c r="F49" s="153"/>
      <c r="G49" s="153"/>
      <c r="H49" s="153"/>
      <c r="I49" s="153"/>
      <c r="J49" s="153"/>
      <c r="K49" s="153"/>
    </row>
    <row r="50" spans="1:11">
      <c r="A50" s="153"/>
      <c r="B50" s="295" t="s">
        <v>374</v>
      </c>
      <c r="C50" s="391" t="s">
        <v>118</v>
      </c>
      <c r="D50" s="153"/>
      <c r="E50" s="153"/>
      <c r="F50" s="153"/>
      <c r="G50" s="153"/>
      <c r="H50" s="153"/>
      <c r="I50" s="153"/>
      <c r="J50" s="153"/>
      <c r="K50" s="153"/>
    </row>
  </sheetData>
  <sheetProtection selectLockedCells="1"/>
  <mergeCells count="4">
    <mergeCell ref="C45:K45"/>
    <mergeCell ref="B33:K33"/>
    <mergeCell ref="B37:K37"/>
    <mergeCell ref="B42:K42"/>
  </mergeCells>
  <phoneticPr fontId="0" type="noConversion"/>
  <dataValidations count="1">
    <dataValidation allowBlank="1" showInputMessage="1" errorTitle="Enter Length Divided by Width" error="Enter a number between 0 and 6.  For example, if the vault will have a length to width ratio of 2:1, enter 2. " sqref="C12"/>
  </dataValidations>
  <pageMargins left="0.5" right="0.5" top="0.35" bottom="0.4" header="0.35" footer="0.4"/>
  <pageSetup scale="87" fitToHeight="0" orientation="landscape" r:id="rId1"/>
  <headerFooter alignWithMargins="0">
    <oddFooter>&amp;L&amp;8November 2010 Version</oddFooter>
  </headerFooter>
  <drawing r:id="rId2"/>
  <legacyDrawing r:id="rId3"/>
</worksheet>
</file>

<file path=xl/worksheets/sheet13.xml><?xml version="1.0" encoding="utf-8"?>
<worksheet xmlns="http://schemas.openxmlformats.org/spreadsheetml/2006/main" xmlns:r="http://schemas.openxmlformats.org/officeDocument/2006/relationships">
  <sheetPr codeName="Sheet8">
    <pageSetUpPr fitToPage="1"/>
  </sheetPr>
  <dimension ref="A1:K76"/>
  <sheetViews>
    <sheetView zoomScaleNormal="100" zoomScaleSheetLayoutView="50" workbookViewId="0">
      <selection activeCell="C9" sqref="C9"/>
    </sheetView>
  </sheetViews>
  <sheetFormatPr defaultColWidth="8.85546875" defaultRowHeight="12.75"/>
  <cols>
    <col min="2" max="2" width="36.140625" customWidth="1"/>
    <col min="3" max="3" width="20.7109375" customWidth="1"/>
    <col min="4" max="4" width="3.28515625" customWidth="1"/>
    <col min="5" max="5" width="72.85546875" customWidth="1"/>
    <col min="7" max="7" width="31.42578125" customWidth="1"/>
    <col min="10" max="10" width="59.7109375" customWidth="1"/>
  </cols>
  <sheetData>
    <row r="1" spans="1:7" ht="15.75">
      <c r="A1" s="38" t="s">
        <v>602</v>
      </c>
      <c r="G1" s="1"/>
    </row>
    <row r="2" spans="1:7">
      <c r="A2" s="44" t="s">
        <v>804</v>
      </c>
      <c r="G2" s="1"/>
    </row>
    <row r="3" spans="1:7">
      <c r="A3" s="1"/>
      <c r="G3" s="1"/>
    </row>
    <row r="4" spans="1:7">
      <c r="A4" s="1"/>
      <c r="G4" s="1"/>
    </row>
    <row r="5" spans="1:7">
      <c r="G5" s="1"/>
    </row>
    <row r="6" spans="1:7" ht="16.5" customHeight="1">
      <c r="A6" s="1"/>
      <c r="G6" s="1"/>
    </row>
    <row r="7" spans="1:7">
      <c r="A7" s="1" t="s">
        <v>36</v>
      </c>
      <c r="G7" s="1"/>
    </row>
    <row r="8" spans="1:7" ht="13.5" thickBot="1">
      <c r="A8" s="1" t="s">
        <v>407</v>
      </c>
      <c r="B8" s="1"/>
      <c r="G8" s="1"/>
    </row>
    <row r="9" spans="1:7" ht="13.5" thickBot="1">
      <c r="A9" s="328">
        <v>1</v>
      </c>
      <c r="B9" s="228" t="s">
        <v>704</v>
      </c>
      <c r="C9" s="446"/>
      <c r="D9" s="18"/>
      <c r="E9" s="229" t="s">
        <v>460</v>
      </c>
    </row>
    <row r="10" spans="1:7" ht="13.5" thickBot="1">
      <c r="A10" s="369"/>
      <c r="C10" s="50"/>
    </row>
    <row r="11" spans="1:7">
      <c r="A11" s="328">
        <v>2</v>
      </c>
      <c r="B11" s="204" t="s">
        <v>426</v>
      </c>
      <c r="C11" s="138">
        <f>C14*0.1</f>
        <v>0</v>
      </c>
      <c r="D11" s="87"/>
      <c r="E11" s="33" t="s">
        <v>460</v>
      </c>
    </row>
    <row r="12" spans="1:7">
      <c r="A12" s="328">
        <v>3</v>
      </c>
      <c r="B12" s="234" t="s">
        <v>349</v>
      </c>
      <c r="C12" s="447"/>
      <c r="D12" s="2"/>
      <c r="E12" s="19"/>
    </row>
    <row r="13" spans="1:7">
      <c r="A13" s="328">
        <v>4</v>
      </c>
      <c r="B13" s="175" t="s">
        <v>798</v>
      </c>
      <c r="C13" s="146">
        <f>IF(C12="Wet Pond", $C$9*2, C9)</f>
        <v>0</v>
      </c>
      <c r="D13" s="2"/>
      <c r="E13" s="19" t="s">
        <v>460</v>
      </c>
    </row>
    <row r="14" spans="1:7" ht="13.5" thickBot="1">
      <c r="A14" s="328">
        <v>5</v>
      </c>
      <c r="B14" s="191" t="s">
        <v>428</v>
      </c>
      <c r="C14" s="161">
        <f>$C$9</f>
        <v>0</v>
      </c>
      <c r="D14" s="51"/>
      <c r="E14" s="43" t="s">
        <v>460</v>
      </c>
    </row>
    <row r="15" spans="1:7" ht="13.5" thickBot="1">
      <c r="A15" s="369"/>
      <c r="B15" s="20"/>
      <c r="C15" s="67"/>
      <c r="D15" s="2"/>
      <c r="E15" s="2"/>
    </row>
    <row r="16" spans="1:7">
      <c r="A16" s="328">
        <v>6</v>
      </c>
      <c r="B16" s="285" t="s">
        <v>121</v>
      </c>
      <c r="C16" s="208"/>
      <c r="D16" s="15"/>
      <c r="E16" s="16"/>
    </row>
    <row r="17" spans="1:11">
      <c r="A17" s="328">
        <v>7</v>
      </c>
      <c r="B17" s="241" t="s">
        <v>633</v>
      </c>
      <c r="C17" s="448"/>
      <c r="D17" s="7"/>
      <c r="E17" s="8" t="s">
        <v>558</v>
      </c>
    </row>
    <row r="18" spans="1:11">
      <c r="A18" s="328">
        <v>8</v>
      </c>
      <c r="B18" s="241" t="s">
        <v>122</v>
      </c>
      <c r="C18" s="448"/>
      <c r="D18" s="7"/>
      <c r="E18" s="8" t="s">
        <v>348</v>
      </c>
    </row>
    <row r="19" spans="1:11">
      <c r="A19" s="328">
        <v>9</v>
      </c>
      <c r="B19" s="241" t="s">
        <v>123</v>
      </c>
      <c r="C19" s="294">
        <f>C18+C17</f>
        <v>0</v>
      </c>
      <c r="D19" s="7"/>
      <c r="E19" s="8" t="s">
        <v>124</v>
      </c>
    </row>
    <row r="20" spans="1:11">
      <c r="A20" s="328">
        <v>10</v>
      </c>
      <c r="B20" s="6" t="s">
        <v>654</v>
      </c>
      <c r="C20" s="449"/>
      <c r="D20" s="7"/>
      <c r="E20" s="19" t="s">
        <v>287</v>
      </c>
    </row>
    <row r="21" spans="1:11">
      <c r="A21" s="328">
        <v>11</v>
      </c>
      <c r="B21" s="6" t="s">
        <v>655</v>
      </c>
      <c r="C21" s="449"/>
      <c r="D21" s="7"/>
      <c r="E21" s="19" t="s">
        <v>138</v>
      </c>
      <c r="G21" s="2"/>
      <c r="H21" s="2"/>
      <c r="I21" s="2"/>
      <c r="J21" s="2"/>
      <c r="K21" s="2"/>
    </row>
    <row r="22" spans="1:11">
      <c r="A22" s="328">
        <v>12</v>
      </c>
      <c r="B22" s="6" t="s">
        <v>656</v>
      </c>
      <c r="C22" s="449"/>
      <c r="D22" s="7"/>
      <c r="E22" s="19" t="s">
        <v>396</v>
      </c>
      <c r="G22" s="2"/>
      <c r="H22" s="2"/>
      <c r="I22" s="2"/>
      <c r="J22" s="2"/>
      <c r="K22" s="2"/>
    </row>
    <row r="23" spans="1:11">
      <c r="A23" s="328">
        <v>13</v>
      </c>
      <c r="B23" s="6" t="s">
        <v>657</v>
      </c>
      <c r="C23" s="294">
        <f>C22*C20</f>
        <v>0</v>
      </c>
      <c r="D23" s="7"/>
      <c r="E23" s="19" t="s">
        <v>141</v>
      </c>
      <c r="G23" s="2"/>
      <c r="H23" s="2"/>
      <c r="I23" s="2"/>
      <c r="J23" s="2"/>
      <c r="K23" s="2"/>
    </row>
    <row r="24" spans="1:11">
      <c r="A24" s="328">
        <v>14</v>
      </c>
      <c r="B24" s="234" t="s">
        <v>658</v>
      </c>
      <c r="C24" s="294">
        <f>C22+C21*C17*2</f>
        <v>0</v>
      </c>
      <c r="D24" s="7"/>
      <c r="E24" s="19" t="s">
        <v>694</v>
      </c>
      <c r="H24" s="2"/>
      <c r="I24" s="2"/>
      <c r="J24" s="2"/>
      <c r="K24" s="2"/>
    </row>
    <row r="25" spans="1:11">
      <c r="A25" s="328"/>
      <c r="B25" s="234" t="s">
        <v>659</v>
      </c>
      <c r="C25" s="294">
        <f>C23+C21*C17*2</f>
        <v>0</v>
      </c>
      <c r="D25" s="7"/>
      <c r="E25" s="19" t="s">
        <v>694</v>
      </c>
      <c r="H25" s="2"/>
      <c r="I25" s="2"/>
      <c r="J25" s="2"/>
      <c r="K25" s="2"/>
    </row>
    <row r="26" spans="1:11">
      <c r="A26" s="328"/>
      <c r="B26" s="234" t="s">
        <v>660</v>
      </c>
      <c r="C26" s="294">
        <f>C22+C21*C19*2</f>
        <v>0</v>
      </c>
      <c r="D26" s="7"/>
      <c r="E26" s="19" t="s">
        <v>694</v>
      </c>
      <c r="H26" s="2"/>
      <c r="I26" s="2"/>
      <c r="J26" s="2"/>
      <c r="K26" s="2"/>
    </row>
    <row r="27" spans="1:11">
      <c r="A27" s="328"/>
      <c r="B27" s="234" t="s">
        <v>661</v>
      </c>
      <c r="C27" s="294">
        <f>C23+C21*C19*2</f>
        <v>0</v>
      </c>
      <c r="D27" s="7"/>
      <c r="E27" s="19" t="s">
        <v>694</v>
      </c>
      <c r="G27" s="2"/>
      <c r="H27" s="2"/>
      <c r="I27" s="2"/>
      <c r="J27" s="2"/>
      <c r="K27" s="2"/>
    </row>
    <row r="28" spans="1:11">
      <c r="A28" s="328">
        <v>15</v>
      </c>
      <c r="B28" s="234" t="s">
        <v>635</v>
      </c>
      <c r="C28" s="276">
        <f>C17*(C22*C23+C24*C25+SQRT(C22*C23*C24*C25))/3</f>
        <v>0</v>
      </c>
      <c r="D28" s="7"/>
      <c r="E28" s="19" t="s">
        <v>388</v>
      </c>
      <c r="G28" s="2"/>
      <c r="H28" s="2"/>
      <c r="I28" s="2"/>
      <c r="J28" s="2"/>
      <c r="K28" s="2"/>
    </row>
    <row r="29" spans="1:11">
      <c r="A29" s="328"/>
      <c r="B29" s="234" t="s">
        <v>634</v>
      </c>
      <c r="C29" s="276">
        <f>C19*(C22*C23+C26*C27+SQRT(C22*C23*C26*C27))/3-C28</f>
        <v>0</v>
      </c>
      <c r="D29" s="7"/>
      <c r="E29" s="19" t="s">
        <v>145</v>
      </c>
      <c r="G29" s="2"/>
      <c r="H29" s="2"/>
      <c r="I29" s="2"/>
      <c r="J29" s="2"/>
      <c r="K29" s="2"/>
    </row>
    <row r="30" spans="1:11">
      <c r="A30" s="328">
        <v>16</v>
      </c>
      <c r="B30" s="292" t="s">
        <v>636</v>
      </c>
      <c r="C30" s="293" t="str">
        <f>IF(C28&gt;C13,"Okay", "Error, increase pond width or depth")</f>
        <v>Error, increase pond width or depth</v>
      </c>
      <c r="D30" s="7"/>
      <c r="E30" s="19"/>
    </row>
    <row r="31" spans="1:11" ht="13.5" thickBot="1">
      <c r="A31" s="328"/>
      <c r="B31" s="52" t="s">
        <v>637</v>
      </c>
      <c r="C31" s="280" t="str">
        <f>IF(C29&gt;C14,"Okay", "Error, increase pond width or depth")</f>
        <v>Error, increase pond width or depth</v>
      </c>
      <c r="D31" s="10"/>
      <c r="E31" s="43"/>
    </row>
    <row r="32" spans="1:11" ht="13.5" thickBot="1">
      <c r="A32" s="369"/>
      <c r="B32" s="281"/>
      <c r="C32" s="281"/>
      <c r="D32" s="2"/>
      <c r="E32" s="2"/>
    </row>
    <row r="33" spans="1:6">
      <c r="A33" s="328">
        <v>17</v>
      </c>
      <c r="B33" s="48" t="s">
        <v>350</v>
      </c>
      <c r="C33" s="444">
        <v>48</v>
      </c>
      <c r="D33" s="15"/>
      <c r="E33" s="33" t="s">
        <v>351</v>
      </c>
    </row>
    <row r="34" spans="1:6" hidden="1">
      <c r="A34" s="328"/>
      <c r="B34" s="6" t="s">
        <v>393</v>
      </c>
      <c r="C34" s="133">
        <f>(C24+C18*C21)*(C25+C18*C21)</f>
        <v>0</v>
      </c>
      <c r="D34" s="7"/>
      <c r="E34" s="8" t="s">
        <v>711</v>
      </c>
    </row>
    <row r="35" spans="1:6" hidden="1">
      <c r="A35" s="328"/>
      <c r="B35" s="6" t="s">
        <v>696</v>
      </c>
      <c r="C35" s="286">
        <f>(2*C34*(C18)^0.5)/(3600*0.66*C33*(2*32.2)^0.5)</f>
        <v>0</v>
      </c>
      <c r="D35" s="7"/>
      <c r="E35" s="8" t="s">
        <v>711</v>
      </c>
    </row>
    <row r="36" spans="1:6">
      <c r="A36" s="328">
        <v>18</v>
      </c>
      <c r="B36" s="6" t="s">
        <v>712</v>
      </c>
      <c r="C36" s="199">
        <f>12*(4*C35/PI())^0.5</f>
        <v>0</v>
      </c>
      <c r="D36" s="7"/>
      <c r="E36" s="8" t="s">
        <v>386</v>
      </c>
    </row>
    <row r="37" spans="1:6" ht="13.5" thickBot="1">
      <c r="A37" s="328">
        <v>19</v>
      </c>
      <c r="B37" s="9" t="s">
        <v>387</v>
      </c>
      <c r="C37" s="284">
        <f>449*0.66*C35*(2*32.2*C18)^0.5</f>
        <v>0</v>
      </c>
      <c r="D37" s="10"/>
      <c r="E37" s="11" t="s">
        <v>226</v>
      </c>
    </row>
    <row r="38" spans="1:6" ht="14.25" hidden="1">
      <c r="B38" s="35" t="s">
        <v>850</v>
      </c>
      <c r="C38" s="202">
        <f>C9/(0.75/12)/0.9</f>
        <v>0</v>
      </c>
      <c r="D38" s="34"/>
      <c r="E38" s="35" t="s">
        <v>102</v>
      </c>
    </row>
    <row r="39" spans="1:6" hidden="1">
      <c r="B39" s="35" t="s">
        <v>184</v>
      </c>
      <c r="C39" s="203" t="e">
        <f>C26*C27/C38</f>
        <v>#DIV/0!</v>
      </c>
      <c r="D39" s="34"/>
      <c r="E39" s="34"/>
    </row>
    <row r="40" spans="1:6" hidden="1">
      <c r="B40" s="35" t="s">
        <v>392</v>
      </c>
      <c r="C40" s="184" t="e">
        <f>((C26*C27)+C11/1.5)/C38</f>
        <v>#DIV/0!</v>
      </c>
    </row>
    <row r="41" spans="1:6">
      <c r="B41" s="20"/>
      <c r="C41" s="41"/>
      <c r="D41" s="2"/>
      <c r="E41" s="2"/>
    </row>
    <row r="42" spans="1:6">
      <c r="A42" s="1" t="s">
        <v>33</v>
      </c>
    </row>
    <row r="43" spans="1:6">
      <c r="A43" s="44" t="s">
        <v>368</v>
      </c>
    </row>
    <row r="45" spans="1:6">
      <c r="A45" s="55" t="s">
        <v>758</v>
      </c>
    </row>
    <row r="46" spans="1:6">
      <c r="A46" s="386">
        <v>1</v>
      </c>
      <c r="B46" s="1519" t="s">
        <v>549</v>
      </c>
      <c r="C46" s="1519"/>
      <c r="D46" s="1519"/>
      <c r="E46" s="1519"/>
      <c r="F46" s="66"/>
    </row>
    <row r="47" spans="1:6">
      <c r="A47" s="386">
        <v>2</v>
      </c>
      <c r="B47" s="1519" t="s">
        <v>120</v>
      </c>
      <c r="C47" s="1519"/>
      <c r="D47" s="1519"/>
      <c r="E47" s="1519"/>
      <c r="F47" s="66"/>
    </row>
    <row r="48" spans="1:6">
      <c r="A48" s="386">
        <v>3</v>
      </c>
      <c r="B48" s="1519" t="s">
        <v>352</v>
      </c>
      <c r="C48" s="1519"/>
      <c r="D48" s="1519"/>
      <c r="E48" s="1519"/>
      <c r="F48" s="66"/>
    </row>
    <row r="49" spans="1:6">
      <c r="A49" s="386">
        <v>4</v>
      </c>
      <c r="B49" s="1519" t="s">
        <v>630</v>
      </c>
      <c r="C49" s="1519"/>
      <c r="D49" s="1519"/>
      <c r="E49" s="1519"/>
      <c r="F49" s="66"/>
    </row>
    <row r="50" spans="1:6">
      <c r="A50" s="386">
        <v>5</v>
      </c>
      <c r="B50" s="1519" t="s">
        <v>631</v>
      </c>
      <c r="C50" s="1519"/>
      <c r="D50" s="1519"/>
      <c r="E50" s="1519"/>
      <c r="F50" s="66"/>
    </row>
    <row r="51" spans="1:6">
      <c r="A51" s="386">
        <v>6</v>
      </c>
      <c r="B51" s="1519" t="s">
        <v>664</v>
      </c>
      <c r="C51" s="1519"/>
      <c r="D51" s="1519"/>
      <c r="E51" s="1519"/>
      <c r="F51" s="66"/>
    </row>
    <row r="52" spans="1:6" ht="27" customHeight="1">
      <c r="A52" s="386">
        <v>7</v>
      </c>
      <c r="B52" s="1519" t="s">
        <v>188</v>
      </c>
      <c r="C52" s="1519"/>
      <c r="D52" s="1519"/>
      <c r="E52" s="1519"/>
      <c r="F52" s="66"/>
    </row>
    <row r="53" spans="1:6" ht="39.75" customHeight="1">
      <c r="A53" s="386">
        <v>8</v>
      </c>
      <c r="B53" s="1519" t="s">
        <v>665</v>
      </c>
      <c r="C53" s="1519"/>
      <c r="D53" s="1519"/>
      <c r="E53" s="1519"/>
      <c r="F53" s="66"/>
    </row>
    <row r="54" spans="1:6" ht="15" customHeight="1">
      <c r="A54" s="386">
        <v>9</v>
      </c>
      <c r="B54" s="1519" t="s">
        <v>848</v>
      </c>
      <c r="C54" s="1519"/>
      <c r="D54" s="1519"/>
      <c r="E54" s="1519"/>
      <c r="F54" s="66"/>
    </row>
    <row r="55" spans="1:6">
      <c r="A55" s="386">
        <v>10</v>
      </c>
      <c r="B55" s="1519" t="s">
        <v>793</v>
      </c>
      <c r="C55" s="1519"/>
      <c r="D55" s="1519"/>
      <c r="E55" s="1519"/>
      <c r="F55" s="66"/>
    </row>
    <row r="56" spans="1:6" ht="24.75" customHeight="1">
      <c r="A56" s="386">
        <v>11</v>
      </c>
      <c r="B56" s="1519" t="s">
        <v>347</v>
      </c>
      <c r="C56" s="1519"/>
      <c r="D56" s="1519"/>
      <c r="E56" s="1519"/>
      <c r="F56" s="66"/>
    </row>
    <row r="57" spans="1:6">
      <c r="A57" s="386">
        <v>12</v>
      </c>
      <c r="B57" s="1540" t="s">
        <v>189</v>
      </c>
      <c r="C57" s="1540"/>
      <c r="D57" s="1540"/>
      <c r="E57" s="1540"/>
      <c r="F57" s="66"/>
    </row>
    <row r="58" spans="1:6" ht="12.75" customHeight="1">
      <c r="A58" s="386">
        <v>13</v>
      </c>
      <c r="B58" s="1519" t="s">
        <v>662</v>
      </c>
      <c r="C58" s="1519"/>
      <c r="D58" s="1519"/>
      <c r="E58" s="1519"/>
      <c r="F58" s="66"/>
    </row>
    <row r="59" spans="1:6">
      <c r="A59" s="386">
        <v>14</v>
      </c>
      <c r="B59" s="1519" t="s">
        <v>706</v>
      </c>
      <c r="C59" s="1519"/>
      <c r="D59" s="1519"/>
      <c r="E59" s="1519"/>
      <c r="F59" s="66"/>
    </row>
    <row r="60" spans="1:6" ht="24.75" customHeight="1">
      <c r="A60" s="386">
        <v>15</v>
      </c>
      <c r="B60" s="1519" t="s">
        <v>707</v>
      </c>
      <c r="C60" s="1519"/>
      <c r="D60" s="1519"/>
      <c r="E60" s="1519"/>
      <c r="F60" s="153"/>
    </row>
    <row r="61" spans="1:6" ht="24.75" customHeight="1">
      <c r="A61" s="386">
        <v>16</v>
      </c>
      <c r="B61" s="1519" t="s">
        <v>372</v>
      </c>
      <c r="C61" s="1519"/>
      <c r="D61" s="1519"/>
      <c r="E61" s="1519"/>
      <c r="F61" s="66"/>
    </row>
    <row r="62" spans="1:6">
      <c r="A62" s="386">
        <v>17</v>
      </c>
      <c r="B62" s="1519" t="s">
        <v>353</v>
      </c>
      <c r="C62" s="1519"/>
      <c r="D62" s="1519"/>
      <c r="E62" s="1519"/>
      <c r="F62" s="66"/>
    </row>
    <row r="63" spans="1:6" ht="24.75" customHeight="1">
      <c r="A63" s="386">
        <v>18</v>
      </c>
      <c r="B63" s="1519" t="s">
        <v>842</v>
      </c>
      <c r="C63" s="1519"/>
      <c r="D63" s="1519"/>
      <c r="E63" s="1519"/>
      <c r="F63" s="66"/>
    </row>
    <row r="64" spans="1:6">
      <c r="A64" s="386">
        <v>19</v>
      </c>
      <c r="B64" s="1519" t="s">
        <v>797</v>
      </c>
      <c r="C64" s="1519"/>
      <c r="D64" s="1519"/>
      <c r="E64" s="1519"/>
      <c r="F64" s="66"/>
    </row>
    <row r="65" spans="1:7">
      <c r="A65" s="153"/>
      <c r="B65" s="153"/>
      <c r="C65" s="153"/>
      <c r="D65" s="153"/>
      <c r="E65" s="153"/>
    </row>
    <row r="66" spans="1:7">
      <c r="A66" s="324" t="s">
        <v>34</v>
      </c>
      <c r="B66" s="153"/>
      <c r="C66" s="153"/>
      <c r="D66" s="153"/>
      <c r="E66" s="153"/>
      <c r="G66" s="1"/>
    </row>
    <row r="67" spans="1:7" ht="24.75" customHeight="1">
      <c r="A67" s="153"/>
      <c r="B67" s="295" t="s">
        <v>332</v>
      </c>
      <c r="C67" s="1519" t="s">
        <v>677</v>
      </c>
      <c r="D67" s="1519"/>
      <c r="E67" s="1519"/>
      <c r="F67" s="66"/>
      <c r="G67" s="1"/>
    </row>
    <row r="68" spans="1:7" ht="12.75" customHeight="1">
      <c r="A68" s="153"/>
      <c r="B68" s="295" t="s">
        <v>48</v>
      </c>
      <c r="C68" s="1519" t="s">
        <v>843</v>
      </c>
      <c r="D68" s="1519"/>
      <c r="E68" s="1519"/>
      <c r="F68" s="66"/>
      <c r="G68" s="1"/>
    </row>
    <row r="69" spans="1:7" ht="12.75" customHeight="1">
      <c r="A69" s="153"/>
      <c r="B69" s="295" t="s">
        <v>635</v>
      </c>
      <c r="C69" s="1519" t="s">
        <v>799</v>
      </c>
      <c r="D69" s="1519"/>
      <c r="E69" s="1519"/>
      <c r="F69" s="66"/>
      <c r="G69" s="1"/>
    </row>
    <row r="70" spans="1:7" ht="12.75" customHeight="1">
      <c r="A70" s="153"/>
      <c r="B70" s="295" t="s">
        <v>408</v>
      </c>
      <c r="C70" s="1519" t="s">
        <v>41</v>
      </c>
      <c r="D70" s="1519"/>
      <c r="E70" s="1519"/>
      <c r="F70" s="66"/>
      <c r="G70" s="1"/>
    </row>
    <row r="71" spans="1:7">
      <c r="A71" s="153"/>
      <c r="B71" s="295" t="s">
        <v>845</v>
      </c>
      <c r="C71" s="1519" t="s">
        <v>839</v>
      </c>
      <c r="D71" s="1519"/>
      <c r="E71" s="1519"/>
      <c r="F71" s="66"/>
      <c r="G71" s="1"/>
    </row>
    <row r="72" spans="1:7" ht="12.75" customHeight="1">
      <c r="A72" s="153"/>
      <c r="B72" s="295" t="s">
        <v>844</v>
      </c>
      <c r="C72" s="1519" t="s">
        <v>796</v>
      </c>
      <c r="D72" s="1519"/>
      <c r="E72" s="1519"/>
      <c r="F72" s="66"/>
      <c r="G72" s="1"/>
    </row>
    <row r="73" spans="1:7">
      <c r="A73" s="153"/>
      <c r="B73" s="295" t="s">
        <v>224</v>
      </c>
      <c r="C73" s="391" t="s">
        <v>795</v>
      </c>
      <c r="D73" s="66"/>
      <c r="E73" s="66"/>
      <c r="F73" s="66"/>
      <c r="G73" s="1"/>
    </row>
    <row r="74" spans="1:7" ht="12" customHeight="1">
      <c r="A74" s="153"/>
      <c r="B74" s="295" t="s">
        <v>479</v>
      </c>
      <c r="C74" s="391" t="s">
        <v>119</v>
      </c>
      <c r="D74" s="295"/>
      <c r="E74" s="391"/>
      <c r="F74" s="42"/>
      <c r="G74" s="1"/>
    </row>
    <row r="75" spans="1:7" ht="12" customHeight="1">
      <c r="A75" s="153"/>
      <c r="B75" s="295" t="s">
        <v>695</v>
      </c>
      <c r="C75" s="391" t="s">
        <v>385</v>
      </c>
      <c r="D75" s="295"/>
      <c r="E75" s="391"/>
      <c r="F75" s="42"/>
      <c r="G75" s="1"/>
    </row>
    <row r="76" spans="1:7" ht="12.75" customHeight="1">
      <c r="A76" s="153"/>
      <c r="B76" s="295" t="s">
        <v>374</v>
      </c>
      <c r="C76" s="1519" t="s">
        <v>118</v>
      </c>
      <c r="D76" s="1519"/>
      <c r="E76" s="1519"/>
      <c r="F76" s="66"/>
      <c r="G76" s="1"/>
    </row>
  </sheetData>
  <sheetProtection selectLockedCells="1"/>
  <mergeCells count="26">
    <mergeCell ref="B53:E53"/>
    <mergeCell ref="B55:E55"/>
    <mergeCell ref="B54:E54"/>
    <mergeCell ref="C72:E72"/>
    <mergeCell ref="B60:E60"/>
    <mergeCell ref="B63:E63"/>
    <mergeCell ref="B64:E64"/>
    <mergeCell ref="B59:E59"/>
    <mergeCell ref="B56:E56"/>
    <mergeCell ref="B57:E57"/>
    <mergeCell ref="B58:E58"/>
    <mergeCell ref="B61:E61"/>
    <mergeCell ref="B62:E62"/>
    <mergeCell ref="C76:E76"/>
    <mergeCell ref="C67:E67"/>
    <mergeCell ref="C68:E68"/>
    <mergeCell ref="C69:E69"/>
    <mergeCell ref="C70:E70"/>
    <mergeCell ref="C71:E71"/>
    <mergeCell ref="B52:E52"/>
    <mergeCell ref="B51:E51"/>
    <mergeCell ref="B46:E46"/>
    <mergeCell ref="B47:E47"/>
    <mergeCell ref="B48:E48"/>
    <mergeCell ref="B49:E49"/>
    <mergeCell ref="B50:E50"/>
  </mergeCells>
  <phoneticPr fontId="36" type="noConversion"/>
  <dataValidations count="1">
    <dataValidation type="list" allowBlank="1" showInputMessage="1" showErrorMessage="1" sqref="C12">
      <formula1>"Wet Pond, Wetland"</formula1>
    </dataValidation>
  </dataValidations>
  <pageMargins left="0.5" right="0.5" top="0.35" bottom="0.4" header="0.35" footer="0.4"/>
  <pageSetup scale="91" fitToHeight="0" orientation="landscape" horizontalDpi="4294967292" verticalDpi="4294967292" r:id="rId1"/>
  <headerFooter alignWithMargins="0">
    <oddFooter>&amp;L&amp;8November 2010 Version</oddFooter>
  </headerFooter>
  <rowBreaks count="1" manualBreakCount="1">
    <brk id="41" max="4" man="1"/>
  </rowBreaks>
  <drawing r:id="rId2"/>
  <legacyDrawing r:id="rId3"/>
</worksheet>
</file>

<file path=xl/worksheets/sheet14.xml><?xml version="1.0" encoding="utf-8"?>
<worksheet xmlns="http://schemas.openxmlformats.org/spreadsheetml/2006/main" xmlns:r="http://schemas.openxmlformats.org/officeDocument/2006/relationships">
  <sheetPr codeName="Sheet7">
    <pageSetUpPr fitToPage="1"/>
  </sheetPr>
  <dimension ref="A1:AA155"/>
  <sheetViews>
    <sheetView zoomScaleNormal="100" zoomScaleSheetLayoutView="50" workbookViewId="0">
      <selection activeCell="C9" sqref="C9"/>
    </sheetView>
  </sheetViews>
  <sheetFormatPr defaultColWidth="8.85546875" defaultRowHeight="12.75"/>
  <cols>
    <col min="1" max="1" width="7.140625" customWidth="1"/>
    <col min="2" max="2" width="39" customWidth="1"/>
    <col min="4" max="4" width="108.5703125" customWidth="1"/>
    <col min="6" max="6" width="7.7109375" style="36" customWidth="1"/>
    <col min="7" max="7" width="26" customWidth="1"/>
    <col min="8" max="8" width="15.140625" customWidth="1"/>
    <col min="9" max="9" width="24" customWidth="1"/>
    <col min="23" max="23" width="10" customWidth="1"/>
  </cols>
  <sheetData>
    <row r="1" spans="1:7" ht="15.75">
      <c r="A1" s="39" t="s">
        <v>751</v>
      </c>
      <c r="F1"/>
    </row>
    <row r="2" spans="1:7">
      <c r="A2" t="s">
        <v>527</v>
      </c>
      <c r="F2"/>
    </row>
    <row r="3" spans="1:7">
      <c r="F3"/>
    </row>
    <row r="4" spans="1:7">
      <c r="F4"/>
    </row>
    <row r="5" spans="1:7">
      <c r="F5"/>
    </row>
    <row r="6" spans="1:7">
      <c r="F6"/>
    </row>
    <row r="7" spans="1:7">
      <c r="F7"/>
    </row>
    <row r="8" spans="1:7">
      <c r="A8" s="1" t="s">
        <v>36</v>
      </c>
      <c r="E8" s="69"/>
      <c r="F8" s="49"/>
      <c r="G8" s="32"/>
    </row>
    <row r="9" spans="1:7" ht="13.5" thickBot="1">
      <c r="A9" s="1" t="s">
        <v>651</v>
      </c>
      <c r="B9" s="1"/>
      <c r="E9" s="69"/>
      <c r="F9" s="49"/>
      <c r="G9" s="32"/>
    </row>
    <row r="10" spans="1:7">
      <c r="A10" s="328">
        <v>1</v>
      </c>
      <c r="B10" s="5" t="s">
        <v>705</v>
      </c>
      <c r="C10" s="410"/>
      <c r="D10" s="127" t="s">
        <v>735</v>
      </c>
      <c r="E10" s="69"/>
      <c r="F10" s="57"/>
    </row>
    <row r="11" spans="1:7">
      <c r="A11" s="328">
        <v>2</v>
      </c>
      <c r="B11" s="72" t="s">
        <v>277</v>
      </c>
      <c r="C11" s="408"/>
      <c r="D11" s="73" t="s">
        <v>73</v>
      </c>
      <c r="F11" s="57"/>
    </row>
    <row r="12" spans="1:7">
      <c r="A12" s="328">
        <v>3</v>
      </c>
      <c r="B12" s="72" t="s">
        <v>614</v>
      </c>
      <c r="C12" s="408"/>
      <c r="D12" s="73" t="s">
        <v>63</v>
      </c>
      <c r="F12" s="57"/>
      <c r="G12" s="184"/>
    </row>
    <row r="13" spans="1:7">
      <c r="A13" s="328">
        <v>4</v>
      </c>
      <c r="B13" s="72" t="s">
        <v>279</v>
      </c>
      <c r="C13" s="408"/>
      <c r="D13" s="239" t="s">
        <v>69</v>
      </c>
      <c r="F13" s="57"/>
    </row>
    <row r="14" spans="1:7" ht="13.5" thickBot="1">
      <c r="A14" s="328">
        <v>5</v>
      </c>
      <c r="B14" s="130" t="s">
        <v>775</v>
      </c>
      <c r="C14" s="429">
        <v>0.25</v>
      </c>
      <c r="D14" s="131" t="s">
        <v>767</v>
      </c>
    </row>
    <row r="15" spans="1:7" ht="13.5" thickBot="1">
      <c r="A15" s="369"/>
      <c r="B15" s="183"/>
      <c r="C15" s="86"/>
      <c r="D15" s="147"/>
    </row>
    <row r="16" spans="1:7">
      <c r="A16" s="328">
        <v>6</v>
      </c>
      <c r="B16" s="200" t="s">
        <v>281</v>
      </c>
      <c r="C16" s="197">
        <f>12*VLOOKUP($C$10,$U$80:$V$150,2)</f>
        <v>12</v>
      </c>
      <c r="D16" s="148" t="s">
        <v>769</v>
      </c>
      <c r="E16" s="3"/>
      <c r="F16" s="186"/>
    </row>
    <row r="17" spans="1:6">
      <c r="A17" s="328">
        <v>7</v>
      </c>
      <c r="B17" s="201" t="s">
        <v>768</v>
      </c>
      <c r="C17" s="198" t="e">
        <f>VLOOKUP($C$10,$U$80:$W$150,3)</f>
        <v>#DIV/0!</v>
      </c>
      <c r="D17" s="74" t="s">
        <v>770</v>
      </c>
      <c r="E17" s="3"/>
      <c r="F17" s="186"/>
    </row>
    <row r="18" spans="1:6" hidden="1">
      <c r="A18" s="328"/>
      <c r="B18" s="88" t="s">
        <v>211</v>
      </c>
      <c r="C18" s="193">
        <v>2</v>
      </c>
      <c r="D18" s="74" t="s">
        <v>739</v>
      </c>
      <c r="E18" s="3"/>
      <c r="F18" s="186"/>
    </row>
    <row r="19" spans="1:6">
      <c r="A19" s="328">
        <v>8</v>
      </c>
      <c r="B19" s="88" t="s">
        <v>72</v>
      </c>
      <c r="C19" s="436">
        <v>9</v>
      </c>
      <c r="D19" s="74" t="s">
        <v>748</v>
      </c>
      <c r="E19" s="3"/>
      <c r="F19" s="186"/>
    </row>
    <row r="20" spans="1:6" ht="13.5" thickBot="1">
      <c r="A20" s="328">
        <v>9</v>
      </c>
      <c r="B20" s="191" t="s">
        <v>495</v>
      </c>
      <c r="C20" s="98" t="e">
        <f>MAX(C19*60*C17,100)</f>
        <v>#DIV/0!</v>
      </c>
      <c r="D20" s="131" t="s">
        <v>734</v>
      </c>
      <c r="E20" s="34"/>
      <c r="F20" s="186"/>
    </row>
    <row r="21" spans="1:6" ht="13.5" thickBot="1">
      <c r="A21" s="369"/>
      <c r="B21" s="20"/>
      <c r="C21" s="196"/>
      <c r="D21" s="35"/>
      <c r="E21" s="34"/>
      <c r="F21" s="186"/>
    </row>
    <row r="22" spans="1:6">
      <c r="A22" s="328">
        <v>10</v>
      </c>
      <c r="B22" s="100" t="s">
        <v>111</v>
      </c>
      <c r="C22" s="437"/>
      <c r="D22" s="148"/>
      <c r="E22" s="34"/>
      <c r="F22" s="186"/>
    </row>
    <row r="23" spans="1:6">
      <c r="A23" s="328">
        <v>11</v>
      </c>
      <c r="B23" s="88" t="s">
        <v>512</v>
      </c>
      <c r="C23" s="438"/>
      <c r="D23" s="74" t="str">
        <f>IF(C22="Online","feet (for online systems, enter depth used to convey storms larger than the WQ event)","feet (for offline systems, enter WQf depth from Step 6 in feet)")</f>
        <v>feet (for offline systems, enter WQf depth from Step 6 in feet)</v>
      </c>
      <c r="E23" s="34"/>
      <c r="F23" s="186"/>
    </row>
    <row r="24" spans="1:6">
      <c r="A24" s="328">
        <v>12</v>
      </c>
      <c r="B24" s="88" t="s">
        <v>479</v>
      </c>
      <c r="C24" s="192">
        <f>IF(C22="Online",0.5,0.25)</f>
        <v>0.25</v>
      </c>
      <c r="D24" s="74" t="s">
        <v>736</v>
      </c>
      <c r="E24" s="3"/>
      <c r="F24" s="186"/>
    </row>
    <row r="25" spans="1:6">
      <c r="A25" s="328"/>
      <c r="B25" s="88" t="s">
        <v>771</v>
      </c>
      <c r="C25" s="192">
        <f>C23+C24</f>
        <v>0.25</v>
      </c>
      <c r="D25" s="74" t="s">
        <v>780</v>
      </c>
      <c r="E25" s="3"/>
      <c r="F25" s="186"/>
    </row>
    <row r="26" spans="1:6">
      <c r="A26" s="328">
        <v>13</v>
      </c>
      <c r="B26" s="88" t="s">
        <v>776</v>
      </c>
      <c r="C26" s="192">
        <f>C11+C12*C25*2</f>
        <v>0</v>
      </c>
      <c r="D26" s="74" t="s">
        <v>5</v>
      </c>
      <c r="E26" s="3"/>
      <c r="F26" s="186"/>
    </row>
    <row r="27" spans="1:6">
      <c r="A27" s="328">
        <v>14</v>
      </c>
      <c r="B27" s="150" t="s">
        <v>511</v>
      </c>
      <c r="C27" s="146" t="e">
        <f>C26*C20</f>
        <v>#DIV/0!</v>
      </c>
      <c r="D27" s="74" t="s">
        <v>455</v>
      </c>
      <c r="E27" s="3"/>
      <c r="F27" s="186"/>
    </row>
    <row r="28" spans="1:6" ht="14.25" hidden="1">
      <c r="A28" s="328"/>
      <c r="B28" s="88" t="s">
        <v>772</v>
      </c>
      <c r="C28" s="192">
        <f>C11*C23+C23^2*C12</f>
        <v>0</v>
      </c>
      <c r="D28" s="74" t="s">
        <v>102</v>
      </c>
      <c r="E28" s="3"/>
      <c r="F28" s="186"/>
    </row>
    <row r="29" spans="1:6" hidden="1">
      <c r="A29" s="328"/>
      <c r="B29" s="88" t="s">
        <v>773</v>
      </c>
      <c r="C29" s="192">
        <f>C11+2*C23*(1+C12^2)^(0.5)</f>
        <v>0</v>
      </c>
      <c r="D29" s="74" t="s">
        <v>108</v>
      </c>
      <c r="E29" s="3"/>
      <c r="F29" s="186"/>
    </row>
    <row r="30" spans="1:6">
      <c r="A30" s="328">
        <v>15</v>
      </c>
      <c r="B30" s="88" t="s">
        <v>774</v>
      </c>
      <c r="C30" s="439"/>
      <c r="D30" s="74" t="s">
        <v>510</v>
      </c>
      <c r="E30" s="34"/>
      <c r="F30" s="186"/>
    </row>
    <row r="31" spans="1:6" hidden="1">
      <c r="A31" s="328"/>
      <c r="B31" s="88" t="s">
        <v>513</v>
      </c>
      <c r="C31" s="194" t="str">
        <f>IF(C22="Online",1.49/C30*(C28/C29)^(2/3)*(C13/100)^0.5,"N/A")</f>
        <v>N/A</v>
      </c>
      <c r="D31" s="74" t="s">
        <v>807</v>
      </c>
      <c r="E31" s="34"/>
      <c r="F31" s="186"/>
    </row>
    <row r="32" spans="1:6" ht="13.5" thickBot="1">
      <c r="A32" s="328">
        <v>16</v>
      </c>
      <c r="B32" s="130" t="s">
        <v>514</v>
      </c>
      <c r="C32" s="195" t="str">
        <f>IF($C$22="Online",$C$31*$C$28,"N/A")</f>
        <v>N/A</v>
      </c>
      <c r="D32" s="131" t="s">
        <v>735</v>
      </c>
      <c r="E32" s="3"/>
      <c r="F32" s="186"/>
    </row>
    <row r="33" spans="1:7" hidden="1">
      <c r="B33" s="147" t="s">
        <v>316</v>
      </c>
      <c r="C33">
        <f>C10/0.9/0.2</f>
        <v>0</v>
      </c>
      <c r="D33" s="74" t="s">
        <v>474</v>
      </c>
      <c r="E33" s="3"/>
    </row>
    <row r="34" spans="1:7" hidden="1">
      <c r="B34" s="35" t="s">
        <v>317</v>
      </c>
      <c r="C34" s="184" t="e">
        <f>C27/(C33*43560)</f>
        <v>#DIV/0!</v>
      </c>
    </row>
    <row r="35" spans="1:7">
      <c r="B35" s="35"/>
      <c r="C35" s="184"/>
    </row>
    <row r="36" spans="1:7">
      <c r="A36" s="1" t="s">
        <v>33</v>
      </c>
    </row>
    <row r="37" spans="1:7">
      <c r="A37" s="44" t="s">
        <v>858</v>
      </c>
    </row>
    <row r="39" spans="1:7">
      <c r="A39" s="55" t="s">
        <v>758</v>
      </c>
    </row>
    <row r="40" spans="1:7">
      <c r="A40" s="386">
        <v>1</v>
      </c>
      <c r="B40" s="1534" t="s">
        <v>548</v>
      </c>
      <c r="C40" s="1519"/>
      <c r="D40" s="1519"/>
      <c r="E40" s="153"/>
      <c r="F40" s="214"/>
      <c r="G40" s="153"/>
    </row>
    <row r="41" spans="1:7">
      <c r="A41" s="386">
        <v>2</v>
      </c>
      <c r="B41" s="152" t="s">
        <v>74</v>
      </c>
      <c r="C41" s="153"/>
      <c r="D41" s="153"/>
      <c r="E41" s="153"/>
      <c r="F41" s="214"/>
      <c r="G41" s="153"/>
    </row>
    <row r="42" spans="1:7">
      <c r="A42" s="386">
        <v>3</v>
      </c>
      <c r="B42" s="152" t="s">
        <v>722</v>
      </c>
      <c r="C42" s="153"/>
      <c r="D42" s="153"/>
      <c r="E42" s="153"/>
      <c r="F42" s="214"/>
      <c r="G42" s="153"/>
    </row>
    <row r="43" spans="1:7" ht="28.5" customHeight="1">
      <c r="A43" s="386">
        <v>4</v>
      </c>
      <c r="B43" s="1517" t="s">
        <v>580</v>
      </c>
      <c r="C43" s="1518"/>
      <c r="D43" s="1518"/>
      <c r="E43" s="321"/>
      <c r="F43" s="321"/>
      <c r="G43" s="153"/>
    </row>
    <row r="44" spans="1:7" ht="28.5" customHeight="1">
      <c r="A44" s="386">
        <v>5</v>
      </c>
      <c r="B44" s="1518" t="s">
        <v>318</v>
      </c>
      <c r="C44" s="1518"/>
      <c r="D44" s="1518"/>
      <c r="E44" s="321"/>
      <c r="F44" s="321"/>
      <c r="G44" s="153"/>
    </row>
    <row r="45" spans="1:7">
      <c r="A45" s="386">
        <v>6</v>
      </c>
      <c r="B45" s="1519" t="s">
        <v>559</v>
      </c>
      <c r="C45" s="1519"/>
      <c r="D45" s="1519"/>
      <c r="E45" s="153"/>
      <c r="F45" s="214"/>
      <c r="G45" s="153"/>
    </row>
    <row r="46" spans="1:7">
      <c r="A46" s="386">
        <v>7</v>
      </c>
      <c r="B46" s="152" t="s">
        <v>319</v>
      </c>
      <c r="C46" s="153"/>
      <c r="D46" s="153"/>
      <c r="E46" s="153"/>
      <c r="F46" s="214"/>
      <c r="G46" s="153"/>
    </row>
    <row r="47" spans="1:7" ht="27" customHeight="1">
      <c r="A47" s="386">
        <v>8</v>
      </c>
      <c r="B47" s="1518" t="s">
        <v>621</v>
      </c>
      <c r="C47" s="1518"/>
      <c r="D47" s="1518"/>
      <c r="E47" s="321"/>
      <c r="F47" s="321"/>
      <c r="G47" s="66"/>
    </row>
    <row r="48" spans="1:7">
      <c r="A48" s="386">
        <v>9</v>
      </c>
      <c r="B48" s="152" t="s">
        <v>110</v>
      </c>
      <c r="C48" s="153"/>
      <c r="D48" s="153"/>
      <c r="E48" s="153"/>
      <c r="F48" s="214"/>
      <c r="G48" s="153"/>
    </row>
    <row r="49" spans="1:7" ht="27" customHeight="1">
      <c r="A49" s="386">
        <v>10</v>
      </c>
      <c r="B49" s="1518" t="s">
        <v>744</v>
      </c>
      <c r="C49" s="1518"/>
      <c r="D49" s="1518"/>
      <c r="E49" s="321"/>
      <c r="F49" s="321"/>
      <c r="G49" s="213"/>
    </row>
    <row r="50" spans="1:7" ht="29.25" customHeight="1">
      <c r="A50" s="386">
        <v>11</v>
      </c>
      <c r="B50" s="1518" t="s">
        <v>181</v>
      </c>
      <c r="C50" s="1518"/>
      <c r="D50" s="1518"/>
      <c r="E50" s="321"/>
      <c r="F50" s="321"/>
      <c r="G50" s="213"/>
    </row>
    <row r="51" spans="1:7">
      <c r="A51" s="386">
        <v>12</v>
      </c>
      <c r="B51" s="1534" t="s">
        <v>330</v>
      </c>
      <c r="C51" s="1519"/>
      <c r="D51" s="1519"/>
      <c r="E51" s="153"/>
      <c r="F51" s="214"/>
      <c r="G51" s="153"/>
    </row>
    <row r="52" spans="1:7">
      <c r="A52" s="386">
        <v>13</v>
      </c>
      <c r="B52" s="152" t="s">
        <v>777</v>
      </c>
      <c r="C52" s="153"/>
      <c r="D52" s="153"/>
      <c r="E52" s="153"/>
      <c r="F52" s="214"/>
      <c r="G52" s="153"/>
    </row>
    <row r="53" spans="1:7">
      <c r="A53" s="386">
        <v>14</v>
      </c>
      <c r="B53" s="152" t="s">
        <v>738</v>
      </c>
      <c r="C53" s="153"/>
      <c r="D53" s="153"/>
      <c r="E53" s="153"/>
      <c r="F53" s="214"/>
      <c r="G53" s="153"/>
    </row>
    <row r="54" spans="1:7" ht="27" customHeight="1">
      <c r="A54" s="386">
        <v>15</v>
      </c>
      <c r="B54" s="1518" t="s">
        <v>315</v>
      </c>
      <c r="C54" s="1518"/>
      <c r="D54" s="1518"/>
      <c r="E54" s="321"/>
      <c r="F54" s="321"/>
      <c r="G54" s="213"/>
    </row>
    <row r="55" spans="1:7">
      <c r="A55" s="386">
        <v>16</v>
      </c>
      <c r="B55" s="152" t="s">
        <v>182</v>
      </c>
      <c r="C55" s="153"/>
      <c r="D55" s="153"/>
      <c r="E55" s="153"/>
      <c r="F55" s="153"/>
      <c r="G55" s="153"/>
    </row>
    <row r="56" spans="1:7">
      <c r="B56" s="152"/>
      <c r="C56" s="153"/>
      <c r="D56" s="153"/>
      <c r="E56" s="153"/>
      <c r="F56" s="153"/>
      <c r="G56" s="153"/>
    </row>
    <row r="57" spans="1:7">
      <c r="A57" s="324" t="s">
        <v>34</v>
      </c>
      <c r="B57" s="35"/>
      <c r="F57"/>
    </row>
    <row r="58" spans="1:7" ht="24.75" customHeight="1">
      <c r="B58" s="295" t="s">
        <v>117</v>
      </c>
      <c r="C58" s="1519" t="s">
        <v>547</v>
      </c>
      <c r="D58" s="1519"/>
      <c r="E58" s="288"/>
      <c r="F58"/>
    </row>
    <row r="59" spans="1:7" ht="24.75" customHeight="1">
      <c r="B59" s="295" t="s">
        <v>147</v>
      </c>
      <c r="C59" s="1541" t="s">
        <v>713</v>
      </c>
      <c r="D59" s="1519"/>
      <c r="E59" s="288"/>
      <c r="F59"/>
    </row>
    <row r="60" spans="1:7">
      <c r="B60" s="295" t="s">
        <v>277</v>
      </c>
      <c r="C60" s="152" t="s">
        <v>280</v>
      </c>
      <c r="D60" s="153"/>
      <c r="F60"/>
    </row>
    <row r="61" spans="1:7">
      <c r="B61" s="295" t="s">
        <v>278</v>
      </c>
      <c r="C61" s="152" t="s">
        <v>461</v>
      </c>
      <c r="D61" s="153"/>
      <c r="F61"/>
    </row>
    <row r="62" spans="1:7">
      <c r="B62" s="295" t="s">
        <v>279</v>
      </c>
      <c r="C62" s="152" t="s">
        <v>320</v>
      </c>
      <c r="D62" s="153"/>
      <c r="F62"/>
    </row>
    <row r="63" spans="1:7" ht="24" customHeight="1">
      <c r="B63" s="295" t="s">
        <v>530</v>
      </c>
      <c r="C63" s="1534" t="s">
        <v>743</v>
      </c>
      <c r="D63" s="1519"/>
      <c r="E63" s="288"/>
      <c r="F63"/>
    </row>
    <row r="64" spans="1:7" ht="24.75" customHeight="1">
      <c r="B64" s="295" t="s">
        <v>281</v>
      </c>
      <c r="C64" s="1534" t="s">
        <v>8</v>
      </c>
      <c r="D64" s="1519"/>
      <c r="E64" s="288"/>
      <c r="F64"/>
    </row>
    <row r="65" spans="2:27" ht="25.5" customHeight="1">
      <c r="B65" s="295" t="s">
        <v>9</v>
      </c>
      <c r="C65" s="1534" t="s">
        <v>490</v>
      </c>
      <c r="D65" s="1519"/>
      <c r="E65" s="288"/>
      <c r="F65"/>
    </row>
    <row r="66" spans="2:27">
      <c r="B66" s="295" t="s">
        <v>77</v>
      </c>
      <c r="C66" s="152" t="s">
        <v>172</v>
      </c>
      <c r="D66" s="153"/>
      <c r="F66"/>
    </row>
    <row r="67" spans="2:27" ht="24.75" customHeight="1">
      <c r="B67" s="305" t="s">
        <v>327</v>
      </c>
      <c r="C67" s="1525" t="s">
        <v>173</v>
      </c>
      <c r="D67" s="1519"/>
      <c r="F67"/>
    </row>
    <row r="68" spans="2:27">
      <c r="B68" s="305" t="s">
        <v>771</v>
      </c>
      <c r="C68" s="219" t="s">
        <v>671</v>
      </c>
      <c r="D68" s="153"/>
      <c r="F68"/>
    </row>
    <row r="69" spans="2:27">
      <c r="B69" s="295" t="s">
        <v>454</v>
      </c>
      <c r="C69" s="152" t="s">
        <v>672</v>
      </c>
      <c r="D69" s="153"/>
    </row>
    <row r="70" spans="2:27" ht="28.5" customHeight="1">
      <c r="B70" s="295" t="s">
        <v>453</v>
      </c>
      <c r="C70" s="1534" t="s">
        <v>491</v>
      </c>
      <c r="D70" s="1519"/>
      <c r="E70" s="288"/>
      <c r="F70" s="288"/>
      <c r="G70" s="288"/>
    </row>
    <row r="71" spans="2:27" ht="15" customHeight="1">
      <c r="B71" s="295" t="s">
        <v>669</v>
      </c>
      <c r="C71" s="152" t="s">
        <v>670</v>
      </c>
      <c r="D71" s="153"/>
      <c r="W71" s="54" t="s">
        <v>18</v>
      </c>
    </row>
    <row r="72" spans="2:27">
      <c r="S72" s="32"/>
      <c r="W72" s="55" t="s">
        <v>19</v>
      </c>
      <c r="Z72" s="7"/>
      <c r="AA72" s="32"/>
    </row>
    <row r="74" spans="2:27" ht="13.5" thickBot="1">
      <c r="V74" s="55" t="s">
        <v>20</v>
      </c>
      <c r="W74" s="55" t="s">
        <v>21</v>
      </c>
      <c r="X74" s="55" t="s">
        <v>403</v>
      </c>
      <c r="Y74" s="55" t="s">
        <v>22</v>
      </c>
    </row>
    <row r="75" spans="2:27" ht="13.5" thickBot="1">
      <c r="P75" s="57" t="s">
        <v>70</v>
      </c>
      <c r="Q75" s="57" t="s">
        <v>71</v>
      </c>
      <c r="V75" s="56">
        <f>C11</f>
        <v>0</v>
      </c>
      <c r="W75" s="56">
        <f>C12</f>
        <v>0</v>
      </c>
      <c r="X75" s="56">
        <f>C14</f>
        <v>0.25</v>
      </c>
      <c r="Y75" s="56">
        <f>C13/100</f>
        <v>0</v>
      </c>
    </row>
    <row r="76" spans="2:27">
      <c r="P76" s="36">
        <v>0</v>
      </c>
      <c r="Q76" s="36">
        <v>9</v>
      </c>
    </row>
    <row r="77" spans="2:27">
      <c r="P77" s="36">
        <v>0.25</v>
      </c>
      <c r="Q77" s="36">
        <v>9</v>
      </c>
      <c r="U77" s="55" t="s">
        <v>23</v>
      </c>
      <c r="V77" s="55" t="s">
        <v>24</v>
      </c>
      <c r="W77" s="55" t="s">
        <v>494</v>
      </c>
      <c r="X77" s="55" t="s">
        <v>463</v>
      </c>
      <c r="Y77" s="55" t="s">
        <v>25</v>
      </c>
      <c r="Z77" s="55" t="s">
        <v>26</v>
      </c>
    </row>
    <row r="78" spans="2:27">
      <c r="P78" s="36">
        <v>0.5</v>
      </c>
      <c r="Q78" s="36">
        <v>8</v>
      </c>
      <c r="U78" s="36" t="s">
        <v>27</v>
      </c>
      <c r="V78" s="36" t="s">
        <v>28</v>
      </c>
      <c r="W78" s="57" t="s">
        <v>29</v>
      </c>
      <c r="X78" s="36" t="s">
        <v>30</v>
      </c>
      <c r="Y78" s="36" t="s">
        <v>28</v>
      </c>
      <c r="Z78" s="36" t="s">
        <v>28</v>
      </c>
    </row>
    <row r="79" spans="2:27">
      <c r="P79" s="36">
        <f>P78+0.25</f>
        <v>0.75</v>
      </c>
      <c r="Q79" s="36">
        <v>8</v>
      </c>
    </row>
    <row r="80" spans="2:27">
      <c r="P80" s="36">
        <v>1</v>
      </c>
      <c r="Q80" s="36">
        <v>7</v>
      </c>
      <c r="U80" s="58">
        <f t="shared" ref="U80:U111" si="0">(1.49/X$75)*X80*(Z80^0.667)*(Y$75^0.5)</f>
        <v>0</v>
      </c>
      <c r="V80" s="59">
        <v>0.01</v>
      </c>
      <c r="W80" s="60" t="e">
        <f t="shared" ref="W80:W87" si="1">U80/X80</f>
        <v>#DIV/0!</v>
      </c>
      <c r="X80" s="61">
        <f t="shared" ref="X80:X111" si="2">V$75*(V80)+(W$75*(V80)^2)</f>
        <v>0</v>
      </c>
      <c r="Y80" s="59">
        <f t="shared" ref="Y80:Y111" si="3">V$75+2*(V80)*(1+(W$75^2))^0.5</f>
        <v>0.02</v>
      </c>
      <c r="Z80" s="62">
        <f t="shared" ref="Z80:Z87" si="4">X80/Y80</f>
        <v>0</v>
      </c>
    </row>
    <row r="81" spans="16:26">
      <c r="P81" s="36">
        <v>1.5</v>
      </c>
      <c r="Q81" s="36">
        <v>7</v>
      </c>
      <c r="U81" s="58">
        <f t="shared" si="0"/>
        <v>0</v>
      </c>
      <c r="V81" s="59">
        <f>V80+0.01</f>
        <v>0.02</v>
      </c>
      <c r="W81" s="60" t="e">
        <f t="shared" si="1"/>
        <v>#DIV/0!</v>
      </c>
      <c r="X81" s="61">
        <f t="shared" si="2"/>
        <v>0</v>
      </c>
      <c r="Y81" s="59">
        <f t="shared" si="3"/>
        <v>0.04</v>
      </c>
      <c r="Z81" s="62">
        <f t="shared" si="4"/>
        <v>0</v>
      </c>
    </row>
    <row r="82" spans="16:26">
      <c r="P82" s="36">
        <v>2</v>
      </c>
      <c r="Q82" s="36">
        <v>6</v>
      </c>
      <c r="U82" s="58">
        <f t="shared" si="0"/>
        <v>0</v>
      </c>
      <c r="V82" s="59">
        <f t="shared" ref="V82:V145" si="5">V81+0.01</f>
        <v>0.03</v>
      </c>
      <c r="W82" s="60" t="e">
        <f t="shared" si="1"/>
        <v>#DIV/0!</v>
      </c>
      <c r="X82" s="61">
        <f t="shared" si="2"/>
        <v>0</v>
      </c>
      <c r="Y82" s="59">
        <f t="shared" si="3"/>
        <v>0.06</v>
      </c>
      <c r="Z82" s="62">
        <f t="shared" si="4"/>
        <v>0</v>
      </c>
    </row>
    <row r="83" spans="16:26">
      <c r="P83" s="36">
        <v>2.5</v>
      </c>
      <c r="Q83" s="36">
        <v>6</v>
      </c>
      <c r="U83" s="58">
        <f t="shared" si="0"/>
        <v>0</v>
      </c>
      <c r="V83" s="59">
        <f t="shared" si="5"/>
        <v>0.04</v>
      </c>
      <c r="W83" s="60" t="e">
        <f t="shared" si="1"/>
        <v>#DIV/0!</v>
      </c>
      <c r="X83" s="61">
        <f t="shared" si="2"/>
        <v>0</v>
      </c>
      <c r="Y83" s="59">
        <f t="shared" si="3"/>
        <v>0.08</v>
      </c>
      <c r="Z83" s="62">
        <f t="shared" si="4"/>
        <v>0</v>
      </c>
    </row>
    <row r="84" spans="16:26">
      <c r="P84" s="36">
        <v>3</v>
      </c>
      <c r="Q84" s="36">
        <v>5</v>
      </c>
      <c r="U84" s="58">
        <f t="shared" si="0"/>
        <v>0</v>
      </c>
      <c r="V84" s="59">
        <f>V83+0.01</f>
        <v>0.05</v>
      </c>
      <c r="W84" s="60" t="e">
        <f t="shared" si="1"/>
        <v>#DIV/0!</v>
      </c>
      <c r="X84" s="61">
        <f t="shared" si="2"/>
        <v>0</v>
      </c>
      <c r="Y84" s="59">
        <f t="shared" si="3"/>
        <v>0.1</v>
      </c>
      <c r="Z84" s="62">
        <f t="shared" si="4"/>
        <v>0</v>
      </c>
    </row>
    <row r="85" spans="16:26">
      <c r="P85" s="36">
        <v>10</v>
      </c>
      <c r="Q85" s="36">
        <v>5</v>
      </c>
      <c r="U85" s="58">
        <f t="shared" si="0"/>
        <v>0</v>
      </c>
      <c r="V85" s="59">
        <f t="shared" si="5"/>
        <v>6.0000000000000005E-2</v>
      </c>
      <c r="W85" s="60" t="e">
        <f t="shared" si="1"/>
        <v>#DIV/0!</v>
      </c>
      <c r="X85" s="61">
        <f t="shared" si="2"/>
        <v>0</v>
      </c>
      <c r="Y85" s="59">
        <f t="shared" si="3"/>
        <v>0.12000000000000001</v>
      </c>
      <c r="Z85" s="62">
        <f t="shared" si="4"/>
        <v>0</v>
      </c>
    </row>
    <row r="86" spans="16:26">
      <c r="U86" s="58">
        <f t="shared" si="0"/>
        <v>0</v>
      </c>
      <c r="V86" s="59">
        <f t="shared" si="5"/>
        <v>7.0000000000000007E-2</v>
      </c>
      <c r="W86" s="60" t="e">
        <f t="shared" si="1"/>
        <v>#DIV/0!</v>
      </c>
      <c r="X86" s="61">
        <f t="shared" si="2"/>
        <v>0</v>
      </c>
      <c r="Y86" s="59">
        <f t="shared" si="3"/>
        <v>0.14000000000000001</v>
      </c>
      <c r="Z86" s="62">
        <f t="shared" si="4"/>
        <v>0</v>
      </c>
    </row>
    <row r="87" spans="16:26">
      <c r="U87" s="58">
        <f t="shared" si="0"/>
        <v>0</v>
      </c>
      <c r="V87" s="59">
        <f t="shared" si="5"/>
        <v>0.08</v>
      </c>
      <c r="W87" s="60" t="e">
        <f t="shared" si="1"/>
        <v>#DIV/0!</v>
      </c>
      <c r="X87" s="61">
        <f t="shared" si="2"/>
        <v>0</v>
      </c>
      <c r="Y87" s="59">
        <f t="shared" si="3"/>
        <v>0.16</v>
      </c>
      <c r="Z87" s="62">
        <f t="shared" si="4"/>
        <v>0</v>
      </c>
    </row>
    <row r="88" spans="16:26">
      <c r="U88" s="58">
        <f t="shared" si="0"/>
        <v>0</v>
      </c>
      <c r="V88" s="59">
        <f t="shared" si="5"/>
        <v>0.09</v>
      </c>
      <c r="W88" s="60" t="e">
        <f t="shared" ref="W88:W149" si="6">U88/X88</f>
        <v>#DIV/0!</v>
      </c>
      <c r="X88" s="61">
        <f t="shared" si="2"/>
        <v>0</v>
      </c>
      <c r="Y88" s="59">
        <f t="shared" si="3"/>
        <v>0.18</v>
      </c>
      <c r="Z88" s="62">
        <f t="shared" ref="Z88:Z149" si="7">X88/Y88</f>
        <v>0</v>
      </c>
    </row>
    <row r="89" spans="16:26">
      <c r="U89" s="58">
        <f t="shared" si="0"/>
        <v>0</v>
      </c>
      <c r="V89" s="59">
        <f t="shared" si="5"/>
        <v>9.9999999999999992E-2</v>
      </c>
      <c r="W89" s="60" t="e">
        <f t="shared" si="6"/>
        <v>#DIV/0!</v>
      </c>
      <c r="X89" s="61">
        <f t="shared" si="2"/>
        <v>0</v>
      </c>
      <c r="Y89" s="59">
        <f t="shared" si="3"/>
        <v>0.19999999999999998</v>
      </c>
      <c r="Z89" s="62">
        <f t="shared" si="7"/>
        <v>0</v>
      </c>
    </row>
    <row r="90" spans="16:26">
      <c r="U90" s="58">
        <f t="shared" si="0"/>
        <v>0</v>
      </c>
      <c r="V90" s="59">
        <f t="shared" si="5"/>
        <v>0.10999999999999999</v>
      </c>
      <c r="W90" s="60" t="e">
        <f t="shared" si="6"/>
        <v>#DIV/0!</v>
      </c>
      <c r="X90" s="61">
        <f t="shared" si="2"/>
        <v>0</v>
      </c>
      <c r="Y90" s="59">
        <f t="shared" si="3"/>
        <v>0.21999999999999997</v>
      </c>
      <c r="Z90" s="62">
        <f t="shared" si="7"/>
        <v>0</v>
      </c>
    </row>
    <row r="91" spans="16:26">
      <c r="U91" s="58">
        <f t="shared" si="0"/>
        <v>0</v>
      </c>
      <c r="V91" s="59">
        <f t="shared" si="5"/>
        <v>0.11999999999999998</v>
      </c>
      <c r="W91" s="60" t="e">
        <f t="shared" si="6"/>
        <v>#DIV/0!</v>
      </c>
      <c r="X91" s="61">
        <f t="shared" si="2"/>
        <v>0</v>
      </c>
      <c r="Y91" s="59">
        <f t="shared" si="3"/>
        <v>0.23999999999999996</v>
      </c>
      <c r="Z91" s="62">
        <f t="shared" si="7"/>
        <v>0</v>
      </c>
    </row>
    <row r="92" spans="16:26">
      <c r="U92" s="58">
        <f t="shared" si="0"/>
        <v>0</v>
      </c>
      <c r="V92" s="59">
        <f t="shared" si="5"/>
        <v>0.12999999999999998</v>
      </c>
      <c r="W92" s="60" t="e">
        <f t="shared" si="6"/>
        <v>#DIV/0!</v>
      </c>
      <c r="X92" s="61">
        <f t="shared" si="2"/>
        <v>0</v>
      </c>
      <c r="Y92" s="59">
        <f t="shared" si="3"/>
        <v>0.25999999999999995</v>
      </c>
      <c r="Z92" s="62">
        <f t="shared" si="7"/>
        <v>0</v>
      </c>
    </row>
    <row r="93" spans="16:26">
      <c r="U93" s="58">
        <f t="shared" si="0"/>
        <v>0</v>
      </c>
      <c r="V93" s="59">
        <f t="shared" si="5"/>
        <v>0.13999999999999999</v>
      </c>
      <c r="W93" s="60" t="e">
        <f t="shared" si="6"/>
        <v>#DIV/0!</v>
      </c>
      <c r="X93" s="61">
        <f t="shared" si="2"/>
        <v>0</v>
      </c>
      <c r="Y93" s="59">
        <f t="shared" si="3"/>
        <v>0.27999999999999997</v>
      </c>
      <c r="Z93" s="62">
        <f t="shared" si="7"/>
        <v>0</v>
      </c>
    </row>
    <row r="94" spans="16:26">
      <c r="U94" s="58">
        <f t="shared" si="0"/>
        <v>0</v>
      </c>
      <c r="V94" s="59">
        <f t="shared" si="5"/>
        <v>0.15</v>
      </c>
      <c r="W94" s="60" t="e">
        <f t="shared" si="6"/>
        <v>#DIV/0!</v>
      </c>
      <c r="X94" s="61">
        <f t="shared" si="2"/>
        <v>0</v>
      </c>
      <c r="Y94" s="59">
        <f t="shared" si="3"/>
        <v>0.3</v>
      </c>
      <c r="Z94" s="62">
        <f t="shared" si="7"/>
        <v>0</v>
      </c>
    </row>
    <row r="95" spans="16:26">
      <c r="U95" s="58">
        <f t="shared" si="0"/>
        <v>0</v>
      </c>
      <c r="V95" s="59">
        <f t="shared" si="5"/>
        <v>0.16</v>
      </c>
      <c r="W95" s="60" t="e">
        <f t="shared" si="6"/>
        <v>#DIV/0!</v>
      </c>
      <c r="X95" s="61">
        <f t="shared" si="2"/>
        <v>0</v>
      </c>
      <c r="Y95" s="59">
        <f t="shared" si="3"/>
        <v>0.32</v>
      </c>
      <c r="Z95" s="62">
        <f t="shared" si="7"/>
        <v>0</v>
      </c>
    </row>
    <row r="96" spans="16:26">
      <c r="U96" s="58">
        <f t="shared" si="0"/>
        <v>0</v>
      </c>
      <c r="V96" s="59">
        <f t="shared" si="5"/>
        <v>0.17</v>
      </c>
      <c r="W96" s="60" t="e">
        <f t="shared" si="6"/>
        <v>#DIV/0!</v>
      </c>
      <c r="X96" s="61">
        <f t="shared" si="2"/>
        <v>0</v>
      </c>
      <c r="Y96" s="59">
        <f t="shared" si="3"/>
        <v>0.34</v>
      </c>
      <c r="Z96" s="62">
        <f t="shared" si="7"/>
        <v>0</v>
      </c>
    </row>
    <row r="97" spans="21:26">
      <c r="U97" s="58">
        <f t="shared" si="0"/>
        <v>0</v>
      </c>
      <c r="V97" s="59">
        <f t="shared" si="5"/>
        <v>0.18000000000000002</v>
      </c>
      <c r="W97" s="60" t="e">
        <f t="shared" si="6"/>
        <v>#DIV/0!</v>
      </c>
      <c r="X97" s="61">
        <f t="shared" si="2"/>
        <v>0</v>
      </c>
      <c r="Y97" s="59">
        <f t="shared" si="3"/>
        <v>0.36000000000000004</v>
      </c>
      <c r="Z97" s="62">
        <f t="shared" si="7"/>
        <v>0</v>
      </c>
    </row>
    <row r="98" spans="21:26">
      <c r="U98" s="58">
        <f t="shared" si="0"/>
        <v>0</v>
      </c>
      <c r="V98" s="59">
        <f t="shared" si="5"/>
        <v>0.19000000000000003</v>
      </c>
      <c r="W98" s="60" t="e">
        <f t="shared" si="6"/>
        <v>#DIV/0!</v>
      </c>
      <c r="X98" s="61">
        <f t="shared" si="2"/>
        <v>0</v>
      </c>
      <c r="Y98" s="59">
        <f t="shared" si="3"/>
        <v>0.38000000000000006</v>
      </c>
      <c r="Z98" s="62">
        <f t="shared" si="7"/>
        <v>0</v>
      </c>
    </row>
    <row r="99" spans="21:26">
      <c r="U99" s="58">
        <f t="shared" si="0"/>
        <v>0</v>
      </c>
      <c r="V99" s="59">
        <f t="shared" si="5"/>
        <v>0.20000000000000004</v>
      </c>
      <c r="W99" s="60" t="e">
        <f t="shared" si="6"/>
        <v>#DIV/0!</v>
      </c>
      <c r="X99" s="61">
        <f t="shared" si="2"/>
        <v>0</v>
      </c>
      <c r="Y99" s="59">
        <f t="shared" si="3"/>
        <v>0.40000000000000008</v>
      </c>
      <c r="Z99" s="62">
        <f t="shared" si="7"/>
        <v>0</v>
      </c>
    </row>
    <row r="100" spans="21:26">
      <c r="U100" s="58">
        <f t="shared" si="0"/>
        <v>0</v>
      </c>
      <c r="V100" s="59">
        <f t="shared" si="5"/>
        <v>0.21000000000000005</v>
      </c>
      <c r="W100" s="60" t="e">
        <f t="shared" si="6"/>
        <v>#DIV/0!</v>
      </c>
      <c r="X100" s="61">
        <f t="shared" si="2"/>
        <v>0</v>
      </c>
      <c r="Y100" s="59">
        <f t="shared" si="3"/>
        <v>0.4200000000000001</v>
      </c>
      <c r="Z100" s="62">
        <f t="shared" si="7"/>
        <v>0</v>
      </c>
    </row>
    <row r="101" spans="21:26">
      <c r="U101" s="58">
        <f t="shared" si="0"/>
        <v>0</v>
      </c>
      <c r="V101" s="59">
        <f t="shared" si="5"/>
        <v>0.22000000000000006</v>
      </c>
      <c r="W101" s="60" t="e">
        <f t="shared" si="6"/>
        <v>#DIV/0!</v>
      </c>
      <c r="X101" s="61">
        <f t="shared" si="2"/>
        <v>0</v>
      </c>
      <c r="Y101" s="59">
        <f t="shared" si="3"/>
        <v>0.44000000000000011</v>
      </c>
      <c r="Z101" s="62">
        <f t="shared" si="7"/>
        <v>0</v>
      </c>
    </row>
    <row r="102" spans="21:26">
      <c r="U102" s="58">
        <f t="shared" si="0"/>
        <v>0</v>
      </c>
      <c r="V102" s="59">
        <f t="shared" si="5"/>
        <v>0.23000000000000007</v>
      </c>
      <c r="W102" s="60" t="e">
        <f t="shared" si="6"/>
        <v>#DIV/0!</v>
      </c>
      <c r="X102" s="61">
        <f t="shared" si="2"/>
        <v>0</v>
      </c>
      <c r="Y102" s="59">
        <f t="shared" si="3"/>
        <v>0.46000000000000013</v>
      </c>
      <c r="Z102" s="62">
        <f t="shared" si="7"/>
        <v>0</v>
      </c>
    </row>
    <row r="103" spans="21:26">
      <c r="U103" s="58">
        <f t="shared" si="0"/>
        <v>0</v>
      </c>
      <c r="V103" s="59">
        <f t="shared" si="5"/>
        <v>0.24000000000000007</v>
      </c>
      <c r="W103" s="60" t="e">
        <f t="shared" si="6"/>
        <v>#DIV/0!</v>
      </c>
      <c r="X103" s="61">
        <f t="shared" si="2"/>
        <v>0</v>
      </c>
      <c r="Y103" s="59">
        <f t="shared" si="3"/>
        <v>0.48000000000000015</v>
      </c>
      <c r="Z103" s="62">
        <f t="shared" si="7"/>
        <v>0</v>
      </c>
    </row>
    <row r="104" spans="21:26">
      <c r="U104" s="58">
        <f t="shared" si="0"/>
        <v>0</v>
      </c>
      <c r="V104" s="59">
        <f t="shared" si="5"/>
        <v>0.25000000000000006</v>
      </c>
      <c r="W104" s="60" t="e">
        <f t="shared" si="6"/>
        <v>#DIV/0!</v>
      </c>
      <c r="X104" s="61">
        <f t="shared" si="2"/>
        <v>0</v>
      </c>
      <c r="Y104" s="59">
        <f t="shared" si="3"/>
        <v>0.50000000000000011</v>
      </c>
      <c r="Z104" s="62">
        <f t="shared" si="7"/>
        <v>0</v>
      </c>
    </row>
    <row r="105" spans="21:26">
      <c r="U105" s="58">
        <f t="shared" si="0"/>
        <v>0</v>
      </c>
      <c r="V105" s="59">
        <f t="shared" si="5"/>
        <v>0.26000000000000006</v>
      </c>
      <c r="W105" s="60" t="e">
        <f t="shared" si="6"/>
        <v>#DIV/0!</v>
      </c>
      <c r="X105" s="61">
        <f t="shared" si="2"/>
        <v>0</v>
      </c>
      <c r="Y105" s="59">
        <f t="shared" si="3"/>
        <v>0.52000000000000013</v>
      </c>
      <c r="Z105" s="62">
        <f t="shared" si="7"/>
        <v>0</v>
      </c>
    </row>
    <row r="106" spans="21:26">
      <c r="U106" s="58">
        <f t="shared" si="0"/>
        <v>0</v>
      </c>
      <c r="V106" s="59">
        <f t="shared" si="5"/>
        <v>0.27000000000000007</v>
      </c>
      <c r="W106" s="60" t="e">
        <f t="shared" si="6"/>
        <v>#DIV/0!</v>
      </c>
      <c r="X106" s="61">
        <f t="shared" si="2"/>
        <v>0</v>
      </c>
      <c r="Y106" s="59">
        <f t="shared" si="3"/>
        <v>0.54000000000000015</v>
      </c>
      <c r="Z106" s="62">
        <f t="shared" si="7"/>
        <v>0</v>
      </c>
    </row>
    <row r="107" spans="21:26">
      <c r="U107" s="58">
        <f t="shared" si="0"/>
        <v>0</v>
      </c>
      <c r="V107" s="59">
        <f t="shared" si="5"/>
        <v>0.28000000000000008</v>
      </c>
      <c r="W107" s="60" t="e">
        <f t="shared" si="6"/>
        <v>#DIV/0!</v>
      </c>
      <c r="X107" s="61">
        <f t="shared" si="2"/>
        <v>0</v>
      </c>
      <c r="Y107" s="59">
        <f t="shared" si="3"/>
        <v>0.56000000000000016</v>
      </c>
      <c r="Z107" s="62">
        <f t="shared" si="7"/>
        <v>0</v>
      </c>
    </row>
    <row r="108" spans="21:26">
      <c r="U108" s="58">
        <f t="shared" si="0"/>
        <v>0</v>
      </c>
      <c r="V108" s="59">
        <f t="shared" si="5"/>
        <v>0.29000000000000009</v>
      </c>
      <c r="W108" s="60" t="e">
        <f t="shared" si="6"/>
        <v>#DIV/0!</v>
      </c>
      <c r="X108" s="61">
        <f t="shared" si="2"/>
        <v>0</v>
      </c>
      <c r="Y108" s="59">
        <f t="shared" si="3"/>
        <v>0.58000000000000018</v>
      </c>
      <c r="Z108" s="62">
        <f t="shared" si="7"/>
        <v>0</v>
      </c>
    </row>
    <row r="109" spans="21:26">
      <c r="U109" s="58">
        <f t="shared" si="0"/>
        <v>0</v>
      </c>
      <c r="V109" s="59">
        <f t="shared" si="5"/>
        <v>0.3000000000000001</v>
      </c>
      <c r="W109" s="60" t="e">
        <f t="shared" si="6"/>
        <v>#DIV/0!</v>
      </c>
      <c r="X109" s="61">
        <f t="shared" si="2"/>
        <v>0</v>
      </c>
      <c r="Y109" s="59">
        <f t="shared" si="3"/>
        <v>0.6000000000000002</v>
      </c>
      <c r="Z109" s="62">
        <f t="shared" si="7"/>
        <v>0</v>
      </c>
    </row>
    <row r="110" spans="21:26">
      <c r="U110" s="58">
        <f t="shared" si="0"/>
        <v>0</v>
      </c>
      <c r="V110" s="59">
        <f t="shared" si="5"/>
        <v>0.31000000000000011</v>
      </c>
      <c r="W110" s="60" t="e">
        <f t="shared" si="6"/>
        <v>#DIV/0!</v>
      </c>
      <c r="X110" s="61">
        <f t="shared" si="2"/>
        <v>0</v>
      </c>
      <c r="Y110" s="59">
        <f t="shared" si="3"/>
        <v>0.62000000000000022</v>
      </c>
      <c r="Z110" s="62">
        <f t="shared" si="7"/>
        <v>0</v>
      </c>
    </row>
    <row r="111" spans="21:26">
      <c r="U111" s="58">
        <f t="shared" si="0"/>
        <v>0</v>
      </c>
      <c r="V111" s="59">
        <f t="shared" si="5"/>
        <v>0.32000000000000012</v>
      </c>
      <c r="W111" s="60" t="e">
        <f t="shared" si="6"/>
        <v>#DIV/0!</v>
      </c>
      <c r="X111" s="61">
        <f t="shared" si="2"/>
        <v>0</v>
      </c>
      <c r="Y111" s="59">
        <f t="shared" si="3"/>
        <v>0.64000000000000024</v>
      </c>
      <c r="Z111" s="62">
        <f t="shared" si="7"/>
        <v>0</v>
      </c>
    </row>
    <row r="112" spans="21:26">
      <c r="U112" s="58">
        <f t="shared" ref="U112:U143" si="8">(1.49/X$75)*X112*(Z112^0.667)*(Y$75^0.5)</f>
        <v>0</v>
      </c>
      <c r="V112" s="59">
        <f t="shared" si="5"/>
        <v>0.33000000000000013</v>
      </c>
      <c r="W112" s="60" t="e">
        <f t="shared" si="6"/>
        <v>#DIV/0!</v>
      </c>
      <c r="X112" s="61">
        <f t="shared" ref="X112:X143" si="9">V$75*(V112)+(W$75*(V112)^2)</f>
        <v>0</v>
      </c>
      <c r="Y112" s="59">
        <f t="shared" ref="Y112:Y143" si="10">V$75+2*(V112)*(1+(W$75^2))^0.5</f>
        <v>0.66000000000000025</v>
      </c>
      <c r="Z112" s="62">
        <f t="shared" si="7"/>
        <v>0</v>
      </c>
    </row>
    <row r="113" spans="21:26">
      <c r="U113" s="58">
        <f t="shared" si="8"/>
        <v>0</v>
      </c>
      <c r="V113" s="59">
        <f t="shared" si="5"/>
        <v>0.34000000000000014</v>
      </c>
      <c r="W113" s="60" t="e">
        <f t="shared" si="6"/>
        <v>#DIV/0!</v>
      </c>
      <c r="X113" s="61">
        <f t="shared" si="9"/>
        <v>0</v>
      </c>
      <c r="Y113" s="59">
        <f t="shared" si="10"/>
        <v>0.68000000000000027</v>
      </c>
      <c r="Z113" s="62">
        <f t="shared" si="7"/>
        <v>0</v>
      </c>
    </row>
    <row r="114" spans="21:26">
      <c r="U114" s="58">
        <f t="shared" si="8"/>
        <v>0</v>
      </c>
      <c r="V114" s="59">
        <f t="shared" si="5"/>
        <v>0.35000000000000014</v>
      </c>
      <c r="W114" s="60" t="e">
        <f t="shared" si="6"/>
        <v>#DIV/0!</v>
      </c>
      <c r="X114" s="61">
        <f t="shared" si="9"/>
        <v>0</v>
      </c>
      <c r="Y114" s="59">
        <f t="shared" si="10"/>
        <v>0.70000000000000029</v>
      </c>
      <c r="Z114" s="62">
        <f t="shared" si="7"/>
        <v>0</v>
      </c>
    </row>
    <row r="115" spans="21:26">
      <c r="U115" s="58">
        <f t="shared" si="8"/>
        <v>0</v>
      </c>
      <c r="V115" s="59">
        <f t="shared" si="5"/>
        <v>0.36000000000000015</v>
      </c>
      <c r="W115" s="60" t="e">
        <f t="shared" si="6"/>
        <v>#DIV/0!</v>
      </c>
      <c r="X115" s="61">
        <f t="shared" si="9"/>
        <v>0</v>
      </c>
      <c r="Y115" s="59">
        <f t="shared" si="10"/>
        <v>0.72000000000000031</v>
      </c>
      <c r="Z115" s="62">
        <f t="shared" si="7"/>
        <v>0</v>
      </c>
    </row>
    <row r="116" spans="21:26">
      <c r="U116" s="58">
        <f t="shared" si="8"/>
        <v>0</v>
      </c>
      <c r="V116" s="59">
        <f t="shared" si="5"/>
        <v>0.37000000000000016</v>
      </c>
      <c r="W116" s="60" t="e">
        <f t="shared" si="6"/>
        <v>#DIV/0!</v>
      </c>
      <c r="X116" s="61">
        <f t="shared" si="9"/>
        <v>0</v>
      </c>
      <c r="Y116" s="59">
        <f t="shared" si="10"/>
        <v>0.74000000000000032</v>
      </c>
      <c r="Z116" s="62">
        <f t="shared" si="7"/>
        <v>0</v>
      </c>
    </row>
    <row r="117" spans="21:26">
      <c r="U117" s="58">
        <f t="shared" si="8"/>
        <v>0</v>
      </c>
      <c r="V117" s="59">
        <f t="shared" si="5"/>
        <v>0.38000000000000017</v>
      </c>
      <c r="W117" s="60" t="e">
        <f t="shared" si="6"/>
        <v>#DIV/0!</v>
      </c>
      <c r="X117" s="61">
        <f t="shared" si="9"/>
        <v>0</v>
      </c>
      <c r="Y117" s="59">
        <f t="shared" si="10"/>
        <v>0.76000000000000034</v>
      </c>
      <c r="Z117" s="62">
        <f t="shared" si="7"/>
        <v>0</v>
      </c>
    </row>
    <row r="118" spans="21:26">
      <c r="U118" s="58">
        <f t="shared" si="8"/>
        <v>0</v>
      </c>
      <c r="V118" s="59">
        <f t="shared" si="5"/>
        <v>0.39000000000000018</v>
      </c>
      <c r="W118" s="60" t="e">
        <f t="shared" si="6"/>
        <v>#DIV/0!</v>
      </c>
      <c r="X118" s="61">
        <f t="shared" si="9"/>
        <v>0</v>
      </c>
      <c r="Y118" s="59">
        <f t="shared" si="10"/>
        <v>0.78000000000000036</v>
      </c>
      <c r="Z118" s="62">
        <f t="shared" si="7"/>
        <v>0</v>
      </c>
    </row>
    <row r="119" spans="21:26">
      <c r="U119" s="58">
        <f t="shared" si="8"/>
        <v>0</v>
      </c>
      <c r="V119" s="59">
        <f t="shared" si="5"/>
        <v>0.40000000000000019</v>
      </c>
      <c r="W119" s="60" t="e">
        <f t="shared" si="6"/>
        <v>#DIV/0!</v>
      </c>
      <c r="X119" s="61">
        <f t="shared" si="9"/>
        <v>0</v>
      </c>
      <c r="Y119" s="59">
        <f t="shared" si="10"/>
        <v>0.80000000000000038</v>
      </c>
      <c r="Z119" s="62">
        <f t="shared" si="7"/>
        <v>0</v>
      </c>
    </row>
    <row r="120" spans="21:26">
      <c r="U120" s="58">
        <f t="shared" si="8"/>
        <v>0</v>
      </c>
      <c r="V120" s="59">
        <f t="shared" si="5"/>
        <v>0.4100000000000002</v>
      </c>
      <c r="W120" s="60" t="e">
        <f t="shared" si="6"/>
        <v>#DIV/0!</v>
      </c>
      <c r="X120" s="61">
        <f t="shared" si="9"/>
        <v>0</v>
      </c>
      <c r="Y120" s="59">
        <f t="shared" si="10"/>
        <v>0.8200000000000004</v>
      </c>
      <c r="Z120" s="62">
        <f t="shared" si="7"/>
        <v>0</v>
      </c>
    </row>
    <row r="121" spans="21:26">
      <c r="U121" s="58">
        <f t="shared" si="8"/>
        <v>0</v>
      </c>
      <c r="V121" s="59">
        <f t="shared" si="5"/>
        <v>0.42000000000000021</v>
      </c>
      <c r="W121" s="60" t="e">
        <f t="shared" si="6"/>
        <v>#DIV/0!</v>
      </c>
      <c r="X121" s="61">
        <f t="shared" si="9"/>
        <v>0</v>
      </c>
      <c r="Y121" s="59">
        <f t="shared" si="10"/>
        <v>0.84000000000000041</v>
      </c>
      <c r="Z121" s="62">
        <f t="shared" si="7"/>
        <v>0</v>
      </c>
    </row>
    <row r="122" spans="21:26">
      <c r="U122" s="58">
        <f t="shared" si="8"/>
        <v>0</v>
      </c>
      <c r="V122" s="59">
        <f t="shared" si="5"/>
        <v>0.43000000000000022</v>
      </c>
      <c r="W122" s="60" t="e">
        <f t="shared" si="6"/>
        <v>#DIV/0!</v>
      </c>
      <c r="X122" s="61">
        <f t="shared" si="9"/>
        <v>0</v>
      </c>
      <c r="Y122" s="59">
        <f t="shared" si="10"/>
        <v>0.86000000000000043</v>
      </c>
      <c r="Z122" s="62">
        <f t="shared" si="7"/>
        <v>0</v>
      </c>
    </row>
    <row r="123" spans="21:26">
      <c r="U123" s="58">
        <f t="shared" si="8"/>
        <v>0</v>
      </c>
      <c r="V123" s="59">
        <f t="shared" si="5"/>
        <v>0.44000000000000022</v>
      </c>
      <c r="W123" s="60" t="e">
        <f t="shared" si="6"/>
        <v>#DIV/0!</v>
      </c>
      <c r="X123" s="61">
        <f t="shared" si="9"/>
        <v>0</v>
      </c>
      <c r="Y123" s="59">
        <f t="shared" si="10"/>
        <v>0.88000000000000045</v>
      </c>
      <c r="Z123" s="62">
        <f t="shared" si="7"/>
        <v>0</v>
      </c>
    </row>
    <row r="124" spans="21:26">
      <c r="U124" s="58">
        <f t="shared" si="8"/>
        <v>0</v>
      </c>
      <c r="V124" s="59">
        <f t="shared" si="5"/>
        <v>0.45000000000000023</v>
      </c>
      <c r="W124" s="60" t="e">
        <f t="shared" si="6"/>
        <v>#DIV/0!</v>
      </c>
      <c r="X124" s="61">
        <f t="shared" si="9"/>
        <v>0</v>
      </c>
      <c r="Y124" s="59">
        <f t="shared" si="10"/>
        <v>0.90000000000000047</v>
      </c>
      <c r="Z124" s="62">
        <f t="shared" si="7"/>
        <v>0</v>
      </c>
    </row>
    <row r="125" spans="21:26">
      <c r="U125" s="58">
        <f t="shared" si="8"/>
        <v>0</v>
      </c>
      <c r="V125" s="59">
        <f t="shared" si="5"/>
        <v>0.46000000000000024</v>
      </c>
      <c r="W125" s="60" t="e">
        <f t="shared" si="6"/>
        <v>#DIV/0!</v>
      </c>
      <c r="X125" s="61">
        <f t="shared" si="9"/>
        <v>0</v>
      </c>
      <c r="Y125" s="59">
        <f t="shared" si="10"/>
        <v>0.92000000000000048</v>
      </c>
      <c r="Z125" s="62">
        <f t="shared" si="7"/>
        <v>0</v>
      </c>
    </row>
    <row r="126" spans="21:26">
      <c r="U126" s="58">
        <f t="shared" si="8"/>
        <v>0</v>
      </c>
      <c r="V126" s="59">
        <f t="shared" si="5"/>
        <v>0.47000000000000025</v>
      </c>
      <c r="W126" s="60" t="e">
        <f t="shared" si="6"/>
        <v>#DIV/0!</v>
      </c>
      <c r="X126" s="61">
        <f t="shared" si="9"/>
        <v>0</v>
      </c>
      <c r="Y126" s="59">
        <f t="shared" si="10"/>
        <v>0.9400000000000005</v>
      </c>
      <c r="Z126" s="62">
        <f t="shared" si="7"/>
        <v>0</v>
      </c>
    </row>
    <row r="127" spans="21:26">
      <c r="U127" s="58">
        <f t="shared" si="8"/>
        <v>0</v>
      </c>
      <c r="V127" s="59">
        <f t="shared" si="5"/>
        <v>0.48000000000000026</v>
      </c>
      <c r="W127" s="60" t="e">
        <f t="shared" si="6"/>
        <v>#DIV/0!</v>
      </c>
      <c r="X127" s="61">
        <f t="shared" si="9"/>
        <v>0</v>
      </c>
      <c r="Y127" s="59">
        <f t="shared" si="10"/>
        <v>0.96000000000000052</v>
      </c>
      <c r="Z127" s="62">
        <f t="shared" si="7"/>
        <v>0</v>
      </c>
    </row>
    <row r="128" spans="21:26">
      <c r="U128" s="58">
        <f t="shared" si="8"/>
        <v>0</v>
      </c>
      <c r="V128" s="59">
        <f t="shared" si="5"/>
        <v>0.49000000000000027</v>
      </c>
      <c r="W128" s="60" t="e">
        <f t="shared" si="6"/>
        <v>#DIV/0!</v>
      </c>
      <c r="X128" s="61">
        <f t="shared" si="9"/>
        <v>0</v>
      </c>
      <c r="Y128" s="59">
        <f t="shared" si="10"/>
        <v>0.98000000000000054</v>
      </c>
      <c r="Z128" s="62">
        <f t="shared" si="7"/>
        <v>0</v>
      </c>
    </row>
    <row r="129" spans="21:26">
      <c r="U129" s="58">
        <f t="shared" si="8"/>
        <v>0</v>
      </c>
      <c r="V129" s="59">
        <f t="shared" si="5"/>
        <v>0.50000000000000022</v>
      </c>
      <c r="W129" s="60" t="e">
        <f t="shared" si="6"/>
        <v>#DIV/0!</v>
      </c>
      <c r="X129" s="61">
        <f t="shared" si="9"/>
        <v>0</v>
      </c>
      <c r="Y129" s="59">
        <f t="shared" si="10"/>
        <v>1.0000000000000004</v>
      </c>
      <c r="Z129" s="62">
        <f t="shared" si="7"/>
        <v>0</v>
      </c>
    </row>
    <row r="130" spans="21:26">
      <c r="U130" s="58">
        <f t="shared" si="8"/>
        <v>0</v>
      </c>
      <c r="V130" s="59">
        <f t="shared" si="5"/>
        <v>0.51000000000000023</v>
      </c>
      <c r="W130" s="60" t="e">
        <f t="shared" si="6"/>
        <v>#DIV/0!</v>
      </c>
      <c r="X130" s="61">
        <f t="shared" si="9"/>
        <v>0</v>
      </c>
      <c r="Y130" s="59">
        <f t="shared" si="10"/>
        <v>1.0200000000000005</v>
      </c>
      <c r="Z130" s="62">
        <f t="shared" si="7"/>
        <v>0</v>
      </c>
    </row>
    <row r="131" spans="21:26">
      <c r="U131" s="58">
        <f t="shared" si="8"/>
        <v>0</v>
      </c>
      <c r="V131" s="59">
        <f t="shared" si="5"/>
        <v>0.52000000000000024</v>
      </c>
      <c r="W131" s="60" t="e">
        <f t="shared" si="6"/>
        <v>#DIV/0!</v>
      </c>
      <c r="X131" s="61">
        <f t="shared" si="9"/>
        <v>0</v>
      </c>
      <c r="Y131" s="59">
        <f t="shared" si="10"/>
        <v>1.0400000000000005</v>
      </c>
      <c r="Z131" s="62">
        <f t="shared" si="7"/>
        <v>0</v>
      </c>
    </row>
    <row r="132" spans="21:26">
      <c r="U132" s="58">
        <f t="shared" si="8"/>
        <v>0</v>
      </c>
      <c r="V132" s="59">
        <f t="shared" si="5"/>
        <v>0.53000000000000025</v>
      </c>
      <c r="W132" s="60" t="e">
        <f t="shared" si="6"/>
        <v>#DIV/0!</v>
      </c>
      <c r="X132" s="61">
        <f t="shared" si="9"/>
        <v>0</v>
      </c>
      <c r="Y132" s="59">
        <f t="shared" si="10"/>
        <v>1.0600000000000005</v>
      </c>
      <c r="Z132" s="62">
        <f t="shared" si="7"/>
        <v>0</v>
      </c>
    </row>
    <row r="133" spans="21:26">
      <c r="U133" s="58">
        <f t="shared" si="8"/>
        <v>0</v>
      </c>
      <c r="V133" s="59">
        <f t="shared" si="5"/>
        <v>0.54000000000000026</v>
      </c>
      <c r="W133" s="60" t="e">
        <f t="shared" si="6"/>
        <v>#DIV/0!</v>
      </c>
      <c r="X133" s="61">
        <f t="shared" si="9"/>
        <v>0</v>
      </c>
      <c r="Y133" s="59">
        <f t="shared" si="10"/>
        <v>1.0800000000000005</v>
      </c>
      <c r="Z133" s="62">
        <f t="shared" si="7"/>
        <v>0</v>
      </c>
    </row>
    <row r="134" spans="21:26">
      <c r="U134" s="58">
        <f t="shared" si="8"/>
        <v>0</v>
      </c>
      <c r="V134" s="59">
        <f t="shared" si="5"/>
        <v>0.55000000000000027</v>
      </c>
      <c r="W134" s="60" t="e">
        <f t="shared" si="6"/>
        <v>#DIV/0!</v>
      </c>
      <c r="X134" s="61">
        <f t="shared" si="9"/>
        <v>0</v>
      </c>
      <c r="Y134" s="59">
        <f t="shared" si="10"/>
        <v>1.1000000000000005</v>
      </c>
      <c r="Z134" s="62">
        <f t="shared" si="7"/>
        <v>0</v>
      </c>
    </row>
    <row r="135" spans="21:26">
      <c r="U135" s="58">
        <f t="shared" si="8"/>
        <v>0</v>
      </c>
      <c r="V135" s="59">
        <f t="shared" si="5"/>
        <v>0.56000000000000028</v>
      </c>
      <c r="W135" s="60" t="e">
        <f t="shared" si="6"/>
        <v>#DIV/0!</v>
      </c>
      <c r="X135" s="61">
        <f t="shared" si="9"/>
        <v>0</v>
      </c>
      <c r="Y135" s="59">
        <f t="shared" si="10"/>
        <v>1.1200000000000006</v>
      </c>
      <c r="Z135" s="62">
        <f t="shared" si="7"/>
        <v>0</v>
      </c>
    </row>
    <row r="136" spans="21:26">
      <c r="U136" s="58">
        <f t="shared" si="8"/>
        <v>0</v>
      </c>
      <c r="V136" s="59">
        <f t="shared" si="5"/>
        <v>0.57000000000000028</v>
      </c>
      <c r="W136" s="60" t="e">
        <f t="shared" si="6"/>
        <v>#DIV/0!</v>
      </c>
      <c r="X136" s="61">
        <f t="shared" si="9"/>
        <v>0</v>
      </c>
      <c r="Y136" s="59">
        <f t="shared" si="10"/>
        <v>1.1400000000000006</v>
      </c>
      <c r="Z136" s="62">
        <f t="shared" si="7"/>
        <v>0</v>
      </c>
    </row>
    <row r="137" spans="21:26">
      <c r="U137" s="58">
        <f t="shared" si="8"/>
        <v>0</v>
      </c>
      <c r="V137" s="59">
        <f t="shared" si="5"/>
        <v>0.58000000000000029</v>
      </c>
      <c r="W137" s="60" t="e">
        <f t="shared" si="6"/>
        <v>#DIV/0!</v>
      </c>
      <c r="X137" s="61">
        <f t="shared" si="9"/>
        <v>0</v>
      </c>
      <c r="Y137" s="59">
        <f t="shared" si="10"/>
        <v>1.1600000000000006</v>
      </c>
      <c r="Z137" s="62">
        <f t="shared" si="7"/>
        <v>0</v>
      </c>
    </row>
    <row r="138" spans="21:26">
      <c r="U138" s="58">
        <f t="shared" si="8"/>
        <v>0</v>
      </c>
      <c r="V138" s="59">
        <f t="shared" si="5"/>
        <v>0.5900000000000003</v>
      </c>
      <c r="W138" s="60" t="e">
        <f t="shared" si="6"/>
        <v>#DIV/0!</v>
      </c>
      <c r="X138" s="61">
        <f t="shared" si="9"/>
        <v>0</v>
      </c>
      <c r="Y138" s="59">
        <f t="shared" si="10"/>
        <v>1.1800000000000006</v>
      </c>
      <c r="Z138" s="62">
        <f t="shared" si="7"/>
        <v>0</v>
      </c>
    </row>
    <row r="139" spans="21:26">
      <c r="U139" s="58">
        <f t="shared" si="8"/>
        <v>0</v>
      </c>
      <c r="V139" s="59">
        <f t="shared" si="5"/>
        <v>0.60000000000000031</v>
      </c>
      <c r="W139" s="60" t="e">
        <f t="shared" si="6"/>
        <v>#DIV/0!</v>
      </c>
      <c r="X139" s="61">
        <f t="shared" si="9"/>
        <v>0</v>
      </c>
      <c r="Y139" s="59">
        <f t="shared" si="10"/>
        <v>1.2000000000000006</v>
      </c>
      <c r="Z139" s="62">
        <f t="shared" si="7"/>
        <v>0</v>
      </c>
    </row>
    <row r="140" spans="21:26">
      <c r="U140" s="58">
        <f t="shared" si="8"/>
        <v>0</v>
      </c>
      <c r="V140" s="59">
        <f t="shared" si="5"/>
        <v>0.61000000000000032</v>
      </c>
      <c r="W140" s="60" t="e">
        <f t="shared" si="6"/>
        <v>#DIV/0!</v>
      </c>
      <c r="X140" s="61">
        <f t="shared" si="9"/>
        <v>0</v>
      </c>
      <c r="Y140" s="59">
        <f t="shared" si="10"/>
        <v>1.2200000000000006</v>
      </c>
      <c r="Z140" s="62">
        <f t="shared" si="7"/>
        <v>0</v>
      </c>
    </row>
    <row r="141" spans="21:26">
      <c r="U141" s="58">
        <f t="shared" si="8"/>
        <v>0</v>
      </c>
      <c r="V141" s="59">
        <f t="shared" si="5"/>
        <v>0.62000000000000033</v>
      </c>
      <c r="W141" s="60" t="e">
        <f t="shared" si="6"/>
        <v>#DIV/0!</v>
      </c>
      <c r="X141" s="61">
        <f t="shared" si="9"/>
        <v>0</v>
      </c>
      <c r="Y141" s="59">
        <f t="shared" si="10"/>
        <v>1.2400000000000007</v>
      </c>
      <c r="Z141" s="62">
        <f t="shared" si="7"/>
        <v>0</v>
      </c>
    </row>
    <row r="142" spans="21:26">
      <c r="U142" s="58">
        <f t="shared" si="8"/>
        <v>0</v>
      </c>
      <c r="V142" s="59">
        <f t="shared" si="5"/>
        <v>0.63000000000000034</v>
      </c>
      <c r="W142" s="60" t="e">
        <f t="shared" si="6"/>
        <v>#DIV/0!</v>
      </c>
      <c r="X142" s="61">
        <f t="shared" si="9"/>
        <v>0</v>
      </c>
      <c r="Y142" s="59">
        <f t="shared" si="10"/>
        <v>1.2600000000000007</v>
      </c>
      <c r="Z142" s="62">
        <f t="shared" si="7"/>
        <v>0</v>
      </c>
    </row>
    <row r="143" spans="21:26">
      <c r="U143" s="58">
        <f t="shared" si="8"/>
        <v>0</v>
      </c>
      <c r="V143" s="59">
        <f t="shared" si="5"/>
        <v>0.64000000000000035</v>
      </c>
      <c r="W143" s="60" t="e">
        <f t="shared" si="6"/>
        <v>#DIV/0!</v>
      </c>
      <c r="X143" s="61">
        <f t="shared" si="9"/>
        <v>0</v>
      </c>
      <c r="Y143" s="59">
        <f t="shared" si="10"/>
        <v>1.2800000000000007</v>
      </c>
      <c r="Z143" s="62">
        <f t="shared" si="7"/>
        <v>0</v>
      </c>
    </row>
    <row r="144" spans="21:26">
      <c r="U144" s="58">
        <f t="shared" ref="U144:U155" si="11">(1.49/X$75)*X144*(Z144^0.667)*(Y$75^0.5)</f>
        <v>0</v>
      </c>
      <c r="V144" s="59">
        <f t="shared" si="5"/>
        <v>0.65000000000000036</v>
      </c>
      <c r="W144" s="60" t="e">
        <f t="shared" si="6"/>
        <v>#DIV/0!</v>
      </c>
      <c r="X144" s="61">
        <f t="shared" ref="X144:X150" si="12">V$75*(V144)+(W$75*(V144)^2)</f>
        <v>0</v>
      </c>
      <c r="Y144" s="59">
        <f t="shared" ref="Y144:Y150" si="13">V$75+2*(V144)*(1+(W$75^2))^0.5</f>
        <v>1.3000000000000007</v>
      </c>
      <c r="Z144" s="62">
        <f t="shared" si="7"/>
        <v>0</v>
      </c>
    </row>
    <row r="145" spans="21:26">
      <c r="U145" s="58">
        <f t="shared" si="11"/>
        <v>0</v>
      </c>
      <c r="V145" s="59">
        <f t="shared" si="5"/>
        <v>0.66000000000000036</v>
      </c>
      <c r="W145" s="60" t="e">
        <f t="shared" si="6"/>
        <v>#DIV/0!</v>
      </c>
      <c r="X145" s="61">
        <f t="shared" si="12"/>
        <v>0</v>
      </c>
      <c r="Y145" s="59">
        <f t="shared" si="13"/>
        <v>1.3200000000000007</v>
      </c>
      <c r="Z145" s="62">
        <f t="shared" si="7"/>
        <v>0</v>
      </c>
    </row>
    <row r="146" spans="21:26">
      <c r="U146" s="58">
        <f t="shared" si="11"/>
        <v>0</v>
      </c>
      <c r="V146" s="59">
        <f>V145+0.01</f>
        <v>0.67000000000000037</v>
      </c>
      <c r="W146" s="60" t="e">
        <f t="shared" si="6"/>
        <v>#DIV/0!</v>
      </c>
      <c r="X146" s="61">
        <f t="shared" si="12"/>
        <v>0</v>
      </c>
      <c r="Y146" s="59">
        <f t="shared" si="13"/>
        <v>1.3400000000000007</v>
      </c>
      <c r="Z146" s="62">
        <f t="shared" si="7"/>
        <v>0</v>
      </c>
    </row>
    <row r="147" spans="21:26">
      <c r="U147" s="58">
        <f t="shared" si="11"/>
        <v>0</v>
      </c>
      <c r="V147" s="59">
        <f>V146+0.01</f>
        <v>0.68000000000000038</v>
      </c>
      <c r="W147" s="60" t="e">
        <f t="shared" si="6"/>
        <v>#DIV/0!</v>
      </c>
      <c r="X147" s="61">
        <f t="shared" si="12"/>
        <v>0</v>
      </c>
      <c r="Y147" s="59">
        <f t="shared" si="13"/>
        <v>1.3600000000000008</v>
      </c>
      <c r="Z147" s="62">
        <f t="shared" si="7"/>
        <v>0</v>
      </c>
    </row>
    <row r="148" spans="21:26">
      <c r="U148" s="58">
        <f t="shared" si="11"/>
        <v>0</v>
      </c>
      <c r="V148" s="59">
        <f>V147+0.01</f>
        <v>0.69000000000000039</v>
      </c>
      <c r="W148" s="60" t="e">
        <f t="shared" si="6"/>
        <v>#DIV/0!</v>
      </c>
      <c r="X148" s="61">
        <f t="shared" si="12"/>
        <v>0</v>
      </c>
      <c r="Y148" s="59">
        <f t="shared" si="13"/>
        <v>1.3800000000000008</v>
      </c>
      <c r="Z148" s="62">
        <f t="shared" si="7"/>
        <v>0</v>
      </c>
    </row>
    <row r="149" spans="21:26">
      <c r="U149" s="58">
        <f t="shared" si="11"/>
        <v>0</v>
      </c>
      <c r="V149" s="59">
        <f>V148+0.01</f>
        <v>0.7000000000000004</v>
      </c>
      <c r="W149" s="60" t="e">
        <f t="shared" si="6"/>
        <v>#DIV/0!</v>
      </c>
      <c r="X149" s="61">
        <f t="shared" si="12"/>
        <v>0</v>
      </c>
      <c r="Y149" s="59">
        <f t="shared" si="13"/>
        <v>1.4000000000000008</v>
      </c>
      <c r="Z149" s="62">
        <f t="shared" si="7"/>
        <v>0</v>
      </c>
    </row>
    <row r="150" spans="21:26">
      <c r="U150" s="58">
        <f t="shared" si="11"/>
        <v>0</v>
      </c>
      <c r="V150" s="36">
        <v>1</v>
      </c>
      <c r="W150" s="60" t="e">
        <f t="shared" ref="W150:W155" si="14">U150/X150</f>
        <v>#DIV/0!</v>
      </c>
      <c r="X150" s="61">
        <f t="shared" si="12"/>
        <v>0</v>
      </c>
      <c r="Y150" s="59">
        <f t="shared" si="13"/>
        <v>2</v>
      </c>
      <c r="Z150" s="62">
        <f t="shared" ref="Z150:Z155" si="15">X150/Y150</f>
        <v>0</v>
      </c>
    </row>
    <row r="151" spans="21:26">
      <c r="U151" s="58">
        <f t="shared" si="11"/>
        <v>0</v>
      </c>
      <c r="V151" s="59">
        <f>V150+0.25</f>
        <v>1.25</v>
      </c>
      <c r="W151" s="60" t="e">
        <f t="shared" si="14"/>
        <v>#DIV/0!</v>
      </c>
      <c r="X151" s="61">
        <f>V$75*(V151)+(W$75*(V151)^2)</f>
        <v>0</v>
      </c>
      <c r="Y151" s="59">
        <f>V$75+2*(V151)*(1+(W$75^2))^0.5</f>
        <v>2.5</v>
      </c>
      <c r="Z151" s="62">
        <f t="shared" si="15"/>
        <v>0</v>
      </c>
    </row>
    <row r="152" spans="21:26">
      <c r="U152" s="58">
        <f t="shared" si="11"/>
        <v>0</v>
      </c>
      <c r="V152" s="59">
        <f>V151+0.25</f>
        <v>1.5</v>
      </c>
      <c r="W152" s="60" t="e">
        <f t="shared" si="14"/>
        <v>#DIV/0!</v>
      </c>
      <c r="X152" s="61">
        <f>V$75*(V152)+(W$75*(V152)^2)</f>
        <v>0</v>
      </c>
      <c r="Y152" s="59">
        <f>V$75+2*(V152)*(1+(W$75^2))^0.5</f>
        <v>3</v>
      </c>
      <c r="Z152" s="62">
        <f t="shared" si="15"/>
        <v>0</v>
      </c>
    </row>
    <row r="153" spans="21:26">
      <c r="U153" s="58">
        <f t="shared" si="11"/>
        <v>0</v>
      </c>
      <c r="V153" s="59">
        <f>V152+0.25</f>
        <v>1.75</v>
      </c>
      <c r="W153" s="60" t="e">
        <f t="shared" si="14"/>
        <v>#DIV/0!</v>
      </c>
      <c r="X153" s="61">
        <f>V$75*(V153)+(W$75*(V153)^2)</f>
        <v>0</v>
      </c>
      <c r="Y153" s="59">
        <f>V$75+2*(V153)*(1+(W$75^2))^0.5</f>
        <v>3.5</v>
      </c>
      <c r="Z153" s="62">
        <f t="shared" si="15"/>
        <v>0</v>
      </c>
    </row>
    <row r="154" spans="21:26">
      <c r="U154" s="58">
        <f t="shared" si="11"/>
        <v>0</v>
      </c>
      <c r="V154" s="59">
        <f>V153+0.25</f>
        <v>2</v>
      </c>
      <c r="W154" s="60" t="e">
        <f t="shared" si="14"/>
        <v>#DIV/0!</v>
      </c>
      <c r="X154" s="61">
        <f>V$75*(V154)+(W$75*(V154)^2)</f>
        <v>0</v>
      </c>
      <c r="Y154" s="59">
        <f>V$75+2*(V154)*(1+(W$75^2))^0.5</f>
        <v>4</v>
      </c>
      <c r="Z154" s="62">
        <f t="shared" si="15"/>
        <v>0</v>
      </c>
    </row>
    <row r="155" spans="21:26">
      <c r="U155" s="58">
        <f t="shared" si="11"/>
        <v>0</v>
      </c>
      <c r="V155" s="59">
        <f>V154+0.25</f>
        <v>2.25</v>
      </c>
      <c r="W155" s="60" t="e">
        <f t="shared" si="14"/>
        <v>#DIV/0!</v>
      </c>
      <c r="X155" s="61">
        <f>V$75*(V155)+(W$75*(V155)^2)</f>
        <v>0</v>
      </c>
      <c r="Y155" s="59">
        <f>V$75+2*(V155)*(1+(W$75^2))^0.5</f>
        <v>4.5</v>
      </c>
      <c r="Z155" s="62">
        <f t="shared" si="15"/>
        <v>0</v>
      </c>
    </row>
  </sheetData>
  <sheetProtection selectLockedCells="1"/>
  <mergeCells count="16">
    <mergeCell ref="C65:D65"/>
    <mergeCell ref="C67:D67"/>
    <mergeCell ref="C70:D70"/>
    <mergeCell ref="C58:D58"/>
    <mergeCell ref="C59:D59"/>
    <mergeCell ref="C63:D63"/>
    <mergeCell ref="C64:D64"/>
    <mergeCell ref="B50:D50"/>
    <mergeCell ref="B51:D51"/>
    <mergeCell ref="B54:D54"/>
    <mergeCell ref="B40:D40"/>
    <mergeCell ref="B43:D43"/>
    <mergeCell ref="B44:D44"/>
    <mergeCell ref="B45:D45"/>
    <mergeCell ref="B47:D47"/>
    <mergeCell ref="B49:D49"/>
  </mergeCells>
  <phoneticPr fontId="0" type="noConversion"/>
  <dataValidations count="1">
    <dataValidation type="list" allowBlank="1" showInputMessage="1" showErrorMessage="1" sqref="C22">
      <formula1>"Offline, Online"</formula1>
    </dataValidation>
  </dataValidations>
  <pageMargins left="0.5" right="0.5" top="0.35" bottom="0.4" header="0.35" footer="0.4"/>
  <pageSetup scale="79" fitToHeight="0" orientation="landscape" r:id="rId1"/>
  <headerFooter alignWithMargins="0">
    <oddFooter>&amp;L&amp;8November 2010 Version</oddFooter>
  </headerFooter>
  <rowBreaks count="1" manualBreakCount="1">
    <brk id="35" max="3" man="1"/>
  </rowBreaks>
  <drawing r:id="rId2"/>
  <legacyDrawing r:id="rId3"/>
</worksheet>
</file>

<file path=xl/worksheets/sheet15.xml><?xml version="1.0" encoding="utf-8"?>
<worksheet xmlns="http://schemas.openxmlformats.org/spreadsheetml/2006/main" xmlns:r="http://schemas.openxmlformats.org/officeDocument/2006/relationships">
  <sheetPr codeName="Sheet28">
    <pageSetUpPr fitToPage="1"/>
  </sheetPr>
  <dimension ref="A1:AB160"/>
  <sheetViews>
    <sheetView zoomScaleNormal="100" zoomScaleSheetLayoutView="50" workbookViewId="0">
      <selection activeCell="C9" sqref="C9"/>
    </sheetView>
  </sheetViews>
  <sheetFormatPr defaultColWidth="8.85546875" defaultRowHeight="12.75"/>
  <cols>
    <col min="1" max="1" width="7.85546875" customWidth="1"/>
    <col min="2" max="2" width="42.140625" customWidth="1"/>
    <col min="4" max="4" width="4.42578125" customWidth="1"/>
    <col min="5" max="5" width="102.140625" customWidth="1"/>
    <col min="7" max="7" width="7.7109375" style="36" customWidth="1"/>
    <col min="8" max="8" width="37.140625" customWidth="1"/>
    <col min="9" max="9" width="15.140625" customWidth="1"/>
    <col min="10" max="10" width="24" customWidth="1"/>
    <col min="24" max="24" width="10" customWidth="1"/>
  </cols>
  <sheetData>
    <row r="1" spans="1:15" ht="15.75">
      <c r="A1" s="39" t="s">
        <v>752</v>
      </c>
    </row>
    <row r="2" spans="1:15" s="32" customFormat="1">
      <c r="A2" s="32" t="s">
        <v>800</v>
      </c>
      <c r="C2"/>
      <c r="D2"/>
      <c r="E2"/>
    </row>
    <row r="4" spans="1:15">
      <c r="A4" s="1"/>
      <c r="G4"/>
    </row>
    <row r="5" spans="1:15">
      <c r="A5" s="1"/>
      <c r="G5"/>
    </row>
    <row r="6" spans="1:15">
      <c r="G6"/>
    </row>
    <row r="7" spans="1:15">
      <c r="A7" s="32"/>
      <c r="G7"/>
    </row>
    <row r="8" spans="1:15">
      <c r="A8" s="1" t="s">
        <v>36</v>
      </c>
      <c r="C8" s="44"/>
      <c r="F8" s="69"/>
      <c r="G8" s="49"/>
      <c r="H8" s="32"/>
    </row>
    <row r="9" spans="1:15" ht="13.5" thickBot="1">
      <c r="A9" s="1" t="s">
        <v>64</v>
      </c>
      <c r="B9" s="1"/>
      <c r="F9" s="69"/>
      <c r="G9" s="49"/>
      <c r="H9" s="32"/>
    </row>
    <row r="10" spans="1:15">
      <c r="A10" s="328">
        <v>1</v>
      </c>
      <c r="B10" s="5" t="s">
        <v>704</v>
      </c>
      <c r="C10" s="407"/>
      <c r="D10" s="87"/>
      <c r="E10" s="127" t="s">
        <v>460</v>
      </c>
      <c r="F10" s="69"/>
      <c r="G10" s="57"/>
      <c r="O10" s="32">
        <f>0.9*0.75/12*1*43560</f>
        <v>2450.25</v>
      </c>
    </row>
    <row r="11" spans="1:15">
      <c r="A11" s="328">
        <v>2</v>
      </c>
      <c r="B11" s="72" t="s">
        <v>277</v>
      </c>
      <c r="C11" s="419"/>
      <c r="D11" s="7"/>
      <c r="E11" s="73" t="s">
        <v>73</v>
      </c>
      <c r="G11" s="57"/>
    </row>
    <row r="12" spans="1:15">
      <c r="A12" s="328">
        <v>3</v>
      </c>
      <c r="B12" s="72" t="s">
        <v>614</v>
      </c>
      <c r="C12" s="419"/>
      <c r="D12" s="7"/>
      <c r="E12" s="73" t="s">
        <v>63</v>
      </c>
    </row>
    <row r="13" spans="1:15">
      <c r="A13" s="328">
        <v>4</v>
      </c>
      <c r="B13" s="72" t="s">
        <v>279</v>
      </c>
      <c r="C13" s="458"/>
      <c r="D13" s="7"/>
      <c r="E13" s="239" t="s">
        <v>581</v>
      </c>
    </row>
    <row r="14" spans="1:15">
      <c r="A14" s="328">
        <v>5</v>
      </c>
      <c r="B14" s="72" t="s">
        <v>76</v>
      </c>
      <c r="C14" s="430"/>
      <c r="D14" s="7"/>
      <c r="E14" s="74" t="s">
        <v>75</v>
      </c>
    </row>
    <row r="15" spans="1:15">
      <c r="A15" s="328">
        <v>6</v>
      </c>
      <c r="B15" s="72" t="s">
        <v>612</v>
      </c>
      <c r="C15" s="151" t="e">
        <f>C14/C13</f>
        <v>#DIV/0!</v>
      </c>
      <c r="D15" s="7"/>
      <c r="E15" s="74" t="s">
        <v>613</v>
      </c>
      <c r="G15" s="63"/>
      <c r="H15" s="2"/>
      <c r="I15" s="2"/>
      <c r="J15" s="2"/>
      <c r="K15" s="2"/>
      <c r="L15" s="2"/>
      <c r="M15" s="2"/>
    </row>
    <row r="16" spans="1:15">
      <c r="A16" s="328"/>
      <c r="B16" s="88" t="s">
        <v>610</v>
      </c>
      <c r="C16" s="185">
        <f>(C14/2)*C11+C12*(C14/2)^2</f>
        <v>0</v>
      </c>
      <c r="D16" s="2"/>
      <c r="E16" s="74" t="s">
        <v>455</v>
      </c>
      <c r="F16" s="32"/>
      <c r="G16" s="63"/>
      <c r="H16" s="2"/>
      <c r="I16" s="2"/>
      <c r="J16" s="2"/>
      <c r="K16" s="2"/>
      <c r="L16" s="2"/>
      <c r="M16" s="2"/>
    </row>
    <row r="17" spans="1:13">
      <c r="A17" s="328">
        <v>7</v>
      </c>
      <c r="B17" s="72" t="s">
        <v>859</v>
      </c>
      <c r="C17" s="419"/>
      <c r="D17" s="7"/>
      <c r="E17" s="73" t="s">
        <v>212</v>
      </c>
      <c r="F17" s="7"/>
      <c r="G17" s="4"/>
      <c r="H17" s="35"/>
      <c r="I17" s="2"/>
      <c r="J17" s="2"/>
      <c r="K17" s="35"/>
      <c r="L17" s="2"/>
      <c r="M17" s="2"/>
    </row>
    <row r="18" spans="1:13">
      <c r="A18" s="328">
        <v>8</v>
      </c>
      <c r="B18" s="72" t="s">
        <v>860</v>
      </c>
      <c r="C18" s="425">
        <v>0.35</v>
      </c>
      <c r="D18" s="7"/>
      <c r="E18" s="74" t="s">
        <v>538</v>
      </c>
      <c r="F18" s="2"/>
      <c r="G18" s="4"/>
      <c r="H18" s="35"/>
      <c r="I18" s="2"/>
      <c r="J18" s="2"/>
      <c r="K18" s="35"/>
      <c r="L18" s="2"/>
      <c r="M18" s="2"/>
    </row>
    <row r="19" spans="1:13">
      <c r="A19" s="328"/>
      <c r="B19" s="72" t="s">
        <v>861</v>
      </c>
      <c r="C19" s="425">
        <v>5</v>
      </c>
      <c r="D19" s="7"/>
      <c r="E19" s="74" t="s">
        <v>216</v>
      </c>
      <c r="F19" s="2"/>
      <c r="G19" s="4"/>
      <c r="H19" s="35"/>
      <c r="I19" s="2"/>
      <c r="J19" s="2"/>
      <c r="K19" s="35"/>
      <c r="L19" s="2"/>
      <c r="M19" s="2"/>
    </row>
    <row r="20" spans="1:13" hidden="1">
      <c r="A20" s="328"/>
      <c r="B20" s="72" t="s">
        <v>723</v>
      </c>
      <c r="C20" s="425">
        <v>2</v>
      </c>
      <c r="D20" s="7"/>
      <c r="E20" s="74" t="s">
        <v>162</v>
      </c>
      <c r="F20" s="2"/>
      <c r="G20" s="4"/>
      <c r="H20" s="35"/>
      <c r="I20" s="2"/>
      <c r="J20" s="2"/>
      <c r="K20" s="35"/>
      <c r="L20" s="2"/>
      <c r="M20" s="2"/>
    </row>
    <row r="21" spans="1:13" ht="13.5" thickBot="1">
      <c r="A21" s="328">
        <v>9</v>
      </c>
      <c r="B21" s="9" t="s">
        <v>540</v>
      </c>
      <c r="C21" s="429">
        <v>2</v>
      </c>
      <c r="D21" s="10"/>
      <c r="E21" s="128" t="s">
        <v>515</v>
      </c>
      <c r="F21" s="2"/>
      <c r="G21" s="4"/>
      <c r="H21" s="35"/>
      <c r="I21" s="53"/>
      <c r="J21" s="2"/>
      <c r="K21" s="35"/>
      <c r="L21" s="2"/>
      <c r="M21" s="2"/>
    </row>
    <row r="22" spans="1:13" ht="13.5" thickBot="1">
      <c r="B22" s="7"/>
      <c r="C22" s="211"/>
      <c r="D22" s="7"/>
      <c r="E22" s="65"/>
      <c r="F22" s="2"/>
      <c r="G22" s="4"/>
      <c r="H22" s="35"/>
      <c r="I22" s="53"/>
      <c r="J22" s="2"/>
      <c r="K22" s="35"/>
      <c r="L22" s="2"/>
      <c r="M22" s="2"/>
    </row>
    <row r="23" spans="1:13" ht="13.5" hidden="1" thickBot="1">
      <c r="B23" s="35" t="s">
        <v>724</v>
      </c>
      <c r="C23" s="182" t="e">
        <f>C21*C19/12*(C17+C14/4)/C17</f>
        <v>#DIV/0!</v>
      </c>
      <c r="E23" s="129" t="s">
        <v>108</v>
      </c>
      <c r="F23" s="7"/>
      <c r="G23" s="4"/>
      <c r="H23" s="2"/>
      <c r="I23" s="2"/>
      <c r="J23" s="2"/>
      <c r="K23" s="35"/>
      <c r="L23" s="2"/>
      <c r="M23" s="2"/>
    </row>
    <row r="24" spans="1:13">
      <c r="A24" s="328">
        <v>10</v>
      </c>
      <c r="B24" s="188" t="s">
        <v>611</v>
      </c>
      <c r="C24" s="138" t="e">
        <f>C10/(C16+C23*C11)</f>
        <v>#DIV/0!</v>
      </c>
      <c r="D24" s="15"/>
      <c r="E24" s="127" t="s">
        <v>737</v>
      </c>
      <c r="F24" s="7"/>
      <c r="G24" s="4"/>
      <c r="H24" s="2"/>
      <c r="I24" s="2"/>
      <c r="J24" s="2"/>
      <c r="K24" s="35"/>
      <c r="L24" s="2"/>
      <c r="M24" s="2"/>
    </row>
    <row r="25" spans="1:13">
      <c r="A25" s="328">
        <v>11</v>
      </c>
      <c r="B25" s="72" t="s">
        <v>668</v>
      </c>
      <c r="C25" s="440"/>
      <c r="D25" s="7"/>
      <c r="E25" s="73" t="s">
        <v>190</v>
      </c>
      <c r="F25" s="7"/>
      <c r="G25" s="4"/>
      <c r="H25" s="2"/>
      <c r="I25" s="2"/>
      <c r="J25" s="2"/>
      <c r="K25" s="35"/>
      <c r="L25" s="2"/>
      <c r="M25" s="2"/>
    </row>
    <row r="26" spans="1:13">
      <c r="A26" s="328">
        <v>12</v>
      </c>
      <c r="B26" s="88" t="s">
        <v>667</v>
      </c>
      <c r="C26" s="199">
        <f>2*(C14+C25)*C12+C11</f>
        <v>0</v>
      </c>
      <c r="D26" s="7"/>
      <c r="E26" s="73" t="s">
        <v>5</v>
      </c>
      <c r="F26" s="7"/>
      <c r="G26" s="4"/>
      <c r="H26" s="2"/>
      <c r="I26" s="2"/>
      <c r="J26" s="2"/>
      <c r="K26" s="35"/>
      <c r="L26" s="2"/>
      <c r="M26" s="2"/>
    </row>
    <row r="27" spans="1:13" ht="13.5" thickBot="1">
      <c r="A27" s="328">
        <v>13</v>
      </c>
      <c r="B27" s="150" t="s">
        <v>453</v>
      </c>
      <c r="C27" s="146" t="e">
        <f>C24*C26</f>
        <v>#DIV/0!</v>
      </c>
      <c r="D27" s="2"/>
      <c r="E27" s="74" t="s">
        <v>455</v>
      </c>
      <c r="F27" s="7"/>
      <c r="G27" s="4"/>
      <c r="H27" s="2"/>
      <c r="I27" s="2"/>
      <c r="J27" s="2"/>
      <c r="K27" s="35"/>
      <c r="L27" s="2"/>
      <c r="M27" s="2"/>
    </row>
    <row r="28" spans="1:13" ht="13.5" hidden="1" thickBot="1">
      <c r="A28" s="328"/>
      <c r="B28" s="72" t="s">
        <v>217</v>
      </c>
      <c r="C28" s="137">
        <f>C10/0.9/(0.75/12)</f>
        <v>0</v>
      </c>
      <c r="D28" s="7"/>
      <c r="E28" s="73" t="s">
        <v>455</v>
      </c>
      <c r="F28" s="7"/>
      <c r="G28" s="4"/>
      <c r="H28" s="2"/>
      <c r="I28" s="2"/>
      <c r="J28" s="2"/>
      <c r="K28" s="35"/>
      <c r="L28" s="2"/>
      <c r="M28" s="2"/>
    </row>
    <row r="29" spans="1:13" ht="13.5" hidden="1" thickBot="1">
      <c r="A29" s="328"/>
      <c r="B29" s="130" t="s">
        <v>516</v>
      </c>
      <c r="C29" s="139" t="e">
        <f>C27/C28</f>
        <v>#DIV/0!</v>
      </c>
      <c r="D29" s="10"/>
      <c r="E29" s="131" t="s">
        <v>747</v>
      </c>
      <c r="F29" s="7"/>
      <c r="G29" s="4"/>
      <c r="H29" s="2"/>
      <c r="I29" s="2"/>
      <c r="J29" s="2"/>
      <c r="K29" s="35"/>
      <c r="L29" s="2"/>
      <c r="M29" s="2"/>
    </row>
    <row r="30" spans="1:13" ht="13.5" thickBot="1">
      <c r="A30" s="369"/>
      <c r="B30" s="165"/>
      <c r="C30" s="187"/>
      <c r="D30" s="89"/>
      <c r="E30" s="165"/>
      <c r="F30" s="7"/>
      <c r="G30" s="4"/>
      <c r="H30" s="2"/>
      <c r="I30" s="2"/>
      <c r="J30" s="2"/>
      <c r="K30" s="35"/>
      <c r="L30" s="2"/>
      <c r="M30" s="2"/>
    </row>
    <row r="31" spans="1:13">
      <c r="A31" s="328">
        <v>14</v>
      </c>
      <c r="B31" s="100" t="s">
        <v>517</v>
      </c>
      <c r="C31" s="441"/>
      <c r="D31" s="87"/>
      <c r="E31" s="148" t="s">
        <v>746</v>
      </c>
      <c r="F31" s="7"/>
      <c r="G31" s="4"/>
      <c r="H31" s="2"/>
      <c r="I31" s="2"/>
      <c r="J31" s="2"/>
      <c r="K31" s="35"/>
      <c r="L31" s="2"/>
      <c r="M31" s="2"/>
    </row>
    <row r="32" spans="1:13">
      <c r="A32" s="328">
        <v>15</v>
      </c>
      <c r="B32" s="72" t="s">
        <v>95</v>
      </c>
      <c r="C32" s="432"/>
      <c r="D32" s="7"/>
      <c r="E32" s="73" t="s">
        <v>745</v>
      </c>
      <c r="F32" s="7"/>
      <c r="G32" s="4"/>
      <c r="H32" s="2"/>
      <c r="I32" s="2"/>
      <c r="J32" s="2"/>
      <c r="K32" s="35"/>
      <c r="L32" s="2"/>
      <c r="M32" s="2"/>
    </row>
    <row r="33" spans="1:13" ht="13.5" thickBot="1">
      <c r="A33" s="328">
        <v>16</v>
      </c>
      <c r="B33" s="155" t="s">
        <v>687</v>
      </c>
      <c r="C33" s="320" t="e">
        <f>IF(C32="Yes","N/A",C$10/(C$24*(C$11+C$12*C$14)*C$31/C$20/12))</f>
        <v>#DIV/0!</v>
      </c>
      <c r="D33" s="10"/>
      <c r="E33" s="128" t="s">
        <v>101</v>
      </c>
      <c r="F33" s="7"/>
      <c r="G33" s="4"/>
      <c r="H33" s="2"/>
      <c r="I33" s="2"/>
      <c r="J33" s="2"/>
      <c r="K33" s="35"/>
      <c r="L33" s="2"/>
      <c r="M33" s="2"/>
    </row>
    <row r="34" spans="1:13" hidden="1">
      <c r="B34" s="189" t="s">
        <v>688</v>
      </c>
      <c r="C34" s="190" t="e">
        <f>C$10*C$17/(C$11*C$24*C$19/12*(C$17+C$14/4))</f>
        <v>#DIV/0!</v>
      </c>
      <c r="D34" s="7"/>
      <c r="E34" s="73" t="s">
        <v>689</v>
      </c>
      <c r="F34" s="7"/>
      <c r="G34" s="4"/>
      <c r="H34" s="2"/>
      <c r="I34" s="2"/>
      <c r="J34" s="2"/>
      <c r="K34" s="35"/>
      <c r="L34" s="2"/>
      <c r="M34" s="2"/>
    </row>
    <row r="35" spans="1:13" hidden="1">
      <c r="B35" s="88" t="s">
        <v>88</v>
      </c>
      <c r="C35" s="78">
        <v>24</v>
      </c>
      <c r="D35" s="2"/>
      <c r="E35" s="74" t="s">
        <v>93</v>
      </c>
      <c r="F35" s="7"/>
      <c r="G35" s="4"/>
      <c r="H35" s="2"/>
      <c r="I35" s="2"/>
      <c r="J35" s="2"/>
      <c r="K35" s="35"/>
      <c r="L35" s="2"/>
      <c r="M35" s="2"/>
    </row>
    <row r="36" spans="1:13" ht="13.5" hidden="1" thickBot="1">
      <c r="B36" s="256" t="s">
        <v>493</v>
      </c>
      <c r="C36" s="316" t="e">
        <f>IF(AND(C32="No",C33&lt;=48), "N/A",(C10/(C35*60*60))*7.48*60)</f>
        <v>#DIV/0!</v>
      </c>
      <c r="D36" s="51"/>
      <c r="E36" s="131" t="s">
        <v>134</v>
      </c>
      <c r="F36" s="7"/>
      <c r="G36" s="4"/>
      <c r="H36" s="2"/>
      <c r="I36" s="2"/>
      <c r="J36" s="2"/>
      <c r="K36" s="35"/>
      <c r="L36" s="2"/>
      <c r="M36" s="2"/>
    </row>
    <row r="37" spans="1:13" ht="14.25" hidden="1">
      <c r="B37" s="35" t="s">
        <v>183</v>
      </c>
      <c r="C37" s="202">
        <f>C10/(0.75/12)/0.9</f>
        <v>0</v>
      </c>
      <c r="D37" s="34"/>
      <c r="E37" s="35" t="s">
        <v>102</v>
      </c>
      <c r="F37" s="7"/>
      <c r="G37" s="4"/>
      <c r="H37" s="2"/>
      <c r="I37" s="2"/>
      <c r="J37" s="2"/>
      <c r="K37" s="35"/>
      <c r="L37" s="2"/>
      <c r="M37" s="2"/>
    </row>
    <row r="38" spans="1:13" hidden="1">
      <c r="B38" s="35" t="s">
        <v>184</v>
      </c>
      <c r="C38" s="203" t="e">
        <f>C27/C37</f>
        <v>#DIV/0!</v>
      </c>
      <c r="D38" s="34"/>
      <c r="E38" s="34"/>
    </row>
    <row r="39" spans="1:13">
      <c r="B39" s="212"/>
    </row>
    <row r="40" spans="1:13">
      <c r="A40" s="1" t="s">
        <v>33</v>
      </c>
    </row>
    <row r="41" spans="1:13">
      <c r="A41" s="44" t="s">
        <v>864</v>
      </c>
    </row>
    <row r="43" spans="1:13">
      <c r="A43" s="55" t="s">
        <v>758</v>
      </c>
    </row>
    <row r="44" spans="1:13">
      <c r="A44" s="386">
        <v>1</v>
      </c>
      <c r="B44" s="152" t="s">
        <v>243</v>
      </c>
      <c r="C44" s="153"/>
      <c r="D44" s="153"/>
      <c r="E44" s="153"/>
      <c r="F44" s="153"/>
      <c r="G44" s="214"/>
    </row>
    <row r="45" spans="1:13">
      <c r="A45" s="386">
        <v>2</v>
      </c>
      <c r="B45" s="152" t="s">
        <v>74</v>
      </c>
      <c r="C45" s="153"/>
      <c r="D45" s="153"/>
      <c r="E45" s="153"/>
      <c r="F45" s="153"/>
      <c r="G45" s="214"/>
    </row>
    <row r="46" spans="1:13">
      <c r="A46" s="386">
        <v>3</v>
      </c>
      <c r="B46" s="1534" t="s">
        <v>389</v>
      </c>
      <c r="C46" s="1519"/>
      <c r="D46" s="1519"/>
      <c r="E46" s="1519"/>
      <c r="F46" s="153"/>
      <c r="G46" s="214"/>
    </row>
    <row r="47" spans="1:13" ht="25.5" customHeight="1">
      <c r="A47" s="386">
        <v>4</v>
      </c>
      <c r="B47" s="1518" t="s">
        <v>609</v>
      </c>
      <c r="C47" s="1518"/>
      <c r="D47" s="1518"/>
      <c r="E47" s="1518"/>
      <c r="F47" s="321"/>
      <c r="G47" s="321"/>
    </row>
    <row r="48" spans="1:13">
      <c r="A48" s="386">
        <v>5</v>
      </c>
      <c r="B48" s="152" t="s">
        <v>193</v>
      </c>
      <c r="C48" s="153"/>
      <c r="D48" s="153"/>
      <c r="E48" s="153"/>
      <c r="F48" s="153"/>
      <c r="G48" s="214"/>
    </row>
    <row r="49" spans="1:8">
      <c r="A49" s="386">
        <v>6</v>
      </c>
      <c r="B49" s="152" t="s">
        <v>194</v>
      </c>
      <c r="C49" s="153"/>
      <c r="D49" s="153"/>
      <c r="E49" s="153"/>
      <c r="F49" s="153"/>
      <c r="G49" s="214"/>
    </row>
    <row r="50" spans="1:8">
      <c r="A50" s="386">
        <v>7</v>
      </c>
      <c r="B50" s="152" t="s">
        <v>862</v>
      </c>
      <c r="C50" s="153"/>
      <c r="D50" s="153"/>
      <c r="E50" s="153"/>
      <c r="F50" s="153"/>
      <c r="G50" s="214"/>
    </row>
    <row r="51" spans="1:8" ht="27.75" customHeight="1">
      <c r="A51" s="386">
        <v>8</v>
      </c>
      <c r="B51" s="1518" t="s">
        <v>863</v>
      </c>
      <c r="C51" s="1518"/>
      <c r="D51" s="1518"/>
      <c r="E51" s="1518"/>
      <c r="F51" s="321"/>
      <c r="G51" s="321"/>
    </row>
    <row r="52" spans="1:8">
      <c r="A52" s="386">
        <v>9</v>
      </c>
      <c r="B52" s="152" t="s">
        <v>648</v>
      </c>
      <c r="C52" s="216"/>
      <c r="D52" s="216"/>
      <c r="E52" s="216"/>
      <c r="F52" s="216"/>
      <c r="G52" s="217"/>
      <c r="H52" s="64"/>
    </row>
    <row r="53" spans="1:8">
      <c r="A53" s="386">
        <v>10</v>
      </c>
      <c r="B53" s="152" t="s">
        <v>666</v>
      </c>
      <c r="C53" s="153"/>
      <c r="D53" s="153"/>
      <c r="E53" s="153"/>
      <c r="F53" s="153"/>
      <c r="G53" s="214"/>
    </row>
    <row r="54" spans="1:8">
      <c r="A54" s="386">
        <v>11</v>
      </c>
      <c r="B54" s="152" t="s">
        <v>740</v>
      </c>
      <c r="C54" s="153"/>
      <c r="D54" s="153"/>
      <c r="E54" s="153"/>
      <c r="F54" s="153"/>
      <c r="G54" s="214"/>
    </row>
    <row r="55" spans="1:8">
      <c r="A55" s="386">
        <v>12</v>
      </c>
      <c r="B55" s="152" t="s">
        <v>741</v>
      </c>
      <c r="C55" s="153"/>
      <c r="D55" s="153"/>
      <c r="E55" s="153"/>
      <c r="F55" s="153"/>
      <c r="G55" s="153"/>
    </row>
    <row r="56" spans="1:8">
      <c r="A56" s="386">
        <v>13</v>
      </c>
      <c r="B56" s="152" t="s">
        <v>742</v>
      </c>
      <c r="C56" s="153"/>
      <c r="D56" s="153"/>
      <c r="E56" s="153"/>
      <c r="F56" s="153"/>
      <c r="G56" s="214"/>
    </row>
    <row r="57" spans="1:8">
      <c r="A57" s="386">
        <v>14</v>
      </c>
      <c r="B57" s="1534" t="s">
        <v>505</v>
      </c>
      <c r="C57" s="1519"/>
      <c r="D57" s="1519"/>
      <c r="E57" s="1519"/>
      <c r="F57" s="153"/>
      <c r="G57" s="214"/>
    </row>
    <row r="58" spans="1:8" ht="26.25" customHeight="1">
      <c r="A58" s="386">
        <v>15</v>
      </c>
      <c r="B58" s="1518" t="s">
        <v>806</v>
      </c>
      <c r="C58" s="1518"/>
      <c r="D58" s="1518"/>
      <c r="E58" s="1518"/>
      <c r="F58" s="321"/>
      <c r="G58" s="321"/>
    </row>
    <row r="59" spans="1:8">
      <c r="A59" s="386">
        <v>16</v>
      </c>
      <c r="B59" s="152" t="s">
        <v>686</v>
      </c>
      <c r="C59" s="153"/>
      <c r="D59" s="153"/>
      <c r="E59" s="153"/>
      <c r="F59" s="153"/>
      <c r="G59" s="214"/>
    </row>
    <row r="60" spans="1:8">
      <c r="B60" s="152"/>
      <c r="C60" s="153"/>
      <c r="D60" s="153"/>
      <c r="E60" s="153"/>
      <c r="F60" s="153"/>
      <c r="G60" s="214"/>
    </row>
    <row r="61" spans="1:8">
      <c r="A61" s="324" t="s">
        <v>34</v>
      </c>
      <c r="B61" s="35"/>
      <c r="G61"/>
    </row>
    <row r="62" spans="1:8" ht="26.25" customHeight="1">
      <c r="B62" s="295" t="s">
        <v>332</v>
      </c>
      <c r="C62" s="1519" t="s">
        <v>677</v>
      </c>
      <c r="D62" s="1519"/>
      <c r="E62" s="1519"/>
      <c r="F62" s="153"/>
      <c r="G62"/>
    </row>
    <row r="63" spans="1:8" ht="26.25" customHeight="1">
      <c r="B63" s="295" t="s">
        <v>147</v>
      </c>
      <c r="C63" s="1541" t="s">
        <v>713</v>
      </c>
      <c r="D63" s="1519"/>
      <c r="E63" s="1519"/>
      <c r="F63" s="66"/>
      <c r="G63"/>
    </row>
    <row r="64" spans="1:8">
      <c r="B64" s="295" t="s">
        <v>277</v>
      </c>
      <c r="C64" s="152" t="s">
        <v>280</v>
      </c>
      <c r="D64" s="153"/>
      <c r="E64" s="153"/>
      <c r="F64" s="153"/>
      <c r="G64"/>
    </row>
    <row r="65" spans="2:28">
      <c r="B65" s="295" t="s">
        <v>278</v>
      </c>
      <c r="C65" s="152" t="s">
        <v>461</v>
      </c>
      <c r="D65" s="153"/>
      <c r="E65" s="153"/>
      <c r="F65" s="153"/>
      <c r="G65"/>
    </row>
    <row r="66" spans="2:28">
      <c r="B66" s="305" t="s">
        <v>279</v>
      </c>
      <c r="C66" s="152" t="s">
        <v>320</v>
      </c>
      <c r="D66" s="153"/>
      <c r="E66" s="153"/>
      <c r="F66" s="153"/>
      <c r="G66"/>
    </row>
    <row r="67" spans="2:28">
      <c r="B67" s="305" t="s">
        <v>214</v>
      </c>
      <c r="C67" s="152" t="s">
        <v>171</v>
      </c>
      <c r="D67" s="153"/>
      <c r="E67" s="153"/>
      <c r="F67" s="153"/>
      <c r="G67"/>
    </row>
    <row r="68" spans="2:28">
      <c r="B68" s="305" t="s">
        <v>84</v>
      </c>
      <c r="C68" s="152" t="s">
        <v>328</v>
      </c>
      <c r="D68" s="153"/>
      <c r="E68" s="153"/>
      <c r="F68" s="153"/>
      <c r="G68"/>
    </row>
    <row r="69" spans="2:28">
      <c r="B69" s="305" t="s">
        <v>85</v>
      </c>
      <c r="C69" s="152" t="s">
        <v>541</v>
      </c>
      <c r="D69" s="153"/>
      <c r="E69" s="153"/>
      <c r="F69" s="153"/>
      <c r="G69"/>
    </row>
    <row r="70" spans="2:28" ht="24.75" customHeight="1">
      <c r="B70" s="295" t="s">
        <v>480</v>
      </c>
      <c r="C70" s="1534" t="s">
        <v>161</v>
      </c>
      <c r="D70" s="1519"/>
      <c r="E70" s="1519"/>
      <c r="F70" s="153"/>
      <c r="G70"/>
    </row>
    <row r="71" spans="2:28">
      <c r="B71" s="295" t="s">
        <v>481</v>
      </c>
      <c r="C71" s="152" t="s">
        <v>192</v>
      </c>
      <c r="D71" s="153"/>
      <c r="E71" s="153"/>
      <c r="F71" s="153"/>
      <c r="G71"/>
    </row>
    <row r="72" spans="2:28">
      <c r="B72" s="295" t="s">
        <v>77</v>
      </c>
      <c r="C72" s="152" t="s">
        <v>170</v>
      </c>
      <c r="D72" s="153"/>
      <c r="E72" s="153"/>
      <c r="F72" s="153"/>
      <c r="G72"/>
    </row>
    <row r="73" spans="2:28">
      <c r="B73" s="295" t="s">
        <v>453</v>
      </c>
      <c r="C73" s="152" t="s">
        <v>491</v>
      </c>
      <c r="D73" s="153"/>
      <c r="E73" s="153"/>
      <c r="F73" s="153"/>
      <c r="G73"/>
    </row>
    <row r="74" spans="2:28">
      <c r="B74" s="295" t="s">
        <v>454</v>
      </c>
      <c r="C74" s="152" t="s">
        <v>169</v>
      </c>
      <c r="D74" s="153"/>
      <c r="E74" s="153"/>
      <c r="F74" s="153"/>
    </row>
    <row r="75" spans="2:28">
      <c r="B75" s="295" t="s">
        <v>374</v>
      </c>
      <c r="C75" s="152" t="s">
        <v>89</v>
      </c>
      <c r="D75" s="153"/>
      <c r="E75" s="153"/>
      <c r="F75" s="153"/>
    </row>
    <row r="76" spans="2:28" ht="15.75">
      <c r="B76" s="32"/>
      <c r="X76" s="54" t="s">
        <v>18</v>
      </c>
    </row>
    <row r="77" spans="2:28">
      <c r="T77" s="32"/>
      <c r="X77" s="55" t="s">
        <v>19</v>
      </c>
      <c r="AA77" s="7"/>
      <c r="AB77" s="32"/>
    </row>
    <row r="79" spans="2:28" ht="13.5" thickBot="1">
      <c r="W79" s="55" t="s">
        <v>20</v>
      </c>
      <c r="X79" s="55" t="s">
        <v>21</v>
      </c>
      <c r="Y79" s="55" t="s">
        <v>403</v>
      </c>
      <c r="Z79" s="55" t="s">
        <v>22</v>
      </c>
    </row>
    <row r="80" spans="2:28" ht="13.5" thickBot="1">
      <c r="Q80" s="57"/>
      <c r="R80" s="57"/>
      <c r="W80" s="56">
        <f>C11</f>
        <v>0</v>
      </c>
      <c r="X80" s="56">
        <f>C12</f>
        <v>0</v>
      </c>
      <c r="Y80" s="56">
        <f>C16</f>
        <v>0</v>
      </c>
      <c r="Z80" s="56">
        <f>C13/100</f>
        <v>0</v>
      </c>
    </row>
    <row r="81" spans="17:27">
      <c r="Q81" s="36"/>
      <c r="R81" s="36"/>
    </row>
    <row r="82" spans="17:27">
      <c r="Q82" s="36"/>
      <c r="R82" s="36"/>
      <c r="V82" s="55" t="s">
        <v>23</v>
      </c>
      <c r="W82" s="55" t="s">
        <v>24</v>
      </c>
      <c r="X82" s="55" t="s">
        <v>494</v>
      </c>
      <c r="Y82" s="55" t="s">
        <v>463</v>
      </c>
      <c r="Z82" s="55" t="s">
        <v>25</v>
      </c>
      <c r="AA82" s="55" t="s">
        <v>26</v>
      </c>
    </row>
    <row r="83" spans="17:27">
      <c r="Q83" s="36"/>
      <c r="R83" s="36"/>
      <c r="V83" s="36" t="s">
        <v>27</v>
      </c>
      <c r="W83" s="36" t="s">
        <v>28</v>
      </c>
      <c r="X83" s="57" t="s">
        <v>29</v>
      </c>
      <c r="Y83" s="36" t="s">
        <v>30</v>
      </c>
      <c r="Z83" s="36" t="s">
        <v>28</v>
      </c>
      <c r="AA83" s="36" t="s">
        <v>28</v>
      </c>
    </row>
    <row r="84" spans="17:27">
      <c r="Q84" s="36"/>
      <c r="R84" s="36"/>
    </row>
    <row r="85" spans="17:27">
      <c r="Q85" s="36"/>
      <c r="R85" s="36"/>
      <c r="V85" s="58" t="e">
        <f t="shared" ref="V85:V148" si="0">(1.49/Y$80)*Y85*(AA85^0.667)*(Z$80^0.5)</f>
        <v>#DIV/0!</v>
      </c>
      <c r="W85" s="59">
        <v>0.01</v>
      </c>
      <c r="X85" s="60" t="e">
        <f t="shared" ref="X85:X148" si="1">V85/Y85</f>
        <v>#DIV/0!</v>
      </c>
      <c r="Y85" s="61">
        <f t="shared" ref="Y85:Y148" si="2">W$80*(W85)+(X$80*(W85)^2)</f>
        <v>0</v>
      </c>
      <c r="Z85" s="59">
        <f t="shared" ref="Z85:Z148" si="3">W$80+2*(W85)*(1+(X$80^2))^0.5</f>
        <v>0.02</v>
      </c>
      <c r="AA85" s="62">
        <f t="shared" ref="AA85:AA148" si="4">Y85/Z85</f>
        <v>0</v>
      </c>
    </row>
    <row r="86" spans="17:27">
      <c r="Q86" s="36"/>
      <c r="R86" s="36"/>
      <c r="V86" s="58" t="e">
        <f t="shared" si="0"/>
        <v>#DIV/0!</v>
      </c>
      <c r="W86" s="59">
        <f>W85+0.01</f>
        <v>0.02</v>
      </c>
      <c r="X86" s="60" t="e">
        <f t="shared" si="1"/>
        <v>#DIV/0!</v>
      </c>
      <c r="Y86" s="61">
        <f t="shared" si="2"/>
        <v>0</v>
      </c>
      <c r="Z86" s="59">
        <f t="shared" si="3"/>
        <v>0.04</v>
      </c>
      <c r="AA86" s="62">
        <f t="shared" si="4"/>
        <v>0</v>
      </c>
    </row>
    <row r="87" spans="17:27">
      <c r="Q87" s="36"/>
      <c r="R87" s="36"/>
      <c r="V87" s="58" t="e">
        <f t="shared" si="0"/>
        <v>#DIV/0!</v>
      </c>
      <c r="W87" s="59">
        <f t="shared" ref="W87:W150" si="5">W86+0.01</f>
        <v>0.03</v>
      </c>
      <c r="X87" s="60" t="e">
        <f t="shared" si="1"/>
        <v>#DIV/0!</v>
      </c>
      <c r="Y87" s="61">
        <f t="shared" si="2"/>
        <v>0</v>
      </c>
      <c r="Z87" s="59">
        <f t="shared" si="3"/>
        <v>0.06</v>
      </c>
      <c r="AA87" s="62">
        <f t="shared" si="4"/>
        <v>0</v>
      </c>
    </row>
    <row r="88" spans="17:27">
      <c r="Q88" s="36"/>
      <c r="R88" s="36"/>
      <c r="V88" s="58" t="e">
        <f t="shared" si="0"/>
        <v>#DIV/0!</v>
      </c>
      <c r="W88" s="59">
        <f t="shared" si="5"/>
        <v>0.04</v>
      </c>
      <c r="X88" s="60" t="e">
        <f t="shared" si="1"/>
        <v>#DIV/0!</v>
      </c>
      <c r="Y88" s="61">
        <f t="shared" si="2"/>
        <v>0</v>
      </c>
      <c r="Z88" s="59">
        <f t="shared" si="3"/>
        <v>0.08</v>
      </c>
      <c r="AA88" s="62">
        <f t="shared" si="4"/>
        <v>0</v>
      </c>
    </row>
    <row r="89" spans="17:27">
      <c r="Q89" s="36"/>
      <c r="R89" s="36"/>
      <c r="V89" s="58" t="e">
        <f t="shared" si="0"/>
        <v>#DIV/0!</v>
      </c>
      <c r="W89" s="59">
        <f>W88+0.01</f>
        <v>0.05</v>
      </c>
      <c r="X89" s="60" t="e">
        <f t="shared" si="1"/>
        <v>#DIV/0!</v>
      </c>
      <c r="Y89" s="61">
        <f t="shared" si="2"/>
        <v>0</v>
      </c>
      <c r="Z89" s="59">
        <f t="shared" si="3"/>
        <v>0.1</v>
      </c>
      <c r="AA89" s="62">
        <f t="shared" si="4"/>
        <v>0</v>
      </c>
    </row>
    <row r="90" spans="17:27">
      <c r="Q90" s="36"/>
      <c r="R90" s="36"/>
      <c r="V90" s="58" t="e">
        <f t="shared" si="0"/>
        <v>#DIV/0!</v>
      </c>
      <c r="W90" s="59">
        <f t="shared" si="5"/>
        <v>6.0000000000000005E-2</v>
      </c>
      <c r="X90" s="60" t="e">
        <f t="shared" si="1"/>
        <v>#DIV/0!</v>
      </c>
      <c r="Y90" s="61">
        <f t="shared" si="2"/>
        <v>0</v>
      </c>
      <c r="Z90" s="59">
        <f t="shared" si="3"/>
        <v>0.12000000000000001</v>
      </c>
      <c r="AA90" s="62">
        <f t="shared" si="4"/>
        <v>0</v>
      </c>
    </row>
    <row r="91" spans="17:27">
      <c r="V91" s="58" t="e">
        <f t="shared" si="0"/>
        <v>#DIV/0!</v>
      </c>
      <c r="W91" s="59">
        <f t="shared" si="5"/>
        <v>7.0000000000000007E-2</v>
      </c>
      <c r="X91" s="60" t="e">
        <f t="shared" si="1"/>
        <v>#DIV/0!</v>
      </c>
      <c r="Y91" s="61">
        <f t="shared" si="2"/>
        <v>0</v>
      </c>
      <c r="Z91" s="59">
        <f t="shared" si="3"/>
        <v>0.14000000000000001</v>
      </c>
      <c r="AA91" s="62">
        <f t="shared" si="4"/>
        <v>0</v>
      </c>
    </row>
    <row r="92" spans="17:27">
      <c r="V92" s="58" t="e">
        <f t="shared" si="0"/>
        <v>#DIV/0!</v>
      </c>
      <c r="W92" s="59">
        <f t="shared" si="5"/>
        <v>0.08</v>
      </c>
      <c r="X92" s="60" t="e">
        <f t="shared" si="1"/>
        <v>#DIV/0!</v>
      </c>
      <c r="Y92" s="61">
        <f t="shared" si="2"/>
        <v>0</v>
      </c>
      <c r="Z92" s="59">
        <f t="shared" si="3"/>
        <v>0.16</v>
      </c>
      <c r="AA92" s="62">
        <f t="shared" si="4"/>
        <v>0</v>
      </c>
    </row>
    <row r="93" spans="17:27">
      <c r="V93" s="58" t="e">
        <f t="shared" si="0"/>
        <v>#DIV/0!</v>
      </c>
      <c r="W93" s="59">
        <f t="shared" si="5"/>
        <v>0.09</v>
      </c>
      <c r="X93" s="60" t="e">
        <f t="shared" si="1"/>
        <v>#DIV/0!</v>
      </c>
      <c r="Y93" s="61">
        <f t="shared" si="2"/>
        <v>0</v>
      </c>
      <c r="Z93" s="59">
        <f t="shared" si="3"/>
        <v>0.18</v>
      </c>
      <c r="AA93" s="62">
        <f t="shared" si="4"/>
        <v>0</v>
      </c>
    </row>
    <row r="94" spans="17:27">
      <c r="V94" s="58" t="e">
        <f t="shared" si="0"/>
        <v>#DIV/0!</v>
      </c>
      <c r="W94" s="59">
        <f t="shared" si="5"/>
        <v>9.9999999999999992E-2</v>
      </c>
      <c r="X94" s="60" t="e">
        <f t="shared" si="1"/>
        <v>#DIV/0!</v>
      </c>
      <c r="Y94" s="61">
        <f t="shared" si="2"/>
        <v>0</v>
      </c>
      <c r="Z94" s="59">
        <f t="shared" si="3"/>
        <v>0.19999999999999998</v>
      </c>
      <c r="AA94" s="62">
        <f t="shared" si="4"/>
        <v>0</v>
      </c>
    </row>
    <row r="95" spans="17:27">
      <c r="V95" s="58" t="e">
        <f t="shared" si="0"/>
        <v>#DIV/0!</v>
      </c>
      <c r="W95" s="59">
        <f t="shared" si="5"/>
        <v>0.10999999999999999</v>
      </c>
      <c r="X95" s="60" t="e">
        <f t="shared" si="1"/>
        <v>#DIV/0!</v>
      </c>
      <c r="Y95" s="61">
        <f t="shared" si="2"/>
        <v>0</v>
      </c>
      <c r="Z95" s="59">
        <f t="shared" si="3"/>
        <v>0.21999999999999997</v>
      </c>
      <c r="AA95" s="62">
        <f t="shared" si="4"/>
        <v>0</v>
      </c>
    </row>
    <row r="96" spans="17:27">
      <c r="V96" s="58" t="e">
        <f t="shared" si="0"/>
        <v>#DIV/0!</v>
      </c>
      <c r="W96" s="59">
        <f t="shared" si="5"/>
        <v>0.11999999999999998</v>
      </c>
      <c r="X96" s="60" t="e">
        <f t="shared" si="1"/>
        <v>#DIV/0!</v>
      </c>
      <c r="Y96" s="61">
        <f t="shared" si="2"/>
        <v>0</v>
      </c>
      <c r="Z96" s="59">
        <f t="shared" si="3"/>
        <v>0.23999999999999996</v>
      </c>
      <c r="AA96" s="62">
        <f t="shared" si="4"/>
        <v>0</v>
      </c>
    </row>
    <row r="97" spans="22:27">
      <c r="V97" s="58" t="e">
        <f t="shared" si="0"/>
        <v>#DIV/0!</v>
      </c>
      <c r="W97" s="59">
        <f t="shared" si="5"/>
        <v>0.12999999999999998</v>
      </c>
      <c r="X97" s="60" t="e">
        <f t="shared" si="1"/>
        <v>#DIV/0!</v>
      </c>
      <c r="Y97" s="61">
        <f t="shared" si="2"/>
        <v>0</v>
      </c>
      <c r="Z97" s="59">
        <f t="shared" si="3"/>
        <v>0.25999999999999995</v>
      </c>
      <c r="AA97" s="62">
        <f t="shared" si="4"/>
        <v>0</v>
      </c>
    </row>
    <row r="98" spans="22:27">
      <c r="V98" s="58" t="e">
        <f t="shared" si="0"/>
        <v>#DIV/0!</v>
      </c>
      <c r="W98" s="59">
        <f t="shared" si="5"/>
        <v>0.13999999999999999</v>
      </c>
      <c r="X98" s="60" t="e">
        <f t="shared" si="1"/>
        <v>#DIV/0!</v>
      </c>
      <c r="Y98" s="61">
        <f t="shared" si="2"/>
        <v>0</v>
      </c>
      <c r="Z98" s="59">
        <f t="shared" si="3"/>
        <v>0.27999999999999997</v>
      </c>
      <c r="AA98" s="62">
        <f t="shared" si="4"/>
        <v>0</v>
      </c>
    </row>
    <row r="99" spans="22:27">
      <c r="V99" s="58" t="e">
        <f t="shared" si="0"/>
        <v>#DIV/0!</v>
      </c>
      <c r="W99" s="59">
        <f t="shared" si="5"/>
        <v>0.15</v>
      </c>
      <c r="X99" s="60" t="e">
        <f t="shared" si="1"/>
        <v>#DIV/0!</v>
      </c>
      <c r="Y99" s="61">
        <f t="shared" si="2"/>
        <v>0</v>
      </c>
      <c r="Z99" s="59">
        <f t="shared" si="3"/>
        <v>0.3</v>
      </c>
      <c r="AA99" s="62">
        <f t="shared" si="4"/>
        <v>0</v>
      </c>
    </row>
    <row r="100" spans="22:27">
      <c r="V100" s="58" t="e">
        <f t="shared" si="0"/>
        <v>#DIV/0!</v>
      </c>
      <c r="W100" s="59">
        <f t="shared" si="5"/>
        <v>0.16</v>
      </c>
      <c r="X100" s="60" t="e">
        <f t="shared" si="1"/>
        <v>#DIV/0!</v>
      </c>
      <c r="Y100" s="61">
        <f t="shared" si="2"/>
        <v>0</v>
      </c>
      <c r="Z100" s="59">
        <f t="shared" si="3"/>
        <v>0.32</v>
      </c>
      <c r="AA100" s="62">
        <f t="shared" si="4"/>
        <v>0</v>
      </c>
    </row>
    <row r="101" spans="22:27">
      <c r="V101" s="58" t="e">
        <f t="shared" si="0"/>
        <v>#DIV/0!</v>
      </c>
      <c r="W101" s="59">
        <f t="shared" si="5"/>
        <v>0.17</v>
      </c>
      <c r="X101" s="60" t="e">
        <f t="shared" si="1"/>
        <v>#DIV/0!</v>
      </c>
      <c r="Y101" s="61">
        <f t="shared" si="2"/>
        <v>0</v>
      </c>
      <c r="Z101" s="59">
        <f t="shared" si="3"/>
        <v>0.34</v>
      </c>
      <c r="AA101" s="62">
        <f t="shared" si="4"/>
        <v>0</v>
      </c>
    </row>
    <row r="102" spans="22:27">
      <c r="V102" s="58" t="e">
        <f t="shared" si="0"/>
        <v>#DIV/0!</v>
      </c>
      <c r="W102" s="59">
        <f t="shared" si="5"/>
        <v>0.18000000000000002</v>
      </c>
      <c r="X102" s="60" t="e">
        <f t="shared" si="1"/>
        <v>#DIV/0!</v>
      </c>
      <c r="Y102" s="61">
        <f t="shared" si="2"/>
        <v>0</v>
      </c>
      <c r="Z102" s="59">
        <f t="shared" si="3"/>
        <v>0.36000000000000004</v>
      </c>
      <c r="AA102" s="62">
        <f t="shared" si="4"/>
        <v>0</v>
      </c>
    </row>
    <row r="103" spans="22:27">
      <c r="V103" s="58" t="e">
        <f t="shared" si="0"/>
        <v>#DIV/0!</v>
      </c>
      <c r="W103" s="59">
        <f t="shared" si="5"/>
        <v>0.19000000000000003</v>
      </c>
      <c r="X103" s="60" t="e">
        <f t="shared" si="1"/>
        <v>#DIV/0!</v>
      </c>
      <c r="Y103" s="61">
        <f t="shared" si="2"/>
        <v>0</v>
      </c>
      <c r="Z103" s="59">
        <f t="shared" si="3"/>
        <v>0.38000000000000006</v>
      </c>
      <c r="AA103" s="62">
        <f t="shared" si="4"/>
        <v>0</v>
      </c>
    </row>
    <row r="104" spans="22:27">
      <c r="V104" s="58" t="e">
        <f t="shared" si="0"/>
        <v>#DIV/0!</v>
      </c>
      <c r="W104" s="59">
        <f t="shared" si="5"/>
        <v>0.20000000000000004</v>
      </c>
      <c r="X104" s="60" t="e">
        <f t="shared" si="1"/>
        <v>#DIV/0!</v>
      </c>
      <c r="Y104" s="61">
        <f t="shared" si="2"/>
        <v>0</v>
      </c>
      <c r="Z104" s="59">
        <f t="shared" si="3"/>
        <v>0.40000000000000008</v>
      </c>
      <c r="AA104" s="62">
        <f t="shared" si="4"/>
        <v>0</v>
      </c>
    </row>
    <row r="105" spans="22:27">
      <c r="V105" s="58" t="e">
        <f t="shared" si="0"/>
        <v>#DIV/0!</v>
      </c>
      <c r="W105" s="59">
        <f t="shared" si="5"/>
        <v>0.21000000000000005</v>
      </c>
      <c r="X105" s="60" t="e">
        <f t="shared" si="1"/>
        <v>#DIV/0!</v>
      </c>
      <c r="Y105" s="61">
        <f t="shared" si="2"/>
        <v>0</v>
      </c>
      <c r="Z105" s="59">
        <f t="shared" si="3"/>
        <v>0.4200000000000001</v>
      </c>
      <c r="AA105" s="62">
        <f t="shared" si="4"/>
        <v>0</v>
      </c>
    </row>
    <row r="106" spans="22:27">
      <c r="V106" s="58" t="e">
        <f t="shared" si="0"/>
        <v>#DIV/0!</v>
      </c>
      <c r="W106" s="59">
        <f t="shared" si="5"/>
        <v>0.22000000000000006</v>
      </c>
      <c r="X106" s="60" t="e">
        <f t="shared" si="1"/>
        <v>#DIV/0!</v>
      </c>
      <c r="Y106" s="61">
        <f t="shared" si="2"/>
        <v>0</v>
      </c>
      <c r="Z106" s="59">
        <f t="shared" si="3"/>
        <v>0.44000000000000011</v>
      </c>
      <c r="AA106" s="62">
        <f t="shared" si="4"/>
        <v>0</v>
      </c>
    </row>
    <row r="107" spans="22:27">
      <c r="V107" s="58" t="e">
        <f t="shared" si="0"/>
        <v>#DIV/0!</v>
      </c>
      <c r="W107" s="59">
        <f t="shared" si="5"/>
        <v>0.23000000000000007</v>
      </c>
      <c r="X107" s="60" t="e">
        <f t="shared" si="1"/>
        <v>#DIV/0!</v>
      </c>
      <c r="Y107" s="61">
        <f t="shared" si="2"/>
        <v>0</v>
      </c>
      <c r="Z107" s="59">
        <f t="shared" si="3"/>
        <v>0.46000000000000013</v>
      </c>
      <c r="AA107" s="62">
        <f t="shared" si="4"/>
        <v>0</v>
      </c>
    </row>
    <row r="108" spans="22:27">
      <c r="V108" s="58" t="e">
        <f t="shared" si="0"/>
        <v>#DIV/0!</v>
      </c>
      <c r="W108" s="59">
        <f t="shared" si="5"/>
        <v>0.24000000000000007</v>
      </c>
      <c r="X108" s="60" t="e">
        <f t="shared" si="1"/>
        <v>#DIV/0!</v>
      </c>
      <c r="Y108" s="61">
        <f t="shared" si="2"/>
        <v>0</v>
      </c>
      <c r="Z108" s="59">
        <f t="shared" si="3"/>
        <v>0.48000000000000015</v>
      </c>
      <c r="AA108" s="62">
        <f t="shared" si="4"/>
        <v>0</v>
      </c>
    </row>
    <row r="109" spans="22:27">
      <c r="V109" s="58" t="e">
        <f t="shared" si="0"/>
        <v>#DIV/0!</v>
      </c>
      <c r="W109" s="59">
        <f t="shared" si="5"/>
        <v>0.25000000000000006</v>
      </c>
      <c r="X109" s="60" t="e">
        <f t="shared" si="1"/>
        <v>#DIV/0!</v>
      </c>
      <c r="Y109" s="61">
        <f t="shared" si="2"/>
        <v>0</v>
      </c>
      <c r="Z109" s="59">
        <f t="shared" si="3"/>
        <v>0.50000000000000011</v>
      </c>
      <c r="AA109" s="62">
        <f t="shared" si="4"/>
        <v>0</v>
      </c>
    </row>
    <row r="110" spans="22:27">
      <c r="V110" s="58" t="e">
        <f t="shared" si="0"/>
        <v>#DIV/0!</v>
      </c>
      <c r="W110" s="59">
        <f t="shared" si="5"/>
        <v>0.26000000000000006</v>
      </c>
      <c r="X110" s="60" t="e">
        <f t="shared" si="1"/>
        <v>#DIV/0!</v>
      </c>
      <c r="Y110" s="61">
        <f t="shared" si="2"/>
        <v>0</v>
      </c>
      <c r="Z110" s="59">
        <f t="shared" si="3"/>
        <v>0.52000000000000013</v>
      </c>
      <c r="AA110" s="62">
        <f t="shared" si="4"/>
        <v>0</v>
      </c>
    </row>
    <row r="111" spans="22:27">
      <c r="V111" s="58" t="e">
        <f t="shared" si="0"/>
        <v>#DIV/0!</v>
      </c>
      <c r="W111" s="59">
        <f t="shared" si="5"/>
        <v>0.27000000000000007</v>
      </c>
      <c r="X111" s="60" t="e">
        <f t="shared" si="1"/>
        <v>#DIV/0!</v>
      </c>
      <c r="Y111" s="61">
        <f t="shared" si="2"/>
        <v>0</v>
      </c>
      <c r="Z111" s="59">
        <f t="shared" si="3"/>
        <v>0.54000000000000015</v>
      </c>
      <c r="AA111" s="62">
        <f t="shared" si="4"/>
        <v>0</v>
      </c>
    </row>
    <row r="112" spans="22:27">
      <c r="V112" s="58" t="e">
        <f t="shared" si="0"/>
        <v>#DIV/0!</v>
      </c>
      <c r="W112" s="59">
        <f t="shared" si="5"/>
        <v>0.28000000000000008</v>
      </c>
      <c r="X112" s="60" t="e">
        <f t="shared" si="1"/>
        <v>#DIV/0!</v>
      </c>
      <c r="Y112" s="61">
        <f t="shared" si="2"/>
        <v>0</v>
      </c>
      <c r="Z112" s="59">
        <f t="shared" si="3"/>
        <v>0.56000000000000016</v>
      </c>
      <c r="AA112" s="62">
        <f t="shared" si="4"/>
        <v>0</v>
      </c>
    </row>
    <row r="113" spans="22:27">
      <c r="V113" s="58" t="e">
        <f t="shared" si="0"/>
        <v>#DIV/0!</v>
      </c>
      <c r="W113" s="59">
        <f t="shared" si="5"/>
        <v>0.29000000000000009</v>
      </c>
      <c r="X113" s="60" t="e">
        <f t="shared" si="1"/>
        <v>#DIV/0!</v>
      </c>
      <c r="Y113" s="61">
        <f t="shared" si="2"/>
        <v>0</v>
      </c>
      <c r="Z113" s="59">
        <f t="shared" si="3"/>
        <v>0.58000000000000018</v>
      </c>
      <c r="AA113" s="62">
        <f t="shared" si="4"/>
        <v>0</v>
      </c>
    </row>
    <row r="114" spans="22:27">
      <c r="V114" s="58" t="e">
        <f t="shared" si="0"/>
        <v>#DIV/0!</v>
      </c>
      <c r="W114" s="59">
        <f t="shared" si="5"/>
        <v>0.3000000000000001</v>
      </c>
      <c r="X114" s="60" t="e">
        <f t="shared" si="1"/>
        <v>#DIV/0!</v>
      </c>
      <c r="Y114" s="61">
        <f t="shared" si="2"/>
        <v>0</v>
      </c>
      <c r="Z114" s="59">
        <f t="shared" si="3"/>
        <v>0.6000000000000002</v>
      </c>
      <c r="AA114" s="62">
        <f t="shared" si="4"/>
        <v>0</v>
      </c>
    </row>
    <row r="115" spans="22:27">
      <c r="V115" s="58" t="e">
        <f t="shared" si="0"/>
        <v>#DIV/0!</v>
      </c>
      <c r="W115" s="59">
        <f t="shared" si="5"/>
        <v>0.31000000000000011</v>
      </c>
      <c r="X115" s="60" t="e">
        <f t="shared" si="1"/>
        <v>#DIV/0!</v>
      </c>
      <c r="Y115" s="61">
        <f t="shared" si="2"/>
        <v>0</v>
      </c>
      <c r="Z115" s="59">
        <f t="shared" si="3"/>
        <v>0.62000000000000022</v>
      </c>
      <c r="AA115" s="62">
        <f t="shared" si="4"/>
        <v>0</v>
      </c>
    </row>
    <row r="116" spans="22:27">
      <c r="V116" s="58" t="e">
        <f t="shared" si="0"/>
        <v>#DIV/0!</v>
      </c>
      <c r="W116" s="59">
        <f t="shared" si="5"/>
        <v>0.32000000000000012</v>
      </c>
      <c r="X116" s="60" t="e">
        <f t="shared" si="1"/>
        <v>#DIV/0!</v>
      </c>
      <c r="Y116" s="61">
        <f t="shared" si="2"/>
        <v>0</v>
      </c>
      <c r="Z116" s="59">
        <f t="shared" si="3"/>
        <v>0.64000000000000024</v>
      </c>
      <c r="AA116" s="62">
        <f t="shared" si="4"/>
        <v>0</v>
      </c>
    </row>
    <row r="117" spans="22:27">
      <c r="V117" s="58" t="e">
        <f t="shared" si="0"/>
        <v>#DIV/0!</v>
      </c>
      <c r="W117" s="59">
        <f t="shared" si="5"/>
        <v>0.33000000000000013</v>
      </c>
      <c r="X117" s="60" t="e">
        <f t="shared" si="1"/>
        <v>#DIV/0!</v>
      </c>
      <c r="Y117" s="61">
        <f t="shared" si="2"/>
        <v>0</v>
      </c>
      <c r="Z117" s="59">
        <f t="shared" si="3"/>
        <v>0.66000000000000025</v>
      </c>
      <c r="AA117" s="62">
        <f t="shared" si="4"/>
        <v>0</v>
      </c>
    </row>
    <row r="118" spans="22:27">
      <c r="V118" s="58" t="e">
        <f t="shared" si="0"/>
        <v>#DIV/0!</v>
      </c>
      <c r="W118" s="59">
        <f t="shared" si="5"/>
        <v>0.34000000000000014</v>
      </c>
      <c r="X118" s="60" t="e">
        <f t="shared" si="1"/>
        <v>#DIV/0!</v>
      </c>
      <c r="Y118" s="61">
        <f t="shared" si="2"/>
        <v>0</v>
      </c>
      <c r="Z118" s="59">
        <f t="shared" si="3"/>
        <v>0.68000000000000027</v>
      </c>
      <c r="AA118" s="62">
        <f t="shared" si="4"/>
        <v>0</v>
      </c>
    </row>
    <row r="119" spans="22:27">
      <c r="V119" s="58" t="e">
        <f t="shared" si="0"/>
        <v>#DIV/0!</v>
      </c>
      <c r="W119" s="59">
        <f t="shared" si="5"/>
        <v>0.35000000000000014</v>
      </c>
      <c r="X119" s="60" t="e">
        <f t="shared" si="1"/>
        <v>#DIV/0!</v>
      </c>
      <c r="Y119" s="61">
        <f t="shared" si="2"/>
        <v>0</v>
      </c>
      <c r="Z119" s="59">
        <f t="shared" si="3"/>
        <v>0.70000000000000029</v>
      </c>
      <c r="AA119" s="62">
        <f t="shared" si="4"/>
        <v>0</v>
      </c>
    </row>
    <row r="120" spans="22:27">
      <c r="V120" s="58" t="e">
        <f t="shared" si="0"/>
        <v>#DIV/0!</v>
      </c>
      <c r="W120" s="59">
        <f t="shared" si="5"/>
        <v>0.36000000000000015</v>
      </c>
      <c r="X120" s="60" t="e">
        <f t="shared" si="1"/>
        <v>#DIV/0!</v>
      </c>
      <c r="Y120" s="61">
        <f t="shared" si="2"/>
        <v>0</v>
      </c>
      <c r="Z120" s="59">
        <f t="shared" si="3"/>
        <v>0.72000000000000031</v>
      </c>
      <c r="AA120" s="62">
        <f t="shared" si="4"/>
        <v>0</v>
      </c>
    </row>
    <row r="121" spans="22:27">
      <c r="V121" s="58" t="e">
        <f t="shared" si="0"/>
        <v>#DIV/0!</v>
      </c>
      <c r="W121" s="59">
        <f t="shared" si="5"/>
        <v>0.37000000000000016</v>
      </c>
      <c r="X121" s="60" t="e">
        <f t="shared" si="1"/>
        <v>#DIV/0!</v>
      </c>
      <c r="Y121" s="61">
        <f t="shared" si="2"/>
        <v>0</v>
      </c>
      <c r="Z121" s="59">
        <f t="shared" si="3"/>
        <v>0.74000000000000032</v>
      </c>
      <c r="AA121" s="62">
        <f t="shared" si="4"/>
        <v>0</v>
      </c>
    </row>
    <row r="122" spans="22:27">
      <c r="V122" s="58" t="e">
        <f t="shared" si="0"/>
        <v>#DIV/0!</v>
      </c>
      <c r="W122" s="59">
        <f t="shared" si="5"/>
        <v>0.38000000000000017</v>
      </c>
      <c r="X122" s="60" t="e">
        <f t="shared" si="1"/>
        <v>#DIV/0!</v>
      </c>
      <c r="Y122" s="61">
        <f t="shared" si="2"/>
        <v>0</v>
      </c>
      <c r="Z122" s="59">
        <f t="shared" si="3"/>
        <v>0.76000000000000034</v>
      </c>
      <c r="AA122" s="62">
        <f t="shared" si="4"/>
        <v>0</v>
      </c>
    </row>
    <row r="123" spans="22:27">
      <c r="V123" s="58" t="e">
        <f t="shared" si="0"/>
        <v>#DIV/0!</v>
      </c>
      <c r="W123" s="59">
        <f t="shared" si="5"/>
        <v>0.39000000000000018</v>
      </c>
      <c r="X123" s="60" t="e">
        <f t="shared" si="1"/>
        <v>#DIV/0!</v>
      </c>
      <c r="Y123" s="61">
        <f t="shared" si="2"/>
        <v>0</v>
      </c>
      <c r="Z123" s="59">
        <f t="shared" si="3"/>
        <v>0.78000000000000036</v>
      </c>
      <c r="AA123" s="62">
        <f t="shared" si="4"/>
        <v>0</v>
      </c>
    </row>
    <row r="124" spans="22:27">
      <c r="V124" s="58" t="e">
        <f t="shared" si="0"/>
        <v>#DIV/0!</v>
      </c>
      <c r="W124" s="59">
        <f t="shared" si="5"/>
        <v>0.40000000000000019</v>
      </c>
      <c r="X124" s="60" t="e">
        <f t="shared" si="1"/>
        <v>#DIV/0!</v>
      </c>
      <c r="Y124" s="61">
        <f t="shared" si="2"/>
        <v>0</v>
      </c>
      <c r="Z124" s="59">
        <f t="shared" si="3"/>
        <v>0.80000000000000038</v>
      </c>
      <c r="AA124" s="62">
        <f t="shared" si="4"/>
        <v>0</v>
      </c>
    </row>
    <row r="125" spans="22:27">
      <c r="V125" s="58" t="e">
        <f t="shared" si="0"/>
        <v>#DIV/0!</v>
      </c>
      <c r="W125" s="59">
        <f t="shared" si="5"/>
        <v>0.4100000000000002</v>
      </c>
      <c r="X125" s="60" t="e">
        <f t="shared" si="1"/>
        <v>#DIV/0!</v>
      </c>
      <c r="Y125" s="61">
        <f t="shared" si="2"/>
        <v>0</v>
      </c>
      <c r="Z125" s="59">
        <f t="shared" si="3"/>
        <v>0.8200000000000004</v>
      </c>
      <c r="AA125" s="62">
        <f t="shared" si="4"/>
        <v>0</v>
      </c>
    </row>
    <row r="126" spans="22:27">
      <c r="V126" s="58" t="e">
        <f t="shared" si="0"/>
        <v>#DIV/0!</v>
      </c>
      <c r="W126" s="59">
        <f t="shared" si="5"/>
        <v>0.42000000000000021</v>
      </c>
      <c r="X126" s="60" t="e">
        <f t="shared" si="1"/>
        <v>#DIV/0!</v>
      </c>
      <c r="Y126" s="61">
        <f t="shared" si="2"/>
        <v>0</v>
      </c>
      <c r="Z126" s="59">
        <f t="shared" si="3"/>
        <v>0.84000000000000041</v>
      </c>
      <c r="AA126" s="62">
        <f t="shared" si="4"/>
        <v>0</v>
      </c>
    </row>
    <row r="127" spans="22:27">
      <c r="V127" s="58" t="e">
        <f t="shared" si="0"/>
        <v>#DIV/0!</v>
      </c>
      <c r="W127" s="59">
        <f t="shared" si="5"/>
        <v>0.43000000000000022</v>
      </c>
      <c r="X127" s="60" t="e">
        <f t="shared" si="1"/>
        <v>#DIV/0!</v>
      </c>
      <c r="Y127" s="61">
        <f t="shared" si="2"/>
        <v>0</v>
      </c>
      <c r="Z127" s="59">
        <f t="shared" si="3"/>
        <v>0.86000000000000043</v>
      </c>
      <c r="AA127" s="62">
        <f t="shared" si="4"/>
        <v>0</v>
      </c>
    </row>
    <row r="128" spans="22:27">
      <c r="V128" s="58" t="e">
        <f t="shared" si="0"/>
        <v>#DIV/0!</v>
      </c>
      <c r="W128" s="59">
        <f t="shared" si="5"/>
        <v>0.44000000000000022</v>
      </c>
      <c r="X128" s="60" t="e">
        <f t="shared" si="1"/>
        <v>#DIV/0!</v>
      </c>
      <c r="Y128" s="61">
        <f t="shared" si="2"/>
        <v>0</v>
      </c>
      <c r="Z128" s="59">
        <f t="shared" si="3"/>
        <v>0.88000000000000045</v>
      </c>
      <c r="AA128" s="62">
        <f t="shared" si="4"/>
        <v>0</v>
      </c>
    </row>
    <row r="129" spans="22:27">
      <c r="V129" s="58" t="e">
        <f t="shared" si="0"/>
        <v>#DIV/0!</v>
      </c>
      <c r="W129" s="59">
        <f t="shared" si="5"/>
        <v>0.45000000000000023</v>
      </c>
      <c r="X129" s="60" t="e">
        <f t="shared" si="1"/>
        <v>#DIV/0!</v>
      </c>
      <c r="Y129" s="61">
        <f t="shared" si="2"/>
        <v>0</v>
      </c>
      <c r="Z129" s="59">
        <f t="shared" si="3"/>
        <v>0.90000000000000047</v>
      </c>
      <c r="AA129" s="62">
        <f t="shared" si="4"/>
        <v>0</v>
      </c>
    </row>
    <row r="130" spans="22:27">
      <c r="V130" s="58" t="e">
        <f t="shared" si="0"/>
        <v>#DIV/0!</v>
      </c>
      <c r="W130" s="59">
        <f t="shared" si="5"/>
        <v>0.46000000000000024</v>
      </c>
      <c r="X130" s="60" t="e">
        <f t="shared" si="1"/>
        <v>#DIV/0!</v>
      </c>
      <c r="Y130" s="61">
        <f t="shared" si="2"/>
        <v>0</v>
      </c>
      <c r="Z130" s="59">
        <f t="shared" si="3"/>
        <v>0.92000000000000048</v>
      </c>
      <c r="AA130" s="62">
        <f t="shared" si="4"/>
        <v>0</v>
      </c>
    </row>
    <row r="131" spans="22:27">
      <c r="V131" s="58" t="e">
        <f t="shared" si="0"/>
        <v>#DIV/0!</v>
      </c>
      <c r="W131" s="59">
        <f t="shared" si="5"/>
        <v>0.47000000000000025</v>
      </c>
      <c r="X131" s="60" t="e">
        <f t="shared" si="1"/>
        <v>#DIV/0!</v>
      </c>
      <c r="Y131" s="61">
        <f t="shared" si="2"/>
        <v>0</v>
      </c>
      <c r="Z131" s="59">
        <f t="shared" si="3"/>
        <v>0.9400000000000005</v>
      </c>
      <c r="AA131" s="62">
        <f t="shared" si="4"/>
        <v>0</v>
      </c>
    </row>
    <row r="132" spans="22:27">
      <c r="V132" s="58" t="e">
        <f t="shared" si="0"/>
        <v>#DIV/0!</v>
      </c>
      <c r="W132" s="59">
        <f t="shared" si="5"/>
        <v>0.48000000000000026</v>
      </c>
      <c r="X132" s="60" t="e">
        <f t="shared" si="1"/>
        <v>#DIV/0!</v>
      </c>
      <c r="Y132" s="61">
        <f t="shared" si="2"/>
        <v>0</v>
      </c>
      <c r="Z132" s="59">
        <f t="shared" si="3"/>
        <v>0.96000000000000052</v>
      </c>
      <c r="AA132" s="62">
        <f t="shared" si="4"/>
        <v>0</v>
      </c>
    </row>
    <row r="133" spans="22:27">
      <c r="V133" s="58" t="e">
        <f t="shared" si="0"/>
        <v>#DIV/0!</v>
      </c>
      <c r="W133" s="59">
        <f t="shared" si="5"/>
        <v>0.49000000000000027</v>
      </c>
      <c r="X133" s="60" t="e">
        <f t="shared" si="1"/>
        <v>#DIV/0!</v>
      </c>
      <c r="Y133" s="61">
        <f t="shared" si="2"/>
        <v>0</v>
      </c>
      <c r="Z133" s="59">
        <f t="shared" si="3"/>
        <v>0.98000000000000054</v>
      </c>
      <c r="AA133" s="62">
        <f t="shared" si="4"/>
        <v>0</v>
      </c>
    </row>
    <row r="134" spans="22:27">
      <c r="V134" s="58" t="e">
        <f t="shared" si="0"/>
        <v>#DIV/0!</v>
      </c>
      <c r="W134" s="59">
        <f t="shared" si="5"/>
        <v>0.50000000000000022</v>
      </c>
      <c r="X134" s="60" t="e">
        <f t="shared" si="1"/>
        <v>#DIV/0!</v>
      </c>
      <c r="Y134" s="61">
        <f t="shared" si="2"/>
        <v>0</v>
      </c>
      <c r="Z134" s="59">
        <f t="shared" si="3"/>
        <v>1.0000000000000004</v>
      </c>
      <c r="AA134" s="62">
        <f t="shared" si="4"/>
        <v>0</v>
      </c>
    </row>
    <row r="135" spans="22:27">
      <c r="V135" s="58" t="e">
        <f t="shared" si="0"/>
        <v>#DIV/0!</v>
      </c>
      <c r="W135" s="59">
        <f t="shared" si="5"/>
        <v>0.51000000000000023</v>
      </c>
      <c r="X135" s="60" t="e">
        <f t="shared" si="1"/>
        <v>#DIV/0!</v>
      </c>
      <c r="Y135" s="61">
        <f t="shared" si="2"/>
        <v>0</v>
      </c>
      <c r="Z135" s="59">
        <f t="shared" si="3"/>
        <v>1.0200000000000005</v>
      </c>
      <c r="AA135" s="62">
        <f t="shared" si="4"/>
        <v>0</v>
      </c>
    </row>
    <row r="136" spans="22:27">
      <c r="V136" s="58" t="e">
        <f t="shared" si="0"/>
        <v>#DIV/0!</v>
      </c>
      <c r="W136" s="59">
        <f t="shared" si="5"/>
        <v>0.52000000000000024</v>
      </c>
      <c r="X136" s="60" t="e">
        <f t="shared" si="1"/>
        <v>#DIV/0!</v>
      </c>
      <c r="Y136" s="61">
        <f t="shared" si="2"/>
        <v>0</v>
      </c>
      <c r="Z136" s="59">
        <f t="shared" si="3"/>
        <v>1.0400000000000005</v>
      </c>
      <c r="AA136" s="62">
        <f t="shared" si="4"/>
        <v>0</v>
      </c>
    </row>
    <row r="137" spans="22:27">
      <c r="V137" s="58" t="e">
        <f t="shared" si="0"/>
        <v>#DIV/0!</v>
      </c>
      <c r="W137" s="59">
        <f t="shared" si="5"/>
        <v>0.53000000000000025</v>
      </c>
      <c r="X137" s="60" t="e">
        <f t="shared" si="1"/>
        <v>#DIV/0!</v>
      </c>
      <c r="Y137" s="61">
        <f t="shared" si="2"/>
        <v>0</v>
      </c>
      <c r="Z137" s="59">
        <f t="shared" si="3"/>
        <v>1.0600000000000005</v>
      </c>
      <c r="AA137" s="62">
        <f t="shared" si="4"/>
        <v>0</v>
      </c>
    </row>
    <row r="138" spans="22:27">
      <c r="V138" s="58" t="e">
        <f t="shared" si="0"/>
        <v>#DIV/0!</v>
      </c>
      <c r="W138" s="59">
        <f t="shared" si="5"/>
        <v>0.54000000000000026</v>
      </c>
      <c r="X138" s="60" t="e">
        <f t="shared" si="1"/>
        <v>#DIV/0!</v>
      </c>
      <c r="Y138" s="61">
        <f t="shared" si="2"/>
        <v>0</v>
      </c>
      <c r="Z138" s="59">
        <f t="shared" si="3"/>
        <v>1.0800000000000005</v>
      </c>
      <c r="AA138" s="62">
        <f t="shared" si="4"/>
        <v>0</v>
      </c>
    </row>
    <row r="139" spans="22:27">
      <c r="V139" s="58" t="e">
        <f t="shared" si="0"/>
        <v>#DIV/0!</v>
      </c>
      <c r="W139" s="59">
        <f t="shared" si="5"/>
        <v>0.55000000000000027</v>
      </c>
      <c r="X139" s="60" t="e">
        <f t="shared" si="1"/>
        <v>#DIV/0!</v>
      </c>
      <c r="Y139" s="61">
        <f t="shared" si="2"/>
        <v>0</v>
      </c>
      <c r="Z139" s="59">
        <f t="shared" si="3"/>
        <v>1.1000000000000005</v>
      </c>
      <c r="AA139" s="62">
        <f t="shared" si="4"/>
        <v>0</v>
      </c>
    </row>
    <row r="140" spans="22:27">
      <c r="V140" s="58" t="e">
        <f t="shared" si="0"/>
        <v>#DIV/0!</v>
      </c>
      <c r="W140" s="59">
        <f t="shared" si="5"/>
        <v>0.56000000000000028</v>
      </c>
      <c r="X140" s="60" t="e">
        <f t="shared" si="1"/>
        <v>#DIV/0!</v>
      </c>
      <c r="Y140" s="61">
        <f t="shared" si="2"/>
        <v>0</v>
      </c>
      <c r="Z140" s="59">
        <f t="shared" si="3"/>
        <v>1.1200000000000006</v>
      </c>
      <c r="AA140" s="62">
        <f t="shared" si="4"/>
        <v>0</v>
      </c>
    </row>
    <row r="141" spans="22:27">
      <c r="V141" s="58" t="e">
        <f t="shared" si="0"/>
        <v>#DIV/0!</v>
      </c>
      <c r="W141" s="59">
        <f t="shared" si="5"/>
        <v>0.57000000000000028</v>
      </c>
      <c r="X141" s="60" t="e">
        <f t="shared" si="1"/>
        <v>#DIV/0!</v>
      </c>
      <c r="Y141" s="61">
        <f t="shared" si="2"/>
        <v>0</v>
      </c>
      <c r="Z141" s="59">
        <f t="shared" si="3"/>
        <v>1.1400000000000006</v>
      </c>
      <c r="AA141" s="62">
        <f t="shared" si="4"/>
        <v>0</v>
      </c>
    </row>
    <row r="142" spans="22:27">
      <c r="V142" s="58" t="e">
        <f t="shared" si="0"/>
        <v>#DIV/0!</v>
      </c>
      <c r="W142" s="59">
        <f t="shared" si="5"/>
        <v>0.58000000000000029</v>
      </c>
      <c r="X142" s="60" t="e">
        <f t="shared" si="1"/>
        <v>#DIV/0!</v>
      </c>
      <c r="Y142" s="61">
        <f t="shared" si="2"/>
        <v>0</v>
      </c>
      <c r="Z142" s="59">
        <f t="shared" si="3"/>
        <v>1.1600000000000006</v>
      </c>
      <c r="AA142" s="62">
        <f t="shared" si="4"/>
        <v>0</v>
      </c>
    </row>
    <row r="143" spans="22:27">
      <c r="V143" s="58" t="e">
        <f t="shared" si="0"/>
        <v>#DIV/0!</v>
      </c>
      <c r="W143" s="59">
        <f t="shared" si="5"/>
        <v>0.5900000000000003</v>
      </c>
      <c r="X143" s="60" t="e">
        <f t="shared" si="1"/>
        <v>#DIV/0!</v>
      </c>
      <c r="Y143" s="61">
        <f t="shared" si="2"/>
        <v>0</v>
      </c>
      <c r="Z143" s="59">
        <f t="shared" si="3"/>
        <v>1.1800000000000006</v>
      </c>
      <c r="AA143" s="62">
        <f t="shared" si="4"/>
        <v>0</v>
      </c>
    </row>
    <row r="144" spans="22:27">
      <c r="V144" s="58" t="e">
        <f t="shared" si="0"/>
        <v>#DIV/0!</v>
      </c>
      <c r="W144" s="59">
        <f t="shared" si="5"/>
        <v>0.60000000000000031</v>
      </c>
      <c r="X144" s="60" t="e">
        <f t="shared" si="1"/>
        <v>#DIV/0!</v>
      </c>
      <c r="Y144" s="61">
        <f t="shared" si="2"/>
        <v>0</v>
      </c>
      <c r="Z144" s="59">
        <f t="shared" si="3"/>
        <v>1.2000000000000006</v>
      </c>
      <c r="AA144" s="62">
        <f t="shared" si="4"/>
        <v>0</v>
      </c>
    </row>
    <row r="145" spans="22:27">
      <c r="V145" s="58" t="e">
        <f t="shared" si="0"/>
        <v>#DIV/0!</v>
      </c>
      <c r="W145" s="59">
        <f t="shared" si="5"/>
        <v>0.61000000000000032</v>
      </c>
      <c r="X145" s="60" t="e">
        <f t="shared" si="1"/>
        <v>#DIV/0!</v>
      </c>
      <c r="Y145" s="61">
        <f t="shared" si="2"/>
        <v>0</v>
      </c>
      <c r="Z145" s="59">
        <f t="shared" si="3"/>
        <v>1.2200000000000006</v>
      </c>
      <c r="AA145" s="62">
        <f t="shared" si="4"/>
        <v>0</v>
      </c>
    </row>
    <row r="146" spans="22:27">
      <c r="V146" s="58" t="e">
        <f t="shared" si="0"/>
        <v>#DIV/0!</v>
      </c>
      <c r="W146" s="59">
        <f t="shared" si="5"/>
        <v>0.62000000000000033</v>
      </c>
      <c r="X146" s="60" t="e">
        <f t="shared" si="1"/>
        <v>#DIV/0!</v>
      </c>
      <c r="Y146" s="61">
        <f t="shared" si="2"/>
        <v>0</v>
      </c>
      <c r="Z146" s="59">
        <f t="shared" si="3"/>
        <v>1.2400000000000007</v>
      </c>
      <c r="AA146" s="62">
        <f t="shared" si="4"/>
        <v>0</v>
      </c>
    </row>
    <row r="147" spans="22:27">
      <c r="V147" s="58" t="e">
        <f t="shared" si="0"/>
        <v>#DIV/0!</v>
      </c>
      <c r="W147" s="59">
        <f t="shared" si="5"/>
        <v>0.63000000000000034</v>
      </c>
      <c r="X147" s="60" t="e">
        <f t="shared" si="1"/>
        <v>#DIV/0!</v>
      </c>
      <c r="Y147" s="61">
        <f t="shared" si="2"/>
        <v>0</v>
      </c>
      <c r="Z147" s="59">
        <f t="shared" si="3"/>
        <v>1.2600000000000007</v>
      </c>
      <c r="AA147" s="62">
        <f t="shared" si="4"/>
        <v>0</v>
      </c>
    </row>
    <row r="148" spans="22:27">
      <c r="V148" s="58" t="e">
        <f t="shared" si="0"/>
        <v>#DIV/0!</v>
      </c>
      <c r="W148" s="59">
        <f t="shared" si="5"/>
        <v>0.64000000000000035</v>
      </c>
      <c r="X148" s="60" t="e">
        <f t="shared" si="1"/>
        <v>#DIV/0!</v>
      </c>
      <c r="Y148" s="61">
        <f t="shared" si="2"/>
        <v>0</v>
      </c>
      <c r="Z148" s="59">
        <f t="shared" si="3"/>
        <v>1.2800000000000007</v>
      </c>
      <c r="AA148" s="62">
        <f t="shared" si="4"/>
        <v>0</v>
      </c>
    </row>
    <row r="149" spans="22:27">
      <c r="V149" s="58" t="e">
        <f t="shared" ref="V149:V160" si="6">(1.49/Y$80)*Y149*(AA149^0.667)*(Z$80^0.5)</f>
        <v>#DIV/0!</v>
      </c>
      <c r="W149" s="59">
        <f t="shared" si="5"/>
        <v>0.65000000000000036</v>
      </c>
      <c r="X149" s="60" t="e">
        <f t="shared" ref="X149:X160" si="7">V149/Y149</f>
        <v>#DIV/0!</v>
      </c>
      <c r="Y149" s="61">
        <f t="shared" ref="Y149:Y155" si="8">W$80*(W149)+(X$80*(W149)^2)</f>
        <v>0</v>
      </c>
      <c r="Z149" s="59">
        <f t="shared" ref="Z149:Z155" si="9">W$80+2*(W149)*(1+(X$80^2))^0.5</f>
        <v>1.3000000000000007</v>
      </c>
      <c r="AA149" s="62">
        <f t="shared" ref="AA149:AA160" si="10">Y149/Z149</f>
        <v>0</v>
      </c>
    </row>
    <row r="150" spans="22:27">
      <c r="V150" s="58" t="e">
        <f t="shared" si="6"/>
        <v>#DIV/0!</v>
      </c>
      <c r="W150" s="59">
        <f t="shared" si="5"/>
        <v>0.66000000000000036</v>
      </c>
      <c r="X150" s="60" t="e">
        <f t="shared" si="7"/>
        <v>#DIV/0!</v>
      </c>
      <c r="Y150" s="61">
        <f t="shared" si="8"/>
        <v>0</v>
      </c>
      <c r="Z150" s="59">
        <f t="shared" si="9"/>
        <v>1.3200000000000007</v>
      </c>
      <c r="AA150" s="62">
        <f t="shared" si="10"/>
        <v>0</v>
      </c>
    </row>
    <row r="151" spans="22:27">
      <c r="V151" s="58" t="e">
        <f t="shared" si="6"/>
        <v>#DIV/0!</v>
      </c>
      <c r="W151" s="59">
        <f>W150+0.01</f>
        <v>0.67000000000000037</v>
      </c>
      <c r="X151" s="60" t="e">
        <f t="shared" si="7"/>
        <v>#DIV/0!</v>
      </c>
      <c r="Y151" s="61">
        <f t="shared" si="8"/>
        <v>0</v>
      </c>
      <c r="Z151" s="59">
        <f t="shared" si="9"/>
        <v>1.3400000000000007</v>
      </c>
      <c r="AA151" s="62">
        <f t="shared" si="10"/>
        <v>0</v>
      </c>
    </row>
    <row r="152" spans="22:27">
      <c r="V152" s="58" t="e">
        <f t="shared" si="6"/>
        <v>#DIV/0!</v>
      </c>
      <c r="W152" s="59">
        <f>W151+0.01</f>
        <v>0.68000000000000038</v>
      </c>
      <c r="X152" s="60" t="e">
        <f t="shared" si="7"/>
        <v>#DIV/0!</v>
      </c>
      <c r="Y152" s="61">
        <f t="shared" si="8"/>
        <v>0</v>
      </c>
      <c r="Z152" s="59">
        <f t="shared" si="9"/>
        <v>1.3600000000000008</v>
      </c>
      <c r="AA152" s="62">
        <f t="shared" si="10"/>
        <v>0</v>
      </c>
    </row>
    <row r="153" spans="22:27">
      <c r="V153" s="58" t="e">
        <f t="shared" si="6"/>
        <v>#DIV/0!</v>
      </c>
      <c r="W153" s="59">
        <f>W152+0.01</f>
        <v>0.69000000000000039</v>
      </c>
      <c r="X153" s="60" t="e">
        <f t="shared" si="7"/>
        <v>#DIV/0!</v>
      </c>
      <c r="Y153" s="61">
        <f t="shared" si="8"/>
        <v>0</v>
      </c>
      <c r="Z153" s="59">
        <f t="shared" si="9"/>
        <v>1.3800000000000008</v>
      </c>
      <c r="AA153" s="62">
        <f t="shared" si="10"/>
        <v>0</v>
      </c>
    </row>
    <row r="154" spans="22:27">
      <c r="V154" s="58" t="e">
        <f t="shared" si="6"/>
        <v>#DIV/0!</v>
      </c>
      <c r="W154" s="59">
        <f>W153+0.01</f>
        <v>0.7000000000000004</v>
      </c>
      <c r="X154" s="60" t="e">
        <f t="shared" si="7"/>
        <v>#DIV/0!</v>
      </c>
      <c r="Y154" s="61">
        <f t="shared" si="8"/>
        <v>0</v>
      </c>
      <c r="Z154" s="59">
        <f t="shared" si="9"/>
        <v>1.4000000000000008</v>
      </c>
      <c r="AA154" s="62">
        <f t="shared" si="10"/>
        <v>0</v>
      </c>
    </row>
    <row r="155" spans="22:27">
      <c r="V155" s="58" t="e">
        <f t="shared" si="6"/>
        <v>#DIV/0!</v>
      </c>
      <c r="W155" s="36">
        <v>1</v>
      </c>
      <c r="X155" s="60" t="e">
        <f t="shared" si="7"/>
        <v>#DIV/0!</v>
      </c>
      <c r="Y155" s="61">
        <f t="shared" si="8"/>
        <v>0</v>
      </c>
      <c r="Z155" s="59">
        <f t="shared" si="9"/>
        <v>2</v>
      </c>
      <c r="AA155" s="62">
        <f t="shared" si="10"/>
        <v>0</v>
      </c>
    </row>
    <row r="156" spans="22:27">
      <c r="V156" s="58" t="e">
        <f t="shared" si="6"/>
        <v>#DIV/0!</v>
      </c>
      <c r="W156" s="59">
        <f>W155+0.25</f>
        <v>1.25</v>
      </c>
      <c r="X156" s="60" t="e">
        <f t="shared" si="7"/>
        <v>#DIV/0!</v>
      </c>
      <c r="Y156" s="61">
        <f>W$80*(W156)+(X$80*(W156)^2)</f>
        <v>0</v>
      </c>
      <c r="Z156" s="59">
        <f>W$80+2*(W156)*(1+(X$80^2))^0.5</f>
        <v>2.5</v>
      </c>
      <c r="AA156" s="62">
        <f t="shared" si="10"/>
        <v>0</v>
      </c>
    </row>
    <row r="157" spans="22:27">
      <c r="V157" s="58" t="e">
        <f t="shared" si="6"/>
        <v>#DIV/0!</v>
      </c>
      <c r="W157" s="59">
        <f>W156+0.25</f>
        <v>1.5</v>
      </c>
      <c r="X157" s="60" t="e">
        <f t="shared" si="7"/>
        <v>#DIV/0!</v>
      </c>
      <c r="Y157" s="61">
        <f>W$80*(W157)+(X$80*(W157)^2)</f>
        <v>0</v>
      </c>
      <c r="Z157" s="59">
        <f>W$80+2*(W157)*(1+(X$80^2))^0.5</f>
        <v>3</v>
      </c>
      <c r="AA157" s="62">
        <f t="shared" si="10"/>
        <v>0</v>
      </c>
    </row>
    <row r="158" spans="22:27">
      <c r="V158" s="58" t="e">
        <f t="shared" si="6"/>
        <v>#DIV/0!</v>
      </c>
      <c r="W158" s="59">
        <f>W157+0.25</f>
        <v>1.75</v>
      </c>
      <c r="X158" s="60" t="e">
        <f t="shared" si="7"/>
        <v>#DIV/0!</v>
      </c>
      <c r="Y158" s="61">
        <f>W$80*(W158)+(X$80*(W158)^2)</f>
        <v>0</v>
      </c>
      <c r="Z158" s="59">
        <f>W$80+2*(W158)*(1+(X$80^2))^0.5</f>
        <v>3.5</v>
      </c>
      <c r="AA158" s="62">
        <f t="shared" si="10"/>
        <v>0</v>
      </c>
    </row>
    <row r="159" spans="22:27">
      <c r="V159" s="58" t="e">
        <f t="shared" si="6"/>
        <v>#DIV/0!</v>
      </c>
      <c r="W159" s="59">
        <f>W158+0.25</f>
        <v>2</v>
      </c>
      <c r="X159" s="60" t="e">
        <f t="shared" si="7"/>
        <v>#DIV/0!</v>
      </c>
      <c r="Y159" s="61">
        <f>W$80*(W159)+(X$80*(W159)^2)</f>
        <v>0</v>
      </c>
      <c r="Z159" s="59">
        <f>W$80+2*(W159)*(1+(X$80^2))^0.5</f>
        <v>4</v>
      </c>
      <c r="AA159" s="62">
        <f t="shared" si="10"/>
        <v>0</v>
      </c>
    </row>
    <row r="160" spans="22:27">
      <c r="V160" s="58" t="e">
        <f t="shared" si="6"/>
        <v>#DIV/0!</v>
      </c>
      <c r="W160" s="59">
        <f>W159+0.25</f>
        <v>2.25</v>
      </c>
      <c r="X160" s="60" t="e">
        <f t="shared" si="7"/>
        <v>#DIV/0!</v>
      </c>
      <c r="Y160" s="61">
        <f>W$80*(W160)+(X$80*(W160)^2)</f>
        <v>0</v>
      </c>
      <c r="Z160" s="59">
        <f>W$80+2*(W160)*(1+(X$80^2))^0.5</f>
        <v>4.5</v>
      </c>
      <c r="AA160" s="62">
        <f t="shared" si="10"/>
        <v>0</v>
      </c>
    </row>
  </sheetData>
  <sheetProtection selectLockedCells="1"/>
  <mergeCells count="8">
    <mergeCell ref="C62:E62"/>
    <mergeCell ref="C63:E63"/>
    <mergeCell ref="C70:E70"/>
    <mergeCell ref="B46:E46"/>
    <mergeCell ref="B47:E47"/>
    <mergeCell ref="B51:E51"/>
    <mergeCell ref="B57:E57"/>
    <mergeCell ref="B58:E58"/>
  </mergeCells>
  <phoneticPr fontId="36" type="noConversion"/>
  <dataValidations count="1">
    <dataValidation type="list" allowBlank="1" showInputMessage="1" showErrorMessage="1" sqref="C32">
      <formula1>"Yes, No"</formula1>
    </dataValidation>
  </dataValidations>
  <pageMargins left="0.5" right="0.5" top="0.35" bottom="0.4" header="0.35" footer="0.4"/>
  <pageSetup scale="78" fitToHeight="0" orientation="landscape" r:id="rId1"/>
  <headerFooter alignWithMargins="0">
    <oddFooter>&amp;L&amp;8November 2010 Version</oddFooter>
  </headerFooter>
  <rowBreaks count="1" manualBreakCount="1">
    <brk id="39" max="4" man="1"/>
  </rowBreaks>
  <drawing r:id="rId2"/>
  <legacyDrawing r:id="rId3"/>
</worksheet>
</file>

<file path=xl/worksheets/sheet16.xml><?xml version="1.0" encoding="utf-8"?>
<worksheet xmlns="http://schemas.openxmlformats.org/spreadsheetml/2006/main" xmlns:r="http://schemas.openxmlformats.org/officeDocument/2006/relationships">
  <sheetPr codeName="Sheet10">
    <pageSetUpPr fitToPage="1"/>
  </sheetPr>
  <dimension ref="A1:K24"/>
  <sheetViews>
    <sheetView zoomScaleNormal="100" zoomScaleSheetLayoutView="50" workbookViewId="0">
      <selection activeCell="C9" sqref="C9"/>
    </sheetView>
  </sheetViews>
  <sheetFormatPr defaultColWidth="8.85546875" defaultRowHeight="12.75"/>
  <cols>
    <col min="2" max="2" width="24.7109375" customWidth="1"/>
    <col min="3" max="3" width="20" customWidth="1"/>
    <col min="4" max="4" width="4.140625" customWidth="1"/>
    <col min="5" max="5" width="42.42578125" customWidth="1"/>
    <col min="11" max="11" width="11.7109375" customWidth="1"/>
  </cols>
  <sheetData>
    <row r="1" spans="1:8" ht="15.75">
      <c r="A1" s="38" t="s">
        <v>269</v>
      </c>
    </row>
    <row r="2" spans="1:8">
      <c r="A2" t="s">
        <v>376</v>
      </c>
    </row>
    <row r="3" spans="1:8" s="44" customFormat="1">
      <c r="A3" s="1"/>
      <c r="C3"/>
      <c r="D3"/>
      <c r="E3"/>
    </row>
    <row r="4" spans="1:8">
      <c r="A4" s="1"/>
    </row>
    <row r="6" spans="1:8" ht="18" customHeight="1"/>
    <row r="7" spans="1:8">
      <c r="A7" s="1" t="s">
        <v>36</v>
      </c>
      <c r="H7" s="1"/>
    </row>
    <row r="8" spans="1:8" ht="13.5" thickBot="1">
      <c r="A8" s="1" t="s">
        <v>359</v>
      </c>
      <c r="B8" s="1"/>
      <c r="H8" s="1"/>
    </row>
    <row r="9" spans="1:8">
      <c r="A9" s="328">
        <v>1</v>
      </c>
      <c r="B9" s="5" t="s">
        <v>381</v>
      </c>
      <c r="C9" s="450"/>
      <c r="D9" s="289"/>
      <c r="E9" s="296" t="s">
        <v>378</v>
      </c>
    </row>
    <row r="10" spans="1:8" ht="13.5" thickBot="1">
      <c r="A10" s="328">
        <v>2</v>
      </c>
      <c r="B10" s="9" t="s">
        <v>377</v>
      </c>
      <c r="C10" s="298" t="str">
        <f>IF(C9&lt;60,"Yes", "No")</f>
        <v>Yes</v>
      </c>
      <c r="D10" s="290"/>
      <c r="E10" s="297"/>
    </row>
    <row r="11" spans="1:8" ht="13.5" thickBot="1">
      <c r="A11" s="369"/>
      <c r="C11" s="36"/>
    </row>
    <row r="12" spans="1:8" ht="13.5" thickBot="1">
      <c r="A12" s="328">
        <v>3</v>
      </c>
      <c r="B12" s="205" t="s">
        <v>379</v>
      </c>
      <c r="C12" s="299">
        <f>IF(C10="No", "VBS not suitable unless combined with other measure",IF(C9/2&lt;15,15,C9/2))</f>
        <v>15</v>
      </c>
      <c r="D12" s="300"/>
      <c r="E12" s="287" t="s">
        <v>378</v>
      </c>
    </row>
    <row r="13" spans="1:8">
      <c r="C13" s="36"/>
    </row>
    <row r="14" spans="1:8">
      <c r="A14" s="1" t="s">
        <v>33</v>
      </c>
    </row>
    <row r="15" spans="1:8">
      <c r="A15" s="44" t="s">
        <v>363</v>
      </c>
    </row>
    <row r="17" spans="1:11">
      <c r="A17" s="55" t="s">
        <v>758</v>
      </c>
    </row>
    <row r="18" spans="1:11" ht="38.1" customHeight="1">
      <c r="A18" s="386">
        <v>1</v>
      </c>
      <c r="B18" s="1541" t="s">
        <v>357</v>
      </c>
      <c r="C18" s="1541"/>
      <c r="D18" s="1541"/>
      <c r="E18" s="1541"/>
      <c r="F18" s="1535"/>
      <c r="G18" s="1535"/>
      <c r="H18" s="1535"/>
      <c r="I18" s="1535"/>
      <c r="J18" s="1535"/>
      <c r="K18" s="1535"/>
    </row>
    <row r="19" spans="1:11">
      <c r="A19" s="386">
        <v>2</v>
      </c>
      <c r="B19" s="1519" t="s">
        <v>380</v>
      </c>
      <c r="C19" s="1519"/>
      <c r="D19" s="1519"/>
      <c r="E19" s="1519"/>
    </row>
    <row r="20" spans="1:11" ht="24" customHeight="1">
      <c r="A20" s="386">
        <v>3</v>
      </c>
      <c r="B20" s="1519" t="s">
        <v>371</v>
      </c>
      <c r="C20" s="1519"/>
      <c r="D20" s="1519"/>
      <c r="E20" s="1519"/>
      <c r="F20" s="1535"/>
      <c r="G20" s="1535"/>
      <c r="H20" s="1535"/>
      <c r="I20" s="1535"/>
      <c r="J20" s="1535"/>
      <c r="K20" s="1535"/>
    </row>
    <row r="21" spans="1:11">
      <c r="A21" s="153"/>
      <c r="B21" s="153"/>
      <c r="C21" s="153"/>
      <c r="D21" s="153"/>
      <c r="E21" s="153"/>
    </row>
    <row r="22" spans="1:11">
      <c r="A22" s="324" t="s">
        <v>34</v>
      </c>
      <c r="B22" s="153"/>
      <c r="C22" s="153"/>
      <c r="D22" s="153"/>
      <c r="E22" s="153"/>
    </row>
    <row r="23" spans="1:11">
      <c r="A23" s="153"/>
      <c r="B23" s="295" t="s">
        <v>365</v>
      </c>
      <c r="C23" s="153" t="s">
        <v>375</v>
      </c>
      <c r="D23" s="153"/>
      <c r="E23" s="153"/>
    </row>
    <row r="24" spans="1:11">
      <c r="A24" s="153"/>
      <c r="B24" s="295" t="s">
        <v>366</v>
      </c>
      <c r="C24" s="391" t="s">
        <v>358</v>
      </c>
      <c r="D24" s="153"/>
      <c r="E24" s="153"/>
    </row>
  </sheetData>
  <sheetProtection selectLockedCells="1"/>
  <mergeCells count="3">
    <mergeCell ref="B19:E19"/>
    <mergeCell ref="B18:K18"/>
    <mergeCell ref="B20:K20"/>
  </mergeCells>
  <phoneticPr fontId="36" type="noConversion"/>
  <pageMargins left="0.5" right="0.5" top="0.35" bottom="0.4" header="0.35" footer="0.4"/>
  <pageSetup scale="83" fitToHeight="0" orientation="landscape" horizontalDpi="4294967292" verticalDpi="4294967292" r:id="rId1"/>
  <headerFooter alignWithMargins="0">
    <oddFooter>&amp;L&amp;8November 2010 Version</oddFooter>
  </headerFooter>
  <drawing r:id="rId2"/>
  <legacyDrawing r:id="rId3"/>
</worksheet>
</file>

<file path=xl/worksheets/sheet17.xml><?xml version="1.0" encoding="utf-8"?>
<worksheet xmlns="http://schemas.openxmlformats.org/spreadsheetml/2006/main" xmlns:r="http://schemas.openxmlformats.org/officeDocument/2006/relationships">
  <sheetPr codeName="Sheet11">
    <pageSetUpPr fitToPage="1"/>
  </sheetPr>
  <dimension ref="A1:M103"/>
  <sheetViews>
    <sheetView zoomScaleNormal="100" zoomScaleSheetLayoutView="50" workbookViewId="0">
      <selection activeCell="C9" sqref="C9"/>
    </sheetView>
  </sheetViews>
  <sheetFormatPr defaultColWidth="19.42578125" defaultRowHeight="12.75"/>
  <cols>
    <col min="1" max="1" width="9" customWidth="1"/>
    <col min="2" max="2" width="39.28515625" customWidth="1"/>
    <col min="3" max="3" width="14.42578125" customWidth="1"/>
    <col min="4" max="4" width="2.42578125" customWidth="1"/>
    <col min="5" max="5" width="71.85546875" customWidth="1"/>
    <col min="6" max="6" width="6.7109375" style="3" customWidth="1"/>
    <col min="7" max="7" width="15.42578125" customWidth="1"/>
    <col min="8" max="8" width="36.140625" customWidth="1"/>
    <col min="10" max="10" width="2.28515625" customWidth="1"/>
    <col min="11" max="11" width="65.7109375" customWidth="1"/>
  </cols>
  <sheetData>
    <row r="1" spans="1:13" ht="15.75">
      <c r="A1" s="38" t="s">
        <v>529</v>
      </c>
    </row>
    <row r="2" spans="1:13">
      <c r="A2" s="44" t="s">
        <v>325</v>
      </c>
    </row>
    <row r="3" spans="1:13" s="44" customFormat="1">
      <c r="A3" s="1"/>
      <c r="C3"/>
      <c r="D3"/>
      <c r="E3"/>
      <c r="F3" s="230"/>
    </row>
    <row r="4" spans="1:13">
      <c r="A4" s="1"/>
    </row>
    <row r="8" spans="1:13">
      <c r="A8" s="1" t="s">
        <v>36</v>
      </c>
      <c r="F8"/>
    </row>
    <row r="9" spans="1:13" ht="13.5" thickBot="1">
      <c r="A9" s="1" t="s">
        <v>564</v>
      </c>
      <c r="B9" s="1"/>
      <c r="F9"/>
    </row>
    <row r="10" spans="1:13">
      <c r="A10" s="328">
        <v>1</v>
      </c>
      <c r="B10" s="231" t="s">
        <v>356</v>
      </c>
      <c r="C10" s="451"/>
      <c r="D10" s="232"/>
      <c r="E10" s="233" t="s">
        <v>460</v>
      </c>
      <c r="F10"/>
    </row>
    <row r="11" spans="1:13">
      <c r="A11" s="328">
        <v>2</v>
      </c>
      <c r="B11" s="234" t="s">
        <v>566</v>
      </c>
      <c r="C11" s="452">
        <v>0.1</v>
      </c>
      <c r="D11" s="235"/>
      <c r="E11" s="236" t="s">
        <v>297</v>
      </c>
      <c r="F11"/>
    </row>
    <row r="12" spans="1:13">
      <c r="A12" s="328">
        <v>3</v>
      </c>
      <c r="B12" s="234" t="s">
        <v>300</v>
      </c>
      <c r="C12" s="238">
        <f>1-C11</f>
        <v>0.9</v>
      </c>
      <c r="D12" s="235"/>
      <c r="E12" s="239" t="s">
        <v>301</v>
      </c>
      <c r="F12"/>
      <c r="L12" s="7"/>
      <c r="M12" s="7"/>
    </row>
    <row r="13" spans="1:13">
      <c r="A13" s="328">
        <v>4</v>
      </c>
      <c r="B13" s="234" t="s">
        <v>303</v>
      </c>
      <c r="C13" s="240">
        <f>C11*C10</f>
        <v>0</v>
      </c>
      <c r="D13" s="235"/>
      <c r="E13" s="236" t="s">
        <v>460</v>
      </c>
      <c r="F13"/>
      <c r="L13" s="7"/>
      <c r="M13" s="7"/>
    </row>
    <row r="14" spans="1:13" ht="13.5" thickBot="1">
      <c r="A14" s="328"/>
      <c r="B14" s="242" t="s">
        <v>306</v>
      </c>
      <c r="C14" s="243">
        <f>C12*C10</f>
        <v>0</v>
      </c>
      <c r="D14" s="244"/>
      <c r="E14" s="245" t="s">
        <v>460</v>
      </c>
      <c r="F14"/>
      <c r="L14" s="7"/>
      <c r="M14" s="7"/>
    </row>
    <row r="15" spans="1:13" s="2" customFormat="1" ht="13.5" thickBot="1">
      <c r="A15" s="224"/>
      <c r="B15" s="237"/>
      <c r="C15" s="246"/>
      <c r="D15" s="237"/>
      <c r="E15" s="237"/>
    </row>
    <row r="16" spans="1:13">
      <c r="A16" s="388">
        <v>5</v>
      </c>
      <c r="B16" s="231" t="s">
        <v>253</v>
      </c>
      <c r="C16" s="451"/>
      <c r="D16" s="232"/>
      <c r="E16" s="233" t="s">
        <v>254</v>
      </c>
      <c r="F16"/>
      <c r="L16" s="7"/>
      <c r="M16" s="7"/>
    </row>
    <row r="17" spans="1:13">
      <c r="A17" s="388">
        <v>6</v>
      </c>
      <c r="B17" s="241" t="s">
        <v>304</v>
      </c>
      <c r="C17" s="453">
        <v>2.5</v>
      </c>
      <c r="D17" s="235"/>
      <c r="E17" s="239" t="s">
        <v>305</v>
      </c>
      <c r="F17"/>
      <c r="L17" s="7"/>
      <c r="M17" s="7"/>
    </row>
    <row r="18" spans="1:13">
      <c r="A18" s="388">
        <v>7</v>
      </c>
      <c r="B18" s="241" t="s">
        <v>296</v>
      </c>
      <c r="C18" s="453">
        <v>0.5</v>
      </c>
      <c r="D18" s="235"/>
      <c r="E18" s="239" t="s">
        <v>641</v>
      </c>
      <c r="F18"/>
      <c r="L18" s="7"/>
      <c r="M18" s="7"/>
    </row>
    <row r="19" spans="1:13">
      <c r="A19" s="388">
        <v>8</v>
      </c>
      <c r="B19" s="241" t="s">
        <v>251</v>
      </c>
      <c r="C19" s="240">
        <f>C17+C18</f>
        <v>3</v>
      </c>
      <c r="D19" s="235"/>
      <c r="E19" s="239" t="s">
        <v>252</v>
      </c>
      <c r="F19"/>
      <c r="L19" s="7"/>
      <c r="M19" s="7"/>
    </row>
    <row r="20" spans="1:13">
      <c r="A20" s="388">
        <v>9</v>
      </c>
      <c r="B20" s="241" t="s">
        <v>258</v>
      </c>
      <c r="C20" s="454"/>
      <c r="D20" s="235"/>
      <c r="E20" s="239" t="s">
        <v>785</v>
      </c>
      <c r="F20"/>
      <c r="L20" s="7"/>
      <c r="M20" s="7"/>
    </row>
    <row r="21" spans="1:13" ht="13.5" thickBot="1">
      <c r="A21" s="388">
        <v>10</v>
      </c>
      <c r="B21" s="242" t="s">
        <v>786</v>
      </c>
      <c r="C21" s="243">
        <f>C20+C18</f>
        <v>0.5</v>
      </c>
      <c r="D21" s="244"/>
      <c r="E21" s="245" t="s">
        <v>787</v>
      </c>
      <c r="F21"/>
      <c r="L21" s="2"/>
      <c r="M21" s="7"/>
    </row>
    <row r="22" spans="1:13" s="2" customFormat="1" ht="13.5" thickBot="1">
      <c r="A22" s="224"/>
      <c r="B22" s="237"/>
      <c r="C22" s="246"/>
      <c r="D22" s="237"/>
      <c r="E22" s="237"/>
      <c r="L22"/>
    </row>
    <row r="23" spans="1:13">
      <c r="A23" s="388">
        <v>11</v>
      </c>
      <c r="B23" s="249" t="s">
        <v>643</v>
      </c>
      <c r="C23" s="455">
        <v>0.35</v>
      </c>
      <c r="D23" s="251"/>
      <c r="E23" s="252" t="s">
        <v>644</v>
      </c>
      <c r="F23"/>
    </row>
    <row r="24" spans="1:13">
      <c r="A24" s="388">
        <v>12</v>
      </c>
      <c r="B24" s="254" t="s">
        <v>645</v>
      </c>
      <c r="C24" s="247" t="e">
        <f>C13/C16</f>
        <v>#DIV/0!</v>
      </c>
      <c r="D24" s="235"/>
      <c r="E24" s="239" t="s">
        <v>455</v>
      </c>
      <c r="F24"/>
      <c r="G24" s="255"/>
    </row>
    <row r="25" spans="1:13">
      <c r="A25" s="328"/>
      <c r="B25" s="254" t="s">
        <v>646</v>
      </c>
      <c r="C25" s="247">
        <f>C14/(C18*C23+C20)</f>
        <v>0</v>
      </c>
      <c r="D25" s="235"/>
      <c r="E25" s="239" t="s">
        <v>455</v>
      </c>
      <c r="F25"/>
      <c r="G25" s="255"/>
    </row>
    <row r="26" spans="1:13">
      <c r="A26" s="328">
        <v>13</v>
      </c>
      <c r="B26" s="241" t="s">
        <v>3</v>
      </c>
      <c r="C26" s="456"/>
      <c r="D26" s="235"/>
      <c r="E26" s="236" t="s">
        <v>5</v>
      </c>
      <c r="F26"/>
      <c r="G26" s="255"/>
    </row>
    <row r="27" spans="1:13">
      <c r="A27" s="328">
        <v>14</v>
      </c>
      <c r="B27" s="241" t="s">
        <v>4</v>
      </c>
      <c r="C27" s="247" t="e">
        <f>C25/C26</f>
        <v>#DIV/0!</v>
      </c>
      <c r="D27" s="235"/>
      <c r="E27" s="236" t="s">
        <v>5</v>
      </c>
      <c r="F27"/>
      <c r="G27" s="255"/>
    </row>
    <row r="28" spans="1:13" ht="13.5" thickBot="1">
      <c r="A28" s="328">
        <v>15</v>
      </c>
      <c r="B28" s="256" t="s">
        <v>116</v>
      </c>
      <c r="C28" s="257" t="e">
        <f>C27/C26</f>
        <v>#DIV/0!</v>
      </c>
      <c r="D28" s="244"/>
      <c r="E28" s="227"/>
      <c r="F28"/>
      <c r="G28" s="4"/>
      <c r="L28" s="255"/>
    </row>
    <row r="29" spans="1:13" s="255" customFormat="1" ht="13.5" thickBot="1">
      <c r="A29" s="369"/>
      <c r="B29" s="230"/>
      <c r="C29" s="258"/>
      <c r="D29" s="230"/>
      <c r="E29" s="230"/>
    </row>
    <row r="30" spans="1:13" s="255" customFormat="1">
      <c r="A30" s="328">
        <v>16</v>
      </c>
      <c r="B30" s="249" t="s">
        <v>298</v>
      </c>
      <c r="C30" s="455">
        <v>2000</v>
      </c>
      <c r="D30" s="251"/>
      <c r="E30" s="252" t="s">
        <v>299</v>
      </c>
    </row>
    <row r="31" spans="1:13" s="255" customFormat="1">
      <c r="A31" s="328">
        <v>17</v>
      </c>
      <c r="B31" s="234" t="s">
        <v>307</v>
      </c>
      <c r="C31" s="259" t="e">
        <f>(C19*C26)*(C30/86400)*(C21/2)/C27</f>
        <v>#DIV/0!</v>
      </c>
      <c r="D31" s="237"/>
      <c r="E31" s="236" t="s">
        <v>735</v>
      </c>
    </row>
    <row r="32" spans="1:13" s="255" customFormat="1" ht="13.5" thickBot="1">
      <c r="A32" s="328">
        <v>18</v>
      </c>
      <c r="B32" s="191" t="s">
        <v>710</v>
      </c>
      <c r="C32" s="248" t="e">
        <f>C10/C31/3600</f>
        <v>#DIV/0!</v>
      </c>
      <c r="D32" s="253"/>
      <c r="E32" s="227" t="s">
        <v>308</v>
      </c>
      <c r="G32"/>
      <c r="H32" s="260"/>
      <c r="I32" s="260"/>
      <c r="J32" s="260"/>
      <c r="K32" s="260"/>
    </row>
    <row r="33" spans="1:12" s="255" customFormat="1" hidden="1">
      <c r="B33" s="237" t="s">
        <v>309</v>
      </c>
      <c r="C33" s="261">
        <f>C10/0.9/0.75*12</f>
        <v>0</v>
      </c>
      <c r="D33" s="237"/>
      <c r="E33" s="237" t="s">
        <v>727</v>
      </c>
      <c r="G33"/>
      <c r="H33" s="237" t="s">
        <v>248</v>
      </c>
      <c r="I33" s="304">
        <f>C39/0.9/0.2</f>
        <v>0</v>
      </c>
      <c r="J33" s="44"/>
      <c r="K33" s="44" t="s">
        <v>474</v>
      </c>
    </row>
    <row r="34" spans="1:12" s="255" customFormat="1" hidden="1">
      <c r="B34" s="237" t="s">
        <v>249</v>
      </c>
      <c r="C34" s="262" t="e">
        <f>(C24+C25)/C33</f>
        <v>#DIV/0!</v>
      </c>
      <c r="D34" s="237"/>
      <c r="E34" s="237"/>
      <c r="G34"/>
      <c r="H34" s="237" t="s">
        <v>248</v>
      </c>
      <c r="I34" s="44">
        <f>I33*43560</f>
        <v>0</v>
      </c>
      <c r="J34" s="44"/>
      <c r="K34" s="44" t="s">
        <v>727</v>
      </c>
      <c r="L34"/>
    </row>
    <row r="35" spans="1:12" hidden="1">
      <c r="C35" s="44"/>
      <c r="D35" s="44"/>
      <c r="E35" s="44"/>
      <c r="H35" s="237" t="s">
        <v>250</v>
      </c>
      <c r="I35" s="263" t="e">
        <f>C48/I34</f>
        <v>#DIV/0!</v>
      </c>
      <c r="J35" s="44"/>
      <c r="K35" s="44"/>
    </row>
    <row r="36" spans="1:12" hidden="1">
      <c r="C36" s="44"/>
      <c r="D36" s="44"/>
      <c r="E36" s="44"/>
      <c r="H36" s="237" t="s">
        <v>116</v>
      </c>
      <c r="I36" s="303" t="e">
        <f>C41/C47</f>
        <v>#DIV/0!</v>
      </c>
      <c r="J36" s="237"/>
      <c r="K36" s="237"/>
    </row>
    <row r="37" spans="1:12">
      <c r="C37" s="44"/>
      <c r="D37" s="44"/>
      <c r="E37" s="44"/>
      <c r="H37" s="237"/>
      <c r="I37" s="303"/>
      <c r="J37" s="237"/>
      <c r="K37" s="237"/>
    </row>
    <row r="38" spans="1:12" ht="13.5" thickBot="1">
      <c r="A38" s="1" t="s">
        <v>384</v>
      </c>
      <c r="H38" s="237"/>
      <c r="I38" s="303"/>
      <c r="J38" s="237"/>
      <c r="K38" s="237"/>
    </row>
    <row r="39" spans="1:12">
      <c r="A39" s="328">
        <v>19</v>
      </c>
      <c r="B39" s="231" t="s">
        <v>354</v>
      </c>
      <c r="C39" s="451"/>
      <c r="D39" s="232"/>
      <c r="E39" s="233" t="s">
        <v>565</v>
      </c>
      <c r="H39" s="237"/>
      <c r="I39" s="303"/>
      <c r="J39" s="237"/>
      <c r="K39" s="237"/>
    </row>
    <row r="40" spans="1:12">
      <c r="A40" s="328">
        <v>20</v>
      </c>
      <c r="B40" s="234" t="s">
        <v>298</v>
      </c>
      <c r="C40" s="453">
        <v>2000</v>
      </c>
      <c r="D40" s="237"/>
      <c r="E40" s="236" t="s">
        <v>299</v>
      </c>
      <c r="H40" s="237"/>
      <c r="I40" s="303"/>
      <c r="J40" s="237"/>
      <c r="K40" s="237"/>
    </row>
    <row r="41" spans="1:12">
      <c r="A41" s="328">
        <v>21</v>
      </c>
      <c r="B41" s="234" t="s">
        <v>302</v>
      </c>
      <c r="C41" s="454"/>
      <c r="D41" s="235"/>
      <c r="E41" s="239" t="s">
        <v>579</v>
      </c>
      <c r="H41" s="237"/>
      <c r="I41" s="303"/>
      <c r="J41" s="237"/>
      <c r="K41" s="237"/>
    </row>
    <row r="42" spans="1:12">
      <c r="A42" s="328">
        <v>22</v>
      </c>
      <c r="B42" s="241" t="s">
        <v>304</v>
      </c>
      <c r="C42" s="453">
        <v>2.5</v>
      </c>
      <c r="D42" s="235"/>
      <c r="E42" s="239" t="s">
        <v>305</v>
      </c>
      <c r="H42" s="237"/>
      <c r="I42" s="303"/>
      <c r="J42" s="237"/>
      <c r="K42" s="237"/>
    </row>
    <row r="43" spans="1:12">
      <c r="A43" s="328">
        <v>23</v>
      </c>
      <c r="B43" s="241" t="s">
        <v>296</v>
      </c>
      <c r="C43" s="453">
        <v>0.5</v>
      </c>
      <c r="D43" s="235"/>
      <c r="E43" s="239" t="s">
        <v>641</v>
      </c>
      <c r="H43" s="237"/>
      <c r="I43" s="303"/>
      <c r="J43" s="237"/>
      <c r="K43" s="237"/>
    </row>
    <row r="44" spans="1:12" ht="13.5" thickBot="1">
      <c r="A44" s="328">
        <v>24</v>
      </c>
      <c r="B44" s="242" t="s">
        <v>251</v>
      </c>
      <c r="C44" s="243">
        <f>C43+C42</f>
        <v>3</v>
      </c>
      <c r="D44" s="244"/>
      <c r="E44" s="245" t="s">
        <v>252</v>
      </c>
      <c r="H44" s="237"/>
      <c r="I44" s="303"/>
      <c r="J44" s="237"/>
      <c r="K44" s="237"/>
    </row>
    <row r="45" spans="1:12" ht="13.5" thickBot="1">
      <c r="A45" s="369"/>
      <c r="H45" s="237"/>
      <c r="I45" s="303"/>
      <c r="J45" s="237"/>
      <c r="K45" s="237"/>
    </row>
    <row r="46" spans="1:12">
      <c r="A46" s="328">
        <v>25</v>
      </c>
      <c r="B46" s="249" t="s">
        <v>255</v>
      </c>
      <c r="C46" s="301" t="e">
        <f>(C39*86400)/(C40*C43/C41)</f>
        <v>#DIV/0!</v>
      </c>
      <c r="D46" s="232"/>
      <c r="E46" s="233" t="s">
        <v>455</v>
      </c>
      <c r="H46" s="237"/>
      <c r="I46" s="303"/>
      <c r="J46" s="237"/>
      <c r="K46" s="237"/>
    </row>
    <row r="47" spans="1:12">
      <c r="A47" s="328"/>
      <c r="B47" s="234" t="s">
        <v>256</v>
      </c>
      <c r="C47" s="302" t="e">
        <f>C46/C44</f>
        <v>#DIV/0!</v>
      </c>
      <c r="D47" s="235"/>
      <c r="E47" s="239" t="s">
        <v>5</v>
      </c>
      <c r="H47" s="237"/>
      <c r="I47" s="303"/>
      <c r="J47" s="237"/>
      <c r="K47" s="237"/>
    </row>
    <row r="48" spans="1:12" ht="13.5" thickBot="1">
      <c r="A48" s="328">
        <v>26</v>
      </c>
      <c r="B48" s="191" t="s">
        <v>257</v>
      </c>
      <c r="C48" s="248" t="e">
        <f>C47*C41</f>
        <v>#DIV/0!</v>
      </c>
      <c r="D48" s="244"/>
      <c r="E48" s="245" t="s">
        <v>455</v>
      </c>
      <c r="H48" s="237"/>
      <c r="I48" s="303"/>
      <c r="J48" s="237"/>
      <c r="K48" s="237"/>
    </row>
    <row r="49" spans="1:11" ht="13.5" thickBot="1">
      <c r="A49" s="369"/>
      <c r="H49" s="237"/>
      <c r="I49" s="303"/>
      <c r="J49" s="237"/>
      <c r="K49" s="237"/>
    </row>
    <row r="50" spans="1:11">
      <c r="A50" s="328">
        <v>27</v>
      </c>
      <c r="B50" s="249" t="s">
        <v>788</v>
      </c>
      <c r="C50" s="250" t="e">
        <f>(C46)*(C40/86400)*C43/C41/C46</f>
        <v>#DIV/0!</v>
      </c>
      <c r="D50" s="251"/>
      <c r="E50" s="252" t="s">
        <v>361</v>
      </c>
      <c r="H50" s="237"/>
      <c r="I50" s="303"/>
      <c r="J50" s="237"/>
      <c r="K50" s="237"/>
    </row>
    <row r="51" spans="1:11" ht="13.5" thickBot="1">
      <c r="A51" s="328">
        <v>28</v>
      </c>
      <c r="B51" s="191" t="s">
        <v>9</v>
      </c>
      <c r="C51" s="248" t="e">
        <f>C41/(C50)/3600</f>
        <v>#DIV/0!</v>
      </c>
      <c r="D51" s="253"/>
      <c r="E51" s="227" t="s">
        <v>642</v>
      </c>
      <c r="H51" s="237"/>
      <c r="I51" s="303"/>
      <c r="J51" s="237"/>
      <c r="K51" s="237"/>
    </row>
    <row r="52" spans="1:11">
      <c r="C52" s="44"/>
      <c r="D52" s="44"/>
      <c r="E52" s="44"/>
      <c r="H52" s="237"/>
      <c r="I52" s="303"/>
      <c r="J52" s="237"/>
      <c r="K52" s="237"/>
    </row>
    <row r="53" spans="1:11">
      <c r="A53" s="1" t="s">
        <v>33</v>
      </c>
      <c r="F53"/>
    </row>
    <row r="54" spans="1:11" ht="26.1" customHeight="1">
      <c r="A54" s="1517" t="s">
        <v>382</v>
      </c>
      <c r="B54" s="1492"/>
      <c r="C54" s="1492"/>
      <c r="D54" s="1492"/>
      <c r="E54" s="1492"/>
      <c r="F54" s="291"/>
    </row>
    <row r="55" spans="1:11" ht="24.75" customHeight="1">
      <c r="A55" s="1536" t="s">
        <v>383</v>
      </c>
      <c r="B55" s="1492"/>
      <c r="C55" s="1492"/>
      <c r="D55" s="1492"/>
      <c r="E55" s="1492"/>
      <c r="F55" s="44"/>
    </row>
    <row r="56" spans="1:11">
      <c r="F56"/>
    </row>
    <row r="57" spans="1:11">
      <c r="A57" s="55" t="s">
        <v>758</v>
      </c>
      <c r="F57"/>
    </row>
    <row r="58" spans="1:11">
      <c r="A58" s="1" t="s">
        <v>312</v>
      </c>
      <c r="F58"/>
    </row>
    <row r="59" spans="1:11" ht="25.5" customHeight="1">
      <c r="A59" s="386">
        <v>1</v>
      </c>
      <c r="B59" s="1541" t="s">
        <v>550</v>
      </c>
      <c r="C59" s="1519"/>
      <c r="D59" s="1519"/>
      <c r="E59" s="1519"/>
      <c r="F59"/>
    </row>
    <row r="60" spans="1:11">
      <c r="A60" s="386">
        <v>2</v>
      </c>
      <c r="B60" s="1541" t="s">
        <v>313</v>
      </c>
      <c r="C60" s="1519"/>
      <c r="D60" s="1519"/>
      <c r="E60" s="1519"/>
      <c r="F60" s="180"/>
    </row>
    <row r="61" spans="1:11">
      <c r="A61" s="386">
        <v>3</v>
      </c>
      <c r="B61" s="1541" t="s">
        <v>314</v>
      </c>
      <c r="C61" s="1519"/>
      <c r="D61" s="1519"/>
      <c r="E61" s="1519"/>
      <c r="F61" s="180"/>
    </row>
    <row r="62" spans="1:11">
      <c r="A62" s="386">
        <v>4</v>
      </c>
      <c r="B62" s="1541" t="s">
        <v>244</v>
      </c>
      <c r="C62" s="1519"/>
      <c r="D62" s="1519"/>
      <c r="E62" s="1519"/>
      <c r="F62" s="180"/>
    </row>
    <row r="63" spans="1:11">
      <c r="A63" s="386">
        <v>5</v>
      </c>
      <c r="B63" s="1541" t="s">
        <v>360</v>
      </c>
      <c r="C63" s="1519"/>
      <c r="D63" s="1519"/>
      <c r="E63" s="1519"/>
      <c r="F63" s="180"/>
    </row>
    <row r="64" spans="1:11">
      <c r="A64" s="386">
        <v>6</v>
      </c>
      <c r="B64" s="1541" t="s">
        <v>245</v>
      </c>
      <c r="C64" s="1519"/>
      <c r="D64" s="1519"/>
      <c r="E64" s="1519"/>
      <c r="F64" s="180"/>
    </row>
    <row r="65" spans="1:6" ht="24" customHeight="1">
      <c r="A65" s="386">
        <v>7</v>
      </c>
      <c r="B65" s="1541" t="s">
        <v>40</v>
      </c>
      <c r="C65" s="1519"/>
      <c r="D65" s="1519"/>
      <c r="E65" s="1519"/>
      <c r="F65" s="180"/>
    </row>
    <row r="66" spans="1:6">
      <c r="A66" s="386">
        <v>8</v>
      </c>
      <c r="B66" s="1541" t="s">
        <v>503</v>
      </c>
      <c r="C66" s="1519"/>
      <c r="D66" s="1519"/>
      <c r="E66" s="1519"/>
      <c r="F66" s="180"/>
    </row>
    <row r="67" spans="1:6" ht="26.1" customHeight="1">
      <c r="A67" s="386">
        <v>9</v>
      </c>
      <c r="B67" s="1541" t="s">
        <v>39</v>
      </c>
      <c r="C67" s="1519"/>
      <c r="D67" s="1519"/>
      <c r="E67" s="1519"/>
      <c r="F67" s="180"/>
    </row>
    <row r="68" spans="1:6">
      <c r="A68" s="386">
        <v>10</v>
      </c>
      <c r="B68" s="1541" t="s">
        <v>271</v>
      </c>
      <c r="C68" s="1519"/>
      <c r="D68" s="1519"/>
      <c r="E68" s="1519"/>
      <c r="F68" s="180"/>
    </row>
    <row r="69" spans="1:6">
      <c r="A69" s="386">
        <v>11</v>
      </c>
      <c r="B69" s="1541" t="s">
        <v>272</v>
      </c>
      <c r="C69" s="1519"/>
      <c r="D69" s="1519"/>
      <c r="E69" s="1519"/>
      <c r="F69" s="180"/>
    </row>
    <row r="70" spans="1:6">
      <c r="A70" s="386">
        <v>12</v>
      </c>
      <c r="B70" s="1541" t="s">
        <v>333</v>
      </c>
      <c r="C70" s="1519"/>
      <c r="D70" s="1519"/>
      <c r="E70" s="1519"/>
      <c r="F70" s="180"/>
    </row>
    <row r="71" spans="1:6">
      <c r="A71" s="386">
        <v>13</v>
      </c>
      <c r="B71" s="1541" t="s">
        <v>781</v>
      </c>
      <c r="C71" s="1519"/>
      <c r="D71" s="1519"/>
      <c r="E71" s="1519"/>
      <c r="F71" s="180"/>
    </row>
    <row r="72" spans="1:6">
      <c r="A72" s="386">
        <v>14</v>
      </c>
      <c r="B72" s="1541" t="s">
        <v>782</v>
      </c>
      <c r="C72" s="1519"/>
      <c r="D72" s="1519"/>
      <c r="E72" s="1519"/>
      <c r="F72" s="180"/>
    </row>
    <row r="73" spans="1:6">
      <c r="A73" s="386">
        <v>15</v>
      </c>
      <c r="B73" s="1541" t="s">
        <v>783</v>
      </c>
      <c r="C73" s="1519"/>
      <c r="D73" s="1519"/>
      <c r="E73" s="1519"/>
      <c r="F73" s="180"/>
    </row>
    <row r="74" spans="1:6">
      <c r="A74" s="386">
        <v>16</v>
      </c>
      <c r="B74" s="1541" t="s">
        <v>784</v>
      </c>
      <c r="C74" s="1519"/>
      <c r="D74" s="1519"/>
      <c r="E74" s="1519"/>
      <c r="F74" s="180"/>
    </row>
    <row r="75" spans="1:6">
      <c r="A75" s="386">
        <v>17</v>
      </c>
      <c r="B75" s="1541" t="s">
        <v>344</v>
      </c>
      <c r="C75" s="1519"/>
      <c r="D75" s="1519"/>
      <c r="E75" s="1519"/>
      <c r="F75" s="180"/>
    </row>
    <row r="76" spans="1:6" ht="24.75" customHeight="1">
      <c r="A76" s="386">
        <v>18</v>
      </c>
      <c r="B76" s="1541" t="s">
        <v>270</v>
      </c>
      <c r="C76" s="1519"/>
      <c r="D76" s="1519"/>
      <c r="E76" s="1519"/>
      <c r="F76" s="180"/>
    </row>
    <row r="77" spans="1:6">
      <c r="A77" s="153"/>
      <c r="B77" s="153"/>
      <c r="C77" s="153"/>
      <c r="D77" s="153"/>
      <c r="E77" s="153"/>
      <c r="F77"/>
    </row>
    <row r="78" spans="1:6">
      <c r="A78" s="324" t="s">
        <v>794</v>
      </c>
      <c r="B78" s="153"/>
      <c r="C78" s="153"/>
      <c r="D78" s="153"/>
      <c r="E78" s="153"/>
      <c r="F78"/>
    </row>
    <row r="79" spans="1:6" ht="26.1" customHeight="1">
      <c r="A79" s="386">
        <v>19</v>
      </c>
      <c r="B79" s="1541" t="s">
        <v>548</v>
      </c>
      <c r="C79" s="1519"/>
      <c r="D79" s="1519"/>
      <c r="E79" s="1519"/>
      <c r="F79"/>
    </row>
    <row r="80" spans="1:6">
      <c r="A80" s="386">
        <v>20</v>
      </c>
      <c r="B80" s="1541" t="s">
        <v>784</v>
      </c>
      <c r="C80" s="1519"/>
      <c r="D80" s="1519"/>
      <c r="E80" s="1519"/>
      <c r="F80"/>
    </row>
    <row r="81" spans="1:6">
      <c r="A81" s="386">
        <v>21</v>
      </c>
      <c r="B81" s="1541" t="s">
        <v>282</v>
      </c>
      <c r="C81" s="1519"/>
      <c r="D81" s="1519"/>
      <c r="E81" s="1519"/>
      <c r="F81"/>
    </row>
    <row r="82" spans="1:6">
      <c r="A82" s="386">
        <v>22</v>
      </c>
      <c r="B82" s="1541" t="s">
        <v>245</v>
      </c>
      <c r="C82" s="1519"/>
      <c r="D82" s="1519"/>
      <c r="E82" s="1519"/>
      <c r="F82"/>
    </row>
    <row r="83" spans="1:6" ht="27" customHeight="1">
      <c r="A83" s="386">
        <v>23</v>
      </c>
      <c r="B83" s="1541" t="s">
        <v>40</v>
      </c>
      <c r="C83" s="1519"/>
      <c r="D83" s="1519"/>
      <c r="E83" s="1519"/>
      <c r="F83"/>
    </row>
    <row r="84" spans="1:6">
      <c r="A84" s="386">
        <v>24</v>
      </c>
      <c r="B84" s="1541" t="s">
        <v>367</v>
      </c>
      <c r="C84" s="1519"/>
      <c r="D84" s="1519"/>
      <c r="E84" s="1519"/>
      <c r="F84"/>
    </row>
    <row r="85" spans="1:6">
      <c r="A85" s="386">
        <v>25</v>
      </c>
      <c r="B85" s="1541" t="s">
        <v>283</v>
      </c>
      <c r="C85" s="1519"/>
      <c r="D85" s="1519"/>
      <c r="E85" s="1519"/>
      <c r="F85"/>
    </row>
    <row r="86" spans="1:6">
      <c r="A86" s="386">
        <v>26</v>
      </c>
      <c r="B86" s="1541" t="s">
        <v>284</v>
      </c>
      <c r="C86" s="1519"/>
      <c r="D86" s="1519"/>
      <c r="E86" s="1519"/>
      <c r="F86"/>
    </row>
    <row r="87" spans="1:6">
      <c r="A87" s="386">
        <v>27</v>
      </c>
      <c r="B87" s="1541" t="s">
        <v>285</v>
      </c>
      <c r="C87" s="1519"/>
      <c r="D87" s="1519"/>
      <c r="E87" s="1519"/>
      <c r="F87"/>
    </row>
    <row r="88" spans="1:6" ht="24.75" customHeight="1">
      <c r="A88" s="386">
        <v>28</v>
      </c>
      <c r="B88" s="1541" t="s">
        <v>528</v>
      </c>
      <c r="C88" s="1519"/>
      <c r="D88" s="1519"/>
      <c r="E88" s="1519"/>
      <c r="F88"/>
    </row>
    <row r="89" spans="1:6">
      <c r="A89" s="153"/>
      <c r="B89" s="153"/>
      <c r="C89" s="153"/>
      <c r="D89" s="153"/>
      <c r="E89" s="153"/>
      <c r="F89"/>
    </row>
    <row r="90" spans="1:6">
      <c r="A90" s="324" t="s">
        <v>34</v>
      </c>
      <c r="B90" s="391"/>
      <c r="C90" s="391"/>
      <c r="D90" s="391"/>
      <c r="E90" s="391"/>
    </row>
    <row r="91" spans="1:6" ht="26.1" customHeight="1">
      <c r="A91" s="153"/>
      <c r="B91" s="295" t="s">
        <v>332</v>
      </c>
      <c r="C91" s="1519" t="s">
        <v>677</v>
      </c>
      <c r="D91" s="1519"/>
      <c r="E91" s="1519"/>
      <c r="F91" s="66"/>
    </row>
    <row r="92" spans="1:6" ht="24" customHeight="1">
      <c r="A92" s="153"/>
      <c r="B92" s="295" t="s">
        <v>117</v>
      </c>
      <c r="C92" s="1519" t="s">
        <v>547</v>
      </c>
      <c r="D92" s="1519"/>
      <c r="E92" s="1519"/>
      <c r="F92" s="66"/>
    </row>
    <row r="93" spans="1:6" ht="12.75" customHeight="1">
      <c r="A93" s="153"/>
      <c r="B93" s="305" t="s">
        <v>246</v>
      </c>
      <c r="C93" s="1519" t="s">
        <v>247</v>
      </c>
      <c r="D93" s="1519"/>
      <c r="E93" s="1519"/>
      <c r="F93" s="66"/>
    </row>
    <row r="94" spans="1:6" ht="24" customHeight="1">
      <c r="A94" s="153"/>
      <c r="B94" s="305" t="s">
        <v>266</v>
      </c>
      <c r="C94" s="1519" t="s">
        <v>345</v>
      </c>
      <c r="D94" s="1519"/>
      <c r="E94" s="1519"/>
      <c r="F94" s="66"/>
    </row>
    <row r="95" spans="1:6" ht="12.75" customHeight="1">
      <c r="A95" s="153"/>
      <c r="B95" s="305" t="s">
        <v>346</v>
      </c>
      <c r="C95" s="1519" t="s">
        <v>790</v>
      </c>
      <c r="D95" s="1519"/>
      <c r="E95" s="1519"/>
      <c r="F95" s="66"/>
    </row>
    <row r="96" spans="1:6" ht="12.75" customHeight="1">
      <c r="A96" s="153"/>
      <c r="B96" s="305" t="s">
        <v>214</v>
      </c>
      <c r="C96" s="1519" t="s">
        <v>186</v>
      </c>
      <c r="D96" s="1519"/>
      <c r="E96" s="1519"/>
      <c r="F96" s="66"/>
    </row>
    <row r="97" spans="1:6" ht="26.25" customHeight="1">
      <c r="A97" s="153"/>
      <c r="B97" s="305" t="s">
        <v>480</v>
      </c>
      <c r="C97" s="1519" t="s">
        <v>161</v>
      </c>
      <c r="D97" s="1519"/>
      <c r="E97" s="1519"/>
      <c r="F97" s="66"/>
    </row>
    <row r="98" spans="1:6" ht="12.75" customHeight="1">
      <c r="A98" s="153"/>
      <c r="B98" s="305" t="s">
        <v>4</v>
      </c>
      <c r="C98" s="1519" t="s">
        <v>791</v>
      </c>
      <c r="D98" s="1519"/>
      <c r="E98" s="1519"/>
      <c r="F98" s="66"/>
    </row>
    <row r="99" spans="1:6">
      <c r="A99" s="153"/>
      <c r="B99" s="305" t="s">
        <v>3</v>
      </c>
      <c r="C99" s="1519" t="s">
        <v>792</v>
      </c>
      <c r="D99" s="1519"/>
      <c r="E99" s="1519"/>
      <c r="F99" s="66"/>
    </row>
    <row r="100" spans="1:6" ht="12.75" customHeight="1">
      <c r="A100" s="153"/>
      <c r="B100" s="305" t="s">
        <v>85</v>
      </c>
      <c r="C100" s="1519" t="s">
        <v>286</v>
      </c>
      <c r="D100" s="1519"/>
      <c r="E100" s="1519"/>
      <c r="F100" s="66"/>
    </row>
    <row r="101" spans="1:6" ht="24.75" customHeight="1">
      <c r="A101" s="153"/>
      <c r="B101" s="305" t="s">
        <v>307</v>
      </c>
      <c r="C101" s="1519" t="s">
        <v>561</v>
      </c>
      <c r="D101" s="1519"/>
      <c r="E101" s="1519"/>
      <c r="F101" s="66"/>
    </row>
    <row r="102" spans="1:6" ht="12.75" customHeight="1">
      <c r="A102" s="153"/>
      <c r="B102" s="305" t="s">
        <v>484</v>
      </c>
      <c r="C102" s="1519" t="s">
        <v>89</v>
      </c>
      <c r="D102" s="1519"/>
      <c r="E102" s="1519"/>
      <c r="F102" s="66"/>
    </row>
    <row r="103" spans="1:6" ht="12.75" customHeight="1">
      <c r="A103" s="153"/>
      <c r="B103" s="305" t="s">
        <v>562</v>
      </c>
      <c r="C103" s="1519" t="s">
        <v>563</v>
      </c>
      <c r="D103" s="1519"/>
      <c r="E103" s="1519"/>
      <c r="F103" s="66"/>
    </row>
  </sheetData>
  <sheetProtection selectLockedCells="1"/>
  <mergeCells count="43">
    <mergeCell ref="C103:E103"/>
    <mergeCell ref="C97:E97"/>
    <mergeCell ref="C98:E98"/>
    <mergeCell ref="C99:E99"/>
    <mergeCell ref="C100:E100"/>
    <mergeCell ref="C101:E101"/>
    <mergeCell ref="C102:E102"/>
    <mergeCell ref="C96:E96"/>
    <mergeCell ref="B74:E74"/>
    <mergeCell ref="B71:E71"/>
    <mergeCell ref="B72:E72"/>
    <mergeCell ref="B76:E76"/>
    <mergeCell ref="B86:E86"/>
    <mergeCell ref="C93:E93"/>
    <mergeCell ref="C94:E94"/>
    <mergeCell ref="C92:E92"/>
    <mergeCell ref="C91:E91"/>
    <mergeCell ref="B75:E75"/>
    <mergeCell ref="B73:E73"/>
    <mergeCell ref="B84:E84"/>
    <mergeCell ref="C95:E95"/>
    <mergeCell ref="B85:E85"/>
    <mergeCell ref="B79:E79"/>
    <mergeCell ref="A54:E54"/>
    <mergeCell ref="A55:E55"/>
    <mergeCell ref="B64:E64"/>
    <mergeCell ref="B70:E70"/>
    <mergeCell ref="B59:E59"/>
    <mergeCell ref="B60:E60"/>
    <mergeCell ref="B61:E61"/>
    <mergeCell ref="B62:E62"/>
    <mergeCell ref="B63:E63"/>
    <mergeCell ref="B65:E65"/>
    <mergeCell ref="B66:E66"/>
    <mergeCell ref="B67:E67"/>
    <mergeCell ref="B68:E68"/>
    <mergeCell ref="B69:E69"/>
    <mergeCell ref="B88:E88"/>
    <mergeCell ref="B81:E81"/>
    <mergeCell ref="B82:E82"/>
    <mergeCell ref="B83:E83"/>
    <mergeCell ref="B80:E80"/>
    <mergeCell ref="B87:E87"/>
  </mergeCells>
  <phoneticPr fontId="36" type="noConversion"/>
  <pageMargins left="0.5" right="0.5" top="0.35" bottom="0.4" header="0.35" footer="0.4"/>
  <pageSetup scale="95" fitToHeight="0" orientation="landscape" horizontalDpi="4294967292" verticalDpi="4294967292" r:id="rId1"/>
  <headerFooter alignWithMargins="0">
    <oddFooter>&amp;L&amp;8November 2010 Version</oddFooter>
  </headerFooter>
  <rowBreaks count="2" manualBreakCount="2">
    <brk id="52" max="16383" man="1"/>
    <brk id="89" max="16383" man="1"/>
  </rowBreaks>
  <drawing r:id="rId2"/>
  <legacyDrawing r:id="rId3"/>
</worksheet>
</file>

<file path=xl/worksheets/sheet18.xml><?xml version="1.0" encoding="utf-8"?>
<worksheet xmlns="http://schemas.openxmlformats.org/spreadsheetml/2006/main" xmlns:r="http://schemas.openxmlformats.org/officeDocument/2006/relationships">
  <sheetPr codeName="Sheet27">
    <pageSetUpPr fitToPage="1"/>
  </sheetPr>
  <dimension ref="A1:T93"/>
  <sheetViews>
    <sheetView zoomScale="85" zoomScaleNormal="85" zoomScaleSheetLayoutView="50" workbookViewId="0">
      <selection activeCell="C9" sqref="C9"/>
    </sheetView>
  </sheetViews>
  <sheetFormatPr defaultColWidth="8.85546875" defaultRowHeight="12.75"/>
  <cols>
    <col min="1" max="1" width="6.28515625" customWidth="1"/>
    <col min="2" max="2" width="41.140625" customWidth="1"/>
    <col min="3" max="3" width="10" bestFit="1" customWidth="1"/>
    <col min="4" max="4" width="1.42578125" customWidth="1"/>
    <col min="5" max="5" width="52.42578125" customWidth="1"/>
    <col min="6" max="6" width="5.85546875" customWidth="1"/>
    <col min="7" max="7" width="10.140625" customWidth="1"/>
    <col min="8" max="8" width="31.28515625" customWidth="1"/>
    <col min="10" max="10" width="4" customWidth="1"/>
    <col min="11" max="11" width="48.140625" customWidth="1"/>
  </cols>
  <sheetData>
    <row r="1" spans="1:6" ht="14.25" customHeight="1">
      <c r="A1" s="38" t="s">
        <v>819</v>
      </c>
    </row>
    <row r="2" spans="1:6">
      <c r="A2" s="32" t="s">
        <v>525</v>
      </c>
    </row>
    <row r="3" spans="1:6">
      <c r="A3" s="32" t="s">
        <v>721</v>
      </c>
    </row>
    <row r="9" spans="1:6">
      <c r="A9" s="327" t="s">
        <v>36</v>
      </c>
      <c r="E9" s="44"/>
    </row>
    <row r="10" spans="1:6" ht="13.5" thickBot="1">
      <c r="A10" s="1" t="s">
        <v>130</v>
      </c>
    </row>
    <row r="11" spans="1:6">
      <c r="A11" s="328">
        <v>1</v>
      </c>
      <c r="B11" s="48" t="s">
        <v>704</v>
      </c>
      <c r="C11" s="417"/>
      <c r="D11" s="15"/>
      <c r="E11" s="16" t="s">
        <v>460</v>
      </c>
      <c r="F11" s="7"/>
    </row>
    <row r="12" spans="1:6">
      <c r="A12" s="328">
        <v>2</v>
      </c>
      <c r="B12" s="88" t="s">
        <v>210</v>
      </c>
      <c r="C12" s="418"/>
      <c r="D12" s="7"/>
      <c r="E12" s="8"/>
      <c r="F12" s="7"/>
    </row>
    <row r="13" spans="1:6">
      <c r="A13" s="328">
        <v>3</v>
      </c>
      <c r="B13" s="88" t="s">
        <v>211</v>
      </c>
      <c r="C13" s="419"/>
      <c r="D13" s="7"/>
      <c r="E13" s="73" t="s">
        <v>674</v>
      </c>
      <c r="F13" s="7"/>
    </row>
    <row r="14" spans="1:6" ht="13.5" thickBot="1">
      <c r="A14" s="328">
        <v>4</v>
      </c>
      <c r="B14" s="206" t="s">
        <v>95</v>
      </c>
      <c r="C14" s="134" t="str">
        <f>IF(OR(C12="No",C13&lt;0.5),"Yes",IF(AND(C12="Yes",C13&gt;=0.5),"No"," "))</f>
        <v>Yes</v>
      </c>
      <c r="D14" s="10"/>
      <c r="E14" s="128"/>
      <c r="F14" s="7"/>
    </row>
    <row r="15" spans="1:6" ht="13.5" thickBot="1">
      <c r="B15" s="165"/>
      <c r="C15" s="136"/>
      <c r="D15" s="18"/>
      <c r="E15" s="135"/>
      <c r="F15" s="7"/>
    </row>
    <row r="16" spans="1:6">
      <c r="A16" s="328">
        <v>5</v>
      </c>
      <c r="B16" s="100" t="s">
        <v>859</v>
      </c>
      <c r="C16" s="417"/>
      <c r="D16" s="15"/>
      <c r="E16" s="127" t="s">
        <v>212</v>
      </c>
      <c r="F16" s="7"/>
    </row>
    <row r="17" spans="1:11">
      <c r="A17" s="328">
        <v>6</v>
      </c>
      <c r="B17" s="88" t="s">
        <v>860</v>
      </c>
      <c r="C17" s="425">
        <v>0.35</v>
      </c>
      <c r="D17" s="7"/>
      <c r="E17" s="74" t="s">
        <v>538</v>
      </c>
      <c r="F17" s="2"/>
    </row>
    <row r="18" spans="1:11">
      <c r="A18" s="328"/>
      <c r="B18" s="88" t="s">
        <v>861</v>
      </c>
      <c r="C18" s="425">
        <v>4</v>
      </c>
      <c r="D18" s="7"/>
      <c r="E18" s="74" t="s">
        <v>731</v>
      </c>
      <c r="F18" s="2"/>
    </row>
    <row r="19" spans="1:11" hidden="1">
      <c r="A19" s="328"/>
      <c r="B19" s="88" t="s">
        <v>215</v>
      </c>
      <c r="C19" s="77">
        <v>2</v>
      </c>
      <c r="D19" s="7"/>
      <c r="E19" s="74" t="s">
        <v>295</v>
      </c>
      <c r="F19" s="2"/>
    </row>
    <row r="20" spans="1:11">
      <c r="A20" s="328">
        <v>7</v>
      </c>
      <c r="B20" s="88" t="s">
        <v>489</v>
      </c>
      <c r="C20" s="418"/>
      <c r="D20" s="7"/>
      <c r="E20" s="74" t="s">
        <v>213</v>
      </c>
      <c r="F20" s="2"/>
    </row>
    <row r="21" spans="1:11" ht="13.5" thickBot="1">
      <c r="A21" s="328">
        <v>8</v>
      </c>
      <c r="B21" s="17" t="s">
        <v>540</v>
      </c>
      <c r="C21" s="429">
        <v>1</v>
      </c>
      <c r="D21" s="10"/>
      <c r="E21" s="128" t="s">
        <v>135</v>
      </c>
      <c r="F21" s="7"/>
    </row>
    <row r="22" spans="1:11" ht="13.5" thickBot="1">
      <c r="B22" s="2"/>
      <c r="C22" s="7"/>
      <c r="D22" s="7"/>
      <c r="E22" s="7"/>
      <c r="F22" s="7"/>
    </row>
    <row r="23" spans="1:11" ht="13.5" hidden="1" thickBot="1">
      <c r="B23" s="129" t="s">
        <v>92</v>
      </c>
      <c r="C23" s="182" t="e">
        <f>C21*C18/12*(C16+C20/2)/C16</f>
        <v>#DIV/0!</v>
      </c>
      <c r="D23" s="69"/>
      <c r="E23" s="149" t="s">
        <v>108</v>
      </c>
      <c r="F23" s="3"/>
    </row>
    <row r="24" spans="1:11">
      <c r="A24" s="328">
        <v>9</v>
      </c>
      <c r="B24" s="141" t="s">
        <v>0</v>
      </c>
      <c r="C24" s="138" t="e">
        <f>$C$11/(C20+C23)</f>
        <v>#DIV/0!</v>
      </c>
      <c r="D24" s="87"/>
      <c r="E24" s="33" t="s">
        <v>455</v>
      </c>
      <c r="F24" s="2"/>
    </row>
    <row r="25" spans="1:11">
      <c r="A25" s="328">
        <v>10</v>
      </c>
      <c r="B25" s="88" t="s">
        <v>217</v>
      </c>
      <c r="C25" s="420"/>
      <c r="D25" s="7"/>
      <c r="E25" s="73" t="s">
        <v>455</v>
      </c>
      <c r="F25" s="3"/>
    </row>
    <row r="26" spans="1:11" ht="13.5" thickBot="1">
      <c r="A26" s="328">
        <v>11</v>
      </c>
      <c r="B26" s="130" t="s">
        <v>94</v>
      </c>
      <c r="C26" s="209" t="e">
        <f>C24/C25</f>
        <v>#DIV/0!</v>
      </c>
      <c r="D26" s="10"/>
      <c r="E26" s="131" t="s">
        <v>587</v>
      </c>
      <c r="F26" s="3"/>
    </row>
    <row r="27" spans="1:11" ht="13.5" thickBot="1">
      <c r="B27" s="3"/>
    </row>
    <row r="28" spans="1:11" ht="13.5" thickBot="1">
      <c r="A28" s="328">
        <v>12</v>
      </c>
      <c r="B28" s="317" t="s">
        <v>684</v>
      </c>
      <c r="C28" s="318" t="str">
        <f>IF(C14="Yes","N/A",C11/(C24*C13/C19/12))</f>
        <v>N/A</v>
      </c>
      <c r="D28" s="18"/>
      <c r="E28" s="319" t="s">
        <v>101</v>
      </c>
      <c r="F28" s="3"/>
    </row>
    <row r="29" spans="1:11" hidden="1">
      <c r="B29" s="88" t="s">
        <v>690</v>
      </c>
      <c r="C29" s="190" t="e">
        <f>C$11*C$16/(C$24*C$18/12*(C$16+C$20/2))</f>
        <v>#DIV/0!</v>
      </c>
      <c r="D29" s="7"/>
      <c r="E29" s="73" t="s">
        <v>647</v>
      </c>
      <c r="F29" s="3"/>
      <c r="G29" s="75" t="s">
        <v>685</v>
      </c>
      <c r="H29" s="88" t="s">
        <v>690</v>
      </c>
      <c r="I29" s="190" t="e">
        <f>C47*C$39/(C34*C$41/12*(C$39+C$43/2))</f>
        <v>#DIV/0!</v>
      </c>
      <c r="J29" s="7"/>
      <c r="K29" s="73" t="s">
        <v>683</v>
      </c>
    </row>
    <row r="30" spans="1:11" hidden="1">
      <c r="B30" s="88" t="s">
        <v>828</v>
      </c>
      <c r="C30" s="78">
        <v>12</v>
      </c>
      <c r="D30" s="2"/>
      <c r="E30" s="74" t="s">
        <v>93</v>
      </c>
      <c r="F30" s="2"/>
      <c r="G30" s="75" t="s">
        <v>685</v>
      </c>
      <c r="H30" s="47" t="s">
        <v>829</v>
      </c>
      <c r="I30" s="78">
        <v>12</v>
      </c>
      <c r="J30" s="2"/>
      <c r="K30" s="74" t="s">
        <v>93</v>
      </c>
    </row>
    <row r="31" spans="1:11" ht="13.5" hidden="1" thickBot="1">
      <c r="B31" s="256" t="s">
        <v>709</v>
      </c>
      <c r="C31" s="316">
        <f>IF(AND(C14="No",C28&lt;=48), "N/A",(C11/(C30*60*60))*7.48*60)</f>
        <v>0</v>
      </c>
      <c r="D31" s="51"/>
      <c r="E31" s="131" t="s">
        <v>134</v>
      </c>
      <c r="F31" s="3"/>
      <c r="G31" s="75" t="s">
        <v>685</v>
      </c>
      <c r="H31" s="256" t="s">
        <v>709</v>
      </c>
      <c r="I31" s="316" t="e">
        <f>IF(AND(C37="No",C51&lt;=48), "N/A",(C47/(I30*60*60))*7.48*60)</f>
        <v>#DIV/0!</v>
      </c>
      <c r="J31" s="51"/>
      <c r="K31" s="131" t="s">
        <v>624</v>
      </c>
    </row>
    <row r="32" spans="1:11">
      <c r="B32" s="35"/>
      <c r="C32" s="315"/>
      <c r="D32" s="3"/>
      <c r="E32" s="35"/>
    </row>
    <row r="33" spans="1:5" ht="13.5" thickBot="1">
      <c r="A33" s="1" t="s">
        <v>131</v>
      </c>
      <c r="C33" s="315"/>
      <c r="D33" s="3"/>
      <c r="E33" s="35"/>
    </row>
    <row r="34" spans="1:5">
      <c r="A34" s="328">
        <v>13</v>
      </c>
      <c r="B34" s="48" t="s">
        <v>546</v>
      </c>
      <c r="C34" s="417"/>
      <c r="D34" s="15"/>
      <c r="E34" s="16" t="s">
        <v>455</v>
      </c>
    </row>
    <row r="35" spans="1:5">
      <c r="A35" s="328">
        <v>14</v>
      </c>
      <c r="B35" s="88" t="s">
        <v>210</v>
      </c>
      <c r="C35" s="418"/>
      <c r="D35" s="7"/>
      <c r="E35" s="8"/>
    </row>
    <row r="36" spans="1:5">
      <c r="A36" s="328">
        <v>15</v>
      </c>
      <c r="B36" s="234" t="s">
        <v>573</v>
      </c>
      <c r="C36" s="419"/>
      <c r="D36" s="7"/>
      <c r="E36" s="73" t="s">
        <v>779</v>
      </c>
    </row>
    <row r="37" spans="1:5" ht="13.5" thickBot="1">
      <c r="A37" s="328">
        <v>16</v>
      </c>
      <c r="B37" s="206" t="s">
        <v>95</v>
      </c>
      <c r="C37" s="134" t="str">
        <f>IF(OR(C35="No",C36&lt;0.5),"Yes",IF(AND(C35="Yes",C36&gt;=0.5),"No"," "))</f>
        <v>Yes</v>
      </c>
      <c r="D37" s="10"/>
      <c r="E37" s="128"/>
    </row>
    <row r="38" spans="1:5" ht="13.5" thickBot="1">
      <c r="B38" s="165"/>
      <c r="C38" s="136"/>
      <c r="D38" s="18"/>
      <c r="E38" s="135"/>
    </row>
    <row r="39" spans="1:5">
      <c r="A39" s="328">
        <v>17</v>
      </c>
      <c r="B39" s="100" t="s">
        <v>859</v>
      </c>
      <c r="C39" s="417"/>
      <c r="D39" s="15"/>
      <c r="E39" s="127" t="s">
        <v>7</v>
      </c>
    </row>
    <row r="40" spans="1:5">
      <c r="A40" s="328">
        <v>18</v>
      </c>
      <c r="B40" s="88" t="s">
        <v>860</v>
      </c>
      <c r="C40" s="425">
        <v>0.35</v>
      </c>
      <c r="D40" s="7"/>
      <c r="E40" s="74" t="s">
        <v>538</v>
      </c>
    </row>
    <row r="41" spans="1:5">
      <c r="A41" s="328"/>
      <c r="B41" s="88" t="s">
        <v>861</v>
      </c>
      <c r="C41" s="425">
        <v>4</v>
      </c>
      <c r="D41" s="7"/>
      <c r="E41" s="74" t="s">
        <v>216</v>
      </c>
    </row>
    <row r="42" spans="1:5">
      <c r="A42" s="328"/>
      <c r="B42" s="88" t="s">
        <v>215</v>
      </c>
      <c r="C42" s="425">
        <v>2</v>
      </c>
      <c r="D42" s="7"/>
      <c r="E42" s="74" t="s">
        <v>162</v>
      </c>
    </row>
    <row r="43" spans="1:5">
      <c r="A43" s="328">
        <v>19</v>
      </c>
      <c r="B43" s="88" t="s">
        <v>489</v>
      </c>
      <c r="C43" s="418"/>
      <c r="D43" s="7"/>
      <c r="E43" s="74" t="s">
        <v>213</v>
      </c>
    </row>
    <row r="44" spans="1:5" ht="13.5" thickBot="1">
      <c r="A44" s="328">
        <v>20</v>
      </c>
      <c r="B44" s="17" t="s">
        <v>540</v>
      </c>
      <c r="C44" s="429">
        <v>1</v>
      </c>
      <c r="D44" s="10"/>
      <c r="E44" s="128" t="s">
        <v>135</v>
      </c>
    </row>
    <row r="45" spans="1:5">
      <c r="B45" s="2"/>
      <c r="C45" s="7"/>
      <c r="D45" s="7"/>
      <c r="E45" s="7"/>
    </row>
    <row r="46" spans="1:5" ht="13.5" thickBot="1">
      <c r="B46" s="3"/>
    </row>
    <row r="47" spans="1:5">
      <c r="A47" s="328">
        <v>21</v>
      </c>
      <c r="B47" s="204" t="s">
        <v>545</v>
      </c>
      <c r="C47" s="210" t="e">
        <f>C34*(C43+C41/12*C44*(C39+C43/2)/C39)</f>
        <v>#DIV/0!</v>
      </c>
      <c r="D47" s="87"/>
      <c r="E47" s="33" t="s">
        <v>460</v>
      </c>
    </row>
    <row r="48" spans="1:5">
      <c r="A48" s="328">
        <v>22</v>
      </c>
      <c r="B48" s="88" t="s">
        <v>217</v>
      </c>
      <c r="C48" s="420"/>
      <c r="D48" s="2"/>
      <c r="E48" s="74" t="s">
        <v>455</v>
      </c>
    </row>
    <row r="49" spans="1:20" ht="13.5" thickBot="1">
      <c r="A49" s="328">
        <v>23</v>
      </c>
      <c r="B49" s="130" t="s">
        <v>94</v>
      </c>
      <c r="C49" s="209" t="e">
        <f>C34/C48</f>
        <v>#DIV/0!</v>
      </c>
      <c r="D49" s="10"/>
      <c r="E49" s="131" t="s">
        <v>587</v>
      </c>
    </row>
    <row r="50" spans="1:20" ht="13.5" thickBot="1">
      <c r="A50" s="369"/>
      <c r="B50" s="3"/>
    </row>
    <row r="51" spans="1:20" ht="13.5" thickBot="1">
      <c r="A51" s="328">
        <v>24</v>
      </c>
      <c r="B51" s="317" t="s">
        <v>133</v>
      </c>
      <c r="C51" s="318" t="e">
        <f>IF(C37="Yes",C47*C$39/(C34*C$41/12*(C$39+C$43/2)),C47/(C34*C36/C42/12))</f>
        <v>#DIV/0!</v>
      </c>
      <c r="D51" s="18"/>
      <c r="E51" s="319" t="s">
        <v>101</v>
      </c>
    </row>
    <row r="52" spans="1:20">
      <c r="B52" s="35"/>
      <c r="C52" s="315"/>
      <c r="D52" s="3"/>
      <c r="E52" s="35"/>
    </row>
    <row r="53" spans="1:20">
      <c r="A53" s="1" t="s">
        <v>33</v>
      </c>
    </row>
    <row r="54" spans="1:20">
      <c r="A54" s="44" t="s">
        <v>125</v>
      </c>
    </row>
    <row r="55" spans="1:20">
      <c r="A55" s="1"/>
    </row>
    <row r="56" spans="1:20">
      <c r="A56" s="55" t="s">
        <v>758</v>
      </c>
    </row>
    <row r="57" spans="1:20">
      <c r="A57" s="1" t="s">
        <v>761</v>
      </c>
      <c r="B57" s="1"/>
      <c r="C57" s="1"/>
      <c r="D57" s="1"/>
      <c r="E57" s="1"/>
      <c r="F57" s="1"/>
      <c r="G57" s="1"/>
      <c r="H57" s="1"/>
      <c r="I57" s="1"/>
      <c r="J57" s="1"/>
      <c r="K57" s="1"/>
      <c r="L57" s="1"/>
      <c r="M57" s="1"/>
      <c r="N57" s="1"/>
      <c r="O57" s="1"/>
      <c r="P57" s="1"/>
      <c r="Q57" s="1"/>
      <c r="R57" s="1"/>
      <c r="S57" s="1"/>
      <c r="T57" s="1"/>
    </row>
    <row r="58" spans="1:20" ht="26.25" customHeight="1">
      <c r="A58" s="386">
        <v>1</v>
      </c>
      <c r="B58" s="1534" t="s">
        <v>243</v>
      </c>
      <c r="C58" s="1519"/>
      <c r="D58" s="1519"/>
      <c r="E58" s="1519"/>
      <c r="F58" s="1519"/>
      <c r="G58" s="1519"/>
      <c r="H58" s="1519"/>
    </row>
    <row r="59" spans="1:20">
      <c r="A59" s="386">
        <v>2</v>
      </c>
      <c r="B59" s="152" t="s">
        <v>136</v>
      </c>
      <c r="C59" s="153"/>
      <c r="D59" s="153"/>
      <c r="E59" s="153"/>
      <c r="F59" s="153"/>
      <c r="G59" s="153"/>
      <c r="H59" s="153"/>
    </row>
    <row r="60" spans="1:20">
      <c r="A60" s="386">
        <v>3</v>
      </c>
      <c r="B60" s="153" t="s">
        <v>267</v>
      </c>
      <c r="C60" s="153"/>
      <c r="D60" s="153"/>
      <c r="E60" s="153"/>
      <c r="F60" s="153"/>
      <c r="G60" s="153"/>
      <c r="H60" s="153"/>
    </row>
    <row r="61" spans="1:20">
      <c r="A61" s="386">
        <v>4</v>
      </c>
      <c r="B61" s="152" t="s">
        <v>137</v>
      </c>
      <c r="C61" s="153"/>
      <c r="D61" s="153"/>
      <c r="E61" s="153"/>
      <c r="F61" s="153"/>
      <c r="G61" s="153"/>
      <c r="H61" s="153"/>
    </row>
    <row r="62" spans="1:20">
      <c r="A62" s="386">
        <v>5</v>
      </c>
      <c r="B62" s="152" t="s">
        <v>862</v>
      </c>
      <c r="C62" s="153"/>
      <c r="D62" s="153"/>
      <c r="E62" s="153"/>
      <c r="F62" s="153"/>
      <c r="G62" s="153"/>
      <c r="H62" s="153"/>
    </row>
    <row r="63" spans="1:20" ht="26.1" customHeight="1">
      <c r="A63" s="386">
        <v>6</v>
      </c>
      <c r="B63" s="1518" t="s">
        <v>865</v>
      </c>
      <c r="C63" s="1518"/>
      <c r="D63" s="1518"/>
      <c r="E63" s="1518"/>
      <c r="F63" s="1518"/>
      <c r="G63" s="1518"/>
      <c r="H63" s="1518"/>
    </row>
    <row r="64" spans="1:20">
      <c r="A64" s="386">
        <v>7</v>
      </c>
      <c r="B64" s="152" t="s">
        <v>622</v>
      </c>
      <c r="C64" s="153"/>
      <c r="D64" s="153"/>
      <c r="E64" s="153"/>
      <c r="F64" s="153"/>
      <c r="G64" s="153"/>
      <c r="H64" s="153"/>
    </row>
    <row r="65" spans="1:8">
      <c r="A65" s="386">
        <v>8</v>
      </c>
      <c r="B65" s="152" t="s">
        <v>488</v>
      </c>
      <c r="C65" s="153"/>
      <c r="D65" s="153"/>
      <c r="E65" s="153"/>
      <c r="F65" s="153"/>
      <c r="G65" s="153"/>
      <c r="H65" s="153"/>
    </row>
    <row r="66" spans="1:8">
      <c r="A66" s="386">
        <v>9</v>
      </c>
      <c r="B66" s="152" t="s">
        <v>749</v>
      </c>
      <c r="C66" s="153"/>
      <c r="D66" s="153"/>
      <c r="E66" s="153"/>
      <c r="F66" s="153"/>
      <c r="G66" s="153"/>
      <c r="H66" s="153"/>
    </row>
    <row r="67" spans="1:8" ht="12.75" customHeight="1">
      <c r="A67" s="386">
        <v>10</v>
      </c>
      <c r="B67" s="152" t="s">
        <v>552</v>
      </c>
      <c r="C67" s="153"/>
      <c r="D67" s="153"/>
      <c r="E67" s="153"/>
      <c r="F67" s="153"/>
      <c r="G67" s="153"/>
      <c r="H67" s="153"/>
    </row>
    <row r="68" spans="1:8">
      <c r="A68" s="386">
        <v>11</v>
      </c>
      <c r="B68" s="152" t="s">
        <v>720</v>
      </c>
      <c r="C68" s="153"/>
      <c r="D68" s="153"/>
      <c r="E68" s="153"/>
      <c r="F68" s="153"/>
      <c r="G68" s="153"/>
      <c r="H68" s="153"/>
    </row>
    <row r="69" spans="1:8">
      <c r="A69" s="386">
        <v>12</v>
      </c>
      <c r="B69" s="152" t="s">
        <v>686</v>
      </c>
      <c r="C69" s="153"/>
      <c r="D69" s="153"/>
      <c r="E69" s="153"/>
      <c r="F69" s="153"/>
      <c r="G69" s="153"/>
      <c r="H69" s="153"/>
    </row>
    <row r="70" spans="1:8">
      <c r="A70" s="153"/>
      <c r="B70" s="32"/>
    </row>
    <row r="71" spans="1:8">
      <c r="A71" s="23" t="s">
        <v>154</v>
      </c>
    </row>
    <row r="72" spans="1:8">
      <c r="A72" s="386">
        <v>13</v>
      </c>
      <c r="B72" s="32" t="s">
        <v>132</v>
      </c>
    </row>
    <row r="73" spans="1:8">
      <c r="A73" s="386">
        <v>14</v>
      </c>
      <c r="B73" s="32" t="s">
        <v>136</v>
      </c>
    </row>
    <row r="74" spans="1:8">
      <c r="A74" s="386">
        <v>15</v>
      </c>
      <c r="B74" t="s">
        <v>267</v>
      </c>
    </row>
    <row r="75" spans="1:8">
      <c r="A75" s="386">
        <v>16</v>
      </c>
      <c r="B75" s="32" t="s">
        <v>86</v>
      </c>
    </row>
    <row r="76" spans="1:8">
      <c r="A76" s="386">
        <v>17</v>
      </c>
      <c r="B76" s="32" t="s">
        <v>862</v>
      </c>
    </row>
    <row r="77" spans="1:8">
      <c r="A77" s="386">
        <v>18</v>
      </c>
      <c r="B77" s="32" t="s">
        <v>866</v>
      </c>
    </row>
    <row r="78" spans="1:8">
      <c r="A78" s="386">
        <v>19</v>
      </c>
      <c r="B78" s="32" t="s">
        <v>805</v>
      </c>
    </row>
    <row r="79" spans="1:8">
      <c r="A79" s="386">
        <v>20</v>
      </c>
      <c r="B79" s="32" t="s">
        <v>488</v>
      </c>
    </row>
    <row r="80" spans="1:8">
      <c r="A80" s="386">
        <v>21</v>
      </c>
      <c r="B80" s="32" t="s">
        <v>808</v>
      </c>
    </row>
    <row r="81" spans="1:9">
      <c r="A81" s="386">
        <v>22</v>
      </c>
      <c r="B81" s="32" t="s">
        <v>552</v>
      </c>
    </row>
    <row r="82" spans="1:9">
      <c r="A82" s="386">
        <v>23</v>
      </c>
      <c r="B82" s="32" t="s">
        <v>431</v>
      </c>
    </row>
    <row r="83" spans="1:9">
      <c r="A83" s="386">
        <v>24</v>
      </c>
      <c r="B83" s="152" t="s">
        <v>686</v>
      </c>
    </row>
    <row r="84" spans="1:9">
      <c r="B84" s="152"/>
    </row>
    <row r="85" spans="1:9">
      <c r="A85" s="324" t="s">
        <v>34</v>
      </c>
      <c r="B85" s="35"/>
      <c r="C85" s="315"/>
      <c r="D85" s="3"/>
      <c r="E85" s="35"/>
    </row>
    <row r="86" spans="1:9" ht="24" customHeight="1">
      <c r="B86" s="295" t="s">
        <v>332</v>
      </c>
      <c r="C86" s="1519" t="s">
        <v>677</v>
      </c>
      <c r="D86" s="1519"/>
      <c r="E86" s="1519"/>
      <c r="F86" s="1519"/>
      <c r="G86" s="1519"/>
      <c r="H86" s="1519"/>
    </row>
    <row r="87" spans="1:9" ht="25.5" customHeight="1">
      <c r="B87" s="295" t="s">
        <v>147</v>
      </c>
      <c r="C87" s="1541" t="s">
        <v>713</v>
      </c>
      <c r="D87" s="1519"/>
      <c r="E87" s="1519"/>
      <c r="F87" s="1519"/>
      <c r="G87" s="1519"/>
      <c r="H87" s="1519"/>
      <c r="I87" s="288"/>
    </row>
    <row r="88" spans="1:9" ht="24.75" customHeight="1">
      <c r="B88" s="295" t="s">
        <v>480</v>
      </c>
      <c r="C88" s="1534" t="s">
        <v>161</v>
      </c>
      <c r="D88" s="1519"/>
      <c r="E88" s="1519"/>
      <c r="F88" s="1519"/>
      <c r="G88" s="1519"/>
      <c r="H88" s="1519"/>
    </row>
    <row r="89" spans="1:9">
      <c r="B89" s="305" t="s">
        <v>481</v>
      </c>
      <c r="C89" s="152" t="s">
        <v>153</v>
      </c>
      <c r="D89" s="153"/>
      <c r="E89" s="153"/>
      <c r="F89" s="153"/>
      <c r="G89" s="153"/>
      <c r="H89" s="153"/>
    </row>
    <row r="90" spans="1:9">
      <c r="B90" s="305" t="s">
        <v>214</v>
      </c>
      <c r="C90" s="152" t="s">
        <v>65</v>
      </c>
      <c r="D90" s="153"/>
      <c r="E90" s="153"/>
      <c r="F90" s="153"/>
      <c r="G90" s="153"/>
      <c r="H90" s="153"/>
    </row>
    <row r="91" spans="1:9">
      <c r="B91" s="305" t="s">
        <v>84</v>
      </c>
      <c r="C91" s="152" t="s">
        <v>66</v>
      </c>
      <c r="D91" s="153"/>
      <c r="E91" s="153"/>
      <c r="F91" s="153"/>
      <c r="G91" s="153"/>
      <c r="H91" s="153"/>
    </row>
    <row r="92" spans="1:9">
      <c r="B92" s="305" t="s">
        <v>85</v>
      </c>
      <c r="C92" s="152" t="s">
        <v>541</v>
      </c>
      <c r="D92" s="153"/>
      <c r="E92" s="153"/>
      <c r="F92" s="153"/>
      <c r="G92" s="153"/>
      <c r="H92" s="153"/>
    </row>
    <row r="93" spans="1:9">
      <c r="B93" s="305" t="s">
        <v>374</v>
      </c>
      <c r="C93" s="152" t="s">
        <v>89</v>
      </c>
      <c r="D93" s="153"/>
      <c r="E93" s="153"/>
      <c r="F93" s="153"/>
      <c r="G93" s="153"/>
      <c r="H93" s="153"/>
    </row>
  </sheetData>
  <sheetProtection selectLockedCells="1"/>
  <mergeCells count="5">
    <mergeCell ref="B58:H58"/>
    <mergeCell ref="C87:H87"/>
    <mergeCell ref="C88:H88"/>
    <mergeCell ref="B63:H63"/>
    <mergeCell ref="C86:H86"/>
  </mergeCells>
  <phoneticPr fontId="36" type="noConversion"/>
  <dataValidations count="1">
    <dataValidation type="list" allowBlank="1" showInputMessage="1" showErrorMessage="1" sqref="C12 C35">
      <formula1>"Yes, No"</formula1>
    </dataValidation>
  </dataValidations>
  <pageMargins left="0.5" right="0.5" top="0.35" bottom="0.4" header="0.35" footer="0.4"/>
  <pageSetup scale="82" fitToHeight="0" orientation="landscape" r:id="rId1"/>
  <headerFooter alignWithMargins="0">
    <oddFooter>&amp;L&amp;8November 2010 Version</oddFooter>
  </headerFooter>
  <rowBreaks count="1" manualBreakCount="1">
    <brk id="52" max="7" man="1"/>
  </rowBreaks>
  <drawing r:id="rId2"/>
  <legacyDrawing r:id="rId3"/>
</worksheet>
</file>

<file path=xl/worksheets/sheet19.xml><?xml version="1.0" encoding="utf-8"?>
<worksheet xmlns="http://schemas.openxmlformats.org/spreadsheetml/2006/main" xmlns:r="http://schemas.openxmlformats.org/officeDocument/2006/relationships">
  <sheetPr codeName="Sheet26">
    <pageSetUpPr fitToPage="1"/>
  </sheetPr>
  <dimension ref="A1:K75"/>
  <sheetViews>
    <sheetView zoomScaleNormal="100" zoomScaleSheetLayoutView="100" workbookViewId="0">
      <selection activeCell="C10" sqref="C10"/>
    </sheetView>
  </sheetViews>
  <sheetFormatPr defaultColWidth="8.85546875" defaultRowHeight="12.75"/>
  <cols>
    <col min="1" max="1" width="7.140625" customWidth="1"/>
    <col min="2" max="2" width="39.42578125" customWidth="1"/>
    <col min="4" max="4" width="1.7109375" customWidth="1"/>
    <col min="5" max="5" width="55.140625" customWidth="1"/>
    <col min="6" max="6" width="4.140625" customWidth="1"/>
    <col min="7" max="7" width="10.140625" customWidth="1"/>
    <col min="8" max="8" width="39.140625" customWidth="1"/>
    <col min="9" max="9" width="8" customWidth="1"/>
    <col min="10" max="10" width="1.7109375" customWidth="1"/>
    <col min="11" max="11" width="48.42578125" customWidth="1"/>
  </cols>
  <sheetData>
    <row r="1" spans="1:11" ht="14.25" customHeight="1">
      <c r="A1" s="38" t="s">
        <v>825</v>
      </c>
    </row>
    <row r="2" spans="1:11">
      <c r="A2" s="32" t="s">
        <v>526</v>
      </c>
    </row>
    <row r="7" spans="1:11">
      <c r="A7" s="23"/>
      <c r="B7" s="32"/>
    </row>
    <row r="8" spans="1:11">
      <c r="A8" s="23" t="s">
        <v>36</v>
      </c>
    </row>
    <row r="9" spans="1:11" ht="13.5" thickBot="1">
      <c r="A9" s="1" t="s">
        <v>814</v>
      </c>
      <c r="B9" s="1"/>
    </row>
    <row r="10" spans="1:11">
      <c r="A10" s="328">
        <v>1</v>
      </c>
      <c r="B10" s="5" t="s">
        <v>704</v>
      </c>
      <c r="C10" s="410"/>
      <c r="D10" s="15"/>
      <c r="E10" s="16" t="s">
        <v>460</v>
      </c>
      <c r="F10" s="7"/>
    </row>
    <row r="11" spans="1:11">
      <c r="A11" s="328">
        <v>2</v>
      </c>
      <c r="B11" s="162" t="s">
        <v>815</v>
      </c>
      <c r="C11" s="430"/>
      <c r="D11" s="7"/>
      <c r="E11" s="73" t="s">
        <v>450</v>
      </c>
      <c r="F11" s="7"/>
    </row>
    <row r="12" spans="1:11">
      <c r="A12" s="328">
        <v>3</v>
      </c>
      <c r="B12" s="88" t="s">
        <v>451</v>
      </c>
      <c r="C12" s="408"/>
      <c r="D12" s="7"/>
      <c r="E12" s="74" t="s">
        <v>87</v>
      </c>
      <c r="F12" s="7"/>
    </row>
    <row r="13" spans="1:11">
      <c r="A13" s="328">
        <v>4</v>
      </c>
      <c r="B13" s="88" t="s">
        <v>448</v>
      </c>
      <c r="C13" s="408"/>
      <c r="D13" s="7"/>
      <c r="E13" s="73" t="s">
        <v>449</v>
      </c>
      <c r="F13" s="7"/>
      <c r="G13" s="4"/>
      <c r="H13" s="35"/>
      <c r="I13" s="35"/>
      <c r="J13" s="2"/>
      <c r="K13" s="35"/>
    </row>
    <row r="14" spans="1:11">
      <c r="A14" s="328">
        <v>5</v>
      </c>
      <c r="B14" s="88" t="s">
        <v>99</v>
      </c>
      <c r="C14" s="425">
        <v>0.35</v>
      </c>
      <c r="D14" s="7"/>
      <c r="E14" s="74" t="s">
        <v>538</v>
      </c>
      <c r="F14" s="2"/>
      <c r="G14" s="4"/>
      <c r="H14" s="35"/>
      <c r="I14" s="2"/>
      <c r="J14" s="2"/>
      <c r="K14" s="35"/>
    </row>
    <row r="15" spans="1:11">
      <c r="A15" s="328"/>
      <c r="B15" s="72" t="s">
        <v>98</v>
      </c>
      <c r="C15" s="431">
        <v>2</v>
      </c>
      <c r="D15" s="7"/>
      <c r="E15" s="74" t="s">
        <v>144</v>
      </c>
      <c r="F15" s="2"/>
      <c r="G15" s="4"/>
      <c r="H15" s="35"/>
      <c r="I15" s="53"/>
      <c r="J15" s="2"/>
      <c r="K15" s="35"/>
    </row>
    <row r="16" spans="1:11" hidden="1">
      <c r="A16" s="328"/>
      <c r="B16" s="72" t="s">
        <v>215</v>
      </c>
      <c r="C16" s="431">
        <v>1</v>
      </c>
      <c r="D16" s="7"/>
      <c r="E16" s="74" t="s">
        <v>162</v>
      </c>
      <c r="F16" s="2"/>
      <c r="G16" s="4"/>
      <c r="H16" s="35"/>
      <c r="I16" s="168"/>
      <c r="J16" s="2"/>
      <c r="K16" s="35"/>
    </row>
    <row r="17" spans="1:11">
      <c r="A17" s="328">
        <v>6</v>
      </c>
      <c r="B17" s="72" t="s">
        <v>489</v>
      </c>
      <c r="C17" s="432"/>
      <c r="D17" s="7"/>
      <c r="E17" s="74" t="s">
        <v>97</v>
      </c>
      <c r="F17" s="2"/>
      <c r="G17" s="4"/>
      <c r="H17" s="35"/>
      <c r="I17" s="2"/>
      <c r="J17" s="2"/>
      <c r="K17" s="35"/>
    </row>
    <row r="18" spans="1:11" ht="13.5" thickBot="1">
      <c r="A18" s="328">
        <v>7</v>
      </c>
      <c r="B18" s="9" t="s">
        <v>540</v>
      </c>
      <c r="C18" s="433">
        <v>1</v>
      </c>
      <c r="D18" s="10"/>
      <c r="E18" s="128" t="s">
        <v>135</v>
      </c>
      <c r="F18" s="7"/>
      <c r="G18" s="4"/>
      <c r="H18" s="20"/>
      <c r="I18" s="2"/>
      <c r="J18" s="2"/>
      <c r="K18" s="35"/>
    </row>
    <row r="19" spans="1:11" ht="13.5" thickBot="1">
      <c r="A19" s="369"/>
      <c r="B19" s="18"/>
      <c r="C19" s="165"/>
      <c r="D19" s="18"/>
      <c r="E19" s="135"/>
      <c r="F19" s="7"/>
      <c r="G19" s="4"/>
      <c r="H19" s="2"/>
      <c r="I19" s="2"/>
      <c r="J19" s="2"/>
      <c r="K19" s="2"/>
    </row>
    <row r="20" spans="1:11">
      <c r="A20" s="328">
        <v>8</v>
      </c>
      <c r="B20" s="141" t="s">
        <v>543</v>
      </c>
      <c r="C20" s="138" t="e">
        <f>IF(C11="Yes",C10/C12*C13/(C15/C16/12)/(C17/2+C13),C10/(C21+C17))</f>
        <v>#DIV/0!</v>
      </c>
      <c r="D20" s="87"/>
      <c r="E20" s="33" t="s">
        <v>455</v>
      </c>
      <c r="F20" s="7"/>
      <c r="G20" s="4"/>
      <c r="H20" s="2"/>
      <c r="I20" s="2"/>
      <c r="J20" s="2"/>
      <c r="K20" s="2"/>
    </row>
    <row r="21" spans="1:11" hidden="1">
      <c r="A21" s="328"/>
      <c r="B21" s="159" t="s">
        <v>92</v>
      </c>
      <c r="C21" s="225" t="e">
        <f>C18*C15/C16/12*(C13+C17/2)/C13</f>
        <v>#DIV/0!</v>
      </c>
      <c r="D21" s="2"/>
      <c r="E21" s="160" t="s">
        <v>108</v>
      </c>
      <c r="F21" s="3"/>
      <c r="G21" s="4"/>
      <c r="H21" s="2"/>
      <c r="I21" s="2"/>
      <c r="J21" s="2"/>
      <c r="K21" s="2"/>
    </row>
    <row r="22" spans="1:11">
      <c r="A22" s="328">
        <v>9</v>
      </c>
      <c r="B22" s="159" t="s">
        <v>444</v>
      </c>
      <c r="C22" s="226" t="e">
        <f>C20*(C17+C21)</f>
        <v>#DIV/0!</v>
      </c>
      <c r="D22" s="2"/>
      <c r="E22" s="74" t="s">
        <v>460</v>
      </c>
      <c r="F22" s="3"/>
      <c r="G22" s="4"/>
      <c r="H22" s="2"/>
      <c r="I22" s="2"/>
      <c r="J22" s="2"/>
      <c r="K22" s="2"/>
    </row>
    <row r="23" spans="1:11" ht="14.25">
      <c r="A23" s="328"/>
      <c r="B23" s="88" t="s">
        <v>100</v>
      </c>
      <c r="C23" s="226" t="e">
        <f>C10-C22</f>
        <v>#DIV/0!</v>
      </c>
      <c r="D23" s="7"/>
      <c r="E23" s="74" t="s">
        <v>765</v>
      </c>
      <c r="F23" s="3"/>
      <c r="G23" s="4"/>
      <c r="H23" s="2"/>
      <c r="I23" s="2"/>
      <c r="J23" s="2"/>
      <c r="K23" s="2"/>
    </row>
    <row r="24" spans="1:11">
      <c r="A24" s="328">
        <v>10</v>
      </c>
      <c r="B24" s="159" t="s">
        <v>445</v>
      </c>
      <c r="C24" s="434"/>
      <c r="D24" s="2"/>
      <c r="E24" s="457" t="s">
        <v>574</v>
      </c>
      <c r="F24" s="3"/>
      <c r="G24" s="4"/>
      <c r="H24" s="2"/>
      <c r="I24" s="2"/>
      <c r="J24" s="2"/>
      <c r="K24" s="2"/>
    </row>
    <row r="25" spans="1:11" ht="13.5" thickBot="1">
      <c r="A25" s="328">
        <v>11</v>
      </c>
      <c r="B25" s="390" t="s">
        <v>446</v>
      </c>
      <c r="C25" s="161" t="e">
        <f>C23/C24</f>
        <v>#DIV/0!</v>
      </c>
      <c r="D25" s="51"/>
      <c r="E25" s="43" t="s">
        <v>455</v>
      </c>
      <c r="F25" s="3"/>
      <c r="G25" s="4"/>
      <c r="H25" s="2"/>
      <c r="I25" s="2"/>
      <c r="J25" s="2"/>
      <c r="K25" s="2"/>
    </row>
    <row r="26" spans="1:11" ht="13.5" thickBot="1">
      <c r="A26" s="369"/>
      <c r="B26" s="163"/>
      <c r="C26" s="164"/>
      <c r="D26" s="89"/>
      <c r="E26" s="89"/>
      <c r="F26" s="2"/>
      <c r="G26" s="4"/>
      <c r="H26" s="20"/>
      <c r="I26" s="41"/>
      <c r="J26" s="2"/>
      <c r="K26" s="35"/>
    </row>
    <row r="27" spans="1:11">
      <c r="A27" s="328">
        <v>12</v>
      </c>
      <c r="B27" s="79" t="s">
        <v>442</v>
      </c>
      <c r="C27" s="435"/>
      <c r="D27" s="15"/>
      <c r="E27" s="127" t="s">
        <v>455</v>
      </c>
      <c r="F27" s="3"/>
      <c r="G27" s="4"/>
      <c r="H27" s="35"/>
      <c r="I27" s="67"/>
      <c r="J27" s="2"/>
      <c r="K27" s="35"/>
    </row>
    <row r="28" spans="1:11" ht="13.5" thickBot="1">
      <c r="A28" s="328">
        <v>13</v>
      </c>
      <c r="B28" s="167" t="s">
        <v>447</v>
      </c>
      <c r="C28" s="154" t="e">
        <f>(C25+C20)/C27</f>
        <v>#DIV/0!</v>
      </c>
      <c r="D28" s="10"/>
      <c r="E28" s="131" t="s">
        <v>424</v>
      </c>
      <c r="F28" s="3"/>
      <c r="G28" s="4"/>
      <c r="H28" s="35"/>
      <c r="I28" s="169"/>
      <c r="J28" s="2"/>
      <c r="K28" s="35"/>
    </row>
    <row r="29" spans="1:11" ht="13.5" hidden="1" thickBot="1">
      <c r="A29" s="328"/>
      <c r="B29" s="130" t="s">
        <v>443</v>
      </c>
      <c r="C29" s="154" t="e">
        <f>C20/C27</f>
        <v>#DIV/0!</v>
      </c>
      <c r="G29" s="2"/>
      <c r="H29" s="2"/>
      <c r="I29" s="2"/>
      <c r="J29" s="2"/>
      <c r="K29" s="2"/>
    </row>
    <row r="30" spans="1:11" ht="13.5" thickBot="1">
      <c r="A30" s="369"/>
      <c r="B30" s="157"/>
      <c r="C30" s="158"/>
      <c r="D30" s="10"/>
      <c r="E30" s="10"/>
      <c r="G30" s="2"/>
      <c r="H30" s="2"/>
      <c r="I30" s="2"/>
      <c r="J30" s="2"/>
      <c r="K30" s="2"/>
    </row>
    <row r="31" spans="1:11">
      <c r="A31" s="328">
        <v>14</v>
      </c>
      <c r="B31" s="100" t="s">
        <v>830</v>
      </c>
      <c r="C31" s="140" t="e">
        <f>C$10*C13/(C20*C15/C16/12*(C13+C17/2))</f>
        <v>#DIV/0!</v>
      </c>
      <c r="D31" s="15"/>
      <c r="E31" s="127" t="s">
        <v>90</v>
      </c>
      <c r="G31" s="2"/>
      <c r="H31" s="2"/>
      <c r="I31" s="2"/>
      <c r="J31" s="2"/>
      <c r="K31" s="2"/>
    </row>
    <row r="32" spans="1:11" ht="13.5" thickBot="1">
      <c r="A32" s="328">
        <v>15</v>
      </c>
      <c r="B32" s="130" t="s">
        <v>831</v>
      </c>
      <c r="C32" s="156" t="e">
        <f>C10/(C12*60*60)*7.48*60</f>
        <v>#DIV/0!</v>
      </c>
      <c r="D32" s="51"/>
      <c r="E32" s="131" t="s">
        <v>91</v>
      </c>
      <c r="G32" s="2"/>
      <c r="H32" s="2"/>
      <c r="I32" s="2"/>
      <c r="J32" s="2"/>
      <c r="K32" s="2"/>
    </row>
    <row r="33" spans="1:8">
      <c r="A33" s="369"/>
      <c r="B33" s="35"/>
      <c r="C33" s="166"/>
      <c r="D33" s="2"/>
      <c r="E33" s="35"/>
    </row>
    <row r="34" spans="1:8" ht="13.5" thickBot="1">
      <c r="A34" s="1" t="s">
        <v>653</v>
      </c>
      <c r="B34" s="35"/>
      <c r="C34" s="166"/>
      <c r="D34" s="2"/>
      <c r="E34" s="35"/>
    </row>
    <row r="35" spans="1:8">
      <c r="A35" s="328">
        <v>16</v>
      </c>
      <c r="B35" s="79" t="s">
        <v>816</v>
      </c>
      <c r="C35" s="410"/>
      <c r="D35" s="15"/>
      <c r="E35" s="127" t="s">
        <v>733</v>
      </c>
    </row>
    <row r="36" spans="1:8" ht="14.25">
      <c r="A36" s="328">
        <v>17</v>
      </c>
      <c r="B36" s="72" t="s">
        <v>818</v>
      </c>
      <c r="C36" s="430"/>
      <c r="D36" s="7"/>
      <c r="E36" s="73" t="s">
        <v>824</v>
      </c>
    </row>
    <row r="37" spans="1:8" ht="13.5" thickBot="1">
      <c r="A37" s="328">
        <v>18</v>
      </c>
      <c r="B37" s="145" t="s">
        <v>817</v>
      </c>
      <c r="C37" s="170" t="e">
        <f>C35/C36*7.48*60</f>
        <v>#DIV/0!</v>
      </c>
      <c r="D37" s="10"/>
      <c r="E37" s="128" t="s">
        <v>455</v>
      </c>
    </row>
    <row r="38" spans="1:8">
      <c r="B38" s="35"/>
      <c r="C38" s="166"/>
      <c r="D38" s="2"/>
      <c r="E38" s="35"/>
    </row>
    <row r="39" spans="1:8">
      <c r="A39" s="1" t="s">
        <v>33</v>
      </c>
    </row>
    <row r="40" spans="1:8" ht="26.25" customHeight="1">
      <c r="A40" s="1517" t="s">
        <v>364</v>
      </c>
      <c r="B40" s="1517"/>
      <c r="C40" s="1517"/>
      <c r="D40" s="1517"/>
      <c r="E40" s="1517"/>
      <c r="F40" s="1517"/>
      <c r="G40" s="1517"/>
      <c r="H40" s="1492"/>
    </row>
    <row r="41" spans="1:8" ht="27" customHeight="1">
      <c r="A41" s="1517" t="s">
        <v>334</v>
      </c>
      <c r="B41" s="1492"/>
      <c r="C41" s="1492"/>
      <c r="D41" s="1492"/>
      <c r="E41" s="1492"/>
      <c r="F41" s="1492"/>
      <c r="G41" s="1492"/>
      <c r="H41" s="1492"/>
    </row>
    <row r="42" spans="1:8">
      <c r="A42" s="291"/>
      <c r="B42" s="291"/>
      <c r="C42" s="291"/>
      <c r="D42" s="291"/>
      <c r="E42" s="291"/>
      <c r="F42" s="291"/>
      <c r="G42" s="291"/>
    </row>
    <row r="43" spans="1:8">
      <c r="A43" s="389" t="s">
        <v>758</v>
      </c>
    </row>
    <row r="44" spans="1:8">
      <c r="A44" s="1" t="s">
        <v>519</v>
      </c>
    </row>
    <row r="45" spans="1:8">
      <c r="A45" s="386">
        <v>1</v>
      </c>
      <c r="B45" s="152" t="s">
        <v>243</v>
      </c>
      <c r="C45" s="153"/>
      <c r="D45" s="153"/>
      <c r="E45" s="153"/>
      <c r="F45" s="153"/>
      <c r="G45" s="153"/>
      <c r="H45" s="153"/>
    </row>
    <row r="46" spans="1:8">
      <c r="A46" s="386">
        <v>2</v>
      </c>
      <c r="B46" s="152" t="s">
        <v>62</v>
      </c>
      <c r="C46" s="153"/>
      <c r="D46" s="153"/>
      <c r="E46" s="153"/>
      <c r="F46" s="153"/>
      <c r="G46" s="153"/>
      <c r="H46" s="153"/>
    </row>
    <row r="47" spans="1:8">
      <c r="A47" s="386">
        <v>3</v>
      </c>
      <c r="B47" s="152" t="s">
        <v>627</v>
      </c>
      <c r="C47" s="153"/>
      <c r="D47" s="153"/>
      <c r="E47" s="153"/>
      <c r="F47" s="153"/>
      <c r="G47" s="153"/>
      <c r="H47" s="153"/>
    </row>
    <row r="48" spans="1:8">
      <c r="A48" s="386">
        <v>4</v>
      </c>
      <c r="B48" s="152" t="s">
        <v>438</v>
      </c>
      <c r="C48" s="153"/>
      <c r="D48" s="153"/>
      <c r="E48" s="153"/>
      <c r="F48" s="153"/>
      <c r="G48" s="153"/>
      <c r="H48" s="153"/>
    </row>
    <row r="49" spans="1:8" ht="27.75" customHeight="1">
      <c r="A49" s="386">
        <v>5</v>
      </c>
      <c r="B49" s="1518" t="s">
        <v>321</v>
      </c>
      <c r="C49" s="1518"/>
      <c r="D49" s="1518"/>
      <c r="E49" s="1518"/>
      <c r="F49" s="1518"/>
      <c r="G49" s="1518"/>
      <c r="H49" s="1518"/>
    </row>
    <row r="50" spans="1:8">
      <c r="A50" s="386">
        <v>6</v>
      </c>
      <c r="B50" s="152" t="s">
        <v>81</v>
      </c>
      <c r="C50" s="153"/>
      <c r="D50" s="153"/>
      <c r="E50" s="153"/>
      <c r="F50" s="153"/>
      <c r="G50" s="153"/>
      <c r="H50" s="153"/>
    </row>
    <row r="51" spans="1:8">
      <c r="A51" s="386">
        <v>7</v>
      </c>
      <c r="B51" s="152" t="s">
        <v>488</v>
      </c>
      <c r="C51" s="153"/>
      <c r="D51" s="153"/>
      <c r="E51" s="153"/>
      <c r="F51" s="153"/>
      <c r="G51" s="153"/>
      <c r="H51" s="153"/>
    </row>
    <row r="52" spans="1:8">
      <c r="A52" s="386">
        <v>8</v>
      </c>
      <c r="B52" s="152" t="s">
        <v>82</v>
      </c>
      <c r="C52" s="153"/>
      <c r="D52" s="153"/>
      <c r="E52" s="153"/>
      <c r="F52" s="153"/>
      <c r="G52" s="153"/>
      <c r="H52" s="153"/>
    </row>
    <row r="53" spans="1:8">
      <c r="A53" s="386">
        <v>9</v>
      </c>
      <c r="B53" s="152" t="s">
        <v>83</v>
      </c>
      <c r="C53" s="153"/>
      <c r="D53" s="153"/>
      <c r="E53" s="153"/>
      <c r="F53" s="153"/>
      <c r="G53" s="153"/>
      <c r="H53" s="153"/>
    </row>
    <row r="54" spans="1:8" ht="12.75" customHeight="1">
      <c r="A54" s="386">
        <v>10</v>
      </c>
      <c r="B54" s="152" t="s">
        <v>812</v>
      </c>
      <c r="C54" s="153"/>
      <c r="D54" s="153"/>
      <c r="E54" s="153"/>
      <c r="F54" s="153"/>
      <c r="G54" s="153"/>
      <c r="H54" s="153"/>
    </row>
    <row r="55" spans="1:8">
      <c r="A55" s="386">
        <v>11</v>
      </c>
      <c r="B55" s="152" t="s">
        <v>813</v>
      </c>
      <c r="C55" s="153"/>
      <c r="D55" s="153"/>
      <c r="E55" s="153"/>
      <c r="F55" s="153"/>
      <c r="G55" s="153"/>
      <c r="H55" s="153"/>
    </row>
    <row r="56" spans="1:8">
      <c r="A56" s="386">
        <v>12</v>
      </c>
      <c r="B56" s="152" t="s">
        <v>551</v>
      </c>
      <c r="C56" s="153"/>
      <c r="D56" s="153"/>
      <c r="E56" s="153"/>
      <c r="F56" s="153"/>
      <c r="G56" s="153"/>
      <c r="H56" s="153"/>
    </row>
    <row r="57" spans="1:8">
      <c r="A57" s="386">
        <v>13</v>
      </c>
      <c r="B57" s="152" t="s">
        <v>586</v>
      </c>
      <c r="C57" s="153"/>
      <c r="D57" s="153"/>
      <c r="E57" s="153"/>
      <c r="F57" s="153"/>
      <c r="G57" s="153"/>
      <c r="H57" s="153"/>
    </row>
    <row r="58" spans="1:8">
      <c r="A58" s="386">
        <v>14</v>
      </c>
      <c r="B58" s="152" t="s">
        <v>820</v>
      </c>
      <c r="C58" s="153"/>
      <c r="D58" s="153"/>
      <c r="E58" s="153"/>
      <c r="F58" s="153"/>
      <c r="G58" s="153"/>
      <c r="H58" s="153"/>
    </row>
    <row r="59" spans="1:8" ht="15" customHeight="1">
      <c r="A59" s="386">
        <v>15</v>
      </c>
      <c r="B59" s="1518" t="s">
        <v>832</v>
      </c>
      <c r="C59" s="1518"/>
      <c r="D59" s="1518"/>
      <c r="E59" s="1518"/>
      <c r="F59" s="1518"/>
      <c r="G59" s="1518"/>
      <c r="H59" s="1518"/>
    </row>
    <row r="60" spans="1:8">
      <c r="B60" s="32"/>
    </row>
    <row r="61" spans="1:8">
      <c r="A61" s="1" t="s">
        <v>518</v>
      </c>
    </row>
    <row r="62" spans="1:8">
      <c r="A62" s="386">
        <v>16</v>
      </c>
      <c r="B62" s="179" t="s">
        <v>676</v>
      </c>
      <c r="C62" s="215"/>
      <c r="D62" s="215"/>
      <c r="E62" s="215"/>
      <c r="F62" s="215"/>
      <c r="G62" s="215"/>
      <c r="H62" s="215"/>
    </row>
    <row r="63" spans="1:8" ht="27" customHeight="1">
      <c r="A63" s="386">
        <v>17</v>
      </c>
      <c r="B63" s="1518" t="s">
        <v>492</v>
      </c>
      <c r="C63" s="1518"/>
      <c r="D63" s="1518"/>
      <c r="E63" s="1518"/>
      <c r="F63" s="1518"/>
      <c r="G63" s="1518"/>
      <c r="H63" s="1518"/>
    </row>
    <row r="64" spans="1:8" ht="28.5" customHeight="1">
      <c r="A64" s="386">
        <v>18</v>
      </c>
      <c r="B64" s="1518" t="s">
        <v>623</v>
      </c>
      <c r="C64" s="1518"/>
      <c r="D64" s="1518"/>
      <c r="E64" s="1518"/>
      <c r="F64" s="1518"/>
      <c r="G64" s="1518"/>
      <c r="H64" s="1518"/>
    </row>
    <row r="65" spans="1:9" ht="13.5" customHeight="1">
      <c r="B65" s="321"/>
      <c r="C65" s="321"/>
      <c r="D65" s="321"/>
      <c r="E65" s="321"/>
      <c r="F65" s="321"/>
      <c r="G65" s="321"/>
      <c r="H65" s="321"/>
    </row>
    <row r="66" spans="1:9">
      <c r="A66" s="324" t="s">
        <v>34</v>
      </c>
      <c r="B66" s="3"/>
      <c r="C66" s="3"/>
      <c r="D66" s="3"/>
      <c r="E66" s="3"/>
    </row>
    <row r="67" spans="1:9" ht="25.5" customHeight="1">
      <c r="B67" s="295" t="s">
        <v>332</v>
      </c>
      <c r="C67" s="1535" t="s">
        <v>677</v>
      </c>
      <c r="D67" s="1535"/>
      <c r="E67" s="1535"/>
      <c r="F67" s="1535"/>
      <c r="G67" s="1535"/>
      <c r="H67" s="1535"/>
    </row>
    <row r="68" spans="1:9" ht="25.5" customHeight="1">
      <c r="B68" s="295" t="s">
        <v>652</v>
      </c>
      <c r="C68" s="1535" t="s">
        <v>547</v>
      </c>
      <c r="D68" s="1535"/>
      <c r="E68" s="1535"/>
      <c r="F68" s="1535"/>
      <c r="G68" s="1535"/>
      <c r="H68" s="1535"/>
    </row>
    <row r="69" spans="1:9" ht="24.75" customHeight="1">
      <c r="B69" s="295" t="s">
        <v>147</v>
      </c>
      <c r="C69" s="1536" t="s">
        <v>713</v>
      </c>
      <c r="D69" s="1535"/>
      <c r="E69" s="1535"/>
      <c r="F69" s="1535"/>
      <c r="G69" s="1535"/>
      <c r="H69" s="1535"/>
      <c r="I69" s="288"/>
    </row>
    <row r="70" spans="1:9" ht="25.5" customHeight="1">
      <c r="B70" s="295" t="s">
        <v>480</v>
      </c>
      <c r="C70" s="1542" t="s">
        <v>161</v>
      </c>
      <c r="D70" s="1535"/>
      <c r="E70" s="1535"/>
      <c r="F70" s="1535"/>
      <c r="G70" s="1535"/>
      <c r="H70" s="1535"/>
    </row>
    <row r="71" spans="1:9">
      <c r="B71" s="305" t="s">
        <v>481</v>
      </c>
      <c r="C71" s="32" t="s">
        <v>335</v>
      </c>
    </row>
    <row r="72" spans="1:9">
      <c r="B72" s="305" t="s">
        <v>214</v>
      </c>
      <c r="C72" s="32" t="s">
        <v>186</v>
      </c>
    </row>
    <row r="73" spans="1:9">
      <c r="B73" s="305" t="s">
        <v>84</v>
      </c>
      <c r="C73" s="32" t="s">
        <v>732</v>
      </c>
    </row>
    <row r="74" spans="1:9">
      <c r="B74" s="305" t="s">
        <v>85</v>
      </c>
      <c r="C74" s="32" t="s">
        <v>541</v>
      </c>
    </row>
    <row r="75" spans="1:9">
      <c r="B75" s="305" t="s">
        <v>374</v>
      </c>
      <c r="C75" s="32" t="s">
        <v>89</v>
      </c>
    </row>
  </sheetData>
  <sheetProtection selectLockedCells="1"/>
  <mergeCells count="10">
    <mergeCell ref="C70:H70"/>
    <mergeCell ref="A40:H40"/>
    <mergeCell ref="A41:H41"/>
    <mergeCell ref="C67:H67"/>
    <mergeCell ref="C68:H68"/>
    <mergeCell ref="C69:H69"/>
    <mergeCell ref="B64:H64"/>
    <mergeCell ref="B49:H49"/>
    <mergeCell ref="B59:H59"/>
    <mergeCell ref="B63:H63"/>
  </mergeCells>
  <phoneticPr fontId="36" type="noConversion"/>
  <dataValidations count="1">
    <dataValidation type="list" allowBlank="1" showInputMessage="1" showErrorMessage="1" sqref="C11">
      <formula1>"Yes, No"</formula1>
    </dataValidation>
  </dataValidations>
  <pageMargins left="0.5" right="0.5" top="0.35" bottom="0.4" header="0.35" footer="0.4"/>
  <pageSetup scale="78" fitToHeight="0" orientation="landscape" r:id="rId1"/>
  <headerFooter alignWithMargins="0">
    <oddFooter>&amp;L&amp;8November 2010 Version</oddFooter>
  </headerFooter>
  <rowBreaks count="1" manualBreakCount="1">
    <brk id="38" max="7" man="1"/>
  </rowBreaks>
  <drawing r:id="rId2"/>
  <legacyDrawing r:id="rId3"/>
</worksheet>
</file>

<file path=xl/worksheets/sheet20.xml><?xml version="1.0" encoding="utf-8"?>
<worksheet xmlns="http://schemas.openxmlformats.org/spreadsheetml/2006/main" xmlns:r="http://schemas.openxmlformats.org/officeDocument/2006/relationships">
  <dimension ref="A1"/>
  <sheetViews>
    <sheetView workbookViewId="0">
      <selection activeCell="A3" sqref="A3"/>
    </sheetView>
  </sheetViews>
  <sheetFormatPr defaultRowHeight="12.75"/>
  <sheetData/>
  <pageMargins left="0.7" right="0.7" top="0.75" bottom="0.75" header="0.3" footer="0.3"/>
</worksheet>
</file>

<file path=xl/worksheets/sheet21.xml><?xml version="1.0" encoding="utf-8"?>
<worksheet xmlns="http://schemas.openxmlformats.org/spreadsheetml/2006/main" xmlns:r="http://schemas.openxmlformats.org/officeDocument/2006/relationships">
  <sheetPr>
    <pageSetUpPr fitToPage="1"/>
  </sheetPr>
  <dimension ref="A1:S79"/>
  <sheetViews>
    <sheetView zoomScale="70" zoomScaleNormal="70" zoomScaleSheetLayoutView="70" workbookViewId="0">
      <selection activeCell="D33" sqref="D33"/>
    </sheetView>
  </sheetViews>
  <sheetFormatPr defaultRowHeight="12.75"/>
  <cols>
    <col min="1" max="1" width="2.7109375" style="789" customWidth="1"/>
    <col min="2" max="2" width="54.7109375" style="789" customWidth="1"/>
    <col min="3" max="5" width="14.7109375" style="789" customWidth="1"/>
    <col min="6" max="17" width="12.7109375" style="789" customWidth="1"/>
    <col min="18" max="18" width="12.7109375" style="1165" customWidth="1"/>
    <col min="19" max="19" width="12.7109375" style="789" hidden="1" customWidth="1"/>
    <col min="20" max="20" width="8.7109375" style="789" customWidth="1"/>
    <col min="21" max="16384" width="9.140625" style="789"/>
  </cols>
  <sheetData>
    <row r="1" spans="1:19" s="630" customFormat="1" ht="26.25">
      <c r="A1" s="628" t="s">
        <v>867</v>
      </c>
      <c r="B1" s="629"/>
      <c r="E1" s="1152"/>
      <c r="I1" s="813"/>
      <c r="J1" s="813"/>
      <c r="K1" s="813"/>
      <c r="L1" s="814"/>
      <c r="M1" s="814"/>
      <c r="N1" s="813"/>
      <c r="O1" s="813"/>
      <c r="P1" s="813"/>
      <c r="Q1" s="813"/>
      <c r="R1" s="1201"/>
      <c r="S1" s="813"/>
    </row>
    <row r="2" spans="1:19" s="634" customFormat="1" ht="23.25">
      <c r="A2" s="1160" t="s">
        <v>1268</v>
      </c>
      <c r="B2" s="633"/>
      <c r="I2" s="560"/>
      <c r="J2" s="560"/>
      <c r="K2" s="560"/>
      <c r="L2" s="559"/>
      <c r="M2" s="559"/>
      <c r="N2" s="560"/>
      <c r="O2" s="560"/>
      <c r="P2" s="560"/>
      <c r="Q2" s="560"/>
      <c r="R2" s="1177"/>
      <c r="S2" s="560"/>
    </row>
    <row r="3" spans="1:19" s="790" customFormat="1" ht="15">
      <c r="B3" s="788"/>
      <c r="E3" s="1167"/>
      <c r="L3" s="788"/>
      <c r="M3" s="788"/>
      <c r="R3" s="1159"/>
    </row>
    <row r="4" spans="1:19" s="1035" customFormat="1" ht="15">
      <c r="B4" s="892" t="s">
        <v>869</v>
      </c>
      <c r="E4" s="1167"/>
      <c r="F4" s="1036" t="s">
        <v>868</v>
      </c>
      <c r="G4" s="1034"/>
      <c r="L4" s="1034"/>
      <c r="M4" s="1034"/>
      <c r="R4" s="1159"/>
    </row>
    <row r="5" spans="1:19" s="1035" customFormat="1" ht="15">
      <c r="B5" s="893" t="str">
        <f>'1. Building Information'!$C$13</f>
        <v>ABC Building</v>
      </c>
      <c r="E5" s="1167"/>
      <c r="F5" s="1062" t="s">
        <v>1091</v>
      </c>
      <c r="G5" s="917"/>
      <c r="H5" s="1367"/>
      <c r="L5" s="1034"/>
      <c r="M5" s="1034"/>
      <c r="R5" s="1159"/>
    </row>
    <row r="6" spans="1:19" s="1035" customFormat="1" ht="15">
      <c r="B6" s="891"/>
      <c r="E6" s="1167"/>
      <c r="F6" s="919" t="s">
        <v>964</v>
      </c>
      <c r="G6" s="897"/>
      <c r="H6" s="1049"/>
      <c r="L6" s="1034"/>
      <c r="M6" s="1034"/>
      <c r="R6" s="1159"/>
    </row>
    <row r="7" spans="1:19" s="800" customFormat="1" ht="15">
      <c r="B7" s="801" t="s">
        <v>908</v>
      </c>
      <c r="C7" s="797"/>
      <c r="E7" s="1180"/>
      <c r="F7" s="972" t="s">
        <v>960</v>
      </c>
      <c r="G7" s="973"/>
      <c r="H7" s="974"/>
      <c r="K7" s="797"/>
      <c r="L7" s="803"/>
      <c r="M7" s="803"/>
      <c r="R7" s="1181"/>
    </row>
    <row r="8" spans="1:19" s="790" customFormat="1" ht="15" customHeight="1">
      <c r="B8" s="1442" t="s">
        <v>1276</v>
      </c>
      <c r="C8" s="1442"/>
      <c r="D8" s="1442"/>
      <c r="E8" s="1378"/>
      <c r="F8" s="919" t="s">
        <v>961</v>
      </c>
      <c r="G8" s="975"/>
      <c r="H8" s="894"/>
      <c r="K8" s="788"/>
      <c r="L8" s="788"/>
      <c r="M8" s="797"/>
      <c r="N8" s="797"/>
      <c r="R8" s="1159"/>
    </row>
    <row r="9" spans="1:19" s="790" customFormat="1" ht="15">
      <c r="B9" s="1442"/>
      <c r="C9" s="1442"/>
      <c r="D9" s="1442"/>
      <c r="E9" s="1378"/>
      <c r="F9" s="890"/>
      <c r="G9" s="1096"/>
      <c r="H9" s="1037"/>
      <c r="M9" s="797"/>
      <c r="R9" s="1159"/>
    </row>
    <row r="10" spans="1:19" s="1167" customFormat="1" ht="15">
      <c r="B10" s="1206"/>
      <c r="C10" s="1206"/>
      <c r="D10" s="1206"/>
      <c r="E10" s="1378"/>
      <c r="F10" s="890"/>
      <c r="G10" s="1096"/>
      <c r="H10" s="1169"/>
      <c r="M10" s="1174"/>
      <c r="R10" s="1159"/>
    </row>
    <row r="11" spans="1:19" s="643" customFormat="1" ht="15.75">
      <c r="B11" s="1200" t="s">
        <v>1269</v>
      </c>
      <c r="C11" s="556"/>
      <c r="D11" s="556"/>
      <c r="E11" s="1043"/>
      <c r="F11" s="556"/>
      <c r="M11" s="556"/>
      <c r="R11" s="1170"/>
    </row>
    <row r="12" spans="1:19" s="1035" customFormat="1" ht="15">
      <c r="B12" s="1167" t="s">
        <v>1405</v>
      </c>
      <c r="D12" s="1207"/>
      <c r="E12" s="1207"/>
      <c r="R12" s="1159"/>
    </row>
    <row r="13" spans="1:19" s="1101" customFormat="1" ht="15">
      <c r="E13" s="1167"/>
      <c r="F13" s="1543" t="s">
        <v>1190</v>
      </c>
      <c r="G13" s="1544"/>
      <c r="H13" s="1544"/>
      <c r="I13" s="1544"/>
      <c r="J13" s="1544"/>
      <c r="K13" s="1544"/>
      <c r="L13" s="1544"/>
      <c r="M13" s="1544"/>
      <c r="N13" s="1544"/>
      <c r="O13" s="1544"/>
      <c r="P13" s="1544"/>
      <c r="Q13" s="1545"/>
      <c r="R13" s="1159"/>
    </row>
    <row r="14" spans="1:19" s="1130" customFormat="1" ht="45">
      <c r="B14" s="1131" t="s">
        <v>1160</v>
      </c>
      <c r="C14" s="1132" t="s">
        <v>1164</v>
      </c>
      <c r="D14" s="1132" t="s">
        <v>1165</v>
      </c>
      <c r="E14" s="1136" t="s">
        <v>1225</v>
      </c>
      <c r="F14" s="1137" t="s">
        <v>596</v>
      </c>
      <c r="G14" s="1137" t="s">
        <v>597</v>
      </c>
      <c r="H14" s="1137" t="s">
        <v>598</v>
      </c>
      <c r="I14" s="1137" t="s">
        <v>599</v>
      </c>
      <c r="J14" s="1137" t="s">
        <v>600</v>
      </c>
      <c r="K14" s="1137" t="s">
        <v>601</v>
      </c>
      <c r="L14" s="1137" t="s">
        <v>341</v>
      </c>
      <c r="M14" s="1137" t="s">
        <v>342</v>
      </c>
      <c r="N14" s="1137" t="s">
        <v>49</v>
      </c>
      <c r="O14" s="1137" t="s">
        <v>112</v>
      </c>
      <c r="P14" s="1250" t="s">
        <v>113</v>
      </c>
      <c r="Q14" s="1247" t="s">
        <v>114</v>
      </c>
    </row>
    <row r="15" spans="1:19" s="1044" customFormat="1" ht="15">
      <c r="B15" s="1133" t="s">
        <v>1194</v>
      </c>
      <c r="C15" s="1134"/>
      <c r="D15" s="1134"/>
      <c r="E15" s="1249"/>
      <c r="F15" s="1127"/>
      <c r="G15" s="1127"/>
      <c r="H15" s="1127"/>
      <c r="I15" s="1127"/>
      <c r="J15" s="1127"/>
      <c r="K15" s="1127"/>
      <c r="L15" s="1127"/>
      <c r="M15" s="1127"/>
      <c r="N15" s="1127"/>
      <c r="O15" s="1127"/>
      <c r="P15" s="1127"/>
      <c r="Q15" s="1248"/>
    </row>
    <row r="16" spans="1:19" s="1044" customFormat="1" ht="15">
      <c r="B16" s="1066" t="s">
        <v>937</v>
      </c>
      <c r="C16" s="1128">
        <f>'2. Indoor Water Demand'!K18</f>
        <v>1.3000000000000002E-4</v>
      </c>
      <c r="D16" s="1128">
        <f>C16*'1. Building Information'!$C$31</f>
        <v>0</v>
      </c>
      <c r="E16" s="1083">
        <f>IF('2. Indoor Water Demand'!L18="Yes",'6. Building Potential Summary'!D16,0)</f>
        <v>0</v>
      </c>
      <c r="F16" s="1083">
        <f>$D16/12</f>
        <v>0</v>
      </c>
      <c r="G16" s="1083">
        <f t="shared" ref="G16:Q30" si="0">$D16/12</f>
        <v>0</v>
      </c>
      <c r="H16" s="1083">
        <f t="shared" si="0"/>
        <v>0</v>
      </c>
      <c r="I16" s="1083">
        <f t="shared" si="0"/>
        <v>0</v>
      </c>
      <c r="J16" s="1083">
        <f t="shared" si="0"/>
        <v>0</v>
      </c>
      <c r="K16" s="1083">
        <f t="shared" si="0"/>
        <v>0</v>
      </c>
      <c r="L16" s="1083">
        <f t="shared" si="0"/>
        <v>0</v>
      </c>
      <c r="M16" s="1083">
        <f t="shared" si="0"/>
        <v>0</v>
      </c>
      <c r="N16" s="1083">
        <f t="shared" si="0"/>
        <v>0</v>
      </c>
      <c r="O16" s="1083">
        <f t="shared" si="0"/>
        <v>0</v>
      </c>
      <c r="P16" s="1083">
        <f t="shared" si="0"/>
        <v>0</v>
      </c>
      <c r="Q16" s="1252">
        <f t="shared" si="0"/>
        <v>0</v>
      </c>
      <c r="S16" s="819" t="str">
        <f>IF('2. Indoor Water Demand'!L18="yes",1,"")</f>
        <v/>
      </c>
    </row>
    <row r="17" spans="2:19" s="1044" customFormat="1" ht="15">
      <c r="B17" s="1066" t="s">
        <v>944</v>
      </c>
      <c r="C17" s="1128">
        <f>'2. Indoor Water Demand'!K19</f>
        <v>1.2000000000000001E-3</v>
      </c>
      <c r="D17" s="1128">
        <f>C17*'1. Building Information'!$C$31</f>
        <v>0</v>
      </c>
      <c r="E17" s="1083">
        <f>IF('2. Indoor Water Demand'!L19="Yes",'6. Building Potential Summary'!D17,0)</f>
        <v>0</v>
      </c>
      <c r="F17" s="1083">
        <f t="shared" ref="F17:F21" si="1">$D17/12</f>
        <v>0</v>
      </c>
      <c r="G17" s="1083">
        <f t="shared" si="0"/>
        <v>0</v>
      </c>
      <c r="H17" s="1083">
        <f t="shared" si="0"/>
        <v>0</v>
      </c>
      <c r="I17" s="1083">
        <f t="shared" si="0"/>
        <v>0</v>
      </c>
      <c r="J17" s="1083">
        <f t="shared" si="0"/>
        <v>0</v>
      </c>
      <c r="K17" s="1083">
        <f t="shared" si="0"/>
        <v>0</v>
      </c>
      <c r="L17" s="1083">
        <f t="shared" si="0"/>
        <v>0</v>
      </c>
      <c r="M17" s="1083">
        <f t="shared" si="0"/>
        <v>0</v>
      </c>
      <c r="N17" s="1083">
        <f t="shared" si="0"/>
        <v>0</v>
      </c>
      <c r="O17" s="1083">
        <f t="shared" si="0"/>
        <v>0</v>
      </c>
      <c r="P17" s="1083">
        <f t="shared" si="0"/>
        <v>0</v>
      </c>
      <c r="Q17" s="1252">
        <f t="shared" si="0"/>
        <v>0</v>
      </c>
      <c r="S17" s="819" t="str">
        <f>IF('2. Indoor Water Demand'!L19="yes",1,"")</f>
        <v/>
      </c>
    </row>
    <row r="18" spans="2:19" s="1386" customFormat="1" ht="15">
      <c r="B18" s="1066" t="s">
        <v>1040</v>
      </c>
      <c r="C18" s="1191">
        <f>'2. Indoor Water Demand'!K20</f>
        <v>1.74E-3</v>
      </c>
      <c r="D18" s="1191">
        <f>C18*'1. Building Information'!$C$31</f>
        <v>0</v>
      </c>
      <c r="E18" s="1083">
        <f>IF('2. Indoor Water Demand'!L20="Yes",'6. Building Potential Summary'!D18,0)</f>
        <v>0</v>
      </c>
      <c r="F18" s="1384">
        <f>$D18/12</f>
        <v>0</v>
      </c>
      <c r="G18" s="1384">
        <f t="shared" si="0"/>
        <v>0</v>
      </c>
      <c r="H18" s="1384">
        <f t="shared" si="0"/>
        <v>0</v>
      </c>
      <c r="I18" s="1384">
        <f t="shared" si="0"/>
        <v>0</v>
      </c>
      <c r="J18" s="1384">
        <f t="shared" si="0"/>
        <v>0</v>
      </c>
      <c r="K18" s="1384">
        <f t="shared" si="0"/>
        <v>0</v>
      </c>
      <c r="L18" s="1384">
        <f t="shared" si="0"/>
        <v>0</v>
      </c>
      <c r="M18" s="1384">
        <f t="shared" si="0"/>
        <v>0</v>
      </c>
      <c r="N18" s="1384">
        <f t="shared" si="0"/>
        <v>0</v>
      </c>
      <c r="O18" s="1384">
        <f t="shared" si="0"/>
        <v>0</v>
      </c>
      <c r="P18" s="1384">
        <f t="shared" si="0"/>
        <v>0</v>
      </c>
      <c r="Q18" s="1385">
        <f>$D18/12</f>
        <v>0</v>
      </c>
      <c r="S18" s="819">
        <f>IF('2. Indoor Water Demand'!L20="yes",1,"")</f>
        <v>1</v>
      </c>
    </row>
    <row r="19" spans="2:19" s="1386" customFormat="1" ht="15">
      <c r="B19" s="1066" t="s">
        <v>940</v>
      </c>
      <c r="C19" s="1191">
        <f>'2. Indoor Water Demand'!K21</f>
        <v>8.9087999999999997E-3</v>
      </c>
      <c r="D19" s="1191">
        <f>C19*'1. Building Information'!$C$31</f>
        <v>0</v>
      </c>
      <c r="E19" s="1083">
        <f>IF('2. Indoor Water Demand'!L21="Yes",'6. Building Potential Summary'!D19,0)</f>
        <v>0</v>
      </c>
      <c r="F19" s="1384">
        <f t="shared" si="1"/>
        <v>0</v>
      </c>
      <c r="G19" s="1384">
        <f t="shared" si="0"/>
        <v>0</v>
      </c>
      <c r="H19" s="1384">
        <f t="shared" si="0"/>
        <v>0</v>
      </c>
      <c r="I19" s="1384">
        <f t="shared" si="0"/>
        <v>0</v>
      </c>
      <c r="J19" s="1384">
        <f t="shared" si="0"/>
        <v>0</v>
      </c>
      <c r="K19" s="1384">
        <f t="shared" si="0"/>
        <v>0</v>
      </c>
      <c r="L19" s="1384">
        <f t="shared" si="0"/>
        <v>0</v>
      </c>
      <c r="M19" s="1384">
        <f t="shared" si="0"/>
        <v>0</v>
      </c>
      <c r="N19" s="1384">
        <f t="shared" si="0"/>
        <v>0</v>
      </c>
      <c r="O19" s="1384">
        <f t="shared" si="0"/>
        <v>0</v>
      </c>
      <c r="P19" s="1384">
        <f t="shared" si="0"/>
        <v>0</v>
      </c>
      <c r="Q19" s="1385">
        <f t="shared" si="0"/>
        <v>0</v>
      </c>
      <c r="S19" s="819">
        <f>IF('2. Indoor Water Demand'!L21="yes",1,"")</f>
        <v>1</v>
      </c>
    </row>
    <row r="20" spans="2:19" s="1044" customFormat="1" ht="15">
      <c r="B20" s="1066" t="s">
        <v>941</v>
      </c>
      <c r="C20" s="1128">
        <f>'2. Indoor Water Demand'!K22</f>
        <v>1.8000000000000002E-3</v>
      </c>
      <c r="D20" s="1128">
        <f>C20*'1. Building Information'!$C$31</f>
        <v>0</v>
      </c>
      <c r="E20" s="1083">
        <f>IF('2. Indoor Water Demand'!L22="Yes",'6. Building Potential Summary'!D20,0)</f>
        <v>0</v>
      </c>
      <c r="F20" s="1083">
        <f>$D20/12</f>
        <v>0</v>
      </c>
      <c r="G20" s="1083">
        <f t="shared" si="0"/>
        <v>0</v>
      </c>
      <c r="H20" s="1083">
        <f t="shared" si="0"/>
        <v>0</v>
      </c>
      <c r="I20" s="1083">
        <f t="shared" si="0"/>
        <v>0</v>
      </c>
      <c r="J20" s="1083">
        <f t="shared" si="0"/>
        <v>0</v>
      </c>
      <c r="K20" s="1083">
        <f t="shared" si="0"/>
        <v>0</v>
      </c>
      <c r="L20" s="1083">
        <f t="shared" si="0"/>
        <v>0</v>
      </c>
      <c r="M20" s="1083">
        <f t="shared" si="0"/>
        <v>0</v>
      </c>
      <c r="N20" s="1083">
        <f t="shared" si="0"/>
        <v>0</v>
      </c>
      <c r="O20" s="1083">
        <f t="shared" si="0"/>
        <v>0</v>
      </c>
      <c r="P20" s="1083">
        <f t="shared" si="0"/>
        <v>0</v>
      </c>
      <c r="Q20" s="1252">
        <f t="shared" si="0"/>
        <v>0</v>
      </c>
      <c r="R20" s="1406"/>
      <c r="S20" s="819" t="str">
        <f>IF('2. Indoor Water Demand'!L22="yes",1,"")</f>
        <v/>
      </c>
    </row>
    <row r="21" spans="2:19" s="1044" customFormat="1" ht="15">
      <c r="B21" s="1066" t="s">
        <v>945</v>
      </c>
      <c r="C21" s="1191">
        <f>'2. Indoor Water Demand'!K23</f>
        <v>0</v>
      </c>
      <c r="D21" s="1191">
        <f>C21*'1. Building Information'!$C$31</f>
        <v>0</v>
      </c>
      <c r="E21" s="1083">
        <f>IF('2. Indoor Water Demand'!L23="Yes",'6. Building Potential Summary'!D21,0)</f>
        <v>0</v>
      </c>
      <c r="F21" s="1083">
        <f t="shared" si="1"/>
        <v>0</v>
      </c>
      <c r="G21" s="1083">
        <f t="shared" si="0"/>
        <v>0</v>
      </c>
      <c r="H21" s="1083">
        <f t="shared" si="0"/>
        <v>0</v>
      </c>
      <c r="I21" s="1083">
        <f t="shared" si="0"/>
        <v>0</v>
      </c>
      <c r="J21" s="1083">
        <f t="shared" si="0"/>
        <v>0</v>
      </c>
      <c r="K21" s="1083">
        <f t="shared" si="0"/>
        <v>0</v>
      </c>
      <c r="L21" s="1083">
        <f t="shared" si="0"/>
        <v>0</v>
      </c>
      <c r="M21" s="1083">
        <f t="shared" si="0"/>
        <v>0</v>
      </c>
      <c r="N21" s="1083">
        <f t="shared" si="0"/>
        <v>0</v>
      </c>
      <c r="O21" s="1083">
        <f t="shared" si="0"/>
        <v>0</v>
      </c>
      <c r="P21" s="1083">
        <f t="shared" si="0"/>
        <v>0</v>
      </c>
      <c r="Q21" s="1252">
        <f t="shared" si="0"/>
        <v>0</v>
      </c>
      <c r="S21" s="819" t="str">
        <f>IF('2. Indoor Water Demand'!L23="yes",1,"")</f>
        <v/>
      </c>
    </row>
    <row r="22" spans="2:19" s="1044" customFormat="1" ht="15">
      <c r="B22" s="1253" t="s">
        <v>1191</v>
      </c>
      <c r="C22" s="1254">
        <f>SUM(C16:C21)</f>
        <v>1.3778799999999999E-2</v>
      </c>
      <c r="D22" s="1254">
        <f>SUM(D16:D21)</f>
        <v>0</v>
      </c>
      <c r="E22" s="1254">
        <f>SUM(E16:E21)</f>
        <v>0</v>
      </c>
      <c r="F22" s="1254">
        <f>SUM(F16:F21)</f>
        <v>0</v>
      </c>
      <c r="G22" s="1254">
        <f t="shared" ref="G22:Q22" si="2">SUM(G16:G21)</f>
        <v>0</v>
      </c>
      <c r="H22" s="1254">
        <f t="shared" si="2"/>
        <v>0</v>
      </c>
      <c r="I22" s="1254">
        <f t="shared" si="2"/>
        <v>0</v>
      </c>
      <c r="J22" s="1254">
        <f t="shared" si="2"/>
        <v>0</v>
      </c>
      <c r="K22" s="1254">
        <f t="shared" si="2"/>
        <v>0</v>
      </c>
      <c r="L22" s="1254">
        <f t="shared" si="2"/>
        <v>0</v>
      </c>
      <c r="M22" s="1254">
        <f t="shared" si="2"/>
        <v>0</v>
      </c>
      <c r="N22" s="1254">
        <f t="shared" si="2"/>
        <v>0</v>
      </c>
      <c r="O22" s="1254">
        <f t="shared" si="2"/>
        <v>0</v>
      </c>
      <c r="P22" s="1254">
        <f t="shared" si="2"/>
        <v>0</v>
      </c>
      <c r="Q22" s="1254">
        <f t="shared" si="2"/>
        <v>0</v>
      </c>
      <c r="S22" s="815"/>
    </row>
    <row r="23" spans="2:19" s="1044" customFormat="1" ht="15">
      <c r="B23" s="1126" t="s">
        <v>1193</v>
      </c>
      <c r="C23" s="1127"/>
      <c r="D23" s="1127"/>
      <c r="E23" s="1127"/>
      <c r="F23" s="1127"/>
      <c r="G23" s="1127"/>
      <c r="H23" s="1127"/>
      <c r="I23" s="1127"/>
      <c r="J23" s="1127"/>
      <c r="K23" s="1127"/>
      <c r="L23" s="1127"/>
      <c r="M23" s="1127"/>
      <c r="N23" s="1127"/>
      <c r="O23" s="1127"/>
      <c r="P23" s="1127"/>
      <c r="Q23" s="1248"/>
      <c r="S23" s="815"/>
    </row>
    <row r="24" spans="2:19" s="1044" customFormat="1" ht="15">
      <c r="B24" s="1129" t="s">
        <v>937</v>
      </c>
      <c r="C24" s="1128">
        <f>'2. Indoor Water Demand'!I42</f>
        <v>21.426599999999997</v>
      </c>
      <c r="D24" s="1128">
        <f>C24*'1. Building Information'!$C$31</f>
        <v>0</v>
      </c>
      <c r="E24" s="1083">
        <f>IF('2. Indoor Water Demand'!J42="Yes",'6. Building Potential Summary'!D24,0)</f>
        <v>0</v>
      </c>
      <c r="F24" s="1083">
        <f>$D24/12</f>
        <v>0</v>
      </c>
      <c r="G24" s="1083">
        <f t="shared" si="0"/>
        <v>0</v>
      </c>
      <c r="H24" s="1083">
        <f t="shared" si="0"/>
        <v>0</v>
      </c>
      <c r="I24" s="1083">
        <f t="shared" si="0"/>
        <v>0</v>
      </c>
      <c r="J24" s="1083">
        <f t="shared" si="0"/>
        <v>0</v>
      </c>
      <c r="K24" s="1083">
        <f t="shared" si="0"/>
        <v>0</v>
      </c>
      <c r="L24" s="1083">
        <f t="shared" si="0"/>
        <v>0</v>
      </c>
      <c r="M24" s="1083">
        <f t="shared" si="0"/>
        <v>0</v>
      </c>
      <c r="N24" s="1083">
        <f t="shared" si="0"/>
        <v>0</v>
      </c>
      <c r="O24" s="1083">
        <f t="shared" si="0"/>
        <v>0</v>
      </c>
      <c r="P24" s="1083">
        <f t="shared" si="0"/>
        <v>0</v>
      </c>
      <c r="Q24" s="1252">
        <f t="shared" si="0"/>
        <v>0</v>
      </c>
      <c r="S24" s="819" t="str">
        <f>IF('2. Indoor Water Demand'!J42="yes",1,"")</f>
        <v/>
      </c>
    </row>
    <row r="25" spans="2:19" s="1044" customFormat="1" ht="15">
      <c r="B25" s="1129" t="s">
        <v>938</v>
      </c>
      <c r="C25" s="1128">
        <f>'2. Indoor Water Demand'!I43</f>
        <v>3.9194999999999998</v>
      </c>
      <c r="D25" s="1128">
        <f>C25*'1. Building Information'!$C$31</f>
        <v>0</v>
      </c>
      <c r="E25" s="1083">
        <f>IF('2. Indoor Water Demand'!J43="Yes",'6. Building Potential Summary'!D25,0)</f>
        <v>0</v>
      </c>
      <c r="F25" s="1083">
        <f t="shared" ref="F25:F30" si="3">$D25/12</f>
        <v>0</v>
      </c>
      <c r="G25" s="1083">
        <f t="shared" si="0"/>
        <v>0</v>
      </c>
      <c r="H25" s="1083">
        <f t="shared" si="0"/>
        <v>0</v>
      </c>
      <c r="I25" s="1083">
        <f t="shared" si="0"/>
        <v>0</v>
      </c>
      <c r="J25" s="1083">
        <f t="shared" si="0"/>
        <v>0</v>
      </c>
      <c r="K25" s="1083">
        <f t="shared" si="0"/>
        <v>0</v>
      </c>
      <c r="L25" s="1083">
        <f t="shared" si="0"/>
        <v>0</v>
      </c>
      <c r="M25" s="1083">
        <f t="shared" si="0"/>
        <v>0</v>
      </c>
      <c r="N25" s="1083">
        <f t="shared" si="0"/>
        <v>0</v>
      </c>
      <c r="O25" s="1083">
        <f t="shared" si="0"/>
        <v>0</v>
      </c>
      <c r="P25" s="1083">
        <f t="shared" si="0"/>
        <v>0</v>
      </c>
      <c r="Q25" s="1252">
        <f t="shared" si="0"/>
        <v>0</v>
      </c>
      <c r="S25" s="819" t="str">
        <f>IF('2. Indoor Water Demand'!J43="yes",1,"")</f>
        <v/>
      </c>
    </row>
    <row r="26" spans="2:19" s="1044" customFormat="1" ht="15">
      <c r="B26" s="1129" t="s">
        <v>939</v>
      </c>
      <c r="C26" s="1128">
        <f>'2. Indoor Water Demand'!I44</f>
        <v>5.0249999999999995</v>
      </c>
      <c r="D26" s="1128">
        <f>C26*'1. Building Information'!$C$31</f>
        <v>0</v>
      </c>
      <c r="E26" s="1083">
        <f>IF('2. Indoor Water Demand'!J44="Yes",'6. Building Potential Summary'!D26,0)</f>
        <v>0</v>
      </c>
      <c r="F26" s="1083">
        <f t="shared" si="3"/>
        <v>0</v>
      </c>
      <c r="G26" s="1083">
        <f t="shared" si="0"/>
        <v>0</v>
      </c>
      <c r="H26" s="1083">
        <f t="shared" si="0"/>
        <v>0</v>
      </c>
      <c r="I26" s="1083">
        <f t="shared" si="0"/>
        <v>0</v>
      </c>
      <c r="J26" s="1083">
        <f t="shared" si="0"/>
        <v>0</v>
      </c>
      <c r="K26" s="1083">
        <f t="shared" si="0"/>
        <v>0</v>
      </c>
      <c r="L26" s="1083">
        <f t="shared" si="0"/>
        <v>0</v>
      </c>
      <c r="M26" s="1083">
        <f t="shared" si="0"/>
        <v>0</v>
      </c>
      <c r="N26" s="1083">
        <f t="shared" si="0"/>
        <v>0</v>
      </c>
      <c r="O26" s="1083">
        <f t="shared" si="0"/>
        <v>0</v>
      </c>
      <c r="P26" s="1083">
        <f t="shared" si="0"/>
        <v>0</v>
      </c>
      <c r="Q26" s="1252">
        <f t="shared" si="0"/>
        <v>0</v>
      </c>
      <c r="S26" s="819" t="str">
        <f>IF('2. Indoor Water Demand'!J44="yes",1,"")</f>
        <v/>
      </c>
    </row>
    <row r="27" spans="2:19" s="1044" customFormat="1" ht="15">
      <c r="B27" s="1129" t="s">
        <v>942</v>
      </c>
      <c r="C27" s="1128">
        <f>'2. Indoor Water Demand'!I45</f>
        <v>22.992389999999997</v>
      </c>
      <c r="D27" s="1128">
        <f>C27*'1. Building Information'!$C$31</f>
        <v>0</v>
      </c>
      <c r="E27" s="1083">
        <f>IF('2. Indoor Water Demand'!J45="Yes",'6. Building Potential Summary'!D27,0)</f>
        <v>0</v>
      </c>
      <c r="F27" s="1083">
        <f t="shared" si="3"/>
        <v>0</v>
      </c>
      <c r="G27" s="1083">
        <f t="shared" si="0"/>
        <v>0</v>
      </c>
      <c r="H27" s="1083">
        <f t="shared" si="0"/>
        <v>0</v>
      </c>
      <c r="I27" s="1083">
        <f t="shared" si="0"/>
        <v>0</v>
      </c>
      <c r="J27" s="1083">
        <f t="shared" si="0"/>
        <v>0</v>
      </c>
      <c r="K27" s="1083">
        <f t="shared" si="0"/>
        <v>0</v>
      </c>
      <c r="L27" s="1083">
        <f t="shared" si="0"/>
        <v>0</v>
      </c>
      <c r="M27" s="1083">
        <f t="shared" si="0"/>
        <v>0</v>
      </c>
      <c r="N27" s="1083">
        <f t="shared" si="0"/>
        <v>0</v>
      </c>
      <c r="O27" s="1083">
        <f t="shared" si="0"/>
        <v>0</v>
      </c>
      <c r="P27" s="1083">
        <f t="shared" si="0"/>
        <v>0</v>
      </c>
      <c r="Q27" s="1252">
        <f t="shared" si="0"/>
        <v>0</v>
      </c>
      <c r="S27" s="819" t="str">
        <f>IF('2. Indoor Water Demand'!J45="yes",1,"")</f>
        <v/>
      </c>
    </row>
    <row r="28" spans="2:19" s="1044" customFormat="1" ht="15">
      <c r="B28" s="1129" t="s">
        <v>940</v>
      </c>
      <c r="C28" s="1128">
        <f>'2. Indoor Water Demand'!I46</f>
        <v>12.220799999999999</v>
      </c>
      <c r="D28" s="1128">
        <f>C28*'1. Building Information'!$C$31</f>
        <v>0</v>
      </c>
      <c r="E28" s="1083">
        <f>IF('2. Indoor Water Demand'!J46="Yes",'6. Building Potential Summary'!D28,0)</f>
        <v>0</v>
      </c>
      <c r="F28" s="1083">
        <f t="shared" si="3"/>
        <v>0</v>
      </c>
      <c r="G28" s="1083">
        <f t="shared" si="0"/>
        <v>0</v>
      </c>
      <c r="H28" s="1083">
        <f t="shared" si="0"/>
        <v>0</v>
      </c>
      <c r="I28" s="1083">
        <f t="shared" si="0"/>
        <v>0</v>
      </c>
      <c r="J28" s="1083">
        <f t="shared" si="0"/>
        <v>0</v>
      </c>
      <c r="K28" s="1083">
        <f t="shared" si="0"/>
        <v>0</v>
      </c>
      <c r="L28" s="1083">
        <f t="shared" si="0"/>
        <v>0</v>
      </c>
      <c r="M28" s="1083">
        <f t="shared" si="0"/>
        <v>0</v>
      </c>
      <c r="N28" s="1083">
        <f t="shared" si="0"/>
        <v>0</v>
      </c>
      <c r="O28" s="1083">
        <f t="shared" si="0"/>
        <v>0</v>
      </c>
      <c r="P28" s="1083">
        <f t="shared" si="0"/>
        <v>0</v>
      </c>
      <c r="Q28" s="1252">
        <f t="shared" si="0"/>
        <v>0</v>
      </c>
      <c r="S28" s="819">
        <f>IF('2. Indoor Water Demand'!J46="yes",1,"")</f>
        <v>1</v>
      </c>
    </row>
    <row r="29" spans="2:19" s="1044" customFormat="1" ht="15">
      <c r="B29" s="1129" t="s">
        <v>941</v>
      </c>
      <c r="C29" s="1128">
        <f>'2. Indoor Water Demand'!I47</f>
        <v>28.292759999999998</v>
      </c>
      <c r="D29" s="1128">
        <f>C29*'1. Building Information'!$C$31</f>
        <v>0</v>
      </c>
      <c r="E29" s="1083">
        <f>IF('2. Indoor Water Demand'!J47="Yes",'6. Building Potential Summary'!D29,0)</f>
        <v>0</v>
      </c>
      <c r="F29" s="1083">
        <f t="shared" si="3"/>
        <v>0</v>
      </c>
      <c r="G29" s="1083">
        <f t="shared" si="0"/>
        <v>0</v>
      </c>
      <c r="H29" s="1083">
        <f t="shared" si="0"/>
        <v>0</v>
      </c>
      <c r="I29" s="1083">
        <f t="shared" si="0"/>
        <v>0</v>
      </c>
      <c r="J29" s="1083">
        <f t="shared" si="0"/>
        <v>0</v>
      </c>
      <c r="K29" s="1083">
        <f t="shared" si="0"/>
        <v>0</v>
      </c>
      <c r="L29" s="1083">
        <f t="shared" si="0"/>
        <v>0</v>
      </c>
      <c r="M29" s="1083">
        <f t="shared" si="0"/>
        <v>0</v>
      </c>
      <c r="N29" s="1083">
        <f t="shared" si="0"/>
        <v>0</v>
      </c>
      <c r="O29" s="1083">
        <f t="shared" si="0"/>
        <v>0</v>
      </c>
      <c r="P29" s="1083">
        <f t="shared" si="0"/>
        <v>0</v>
      </c>
      <c r="Q29" s="1252">
        <f t="shared" si="0"/>
        <v>0</v>
      </c>
      <c r="S29" s="819" t="str">
        <f>IF('2. Indoor Water Demand'!J47="yes",1,"")</f>
        <v/>
      </c>
    </row>
    <row r="30" spans="2:19" s="1044" customFormat="1" ht="15">
      <c r="B30" s="1129" t="s">
        <v>943</v>
      </c>
      <c r="C30" s="1191">
        <f>'2. Indoor Water Demand'!I48</f>
        <v>0.89645999999999992</v>
      </c>
      <c r="D30" s="1191">
        <f>C30*'1. Building Information'!$C$31</f>
        <v>0</v>
      </c>
      <c r="E30" s="1083">
        <f>IF('2. Indoor Water Demand'!J48="Yes",'6. Building Potential Summary'!D30,0)</f>
        <v>0</v>
      </c>
      <c r="F30" s="1083">
        <f t="shared" si="3"/>
        <v>0</v>
      </c>
      <c r="G30" s="1083">
        <f t="shared" si="0"/>
        <v>0</v>
      </c>
      <c r="H30" s="1083">
        <f t="shared" si="0"/>
        <v>0</v>
      </c>
      <c r="I30" s="1083">
        <f t="shared" si="0"/>
        <v>0</v>
      </c>
      <c r="J30" s="1083">
        <f t="shared" si="0"/>
        <v>0</v>
      </c>
      <c r="K30" s="1083">
        <f t="shared" si="0"/>
        <v>0</v>
      </c>
      <c r="L30" s="1083">
        <f t="shared" si="0"/>
        <v>0</v>
      </c>
      <c r="M30" s="1083">
        <f t="shared" si="0"/>
        <v>0</v>
      </c>
      <c r="N30" s="1083">
        <f t="shared" si="0"/>
        <v>0</v>
      </c>
      <c r="O30" s="1083">
        <f t="shared" si="0"/>
        <v>0</v>
      </c>
      <c r="P30" s="1083">
        <f t="shared" si="0"/>
        <v>0</v>
      </c>
      <c r="Q30" s="1252">
        <f t="shared" si="0"/>
        <v>0</v>
      </c>
      <c r="S30" s="819" t="str">
        <f>IF('2. Indoor Water Demand'!J48="yes",1,"")</f>
        <v/>
      </c>
    </row>
    <row r="31" spans="2:19" s="1044" customFormat="1" ht="15">
      <c r="B31" s="1255" t="s">
        <v>1191</v>
      </c>
      <c r="C31" s="1254">
        <f>SUM(C24:C30)</f>
        <v>94.773510000000002</v>
      </c>
      <c r="D31" s="1254">
        <f>SUM(D24:D30)</f>
        <v>0</v>
      </c>
      <c r="E31" s="1254">
        <f>SUM(E24:E30)</f>
        <v>0</v>
      </c>
      <c r="F31" s="1254">
        <f>SUM(F24:F30)</f>
        <v>0</v>
      </c>
      <c r="G31" s="1254">
        <f t="shared" ref="G31:Q31" si="4">SUM(G24:G30)</f>
        <v>0</v>
      </c>
      <c r="H31" s="1254">
        <f t="shared" si="4"/>
        <v>0</v>
      </c>
      <c r="I31" s="1254">
        <f t="shared" si="4"/>
        <v>0</v>
      </c>
      <c r="J31" s="1254">
        <f t="shared" si="4"/>
        <v>0</v>
      </c>
      <c r="K31" s="1254">
        <f t="shared" si="4"/>
        <v>0</v>
      </c>
      <c r="L31" s="1254">
        <f t="shared" si="4"/>
        <v>0</v>
      </c>
      <c r="M31" s="1254">
        <f t="shared" si="4"/>
        <v>0</v>
      </c>
      <c r="N31" s="1254">
        <f t="shared" si="4"/>
        <v>0</v>
      </c>
      <c r="O31" s="1254">
        <f t="shared" si="4"/>
        <v>0</v>
      </c>
      <c r="P31" s="1254">
        <f t="shared" si="4"/>
        <v>0</v>
      </c>
      <c r="Q31" s="1254">
        <f t="shared" si="4"/>
        <v>0</v>
      </c>
      <c r="S31" s="1030"/>
    </row>
    <row r="32" spans="2:19" s="1044" customFormat="1" ht="15">
      <c r="B32" s="1126" t="s">
        <v>1195</v>
      </c>
      <c r="C32" s="1127"/>
      <c r="D32" s="1127"/>
      <c r="E32" s="1127"/>
      <c r="F32" s="1127"/>
      <c r="G32" s="1127"/>
      <c r="H32" s="1127"/>
      <c r="I32" s="1127"/>
      <c r="J32" s="1127"/>
      <c r="K32" s="1127"/>
      <c r="L32" s="1127"/>
      <c r="M32" s="1127"/>
      <c r="N32" s="1127"/>
      <c r="O32" s="1127"/>
      <c r="P32" s="1127"/>
      <c r="Q32" s="1248"/>
      <c r="S32" s="1030"/>
    </row>
    <row r="33" spans="2:19" s="1044" customFormat="1" ht="15">
      <c r="B33" s="1383" t="s">
        <v>1166</v>
      </c>
      <c r="C33" s="1191">
        <f>'2. Indoor Water Demand'!E75</f>
        <v>0</v>
      </c>
      <c r="D33" s="1191">
        <f>'2. Indoor Water Demand'!C81</f>
        <v>0</v>
      </c>
      <c r="E33" s="1083">
        <f>D33</f>
        <v>0</v>
      </c>
      <c r="F33" s="1083">
        <f>'2. Indoor Water Demand'!F63</f>
        <v>0</v>
      </c>
      <c r="G33" s="1083">
        <f>'2. Indoor Water Demand'!F64</f>
        <v>0</v>
      </c>
      <c r="H33" s="1083">
        <f>'2. Indoor Water Demand'!F65</f>
        <v>0</v>
      </c>
      <c r="I33" s="1083">
        <f>'2. Indoor Water Demand'!F66</f>
        <v>0</v>
      </c>
      <c r="J33" s="1083">
        <f>'2. Indoor Water Demand'!F67</f>
        <v>0</v>
      </c>
      <c r="K33" s="1083">
        <f>'2. Indoor Water Demand'!F68</f>
        <v>0</v>
      </c>
      <c r="L33" s="1083">
        <f>'2. Indoor Water Demand'!F69</f>
        <v>0</v>
      </c>
      <c r="M33" s="1083">
        <f>'2. Indoor Water Demand'!F70</f>
        <v>0</v>
      </c>
      <c r="N33" s="1083">
        <f>'2. Indoor Water Demand'!F71</f>
        <v>0</v>
      </c>
      <c r="O33" s="1083">
        <f>'2. Indoor Water Demand'!F72</f>
        <v>0</v>
      </c>
      <c r="P33" s="1083">
        <f>'2. Indoor Water Demand'!F73</f>
        <v>0</v>
      </c>
      <c r="Q33" s="1252">
        <f>'2. Indoor Water Demand'!F74</f>
        <v>0</v>
      </c>
      <c r="S33" s="1030"/>
    </row>
    <row r="34" spans="2:19" s="1044" customFormat="1" ht="15">
      <c r="B34" s="1253" t="s">
        <v>1191</v>
      </c>
      <c r="C34" s="1254">
        <f>C33</f>
        <v>0</v>
      </c>
      <c r="D34" s="1254">
        <f>SUM(D33)</f>
        <v>0</v>
      </c>
      <c r="E34" s="1254">
        <f>SUM(E33)</f>
        <v>0</v>
      </c>
      <c r="F34" s="1254">
        <f>SUM(F33)</f>
        <v>0</v>
      </c>
      <c r="G34" s="1254">
        <f t="shared" ref="G34:Q34" si="5">SUM(G33)</f>
        <v>0</v>
      </c>
      <c r="H34" s="1254">
        <f t="shared" si="5"/>
        <v>0</v>
      </c>
      <c r="I34" s="1254">
        <f t="shared" si="5"/>
        <v>0</v>
      </c>
      <c r="J34" s="1254">
        <f t="shared" si="5"/>
        <v>0</v>
      </c>
      <c r="K34" s="1254">
        <f t="shared" si="5"/>
        <v>0</v>
      </c>
      <c r="L34" s="1254">
        <f t="shared" si="5"/>
        <v>0</v>
      </c>
      <c r="M34" s="1254">
        <f t="shared" si="5"/>
        <v>0</v>
      </c>
      <c r="N34" s="1254">
        <f t="shared" si="5"/>
        <v>0</v>
      </c>
      <c r="O34" s="1254">
        <f t="shared" si="5"/>
        <v>0</v>
      </c>
      <c r="P34" s="1254">
        <f t="shared" si="5"/>
        <v>0</v>
      </c>
      <c r="Q34" s="1254">
        <f t="shared" si="5"/>
        <v>0</v>
      </c>
      <c r="S34" s="1030"/>
    </row>
    <row r="35" spans="2:19" s="1044" customFormat="1" ht="30">
      <c r="B35" s="1126" t="s">
        <v>1181</v>
      </c>
      <c r="C35" s="1127"/>
      <c r="D35" s="1127"/>
      <c r="E35" s="1127"/>
      <c r="F35" s="1127"/>
      <c r="G35" s="1127"/>
      <c r="H35" s="1127"/>
      <c r="I35" s="1127"/>
      <c r="J35" s="1127"/>
      <c r="K35" s="1127"/>
      <c r="L35" s="1127"/>
      <c r="M35" s="1127"/>
      <c r="N35" s="1127"/>
      <c r="O35" s="1127"/>
      <c r="P35" s="1127"/>
      <c r="Q35" s="1248"/>
      <c r="S35" s="1030"/>
    </row>
    <row r="36" spans="2:19" s="1044" customFormat="1" ht="15">
      <c r="B36" s="1383" t="s">
        <v>1022</v>
      </c>
      <c r="C36" s="1128">
        <f>'2. Indoor Water Demand'!C88</f>
        <v>100</v>
      </c>
      <c r="D36" s="1128">
        <f>'2. Indoor Water Demand'!C90</f>
        <v>25000</v>
      </c>
      <c r="E36" s="1083">
        <f>D36</f>
        <v>25000</v>
      </c>
      <c r="F36" s="1083">
        <f>$D36/12</f>
        <v>2083.3333333333335</v>
      </c>
      <c r="G36" s="1083">
        <f t="shared" ref="G36:Q38" si="6">$D36/12</f>
        <v>2083.3333333333335</v>
      </c>
      <c r="H36" s="1083">
        <f t="shared" si="6"/>
        <v>2083.3333333333335</v>
      </c>
      <c r="I36" s="1083">
        <f t="shared" si="6"/>
        <v>2083.3333333333335</v>
      </c>
      <c r="J36" s="1083">
        <f t="shared" si="6"/>
        <v>2083.3333333333335</v>
      </c>
      <c r="K36" s="1083">
        <f t="shared" si="6"/>
        <v>2083.3333333333335</v>
      </c>
      <c r="L36" s="1083">
        <f t="shared" si="6"/>
        <v>2083.3333333333335</v>
      </c>
      <c r="M36" s="1083">
        <f t="shared" si="6"/>
        <v>2083.3333333333335</v>
      </c>
      <c r="N36" s="1083">
        <f t="shared" si="6"/>
        <v>2083.3333333333335</v>
      </c>
      <c r="O36" s="1083">
        <f t="shared" si="6"/>
        <v>2083.3333333333335</v>
      </c>
      <c r="P36" s="1083">
        <f t="shared" si="6"/>
        <v>2083.3333333333335</v>
      </c>
      <c r="Q36" s="1252">
        <f t="shared" si="6"/>
        <v>2083.3333333333335</v>
      </c>
      <c r="S36" s="1030"/>
    </row>
    <row r="37" spans="2:19" s="1044" customFormat="1" ht="15">
      <c r="B37" s="1383" t="s">
        <v>1003</v>
      </c>
      <c r="C37" s="1128">
        <f>'2. Indoor Water Demand'!C95</f>
        <v>34</v>
      </c>
      <c r="D37" s="1128">
        <f>'2. Indoor Water Demand'!C97</f>
        <v>1768</v>
      </c>
      <c r="E37" s="1083">
        <f>D37</f>
        <v>1768</v>
      </c>
      <c r="F37" s="1083">
        <f t="shared" ref="F37:F38" si="7">$D37/12</f>
        <v>147.33333333333334</v>
      </c>
      <c r="G37" s="1083">
        <f t="shared" si="6"/>
        <v>147.33333333333334</v>
      </c>
      <c r="H37" s="1083">
        <f t="shared" si="6"/>
        <v>147.33333333333334</v>
      </c>
      <c r="I37" s="1083">
        <f t="shared" si="6"/>
        <v>147.33333333333334</v>
      </c>
      <c r="J37" s="1083">
        <f t="shared" si="6"/>
        <v>147.33333333333334</v>
      </c>
      <c r="K37" s="1083">
        <f t="shared" si="6"/>
        <v>147.33333333333334</v>
      </c>
      <c r="L37" s="1083">
        <f t="shared" si="6"/>
        <v>147.33333333333334</v>
      </c>
      <c r="M37" s="1083">
        <f t="shared" si="6"/>
        <v>147.33333333333334</v>
      </c>
      <c r="N37" s="1083">
        <f t="shared" si="6"/>
        <v>147.33333333333334</v>
      </c>
      <c r="O37" s="1083">
        <f t="shared" si="6"/>
        <v>147.33333333333334</v>
      </c>
      <c r="P37" s="1083">
        <f t="shared" si="6"/>
        <v>147.33333333333334</v>
      </c>
      <c r="Q37" s="1252">
        <f t="shared" si="6"/>
        <v>147.33333333333334</v>
      </c>
      <c r="S37" s="1030"/>
    </row>
    <row r="38" spans="2:19" s="1044" customFormat="1" ht="15">
      <c r="B38" s="1383" t="str">
        <f>'2. Indoor Water Demand'!B100</f>
        <v>&lt;Please specify here&gt;</v>
      </c>
      <c r="C38" s="1191">
        <f>'2. Indoor Water Demand'!C100</f>
        <v>0</v>
      </c>
      <c r="D38" s="1191">
        <f>'2. Indoor Water Demand'!C102</f>
        <v>0</v>
      </c>
      <c r="E38" s="1083">
        <f>D38</f>
        <v>0</v>
      </c>
      <c r="F38" s="1083">
        <f t="shared" si="7"/>
        <v>0</v>
      </c>
      <c r="G38" s="1083">
        <f t="shared" si="6"/>
        <v>0</v>
      </c>
      <c r="H38" s="1083">
        <f t="shared" si="6"/>
        <v>0</v>
      </c>
      <c r="I38" s="1083">
        <f t="shared" si="6"/>
        <v>0</v>
      </c>
      <c r="J38" s="1083">
        <f t="shared" si="6"/>
        <v>0</v>
      </c>
      <c r="K38" s="1083">
        <f t="shared" si="6"/>
        <v>0</v>
      </c>
      <c r="L38" s="1083">
        <f t="shared" si="6"/>
        <v>0</v>
      </c>
      <c r="M38" s="1083">
        <f t="shared" si="6"/>
        <v>0</v>
      </c>
      <c r="N38" s="1083">
        <f t="shared" si="6"/>
        <v>0</v>
      </c>
      <c r="O38" s="1083">
        <f t="shared" si="6"/>
        <v>0</v>
      </c>
      <c r="P38" s="1083">
        <f t="shared" si="6"/>
        <v>0</v>
      </c>
      <c r="Q38" s="1252">
        <f t="shared" si="6"/>
        <v>0</v>
      </c>
      <c r="S38" s="1030"/>
    </row>
    <row r="39" spans="2:19" s="1044" customFormat="1" ht="15">
      <c r="B39" s="1253" t="s">
        <v>1191</v>
      </c>
      <c r="C39" s="1254">
        <f>SUM(C36:C38)</f>
        <v>134</v>
      </c>
      <c r="D39" s="1254">
        <f>SUM(D36:D38)</f>
        <v>26768</v>
      </c>
      <c r="E39" s="1254">
        <f>SUM(E36:E38)</f>
        <v>26768</v>
      </c>
      <c r="F39" s="1254">
        <f>SUM(F36:F38)</f>
        <v>2230.666666666667</v>
      </c>
      <c r="G39" s="1254">
        <f t="shared" ref="G39:Q39" si="8">SUM(G36:G38)</f>
        <v>2230.666666666667</v>
      </c>
      <c r="H39" s="1254">
        <f t="shared" si="8"/>
        <v>2230.666666666667</v>
      </c>
      <c r="I39" s="1254">
        <f t="shared" si="8"/>
        <v>2230.666666666667</v>
      </c>
      <c r="J39" s="1254">
        <f t="shared" si="8"/>
        <v>2230.666666666667</v>
      </c>
      <c r="K39" s="1254">
        <f t="shared" si="8"/>
        <v>2230.666666666667</v>
      </c>
      <c r="L39" s="1254">
        <f t="shared" si="8"/>
        <v>2230.666666666667</v>
      </c>
      <c r="M39" s="1254">
        <f t="shared" si="8"/>
        <v>2230.666666666667</v>
      </c>
      <c r="N39" s="1254">
        <f t="shared" si="8"/>
        <v>2230.666666666667</v>
      </c>
      <c r="O39" s="1254">
        <f t="shared" si="8"/>
        <v>2230.666666666667</v>
      </c>
      <c r="P39" s="1254">
        <f t="shared" si="8"/>
        <v>2230.666666666667</v>
      </c>
      <c r="Q39" s="1254">
        <f t="shared" si="8"/>
        <v>2230.666666666667</v>
      </c>
      <c r="S39" s="1030"/>
    </row>
    <row r="40" spans="2:19" s="1044" customFormat="1" ht="15">
      <c r="B40" s="1126" t="s">
        <v>1196</v>
      </c>
      <c r="C40" s="1127"/>
      <c r="D40" s="1127"/>
      <c r="E40" s="1127"/>
      <c r="F40" s="1127"/>
      <c r="G40" s="1127"/>
      <c r="H40" s="1127"/>
      <c r="I40" s="1127"/>
      <c r="J40" s="1127"/>
      <c r="K40" s="1127"/>
      <c r="L40" s="1127"/>
      <c r="M40" s="1127"/>
      <c r="N40" s="1127"/>
      <c r="O40" s="1127"/>
      <c r="P40" s="1127"/>
      <c r="Q40" s="1248"/>
      <c r="S40" s="1030"/>
    </row>
    <row r="41" spans="2:19" s="1044" customFormat="1" ht="15">
      <c r="B41" s="1383" t="s">
        <v>1197</v>
      </c>
      <c r="C41" s="1128" t="s">
        <v>917</v>
      </c>
      <c r="D41" s="1128">
        <f>'4. Outdoor Water Demand'!G54</f>
        <v>11.872489200733384</v>
      </c>
      <c r="E41" s="1083">
        <f>D41</f>
        <v>11.872489200733384</v>
      </c>
      <c r="F41" s="1083">
        <f>'4. Outdoor Water Demand'!$G42</f>
        <v>0</v>
      </c>
      <c r="G41" s="1083">
        <f>'4. Outdoor Water Demand'!$G43</f>
        <v>0</v>
      </c>
      <c r="H41" s="1083">
        <f>'4. Outdoor Water Demand'!$G44</f>
        <v>0</v>
      </c>
      <c r="I41" s="1083">
        <f>'4. Outdoor Water Demand'!$G45</f>
        <v>0.91279419625811375</v>
      </c>
      <c r="J41" s="1083">
        <f>'4. Outdoor Water Demand'!$G46</f>
        <v>1.8192635658914729</v>
      </c>
      <c r="K41" s="1083">
        <f>'4. Outdoor Water Demand'!$G47</f>
        <v>2.319975308641975</v>
      </c>
      <c r="L41" s="1083">
        <f>'4. Outdoor Water Demand'!$G48</f>
        <v>2.3702442386831275</v>
      </c>
      <c r="M41" s="1083">
        <f>'4. Outdoor Water Demand'!$G49</f>
        <v>2.1798599033816428</v>
      </c>
      <c r="N41" s="1083">
        <f>'4. Outdoor Water Demand'!$G50</f>
        <v>1.6343020833333335</v>
      </c>
      <c r="O41" s="1083">
        <f>'4. Outdoor Water Demand'!$G51</f>
        <v>0.6360499045437189</v>
      </c>
      <c r="P41" s="1083">
        <f>'4. Outdoor Water Demand'!$G52</f>
        <v>0</v>
      </c>
      <c r="Q41" s="1252">
        <f>'4. Outdoor Water Demand'!$G53</f>
        <v>0</v>
      </c>
      <c r="S41" s="1030"/>
    </row>
    <row r="42" spans="2:19" s="1044" customFormat="1" ht="15">
      <c r="B42" s="1383" t="s">
        <v>1189</v>
      </c>
      <c r="C42" s="1128">
        <f>'4. Outdoor Water Demand'!D63</f>
        <v>100</v>
      </c>
      <c r="D42" s="1128">
        <f>'4. Outdoor Water Demand'!D65</f>
        <v>25000</v>
      </c>
      <c r="E42" s="1083">
        <f>D42</f>
        <v>25000</v>
      </c>
      <c r="F42" s="1083">
        <f>$D42/12</f>
        <v>2083.3333333333335</v>
      </c>
      <c r="G42" s="1083">
        <f t="shared" ref="G42:Q43" si="9">$D42/12</f>
        <v>2083.3333333333335</v>
      </c>
      <c r="H42" s="1083">
        <f t="shared" si="9"/>
        <v>2083.3333333333335</v>
      </c>
      <c r="I42" s="1083">
        <f t="shared" si="9"/>
        <v>2083.3333333333335</v>
      </c>
      <c r="J42" s="1083">
        <f t="shared" si="9"/>
        <v>2083.3333333333335</v>
      </c>
      <c r="K42" s="1083">
        <f t="shared" si="9"/>
        <v>2083.3333333333335</v>
      </c>
      <c r="L42" s="1083">
        <f t="shared" si="9"/>
        <v>2083.3333333333335</v>
      </c>
      <c r="M42" s="1083">
        <f t="shared" si="9"/>
        <v>2083.3333333333335</v>
      </c>
      <c r="N42" s="1083">
        <f t="shared" si="9"/>
        <v>2083.3333333333335</v>
      </c>
      <c r="O42" s="1083">
        <f t="shared" si="9"/>
        <v>2083.3333333333335</v>
      </c>
      <c r="P42" s="1083">
        <f t="shared" si="9"/>
        <v>2083.3333333333335</v>
      </c>
      <c r="Q42" s="1252">
        <f t="shared" si="9"/>
        <v>2083.3333333333335</v>
      </c>
      <c r="S42" s="1030"/>
    </row>
    <row r="43" spans="2:19" s="1044" customFormat="1" ht="15">
      <c r="B43" s="1383" t="str">
        <f>'4. Outdoor Water Demand'!B68</f>
        <v>&lt;Please specify here&gt;</v>
      </c>
      <c r="C43" s="1191">
        <f>'4. Outdoor Water Demand'!D68</f>
        <v>0</v>
      </c>
      <c r="D43" s="1191">
        <f>'4. Outdoor Water Demand'!D70</f>
        <v>0</v>
      </c>
      <c r="E43" s="1083">
        <f>D43</f>
        <v>0</v>
      </c>
      <c r="F43" s="1083">
        <f>$D43/12</f>
        <v>0</v>
      </c>
      <c r="G43" s="1083">
        <f t="shared" si="9"/>
        <v>0</v>
      </c>
      <c r="H43" s="1083">
        <f t="shared" si="9"/>
        <v>0</v>
      </c>
      <c r="I43" s="1083">
        <f t="shared" si="9"/>
        <v>0</v>
      </c>
      <c r="J43" s="1083">
        <f t="shared" si="9"/>
        <v>0</v>
      </c>
      <c r="K43" s="1083">
        <f t="shared" si="9"/>
        <v>0</v>
      </c>
      <c r="L43" s="1083">
        <f t="shared" si="9"/>
        <v>0</v>
      </c>
      <c r="M43" s="1083">
        <f t="shared" si="9"/>
        <v>0</v>
      </c>
      <c r="N43" s="1083">
        <f t="shared" si="9"/>
        <v>0</v>
      </c>
      <c r="O43" s="1083">
        <f t="shared" si="9"/>
        <v>0</v>
      </c>
      <c r="P43" s="1083">
        <f t="shared" si="9"/>
        <v>0</v>
      </c>
      <c r="Q43" s="1252">
        <f t="shared" si="9"/>
        <v>0</v>
      </c>
      <c r="S43" s="1030"/>
    </row>
    <row r="44" spans="2:19" s="1044" customFormat="1" ht="15.75" thickBot="1">
      <c r="B44" s="1258" t="s">
        <v>1191</v>
      </c>
      <c r="C44" s="1259">
        <f>SUM(C41:C43)</f>
        <v>100</v>
      </c>
      <c r="D44" s="1259">
        <f>SUM(D41:D43)</f>
        <v>25011.872489200734</v>
      </c>
      <c r="E44" s="1259">
        <f>SUM(E41:E43)</f>
        <v>25011.872489200734</v>
      </c>
      <c r="F44" s="1259">
        <f>SUM(F41:F43)</f>
        <v>2083.3333333333335</v>
      </c>
      <c r="G44" s="1259">
        <f t="shared" ref="G44:Q44" si="10">SUM(G41:G43)</f>
        <v>2083.3333333333335</v>
      </c>
      <c r="H44" s="1259">
        <f t="shared" si="10"/>
        <v>2083.3333333333335</v>
      </c>
      <c r="I44" s="1259">
        <f t="shared" si="10"/>
        <v>2084.2461275295914</v>
      </c>
      <c r="J44" s="1259">
        <f t="shared" si="10"/>
        <v>2085.152596899225</v>
      </c>
      <c r="K44" s="1259">
        <f t="shared" si="10"/>
        <v>2085.6533086419754</v>
      </c>
      <c r="L44" s="1259">
        <f t="shared" si="10"/>
        <v>2085.7035775720165</v>
      </c>
      <c r="M44" s="1259">
        <f t="shared" si="10"/>
        <v>2085.5131932367153</v>
      </c>
      <c r="N44" s="1259">
        <f t="shared" si="10"/>
        <v>2084.9676354166668</v>
      </c>
      <c r="O44" s="1259">
        <f t="shared" si="10"/>
        <v>2083.9693832378771</v>
      </c>
      <c r="P44" s="1259">
        <f t="shared" si="10"/>
        <v>2083.3333333333335</v>
      </c>
      <c r="Q44" s="1259">
        <f t="shared" si="10"/>
        <v>2083.3333333333335</v>
      </c>
      <c r="S44" s="1030"/>
    </row>
    <row r="45" spans="2:19" s="1044" customFormat="1" ht="15.75" thickTop="1">
      <c r="B45" s="1256" t="s">
        <v>1192</v>
      </c>
      <c r="C45" s="1257">
        <f>C22+C31+C34+C39+C44</f>
        <v>328.7872888</v>
      </c>
      <c r="D45" s="1257">
        <f>D22+D31+D34+D39+D44</f>
        <v>51779.87248920073</v>
      </c>
      <c r="E45" s="1257">
        <f>E22+E31+E34+E39+E44</f>
        <v>51779.87248920073</v>
      </c>
      <c r="F45" s="1257">
        <f>ROUNDUP(F22+F31+F34+F39+F44,-2)</f>
        <v>4400</v>
      </c>
      <c r="G45" s="1257">
        <f>ROUNDUP(G22+G31+G34+G39+G44,-2)</f>
        <v>4400</v>
      </c>
      <c r="H45" s="1257">
        <f>ROUNDUP(H22+H31+H34+H39+H44,-2)</f>
        <v>4400</v>
      </c>
      <c r="I45" s="1257">
        <f t="shared" ref="I45:Q45" si="11">ROUNDUP(I22+I31+I34+I39+I44,-2)</f>
        <v>4400</v>
      </c>
      <c r="J45" s="1257">
        <f t="shared" si="11"/>
        <v>4400</v>
      </c>
      <c r="K45" s="1257">
        <f t="shared" si="11"/>
        <v>4400</v>
      </c>
      <c r="L45" s="1257">
        <f t="shared" si="11"/>
        <v>4400</v>
      </c>
      <c r="M45" s="1257">
        <f t="shared" si="11"/>
        <v>4400</v>
      </c>
      <c r="N45" s="1257">
        <f t="shared" si="11"/>
        <v>4400</v>
      </c>
      <c r="O45" s="1257">
        <f t="shared" si="11"/>
        <v>4400</v>
      </c>
      <c r="P45" s="1257">
        <f t="shared" si="11"/>
        <v>4400</v>
      </c>
      <c r="Q45" s="1257">
        <f t="shared" si="11"/>
        <v>4400</v>
      </c>
      <c r="S45" s="1030"/>
    </row>
    <row r="46" spans="2:19" s="1180" customFormat="1" ht="15">
      <c r="B46" s="1183"/>
      <c r="C46" s="1138"/>
      <c r="D46" s="1138"/>
      <c r="E46" s="1138"/>
      <c r="F46" s="1138"/>
      <c r="G46" s="1138"/>
      <c r="H46" s="1138"/>
      <c r="I46" s="1138"/>
      <c r="J46" s="1138"/>
      <c r="K46" s="1138"/>
      <c r="L46" s="1138"/>
      <c r="M46" s="1138"/>
      <c r="N46" s="1138"/>
      <c r="O46" s="1138"/>
      <c r="P46" s="1138"/>
      <c r="Q46" s="1138"/>
      <c r="R46" s="1138"/>
    </row>
    <row r="47" spans="2:19" s="1180" customFormat="1" ht="15">
      <c r="B47" s="1183"/>
      <c r="C47" s="1138"/>
      <c r="D47" s="1138"/>
      <c r="E47" s="1138"/>
      <c r="F47" s="1138"/>
      <c r="G47" s="1138"/>
      <c r="H47" s="1138"/>
      <c r="I47" s="1138"/>
      <c r="J47" s="1138"/>
      <c r="K47" s="1138"/>
      <c r="L47" s="1138"/>
      <c r="M47" s="1138"/>
      <c r="N47" s="1138"/>
      <c r="O47" s="1138"/>
      <c r="P47" s="1138"/>
      <c r="Q47" s="1138"/>
      <c r="R47" s="1138"/>
    </row>
    <row r="48" spans="2:19" s="1180" customFormat="1" ht="15">
      <c r="B48" s="1251" t="s">
        <v>1376</v>
      </c>
      <c r="C48" s="1260">
        <f>D45</f>
        <v>51779.87248920073</v>
      </c>
      <c r="D48" s="1138"/>
      <c r="E48" s="1138"/>
      <c r="F48" s="1138"/>
      <c r="G48" s="1138"/>
      <c r="H48" s="1138"/>
      <c r="I48" s="1138"/>
      <c r="J48" s="1138"/>
      <c r="K48" s="1138"/>
      <c r="L48" s="1138"/>
      <c r="M48" s="1138"/>
      <c r="N48" s="1138"/>
      <c r="O48" s="1138"/>
      <c r="P48" s="1138"/>
      <c r="Q48" s="1138"/>
      <c r="R48" s="1138"/>
    </row>
    <row r="49" spans="2:18" s="1180" customFormat="1" ht="30">
      <c r="B49" s="1183"/>
      <c r="C49" s="1138"/>
      <c r="D49" s="1138" t="s">
        <v>1240</v>
      </c>
      <c r="E49" s="1138"/>
      <c r="F49" s="1138"/>
      <c r="G49" s="1138"/>
      <c r="H49" s="1138"/>
      <c r="I49" s="1138"/>
      <c r="J49" s="1138"/>
      <c r="K49" s="1138"/>
      <c r="L49" s="1138"/>
      <c r="M49" s="1138"/>
      <c r="N49" s="1138"/>
      <c r="O49" s="1138"/>
      <c r="P49" s="1138"/>
      <c r="Q49" s="1138"/>
      <c r="R49" s="1138"/>
    </row>
    <row r="50" spans="2:18" s="1180" customFormat="1" ht="15">
      <c r="B50" s="1251" t="s">
        <v>1375</v>
      </c>
      <c r="C50" s="1260">
        <f>E45</f>
        <v>51779.87248920073</v>
      </c>
      <c r="D50" s="1277">
        <f>C50/C48</f>
        <v>1</v>
      </c>
      <c r="E50" s="1394"/>
      <c r="F50" s="1138"/>
      <c r="G50" s="1138"/>
      <c r="H50" s="1138"/>
      <c r="I50" s="1138"/>
      <c r="J50" s="1138"/>
      <c r="K50" s="1138"/>
      <c r="L50" s="1138"/>
      <c r="M50" s="1138"/>
      <c r="N50" s="1138"/>
      <c r="O50" s="1138"/>
      <c r="P50" s="1138"/>
      <c r="Q50" s="1138"/>
      <c r="R50" s="1138"/>
    </row>
    <row r="51" spans="2:18" s="1180" customFormat="1" ht="15">
      <c r="B51" s="1183"/>
      <c r="C51" s="1138"/>
      <c r="D51" s="1138"/>
      <c r="E51" s="1138"/>
      <c r="F51" s="1138"/>
      <c r="G51" s="1138"/>
      <c r="H51" s="1138"/>
      <c r="I51" s="1138"/>
      <c r="J51" s="1138"/>
      <c r="K51" s="1138"/>
      <c r="L51" s="1138"/>
      <c r="M51" s="1138"/>
      <c r="N51" s="1138"/>
      <c r="O51" s="1138"/>
      <c r="P51" s="1138"/>
      <c r="Q51" s="1138"/>
      <c r="R51" s="1138"/>
    </row>
    <row r="52" spans="2:18" s="1180" customFormat="1" ht="15">
      <c r="B52" s="1251" t="s">
        <v>1226</v>
      </c>
      <c r="C52" s="1260">
        <f>E18+E19+E28</f>
        <v>0</v>
      </c>
      <c r="D52" s="1277">
        <f>C52/C48</f>
        <v>0</v>
      </c>
      <c r="E52" s="1394"/>
      <c r="F52" s="1138"/>
      <c r="G52" s="1138"/>
      <c r="H52" s="1138"/>
      <c r="I52" s="1138"/>
      <c r="J52" s="1138"/>
      <c r="K52" s="1138"/>
      <c r="L52" s="1138"/>
      <c r="M52" s="1138"/>
      <c r="N52" s="1138"/>
      <c r="O52" s="1138"/>
      <c r="P52" s="1138"/>
      <c r="Q52" s="1138"/>
      <c r="R52" s="1138"/>
    </row>
    <row r="53" spans="2:18" s="1180" customFormat="1" ht="15">
      <c r="B53" s="1183"/>
      <c r="C53" s="1138"/>
      <c r="D53" s="1138"/>
      <c r="E53" s="1138"/>
      <c r="F53" s="1138"/>
      <c r="G53" s="1138"/>
      <c r="H53" s="1138"/>
      <c r="I53" s="1138"/>
      <c r="J53" s="1138"/>
      <c r="K53" s="1138"/>
      <c r="L53" s="1138"/>
      <c r="M53" s="1138"/>
      <c r="N53" s="1138"/>
      <c r="O53" s="1138"/>
      <c r="P53" s="1138"/>
      <c r="Q53" s="1138"/>
      <c r="R53" s="1138"/>
    </row>
    <row r="54" spans="2:18" s="1044" customFormat="1" ht="15">
      <c r="B54" s="1251" t="s">
        <v>1227</v>
      </c>
      <c r="C54" s="1260">
        <f>E41</f>
        <v>11.872489200733384</v>
      </c>
      <c r="D54" s="1277">
        <f>C54/C48</f>
        <v>2.2928772571252515E-4</v>
      </c>
      <c r="E54" s="1394"/>
      <c r="F54" s="1138"/>
      <c r="G54" s="1138"/>
      <c r="H54" s="1138"/>
      <c r="I54" s="1138"/>
      <c r="J54" s="1138"/>
      <c r="K54" s="1138"/>
      <c r="L54" s="1138"/>
      <c r="M54" s="1138"/>
      <c r="N54" s="1138"/>
      <c r="O54" s="1138"/>
      <c r="P54" s="1138"/>
      <c r="Q54" s="1138"/>
      <c r="R54" s="1181"/>
    </row>
    <row r="55" spans="2:18" s="1180" customFormat="1" ht="15">
      <c r="B55" s="1183"/>
      <c r="C55" s="1138"/>
      <c r="D55" s="1138"/>
      <c r="E55" s="1138"/>
      <c r="F55" s="1138"/>
      <c r="G55" s="1138"/>
      <c r="H55" s="1138"/>
      <c r="I55" s="1138"/>
      <c r="J55" s="1138"/>
      <c r="K55" s="1138"/>
      <c r="L55" s="1138"/>
      <c r="M55" s="1138"/>
      <c r="N55" s="1138"/>
      <c r="O55" s="1138"/>
      <c r="P55" s="1138"/>
      <c r="Q55" s="1138"/>
      <c r="R55" s="1181"/>
    </row>
    <row r="56" spans="2:18" s="1035" customFormat="1" ht="15">
      <c r="E56" s="1167"/>
      <c r="R56" s="1159"/>
    </row>
    <row r="57" spans="2:18" s="1040" customFormat="1" ht="15.75">
      <c r="B57" s="1200" t="s">
        <v>1270</v>
      </c>
      <c r="C57" s="1043"/>
      <c r="D57" s="1043"/>
      <c r="E57" s="1043"/>
      <c r="F57" s="1043"/>
      <c r="M57" s="1043"/>
      <c r="R57" s="1170"/>
    </row>
    <row r="58" spans="2:18" s="1101" customFormat="1" ht="47.25" customHeight="1">
      <c r="B58" s="1392" t="s">
        <v>1404</v>
      </c>
      <c r="C58" s="1107"/>
      <c r="D58" s="1107"/>
      <c r="E58" s="1174"/>
      <c r="F58" s="1107"/>
      <c r="M58" s="1107"/>
      <c r="R58" s="1159"/>
    </row>
    <row r="59" spans="2:18" s="1035" customFormat="1" ht="15">
      <c r="E59" s="1167"/>
      <c r="F59" s="1546" t="s">
        <v>1190</v>
      </c>
      <c r="G59" s="1547"/>
      <c r="H59" s="1547"/>
      <c r="I59" s="1547"/>
      <c r="J59" s="1547"/>
      <c r="K59" s="1547"/>
      <c r="L59" s="1547"/>
      <c r="M59" s="1547"/>
      <c r="N59" s="1547"/>
      <c r="O59" s="1547"/>
      <c r="P59" s="1547"/>
      <c r="Q59" s="1548"/>
      <c r="R59" s="1159"/>
    </row>
    <row r="60" spans="2:18" s="1035" customFormat="1" ht="30">
      <c r="B60" s="1117" t="s">
        <v>1167</v>
      </c>
      <c r="C60" s="916" t="s">
        <v>1172</v>
      </c>
      <c r="D60" s="916" t="s">
        <v>1173</v>
      </c>
      <c r="E60" s="1393"/>
      <c r="F60" s="1139" t="s">
        <v>596</v>
      </c>
      <c r="G60" s="1061" t="s">
        <v>597</v>
      </c>
      <c r="H60" s="1061" t="s">
        <v>598</v>
      </c>
      <c r="I60" s="1061" t="s">
        <v>599</v>
      </c>
      <c r="J60" s="1061" t="s">
        <v>600</v>
      </c>
      <c r="K60" s="1061" t="s">
        <v>601</v>
      </c>
      <c r="L60" s="1061" t="s">
        <v>341</v>
      </c>
      <c r="M60" s="1061" t="s">
        <v>342</v>
      </c>
      <c r="N60" s="1061" t="s">
        <v>49</v>
      </c>
      <c r="O60" s="1061" t="s">
        <v>112</v>
      </c>
      <c r="P60" s="1061" t="s">
        <v>113</v>
      </c>
      <c r="Q60" s="1086" t="s">
        <v>114</v>
      </c>
      <c r="R60" s="1159"/>
    </row>
    <row r="61" spans="2:18" s="1035" customFormat="1" ht="15">
      <c r="B61" s="920" t="s">
        <v>982</v>
      </c>
      <c r="C61" s="1176">
        <f>'3. Indoor Nonpotable Supply'!C96</f>
        <v>78.628337999999985</v>
      </c>
      <c r="D61" s="1176">
        <f>'3. Indoor Nonpotable Supply'!F96</f>
        <v>365000</v>
      </c>
      <c r="E61" s="1176"/>
      <c r="F61" s="1185">
        <f>$D61/12</f>
        <v>30416.666666666668</v>
      </c>
      <c r="G61" s="1185">
        <f t="shared" ref="G61:Q63" si="12">$D61/12</f>
        <v>30416.666666666668</v>
      </c>
      <c r="H61" s="1185">
        <f t="shared" si="12"/>
        <v>30416.666666666668</v>
      </c>
      <c r="I61" s="1185">
        <f t="shared" si="12"/>
        <v>30416.666666666668</v>
      </c>
      <c r="J61" s="1185">
        <f t="shared" si="12"/>
        <v>30416.666666666668</v>
      </c>
      <c r="K61" s="1185">
        <f t="shared" si="12"/>
        <v>30416.666666666668</v>
      </c>
      <c r="L61" s="1185">
        <f t="shared" si="12"/>
        <v>30416.666666666668</v>
      </c>
      <c r="M61" s="1185">
        <f t="shared" si="12"/>
        <v>30416.666666666668</v>
      </c>
      <c r="N61" s="1185">
        <f t="shared" si="12"/>
        <v>30416.666666666668</v>
      </c>
      <c r="O61" s="1185">
        <f t="shared" si="12"/>
        <v>30416.666666666668</v>
      </c>
      <c r="P61" s="1185">
        <f t="shared" si="12"/>
        <v>30416.666666666668</v>
      </c>
      <c r="Q61" s="1185">
        <f t="shared" si="12"/>
        <v>30416.666666666668</v>
      </c>
      <c r="R61" s="1159"/>
    </row>
    <row r="62" spans="2:18" s="1035" customFormat="1" ht="15">
      <c r="B62" s="920" t="s">
        <v>1014</v>
      </c>
      <c r="C62" s="1176">
        <f>'3. Indoor Nonpotable Supply'!D96</f>
        <v>37.280221920000002</v>
      </c>
      <c r="D62" s="1176">
        <f>'3. Indoor Nonpotable Supply'!G96</f>
        <v>0</v>
      </c>
      <c r="E62" s="1176"/>
      <c r="F62" s="1185">
        <f t="shared" ref="F62:F63" si="13">$D62/12</f>
        <v>0</v>
      </c>
      <c r="G62" s="1185">
        <f t="shared" si="12"/>
        <v>0</v>
      </c>
      <c r="H62" s="1185">
        <f t="shared" si="12"/>
        <v>0</v>
      </c>
      <c r="I62" s="1185">
        <f t="shared" si="12"/>
        <v>0</v>
      </c>
      <c r="J62" s="1185">
        <f t="shared" si="12"/>
        <v>0</v>
      </c>
      <c r="K62" s="1185">
        <f t="shared" si="12"/>
        <v>0</v>
      </c>
      <c r="L62" s="1185">
        <f t="shared" si="12"/>
        <v>0</v>
      </c>
      <c r="M62" s="1185">
        <f t="shared" si="12"/>
        <v>0</v>
      </c>
      <c r="N62" s="1185">
        <f t="shared" si="12"/>
        <v>0</v>
      </c>
      <c r="O62" s="1185">
        <f t="shared" si="12"/>
        <v>0</v>
      </c>
      <c r="P62" s="1185">
        <f t="shared" si="12"/>
        <v>0</v>
      </c>
      <c r="Q62" s="1185">
        <f t="shared" si="12"/>
        <v>0</v>
      </c>
      <c r="R62" s="1159"/>
    </row>
    <row r="63" spans="2:18" s="1035" customFormat="1" ht="15">
      <c r="B63" s="920" t="s">
        <v>1015</v>
      </c>
      <c r="C63" s="1176">
        <f>'3. Indoor Nonpotable Supply'!E96</f>
        <v>1000</v>
      </c>
      <c r="D63" s="1176">
        <f>'3. Indoor Nonpotable Supply'!H96</f>
        <v>0</v>
      </c>
      <c r="E63" s="1176"/>
      <c r="F63" s="1185">
        <f t="shared" si="13"/>
        <v>0</v>
      </c>
      <c r="G63" s="1185">
        <f t="shared" si="12"/>
        <v>0</v>
      </c>
      <c r="H63" s="1185">
        <f t="shared" si="12"/>
        <v>0</v>
      </c>
      <c r="I63" s="1185">
        <f t="shared" si="12"/>
        <v>0</v>
      </c>
      <c r="J63" s="1185">
        <f t="shared" si="12"/>
        <v>0</v>
      </c>
      <c r="K63" s="1185">
        <f t="shared" si="12"/>
        <v>0</v>
      </c>
      <c r="L63" s="1185">
        <f t="shared" si="12"/>
        <v>0</v>
      </c>
      <c r="M63" s="1185">
        <f t="shared" si="12"/>
        <v>0</v>
      </c>
      <c r="N63" s="1185">
        <f t="shared" si="12"/>
        <v>0</v>
      </c>
      <c r="O63" s="1185">
        <f t="shared" si="12"/>
        <v>0</v>
      </c>
      <c r="P63" s="1185">
        <f t="shared" si="12"/>
        <v>0</v>
      </c>
      <c r="Q63" s="1185">
        <f t="shared" si="12"/>
        <v>0</v>
      </c>
      <c r="R63" s="1159"/>
    </row>
    <row r="64" spans="2:18" s="1035" customFormat="1" ht="15">
      <c r="B64" s="920" t="s">
        <v>1121</v>
      </c>
      <c r="C64" s="1204" t="s">
        <v>917</v>
      </c>
      <c r="D64" s="1176">
        <f>'5. Outdoor Water Supply'!C40</f>
        <v>9.2848349677613271</v>
      </c>
      <c r="E64" s="1176"/>
      <c r="F64" s="1185">
        <f>'5. Outdoor Water Supply'!$E26</f>
        <v>1.9335101866666671</v>
      </c>
      <c r="G64" s="1185">
        <f>'5. Outdoor Water Supply'!$E27</f>
        <v>1.6297673333333336</v>
      </c>
      <c r="H64" s="1185">
        <f>'5. Outdoor Water Supply'!$E28</f>
        <v>1.2323499466666668</v>
      </c>
      <c r="I64" s="1185">
        <f>'5. Outdoor Water Supply'!$E29</f>
        <v>0.59852595189003444</v>
      </c>
      <c r="J64" s="1185">
        <f>'5. Outdoor Water Supply'!$E30</f>
        <v>0.26629669767441866</v>
      </c>
      <c r="K64" s="1185">
        <f>'5. Outdoor Water Supply'!$E31</f>
        <v>9.3379111111111121E-2</v>
      </c>
      <c r="L64" s="1185">
        <f>'5. Outdoor Water Supply'!$E32</f>
        <v>2.1075592592592597E-2</v>
      </c>
      <c r="M64" s="1185">
        <f>'5. Outdoor Water Supply'!$E33</f>
        <v>4.5611739130434779E-2</v>
      </c>
      <c r="N64" s="1185">
        <f>'5. Outdoor Water Supply'!$E34</f>
        <v>0.15696312499999998</v>
      </c>
      <c r="O64" s="1185">
        <f>'5. Outdoor Water Supply'!$E35</f>
        <v>0.43854905841924402</v>
      </c>
      <c r="P64" s="1185">
        <f>'5. Outdoor Water Supply'!$E36</f>
        <v>1.1380601512027493</v>
      </c>
      <c r="Q64" s="1185">
        <f>'5. Outdoor Water Supply'!$E37</f>
        <v>1.7307460740740741</v>
      </c>
      <c r="R64" s="1159"/>
    </row>
    <row r="65" spans="2:18" s="1035" customFormat="1" ht="15.75" thickBot="1">
      <c r="B65" s="923" t="s">
        <v>1122</v>
      </c>
      <c r="C65" s="1266" t="s">
        <v>917</v>
      </c>
      <c r="D65" s="924">
        <f>'5. Outdoor Water Supply'!C73</f>
        <v>9.8310017305708151</v>
      </c>
      <c r="E65" s="924"/>
      <c r="F65" s="926">
        <f>'5. Outdoor Water Supply'!$E59</f>
        <v>2.0472460800000003</v>
      </c>
      <c r="G65" s="926">
        <f>'5. Outdoor Water Supply'!$E60</f>
        <v>1.7256360000000006</v>
      </c>
      <c r="H65" s="926">
        <f>'5. Outdoor Water Supply'!$E61</f>
        <v>1.3048411200000001</v>
      </c>
      <c r="I65" s="926">
        <f>'5. Outdoor Water Supply'!$E62</f>
        <v>0.63373336082474241</v>
      </c>
      <c r="J65" s="926">
        <f>'5. Outdoor Water Supply'!$E63</f>
        <v>0.2819612093023256</v>
      </c>
      <c r="K65" s="926">
        <f>'5. Outdoor Water Supply'!$E64</f>
        <v>9.8872000000000015E-2</v>
      </c>
      <c r="L65" s="926">
        <f>'5. Outdoor Water Supply'!$E65</f>
        <v>2.2315333333333336E-2</v>
      </c>
      <c r="M65" s="926">
        <f>'5. Outdoor Water Supply'!$E66</f>
        <v>4.8294782608695658E-2</v>
      </c>
      <c r="N65" s="926">
        <f>'5. Outdoor Water Supply'!$E67</f>
        <v>0.16619625000000002</v>
      </c>
      <c r="O65" s="926">
        <f>'5. Outdoor Water Supply'!$E68</f>
        <v>0.46434606185567012</v>
      </c>
      <c r="P65" s="926">
        <f>'5. Outdoor Water Supply'!$E69</f>
        <v>1.2050048659793817</v>
      </c>
      <c r="Q65" s="926">
        <f>'5. Outdoor Water Supply'!$E70</f>
        <v>1.8325546666666668</v>
      </c>
      <c r="R65" s="1159"/>
    </row>
    <row r="66" spans="2:18" s="1167" customFormat="1" ht="15.75" thickTop="1">
      <c r="B66" s="1263" t="s">
        <v>476</v>
      </c>
      <c r="C66" s="1264"/>
      <c r="D66" s="1265">
        <f>SUM(D61:D65)</f>
        <v>365019.11583669833</v>
      </c>
      <c r="E66" s="1265"/>
      <c r="F66" s="1265">
        <f t="shared" ref="F66:Q66" si="14">SUM(F61:F65)</f>
        <v>30420.647422933336</v>
      </c>
      <c r="G66" s="1265">
        <f t="shared" si="14"/>
        <v>30420.022069999999</v>
      </c>
      <c r="H66" s="1265">
        <f t="shared" si="14"/>
        <v>30419.203857733333</v>
      </c>
      <c r="I66" s="1265">
        <f t="shared" si="14"/>
        <v>30417.898925979382</v>
      </c>
      <c r="J66" s="1265">
        <f t="shared" si="14"/>
        <v>30417.214924573644</v>
      </c>
      <c r="K66" s="1265">
        <f t="shared" si="14"/>
        <v>30416.858917777779</v>
      </c>
      <c r="L66" s="1265">
        <f t="shared" si="14"/>
        <v>30416.710057592591</v>
      </c>
      <c r="M66" s="1265">
        <f t="shared" si="14"/>
        <v>30416.760573188407</v>
      </c>
      <c r="N66" s="1265">
        <f t="shared" si="14"/>
        <v>30416.989826041667</v>
      </c>
      <c r="O66" s="1265">
        <f t="shared" si="14"/>
        <v>30417.569561786946</v>
      </c>
      <c r="P66" s="1265">
        <f t="shared" si="14"/>
        <v>30419.009731683851</v>
      </c>
      <c r="Q66" s="1265">
        <f t="shared" si="14"/>
        <v>30420.229967407409</v>
      </c>
      <c r="R66" s="1159"/>
    </row>
    <row r="67" spans="2:18" s="1035" customFormat="1" ht="15">
      <c r="E67" s="1167"/>
      <c r="R67" s="1159"/>
    </row>
    <row r="68" spans="2:18" s="1167" customFormat="1" ht="15">
      <c r="B68" s="1251" t="s">
        <v>1228</v>
      </c>
      <c r="C68" s="1260">
        <f>D61</f>
        <v>365000</v>
      </c>
      <c r="R68" s="1159"/>
    </row>
    <row r="69" spans="2:18" s="1167" customFormat="1" ht="15">
      <c r="B69" s="1183"/>
      <c r="C69" s="1138"/>
      <c r="R69" s="1159"/>
    </row>
    <row r="70" spans="2:18" s="1167" customFormat="1" ht="15">
      <c r="B70" s="1251" t="s">
        <v>1229</v>
      </c>
      <c r="C70" s="1260">
        <f>D62</f>
        <v>0</v>
      </c>
      <c r="R70" s="1159"/>
    </row>
    <row r="71" spans="2:18" s="1167" customFormat="1" ht="15">
      <c r="B71" s="1183"/>
      <c r="C71" s="1138"/>
      <c r="R71" s="1159"/>
    </row>
    <row r="72" spans="2:18" s="1167" customFormat="1" ht="15">
      <c r="B72" s="1251" t="s">
        <v>1230</v>
      </c>
      <c r="C72" s="1260">
        <f>D63</f>
        <v>0</v>
      </c>
      <c r="R72" s="1159"/>
    </row>
    <row r="73" spans="2:18" s="1167" customFormat="1" ht="15">
      <c r="B73" s="1183"/>
      <c r="C73" s="1138"/>
      <c r="R73" s="1159"/>
    </row>
    <row r="74" spans="2:18" s="1167" customFormat="1" ht="15">
      <c r="B74" s="1251" t="s">
        <v>1231</v>
      </c>
      <c r="C74" s="1260">
        <f>D64</f>
        <v>9.2848349677613271</v>
      </c>
      <c r="R74" s="1159"/>
    </row>
    <row r="75" spans="2:18" s="1167" customFormat="1" ht="15">
      <c r="R75" s="1159"/>
    </row>
    <row r="76" spans="2:18" s="1167" customFormat="1" ht="15">
      <c r="B76" s="1251" t="s">
        <v>1232</v>
      </c>
      <c r="C76" s="1260">
        <f>D65</f>
        <v>9.8310017305708151</v>
      </c>
      <c r="R76" s="1159"/>
    </row>
    <row r="77" spans="2:18" s="1167" customFormat="1" ht="15">
      <c r="B77" s="1183"/>
      <c r="C77" s="1138"/>
      <c r="R77" s="1159"/>
    </row>
    <row r="78" spans="2:18" s="1035" customFormat="1" ht="15">
      <c r="E78" s="1167"/>
      <c r="R78" s="1159"/>
    </row>
    <row r="79" spans="2:18" s="1100" customFormat="1" ht="18.75">
      <c r="B79" s="1427" t="s">
        <v>1182</v>
      </c>
      <c r="C79" s="1427"/>
      <c r="D79" s="1427"/>
      <c r="E79" s="1427"/>
      <c r="F79" s="1427"/>
      <c r="G79" s="1427"/>
      <c r="H79" s="1427"/>
      <c r="I79" s="1111"/>
      <c r="J79" s="1111"/>
      <c r="K79" s="1111"/>
      <c r="L79" s="1111"/>
      <c r="M79" s="1111"/>
      <c r="R79" s="1208"/>
    </row>
  </sheetData>
  <mergeCells count="4">
    <mergeCell ref="B79:H79"/>
    <mergeCell ref="F13:Q13"/>
    <mergeCell ref="F59:Q59"/>
    <mergeCell ref="B8:D9"/>
  </mergeCells>
  <conditionalFormatting sqref="E16:Q30">
    <cfRule type="expression" dxfId="1" priority="2">
      <formula>$S16=1</formula>
    </cfRule>
  </conditionalFormatting>
  <conditionalFormatting sqref="B16:B30">
    <cfRule type="expression" dxfId="0" priority="1">
      <formula>$S16=1</formula>
    </cfRule>
  </conditionalFormatting>
  <pageMargins left="0.7" right="0.7" top="0.75" bottom="0.75" header="0.3" footer="0.3"/>
  <pageSetup paperSize="17" scale="48" orientation="portrait" r:id="rId1"/>
</worksheet>
</file>

<file path=xl/worksheets/sheet22.xml><?xml version="1.0" encoding="utf-8"?>
<worksheet xmlns="http://schemas.openxmlformats.org/spreadsheetml/2006/main" xmlns:r="http://schemas.openxmlformats.org/officeDocument/2006/relationships">
  <sheetPr>
    <pageSetUpPr fitToPage="1"/>
  </sheetPr>
  <dimension ref="A1:U201"/>
  <sheetViews>
    <sheetView topLeftCell="A19" zoomScale="70" zoomScaleNormal="70" zoomScaleSheetLayoutView="50" workbookViewId="0">
      <selection activeCell="F49" sqref="F49"/>
    </sheetView>
  </sheetViews>
  <sheetFormatPr defaultColWidth="8.85546875" defaultRowHeight="12.75"/>
  <cols>
    <col min="1" max="1" width="2.7109375" style="698" customWidth="1"/>
    <col min="2" max="2" width="44.85546875" style="698" customWidth="1"/>
    <col min="3" max="3" width="20.7109375" style="698" customWidth="1"/>
    <col min="4" max="5" width="17.7109375" style="698" customWidth="1"/>
    <col min="6" max="17" width="10.7109375" style="698" customWidth="1"/>
    <col min="18" max="18" width="9.85546875" style="698" bestFit="1" customWidth="1"/>
    <col min="19" max="19" width="10" style="698" bestFit="1" customWidth="1"/>
    <col min="20" max="20" width="8.85546875" style="698"/>
    <col min="21" max="21" width="19.5703125" style="698" hidden="1" customWidth="1"/>
    <col min="22" max="16384" width="8.85546875" style="698"/>
  </cols>
  <sheetData>
    <row r="1" spans="1:19" s="630" customFormat="1" ht="26.25">
      <c r="A1" s="628" t="s">
        <v>867</v>
      </c>
      <c r="B1" s="629"/>
      <c r="J1" s="629"/>
      <c r="K1" s="629"/>
    </row>
    <row r="2" spans="1:19" s="634" customFormat="1" ht="23.25">
      <c r="A2" s="1160" t="s">
        <v>1271</v>
      </c>
      <c r="B2" s="633"/>
      <c r="J2" s="633"/>
      <c r="K2" s="633"/>
    </row>
    <row r="3" spans="1:19" s="790" customFormat="1" ht="15">
      <c r="B3" s="788"/>
      <c r="J3" s="788"/>
      <c r="K3" s="788"/>
    </row>
    <row r="4" spans="1:19" s="800" customFormat="1" ht="15">
      <c r="B4" s="801" t="s">
        <v>908</v>
      </c>
      <c r="C4" s="797"/>
      <c r="D4" s="797"/>
      <c r="E4" s="797"/>
      <c r="F4" s="792" t="s">
        <v>868</v>
      </c>
      <c r="G4" s="788"/>
      <c r="H4" s="790"/>
      <c r="I4" s="797"/>
      <c r="J4" s="803"/>
      <c r="K4" s="803"/>
    </row>
    <row r="5" spans="1:19" s="790" customFormat="1" ht="15">
      <c r="B5" s="1442" t="s">
        <v>1272</v>
      </c>
      <c r="C5" s="1442"/>
      <c r="D5" s="1442"/>
      <c r="E5" s="788"/>
      <c r="F5" s="970" t="s">
        <v>1091</v>
      </c>
      <c r="G5" s="917"/>
      <c r="H5" s="1367"/>
      <c r="I5" s="788"/>
      <c r="J5" s="1110" t="s">
        <v>1175</v>
      </c>
      <c r="K5" s="797"/>
      <c r="L5" s="797"/>
    </row>
    <row r="6" spans="1:19" s="790" customFormat="1" ht="15">
      <c r="B6" s="1442"/>
      <c r="C6" s="1442"/>
      <c r="D6" s="1442"/>
      <c r="F6" s="919" t="s">
        <v>964</v>
      </c>
      <c r="G6" s="897"/>
      <c r="H6" s="796"/>
      <c r="J6" s="1116" t="s">
        <v>933</v>
      </c>
      <c r="K6" s="797"/>
    </row>
    <row r="7" spans="1:19" s="790" customFormat="1" ht="15">
      <c r="B7" s="1442"/>
      <c r="C7" s="1442"/>
      <c r="D7" s="1442"/>
      <c r="F7" s="972" t="s">
        <v>960</v>
      </c>
      <c r="G7" s="973"/>
      <c r="H7" s="974"/>
      <c r="J7" s="1116" t="s">
        <v>934</v>
      </c>
      <c r="K7" s="797"/>
    </row>
    <row r="8" spans="1:19" s="957" customFormat="1" ht="15">
      <c r="B8" s="971"/>
      <c r="C8" s="971"/>
      <c r="D8" s="971"/>
      <c r="F8" s="919" t="s">
        <v>961</v>
      </c>
      <c r="G8" s="975"/>
      <c r="H8" s="894"/>
      <c r="K8" s="961"/>
    </row>
    <row r="9" spans="1:19" s="790" customFormat="1" ht="15">
      <c r="B9" s="794"/>
      <c r="C9" s="797"/>
      <c r="D9" s="797"/>
      <c r="E9" s="797"/>
      <c r="F9" s="797"/>
      <c r="G9" s="797"/>
      <c r="H9" s="797"/>
      <c r="I9" s="797"/>
      <c r="J9" s="788"/>
      <c r="K9" s="788"/>
    </row>
    <row r="10" spans="1:19" s="1104" customFormat="1" ht="15.75">
      <c r="B10" s="1158" t="s">
        <v>1273</v>
      </c>
      <c r="C10" s="1105"/>
      <c r="D10" s="1106"/>
      <c r="E10" s="1106"/>
      <c r="F10" s="1106"/>
      <c r="G10" s="1106"/>
      <c r="H10" s="1106"/>
      <c r="I10" s="1106"/>
      <c r="J10" s="1106"/>
      <c r="K10" s="1106"/>
      <c r="L10" s="1106"/>
      <c r="M10" s="1106"/>
      <c r="N10" s="1106"/>
      <c r="O10" s="1106"/>
      <c r="Q10" s="1109"/>
    </row>
    <row r="11" spans="1:19" s="1112" customFormat="1" ht="15.75">
      <c r="B11" s="901" t="s">
        <v>1096</v>
      </c>
      <c r="C11" s="1113"/>
      <c r="D11" s="1114"/>
      <c r="E11" s="1114"/>
      <c r="F11" s="1114"/>
      <c r="G11" s="1114"/>
      <c r="H11" s="1114"/>
      <c r="I11" s="1114"/>
      <c r="J11" s="1114"/>
      <c r="K11" s="1114"/>
      <c r="L11" s="1114"/>
      <c r="M11" s="1114"/>
      <c r="N11" s="1114"/>
      <c r="O11" s="1114"/>
      <c r="Q11" s="1115"/>
    </row>
    <row r="12" spans="1:19" s="1112" customFormat="1" ht="15.75">
      <c r="B12" s="902" t="s">
        <v>1180</v>
      </c>
      <c r="C12" s="1113"/>
      <c r="D12" s="1114"/>
      <c r="E12" s="1114"/>
      <c r="F12" s="1114"/>
      <c r="G12" s="1114"/>
      <c r="H12" s="1114"/>
      <c r="I12" s="1114"/>
      <c r="J12" s="1114"/>
      <c r="K12" s="1114"/>
      <c r="L12" s="1114"/>
      <c r="M12" s="1114"/>
      <c r="N12" s="1114"/>
      <c r="O12" s="1114"/>
      <c r="Q12" s="1115"/>
    </row>
    <row r="13" spans="1:19" s="1101" customFormat="1" ht="15">
      <c r="B13" s="1102"/>
      <c r="C13" s="1107"/>
      <c r="D13" s="1107"/>
      <c r="E13" s="1107"/>
      <c r="F13" s="1550" t="s">
        <v>1100</v>
      </c>
      <c r="G13" s="1550"/>
      <c r="H13" s="1550"/>
      <c r="I13" s="1550"/>
      <c r="J13" s="1550"/>
      <c r="K13" s="1550"/>
      <c r="L13" s="1550"/>
      <c r="M13" s="1550"/>
      <c r="N13" s="1550"/>
      <c r="O13" s="1550"/>
      <c r="P13" s="1550"/>
      <c r="Q13" s="1550"/>
    </row>
    <row r="14" spans="1:19" s="1101" customFormat="1" ht="45">
      <c r="B14" s="1147" t="s">
        <v>1198</v>
      </c>
      <c r="C14" s="821" t="s">
        <v>1174</v>
      </c>
      <c r="D14" s="821" t="s">
        <v>1176</v>
      </c>
      <c r="E14" s="821" t="s">
        <v>1177</v>
      </c>
      <c r="F14" s="1148" t="s">
        <v>596</v>
      </c>
      <c r="G14" s="1148" t="s">
        <v>597</v>
      </c>
      <c r="H14" s="1148" t="s">
        <v>598</v>
      </c>
      <c r="I14" s="1148" t="s">
        <v>599</v>
      </c>
      <c r="J14" s="1148" t="s">
        <v>600</v>
      </c>
      <c r="K14" s="1148" t="s">
        <v>601</v>
      </c>
      <c r="L14" s="1148" t="s">
        <v>341</v>
      </c>
      <c r="M14" s="1148" t="s">
        <v>342</v>
      </c>
      <c r="N14" s="1148" t="s">
        <v>49</v>
      </c>
      <c r="O14" s="1148" t="s">
        <v>112</v>
      </c>
      <c r="P14" s="1148" t="s">
        <v>113</v>
      </c>
      <c r="Q14" s="1149" t="s">
        <v>114</v>
      </c>
    </row>
    <row r="15" spans="1:19" s="1101" customFormat="1" ht="15">
      <c r="B15" s="1098" t="s">
        <v>1161</v>
      </c>
      <c r="C15" s="1108"/>
      <c r="D15" s="1108"/>
      <c r="E15" s="1142"/>
      <c r="F15" s="1108"/>
      <c r="G15" s="1108"/>
      <c r="H15" s="1108"/>
      <c r="I15" s="1108"/>
      <c r="J15" s="1108"/>
      <c r="K15" s="1108"/>
      <c r="L15" s="1108"/>
      <c r="M15" s="1108"/>
      <c r="N15" s="1108"/>
      <c r="O15" s="1108"/>
      <c r="P15" s="1108"/>
      <c r="Q15" s="1108"/>
    </row>
    <row r="16" spans="1:19" s="1101" customFormat="1" ht="15">
      <c r="B16" s="1118" t="s">
        <v>1040</v>
      </c>
      <c r="C16" s="1362" t="s">
        <v>933</v>
      </c>
      <c r="D16" s="553">
        <f>IF($C$16="Yes",'6. Building Potential Summary'!C18,0)</f>
        <v>1.74E-3</v>
      </c>
      <c r="E16" s="553">
        <f>IF($C$16="Yes",'6. Building Potential Summary'!D18,0)</f>
        <v>0</v>
      </c>
      <c r="F16" s="553">
        <f>IF($C$16="Yes",'6. Building Potential Summary'!F18,0)</f>
        <v>0</v>
      </c>
      <c r="G16" s="553">
        <f>IF($C$16="Yes",'6. Building Potential Summary'!G18,0)</f>
        <v>0</v>
      </c>
      <c r="H16" s="553">
        <f>IF($C$16="Yes",'6. Building Potential Summary'!H18,0)</f>
        <v>0</v>
      </c>
      <c r="I16" s="553">
        <f>IF($C$16="Yes",'6. Building Potential Summary'!I18,0)</f>
        <v>0</v>
      </c>
      <c r="J16" s="553">
        <f>IF($C$16="Yes",'6. Building Potential Summary'!J18,0)</f>
        <v>0</v>
      </c>
      <c r="K16" s="553">
        <f>IF($C$16="Yes",'6. Building Potential Summary'!K18,0)</f>
        <v>0</v>
      </c>
      <c r="L16" s="553">
        <f>IF($C$16="Yes",'6. Building Potential Summary'!L18,0)</f>
        <v>0</v>
      </c>
      <c r="M16" s="553">
        <f>IF($C$16="Yes",'6. Building Potential Summary'!M18,0)</f>
        <v>0</v>
      </c>
      <c r="N16" s="553">
        <f>IF($C$16="Yes",'6. Building Potential Summary'!N18,0)</f>
        <v>0</v>
      </c>
      <c r="O16" s="553">
        <f>IF($C$16="Yes",'6. Building Potential Summary'!O18,0)</f>
        <v>0</v>
      </c>
      <c r="P16" s="553">
        <f>IF($C$16="Yes",'6. Building Potential Summary'!P18,0)</f>
        <v>0</v>
      </c>
      <c r="Q16" s="553">
        <f>IF($C$16="Yes",'6. Building Potential Summary'!Q18,0)</f>
        <v>0</v>
      </c>
      <c r="R16" s="1207"/>
      <c r="S16" s="1207"/>
    </row>
    <row r="17" spans="2:19" s="1101" customFormat="1" ht="15">
      <c r="B17" s="1118" t="s">
        <v>940</v>
      </c>
      <c r="C17" s="1362" t="s">
        <v>933</v>
      </c>
      <c r="D17" s="553">
        <f>IF($C$17="Yes",'6. Building Potential Summary'!C19,0)</f>
        <v>8.9087999999999997E-3</v>
      </c>
      <c r="E17" s="553">
        <f>IF($C$17="Yes",'6. Building Potential Summary'!D19,0)</f>
        <v>0</v>
      </c>
      <c r="F17" s="553">
        <f>IF($C$17="Yes",'6. Building Potential Summary'!F19,0)</f>
        <v>0</v>
      </c>
      <c r="G17" s="553">
        <f>IF($C$17="Yes",'6. Building Potential Summary'!G19,0)</f>
        <v>0</v>
      </c>
      <c r="H17" s="553">
        <f>IF($C$17="Yes",'6. Building Potential Summary'!H19,0)</f>
        <v>0</v>
      </c>
      <c r="I17" s="553">
        <f>IF($C$17="Yes",'6. Building Potential Summary'!I19,0)</f>
        <v>0</v>
      </c>
      <c r="J17" s="553">
        <f>IF($C$17="Yes",'6. Building Potential Summary'!J19,0)</f>
        <v>0</v>
      </c>
      <c r="K17" s="553">
        <f>IF($C$17="Yes",'6. Building Potential Summary'!K19,0)</f>
        <v>0</v>
      </c>
      <c r="L17" s="553">
        <f>IF($C$17="Yes",'6. Building Potential Summary'!L19,0)</f>
        <v>0</v>
      </c>
      <c r="M17" s="553">
        <f>IF($C$17="Yes",'6. Building Potential Summary'!M19,0)</f>
        <v>0</v>
      </c>
      <c r="N17" s="553">
        <f>IF($C$17="Yes",'6. Building Potential Summary'!N19,0)</f>
        <v>0</v>
      </c>
      <c r="O17" s="553">
        <f>IF($C$17="Yes",'6. Building Potential Summary'!O19,0)</f>
        <v>0</v>
      </c>
      <c r="P17" s="553">
        <f>IF($C$17="Yes",'6. Building Potential Summary'!P19,0)</f>
        <v>0</v>
      </c>
      <c r="Q17" s="553">
        <f>IF($C$17="Yes",'6. Building Potential Summary'!Q19,0)</f>
        <v>0</v>
      </c>
      <c r="R17" s="1207"/>
    </row>
    <row r="18" spans="2:19" s="1101" customFormat="1" ht="15">
      <c r="B18" s="1098" t="s">
        <v>1162</v>
      </c>
      <c r="C18" s="1108"/>
      <c r="D18" s="537"/>
      <c r="E18" s="537"/>
      <c r="F18" s="537"/>
      <c r="G18" s="537"/>
      <c r="H18" s="537"/>
      <c r="I18" s="537"/>
      <c r="J18" s="537"/>
      <c r="K18" s="537"/>
      <c r="L18" s="537"/>
      <c r="M18" s="537"/>
      <c r="N18" s="537"/>
      <c r="O18" s="537"/>
      <c r="P18" s="537"/>
      <c r="Q18" s="537"/>
      <c r="R18" s="1207"/>
    </row>
    <row r="19" spans="2:19" s="1101" customFormat="1" ht="15">
      <c r="B19" s="1119" t="s">
        <v>940</v>
      </c>
      <c r="C19" s="1362" t="s">
        <v>933</v>
      </c>
      <c r="D19" s="553">
        <f>IF($C$19="Yes",'6. Building Potential Summary'!C28,0)</f>
        <v>12.220799999999999</v>
      </c>
      <c r="E19" s="553">
        <f>IF($C$19="Yes",'6. Building Potential Summary'!D28,0)</f>
        <v>0</v>
      </c>
      <c r="F19" s="553">
        <f>IF($C$19="Yes",'6. Building Potential Summary'!F28,0)</f>
        <v>0</v>
      </c>
      <c r="G19" s="553">
        <f>IF($C$19="Yes",'6. Building Potential Summary'!G28,0)</f>
        <v>0</v>
      </c>
      <c r="H19" s="553">
        <f>IF($C$19="Yes",'6. Building Potential Summary'!H28,0)</f>
        <v>0</v>
      </c>
      <c r="I19" s="553">
        <f>IF($C$19="Yes",'6. Building Potential Summary'!I28,0)</f>
        <v>0</v>
      </c>
      <c r="J19" s="553">
        <f>IF($C$19="Yes",'6. Building Potential Summary'!J28,0)</f>
        <v>0</v>
      </c>
      <c r="K19" s="553">
        <f>IF($C$19="Yes",'6. Building Potential Summary'!K28,0)</f>
        <v>0</v>
      </c>
      <c r="L19" s="553">
        <f>IF($C$19="Yes",'6. Building Potential Summary'!L28,0)</f>
        <v>0</v>
      </c>
      <c r="M19" s="553">
        <f>IF($C$19="Yes",'6. Building Potential Summary'!M28,0)</f>
        <v>0</v>
      </c>
      <c r="N19" s="553">
        <f>IF($C$19="Yes",'6. Building Potential Summary'!N28,0)</f>
        <v>0</v>
      </c>
      <c r="O19" s="553">
        <f>IF($C$19="Yes",'6. Building Potential Summary'!O28,0)</f>
        <v>0</v>
      </c>
      <c r="P19" s="553">
        <f>IF($C$19="Yes",'6. Building Potential Summary'!P28,0)</f>
        <v>0</v>
      </c>
      <c r="Q19" s="553">
        <f>IF($C$19="Yes",'6. Building Potential Summary'!Q28,0)</f>
        <v>0</v>
      </c>
      <c r="R19" s="1207"/>
    </row>
    <row r="20" spans="2:19" s="1101" customFormat="1" ht="15">
      <c r="B20" s="1098" t="s">
        <v>1021</v>
      </c>
      <c r="C20" s="1108"/>
      <c r="D20" s="537"/>
      <c r="E20" s="537"/>
      <c r="F20" s="537"/>
      <c r="G20" s="537"/>
      <c r="H20" s="537"/>
      <c r="I20" s="537"/>
      <c r="J20" s="537"/>
      <c r="K20" s="537"/>
      <c r="L20" s="537"/>
      <c r="M20" s="537"/>
      <c r="N20" s="537"/>
      <c r="O20" s="537"/>
      <c r="P20" s="537"/>
      <c r="Q20" s="537"/>
      <c r="R20" s="1207"/>
    </row>
    <row r="21" spans="2:19" s="1101" customFormat="1" ht="15">
      <c r="B21" s="1118" t="s">
        <v>1166</v>
      </c>
      <c r="C21" s="1362" t="s">
        <v>933</v>
      </c>
      <c r="D21" s="553">
        <f>IF($C$21="Yes",'6. Building Potential Summary'!C33,0)</f>
        <v>0</v>
      </c>
      <c r="E21" s="553">
        <f>IF($C$21="Yes",'6. Building Potential Summary'!D33,0)</f>
        <v>0</v>
      </c>
      <c r="F21" s="553">
        <f>IF($C$21="Yes",'6. Building Potential Summary'!F33,0)</f>
        <v>0</v>
      </c>
      <c r="G21" s="553">
        <f>IF($C$21="Yes",'6. Building Potential Summary'!G33,0)</f>
        <v>0</v>
      </c>
      <c r="H21" s="553">
        <f>IF($C$21="Yes",'6. Building Potential Summary'!H33,0)</f>
        <v>0</v>
      </c>
      <c r="I21" s="553">
        <f>IF($C$21="Yes",'6. Building Potential Summary'!I33,0)</f>
        <v>0</v>
      </c>
      <c r="J21" s="553">
        <f>IF($C$21="Yes",'6. Building Potential Summary'!J33,0)</f>
        <v>0</v>
      </c>
      <c r="K21" s="553">
        <f>IF($C$21="Yes",'6. Building Potential Summary'!K33,0)</f>
        <v>0</v>
      </c>
      <c r="L21" s="553">
        <f>IF($C$21="Yes",'6. Building Potential Summary'!L33,0)</f>
        <v>0</v>
      </c>
      <c r="M21" s="553">
        <f>IF($C$21="Yes",'6. Building Potential Summary'!M33,0)</f>
        <v>0</v>
      </c>
      <c r="N21" s="553">
        <f>IF($C$21="Yes",'6. Building Potential Summary'!N33,0)</f>
        <v>0</v>
      </c>
      <c r="O21" s="553">
        <f>IF($C$21="Yes",'6. Building Potential Summary'!O33,0)</f>
        <v>0</v>
      </c>
      <c r="P21" s="553">
        <f>IF($C$21="Yes",'6. Building Potential Summary'!P33,0)</f>
        <v>0</v>
      </c>
      <c r="Q21" s="553">
        <f>IF($C$21="Yes",'6. Building Potential Summary'!Q33,0)</f>
        <v>0</v>
      </c>
      <c r="R21" s="1207"/>
    </row>
    <row r="22" spans="2:19" s="1101" customFormat="1" ht="15">
      <c r="B22" s="1098" t="s">
        <v>1163</v>
      </c>
      <c r="C22" s="1108"/>
      <c r="D22" s="537"/>
      <c r="E22" s="537"/>
      <c r="F22" s="537"/>
      <c r="G22" s="537"/>
      <c r="H22" s="537"/>
      <c r="I22" s="537"/>
      <c r="J22" s="537"/>
      <c r="K22" s="537"/>
      <c r="L22" s="537"/>
      <c r="M22" s="537"/>
      <c r="N22" s="537"/>
      <c r="O22" s="537"/>
      <c r="P22" s="537"/>
      <c r="Q22" s="537"/>
      <c r="R22" s="1207"/>
      <c r="S22" s="1207"/>
    </row>
    <row r="23" spans="2:19" s="1101" customFormat="1" ht="15">
      <c r="B23" s="1118" t="s">
        <v>1022</v>
      </c>
      <c r="C23" s="1362" t="s">
        <v>933</v>
      </c>
      <c r="D23" s="553">
        <f>IF($C$23="Yes",'6. Building Potential Summary'!C36,0)</f>
        <v>100</v>
      </c>
      <c r="E23" s="553">
        <f>IF($C$23="Yes",'6. Building Potential Summary'!D36,0)</f>
        <v>25000</v>
      </c>
      <c r="F23" s="553">
        <f>IF($C$23="Yes",'6. Building Potential Summary'!F36,0)</f>
        <v>2083.3333333333335</v>
      </c>
      <c r="G23" s="553">
        <f>IF($C$23="Yes",'6. Building Potential Summary'!G36,0)</f>
        <v>2083.3333333333335</v>
      </c>
      <c r="H23" s="553">
        <f>IF($C$23="Yes",'6. Building Potential Summary'!H36,0)</f>
        <v>2083.3333333333335</v>
      </c>
      <c r="I23" s="553">
        <f>IF($C$23="Yes",'6. Building Potential Summary'!I36,0)</f>
        <v>2083.3333333333335</v>
      </c>
      <c r="J23" s="553">
        <f>IF($C$23="Yes",'6. Building Potential Summary'!J36,0)</f>
        <v>2083.3333333333335</v>
      </c>
      <c r="K23" s="553">
        <f>IF($C$23="Yes",'6. Building Potential Summary'!K36,0)</f>
        <v>2083.3333333333335</v>
      </c>
      <c r="L23" s="553">
        <f>IF($C$23="Yes",'6. Building Potential Summary'!L36,0)</f>
        <v>2083.3333333333335</v>
      </c>
      <c r="M23" s="553">
        <f>IF($C$23="Yes",'6. Building Potential Summary'!M36,0)</f>
        <v>2083.3333333333335</v>
      </c>
      <c r="N23" s="553">
        <f>IF($C$23="Yes",'6. Building Potential Summary'!N36,0)</f>
        <v>2083.3333333333335</v>
      </c>
      <c r="O23" s="553">
        <f>IF($C$23="Yes",'6. Building Potential Summary'!O36,0)</f>
        <v>2083.3333333333335</v>
      </c>
      <c r="P23" s="553">
        <f>IF($C$23="Yes",'6. Building Potential Summary'!P36,0)</f>
        <v>2083.3333333333335</v>
      </c>
      <c r="Q23" s="553">
        <f>IF($C$23="Yes",'6. Building Potential Summary'!Q36,0)</f>
        <v>2083.3333333333335</v>
      </c>
      <c r="R23" s="1207"/>
    </row>
    <row r="24" spans="2:19" s="1101" customFormat="1" ht="15">
      <c r="B24" s="1118" t="s">
        <v>1003</v>
      </c>
      <c r="C24" s="1362" t="s">
        <v>933</v>
      </c>
      <c r="D24" s="553">
        <f>IF($C$24="Yes",'6. Building Potential Summary'!C37,0)</f>
        <v>34</v>
      </c>
      <c r="E24" s="553">
        <f>IF($C$24="Yes",'6. Building Potential Summary'!D37,0)</f>
        <v>1768</v>
      </c>
      <c r="F24" s="553">
        <f>IF($C$24="Yes",'6. Building Potential Summary'!F37,0)</f>
        <v>147.33333333333334</v>
      </c>
      <c r="G24" s="553">
        <f>IF($C$24="Yes",'6. Building Potential Summary'!G37,0)</f>
        <v>147.33333333333334</v>
      </c>
      <c r="H24" s="553">
        <f>IF($C$24="Yes",'6. Building Potential Summary'!H37,0)</f>
        <v>147.33333333333334</v>
      </c>
      <c r="I24" s="553">
        <f>IF($C$24="Yes",'6. Building Potential Summary'!I37,0)</f>
        <v>147.33333333333334</v>
      </c>
      <c r="J24" s="553">
        <f>IF($C$24="Yes",'6. Building Potential Summary'!J37,0)</f>
        <v>147.33333333333334</v>
      </c>
      <c r="K24" s="553">
        <f>IF($C$24="Yes",'6. Building Potential Summary'!K37,0)</f>
        <v>147.33333333333334</v>
      </c>
      <c r="L24" s="553">
        <f>IF($C$24="Yes",'6. Building Potential Summary'!L37,0)</f>
        <v>147.33333333333334</v>
      </c>
      <c r="M24" s="553">
        <f>IF($C$24="Yes",'6. Building Potential Summary'!M37,0)</f>
        <v>147.33333333333334</v>
      </c>
      <c r="N24" s="553">
        <f>IF($C$24="Yes",'6. Building Potential Summary'!N37,0)</f>
        <v>147.33333333333334</v>
      </c>
      <c r="O24" s="553">
        <f>IF($C$24="Yes",'6. Building Potential Summary'!O37,0)</f>
        <v>147.33333333333334</v>
      </c>
      <c r="P24" s="553">
        <f>IF($C$24="Yes",'6. Building Potential Summary'!P37,0)</f>
        <v>147.33333333333334</v>
      </c>
      <c r="Q24" s="553">
        <f>IF($C$24="Yes",'6. Building Potential Summary'!Q37,0)</f>
        <v>147.33333333333334</v>
      </c>
      <c r="R24" s="1207"/>
    </row>
    <row r="25" spans="2:19" s="1101" customFormat="1" ht="15">
      <c r="B25" s="1267" t="str">
        <f>'2. Indoor Water Demand'!B100</f>
        <v>&lt;Please specify here&gt;</v>
      </c>
      <c r="C25" s="1375" t="s">
        <v>933</v>
      </c>
      <c r="D25" s="1197">
        <f>IF($C$25="Yes",'6. Building Potential Summary'!C38,0)</f>
        <v>0</v>
      </c>
      <c r="E25" s="1197">
        <f>IF($C$25="Yes",'6. Building Potential Summary'!D38,0)</f>
        <v>0</v>
      </c>
      <c r="F25" s="1197">
        <f>IF($C$25="Yes",'6. Building Potential Summary'!F38,0)</f>
        <v>0</v>
      </c>
      <c r="G25" s="1197">
        <f>IF($C$25="Yes",'6. Building Potential Summary'!G38,0)</f>
        <v>0</v>
      </c>
      <c r="H25" s="1197">
        <f>IF($C$25="Yes",'6. Building Potential Summary'!H38,0)</f>
        <v>0</v>
      </c>
      <c r="I25" s="1197">
        <f>IF($C$25="Yes",'6. Building Potential Summary'!I38,0)</f>
        <v>0</v>
      </c>
      <c r="J25" s="1197">
        <f>IF($C$25="Yes",'6. Building Potential Summary'!J38,0)</f>
        <v>0</v>
      </c>
      <c r="K25" s="1197">
        <f>IF($C$25="Yes",'6. Building Potential Summary'!K38,0)</f>
        <v>0</v>
      </c>
      <c r="L25" s="1197">
        <f>IF($C$25="Yes",'6. Building Potential Summary'!L38,0)</f>
        <v>0</v>
      </c>
      <c r="M25" s="1197">
        <f>IF($C$25="Yes",'6. Building Potential Summary'!M38,0)</f>
        <v>0</v>
      </c>
      <c r="N25" s="1197">
        <f>IF($C$25="Yes",'6. Building Potential Summary'!N38,0)</f>
        <v>0</v>
      </c>
      <c r="O25" s="1197">
        <f>IF($C$25="Yes",'6. Building Potential Summary'!O38,0)</f>
        <v>0</v>
      </c>
      <c r="P25" s="1197">
        <f>IF($C$25="Yes",'6. Building Potential Summary'!P38,0)</f>
        <v>0</v>
      </c>
      <c r="Q25" s="1197">
        <f>IF($C$25="Yes",'6. Building Potential Summary'!Q38,0)</f>
        <v>0</v>
      </c>
      <c r="R25" s="1207"/>
    </row>
    <row r="26" spans="2:19" s="1101" customFormat="1" ht="15">
      <c r="B26" s="1253" t="s">
        <v>1200</v>
      </c>
      <c r="C26" s="1261"/>
      <c r="D26" s="1262">
        <f>SUM(D16:D25)</f>
        <v>146.23144880000001</v>
      </c>
      <c r="E26" s="1262">
        <f t="shared" ref="E26:Q26" si="0">SUM(E16:E25)</f>
        <v>26768</v>
      </c>
      <c r="F26" s="1262">
        <f>SUM(F16:F25)</f>
        <v>2230.666666666667</v>
      </c>
      <c r="G26" s="1262">
        <f t="shared" si="0"/>
        <v>2230.666666666667</v>
      </c>
      <c r="H26" s="1262">
        <f t="shared" si="0"/>
        <v>2230.666666666667</v>
      </c>
      <c r="I26" s="1262">
        <f t="shared" si="0"/>
        <v>2230.666666666667</v>
      </c>
      <c r="J26" s="1262">
        <f t="shared" si="0"/>
        <v>2230.666666666667</v>
      </c>
      <c r="K26" s="1262">
        <f t="shared" si="0"/>
        <v>2230.666666666667</v>
      </c>
      <c r="L26" s="1262">
        <f t="shared" si="0"/>
        <v>2230.666666666667</v>
      </c>
      <c r="M26" s="1262">
        <f t="shared" si="0"/>
        <v>2230.666666666667</v>
      </c>
      <c r="N26" s="1262">
        <f t="shared" si="0"/>
        <v>2230.666666666667</v>
      </c>
      <c r="O26" s="1262">
        <f t="shared" si="0"/>
        <v>2230.666666666667</v>
      </c>
      <c r="P26" s="1262">
        <f t="shared" si="0"/>
        <v>2230.666666666667</v>
      </c>
      <c r="Q26" s="1262">
        <f t="shared" si="0"/>
        <v>2230.666666666667</v>
      </c>
      <c r="R26" s="1207"/>
    </row>
    <row r="27" spans="2:19" s="1101" customFormat="1" ht="15">
      <c r="B27" s="1144" t="s">
        <v>1199</v>
      </c>
      <c r="C27" s="1145"/>
      <c r="D27" s="1146"/>
      <c r="E27" s="1146"/>
      <c r="F27" s="1146"/>
      <c r="G27" s="1146"/>
      <c r="H27" s="1146"/>
      <c r="I27" s="1146"/>
      <c r="J27" s="1146"/>
      <c r="K27" s="1146"/>
      <c r="L27" s="1146"/>
      <c r="M27" s="1146"/>
      <c r="N27" s="1146"/>
      <c r="O27" s="1146"/>
      <c r="P27" s="1146"/>
      <c r="Q27" s="1146"/>
      <c r="R27" s="1207"/>
    </row>
    <row r="28" spans="2:19" s="1101" customFormat="1" ht="15">
      <c r="B28" s="1118" t="s">
        <v>1197</v>
      </c>
      <c r="C28" s="1362" t="s">
        <v>933</v>
      </c>
      <c r="D28" s="553" t="str">
        <f>IF($C$28="Yes",'6. Building Potential Summary'!C41,0)</f>
        <v>N/A</v>
      </c>
      <c r="E28" s="553">
        <f>IF($C$28="Yes",'6. Building Potential Summary'!D41,0)</f>
        <v>11.872489200733384</v>
      </c>
      <c r="F28" s="553">
        <f>IF($C$28="Yes",'6. Building Potential Summary'!F41,0)</f>
        <v>0</v>
      </c>
      <c r="G28" s="553">
        <f>IF($C$28="Yes",'6. Building Potential Summary'!G41,0)</f>
        <v>0</v>
      </c>
      <c r="H28" s="553">
        <f>IF($C$28="Yes",'6. Building Potential Summary'!H41,0)</f>
        <v>0</v>
      </c>
      <c r="I28" s="553">
        <f>IF($C$28="Yes",'6. Building Potential Summary'!I41,0)</f>
        <v>0.91279419625811375</v>
      </c>
      <c r="J28" s="553">
        <f>IF($C$28="Yes",'6. Building Potential Summary'!J41,0)</f>
        <v>1.8192635658914729</v>
      </c>
      <c r="K28" s="553">
        <f>IF($C$28="Yes",'6. Building Potential Summary'!K41,0)</f>
        <v>2.319975308641975</v>
      </c>
      <c r="L28" s="553">
        <f>IF($C$28="Yes",'6. Building Potential Summary'!L41,0)</f>
        <v>2.3702442386831275</v>
      </c>
      <c r="M28" s="553">
        <f>IF($C$28="Yes",'6. Building Potential Summary'!M41,0)</f>
        <v>2.1798599033816428</v>
      </c>
      <c r="N28" s="553">
        <f>IF($C$28="Yes",'6. Building Potential Summary'!N41,0)</f>
        <v>1.6343020833333335</v>
      </c>
      <c r="O28" s="553">
        <f>IF($C$28="Yes",'6. Building Potential Summary'!O41,0)</f>
        <v>0.6360499045437189</v>
      </c>
      <c r="P28" s="553">
        <f>IF($C$28="Yes",'6. Building Potential Summary'!P41,0)</f>
        <v>0</v>
      </c>
      <c r="Q28" s="553">
        <f>IF($C$28="Yes",'6. Building Potential Summary'!Q41,0)</f>
        <v>0</v>
      </c>
      <c r="R28" s="1207"/>
    </row>
    <row r="29" spans="2:19" s="1101" customFormat="1" ht="15">
      <c r="B29" s="1118" t="s">
        <v>1189</v>
      </c>
      <c r="C29" s="1362" t="s">
        <v>934</v>
      </c>
      <c r="D29" s="553">
        <f>IF($C$29="Yes",'6. Building Potential Summary'!C42,0)</f>
        <v>0</v>
      </c>
      <c r="E29" s="553">
        <f>IF($C$29="Yes",'6. Building Potential Summary'!D42,0)</f>
        <v>0</v>
      </c>
      <c r="F29" s="553">
        <f>IF($C$29="Yes",'6. Building Potential Summary'!F42,0)</f>
        <v>0</v>
      </c>
      <c r="G29" s="553">
        <f>IF($C$29="Yes",'6. Building Potential Summary'!G42,0)</f>
        <v>0</v>
      </c>
      <c r="H29" s="553">
        <f>IF($C$29="Yes",'6. Building Potential Summary'!H42,0)</f>
        <v>0</v>
      </c>
      <c r="I29" s="553">
        <f>IF($C$29="Yes",'6. Building Potential Summary'!I42,0)</f>
        <v>0</v>
      </c>
      <c r="J29" s="553">
        <f>IF($C$29="Yes",'6. Building Potential Summary'!J42,0)</f>
        <v>0</v>
      </c>
      <c r="K29" s="553">
        <f>IF($C$29="Yes",'6. Building Potential Summary'!K42,0)</f>
        <v>0</v>
      </c>
      <c r="L29" s="553">
        <f>IF($C$29="Yes",'6. Building Potential Summary'!L42,0)</f>
        <v>0</v>
      </c>
      <c r="M29" s="553">
        <f>IF($C$29="Yes",'6. Building Potential Summary'!M42,0)</f>
        <v>0</v>
      </c>
      <c r="N29" s="553">
        <f>IF($C$29="Yes",'6. Building Potential Summary'!N42,0)</f>
        <v>0</v>
      </c>
      <c r="O29" s="553">
        <f>IF($C$29="Yes",'6. Building Potential Summary'!O42,0)</f>
        <v>0</v>
      </c>
      <c r="P29" s="553">
        <f>IF($C$29="Yes",'6. Building Potential Summary'!P42,0)</f>
        <v>0</v>
      </c>
      <c r="Q29" s="553">
        <f>IF($C$29="Yes",'6. Building Potential Summary'!Q42,0)</f>
        <v>0</v>
      </c>
      <c r="R29" s="1207"/>
    </row>
    <row r="30" spans="2:19" s="1101" customFormat="1" ht="15">
      <c r="B30" s="1271" t="str">
        <f>'4. Outdoor Water Demand'!B68</f>
        <v>&lt;Please specify here&gt;</v>
      </c>
      <c r="C30" s="1375" t="s">
        <v>933</v>
      </c>
      <c r="D30" s="1197">
        <f>IF($C$30="Yes",'6. Building Potential Summary'!C43,0)</f>
        <v>0</v>
      </c>
      <c r="E30" s="1197">
        <f>IF($C$30="Yes",'6. Building Potential Summary'!D43,0)</f>
        <v>0</v>
      </c>
      <c r="F30" s="1197">
        <f>IF($C$30="Yes",'6. Building Potential Summary'!F43,0)</f>
        <v>0</v>
      </c>
      <c r="G30" s="1197">
        <f>IF($C$30="Yes",'6. Building Potential Summary'!G43,0)</f>
        <v>0</v>
      </c>
      <c r="H30" s="1197">
        <f>IF($C$30="Yes",'6. Building Potential Summary'!H43,0)</f>
        <v>0</v>
      </c>
      <c r="I30" s="1197">
        <f>IF($C$30="Yes",'6. Building Potential Summary'!I43,0)</f>
        <v>0</v>
      </c>
      <c r="J30" s="1197">
        <f>IF($C$30="Yes",'6. Building Potential Summary'!J43,0)</f>
        <v>0</v>
      </c>
      <c r="K30" s="1197">
        <f>IF($C$30="Yes",'6. Building Potential Summary'!K43,0)</f>
        <v>0</v>
      </c>
      <c r="L30" s="1197">
        <f>IF($C$30="Yes",'6. Building Potential Summary'!L43,0)</f>
        <v>0</v>
      </c>
      <c r="M30" s="1197">
        <f>IF($C$30="Yes",'6. Building Potential Summary'!M43,0)</f>
        <v>0</v>
      </c>
      <c r="N30" s="1197">
        <f>IF($C$30="Yes",'6. Building Potential Summary'!N43,0)</f>
        <v>0</v>
      </c>
      <c r="O30" s="1197">
        <f>IF($C$30="Yes",'6. Building Potential Summary'!O43,0)</f>
        <v>0</v>
      </c>
      <c r="P30" s="1197">
        <f>IF($C$30="Yes",'6. Building Potential Summary'!P43,0)</f>
        <v>0</v>
      </c>
      <c r="Q30" s="1197">
        <f>IF($C$30="Yes",'6. Building Potential Summary'!Q43,0)</f>
        <v>0</v>
      </c>
      <c r="R30" s="1207"/>
    </row>
    <row r="31" spans="2:19" s="1101" customFormat="1" ht="15.75" thickBot="1">
      <c r="B31" s="1272" t="s">
        <v>1201</v>
      </c>
      <c r="C31" s="1273"/>
      <c r="D31" s="1274">
        <f>SUM(D28:D30)</f>
        <v>0</v>
      </c>
      <c r="E31" s="1274">
        <f t="shared" ref="E31:Q31" si="1">SUM(E28:E30)</f>
        <v>11.872489200733384</v>
      </c>
      <c r="F31" s="1274">
        <f t="shared" si="1"/>
        <v>0</v>
      </c>
      <c r="G31" s="1274">
        <f t="shared" si="1"/>
        <v>0</v>
      </c>
      <c r="H31" s="1274">
        <f t="shared" si="1"/>
        <v>0</v>
      </c>
      <c r="I31" s="1274">
        <f t="shared" si="1"/>
        <v>0.91279419625811375</v>
      </c>
      <c r="J31" s="1274">
        <f t="shared" si="1"/>
        <v>1.8192635658914729</v>
      </c>
      <c r="K31" s="1274">
        <f t="shared" si="1"/>
        <v>2.319975308641975</v>
      </c>
      <c r="L31" s="1274">
        <f t="shared" si="1"/>
        <v>2.3702442386831275</v>
      </c>
      <c r="M31" s="1274">
        <f t="shared" si="1"/>
        <v>2.1798599033816428</v>
      </c>
      <c r="N31" s="1274">
        <f t="shared" si="1"/>
        <v>1.6343020833333335</v>
      </c>
      <c r="O31" s="1274">
        <f t="shared" si="1"/>
        <v>0.6360499045437189</v>
      </c>
      <c r="P31" s="1274">
        <f t="shared" si="1"/>
        <v>0</v>
      </c>
      <c r="Q31" s="1274">
        <f t="shared" si="1"/>
        <v>0</v>
      </c>
      <c r="R31" s="1207"/>
    </row>
    <row r="32" spans="2:19" s="1101" customFormat="1" ht="15.75" thickTop="1">
      <c r="B32" s="1268" t="s">
        <v>1192</v>
      </c>
      <c r="C32" s="1269"/>
      <c r="D32" s="1270">
        <f>D26+D31</f>
        <v>146.23144880000001</v>
      </c>
      <c r="E32" s="1270">
        <f>ROUNDUP(E26+E31,-2)</f>
        <v>26800</v>
      </c>
      <c r="F32" s="1270">
        <f>ROUNDUP(F26+F31,-2)</f>
        <v>2300</v>
      </c>
      <c r="G32" s="1270">
        <f t="shared" ref="G32:Q32" si="2">ROUNDUP(G26+G31,-2)</f>
        <v>2300</v>
      </c>
      <c r="H32" s="1270">
        <f t="shared" si="2"/>
        <v>2300</v>
      </c>
      <c r="I32" s="1270">
        <f t="shared" si="2"/>
        <v>2300</v>
      </c>
      <c r="J32" s="1270">
        <f t="shared" si="2"/>
        <v>2300</v>
      </c>
      <c r="K32" s="1270">
        <f t="shared" si="2"/>
        <v>2300</v>
      </c>
      <c r="L32" s="1270">
        <f t="shared" si="2"/>
        <v>2300</v>
      </c>
      <c r="M32" s="1270">
        <f t="shared" si="2"/>
        <v>2300</v>
      </c>
      <c r="N32" s="1270">
        <f t="shared" si="2"/>
        <v>2300</v>
      </c>
      <c r="O32" s="1270">
        <f t="shared" si="2"/>
        <v>2300</v>
      </c>
      <c r="P32" s="1270">
        <f t="shared" si="2"/>
        <v>2300</v>
      </c>
      <c r="Q32" s="1270">
        <f t="shared" si="2"/>
        <v>2300</v>
      </c>
      <c r="R32" s="1207"/>
    </row>
    <row r="33" spans="2:17" s="1101" customFormat="1" ht="15">
      <c r="B33" s="623"/>
      <c r="C33" s="696"/>
      <c r="D33" s="968"/>
      <c r="E33" s="968"/>
      <c r="F33" s="968"/>
      <c r="G33" s="968"/>
      <c r="H33" s="968"/>
      <c r="I33" s="968"/>
      <c r="J33" s="968"/>
      <c r="K33" s="968"/>
      <c r="L33" s="968"/>
      <c r="M33" s="968"/>
      <c r="N33" s="968"/>
      <c r="O33" s="968"/>
      <c r="P33" s="968"/>
      <c r="Q33" s="968"/>
    </row>
    <row r="34" spans="2:17" s="1101" customFormat="1" ht="15">
      <c r="B34" s="1102"/>
      <c r="C34" s="1107"/>
      <c r="D34" s="1107"/>
      <c r="E34" s="1107"/>
      <c r="F34" s="1107"/>
      <c r="G34" s="1107"/>
      <c r="H34" s="1107"/>
      <c r="I34" s="1107"/>
      <c r="J34" s="1099"/>
      <c r="K34" s="1099"/>
    </row>
    <row r="35" spans="2:17" s="1104" customFormat="1" ht="15.75">
      <c r="B35" s="1158" t="s">
        <v>1274</v>
      </c>
      <c r="C35" s="1105"/>
      <c r="D35" s="1106"/>
      <c r="E35" s="1106"/>
      <c r="F35" s="1106"/>
      <c r="G35" s="1106"/>
      <c r="H35" s="1106"/>
      <c r="I35" s="1106"/>
      <c r="J35" s="1106"/>
      <c r="K35" s="1106"/>
      <c r="L35" s="1106"/>
      <c r="M35" s="1106"/>
      <c r="N35" s="1106"/>
      <c r="O35" s="1106"/>
      <c r="Q35" s="1109"/>
    </row>
    <row r="36" spans="2:17" s="1112" customFormat="1" ht="15.75">
      <c r="B36" s="901" t="s">
        <v>1096</v>
      </c>
      <c r="C36" s="1113"/>
      <c r="D36" s="1114"/>
      <c r="E36" s="1114"/>
      <c r="F36" s="1114"/>
      <c r="G36" s="1114"/>
      <c r="H36" s="1114"/>
      <c r="I36" s="1114"/>
      <c r="J36" s="1114"/>
      <c r="K36" s="1114"/>
      <c r="L36" s="1114"/>
      <c r="M36" s="1114"/>
      <c r="N36" s="1114"/>
      <c r="O36" s="1114"/>
      <c r="Q36" s="1115"/>
    </row>
    <row r="37" spans="2:17" s="1112" customFormat="1" ht="15.75" customHeight="1">
      <c r="B37" s="1245" t="s">
        <v>1223</v>
      </c>
      <c r="C37" s="1244"/>
      <c r="D37" s="1244"/>
      <c r="E37" s="1244"/>
      <c r="F37" s="1114"/>
      <c r="G37" s="1114"/>
      <c r="H37" s="1114"/>
      <c r="I37" s="1114"/>
      <c r="J37" s="1114"/>
      <c r="K37" s="1114"/>
      <c r="L37" s="1114"/>
      <c r="M37" s="1114"/>
      <c r="N37" s="1114"/>
      <c r="O37" s="1114"/>
      <c r="Q37" s="1115"/>
    </row>
    <row r="38" spans="2:17" s="1101" customFormat="1" ht="41.25" customHeight="1">
      <c r="B38" s="1551" t="s">
        <v>1406</v>
      </c>
      <c r="C38" s="1551"/>
      <c r="D38" s="1551"/>
      <c r="E38" s="1017"/>
      <c r="F38" s="1549" t="s">
        <v>1179</v>
      </c>
      <c r="G38" s="1549"/>
      <c r="H38" s="1549"/>
      <c r="I38" s="1549"/>
      <c r="J38" s="1549"/>
      <c r="K38" s="1549"/>
      <c r="L38" s="1549"/>
      <c r="M38" s="1549"/>
      <c r="N38" s="1549"/>
      <c r="O38" s="1549"/>
      <c r="P38" s="1549"/>
      <c r="Q38" s="1549"/>
    </row>
    <row r="39" spans="2:17" s="1101" customFormat="1" ht="30">
      <c r="B39" s="1117" t="s">
        <v>1167</v>
      </c>
      <c r="C39" s="1033" t="s">
        <v>1178</v>
      </c>
      <c r="D39" s="1033" t="s">
        <v>1172</v>
      </c>
      <c r="E39" s="1033" t="s">
        <v>1173</v>
      </c>
      <c r="F39" s="1033" t="s">
        <v>596</v>
      </c>
      <c r="G39" s="1033" t="s">
        <v>597</v>
      </c>
      <c r="H39" s="1033" t="s">
        <v>598</v>
      </c>
      <c r="I39" s="1033" t="s">
        <v>599</v>
      </c>
      <c r="J39" s="1033" t="s">
        <v>600</v>
      </c>
      <c r="K39" s="1033" t="s">
        <v>601</v>
      </c>
      <c r="L39" s="1033" t="s">
        <v>341</v>
      </c>
      <c r="M39" s="1033" t="s">
        <v>342</v>
      </c>
      <c r="N39" s="1033" t="s">
        <v>49</v>
      </c>
      <c r="O39" s="1033" t="s">
        <v>112</v>
      </c>
      <c r="P39" s="1033" t="s">
        <v>113</v>
      </c>
      <c r="Q39" s="1033" t="s">
        <v>114</v>
      </c>
    </row>
    <row r="40" spans="2:17" s="1101" customFormat="1" ht="15">
      <c r="B40" s="920" t="s">
        <v>982</v>
      </c>
      <c r="C40" s="1376" t="s">
        <v>933</v>
      </c>
      <c r="D40" s="646">
        <f>IF($C40="Yes",'6. Building Potential Summary'!C61,0)</f>
        <v>78.628337999999985</v>
      </c>
      <c r="E40" s="646">
        <f>IF($C40="Yes",'6. Building Potential Summary'!D61,0)</f>
        <v>365000</v>
      </c>
      <c r="F40" s="646">
        <f>IF($C40="Yes",'6. Building Potential Summary'!F61,0)</f>
        <v>30416.666666666668</v>
      </c>
      <c r="G40" s="646">
        <f>IF($C40="Yes",'6. Building Potential Summary'!G61,0)</f>
        <v>30416.666666666668</v>
      </c>
      <c r="H40" s="646">
        <f>IF($C40="Yes",'6. Building Potential Summary'!H61,0)</f>
        <v>30416.666666666668</v>
      </c>
      <c r="I40" s="646">
        <f>IF($C40="Yes",'6. Building Potential Summary'!I61,0)</f>
        <v>30416.666666666668</v>
      </c>
      <c r="J40" s="646">
        <f>IF($C40="Yes",'6. Building Potential Summary'!J61,0)</f>
        <v>30416.666666666668</v>
      </c>
      <c r="K40" s="646">
        <f>IF($C40="Yes",'6. Building Potential Summary'!K61,0)</f>
        <v>30416.666666666668</v>
      </c>
      <c r="L40" s="646">
        <f>IF($C40="Yes",'6. Building Potential Summary'!L61,0)</f>
        <v>30416.666666666668</v>
      </c>
      <c r="M40" s="646">
        <f>IF($C40="Yes",'6. Building Potential Summary'!M61,0)</f>
        <v>30416.666666666668</v>
      </c>
      <c r="N40" s="646">
        <f>IF($C40="Yes",'6. Building Potential Summary'!N61,0)</f>
        <v>30416.666666666668</v>
      </c>
      <c r="O40" s="646">
        <f>IF($C40="Yes",'6. Building Potential Summary'!O61,0)</f>
        <v>30416.666666666668</v>
      </c>
      <c r="P40" s="646">
        <f>IF($C40="Yes",'6. Building Potential Summary'!P61,0)</f>
        <v>30416.666666666668</v>
      </c>
      <c r="Q40" s="646">
        <f>IF($C40="Yes",'6. Building Potential Summary'!Q61,0)</f>
        <v>30416.666666666668</v>
      </c>
    </row>
    <row r="41" spans="2:17" s="1101" customFormat="1" ht="15">
      <c r="B41" s="920" t="s">
        <v>1014</v>
      </c>
      <c r="C41" s="1376" t="s">
        <v>934</v>
      </c>
      <c r="D41" s="646">
        <f>IF($C41="Yes",'6. Building Potential Summary'!C62,0)</f>
        <v>0</v>
      </c>
      <c r="E41" s="646">
        <f>IF($C41="Yes",'6. Building Potential Summary'!D62,0)</f>
        <v>0</v>
      </c>
      <c r="F41" s="646">
        <f>IF($C41="Yes",'6. Building Potential Summary'!F62,0)</f>
        <v>0</v>
      </c>
      <c r="G41" s="646">
        <f>IF($C41="Yes",'6. Building Potential Summary'!G62,0)</f>
        <v>0</v>
      </c>
      <c r="H41" s="646">
        <f>IF($C41="Yes",'6. Building Potential Summary'!H62,0)</f>
        <v>0</v>
      </c>
      <c r="I41" s="646">
        <f>IF($C41="Yes",'6. Building Potential Summary'!I62,0)</f>
        <v>0</v>
      </c>
      <c r="J41" s="646">
        <f>IF($C41="Yes",'6. Building Potential Summary'!J62,0)</f>
        <v>0</v>
      </c>
      <c r="K41" s="646">
        <f>IF($C41="Yes",'6. Building Potential Summary'!K62,0)</f>
        <v>0</v>
      </c>
      <c r="L41" s="646">
        <f>IF($C41="Yes",'6. Building Potential Summary'!L62,0)</f>
        <v>0</v>
      </c>
      <c r="M41" s="646">
        <f>IF($C41="Yes",'6. Building Potential Summary'!M62,0)</f>
        <v>0</v>
      </c>
      <c r="N41" s="646">
        <f>IF($C41="Yes",'6. Building Potential Summary'!N62,0)</f>
        <v>0</v>
      </c>
      <c r="O41" s="646">
        <f>IF($C41="Yes",'6. Building Potential Summary'!O62,0)</f>
        <v>0</v>
      </c>
      <c r="P41" s="646">
        <f>IF($C41="Yes",'6. Building Potential Summary'!P62,0)</f>
        <v>0</v>
      </c>
      <c r="Q41" s="646">
        <f>IF($C41="Yes",'6. Building Potential Summary'!Q62,0)</f>
        <v>0</v>
      </c>
    </row>
    <row r="42" spans="2:17" s="1101" customFormat="1" ht="15">
      <c r="B42" s="920" t="s">
        <v>1015</v>
      </c>
      <c r="C42" s="1376" t="s">
        <v>933</v>
      </c>
      <c r="D42" s="646">
        <f>IF($C42="Yes",'6. Building Potential Summary'!C63,0)</f>
        <v>1000</v>
      </c>
      <c r="E42" s="646">
        <f>IF($C42="Yes",'6. Building Potential Summary'!D63,0)</f>
        <v>0</v>
      </c>
      <c r="F42" s="646">
        <f>IF($C42="Yes",'6. Building Potential Summary'!F63,0)</f>
        <v>0</v>
      </c>
      <c r="G42" s="646">
        <f>IF($C42="Yes",'6. Building Potential Summary'!G63,0)</f>
        <v>0</v>
      </c>
      <c r="H42" s="646">
        <f>IF($C42="Yes",'6. Building Potential Summary'!H63,0)</f>
        <v>0</v>
      </c>
      <c r="I42" s="646">
        <f>IF($C42="Yes",'6. Building Potential Summary'!I63,0)</f>
        <v>0</v>
      </c>
      <c r="J42" s="646">
        <f>IF($C42="Yes",'6. Building Potential Summary'!J63,0)</f>
        <v>0</v>
      </c>
      <c r="K42" s="646">
        <f>IF($C42="Yes",'6. Building Potential Summary'!K63,0)</f>
        <v>0</v>
      </c>
      <c r="L42" s="646">
        <f>IF($C42="Yes",'6. Building Potential Summary'!L63,0)</f>
        <v>0</v>
      </c>
      <c r="M42" s="646">
        <f>IF($C42="Yes",'6. Building Potential Summary'!M63,0)</f>
        <v>0</v>
      </c>
      <c r="N42" s="646">
        <f>IF($C42="Yes",'6. Building Potential Summary'!N63,0)</f>
        <v>0</v>
      </c>
      <c r="O42" s="646">
        <f>IF($C42="Yes",'6. Building Potential Summary'!O63,0)</f>
        <v>0</v>
      </c>
      <c r="P42" s="646">
        <f>IF($C42="Yes",'6. Building Potential Summary'!P63,0)</f>
        <v>0</v>
      </c>
      <c r="Q42" s="646">
        <f>IF($C42="Yes",'6. Building Potential Summary'!Q63,0)</f>
        <v>0</v>
      </c>
    </row>
    <row r="43" spans="2:17" s="1167" customFormat="1" ht="15">
      <c r="B43" s="1174"/>
      <c r="C43" s="1182"/>
      <c r="D43" s="988"/>
      <c r="E43" s="988"/>
      <c r="F43" s="988"/>
      <c r="G43" s="988"/>
      <c r="H43" s="988"/>
      <c r="I43" s="988"/>
      <c r="J43" s="988"/>
      <c r="K43" s="988"/>
      <c r="L43" s="988"/>
      <c r="M43" s="988"/>
      <c r="N43" s="988"/>
      <c r="O43" s="988"/>
      <c r="P43" s="988"/>
      <c r="Q43" s="988"/>
    </row>
    <row r="44" spans="2:17" s="1167" customFormat="1" ht="15">
      <c r="B44" s="1246" t="s">
        <v>1096</v>
      </c>
      <c r="C44" s="1182"/>
      <c r="D44" s="988"/>
      <c r="E44" s="988"/>
      <c r="F44" s="988"/>
      <c r="G44" s="988"/>
      <c r="H44" s="988"/>
      <c r="I44" s="988"/>
      <c r="J44" s="988"/>
      <c r="K44" s="988"/>
      <c r="L44" s="988"/>
      <c r="M44" s="988"/>
      <c r="N44" s="988"/>
      <c r="O44" s="988"/>
      <c r="P44" s="988"/>
      <c r="Q44" s="988"/>
    </row>
    <row r="45" spans="2:17" s="1167" customFormat="1" ht="15">
      <c r="B45" s="1243" t="s">
        <v>1224</v>
      </c>
      <c r="C45" s="1182"/>
      <c r="D45" s="988"/>
      <c r="E45" s="988"/>
      <c r="F45" s="988"/>
      <c r="G45" s="988"/>
      <c r="H45" s="988"/>
      <c r="I45" s="988"/>
      <c r="J45" s="988"/>
      <c r="K45" s="988"/>
      <c r="L45" s="988"/>
      <c r="M45" s="988"/>
      <c r="N45" s="988"/>
      <c r="O45" s="988"/>
      <c r="P45" s="988"/>
      <c r="Q45" s="988"/>
    </row>
    <row r="46" spans="2:17" s="1167" customFormat="1" ht="15">
      <c r="B46" s="1278" t="s">
        <v>1275</v>
      </c>
      <c r="C46" s="1182"/>
      <c r="D46" s="988"/>
      <c r="E46" s="988"/>
      <c r="F46" s="988"/>
      <c r="G46" s="988"/>
      <c r="H46" s="988"/>
      <c r="I46" s="988"/>
      <c r="J46" s="988"/>
      <c r="K46" s="988"/>
      <c r="L46" s="988"/>
      <c r="M46" s="988"/>
      <c r="N46" s="988"/>
      <c r="O46" s="988"/>
      <c r="P46" s="988"/>
      <c r="Q46" s="988"/>
    </row>
    <row r="47" spans="2:17" s="1101" customFormat="1" ht="15">
      <c r="B47" s="1107"/>
      <c r="C47" s="1102"/>
      <c r="D47" s="1107"/>
      <c r="E47" s="1107"/>
      <c r="F47" s="1549" t="s">
        <v>1179</v>
      </c>
      <c r="G47" s="1549"/>
      <c r="H47" s="1549"/>
      <c r="I47" s="1549"/>
      <c r="J47" s="1549"/>
      <c r="K47" s="1549"/>
      <c r="L47" s="1549"/>
      <c r="M47" s="1549"/>
      <c r="N47" s="1549"/>
      <c r="O47" s="1549"/>
      <c r="P47" s="1549"/>
      <c r="Q47" s="1549"/>
    </row>
    <row r="48" spans="2:17" s="1101" customFormat="1" ht="45">
      <c r="B48" s="1117" t="s">
        <v>1167</v>
      </c>
      <c r="C48" s="916" t="s">
        <v>1178</v>
      </c>
      <c r="D48" s="916" t="s">
        <v>1222</v>
      </c>
      <c r="E48" s="916" t="s">
        <v>1173</v>
      </c>
      <c r="F48" s="916" t="s">
        <v>596</v>
      </c>
      <c r="G48" s="916" t="s">
        <v>597</v>
      </c>
      <c r="H48" s="916" t="s">
        <v>598</v>
      </c>
      <c r="I48" s="916" t="s">
        <v>599</v>
      </c>
      <c r="J48" s="916" t="s">
        <v>600</v>
      </c>
      <c r="K48" s="916" t="s">
        <v>601</v>
      </c>
      <c r="L48" s="916" t="s">
        <v>341</v>
      </c>
      <c r="M48" s="916" t="s">
        <v>342</v>
      </c>
      <c r="N48" s="916" t="s">
        <v>49</v>
      </c>
      <c r="O48" s="916" t="s">
        <v>112</v>
      </c>
      <c r="P48" s="916" t="s">
        <v>113</v>
      </c>
      <c r="Q48" s="916" t="s">
        <v>114</v>
      </c>
    </row>
    <row r="49" spans="2:21" s="1101" customFormat="1" ht="15">
      <c r="B49" s="920" t="s">
        <v>1121</v>
      </c>
      <c r="C49" s="1362" t="s">
        <v>933</v>
      </c>
      <c r="D49" s="1363">
        <v>10000</v>
      </c>
      <c r="E49" s="1176">
        <f>SUM(F49:Q49)</f>
        <v>9.2848349677613271</v>
      </c>
      <c r="F49" s="1176">
        <f>IF($C49="Yes",Rainwater!$M20,0)</f>
        <v>1.9335101866666671</v>
      </c>
      <c r="G49" s="1176">
        <f>IF($C49="Yes",Rainwater!$M21,0)</f>
        <v>1.6297673333333336</v>
      </c>
      <c r="H49" s="1176">
        <f>IF($C49="Yes",Rainwater!$M22,0)</f>
        <v>1.2323499466666668</v>
      </c>
      <c r="I49" s="1176">
        <f>IF($C49="Yes",Rainwater!$M23,0)</f>
        <v>0.59852595189003444</v>
      </c>
      <c r="J49" s="1176">
        <f>IF($C49="Yes",Rainwater!$M24,0)</f>
        <v>0.26629669767441866</v>
      </c>
      <c r="K49" s="1176">
        <f>IF($C49="Yes",Rainwater!$M25,0)</f>
        <v>9.3379111111111121E-2</v>
      </c>
      <c r="L49" s="1176">
        <f>IF($C49="Yes",Rainwater!$M26,0)</f>
        <v>2.1075592592592597E-2</v>
      </c>
      <c r="M49" s="1176">
        <f>IF($C49="Yes",Rainwater!$M27,0)</f>
        <v>4.5611739130434779E-2</v>
      </c>
      <c r="N49" s="1176">
        <f>IF($C49="Yes",Rainwater!$M16,0)</f>
        <v>0.15696312499999998</v>
      </c>
      <c r="O49" s="1176">
        <f>IF($C49="Yes",Rainwater!$M17,0)</f>
        <v>0.43854905841924402</v>
      </c>
      <c r="P49" s="1176">
        <f>IF($C49="Yes",Rainwater!$M18,0)</f>
        <v>1.1380601512027493</v>
      </c>
      <c r="Q49" s="1176">
        <f>IF($C49="Yes",Rainwater!$M19,0)</f>
        <v>1.7307460740740741</v>
      </c>
    </row>
    <row r="50" spans="2:21" s="1101" customFormat="1" ht="15">
      <c r="B50" s="920" t="s">
        <v>1122</v>
      </c>
      <c r="C50" s="1362" t="s">
        <v>933</v>
      </c>
      <c r="D50" s="1363">
        <v>10000</v>
      </c>
      <c r="E50" s="1176">
        <f>SUM(F50:Q50)</f>
        <v>9.2848349677613271</v>
      </c>
      <c r="F50" s="1176">
        <f>IF($C50="Yes",Stormwater!$M20,0)</f>
        <v>1.9335101866666671</v>
      </c>
      <c r="G50" s="1176">
        <f>IF($C50="Yes",Stormwater!$M21,0)</f>
        <v>1.6297673333333336</v>
      </c>
      <c r="H50" s="1176">
        <f>IF($C50="Yes",Stormwater!$M22,0)</f>
        <v>1.2323499466666668</v>
      </c>
      <c r="I50" s="1176">
        <f>IF($C50="Yes",Stormwater!$M23,0)</f>
        <v>0.59852595189003444</v>
      </c>
      <c r="J50" s="1176">
        <f>IF($C50="Yes",Stormwater!$M24,0)</f>
        <v>0.26629669767441866</v>
      </c>
      <c r="K50" s="1176">
        <f>IF($C50="Yes",Stormwater!$M25,0)</f>
        <v>9.3379111111111121E-2</v>
      </c>
      <c r="L50" s="1176">
        <f>IF($C50="Yes",Stormwater!$M26,0)</f>
        <v>2.1075592592592597E-2</v>
      </c>
      <c r="M50" s="1176">
        <f>IF($C50="Yes",Stormwater!$M27,0)</f>
        <v>4.5611739130434779E-2</v>
      </c>
      <c r="N50" s="1176">
        <f>IF($C50="Yes",Stormwater!$M16,0)</f>
        <v>0.15696312499999998</v>
      </c>
      <c r="O50" s="1176">
        <f>IF($C50="Yes",Stormwater!$M17,0)</f>
        <v>0.43854905841924402</v>
      </c>
      <c r="P50" s="1176">
        <f>IF($C50="Yes",Stormwater!$M18,0)</f>
        <v>1.1380601512027493</v>
      </c>
      <c r="Q50" s="1176">
        <f>IF($C50="Yes",Stormwater!$M19,0)</f>
        <v>1.7307460740740741</v>
      </c>
    </row>
    <row r="51" spans="2:21" s="1101" customFormat="1" ht="15">
      <c r="B51" s="1107"/>
      <c r="C51" s="1102"/>
      <c r="D51" s="1107"/>
      <c r="E51" s="1407"/>
      <c r="F51" s="1107"/>
      <c r="G51" s="1107"/>
      <c r="H51" s="1107"/>
      <c r="I51" s="1107"/>
      <c r="J51" s="1107"/>
      <c r="K51" s="1107"/>
      <c r="L51" s="1107"/>
      <c r="M51" s="1107"/>
      <c r="N51" s="1107"/>
      <c r="O51" s="1107"/>
      <c r="P51" s="1107"/>
      <c r="Q51" s="1107"/>
    </row>
    <row r="52" spans="2:21">
      <c r="E52" s="717"/>
    </row>
    <row r="53" spans="2:21" s="1171" customFormat="1" ht="15.75">
      <c r="B53" s="1158" t="s">
        <v>1235</v>
      </c>
      <c r="C53" s="1172"/>
      <c r="D53" s="1173"/>
      <c r="E53" s="1173"/>
      <c r="F53" s="1173"/>
      <c r="G53" s="1173"/>
      <c r="H53" s="1173"/>
      <c r="I53" s="1173"/>
      <c r="J53" s="1173"/>
      <c r="K53" s="1173"/>
      <c r="L53" s="1173"/>
      <c r="M53" s="1173"/>
      <c r="N53" s="1173"/>
      <c r="O53" s="1173"/>
      <c r="Q53" s="1175"/>
    </row>
    <row r="54" spans="2:21" s="1167" customFormat="1" ht="15">
      <c r="B54" s="1157"/>
      <c r="C54" s="1168"/>
      <c r="D54" s="1159"/>
      <c r="E54" s="1159"/>
      <c r="F54" s="1159"/>
      <c r="G54" s="1159"/>
      <c r="H54" s="1159"/>
      <c r="I54" s="1159"/>
      <c r="J54" s="1159"/>
      <c r="K54" s="1159"/>
      <c r="L54" s="1159"/>
      <c r="M54" s="1159"/>
      <c r="N54" s="1159"/>
      <c r="O54" s="1159"/>
      <c r="Q54" s="1174"/>
    </row>
    <row r="55" spans="2:21" s="1167" customFormat="1" ht="15" customHeight="1">
      <c r="B55" s="1157"/>
      <c r="C55" s="1168"/>
      <c r="D55" s="1276"/>
      <c r="F55" s="1159"/>
      <c r="G55" s="1159"/>
      <c r="H55" s="1159"/>
      <c r="I55" s="1159"/>
      <c r="J55" s="1159"/>
      <c r="K55" s="1159"/>
      <c r="L55" s="1159"/>
      <c r="M55" s="1159"/>
      <c r="N55" s="1159"/>
      <c r="O55" s="1159"/>
      <c r="Q55" s="1174"/>
      <c r="U55" s="1276" t="s">
        <v>1378</v>
      </c>
    </row>
    <row r="56" spans="2:21" s="1167" customFormat="1" ht="30">
      <c r="B56" s="1396" t="s">
        <v>1377</v>
      </c>
      <c r="C56" s="1186">
        <f>IF(SUM(E40,E41,E42,E49,E50)&gt;E32,E32,SUM(E40,E41,E42,E49,E50))</f>
        <v>26800</v>
      </c>
      <c r="F56" s="1159"/>
      <c r="G56" s="1159"/>
      <c r="H56" s="1159"/>
      <c r="I56" s="1159"/>
      <c r="J56" s="1159"/>
      <c r="K56" s="1159"/>
      <c r="L56" s="1159"/>
      <c r="M56" s="1159"/>
      <c r="N56" s="1159"/>
      <c r="O56" s="1159"/>
      <c r="Q56" s="1174"/>
      <c r="U56" s="1387">
        <f>C56/'6. Building Potential Summary'!$C$50</f>
        <v>0.51757562758752329</v>
      </c>
    </row>
    <row r="57" spans="2:21" s="1167" customFormat="1" ht="30">
      <c r="B57" s="1396" t="s">
        <v>1410</v>
      </c>
      <c r="C57" s="1377">
        <f>C56/'6. Building Potential Summary'!$C$48</f>
        <v>0.51757562758752329</v>
      </c>
      <c r="D57" s="1397"/>
      <c r="F57" s="1159"/>
      <c r="G57" s="1159"/>
      <c r="H57" s="1159"/>
      <c r="I57" s="1159"/>
      <c r="J57" s="1159"/>
      <c r="K57" s="1159"/>
      <c r="L57" s="1159"/>
      <c r="M57" s="1159"/>
      <c r="N57" s="1159"/>
      <c r="O57" s="1159"/>
      <c r="Q57" s="1174"/>
      <c r="U57" s="1395"/>
    </row>
    <row r="58" spans="2:21" s="1167" customFormat="1" ht="15">
      <c r="B58" s="1275" t="s">
        <v>1374</v>
      </c>
      <c r="C58" s="1186">
        <f>SUM(F78:Q78)</f>
        <v>24999.999999999996</v>
      </c>
      <c r="D58" s="1404" t="s">
        <v>1412</v>
      </c>
      <c r="E58" s="1159"/>
      <c r="F58" s="1159"/>
      <c r="G58" s="1159"/>
      <c r="H58" s="1159"/>
      <c r="I58" s="1159"/>
      <c r="J58" s="1159"/>
      <c r="K58" s="1159"/>
      <c r="L58" s="1159"/>
      <c r="M58" s="1159"/>
      <c r="N58" s="1159"/>
      <c r="O58" s="1159"/>
      <c r="Q58" s="1174"/>
    </row>
    <row r="59" spans="2:21" s="1167" customFormat="1" ht="15">
      <c r="B59" s="1157"/>
      <c r="C59" s="1168"/>
      <c r="D59" s="1159"/>
      <c r="E59" s="1159"/>
      <c r="F59" s="1159"/>
      <c r="G59" s="1159"/>
      <c r="H59" s="1159"/>
      <c r="I59" s="1159"/>
      <c r="J59" s="1159"/>
      <c r="K59" s="1159"/>
      <c r="L59" s="1159"/>
      <c r="M59" s="1159"/>
      <c r="N59" s="1159"/>
      <c r="O59" s="1159"/>
      <c r="Q59" s="1174"/>
    </row>
    <row r="60" spans="2:21">
      <c r="C60" s="717"/>
      <c r="D60" s="717"/>
    </row>
    <row r="61" spans="2:21" s="1167" customFormat="1" ht="15">
      <c r="B61" s="1189" t="s">
        <v>1236</v>
      </c>
      <c r="C61" s="1189" t="s">
        <v>1237</v>
      </c>
      <c r="D61" s="1189" t="s">
        <v>1238</v>
      </c>
      <c r="F61" s="1189" t="s">
        <v>596</v>
      </c>
      <c r="G61" s="1189" t="s">
        <v>597</v>
      </c>
      <c r="H61" s="1189" t="s">
        <v>598</v>
      </c>
      <c r="I61" s="1189" t="s">
        <v>599</v>
      </c>
      <c r="J61" s="1189" t="s">
        <v>600</v>
      </c>
      <c r="K61" s="1189" t="s">
        <v>601</v>
      </c>
      <c r="L61" s="1189" t="s">
        <v>341</v>
      </c>
      <c r="M61" s="1189" t="s">
        <v>342</v>
      </c>
      <c r="N61" s="1189" t="s">
        <v>49</v>
      </c>
      <c r="O61" s="1189" t="s">
        <v>112</v>
      </c>
      <c r="P61" s="1189" t="s">
        <v>113</v>
      </c>
      <c r="Q61" s="1189" t="s">
        <v>114</v>
      </c>
    </row>
    <row r="62" spans="2:21" s="1167" customFormat="1" ht="15">
      <c r="B62" s="1328" t="s">
        <v>1015</v>
      </c>
      <c r="C62" s="1329">
        <f>E42</f>
        <v>0</v>
      </c>
      <c r="D62" s="1328"/>
      <c r="E62" s="1207"/>
      <c r="F62" s="1329">
        <f>F42</f>
        <v>0</v>
      </c>
      <c r="G62" s="1329">
        <f t="shared" ref="G62:Q62" si="3">G42</f>
        <v>0</v>
      </c>
      <c r="H62" s="1329">
        <f t="shared" si="3"/>
        <v>0</v>
      </c>
      <c r="I62" s="1329">
        <f t="shared" si="3"/>
        <v>0</v>
      </c>
      <c r="J62" s="1329">
        <f t="shared" si="3"/>
        <v>0</v>
      </c>
      <c r="K62" s="1329">
        <f t="shared" si="3"/>
        <v>0</v>
      </c>
      <c r="L62" s="1329">
        <f t="shared" si="3"/>
        <v>0</v>
      </c>
      <c r="M62" s="1329">
        <f t="shared" si="3"/>
        <v>0</v>
      </c>
      <c r="N62" s="1329">
        <f t="shared" si="3"/>
        <v>0</v>
      </c>
      <c r="O62" s="1329">
        <f t="shared" si="3"/>
        <v>0</v>
      </c>
      <c r="P62" s="1329">
        <f t="shared" si="3"/>
        <v>0</v>
      </c>
      <c r="Q62" s="1329">
        <f t="shared" si="3"/>
        <v>0</v>
      </c>
    </row>
    <row r="63" spans="2:21" s="1167" customFormat="1" ht="15">
      <c r="B63" s="1328" t="s">
        <v>982</v>
      </c>
      <c r="C63" s="1329">
        <f>E40</f>
        <v>365000</v>
      </c>
      <c r="D63" s="1328"/>
      <c r="E63" s="1207"/>
      <c r="F63" s="1329">
        <f>F40</f>
        <v>30416.666666666668</v>
      </c>
      <c r="G63" s="1329">
        <f t="shared" ref="G63:Q63" si="4">G40</f>
        <v>30416.666666666668</v>
      </c>
      <c r="H63" s="1329">
        <f t="shared" si="4"/>
        <v>30416.666666666668</v>
      </c>
      <c r="I63" s="1329">
        <f t="shared" si="4"/>
        <v>30416.666666666668</v>
      </c>
      <c r="J63" s="1329">
        <f t="shared" si="4"/>
        <v>30416.666666666668</v>
      </c>
      <c r="K63" s="1329">
        <f t="shared" si="4"/>
        <v>30416.666666666668</v>
      </c>
      <c r="L63" s="1329">
        <f t="shared" si="4"/>
        <v>30416.666666666668</v>
      </c>
      <c r="M63" s="1329">
        <f t="shared" si="4"/>
        <v>30416.666666666668</v>
      </c>
      <c r="N63" s="1329">
        <f t="shared" si="4"/>
        <v>30416.666666666668</v>
      </c>
      <c r="O63" s="1329">
        <f t="shared" si="4"/>
        <v>30416.666666666668</v>
      </c>
      <c r="P63" s="1329">
        <f t="shared" si="4"/>
        <v>30416.666666666668</v>
      </c>
      <c r="Q63" s="1329">
        <f t="shared" si="4"/>
        <v>30416.666666666668</v>
      </c>
    </row>
    <row r="64" spans="2:21" s="1167" customFormat="1" ht="15">
      <c r="B64" s="1328" t="s">
        <v>1121</v>
      </c>
      <c r="C64" s="1329">
        <f>E49</f>
        <v>9.2848349677613271</v>
      </c>
      <c r="D64" s="1328"/>
      <c r="E64" s="1207"/>
      <c r="F64" s="1329">
        <f>F49</f>
        <v>1.9335101866666671</v>
      </c>
      <c r="G64" s="1329">
        <f t="shared" ref="G64:Q64" si="5">G49</f>
        <v>1.6297673333333336</v>
      </c>
      <c r="H64" s="1329">
        <f t="shared" si="5"/>
        <v>1.2323499466666668</v>
      </c>
      <c r="I64" s="1329">
        <f t="shared" si="5"/>
        <v>0.59852595189003444</v>
      </c>
      <c r="J64" s="1329">
        <f t="shared" si="5"/>
        <v>0.26629669767441866</v>
      </c>
      <c r="K64" s="1329">
        <f t="shared" si="5"/>
        <v>9.3379111111111121E-2</v>
      </c>
      <c r="L64" s="1329">
        <f t="shared" si="5"/>
        <v>2.1075592592592597E-2</v>
      </c>
      <c r="M64" s="1329">
        <f t="shared" si="5"/>
        <v>4.5611739130434779E-2</v>
      </c>
      <c r="N64" s="1329">
        <f t="shared" si="5"/>
        <v>0.15696312499999998</v>
      </c>
      <c r="O64" s="1329">
        <f t="shared" si="5"/>
        <v>0.43854905841924402</v>
      </c>
      <c r="P64" s="1329">
        <f t="shared" si="5"/>
        <v>1.1380601512027493</v>
      </c>
      <c r="Q64" s="1329">
        <f t="shared" si="5"/>
        <v>1.7307460740740741</v>
      </c>
    </row>
    <row r="65" spans="2:19" s="1167" customFormat="1" ht="15">
      <c r="B65" s="1328" t="s">
        <v>1122</v>
      </c>
      <c r="C65" s="1329">
        <f>E50</f>
        <v>9.2848349677613271</v>
      </c>
      <c r="D65" s="1328"/>
      <c r="E65" s="1207"/>
      <c r="F65" s="1329">
        <f>F50</f>
        <v>1.9335101866666671</v>
      </c>
      <c r="G65" s="1329">
        <f t="shared" ref="G65:Q65" si="6">G50</f>
        <v>1.6297673333333336</v>
      </c>
      <c r="H65" s="1329">
        <f t="shared" si="6"/>
        <v>1.2323499466666668</v>
      </c>
      <c r="I65" s="1329">
        <f t="shared" si="6"/>
        <v>0.59852595189003444</v>
      </c>
      <c r="J65" s="1329">
        <f t="shared" si="6"/>
        <v>0.26629669767441866</v>
      </c>
      <c r="K65" s="1329">
        <f t="shared" si="6"/>
        <v>9.3379111111111121E-2</v>
      </c>
      <c r="L65" s="1329">
        <f t="shared" si="6"/>
        <v>2.1075592592592597E-2</v>
      </c>
      <c r="M65" s="1329">
        <f t="shared" si="6"/>
        <v>4.5611739130434779E-2</v>
      </c>
      <c r="N65" s="1329">
        <f t="shared" si="6"/>
        <v>0.15696312499999998</v>
      </c>
      <c r="O65" s="1329">
        <f t="shared" si="6"/>
        <v>0.43854905841924402</v>
      </c>
      <c r="P65" s="1329">
        <f t="shared" si="6"/>
        <v>1.1380601512027493</v>
      </c>
      <c r="Q65" s="1329">
        <f t="shared" si="6"/>
        <v>1.7307460740740741</v>
      </c>
    </row>
    <row r="66" spans="2:19" s="1167" customFormat="1" ht="15">
      <c r="B66" s="1328" t="s">
        <v>1014</v>
      </c>
      <c r="C66" s="1329">
        <f>E41</f>
        <v>0</v>
      </c>
      <c r="D66" s="1328"/>
      <c r="E66" s="1207"/>
      <c r="F66" s="1329">
        <f>F41</f>
        <v>0</v>
      </c>
      <c r="G66" s="1329">
        <f t="shared" ref="G66:Q66" si="7">G41</f>
        <v>0</v>
      </c>
      <c r="H66" s="1329">
        <f t="shared" si="7"/>
        <v>0</v>
      </c>
      <c r="I66" s="1329">
        <f t="shared" si="7"/>
        <v>0</v>
      </c>
      <c r="J66" s="1329">
        <f t="shared" si="7"/>
        <v>0</v>
      </c>
      <c r="K66" s="1329">
        <f t="shared" si="7"/>
        <v>0</v>
      </c>
      <c r="L66" s="1329">
        <f t="shared" si="7"/>
        <v>0</v>
      </c>
      <c r="M66" s="1329">
        <f t="shared" si="7"/>
        <v>0</v>
      </c>
      <c r="N66" s="1329">
        <f t="shared" si="7"/>
        <v>0</v>
      </c>
      <c r="O66" s="1329">
        <f t="shared" si="7"/>
        <v>0</v>
      </c>
      <c r="P66" s="1329">
        <f t="shared" si="7"/>
        <v>0</v>
      </c>
      <c r="Q66" s="1329">
        <f t="shared" si="7"/>
        <v>0</v>
      </c>
    </row>
    <row r="67" spans="2:19" s="1167" customFormat="1" ht="15">
      <c r="B67" s="1330" t="s">
        <v>1239</v>
      </c>
      <c r="C67" s="1330"/>
      <c r="D67" s="1331">
        <f>SUM(E16,E17,E19)</f>
        <v>0</v>
      </c>
      <c r="E67" s="1207"/>
      <c r="F67" s="1331">
        <f>F16+F17+F19</f>
        <v>0</v>
      </c>
      <c r="G67" s="1331">
        <f>G16+G17+G19</f>
        <v>0</v>
      </c>
      <c r="H67" s="1331">
        <f t="shared" ref="H67:Q67" si="8">H16+H17+H19</f>
        <v>0</v>
      </c>
      <c r="I67" s="1331">
        <f t="shared" si="8"/>
        <v>0</v>
      </c>
      <c r="J67" s="1331">
        <f t="shared" si="8"/>
        <v>0</v>
      </c>
      <c r="K67" s="1331">
        <f t="shared" si="8"/>
        <v>0</v>
      </c>
      <c r="L67" s="1331">
        <f t="shared" si="8"/>
        <v>0</v>
      </c>
      <c r="M67" s="1331">
        <f t="shared" si="8"/>
        <v>0</v>
      </c>
      <c r="N67" s="1331">
        <f t="shared" si="8"/>
        <v>0</v>
      </c>
      <c r="O67" s="1331">
        <f t="shared" si="8"/>
        <v>0</v>
      </c>
      <c r="P67" s="1331">
        <f t="shared" si="8"/>
        <v>0</v>
      </c>
      <c r="Q67" s="1331">
        <f t="shared" si="8"/>
        <v>0</v>
      </c>
    </row>
    <row r="68" spans="2:19" s="1167" customFormat="1" ht="15">
      <c r="B68" s="1330" t="s">
        <v>1197</v>
      </c>
      <c r="C68" s="1330"/>
      <c r="D68" s="1331">
        <f>E28</f>
        <v>11.872489200733384</v>
      </c>
      <c r="E68" s="1207"/>
      <c r="F68" s="1331">
        <f>F28</f>
        <v>0</v>
      </c>
      <c r="G68" s="1331">
        <f t="shared" ref="G68:Q68" si="9">G28</f>
        <v>0</v>
      </c>
      <c r="H68" s="1331">
        <f t="shared" si="9"/>
        <v>0</v>
      </c>
      <c r="I68" s="1331">
        <f t="shared" si="9"/>
        <v>0.91279419625811375</v>
      </c>
      <c r="J68" s="1331">
        <f t="shared" si="9"/>
        <v>1.8192635658914729</v>
      </c>
      <c r="K68" s="1331">
        <f t="shared" si="9"/>
        <v>2.319975308641975</v>
      </c>
      <c r="L68" s="1331">
        <f t="shared" si="9"/>
        <v>2.3702442386831275</v>
      </c>
      <c r="M68" s="1331">
        <f t="shared" si="9"/>
        <v>2.1798599033816428</v>
      </c>
      <c r="N68" s="1331">
        <f t="shared" si="9"/>
        <v>1.6343020833333335</v>
      </c>
      <c r="O68" s="1331">
        <f t="shared" si="9"/>
        <v>0.6360499045437189</v>
      </c>
      <c r="P68" s="1331">
        <f t="shared" si="9"/>
        <v>0</v>
      </c>
      <c r="Q68" s="1331">
        <f t="shared" si="9"/>
        <v>0</v>
      </c>
    </row>
    <row r="69" spans="2:19" s="1167" customFormat="1" ht="15">
      <c r="B69" s="1330" t="s">
        <v>1021</v>
      </c>
      <c r="C69" s="1330"/>
      <c r="D69" s="1331">
        <f>E21</f>
        <v>0</v>
      </c>
      <c r="E69" s="1207"/>
      <c r="F69" s="1331">
        <f>F21</f>
        <v>0</v>
      </c>
      <c r="G69" s="1331">
        <f t="shared" ref="G69:Q69" si="10">G21</f>
        <v>0</v>
      </c>
      <c r="H69" s="1331">
        <f t="shared" si="10"/>
        <v>0</v>
      </c>
      <c r="I69" s="1331">
        <f t="shared" si="10"/>
        <v>0</v>
      </c>
      <c r="J69" s="1331">
        <f t="shared" si="10"/>
        <v>0</v>
      </c>
      <c r="K69" s="1331">
        <f t="shared" si="10"/>
        <v>0</v>
      </c>
      <c r="L69" s="1331">
        <f t="shared" si="10"/>
        <v>0</v>
      </c>
      <c r="M69" s="1331">
        <f t="shared" si="10"/>
        <v>0</v>
      </c>
      <c r="N69" s="1331">
        <f t="shared" si="10"/>
        <v>0</v>
      </c>
      <c r="O69" s="1331">
        <f t="shared" si="10"/>
        <v>0</v>
      </c>
      <c r="P69" s="1331">
        <f t="shared" si="10"/>
        <v>0</v>
      </c>
      <c r="Q69" s="1331">
        <f t="shared" si="10"/>
        <v>0</v>
      </c>
    </row>
    <row r="70" spans="2:19" s="1167" customFormat="1" ht="15">
      <c r="B70" s="1330" t="s">
        <v>1189</v>
      </c>
      <c r="C70" s="1330"/>
      <c r="D70" s="1331">
        <f>SUM(E23,E29)</f>
        <v>25000</v>
      </c>
      <c r="E70" s="1207"/>
      <c r="F70" s="1331">
        <f>F23+F29</f>
        <v>2083.3333333333335</v>
      </c>
      <c r="G70" s="1331">
        <f t="shared" ref="G70:Q70" si="11">G23+G29</f>
        <v>2083.3333333333335</v>
      </c>
      <c r="H70" s="1331">
        <f t="shared" si="11"/>
        <v>2083.3333333333335</v>
      </c>
      <c r="I70" s="1331">
        <f t="shared" si="11"/>
        <v>2083.3333333333335</v>
      </c>
      <c r="J70" s="1331">
        <f t="shared" si="11"/>
        <v>2083.3333333333335</v>
      </c>
      <c r="K70" s="1331">
        <f t="shared" si="11"/>
        <v>2083.3333333333335</v>
      </c>
      <c r="L70" s="1331">
        <f t="shared" si="11"/>
        <v>2083.3333333333335</v>
      </c>
      <c r="M70" s="1331">
        <f t="shared" si="11"/>
        <v>2083.3333333333335</v>
      </c>
      <c r="N70" s="1331">
        <f t="shared" si="11"/>
        <v>2083.3333333333335</v>
      </c>
      <c r="O70" s="1331">
        <f t="shared" si="11"/>
        <v>2083.3333333333335</v>
      </c>
      <c r="P70" s="1331">
        <f t="shared" si="11"/>
        <v>2083.3333333333335</v>
      </c>
      <c r="Q70" s="1331">
        <f t="shared" si="11"/>
        <v>2083.3333333333335</v>
      </c>
    </row>
    <row r="71" spans="2:19" s="1167" customFormat="1" ht="15">
      <c r="B71" s="1330" t="s">
        <v>1003</v>
      </c>
      <c r="C71" s="1330"/>
      <c r="D71" s="1331">
        <f>E24</f>
        <v>1768</v>
      </c>
      <c r="E71" s="1207"/>
      <c r="F71" s="1331">
        <f>F24</f>
        <v>147.33333333333334</v>
      </c>
      <c r="G71" s="1331">
        <f t="shared" ref="G71:Q71" si="12">G24</f>
        <v>147.33333333333334</v>
      </c>
      <c r="H71" s="1331">
        <f t="shared" si="12"/>
        <v>147.33333333333334</v>
      </c>
      <c r="I71" s="1331">
        <f t="shared" si="12"/>
        <v>147.33333333333334</v>
      </c>
      <c r="J71" s="1331">
        <f t="shared" si="12"/>
        <v>147.33333333333334</v>
      </c>
      <c r="K71" s="1331">
        <f t="shared" si="12"/>
        <v>147.33333333333334</v>
      </c>
      <c r="L71" s="1331">
        <f t="shared" si="12"/>
        <v>147.33333333333334</v>
      </c>
      <c r="M71" s="1331">
        <f t="shared" si="12"/>
        <v>147.33333333333334</v>
      </c>
      <c r="N71" s="1331">
        <f t="shared" si="12"/>
        <v>147.33333333333334</v>
      </c>
      <c r="O71" s="1331">
        <f t="shared" si="12"/>
        <v>147.33333333333334</v>
      </c>
      <c r="P71" s="1331">
        <f t="shared" si="12"/>
        <v>147.33333333333334</v>
      </c>
      <c r="Q71" s="1331">
        <f t="shared" si="12"/>
        <v>147.33333333333334</v>
      </c>
    </row>
    <row r="72" spans="2:19" s="1167" customFormat="1" ht="15">
      <c r="B72" s="1330" t="s">
        <v>458</v>
      </c>
      <c r="C72" s="1330"/>
      <c r="D72" s="1331">
        <f>SUM(E25,E30)</f>
        <v>0</v>
      </c>
      <c r="E72" s="1207"/>
      <c r="F72" s="1331">
        <f>F25+F30</f>
        <v>0</v>
      </c>
      <c r="G72" s="1331">
        <f t="shared" ref="G72:Q72" si="13">G25+G30</f>
        <v>0</v>
      </c>
      <c r="H72" s="1331">
        <f t="shared" si="13"/>
        <v>0</v>
      </c>
      <c r="I72" s="1331">
        <f t="shared" si="13"/>
        <v>0</v>
      </c>
      <c r="J72" s="1331">
        <f t="shared" si="13"/>
        <v>0</v>
      </c>
      <c r="K72" s="1331">
        <f t="shared" si="13"/>
        <v>0</v>
      </c>
      <c r="L72" s="1331">
        <f t="shared" si="13"/>
        <v>0</v>
      </c>
      <c r="M72" s="1331">
        <f t="shared" si="13"/>
        <v>0</v>
      </c>
      <c r="N72" s="1331">
        <f t="shared" si="13"/>
        <v>0</v>
      </c>
      <c r="O72" s="1331">
        <f t="shared" si="13"/>
        <v>0</v>
      </c>
      <c r="P72" s="1331">
        <f t="shared" si="13"/>
        <v>0</v>
      </c>
      <c r="Q72" s="1331">
        <f t="shared" si="13"/>
        <v>0</v>
      </c>
    </row>
    <row r="73" spans="2:19" s="1167" customFormat="1" ht="15"/>
    <row r="74" spans="2:19" s="1167" customFormat="1" ht="15">
      <c r="B74" s="1189" t="s">
        <v>1236</v>
      </c>
      <c r="C74" s="1189" t="s">
        <v>1237</v>
      </c>
      <c r="D74" s="1189" t="s">
        <v>1238</v>
      </c>
      <c r="F74" s="1189" t="s">
        <v>596</v>
      </c>
      <c r="G74" s="1189" t="s">
        <v>597</v>
      </c>
      <c r="H74" s="1189" t="s">
        <v>598</v>
      </c>
      <c r="I74" s="1189" t="s">
        <v>599</v>
      </c>
      <c r="J74" s="1189" t="s">
        <v>600</v>
      </c>
      <c r="K74" s="1189" t="s">
        <v>601</v>
      </c>
      <c r="L74" s="1189" t="s">
        <v>341</v>
      </c>
      <c r="M74" s="1189" t="s">
        <v>342</v>
      </c>
      <c r="N74" s="1189" t="s">
        <v>49</v>
      </c>
      <c r="O74" s="1189" t="s">
        <v>112</v>
      </c>
      <c r="P74" s="1189" t="s">
        <v>113</v>
      </c>
      <c r="Q74" s="1189" t="s">
        <v>114</v>
      </c>
    </row>
    <row r="75" spans="2:19" s="1167" customFormat="1" ht="23.25">
      <c r="B75" s="1328" t="s">
        <v>1407</v>
      </c>
      <c r="C75" s="1329"/>
      <c r="D75" s="1328"/>
      <c r="E75" s="1207"/>
      <c r="F75" s="1329">
        <f>SUM(F62:F66)</f>
        <v>30420.533687040002</v>
      </c>
      <c r="G75" s="1329">
        <f t="shared" ref="G75:Q75" si="14">SUM(G62:G66)</f>
        <v>30419.926201333332</v>
      </c>
      <c r="H75" s="1329">
        <f t="shared" si="14"/>
        <v>30419.131366559999</v>
      </c>
      <c r="I75" s="1329">
        <f t="shared" si="14"/>
        <v>30417.863718570447</v>
      </c>
      <c r="J75" s="1329">
        <f t="shared" si="14"/>
        <v>30417.199260062018</v>
      </c>
      <c r="K75" s="1329">
        <f t="shared" si="14"/>
        <v>30416.853424888894</v>
      </c>
      <c r="L75" s="1329">
        <f t="shared" si="14"/>
        <v>30416.70881785185</v>
      </c>
      <c r="M75" s="1329">
        <f t="shared" si="14"/>
        <v>30416.757890144927</v>
      </c>
      <c r="N75" s="1329">
        <f t="shared" si="14"/>
        <v>30416.980592916665</v>
      </c>
      <c r="O75" s="1329">
        <f t="shared" si="14"/>
        <v>30417.54376478351</v>
      </c>
      <c r="P75" s="1329">
        <f t="shared" si="14"/>
        <v>30418.942786969073</v>
      </c>
      <c r="Q75" s="1329">
        <f t="shared" si="14"/>
        <v>30420.128158814816</v>
      </c>
      <c r="R75" s="1207"/>
      <c r="S75" s="1332"/>
    </row>
    <row r="76" spans="2:19" s="1167" customFormat="1" ht="15">
      <c r="B76" s="1330" t="s">
        <v>1408</v>
      </c>
      <c r="C76" s="1330"/>
      <c r="D76" s="1331"/>
      <c r="E76" s="1207"/>
      <c r="F76" s="1331">
        <f>SUM(F67:F72)</f>
        <v>2230.666666666667</v>
      </c>
      <c r="G76" s="1331">
        <f t="shared" ref="G76:Q76" si="15">SUM(G67:G72)</f>
        <v>2230.666666666667</v>
      </c>
      <c r="H76" s="1331">
        <f t="shared" si="15"/>
        <v>2230.666666666667</v>
      </c>
      <c r="I76" s="1331">
        <f t="shared" si="15"/>
        <v>2231.5794608629249</v>
      </c>
      <c r="J76" s="1331">
        <f t="shared" si="15"/>
        <v>2232.4859302325585</v>
      </c>
      <c r="K76" s="1331">
        <f t="shared" si="15"/>
        <v>2232.9866419753089</v>
      </c>
      <c r="L76" s="1331">
        <f t="shared" si="15"/>
        <v>2233.0369109053499</v>
      </c>
      <c r="M76" s="1331">
        <f t="shared" si="15"/>
        <v>2232.8465265700488</v>
      </c>
      <c r="N76" s="1331">
        <f t="shared" si="15"/>
        <v>2232.3009687500003</v>
      </c>
      <c r="O76" s="1331">
        <f t="shared" si="15"/>
        <v>2231.3027165712106</v>
      </c>
      <c r="P76" s="1331">
        <f t="shared" si="15"/>
        <v>2230.666666666667</v>
      </c>
      <c r="Q76" s="1331">
        <f t="shared" si="15"/>
        <v>2230.666666666667</v>
      </c>
      <c r="R76" s="1207"/>
    </row>
    <row r="77" spans="2:19" s="1167" customFormat="1" ht="15">
      <c r="B77" s="1330" t="s">
        <v>1409</v>
      </c>
      <c r="C77" s="1330"/>
      <c r="D77" s="1331"/>
      <c r="E77" s="1207"/>
      <c r="F77" s="1331">
        <f>(('6. Building Potential Summary'!$E$22+'6. Building Potential Summary'!$E$31)/12)+'6. Building Potential Summary'!F34+'6. Building Potential Summary'!F39+'6. Building Potential Summary'!F44</f>
        <v>4314</v>
      </c>
      <c r="G77" s="1331">
        <f>(('6. Building Potential Summary'!$E$22+'6. Building Potential Summary'!$E$31)/12)+'6. Building Potential Summary'!G34+'6. Building Potential Summary'!G39+'6. Building Potential Summary'!G44</f>
        <v>4314</v>
      </c>
      <c r="H77" s="1331">
        <f>(('6. Building Potential Summary'!$E$22+'6. Building Potential Summary'!$E$31)/12)+'6. Building Potential Summary'!H34+'6. Building Potential Summary'!H39+'6. Building Potential Summary'!H44</f>
        <v>4314</v>
      </c>
      <c r="I77" s="1331">
        <f>(('6. Building Potential Summary'!$E$22+'6. Building Potential Summary'!$E$31)/12)+'6. Building Potential Summary'!I34+'6. Building Potential Summary'!I39+'6. Building Potential Summary'!I44</f>
        <v>4314.9127941962579</v>
      </c>
      <c r="J77" s="1331">
        <f>(('6. Building Potential Summary'!$E$22+'6. Building Potential Summary'!$E$31)/12)+'6. Building Potential Summary'!J34+'6. Building Potential Summary'!J39+'6. Building Potential Summary'!J44</f>
        <v>4315.8192635658925</v>
      </c>
      <c r="K77" s="1331">
        <f>(('6. Building Potential Summary'!$E$22+'6. Building Potential Summary'!$E$31)/12)+'6. Building Potential Summary'!K34+'6. Building Potential Summary'!K39+'6. Building Potential Summary'!K44</f>
        <v>4316.3199753086428</v>
      </c>
      <c r="L77" s="1331">
        <f>(('6. Building Potential Summary'!$E$22+'6. Building Potential Summary'!$E$31)/12)+'6. Building Potential Summary'!L34+'6. Building Potential Summary'!L39+'6. Building Potential Summary'!L44</f>
        <v>4316.3702442386839</v>
      </c>
      <c r="M77" s="1331">
        <f>(('6. Building Potential Summary'!$E$22+'6. Building Potential Summary'!$E$31)/12)+'6. Building Potential Summary'!M34+'6. Building Potential Summary'!M39+'6. Building Potential Summary'!M44</f>
        <v>4316.1798599033827</v>
      </c>
      <c r="N77" s="1331">
        <f>(('6. Building Potential Summary'!$E$22+'6. Building Potential Summary'!$E$31)/12)+'6. Building Potential Summary'!N34+'6. Building Potential Summary'!N39+'6. Building Potential Summary'!N44</f>
        <v>4315.6343020833338</v>
      </c>
      <c r="O77" s="1331">
        <f>(('6. Building Potential Summary'!$E$22+'6. Building Potential Summary'!$E$31)/12)+'6. Building Potential Summary'!O34+'6. Building Potential Summary'!O39+'6. Building Potential Summary'!O44</f>
        <v>4314.6360499045441</v>
      </c>
      <c r="P77" s="1331">
        <f>(('6. Building Potential Summary'!$E$22+'6. Building Potential Summary'!$E$31)/12)+'6. Building Potential Summary'!P34+'6. Building Potential Summary'!P39+'6. Building Potential Summary'!P44</f>
        <v>4314</v>
      </c>
      <c r="Q77" s="1331">
        <f>(('6. Building Potential Summary'!$E$22+'6. Building Potential Summary'!$E$31)/12)+'6. Building Potential Summary'!Q34+'6. Building Potential Summary'!Q39+'6. Building Potential Summary'!Q44</f>
        <v>4314</v>
      </c>
      <c r="R77" s="1207"/>
    </row>
    <row r="78" spans="2:19" s="1167" customFormat="1" ht="45">
      <c r="B78" s="815" t="s">
        <v>1411</v>
      </c>
      <c r="C78" s="1189"/>
      <c r="D78" s="1189"/>
      <c r="F78" s="1123">
        <f>IF(F77-F76&gt;0,F77-F76,0)</f>
        <v>2083.333333333333</v>
      </c>
      <c r="G78" s="1123">
        <f t="shared" ref="G78:Q78" si="16">IF(G77-G76&gt;0,G77-G76,0)</f>
        <v>2083.333333333333</v>
      </c>
      <c r="H78" s="1123">
        <f t="shared" si="16"/>
        <v>2083.333333333333</v>
      </c>
      <c r="I78" s="1123">
        <f t="shared" si="16"/>
        <v>2083.333333333333</v>
      </c>
      <c r="J78" s="1123">
        <f t="shared" si="16"/>
        <v>2083.3333333333339</v>
      </c>
      <c r="K78" s="1123">
        <f t="shared" si="16"/>
        <v>2083.3333333333339</v>
      </c>
      <c r="L78" s="1123">
        <f t="shared" si="16"/>
        <v>2083.3333333333339</v>
      </c>
      <c r="M78" s="1123">
        <f t="shared" si="16"/>
        <v>2083.3333333333339</v>
      </c>
      <c r="N78" s="1123">
        <f t="shared" si="16"/>
        <v>2083.3333333333335</v>
      </c>
      <c r="O78" s="1123">
        <f t="shared" si="16"/>
        <v>2083.3333333333335</v>
      </c>
      <c r="P78" s="1123">
        <f t="shared" si="16"/>
        <v>2083.333333333333</v>
      </c>
      <c r="Q78" s="1123">
        <f t="shared" si="16"/>
        <v>2083.333333333333</v>
      </c>
    </row>
    <row r="79" spans="2:19" s="1167" customFormat="1" ht="15">
      <c r="B79" s="1189" t="s">
        <v>1339</v>
      </c>
      <c r="C79" s="1189"/>
      <c r="D79" s="1189"/>
      <c r="F79" s="1123">
        <f>IF(F75-F76&lt;0,0,F75-F76)</f>
        <v>28189.867020373335</v>
      </c>
      <c r="G79" s="1123">
        <f t="shared" ref="G79:Q79" si="17">IF(G75-G76&lt;0,0,G75-G76)</f>
        <v>28189.259534666664</v>
      </c>
      <c r="H79" s="1123">
        <f t="shared" si="17"/>
        <v>28188.464699893331</v>
      </c>
      <c r="I79" s="1123">
        <f t="shared" si="17"/>
        <v>28186.284257707521</v>
      </c>
      <c r="J79" s="1123">
        <f t="shared" si="17"/>
        <v>28184.713329829458</v>
      </c>
      <c r="K79" s="1123">
        <f t="shared" si="17"/>
        <v>28183.866782913585</v>
      </c>
      <c r="L79" s="1123">
        <f t="shared" si="17"/>
        <v>28183.6719069465</v>
      </c>
      <c r="M79" s="1123">
        <f t="shared" si="17"/>
        <v>28183.91136357488</v>
      </c>
      <c r="N79" s="1123">
        <f t="shared" si="17"/>
        <v>28184.679624166663</v>
      </c>
      <c r="O79" s="1123">
        <f t="shared" si="17"/>
        <v>28186.241048212298</v>
      </c>
      <c r="P79" s="1123">
        <f t="shared" si="17"/>
        <v>28188.276120302406</v>
      </c>
      <c r="Q79" s="1123">
        <f t="shared" si="17"/>
        <v>28189.461492148148</v>
      </c>
    </row>
    <row r="98" s="1167" customFormat="1" ht="15"/>
    <row r="99" s="1167" customFormat="1" ht="15"/>
    <row r="100" s="1167" customFormat="1" ht="15"/>
    <row r="101" s="1167" customFormat="1" ht="15"/>
    <row r="102" s="1167" customFormat="1" ht="15"/>
    <row r="103" s="1167" customFormat="1" ht="15"/>
    <row r="104" s="1167" customFormat="1" ht="15"/>
    <row r="105" s="1167" customFormat="1" ht="15"/>
    <row r="106" s="1167" customFormat="1" ht="15"/>
    <row r="107" s="1167" customFormat="1" ht="15"/>
    <row r="108" s="1167" customFormat="1" ht="15"/>
    <row r="109" s="1167" customFormat="1" ht="15"/>
    <row r="110" s="1167" customFormat="1" ht="15"/>
    <row r="201" spans="2:17" s="1166" customFormat="1" ht="18.75">
      <c r="B201" s="1427" t="s">
        <v>1278</v>
      </c>
      <c r="C201" s="1427"/>
      <c r="D201" s="1427"/>
      <c r="E201" s="1427"/>
      <c r="F201" s="1427"/>
      <c r="G201" s="1427"/>
      <c r="H201" s="1179"/>
      <c r="I201" s="1179"/>
      <c r="J201" s="1179"/>
      <c r="K201" s="1179"/>
      <c r="L201" s="1179"/>
      <c r="Q201" s="1208"/>
    </row>
  </sheetData>
  <mergeCells count="6">
    <mergeCell ref="B201:G201"/>
    <mergeCell ref="F38:Q38"/>
    <mergeCell ref="F13:Q13"/>
    <mergeCell ref="F47:Q47"/>
    <mergeCell ref="B5:D7"/>
    <mergeCell ref="B38:D38"/>
  </mergeCells>
  <dataValidations disablePrompts="1" count="1">
    <dataValidation type="list" allowBlank="1" showInputMessage="1" showErrorMessage="1" sqref="C49:C51 C40:C47 C21 C16:C17 C28:C33 C19 C23:C25">
      <formula1>$J$5:$J$7</formula1>
    </dataValidation>
  </dataValidations>
  <pageMargins left="0.5" right="0.5" top="0.35" bottom="0.4" header="0.35" footer="0.4"/>
  <pageSetup paperSize="17" scale="56" fitToHeight="0" orientation="portrait" r:id="rId1"/>
  <headerFooter alignWithMargins="0">
    <oddFooter>&amp;L&amp;8November 2010 Version</oddFooter>
  </headerFooter>
  <drawing r:id="rId2"/>
  <legacyDrawing r:id="rId3"/>
</worksheet>
</file>

<file path=xl/worksheets/sheet23.xml><?xml version="1.0" encoding="utf-8"?>
<worksheet xmlns="http://schemas.openxmlformats.org/spreadsheetml/2006/main" xmlns:r="http://schemas.openxmlformats.org/officeDocument/2006/relationships">
  <sheetPr>
    <pageSetUpPr fitToPage="1"/>
  </sheetPr>
  <dimension ref="A1:P62"/>
  <sheetViews>
    <sheetView zoomScale="90" zoomScaleNormal="90" workbookViewId="0">
      <selection activeCell="D44" sqref="D44"/>
    </sheetView>
  </sheetViews>
  <sheetFormatPr defaultRowHeight="12.75"/>
  <cols>
    <col min="1" max="1" width="5.7109375" customWidth="1"/>
    <col min="2" max="2" width="25.85546875" customWidth="1"/>
    <col min="3" max="3" width="17.28515625" customWidth="1"/>
    <col min="4" max="4" width="10.5703125" bestFit="1" customWidth="1"/>
    <col min="5" max="5" width="10.7109375" customWidth="1"/>
    <col min="6" max="6" width="8.140625" customWidth="1"/>
    <col min="8" max="8" width="6.140625" customWidth="1"/>
    <col min="12" max="12" width="14.140625" customWidth="1"/>
    <col min="13" max="13" width="13" customWidth="1"/>
    <col min="14" max="14" width="12" customWidth="1"/>
    <col min="15" max="15" width="7.85546875" customWidth="1"/>
  </cols>
  <sheetData>
    <row r="1" spans="1:15" s="1299" customFormat="1" ht="26.25">
      <c r="A1" s="628" t="s">
        <v>867</v>
      </c>
      <c r="B1" s="1151"/>
      <c r="C1" s="1152"/>
      <c r="D1" s="1152"/>
      <c r="E1" s="1152"/>
      <c r="F1" s="1152"/>
      <c r="G1" s="1152"/>
      <c r="H1" s="1152"/>
      <c r="I1" s="1152"/>
      <c r="J1" s="1151"/>
      <c r="K1" s="1151"/>
      <c r="L1" s="1152"/>
      <c r="M1" s="1152"/>
      <c r="N1" s="1152"/>
      <c r="O1" s="1152"/>
    </row>
    <row r="2" spans="1:15" s="1300" customFormat="1" ht="23.25">
      <c r="A2" s="1160" t="s">
        <v>1308</v>
      </c>
      <c r="B2" s="633"/>
      <c r="C2" s="634"/>
      <c r="D2" s="634"/>
      <c r="E2" s="634"/>
      <c r="F2" s="634"/>
      <c r="G2" s="634"/>
      <c r="H2" s="634"/>
      <c r="I2" s="634"/>
      <c r="J2" s="633"/>
      <c r="K2" s="633"/>
      <c r="L2" s="634"/>
      <c r="M2" s="634"/>
      <c r="N2" s="634"/>
      <c r="O2" s="634"/>
    </row>
    <row r="3" spans="1:15" s="1300" customFormat="1" ht="12.75" customHeight="1">
      <c r="A3" s="1316"/>
      <c r="B3" s="1315"/>
      <c r="J3" s="1315"/>
      <c r="K3" s="1315"/>
    </row>
    <row r="4" spans="1:15" s="1120" customFormat="1" ht="15">
      <c r="A4" s="1316" t="s">
        <v>1346</v>
      </c>
    </row>
    <row r="5" spans="1:15" ht="12.75" customHeight="1"/>
    <row r="6" spans="1:15">
      <c r="B6" s="1319" t="s">
        <v>869</v>
      </c>
      <c r="C6" s="1310" t="str">
        <f>IF('1. Building Information'!C13=0,"",'1. Building Information'!C13)</f>
        <v>ABC Building</v>
      </c>
      <c r="D6" s="1311"/>
      <c r="E6" s="1311"/>
      <c r="F6" s="1337" t="s">
        <v>1326</v>
      </c>
      <c r="G6" s="1324"/>
      <c r="H6" s="7"/>
      <c r="K6" s="1319" t="s">
        <v>871</v>
      </c>
      <c r="L6" s="1323" t="str">
        <f>IF('1. Building Information'!C21=0,"",'1. Building Information'!C21)</f>
        <v/>
      </c>
      <c r="M6" s="1303"/>
      <c r="N6" s="1303"/>
      <c r="O6" s="1337" t="s">
        <v>1326</v>
      </c>
    </row>
    <row r="7" spans="1:15">
      <c r="B7" s="1319" t="s">
        <v>1309</v>
      </c>
      <c r="C7" s="1305" t="str">
        <f>IF('1. Building Information'!C15:D15=0,"",'1. Building Information'!C15:D15)</f>
        <v/>
      </c>
      <c r="D7" s="1303"/>
      <c r="E7" s="1303"/>
      <c r="F7" s="1338" t="s">
        <v>1326</v>
      </c>
      <c r="G7" s="1304"/>
      <c r="H7" s="7"/>
      <c r="K7" s="1319" t="s">
        <v>872</v>
      </c>
      <c r="L7" s="1302" t="str">
        <f>IF('1. Building Information'!C23=0,"Contact Name Missing",'1. Building Information'!C23)</f>
        <v>Contact Name Missing</v>
      </c>
      <c r="M7" s="1303"/>
      <c r="N7" s="1303"/>
      <c r="O7" s="1353" t="s">
        <v>1326</v>
      </c>
    </row>
    <row r="8" spans="1:15">
      <c r="B8" s="42"/>
      <c r="C8" s="1305" t="str">
        <f>IF('1. Building Information'!C16:D16=0,"",'1. Building Information'!C16:D16)</f>
        <v/>
      </c>
      <c r="D8" s="7"/>
      <c r="E8" s="7"/>
      <c r="F8" s="1305"/>
      <c r="G8" s="1306"/>
      <c r="H8" s="7"/>
      <c r="L8" s="1305" t="str">
        <f>IF('1. Building Information'!C24=0,"Phone Number Missing",'1. Building Information'!C24)</f>
        <v>Phone Number Missing</v>
      </c>
      <c r="M8" s="7"/>
      <c r="N8" s="7"/>
      <c r="O8" s="133"/>
    </row>
    <row r="9" spans="1:15">
      <c r="B9" s="42"/>
      <c r="C9" s="1307" t="str">
        <f>IF('1. Building Information'!C17:D17=0,"",'1. Building Information'!C17:D17)</f>
        <v/>
      </c>
      <c r="D9" s="1308"/>
      <c r="E9" s="1308"/>
      <c r="F9" s="1307"/>
      <c r="G9" s="1309"/>
      <c r="H9" s="7"/>
      <c r="L9" s="1307" t="str">
        <f>IF('1. Building Information'!C25=0,"E-mail Missing",'1. Building Information'!C25)</f>
        <v>E-mail Missing</v>
      </c>
      <c r="M9" s="1308"/>
      <c r="N9" s="1308"/>
      <c r="O9" s="1339"/>
    </row>
    <row r="10" spans="1:15">
      <c r="B10" s="1319" t="s">
        <v>1310</v>
      </c>
      <c r="C10" s="1313">
        <f>'1. Building Information'!C19:D19</f>
        <v>0</v>
      </c>
      <c r="D10" s="1311"/>
      <c r="E10" s="1311"/>
      <c r="F10" s="1352" t="s">
        <v>1326</v>
      </c>
      <c r="G10" s="1312"/>
      <c r="H10" s="7"/>
      <c r="I10" s="7"/>
    </row>
    <row r="11" spans="1:15" s="1120" customFormat="1">
      <c r="B11" s="1319"/>
      <c r="C11" s="1322"/>
      <c r="D11" s="7"/>
      <c r="E11" s="7"/>
      <c r="F11" s="7"/>
      <c r="G11" s="7"/>
      <c r="H11" s="7"/>
      <c r="I11" s="7"/>
    </row>
    <row r="12" spans="1:15" ht="4.5" customHeight="1">
      <c r="A12" s="1356"/>
      <c r="B12" s="1357"/>
      <c r="C12" s="1356"/>
      <c r="D12" s="1356"/>
      <c r="E12" s="1356"/>
      <c r="F12" s="1356"/>
      <c r="G12" s="1356"/>
      <c r="H12" s="1356"/>
      <c r="I12" s="1356"/>
      <c r="J12" s="1356"/>
      <c r="K12" s="1356"/>
      <c r="L12" s="1356"/>
      <c r="M12" s="1356"/>
      <c r="N12" s="1356"/>
      <c r="O12" s="1356"/>
    </row>
    <row r="13" spans="1:15" ht="15">
      <c r="A13" s="1316" t="s">
        <v>1372</v>
      </c>
    </row>
    <row r="15" spans="1:15" ht="29.25" customHeight="1">
      <c r="B15" s="1319" t="s">
        <v>1311</v>
      </c>
      <c r="C15" s="1336" t="str">
        <f>'1. Building Information'!C37</f>
        <v>Select One Land Use</v>
      </c>
      <c r="D15" s="1311"/>
      <c r="E15" s="1311"/>
      <c r="F15" s="1352" t="s">
        <v>1326</v>
      </c>
      <c r="G15" s="1312"/>
      <c r="I15" s="1577" t="s">
        <v>1314</v>
      </c>
      <c r="J15" s="1577"/>
      <c r="K15" s="1578"/>
      <c r="L15" s="1321">
        <f>'1. Building Information'!C102</f>
        <v>1</v>
      </c>
      <c r="M15" s="1311" t="s">
        <v>102</v>
      </c>
      <c r="N15" s="1311"/>
      <c r="O15" s="1337" t="s">
        <v>1326</v>
      </c>
    </row>
    <row r="16" spans="1:15" ht="25.5" customHeight="1">
      <c r="B16" s="1320" t="s">
        <v>1312</v>
      </c>
      <c r="C16" s="1318">
        <f>'1. Building Information'!C29</f>
        <v>0</v>
      </c>
      <c r="D16" s="1311" t="s">
        <v>102</v>
      </c>
      <c r="E16" s="1311"/>
      <c r="F16" s="1352" t="s">
        <v>1326</v>
      </c>
      <c r="G16" s="1312"/>
      <c r="I16" s="1577" t="s">
        <v>1316</v>
      </c>
      <c r="J16" s="1577"/>
      <c r="K16" s="1578"/>
      <c r="L16" s="1321">
        <f>'1. Building Information'!C108</f>
        <v>1</v>
      </c>
      <c r="M16" s="1311" t="s">
        <v>102</v>
      </c>
      <c r="N16" s="1311"/>
      <c r="O16" s="1337" t="s">
        <v>1326</v>
      </c>
    </row>
    <row r="17" spans="1:16" ht="14.25">
      <c r="B17" s="1319" t="s">
        <v>1317</v>
      </c>
      <c r="C17" s="1318">
        <f>'1. Building Information'!C27</f>
        <v>0</v>
      </c>
      <c r="D17" s="1311" t="s">
        <v>102</v>
      </c>
      <c r="E17" s="1311"/>
      <c r="F17" s="1352" t="s">
        <v>1326</v>
      </c>
      <c r="G17" s="1312"/>
      <c r="I17" s="1577" t="s">
        <v>1315</v>
      </c>
      <c r="J17" s="1577"/>
      <c r="K17" s="1578"/>
      <c r="L17" s="1321">
        <f>'1. Building Information'!C115</f>
        <v>1</v>
      </c>
      <c r="M17" s="1311" t="s">
        <v>102</v>
      </c>
      <c r="N17" s="1311"/>
      <c r="O17" s="1337" t="s">
        <v>1326</v>
      </c>
    </row>
    <row r="18" spans="1:16">
      <c r="B18" s="1319" t="s">
        <v>1313</v>
      </c>
      <c r="C18" s="1325">
        <f>'1. Building Information'!D90</f>
        <v>1</v>
      </c>
      <c r="D18" s="1308" t="s">
        <v>1327</v>
      </c>
      <c r="E18" s="1308"/>
      <c r="F18" s="1354" t="s">
        <v>1326</v>
      </c>
      <c r="G18" s="1309"/>
      <c r="I18" s="1573" t="s">
        <v>1318</v>
      </c>
      <c r="J18" s="1573"/>
      <c r="K18" s="1579"/>
      <c r="L18" s="1317" t="str">
        <f>'1. Building Information'!C122</f>
        <v>Eastern SF</v>
      </c>
      <c r="M18" s="1311"/>
      <c r="N18" s="1311"/>
      <c r="O18" s="1337" t="s">
        <v>1326</v>
      </c>
    </row>
    <row r="19" spans="1:16" s="1120" customFormat="1" ht="39" customHeight="1">
      <c r="B19" s="1319"/>
      <c r="C19" s="1345"/>
      <c r="D19" s="7"/>
      <c r="E19" s="7"/>
      <c r="F19" s="7"/>
      <c r="G19" s="7"/>
      <c r="I19" s="1580" t="s">
        <v>1343</v>
      </c>
      <c r="J19" s="1580"/>
      <c r="K19" s="1580"/>
      <c r="L19" s="1317" t="str">
        <f>'4. Outdoor Water Demand'!D95</f>
        <v>No</v>
      </c>
      <c r="M19" s="1311"/>
      <c r="N19" s="1312"/>
      <c r="O19" s="1337" t="s">
        <v>1345</v>
      </c>
    </row>
    <row r="21" spans="1:16" s="1120" customFormat="1" ht="4.5" customHeight="1">
      <c r="A21" s="1356"/>
      <c r="B21" s="1357"/>
      <c r="C21" s="1356"/>
      <c r="D21" s="1356"/>
      <c r="E21" s="1356"/>
      <c r="F21" s="1356"/>
      <c r="G21" s="1356"/>
      <c r="H21" s="1356"/>
      <c r="I21" s="1356"/>
      <c r="J21" s="1356"/>
      <c r="K21" s="1356"/>
      <c r="L21" s="1356"/>
      <c r="M21" s="1356"/>
      <c r="N21" s="1356"/>
      <c r="O21" s="1356"/>
    </row>
    <row r="22" spans="1:16" ht="15">
      <c r="A22" s="1316" t="s">
        <v>1373</v>
      </c>
      <c r="B22" s="1301"/>
    </row>
    <row r="23" spans="1:16" ht="13.5" thickBot="1"/>
    <row r="24" spans="1:16">
      <c r="B24" s="1340" t="s">
        <v>1319</v>
      </c>
      <c r="C24" s="15"/>
      <c r="D24" s="15"/>
      <c r="E24" s="15"/>
      <c r="F24" s="15"/>
      <c r="G24" s="16"/>
      <c r="I24" s="1340" t="s">
        <v>1342</v>
      </c>
      <c r="J24" s="15"/>
      <c r="K24" s="15"/>
      <c r="L24" s="15"/>
      <c r="M24" s="15"/>
      <c r="N24" s="15"/>
      <c r="O24" s="16"/>
    </row>
    <row r="25" spans="1:16" ht="25.5">
      <c r="B25" s="1346" t="s">
        <v>1320</v>
      </c>
      <c r="C25" s="1347" t="s">
        <v>1321</v>
      </c>
      <c r="D25" s="1575" t="s">
        <v>1328</v>
      </c>
      <c r="E25" s="1575"/>
      <c r="F25" s="1575"/>
      <c r="G25" s="1348" t="s">
        <v>1329</v>
      </c>
      <c r="I25" s="1576" t="s">
        <v>1334</v>
      </c>
      <c r="J25" s="1575"/>
      <c r="K25" s="1575"/>
      <c r="L25" s="1347" t="s">
        <v>1332</v>
      </c>
      <c r="M25" s="1569" t="s">
        <v>1328</v>
      </c>
      <c r="N25" s="1569"/>
      <c r="O25" s="1348" t="s">
        <v>1329</v>
      </c>
    </row>
    <row r="26" spans="1:16" ht="27" customHeight="1">
      <c r="B26" s="1341" t="s">
        <v>1322</v>
      </c>
      <c r="C26" s="1327">
        <f>'7. Project Definition'!E49</f>
        <v>9.2848349677613271</v>
      </c>
      <c r="D26" s="1552" t="str">
        <f>IF(AND(C26=0,'6. Building Potential Summary'!C74&gt;0),"Rainwater available but currently not selected for reuse", IF(AND('8. Printable Project Summary'!C26=0,'6. Building Potential Summary'!C74=0),"No Rainwater Supply Available or No Available Cistern for Storage",""))</f>
        <v/>
      </c>
      <c r="E26" s="1553"/>
      <c r="F26" s="1554"/>
      <c r="G26" s="1342" t="s">
        <v>1326</v>
      </c>
      <c r="H26" s="1120"/>
      <c r="I26" s="1555" t="s">
        <v>1330</v>
      </c>
      <c r="J26" s="1556"/>
      <c r="K26" s="1556"/>
      <c r="L26" s="1327">
        <f>SUM('7. Project Definition'!E16:E17,'7. Project Definition'!E19)</f>
        <v>0</v>
      </c>
      <c r="M26" s="1574" t="str">
        <f>IF(AND(L26=0,SUM('6. Building Potential Summary'!D28)&gt;0),"Demand exists but non-potable will not provide supply","")</f>
        <v/>
      </c>
      <c r="N26" s="1574"/>
      <c r="O26" s="1355" t="s">
        <v>1326</v>
      </c>
    </row>
    <row r="27" spans="1:16" ht="36.75" customHeight="1">
      <c r="B27" s="1341" t="s">
        <v>1323</v>
      </c>
      <c r="C27" s="1327">
        <f>'7. Project Definition'!E50</f>
        <v>9.2848349677613271</v>
      </c>
      <c r="D27" s="1552" t="str">
        <f>IF(AND(C27=0,'6. Building Potential Summary'!C76&gt;0),"Stormwater available but currently not selected for reuse", IF(AND('8. Printable Project Summary'!C27=0,'6. Building Potential Summary'!C76=0),"No Stormwater Supply Available or No Available Cistern for Storage",""))</f>
        <v/>
      </c>
      <c r="E27" s="1553"/>
      <c r="F27" s="1554"/>
      <c r="G27" s="1342" t="s">
        <v>1326</v>
      </c>
      <c r="H27" s="1120"/>
      <c r="I27" s="1557" t="s">
        <v>1413</v>
      </c>
      <c r="J27" s="1558"/>
      <c r="K27" s="1559"/>
      <c r="L27" s="1327">
        <f>'7. Project Definition'!E28</f>
        <v>11.872489200733384</v>
      </c>
      <c r="M27" s="1574" t="str">
        <f>IF(AND(L27=0,'6. Building Potential Summary'!D41&gt;0),"Demand exists but non-potable will not provide supply","")</f>
        <v/>
      </c>
      <c r="N27" s="1574"/>
      <c r="O27" s="1355" t="s">
        <v>1326</v>
      </c>
      <c r="P27" s="1120"/>
    </row>
    <row r="28" spans="1:16" ht="27" customHeight="1">
      <c r="B28" s="1341" t="s">
        <v>1324</v>
      </c>
      <c r="C28" s="1327">
        <f>'7. Project Definition'!E40</f>
        <v>365000</v>
      </c>
      <c r="D28" s="1552" t="str">
        <f>IF(AND(C28=0,'6. Building Potential Summary'!C68&gt;0),"Graywater available but currently not selected for reuse", IF(AND('8. Printable Project Summary'!C28=0,'6. Building Potential Summary'!C68=0),"No Graywater Supply Available",""))</f>
        <v/>
      </c>
      <c r="E28" s="1553"/>
      <c r="F28" s="1554"/>
      <c r="G28" s="1342" t="s">
        <v>1326</v>
      </c>
      <c r="I28" s="1555" t="s">
        <v>1333</v>
      </c>
      <c r="J28" s="1556"/>
      <c r="K28" s="1556"/>
      <c r="L28" s="1327">
        <f>'7. Project Definition'!E29+'7. Project Definition'!E23</f>
        <v>25000</v>
      </c>
      <c r="M28" s="1574" t="str">
        <f>IF(AND(L28=0,OR('6. Building Potential Summary'!D42&gt;0,'6. Building Potential Summary'!D36&gt;0)),"Demand exists but non-potable will not provide supply","")</f>
        <v/>
      </c>
      <c r="N28" s="1574"/>
      <c r="O28" s="1355" t="s">
        <v>1326</v>
      </c>
    </row>
    <row r="29" spans="1:16" ht="40.5" customHeight="1">
      <c r="B29" s="1341" t="s">
        <v>1325</v>
      </c>
      <c r="C29" s="1327">
        <f>'7. Project Definition'!E42</f>
        <v>0</v>
      </c>
      <c r="D29" s="1552" t="str">
        <f>IF(AND(C29=0,'6. Building Potential Summary'!C72&gt;0),"Foundation Drainage supply available but currently not selected for reuse", IF(AND('8. Printable Project Summary'!C29=0,'6. Building Potential Summary'!C72=0),"No Foundation Drainage supply available",""))</f>
        <v>No Foundation Drainage supply available</v>
      </c>
      <c r="E29" s="1553"/>
      <c r="F29" s="1554"/>
      <c r="G29" s="1342" t="s">
        <v>1326</v>
      </c>
      <c r="I29" s="1555" t="s">
        <v>1331</v>
      </c>
      <c r="J29" s="1556"/>
      <c r="K29" s="1556"/>
      <c r="L29" s="1327">
        <f>'7. Project Definition'!E21</f>
        <v>0</v>
      </c>
      <c r="M29" s="1574" t="str">
        <f>IF(AND(L29=0,'6. Building Potential Summary'!D33&gt;0),"Demand exists but non-potable will not provide supply","")</f>
        <v/>
      </c>
      <c r="N29" s="1574"/>
      <c r="O29" s="1355" t="s">
        <v>1326</v>
      </c>
    </row>
    <row r="30" spans="1:16" ht="36" customHeight="1">
      <c r="B30" s="1341" t="s">
        <v>1338</v>
      </c>
      <c r="C30" s="1327">
        <f>'7. Project Definition'!E41</f>
        <v>0</v>
      </c>
      <c r="D30" s="1563" t="str">
        <f>IF(AND(C30=0,'6. Building Potential Summary'!C70&gt;0),"Blackwater supply available but currently not selected for reuse", IF(AND('8. Printable Project Summary'!C30=0,'6. Building Potential Summary'!C70=0),"No Blackwater supply available",""))</f>
        <v>No Blackwater supply available</v>
      </c>
      <c r="E30" s="1564"/>
      <c r="F30" s="1565"/>
      <c r="G30" s="1342" t="s">
        <v>1326</v>
      </c>
      <c r="I30" s="1555" t="s">
        <v>458</v>
      </c>
      <c r="J30" s="1556"/>
      <c r="K30" s="1556"/>
      <c r="L30" s="1327">
        <f>SUM('7. Project Definition'!E24,'7. Project Definition'!E25,'7. Project Definition'!E30)</f>
        <v>1768</v>
      </c>
      <c r="M30" s="1574" t="str">
        <f>IF(AND(L30=0,('7. Project Definition'!E25+'7. Project Definition'!E30)&gt;0),"Demand exists but non-potable will not provide supply","")</f>
        <v/>
      </c>
      <c r="N30" s="1574"/>
      <c r="O30" s="1355" t="s">
        <v>1326</v>
      </c>
    </row>
    <row r="31" spans="1:16" ht="14.25">
      <c r="B31" s="1341" t="s">
        <v>1340</v>
      </c>
      <c r="C31" s="1327">
        <f>SUM(C26:C30)</f>
        <v>365018.5696699355</v>
      </c>
      <c r="D31" s="1566"/>
      <c r="E31" s="1566"/>
      <c r="F31" s="1566"/>
      <c r="G31" s="1343"/>
      <c r="I31" s="1555" t="s">
        <v>1414</v>
      </c>
      <c r="J31" s="1556"/>
      <c r="K31" s="1556"/>
      <c r="L31" s="1327">
        <f>SUM(L26:L30)</f>
        <v>26779.872489200734</v>
      </c>
      <c r="M31" s="1574"/>
      <c r="N31" s="1574"/>
      <c r="O31" s="1344"/>
    </row>
    <row r="32" spans="1:16" ht="30" customHeight="1" thickBot="1">
      <c r="B32" s="1560" t="s">
        <v>1341</v>
      </c>
      <c r="C32" s="1561"/>
      <c r="D32" s="1561"/>
      <c r="E32" s="1561"/>
      <c r="F32" s="1561"/>
      <c r="G32" s="1562"/>
      <c r="I32" s="1570"/>
      <c r="J32" s="1571"/>
      <c r="K32" s="1571"/>
      <c r="L32" s="1571"/>
      <c r="M32" s="1571"/>
      <c r="N32" s="1571"/>
      <c r="O32" s="1572"/>
    </row>
    <row r="33" spans="2:11">
      <c r="I33" s="1573"/>
      <c r="J33" s="1573"/>
      <c r="K33" s="1573"/>
    </row>
    <row r="35" spans="2:11">
      <c r="B35" s="1335" t="s">
        <v>1335</v>
      </c>
    </row>
    <row r="36" spans="2:11" ht="27" customHeight="1">
      <c r="B36" s="1349" t="s">
        <v>585</v>
      </c>
      <c r="C36" s="1350" t="s">
        <v>1336</v>
      </c>
      <c r="D36" s="1326"/>
    </row>
    <row r="37" spans="2:11">
      <c r="B37" s="1333" t="s">
        <v>1337</v>
      </c>
      <c r="C37" s="1327">
        <f>'7. Project Definition'!F78</f>
        <v>2083.333333333333</v>
      </c>
    </row>
    <row r="38" spans="2:11">
      <c r="B38" s="1333" t="s">
        <v>597</v>
      </c>
      <c r="C38" s="1327">
        <f>'7. Project Definition'!G78</f>
        <v>2083.333333333333</v>
      </c>
    </row>
    <row r="39" spans="2:11">
      <c r="B39" s="1333" t="s">
        <v>598</v>
      </c>
      <c r="C39" s="1327">
        <f>'7. Project Definition'!H78</f>
        <v>2083.333333333333</v>
      </c>
    </row>
    <row r="40" spans="2:11">
      <c r="B40" s="1333" t="s">
        <v>599</v>
      </c>
      <c r="C40" s="1327">
        <f>'7. Project Definition'!I78</f>
        <v>2083.333333333333</v>
      </c>
    </row>
    <row r="41" spans="2:11">
      <c r="B41" s="1333" t="s">
        <v>600</v>
      </c>
      <c r="C41" s="1327">
        <f>'7. Project Definition'!J78</f>
        <v>2083.3333333333339</v>
      </c>
    </row>
    <row r="42" spans="2:11">
      <c r="B42" s="1333" t="s">
        <v>601</v>
      </c>
      <c r="C42" s="1327">
        <f>'7. Project Definition'!K78</f>
        <v>2083.3333333333339</v>
      </c>
    </row>
    <row r="43" spans="2:11">
      <c r="B43" s="1333" t="s">
        <v>341</v>
      </c>
      <c r="C43" s="1327">
        <f>'7. Project Definition'!L78</f>
        <v>2083.3333333333339</v>
      </c>
    </row>
    <row r="44" spans="2:11">
      <c r="B44" s="1333" t="s">
        <v>342</v>
      </c>
      <c r="C44" s="1327">
        <f>'7. Project Definition'!M78</f>
        <v>2083.3333333333339</v>
      </c>
    </row>
    <row r="45" spans="2:11">
      <c r="B45" s="1333" t="s">
        <v>49</v>
      </c>
      <c r="C45" s="1327">
        <f>'7. Project Definition'!N78</f>
        <v>2083.3333333333335</v>
      </c>
    </row>
    <row r="46" spans="2:11">
      <c r="B46" s="1333" t="s">
        <v>112</v>
      </c>
      <c r="C46" s="1327">
        <f>'7. Project Definition'!O78</f>
        <v>2083.3333333333335</v>
      </c>
    </row>
    <row r="47" spans="2:11">
      <c r="B47" s="1333" t="s">
        <v>113</v>
      </c>
      <c r="C47" s="1327">
        <f>'7. Project Definition'!P78</f>
        <v>2083.333333333333</v>
      </c>
    </row>
    <row r="48" spans="2:11">
      <c r="B48" s="1333" t="s">
        <v>114</v>
      </c>
      <c r="C48" s="1327">
        <f>'7. Project Definition'!Q78</f>
        <v>2083.333333333333</v>
      </c>
    </row>
    <row r="49" spans="1:15">
      <c r="B49" s="1334" t="s">
        <v>473</v>
      </c>
      <c r="C49" s="1327">
        <f>SUM(C37:C48)</f>
        <v>24999.999999999996</v>
      </c>
    </row>
    <row r="51" spans="1:15" s="1120" customFormat="1" ht="4.5" customHeight="1">
      <c r="A51" s="1356"/>
      <c r="B51" s="1357"/>
      <c r="C51" s="1356"/>
      <c r="D51" s="1356"/>
      <c r="E51" s="1356"/>
      <c r="F51" s="1356"/>
      <c r="G51" s="1356"/>
      <c r="H51" s="1356"/>
      <c r="I51" s="1356"/>
      <c r="J51" s="1356"/>
      <c r="K51" s="1356"/>
      <c r="L51" s="1356"/>
      <c r="M51" s="1356"/>
      <c r="N51" s="1356"/>
      <c r="O51" s="1356"/>
    </row>
    <row r="52" spans="1:15" ht="15">
      <c r="A52" s="1316" t="s">
        <v>1347</v>
      </c>
    </row>
    <row r="53" spans="1:15" s="1120" customFormat="1" ht="15.75" thickBot="1">
      <c r="A53" s="1316"/>
    </row>
    <row r="54" spans="1:15" ht="13.5" thickBot="1">
      <c r="B54" s="1340" t="s">
        <v>1349</v>
      </c>
      <c r="C54" s="15"/>
      <c r="D54" s="15"/>
      <c r="E54" s="16"/>
      <c r="F54" s="7"/>
      <c r="G54" s="7"/>
    </row>
    <row r="55" spans="1:15" ht="60" customHeight="1">
      <c r="B55" s="5"/>
      <c r="C55" s="15"/>
      <c r="D55" s="1402" t="s">
        <v>1344</v>
      </c>
      <c r="E55" s="1403" t="s">
        <v>1240</v>
      </c>
      <c r="F55" s="7"/>
      <c r="G55" s="1398"/>
    </row>
    <row r="56" spans="1:15" ht="28.5" customHeight="1" thickBot="1">
      <c r="B56" s="1567" t="s">
        <v>1348</v>
      </c>
      <c r="C56" s="1568"/>
      <c r="D56" s="1400">
        <f>'7. Project Definition'!C56</f>
        <v>26800</v>
      </c>
      <c r="E56" s="1401">
        <f>'7. Project Definition'!C57</f>
        <v>0.51757562758752329</v>
      </c>
      <c r="F56" s="7"/>
      <c r="G56" s="1399"/>
    </row>
    <row r="57" spans="1:15">
      <c r="B57" s="7"/>
      <c r="C57" s="7"/>
      <c r="D57" s="7"/>
      <c r="E57" s="7"/>
      <c r="F57" s="7"/>
      <c r="G57" s="7"/>
    </row>
    <row r="58" spans="1:15" s="1351" customFormat="1" ht="4.5" customHeight="1">
      <c r="A58" s="1356"/>
      <c r="B58" s="1357"/>
      <c r="C58" s="1356"/>
      <c r="D58" s="1356"/>
      <c r="E58" s="1356"/>
      <c r="F58" s="1356"/>
      <c r="G58" s="1356"/>
      <c r="H58" s="1356"/>
      <c r="I58" s="1356"/>
      <c r="J58" s="1356"/>
      <c r="K58" s="1356"/>
      <c r="L58" s="1356"/>
      <c r="M58" s="1356"/>
      <c r="N58" s="1356"/>
      <c r="O58" s="1356"/>
    </row>
    <row r="59" spans="1:15">
      <c r="B59" s="7"/>
      <c r="C59" s="7"/>
      <c r="D59" s="7"/>
      <c r="E59" s="7"/>
      <c r="F59" s="7"/>
      <c r="G59" s="7"/>
    </row>
    <row r="60" spans="1:15">
      <c r="B60" s="7"/>
      <c r="C60" s="7"/>
      <c r="D60" s="7"/>
      <c r="E60" s="7"/>
      <c r="F60" s="7"/>
      <c r="G60" s="7"/>
    </row>
    <row r="61" spans="1:15">
      <c r="B61" s="7"/>
      <c r="C61" s="7"/>
      <c r="D61" s="7"/>
      <c r="E61" s="7"/>
      <c r="F61" s="7"/>
      <c r="G61" s="7"/>
    </row>
    <row r="62" spans="1:15">
      <c r="B62" s="7"/>
      <c r="C62" s="7"/>
      <c r="D62" s="7"/>
      <c r="E62" s="7"/>
      <c r="F62" s="7"/>
      <c r="G62" s="7"/>
    </row>
  </sheetData>
  <mergeCells count="30">
    <mergeCell ref="D25:F25"/>
    <mergeCell ref="I25:K25"/>
    <mergeCell ref="I15:K15"/>
    <mergeCell ref="I16:K16"/>
    <mergeCell ref="I17:K17"/>
    <mergeCell ref="I18:K18"/>
    <mergeCell ref="I19:K19"/>
    <mergeCell ref="M25:N25"/>
    <mergeCell ref="I32:O32"/>
    <mergeCell ref="I33:K33"/>
    <mergeCell ref="M28:N28"/>
    <mergeCell ref="M26:N26"/>
    <mergeCell ref="M27:N27"/>
    <mergeCell ref="M29:N29"/>
    <mergeCell ref="M31:N31"/>
    <mergeCell ref="I31:K31"/>
    <mergeCell ref="M30:N30"/>
    <mergeCell ref="B32:G32"/>
    <mergeCell ref="D30:F30"/>
    <mergeCell ref="D31:F31"/>
    <mergeCell ref="B56:C56"/>
    <mergeCell ref="I30:K30"/>
    <mergeCell ref="D26:F26"/>
    <mergeCell ref="D27:F27"/>
    <mergeCell ref="D28:F28"/>
    <mergeCell ref="D29:F29"/>
    <mergeCell ref="I26:K26"/>
    <mergeCell ref="I27:K27"/>
    <mergeCell ref="I28:K28"/>
    <mergeCell ref="I29:K29"/>
  </mergeCells>
  <hyperlinks>
    <hyperlink ref="F6" location="'1. Building Information'!C13" display="update here"/>
    <hyperlink ref="F7" location="'1. Building Information'!C15" display="update here"/>
    <hyperlink ref="G26" location="'7. Project Definition'!C49" display="update"/>
    <hyperlink ref="F10" location="'1. Building Information'!C19" display="update"/>
    <hyperlink ref="O6" location="'1. Building Information'!C21" display="update"/>
    <hyperlink ref="O7" location="'1. Building Information'!C23" display="update"/>
    <hyperlink ref="G27" location="'7. Project Definition'!C50" display="update"/>
    <hyperlink ref="F15" location="'1. Building Information'!C37" display="update"/>
    <hyperlink ref="F16" location="'1. Building Information'!C29" display="update"/>
    <hyperlink ref="F17" location="'1. Building Information'!C27" display="update"/>
    <hyperlink ref="F18" location="'1. Building Information'!D90" display="update"/>
    <hyperlink ref="O15" location="'1. Building Information'!C100" display="update"/>
    <hyperlink ref="O16" location="'1. Building Information'!C105" display="update"/>
    <hyperlink ref="O17" location="'1. Building Information'!C111" display="update"/>
    <hyperlink ref="O18" location="'1. Building Information'!C122" display="update"/>
    <hyperlink ref="O19" location="'4. Outdoor Water Demand'!D95" display="source"/>
    <hyperlink ref="G28" location="'7. Project Definition'!C40" display="update"/>
    <hyperlink ref="G29" location="'7. Project Definition'!C42" display="update"/>
    <hyperlink ref="G30" location="'7. Project Definition'!C41" display="update"/>
    <hyperlink ref="O26" location="'7. Project Definition'!C16" display="update"/>
    <hyperlink ref="O27" location="'7. Project Definition'!C28" display="update"/>
    <hyperlink ref="O28" location="'7. Project Definition'!C29" display="update"/>
    <hyperlink ref="O29" location="'7. Project Definition'!C21" display="update"/>
    <hyperlink ref="O30" location="'7. Project Definition'!C25" display="update"/>
  </hyperlinks>
  <pageMargins left="0.7" right="0.7" top="0.75" bottom="0.75" header="0.3" footer="0.3"/>
  <pageSetup scale="47" orientation="portrait" r:id="rId1"/>
  <drawing r:id="rId2"/>
</worksheet>
</file>

<file path=xl/worksheets/sheet24.xml><?xml version="1.0" encoding="utf-8"?>
<worksheet xmlns="http://schemas.openxmlformats.org/spreadsheetml/2006/main" xmlns:r="http://schemas.openxmlformats.org/officeDocument/2006/relationships">
  <sheetPr>
    <tabColor theme="0" tint="-0.249977111117893"/>
  </sheetPr>
  <dimension ref="A1:M2"/>
  <sheetViews>
    <sheetView workbookViewId="0">
      <selection activeCell="D9" sqref="D9"/>
    </sheetView>
  </sheetViews>
  <sheetFormatPr defaultRowHeight="12.75"/>
  <cols>
    <col min="1" max="16384" width="9.140625" style="1279"/>
  </cols>
  <sheetData>
    <row r="1" spans="1:13" s="1164" customFormat="1" ht="26.25">
      <c r="A1" s="1161" t="s">
        <v>867</v>
      </c>
      <c r="B1" s="1162"/>
      <c r="C1" s="1162"/>
      <c r="D1" s="1162"/>
      <c r="E1" s="1163"/>
      <c r="G1" s="1163"/>
      <c r="H1" s="1163"/>
      <c r="I1" s="1163"/>
      <c r="J1" s="1163"/>
      <c r="K1" s="1163"/>
      <c r="L1" s="1163"/>
      <c r="M1" s="1163"/>
    </row>
    <row r="2" spans="1:13" s="1156" customFormat="1" ht="23.25">
      <c r="A2" s="1153" t="s">
        <v>1288</v>
      </c>
      <c r="B2" s="1154"/>
      <c r="C2" s="1154"/>
      <c r="D2" s="1154"/>
      <c r="E2" s="1155"/>
      <c r="G2" s="1155"/>
      <c r="H2" s="1155"/>
      <c r="I2" s="1155"/>
      <c r="J2" s="1155"/>
      <c r="K2" s="1155"/>
      <c r="L2" s="1155"/>
      <c r="M2" s="1155"/>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sheetPr>
    <tabColor theme="0" tint="-0.249977111117893"/>
    <pageSetUpPr fitToPage="1"/>
  </sheetPr>
  <dimension ref="A1:M41"/>
  <sheetViews>
    <sheetView workbookViewId="0">
      <selection activeCell="J22" sqref="J22"/>
    </sheetView>
  </sheetViews>
  <sheetFormatPr defaultRowHeight="12.75"/>
  <cols>
    <col min="2" max="2" width="14.42578125" customWidth="1"/>
    <col min="3" max="5" width="25.7109375" customWidth="1"/>
  </cols>
  <sheetData>
    <row r="1" spans="1:13" s="491" customFormat="1" ht="26.25">
      <c r="A1" s="488" t="s">
        <v>867</v>
      </c>
      <c r="B1" s="489"/>
      <c r="C1" s="489"/>
      <c r="D1" s="489"/>
      <c r="E1" s="490"/>
      <c r="G1" s="490"/>
      <c r="H1" s="490"/>
      <c r="I1" s="490"/>
      <c r="J1" s="490"/>
      <c r="K1" s="490"/>
      <c r="L1" s="490"/>
      <c r="M1" s="490"/>
    </row>
    <row r="2" spans="1:13" s="467" customFormat="1" ht="23.25">
      <c r="A2" s="464" t="s">
        <v>947</v>
      </c>
      <c r="B2" s="465"/>
      <c r="C2" s="465"/>
      <c r="D2" s="465"/>
      <c r="E2" s="466"/>
      <c r="G2" s="466"/>
      <c r="H2" s="466"/>
      <c r="I2" s="466"/>
      <c r="J2" s="466"/>
      <c r="K2" s="466"/>
      <c r="L2" s="466"/>
      <c r="M2" s="466"/>
    </row>
    <row r="3" spans="1:13" ht="15">
      <c r="A3" s="487"/>
      <c r="B3" s="36"/>
    </row>
    <row r="4" spans="1:13">
      <c r="B4" s="36"/>
    </row>
    <row r="5" spans="1:13" ht="19.5">
      <c r="B5" s="1581" t="s">
        <v>948</v>
      </c>
      <c r="C5" s="1581"/>
      <c r="D5" s="1581"/>
      <c r="E5" s="1581"/>
      <c r="F5" s="492"/>
    </row>
    <row r="6" spans="1:13" s="493" customFormat="1" ht="32.25">
      <c r="B6" s="1582" t="s">
        <v>585</v>
      </c>
      <c r="C6" s="494" t="s">
        <v>949</v>
      </c>
      <c r="D6" s="494" t="s">
        <v>950</v>
      </c>
      <c r="E6" s="494" t="s">
        <v>951</v>
      </c>
      <c r="F6" s="495"/>
    </row>
    <row r="7" spans="1:13" s="288" customFormat="1" ht="18">
      <c r="B7" s="1582"/>
      <c r="C7" s="496" t="s">
        <v>590</v>
      </c>
      <c r="D7" s="496" t="s">
        <v>591</v>
      </c>
      <c r="E7" s="496" t="s">
        <v>952</v>
      </c>
      <c r="F7" s="497"/>
    </row>
    <row r="8" spans="1:13" ht="15">
      <c r="B8" s="498" t="s">
        <v>596</v>
      </c>
      <c r="C8" s="806">
        <v>4.5616000000000003</v>
      </c>
      <c r="D8" s="849">
        <v>1.24</v>
      </c>
      <c r="E8" s="499">
        <v>0.62</v>
      </c>
      <c r="F8" s="500"/>
      <c r="G8" s="853" t="s">
        <v>1041</v>
      </c>
      <c r="H8" s="853"/>
      <c r="I8" s="853"/>
      <c r="J8" s="853"/>
      <c r="K8" s="853"/>
      <c r="L8" s="853"/>
      <c r="M8" s="853"/>
    </row>
    <row r="9" spans="1:13" ht="15">
      <c r="B9" s="498" t="s">
        <v>597</v>
      </c>
      <c r="C9" s="806">
        <v>3.8450000000000002</v>
      </c>
      <c r="D9" s="850">
        <v>1.68</v>
      </c>
      <c r="E9" s="499">
        <v>0.84</v>
      </c>
      <c r="F9" s="500"/>
      <c r="G9" s="809" t="s">
        <v>1013</v>
      </c>
      <c r="H9" s="809"/>
      <c r="I9" s="809"/>
      <c r="J9" s="809"/>
      <c r="K9" s="809"/>
      <c r="L9" s="809"/>
      <c r="M9" s="809"/>
    </row>
    <row r="10" spans="1:13" ht="18.75">
      <c r="A10" s="501"/>
      <c r="B10" s="498" t="s">
        <v>598</v>
      </c>
      <c r="C10" s="806">
        <v>2.9074</v>
      </c>
      <c r="D10" s="850">
        <v>3.1</v>
      </c>
      <c r="E10" s="499">
        <v>1.55</v>
      </c>
      <c r="F10" s="500"/>
    </row>
    <row r="11" spans="1:13" ht="15">
      <c r="B11" s="498" t="s">
        <v>599</v>
      </c>
      <c r="C11" s="806">
        <v>1.4120618556701032</v>
      </c>
      <c r="D11" s="850">
        <v>3.9</v>
      </c>
      <c r="E11" s="499">
        <v>1.95</v>
      </c>
      <c r="F11" s="500"/>
    </row>
    <row r="12" spans="1:13" ht="15">
      <c r="B12" s="498" t="s">
        <v>600</v>
      </c>
      <c r="C12" s="806">
        <v>0.6282558139534884</v>
      </c>
      <c r="D12" s="850">
        <v>4.6500000000000004</v>
      </c>
      <c r="E12" s="499">
        <v>2.3250000000000002</v>
      </c>
      <c r="F12" s="500"/>
    </row>
    <row r="13" spans="1:13" ht="15">
      <c r="B13" s="498" t="s">
        <v>601</v>
      </c>
      <c r="C13" s="806">
        <v>0.22030303030303031</v>
      </c>
      <c r="D13" s="850">
        <v>5.0999999999999996</v>
      </c>
      <c r="E13" s="499">
        <v>2.5499999999999998</v>
      </c>
      <c r="F13" s="500"/>
    </row>
    <row r="14" spans="1:13" ht="15">
      <c r="B14" s="498" t="s">
        <v>341</v>
      </c>
      <c r="C14" s="806">
        <v>4.9722222222222223E-2</v>
      </c>
      <c r="D14" s="850">
        <v>4.96</v>
      </c>
      <c r="E14" s="499">
        <v>2.48</v>
      </c>
      <c r="F14" s="500"/>
    </row>
    <row r="15" spans="1:13" ht="15">
      <c r="B15" s="498" t="s">
        <v>342</v>
      </c>
      <c r="C15" s="806">
        <v>0.1076086956521739</v>
      </c>
      <c r="D15" s="850">
        <v>4.6500000000000004</v>
      </c>
      <c r="E15" s="499">
        <v>2.3250000000000002</v>
      </c>
      <c r="F15" s="500"/>
    </row>
    <row r="16" spans="1:13" ht="15">
      <c r="B16" s="498" t="s">
        <v>49</v>
      </c>
      <c r="C16" s="806">
        <v>0.37031249999999999</v>
      </c>
      <c r="D16" s="850">
        <v>3.9</v>
      </c>
      <c r="E16" s="499">
        <v>1.95</v>
      </c>
      <c r="F16" s="500"/>
    </row>
    <row r="17" spans="2:6" ht="15">
      <c r="B17" s="498" t="s">
        <v>112</v>
      </c>
      <c r="C17" s="806">
        <v>1.034639175257732</v>
      </c>
      <c r="D17" s="850">
        <v>2.79</v>
      </c>
      <c r="E17" s="499">
        <v>1.395</v>
      </c>
      <c r="F17" s="500"/>
    </row>
    <row r="18" spans="2:6" ht="15">
      <c r="B18" s="498" t="s">
        <v>113</v>
      </c>
      <c r="C18" s="806">
        <v>2.6849484536082473</v>
      </c>
      <c r="D18" s="850">
        <v>1.8</v>
      </c>
      <c r="E18" s="499">
        <v>0.9</v>
      </c>
      <c r="F18" s="500"/>
    </row>
    <row r="19" spans="2:6" ht="15.75" thickBot="1">
      <c r="B19" s="502" t="s">
        <v>114</v>
      </c>
      <c r="C19" s="807">
        <v>4.0832323232323233</v>
      </c>
      <c r="D19" s="851">
        <v>1.24</v>
      </c>
      <c r="E19" s="503">
        <v>0.62</v>
      </c>
      <c r="F19" s="500"/>
    </row>
    <row r="20" spans="2:6" ht="15.75" thickTop="1">
      <c r="B20" s="504" t="s">
        <v>115</v>
      </c>
      <c r="C20" s="808">
        <v>21.905084069899321</v>
      </c>
      <c r="D20" s="852">
        <v>39.01</v>
      </c>
      <c r="E20" s="505">
        <v>19.504999999999999</v>
      </c>
      <c r="F20" s="492"/>
    </row>
    <row r="21" spans="2:6" ht="15">
      <c r="B21" s="506" t="s">
        <v>953</v>
      </c>
      <c r="C21" s="507"/>
      <c r="D21" s="508"/>
      <c r="E21" s="507"/>
      <c r="F21" s="492"/>
    </row>
    <row r="22" spans="2:6">
      <c r="B22" s="506" t="s">
        <v>954</v>
      </c>
    </row>
    <row r="24" spans="2:6" ht="19.5">
      <c r="B24" s="1583" t="s">
        <v>955</v>
      </c>
      <c r="C24" s="1583"/>
      <c r="D24" s="1583"/>
      <c r="E24" s="1583"/>
    </row>
    <row r="25" spans="2:6" ht="32.25">
      <c r="B25" s="1584" t="s">
        <v>585</v>
      </c>
      <c r="C25" s="494" t="s">
        <v>949</v>
      </c>
      <c r="D25" s="494" t="s">
        <v>950</v>
      </c>
      <c r="E25" s="494" t="s">
        <v>951</v>
      </c>
    </row>
    <row r="26" spans="2:6" ht="18">
      <c r="B26" s="1584"/>
      <c r="C26" s="496" t="s">
        <v>590</v>
      </c>
      <c r="D26" s="496" t="s">
        <v>591</v>
      </c>
      <c r="E26" s="496" t="s">
        <v>952</v>
      </c>
    </row>
    <row r="27" spans="2:6" ht="15">
      <c r="B27" s="509" t="s">
        <v>596</v>
      </c>
      <c r="C27" s="806">
        <v>4.5616000000000003</v>
      </c>
      <c r="D27" s="849">
        <v>0.93</v>
      </c>
      <c r="E27" s="499">
        <v>0.46500000000000002</v>
      </c>
    </row>
    <row r="28" spans="2:6" ht="15">
      <c r="B28" s="509" t="s">
        <v>597</v>
      </c>
      <c r="C28" s="806">
        <v>3.8450000000000002</v>
      </c>
      <c r="D28" s="850">
        <v>1.4</v>
      </c>
      <c r="E28" s="499">
        <v>0.7</v>
      </c>
    </row>
    <row r="29" spans="2:6" ht="15">
      <c r="B29" s="509" t="s">
        <v>598</v>
      </c>
      <c r="C29" s="806">
        <v>2.9074</v>
      </c>
      <c r="D29" s="850">
        <v>2.48</v>
      </c>
      <c r="E29" s="499">
        <v>1.24</v>
      </c>
    </row>
    <row r="30" spans="2:6" ht="15">
      <c r="B30" s="509" t="s">
        <v>599</v>
      </c>
      <c r="C30" s="806">
        <v>1.4120618556701032</v>
      </c>
      <c r="D30" s="850">
        <v>3.3</v>
      </c>
      <c r="E30" s="499">
        <v>1.65</v>
      </c>
    </row>
    <row r="31" spans="2:6" ht="15">
      <c r="B31" s="509" t="s">
        <v>600</v>
      </c>
      <c r="C31" s="806">
        <v>0.6282558139534884</v>
      </c>
      <c r="D31" s="850">
        <v>4.03</v>
      </c>
      <c r="E31" s="499">
        <v>2.0150000000000001</v>
      </c>
    </row>
    <row r="32" spans="2:6" ht="15">
      <c r="B32" s="509" t="s">
        <v>601</v>
      </c>
      <c r="C32" s="806">
        <v>0.22030303030303031</v>
      </c>
      <c r="D32" s="850">
        <v>4.5</v>
      </c>
      <c r="E32" s="499">
        <v>2.25</v>
      </c>
    </row>
    <row r="33" spans="2:5" ht="15">
      <c r="B33" s="509" t="s">
        <v>341</v>
      </c>
      <c r="C33" s="806">
        <v>4.9722222222222223E-2</v>
      </c>
      <c r="D33" s="850">
        <v>4.6500000000000004</v>
      </c>
      <c r="E33" s="499">
        <v>2.3250000000000002</v>
      </c>
    </row>
    <row r="34" spans="2:5" ht="15">
      <c r="B34" s="509" t="s">
        <v>342</v>
      </c>
      <c r="C34" s="806">
        <v>0.1076086956521739</v>
      </c>
      <c r="D34" s="850">
        <v>4.03</v>
      </c>
      <c r="E34" s="499">
        <v>2.0150000000000001</v>
      </c>
    </row>
    <row r="35" spans="2:5" ht="15">
      <c r="B35" s="509" t="s">
        <v>49</v>
      </c>
      <c r="C35" s="806">
        <v>0.37031249999999999</v>
      </c>
      <c r="D35" s="850">
        <v>3.3</v>
      </c>
      <c r="E35" s="499">
        <v>1.65</v>
      </c>
    </row>
    <row r="36" spans="2:5" ht="15">
      <c r="B36" s="509" t="s">
        <v>112</v>
      </c>
      <c r="C36" s="806">
        <v>1.034639175257732</v>
      </c>
      <c r="D36" s="850">
        <v>2.48</v>
      </c>
      <c r="E36" s="499">
        <v>1.24</v>
      </c>
    </row>
    <row r="37" spans="2:5" ht="15">
      <c r="B37" s="509" t="s">
        <v>113</v>
      </c>
      <c r="C37" s="806">
        <v>2.6849484536082473</v>
      </c>
      <c r="D37" s="850">
        <v>1.2</v>
      </c>
      <c r="E37" s="499">
        <v>0.6</v>
      </c>
    </row>
    <row r="38" spans="2:5" ht="15.75" thickBot="1">
      <c r="B38" s="510" t="s">
        <v>114</v>
      </c>
      <c r="C38" s="807">
        <v>4.0832323232323233</v>
      </c>
      <c r="D38" s="851">
        <v>0.62</v>
      </c>
      <c r="E38" s="503">
        <v>0.31</v>
      </c>
    </row>
    <row r="39" spans="2:5" ht="15.75" thickTop="1">
      <c r="B39" s="511" t="s">
        <v>115</v>
      </c>
      <c r="C39" s="808">
        <v>21.905084069899321</v>
      </c>
      <c r="D39" s="852">
        <v>32.92</v>
      </c>
      <c r="E39" s="505">
        <v>16.46</v>
      </c>
    </row>
    <row r="40" spans="2:5" ht="15">
      <c r="B40" s="506" t="s">
        <v>953</v>
      </c>
      <c r="C40" s="507"/>
      <c r="D40" s="508"/>
      <c r="E40" s="507"/>
    </row>
    <row r="41" spans="2:5">
      <c r="B41" s="506" t="s">
        <v>956</v>
      </c>
    </row>
  </sheetData>
  <mergeCells count="4">
    <mergeCell ref="B5:E5"/>
    <mergeCell ref="B6:B7"/>
    <mergeCell ref="B24:E24"/>
    <mergeCell ref="B25:B26"/>
  </mergeCells>
  <pageMargins left="0.7" right="0.7" top="0.75" bottom="0.75" header="0.3" footer="0.3"/>
  <pageSetup scale="71" orientation="landscape" r:id="rId1"/>
</worksheet>
</file>

<file path=xl/worksheets/sheet26.xml><?xml version="1.0" encoding="utf-8"?>
<worksheet xmlns="http://schemas.openxmlformats.org/spreadsheetml/2006/main" xmlns:r="http://schemas.openxmlformats.org/officeDocument/2006/relationships">
  <sheetPr>
    <tabColor theme="0" tint="-0.249977111117893"/>
  </sheetPr>
  <dimension ref="A1:P39"/>
  <sheetViews>
    <sheetView topLeftCell="E1" workbookViewId="0">
      <selection activeCell="M16" sqref="M16"/>
    </sheetView>
  </sheetViews>
  <sheetFormatPr defaultRowHeight="15"/>
  <cols>
    <col min="1" max="1" width="0" style="1209" hidden="1" customWidth="1"/>
    <col min="2" max="4" width="10.7109375" style="1209" hidden="1" customWidth="1"/>
    <col min="5" max="5" width="9.140625" style="1209"/>
    <col min="6" max="6" width="43" style="1209" customWidth="1"/>
    <col min="7" max="16" width="13.7109375" style="1209" customWidth="1"/>
    <col min="17" max="16384" width="9.140625" style="1209"/>
  </cols>
  <sheetData>
    <row r="1" spans="1:16" s="1164" customFormat="1" ht="26.25">
      <c r="A1" s="1161" t="s">
        <v>867</v>
      </c>
      <c r="B1" s="1162"/>
      <c r="C1" s="1162"/>
      <c r="D1" s="1162"/>
      <c r="E1" s="1161" t="s">
        <v>867</v>
      </c>
      <c r="G1" s="1163"/>
      <c r="H1" s="1163"/>
      <c r="I1" s="1163"/>
      <c r="J1" s="1163"/>
      <c r="K1" s="1163"/>
      <c r="L1" s="1163"/>
      <c r="M1" s="1163"/>
    </row>
    <row r="2" spans="1:16" s="1156" customFormat="1" ht="23.25">
      <c r="A2" s="1153" t="s">
        <v>947</v>
      </c>
      <c r="B2" s="1154"/>
      <c r="C2" s="1154"/>
      <c r="D2" s="1154"/>
      <c r="E2" s="1153" t="s">
        <v>1233</v>
      </c>
      <c r="G2" s="1155"/>
      <c r="H2" s="1155"/>
      <c r="I2" s="1155"/>
      <c r="J2" s="1155"/>
      <c r="K2" s="1155"/>
      <c r="L2" s="1155"/>
      <c r="M2" s="1155"/>
    </row>
    <row r="3" spans="1:16" ht="15.75" thickBot="1">
      <c r="B3" s="1210"/>
      <c r="C3" s="1210"/>
      <c r="D3" s="1211"/>
    </row>
    <row r="4" spans="1:16" ht="17.25">
      <c r="B4" s="1212" t="s">
        <v>605</v>
      </c>
      <c r="C4" s="1213"/>
      <c r="D4" s="1214"/>
      <c r="F4" s="920" t="s">
        <v>1217</v>
      </c>
      <c r="G4" s="1233">
        <f>'5. Outdoor Water Supply'!C19</f>
        <v>1</v>
      </c>
    </row>
    <row r="5" spans="1:16" ht="15.75" thickBot="1">
      <c r="B5" s="1215" t="s">
        <v>336</v>
      </c>
      <c r="C5" s="1216"/>
      <c r="D5" s="1217" t="s">
        <v>339</v>
      </c>
      <c r="F5" s="920" t="str">
        <f>'5. Outdoor Water Supply'!B20</f>
        <v>Average Runoff Coefficient</v>
      </c>
      <c r="G5" s="1234">
        <f>'5. Outdoor Water Supply'!C20</f>
        <v>0.85</v>
      </c>
    </row>
    <row r="6" spans="1:16">
      <c r="B6" s="1218" t="s">
        <v>174</v>
      </c>
      <c r="C6" s="1219" t="s">
        <v>175</v>
      </c>
      <c r="D6" s="1220" t="s">
        <v>175</v>
      </c>
      <c r="F6" s="920" t="s">
        <v>1154</v>
      </c>
      <c r="G6" s="1235">
        <f>'5. Outdoor Water Supply'!C22</f>
        <v>0.8</v>
      </c>
    </row>
    <row r="7" spans="1:16">
      <c r="B7" s="1221" t="s">
        <v>606</v>
      </c>
      <c r="C7" s="1121" t="s">
        <v>607</v>
      </c>
      <c r="D7" s="1222" t="s">
        <v>607</v>
      </c>
      <c r="F7" s="920" t="s">
        <v>1202</v>
      </c>
      <c r="G7" s="1233">
        <f>'7. Project Definition'!D49</f>
        <v>10000</v>
      </c>
    </row>
    <row r="8" spans="1:16">
      <c r="B8" s="1221">
        <v>0</v>
      </c>
      <c r="C8" s="1223">
        <v>0</v>
      </c>
      <c r="D8" s="1222">
        <v>0</v>
      </c>
      <c r="F8" s="920" t="s">
        <v>1203</v>
      </c>
      <c r="G8" s="1236">
        <f>$G$7/7.48/$G$5/$G$4*12</f>
        <v>18873.859704309529</v>
      </c>
    </row>
    <row r="9" spans="1:16">
      <c r="B9" s="1224">
        <v>0.03</v>
      </c>
      <c r="C9" s="1223">
        <v>0.06</v>
      </c>
      <c r="D9" s="1225">
        <v>6</v>
      </c>
      <c r="F9" s="920" t="s">
        <v>1204</v>
      </c>
      <c r="G9" s="1237">
        <f>VLOOKUP(G8,$B$8:$D$39,2)</f>
        <v>1</v>
      </c>
    </row>
    <row r="10" spans="1:16">
      <c r="B10" s="1221">
        <v>0.06</v>
      </c>
      <c r="C10" s="1223">
        <v>0.13</v>
      </c>
      <c r="D10" s="1222">
        <v>13</v>
      </c>
      <c r="F10" s="920" t="s">
        <v>1218</v>
      </c>
      <c r="G10" s="1237">
        <f>IF($H$28&gt;0,$M$28/$H$28,0)</f>
        <v>1</v>
      </c>
    </row>
    <row r="11" spans="1:16">
      <c r="B11" s="1221">
        <v>0.12</v>
      </c>
      <c r="C11" s="1223">
        <v>0.2823</v>
      </c>
      <c r="D11" s="1222">
        <v>28.23</v>
      </c>
    </row>
    <row r="12" spans="1:16">
      <c r="B12" s="1221">
        <v>0.24</v>
      </c>
      <c r="C12" s="1223">
        <v>0.49219999999999997</v>
      </c>
      <c r="D12" s="1222">
        <v>49.22</v>
      </c>
    </row>
    <row r="13" spans="1:16">
      <c r="B13" s="1221">
        <v>0.36</v>
      </c>
      <c r="C13" s="1223">
        <v>0.64579999999999993</v>
      </c>
      <c r="D13" s="1222">
        <v>64.58</v>
      </c>
      <c r="F13" s="954" t="s">
        <v>1205</v>
      </c>
      <c r="G13" s="1226"/>
      <c r="H13" s="1167"/>
      <c r="I13" s="1167"/>
      <c r="J13" s="1167"/>
      <c r="K13" s="1167"/>
      <c r="L13" s="1167"/>
      <c r="M13" s="1167"/>
      <c r="N13" s="1167"/>
      <c r="O13" s="1167"/>
    </row>
    <row r="14" spans="1:16" ht="30" customHeight="1">
      <c r="B14" s="1221">
        <v>0.48</v>
      </c>
      <c r="C14" s="1223">
        <v>0.75709999999999988</v>
      </c>
      <c r="D14" s="1222">
        <v>75.709999999999994</v>
      </c>
      <c r="F14" s="1585" t="s">
        <v>585</v>
      </c>
      <c r="G14" s="1125" t="s">
        <v>1215</v>
      </c>
      <c r="H14" s="1125" t="s">
        <v>1216</v>
      </c>
      <c r="I14" s="1587" t="s">
        <v>1213</v>
      </c>
      <c r="J14" s="1587"/>
      <c r="K14" s="1587"/>
      <c r="L14" s="1125" t="s">
        <v>1206</v>
      </c>
      <c r="M14" s="1125" t="s">
        <v>1207</v>
      </c>
      <c r="N14" s="1125" t="s">
        <v>1208</v>
      </c>
      <c r="O14" s="1125" t="s">
        <v>1209</v>
      </c>
      <c r="P14" s="1229" t="s">
        <v>1220</v>
      </c>
    </row>
    <row r="15" spans="1:16" ht="17.25">
      <c r="B15" s="1221">
        <v>0.60000000000000009</v>
      </c>
      <c r="C15" s="1223">
        <v>0.83450000000000002</v>
      </c>
      <c r="D15" s="1222">
        <v>83.45</v>
      </c>
      <c r="F15" s="1586"/>
      <c r="G15" s="1241" t="s">
        <v>1219</v>
      </c>
      <c r="H15" s="1241" t="s">
        <v>1212</v>
      </c>
      <c r="I15" s="1241" t="s">
        <v>1188</v>
      </c>
      <c r="J15" s="1241" t="s">
        <v>1210</v>
      </c>
      <c r="K15" s="1241" t="s">
        <v>473</v>
      </c>
      <c r="L15" s="1241" t="s">
        <v>1211</v>
      </c>
      <c r="M15" s="1241" t="s">
        <v>1214</v>
      </c>
      <c r="N15" s="1241" t="s">
        <v>1214</v>
      </c>
      <c r="O15" s="1241" t="s">
        <v>1214</v>
      </c>
      <c r="P15" s="1242" t="s">
        <v>1214</v>
      </c>
    </row>
    <row r="16" spans="1:16">
      <c r="B16" s="1221">
        <v>0.72</v>
      </c>
      <c r="C16" s="1223">
        <v>0.88780000000000003</v>
      </c>
      <c r="D16" s="1222">
        <v>88.78</v>
      </c>
      <c r="F16" s="1192" t="s">
        <v>49</v>
      </c>
      <c r="G16" s="1193">
        <f>'5. Outdoor Water Supply'!C34</f>
        <v>0.37031249999999999</v>
      </c>
      <c r="H16" s="1188">
        <f>'5. Outdoor Water Supply'!E34</f>
        <v>0.15696312499999998</v>
      </c>
      <c r="I16" s="1188">
        <f>'7. Project Definition'!N$28</f>
        <v>1.6343020833333335</v>
      </c>
      <c r="J16" s="1188">
        <f>'7. Project Definition'!N$26</f>
        <v>2230.666666666667</v>
      </c>
      <c r="K16" s="1188">
        <f>I16+J16</f>
        <v>2232.3009687500003</v>
      </c>
      <c r="L16" s="1188">
        <f>IF(P16&lt;0,0,IF(P16&gt;$G$7,$G$7,P16))</f>
        <v>0</v>
      </c>
      <c r="M16" s="1188">
        <f>IF(K16&gt;H16*$G$9,H16*$G$9,L56-0+K16)</f>
        <v>0.15696312499999998</v>
      </c>
      <c r="N16" s="1188">
        <f>IF(H16*$G$9+0&gt;K16,K16,H16*$G$9+0)</f>
        <v>0.15696312499999998</v>
      </c>
      <c r="O16" s="1188">
        <f>IF(H16&gt;K16,H16-K16-0,0)</f>
        <v>0</v>
      </c>
      <c r="P16" s="1198">
        <f>0+H16*$G$9-K16</f>
        <v>-2232.1440056250003</v>
      </c>
    </row>
    <row r="17" spans="2:16">
      <c r="B17" s="1221">
        <v>0.84000000000000008</v>
      </c>
      <c r="C17" s="1223">
        <v>0.92510000000000003</v>
      </c>
      <c r="D17" s="1222">
        <v>92.51</v>
      </c>
      <c r="F17" s="1192" t="s">
        <v>112</v>
      </c>
      <c r="G17" s="1193">
        <f>'5. Outdoor Water Supply'!C35</f>
        <v>1.034639175257732</v>
      </c>
      <c r="H17" s="1188">
        <f>'5. Outdoor Water Supply'!E35</f>
        <v>0.43854905841924402</v>
      </c>
      <c r="I17" s="1188">
        <f>'7. Project Definition'!O$28</f>
        <v>0.6360499045437189</v>
      </c>
      <c r="J17" s="1188">
        <f>'7. Project Definition'!O$26</f>
        <v>2230.666666666667</v>
      </c>
      <c r="K17" s="1188">
        <f t="shared" ref="K17:K27" si="0">I17+J17</f>
        <v>2231.3027165712106</v>
      </c>
      <c r="L17" s="1188">
        <f t="shared" ref="L17:L27" si="1">IF(P17&lt;0,0,IF(P17&gt;$G$7,$G$7,P17))</f>
        <v>0</v>
      </c>
      <c r="M17" s="1188">
        <f t="shared" ref="M17:M27" si="2">IF(K17&gt;H17*$G$9,H17*$G$9,L57-0+K17)</f>
        <v>0.43854905841924402</v>
      </c>
      <c r="N17" s="1188">
        <f t="shared" ref="N17:N27" si="3">IF(H17*$G$9+0&gt;K17,K17,H17*$G$9+0)</f>
        <v>0.43854905841924402</v>
      </c>
      <c r="O17" s="1188">
        <f t="shared" ref="O17:O27" si="4">IF(H17&gt;K17,H17-K17-0,0)</f>
        <v>0</v>
      </c>
      <c r="P17" s="1198">
        <f t="shared" ref="P17:P27" si="5">0+H17*$G$9-K17</f>
        <v>-2230.8641675127915</v>
      </c>
    </row>
    <row r="18" spans="2:16">
      <c r="B18" s="1221">
        <v>0.96</v>
      </c>
      <c r="C18" s="1223">
        <v>0.95019999999999993</v>
      </c>
      <c r="D18" s="1222">
        <v>95.02</v>
      </c>
      <c r="F18" s="1192" t="s">
        <v>113</v>
      </c>
      <c r="G18" s="1193">
        <f>'5. Outdoor Water Supply'!C36</f>
        <v>2.6849484536082473</v>
      </c>
      <c r="H18" s="1188">
        <f>'5. Outdoor Water Supply'!E36</f>
        <v>1.1380601512027493</v>
      </c>
      <c r="I18" s="1188">
        <f>'7. Project Definition'!P$28</f>
        <v>0</v>
      </c>
      <c r="J18" s="1188">
        <f>'7. Project Definition'!P$26</f>
        <v>2230.666666666667</v>
      </c>
      <c r="K18" s="1188">
        <f t="shared" si="0"/>
        <v>2230.666666666667</v>
      </c>
      <c r="L18" s="1188">
        <f t="shared" si="1"/>
        <v>0</v>
      </c>
      <c r="M18" s="1188">
        <f t="shared" si="2"/>
        <v>1.1380601512027493</v>
      </c>
      <c r="N18" s="1188">
        <f t="shared" si="3"/>
        <v>1.1380601512027493</v>
      </c>
      <c r="O18" s="1188">
        <f t="shared" si="4"/>
        <v>0</v>
      </c>
      <c r="P18" s="1198">
        <f t="shared" si="5"/>
        <v>-2229.5286065154642</v>
      </c>
    </row>
    <row r="19" spans="2:16">
      <c r="B19" s="1221">
        <v>1.08</v>
      </c>
      <c r="C19" s="1223">
        <v>0.96629999999999994</v>
      </c>
      <c r="D19" s="1222">
        <v>96.63</v>
      </c>
      <c r="F19" s="1192" t="s">
        <v>114</v>
      </c>
      <c r="G19" s="1193">
        <f>'5. Outdoor Water Supply'!C37</f>
        <v>4.0832323232323233</v>
      </c>
      <c r="H19" s="1188">
        <f>'5. Outdoor Water Supply'!E37</f>
        <v>1.7307460740740741</v>
      </c>
      <c r="I19" s="1188">
        <f>'7. Project Definition'!Q$28</f>
        <v>0</v>
      </c>
      <c r="J19" s="1188">
        <f>'7. Project Definition'!Q$26</f>
        <v>2230.666666666667</v>
      </c>
      <c r="K19" s="1188">
        <f t="shared" si="0"/>
        <v>2230.666666666667</v>
      </c>
      <c r="L19" s="1188">
        <f t="shared" si="1"/>
        <v>0</v>
      </c>
      <c r="M19" s="1188">
        <f t="shared" si="2"/>
        <v>1.7307460740740741</v>
      </c>
      <c r="N19" s="1188">
        <f t="shared" si="3"/>
        <v>1.7307460740740741</v>
      </c>
      <c r="O19" s="1188">
        <f t="shared" si="4"/>
        <v>0</v>
      </c>
      <c r="P19" s="1198">
        <f t="shared" si="5"/>
        <v>-2228.935920592593</v>
      </c>
    </row>
    <row r="20" spans="2:16">
      <c r="B20" s="1221">
        <v>1.2000000000000002</v>
      </c>
      <c r="C20" s="1223">
        <v>0.97739999999999994</v>
      </c>
      <c r="D20" s="1222">
        <v>97.74</v>
      </c>
      <c r="F20" s="1192" t="s">
        <v>596</v>
      </c>
      <c r="G20" s="1193">
        <f>'5. Outdoor Water Supply'!C26</f>
        <v>4.5616000000000003</v>
      </c>
      <c r="H20" s="1188">
        <f>'5. Outdoor Water Supply'!E26</f>
        <v>1.9335101866666671</v>
      </c>
      <c r="I20" s="1188">
        <f>'7. Project Definition'!F$28</f>
        <v>0</v>
      </c>
      <c r="J20" s="1188">
        <f>'7. Project Definition'!F$26</f>
        <v>2230.666666666667</v>
      </c>
      <c r="K20" s="1188">
        <f t="shared" si="0"/>
        <v>2230.666666666667</v>
      </c>
      <c r="L20" s="1188">
        <f t="shared" si="1"/>
        <v>0</v>
      </c>
      <c r="M20" s="1188">
        <f t="shared" si="2"/>
        <v>1.9335101866666671</v>
      </c>
      <c r="N20" s="1188">
        <f t="shared" si="3"/>
        <v>1.9335101866666671</v>
      </c>
      <c r="O20" s="1188">
        <f t="shared" si="4"/>
        <v>0</v>
      </c>
      <c r="P20" s="1198">
        <f t="shared" si="5"/>
        <v>-2228.7331564800002</v>
      </c>
    </row>
    <row r="21" spans="2:16">
      <c r="B21" s="1221">
        <v>1.32</v>
      </c>
      <c r="C21" s="1223">
        <v>0.98459999999999992</v>
      </c>
      <c r="D21" s="1222">
        <v>98.46</v>
      </c>
      <c r="F21" s="1192" t="s">
        <v>597</v>
      </c>
      <c r="G21" s="1193">
        <f>'5. Outdoor Water Supply'!C27</f>
        <v>3.8450000000000002</v>
      </c>
      <c r="H21" s="1188">
        <f>'5. Outdoor Water Supply'!E27</f>
        <v>1.6297673333333336</v>
      </c>
      <c r="I21" s="1188">
        <f>'7. Project Definition'!G$28</f>
        <v>0</v>
      </c>
      <c r="J21" s="1188">
        <f>'7. Project Definition'!G$26</f>
        <v>2230.666666666667</v>
      </c>
      <c r="K21" s="1188">
        <f t="shared" si="0"/>
        <v>2230.666666666667</v>
      </c>
      <c r="L21" s="1188">
        <f t="shared" si="1"/>
        <v>0</v>
      </c>
      <c r="M21" s="1188">
        <f t="shared" si="2"/>
        <v>1.6297673333333336</v>
      </c>
      <c r="N21" s="1188">
        <f t="shared" si="3"/>
        <v>1.6297673333333336</v>
      </c>
      <c r="O21" s="1188">
        <f t="shared" si="4"/>
        <v>0</v>
      </c>
      <c r="P21" s="1198">
        <f t="shared" si="5"/>
        <v>-2229.0368993333336</v>
      </c>
    </row>
    <row r="22" spans="2:16">
      <c r="B22" s="1221">
        <v>1.44</v>
      </c>
      <c r="C22" s="1223">
        <v>0.98919999999999997</v>
      </c>
      <c r="D22" s="1222">
        <v>98.92</v>
      </c>
      <c r="F22" s="1192" t="s">
        <v>598</v>
      </c>
      <c r="G22" s="1193">
        <f>'5. Outdoor Water Supply'!C28</f>
        <v>2.9074</v>
      </c>
      <c r="H22" s="1188">
        <f>'5. Outdoor Water Supply'!E28</f>
        <v>1.2323499466666668</v>
      </c>
      <c r="I22" s="1188">
        <f>'7. Project Definition'!H$28</f>
        <v>0</v>
      </c>
      <c r="J22" s="1188">
        <f>'7. Project Definition'!H$26</f>
        <v>2230.666666666667</v>
      </c>
      <c r="K22" s="1188">
        <f t="shared" si="0"/>
        <v>2230.666666666667</v>
      </c>
      <c r="L22" s="1188">
        <f t="shared" si="1"/>
        <v>0</v>
      </c>
      <c r="M22" s="1188">
        <f t="shared" si="2"/>
        <v>1.2323499466666668</v>
      </c>
      <c r="N22" s="1188">
        <f t="shared" si="3"/>
        <v>1.2323499466666668</v>
      </c>
      <c r="O22" s="1188">
        <f t="shared" si="4"/>
        <v>0</v>
      </c>
      <c r="P22" s="1198">
        <f t="shared" si="5"/>
        <v>-2229.4343167200004</v>
      </c>
    </row>
    <row r="23" spans="2:16">
      <c r="B23" s="1221">
        <v>1.56</v>
      </c>
      <c r="C23" s="1223">
        <v>0.99230000000000007</v>
      </c>
      <c r="D23" s="1222">
        <v>99.23</v>
      </c>
      <c r="F23" s="1192" t="s">
        <v>599</v>
      </c>
      <c r="G23" s="1193">
        <f>'5. Outdoor Water Supply'!C29</f>
        <v>1.4120618556701032</v>
      </c>
      <c r="H23" s="1188">
        <f>'5. Outdoor Water Supply'!E29</f>
        <v>0.59852595189003444</v>
      </c>
      <c r="I23" s="1188">
        <f>'7. Project Definition'!I$28</f>
        <v>0.91279419625811375</v>
      </c>
      <c r="J23" s="1188">
        <f>'7. Project Definition'!I$26</f>
        <v>2230.666666666667</v>
      </c>
      <c r="K23" s="1188">
        <f t="shared" si="0"/>
        <v>2231.5794608629249</v>
      </c>
      <c r="L23" s="1188">
        <f t="shared" si="1"/>
        <v>0</v>
      </c>
      <c r="M23" s="1188">
        <f t="shared" si="2"/>
        <v>0.59852595189003444</v>
      </c>
      <c r="N23" s="1188">
        <f t="shared" si="3"/>
        <v>0.59852595189003444</v>
      </c>
      <c r="O23" s="1188">
        <f t="shared" si="4"/>
        <v>0</v>
      </c>
      <c r="P23" s="1198">
        <f t="shared" si="5"/>
        <v>-2230.9809349110346</v>
      </c>
    </row>
    <row r="24" spans="2:16">
      <c r="B24" s="1221">
        <v>1.6800000000000002</v>
      </c>
      <c r="C24" s="1223">
        <v>0.99480000000000002</v>
      </c>
      <c r="D24" s="1222">
        <v>99.48</v>
      </c>
      <c r="F24" s="1192" t="s">
        <v>600</v>
      </c>
      <c r="G24" s="1193">
        <f>'5. Outdoor Water Supply'!C30</f>
        <v>0.6282558139534884</v>
      </c>
      <c r="H24" s="1188">
        <f>'5. Outdoor Water Supply'!E30</f>
        <v>0.26629669767441866</v>
      </c>
      <c r="I24" s="1188">
        <f>'7. Project Definition'!J$28</f>
        <v>1.8192635658914729</v>
      </c>
      <c r="J24" s="1188">
        <f>'7. Project Definition'!J$26</f>
        <v>2230.666666666667</v>
      </c>
      <c r="K24" s="1188">
        <f t="shared" si="0"/>
        <v>2232.4859302325585</v>
      </c>
      <c r="L24" s="1188">
        <f t="shared" si="1"/>
        <v>0</v>
      </c>
      <c r="M24" s="1188">
        <f t="shared" si="2"/>
        <v>0.26629669767441866</v>
      </c>
      <c r="N24" s="1188">
        <f t="shared" si="3"/>
        <v>0.26629669767441866</v>
      </c>
      <c r="O24" s="1188">
        <f t="shared" si="4"/>
        <v>0</v>
      </c>
      <c r="P24" s="1198">
        <f t="shared" si="5"/>
        <v>-2232.219633534884</v>
      </c>
    </row>
    <row r="25" spans="2:16">
      <c r="B25" s="1221">
        <v>1.7999999999999998</v>
      </c>
      <c r="C25" s="1223">
        <v>0.99629999999999996</v>
      </c>
      <c r="D25" s="1222">
        <v>99.63</v>
      </c>
      <c r="F25" s="1192" t="s">
        <v>601</v>
      </c>
      <c r="G25" s="1193">
        <f>'5. Outdoor Water Supply'!C31</f>
        <v>0.22030303030303031</v>
      </c>
      <c r="H25" s="1188">
        <f>'5. Outdoor Water Supply'!E31</f>
        <v>9.3379111111111121E-2</v>
      </c>
      <c r="I25" s="1188">
        <f>'7. Project Definition'!K$28</f>
        <v>2.319975308641975</v>
      </c>
      <c r="J25" s="1188">
        <f>'7. Project Definition'!K$26</f>
        <v>2230.666666666667</v>
      </c>
      <c r="K25" s="1188">
        <f t="shared" si="0"/>
        <v>2232.9866419753089</v>
      </c>
      <c r="L25" s="1188">
        <f t="shared" si="1"/>
        <v>0</v>
      </c>
      <c r="M25" s="1188">
        <f t="shared" si="2"/>
        <v>9.3379111111111121E-2</v>
      </c>
      <c r="N25" s="1188">
        <f t="shared" si="3"/>
        <v>9.3379111111111121E-2</v>
      </c>
      <c r="O25" s="1188">
        <f t="shared" si="4"/>
        <v>0</v>
      </c>
      <c r="P25" s="1198">
        <f t="shared" si="5"/>
        <v>-2232.8932628641978</v>
      </c>
    </row>
    <row r="26" spans="2:16">
      <c r="B26" s="1221">
        <v>1.92</v>
      </c>
      <c r="C26" s="1223">
        <v>0.99719999999999998</v>
      </c>
      <c r="D26" s="1222">
        <v>99.72</v>
      </c>
      <c r="F26" s="1192" t="s">
        <v>341</v>
      </c>
      <c r="G26" s="1193">
        <f>'5. Outdoor Water Supply'!C32</f>
        <v>4.9722222222222223E-2</v>
      </c>
      <c r="H26" s="1188">
        <f>'5. Outdoor Water Supply'!E32</f>
        <v>2.1075592592592597E-2</v>
      </c>
      <c r="I26" s="1188">
        <f>'7. Project Definition'!L$28</f>
        <v>2.3702442386831275</v>
      </c>
      <c r="J26" s="1188">
        <f>'7. Project Definition'!L$26</f>
        <v>2230.666666666667</v>
      </c>
      <c r="K26" s="1188">
        <f t="shared" si="0"/>
        <v>2233.0369109053499</v>
      </c>
      <c r="L26" s="1188">
        <f t="shared" si="1"/>
        <v>0</v>
      </c>
      <c r="M26" s="1188">
        <f t="shared" si="2"/>
        <v>2.1075592592592597E-2</v>
      </c>
      <c r="N26" s="1188">
        <f t="shared" si="3"/>
        <v>2.1075592592592597E-2</v>
      </c>
      <c r="O26" s="1188">
        <f t="shared" si="4"/>
        <v>0</v>
      </c>
      <c r="P26" s="1198">
        <f t="shared" si="5"/>
        <v>-2233.0158353127572</v>
      </c>
    </row>
    <row r="27" spans="2:16" ht="15.75" thickBot="1">
      <c r="B27" s="1221">
        <v>2.04</v>
      </c>
      <c r="C27" s="1223">
        <v>0.99769999999999992</v>
      </c>
      <c r="D27" s="1222">
        <v>99.77</v>
      </c>
      <c r="F27" s="1194" t="s">
        <v>342</v>
      </c>
      <c r="G27" s="1195">
        <f>'5. Outdoor Water Supply'!C33</f>
        <v>0.1076086956521739</v>
      </c>
      <c r="H27" s="1190">
        <f>'5. Outdoor Water Supply'!E33</f>
        <v>4.5611739130434779E-2</v>
      </c>
      <c r="I27" s="1190">
        <f>'7. Project Definition'!M$28</f>
        <v>2.1798599033816428</v>
      </c>
      <c r="J27" s="1190">
        <f>'7. Project Definition'!M$26</f>
        <v>2230.666666666667</v>
      </c>
      <c r="K27" s="1190">
        <f t="shared" si="0"/>
        <v>2232.8465265700488</v>
      </c>
      <c r="L27" s="1190">
        <f t="shared" si="1"/>
        <v>0</v>
      </c>
      <c r="M27" s="1190">
        <f t="shared" si="2"/>
        <v>4.5611739130434779E-2</v>
      </c>
      <c r="N27" s="1190">
        <f t="shared" si="3"/>
        <v>4.5611739130434779E-2</v>
      </c>
      <c r="O27" s="1190">
        <f t="shared" si="4"/>
        <v>0</v>
      </c>
      <c r="P27" s="1199">
        <f t="shared" si="5"/>
        <v>-2232.8009148309184</v>
      </c>
    </row>
    <row r="28" spans="2:16" ht="15.75" thickTop="1">
      <c r="B28" s="1221">
        <v>2.16</v>
      </c>
      <c r="C28" s="1223">
        <v>0.998</v>
      </c>
      <c r="D28" s="1222">
        <v>99.8</v>
      </c>
      <c r="F28" s="922" t="s">
        <v>115</v>
      </c>
      <c r="G28" s="1232">
        <f>SUM(G16:G27)</f>
        <v>21.905084069899317</v>
      </c>
      <c r="H28" s="1143">
        <f t="shared" ref="H28:P28" si="6">SUM(H16:H27)</f>
        <v>9.2848349677613271</v>
      </c>
      <c r="I28" s="1143">
        <f t="shared" si="6"/>
        <v>11.872489200733384</v>
      </c>
      <c r="J28" s="1143">
        <f t="shared" si="6"/>
        <v>26768.000000000011</v>
      </c>
      <c r="K28" s="1143">
        <f t="shared" si="6"/>
        <v>26779.872489200745</v>
      </c>
      <c r="L28" s="1143">
        <f t="shared" si="6"/>
        <v>0</v>
      </c>
      <c r="M28" s="1143">
        <f t="shared" si="6"/>
        <v>9.2848349677613271</v>
      </c>
      <c r="N28" s="1143">
        <v>0</v>
      </c>
      <c r="O28" s="1143">
        <f t="shared" si="6"/>
        <v>0</v>
      </c>
      <c r="P28" s="1143">
        <f t="shared" si="6"/>
        <v>-26770.587654232975</v>
      </c>
    </row>
    <row r="29" spans="2:16">
      <c r="B29" s="1221">
        <v>2.2800000000000002</v>
      </c>
      <c r="C29" s="1223">
        <v>0.99819999999999998</v>
      </c>
      <c r="D29" s="1222">
        <v>99.82</v>
      </c>
    </row>
    <row r="30" spans="2:16">
      <c r="B30" s="1221">
        <v>2.4000000000000004</v>
      </c>
      <c r="C30" s="1223">
        <v>0.99849999999999994</v>
      </c>
      <c r="D30" s="1222">
        <v>99.85</v>
      </c>
    </row>
    <row r="31" spans="2:16">
      <c r="B31" s="1221">
        <v>2.52</v>
      </c>
      <c r="C31" s="1223">
        <v>0.99870000000000003</v>
      </c>
      <c r="D31" s="1222">
        <v>99.87</v>
      </c>
    </row>
    <row r="32" spans="2:16">
      <c r="B32" s="1221">
        <v>2.64</v>
      </c>
      <c r="C32" s="1223">
        <v>0.99890000000000001</v>
      </c>
      <c r="D32" s="1222">
        <v>99.89</v>
      </c>
    </row>
    <row r="33" spans="2:4">
      <c r="B33" s="1221">
        <v>2.7600000000000002</v>
      </c>
      <c r="C33" s="1223">
        <v>0.99919999999999998</v>
      </c>
      <c r="D33" s="1222">
        <v>99.92</v>
      </c>
    </row>
    <row r="34" spans="2:4">
      <c r="B34" s="1221">
        <v>2.88</v>
      </c>
      <c r="C34" s="1223">
        <v>0.99939999999999996</v>
      </c>
      <c r="D34" s="1222">
        <v>99.94</v>
      </c>
    </row>
    <row r="35" spans="2:4">
      <c r="B35" s="1221">
        <v>3</v>
      </c>
      <c r="C35" s="1223">
        <v>0.99959999999999993</v>
      </c>
      <c r="D35" s="1222">
        <v>99.96</v>
      </c>
    </row>
    <row r="36" spans="2:4">
      <c r="B36" s="1221">
        <v>3.12</v>
      </c>
      <c r="C36" s="1223">
        <v>0.99980000000000002</v>
      </c>
      <c r="D36" s="1222">
        <v>99.98</v>
      </c>
    </row>
    <row r="37" spans="2:4">
      <c r="B37" s="1221">
        <v>3.24</v>
      </c>
      <c r="C37" s="1223">
        <v>0.9998999999999999</v>
      </c>
      <c r="D37" s="1222">
        <v>99.99</v>
      </c>
    </row>
    <row r="38" spans="2:4">
      <c r="B38" s="1221">
        <v>3.3600000000000003</v>
      </c>
      <c r="C38" s="1223">
        <v>1</v>
      </c>
      <c r="D38" s="1222">
        <v>100</v>
      </c>
    </row>
    <row r="39" spans="2:4" ht="15.75" thickBot="1">
      <c r="B39" s="1227">
        <v>3.4799999999999995</v>
      </c>
      <c r="C39" s="1228">
        <v>1</v>
      </c>
      <c r="D39" s="1217">
        <v>100</v>
      </c>
    </row>
  </sheetData>
  <mergeCells count="2">
    <mergeCell ref="F14:F15"/>
    <mergeCell ref="I14:K14"/>
  </mergeCells>
  <pageMargins left="0.7" right="0.7" top="0.75" bottom="0.75" header="0.3" footer="0.3"/>
</worksheet>
</file>

<file path=xl/worksheets/sheet27.xml><?xml version="1.0" encoding="utf-8"?>
<worksheet xmlns="http://schemas.openxmlformats.org/spreadsheetml/2006/main" xmlns:r="http://schemas.openxmlformats.org/officeDocument/2006/relationships">
  <sheetPr>
    <tabColor theme="0" tint="-0.249977111117893"/>
  </sheetPr>
  <dimension ref="A1:P39"/>
  <sheetViews>
    <sheetView topLeftCell="E1" workbookViewId="0">
      <selection activeCell="P29" sqref="P29"/>
    </sheetView>
  </sheetViews>
  <sheetFormatPr defaultRowHeight="15"/>
  <cols>
    <col min="1" max="1" width="0" style="1209" hidden="1" customWidth="1"/>
    <col min="2" max="4" width="10.7109375" style="1209" hidden="1" customWidth="1"/>
    <col min="5" max="5" width="9.140625" style="1209"/>
    <col min="6" max="6" width="48.42578125" style="1209" customWidth="1"/>
    <col min="7" max="16" width="13.7109375" style="1209" customWidth="1"/>
    <col min="17" max="16384" width="9.140625" style="1209"/>
  </cols>
  <sheetData>
    <row r="1" spans="1:16" s="1164" customFormat="1" ht="26.25">
      <c r="A1" s="1161" t="s">
        <v>867</v>
      </c>
      <c r="B1" s="1162"/>
      <c r="C1" s="1162"/>
      <c r="D1" s="1162"/>
      <c r="E1" s="1161" t="s">
        <v>867</v>
      </c>
      <c r="G1" s="1163"/>
      <c r="H1" s="1163"/>
      <c r="I1" s="1163"/>
      <c r="J1" s="1163"/>
      <c r="K1" s="1163"/>
      <c r="L1" s="1163"/>
      <c r="M1" s="1163"/>
    </row>
    <row r="2" spans="1:16" s="1156" customFormat="1" ht="23.25">
      <c r="A2" s="1153" t="s">
        <v>947</v>
      </c>
      <c r="B2" s="1154"/>
      <c r="C2" s="1154"/>
      <c r="D2" s="1154"/>
      <c r="E2" s="1153" t="s">
        <v>1234</v>
      </c>
      <c r="G2" s="1155"/>
      <c r="H2" s="1155"/>
      <c r="I2" s="1155"/>
      <c r="J2" s="1155"/>
      <c r="K2" s="1155"/>
      <c r="L2" s="1155"/>
      <c r="M2" s="1155"/>
    </row>
    <row r="3" spans="1:16" ht="15.75" thickBot="1">
      <c r="B3" s="1210"/>
      <c r="C3" s="1210"/>
      <c r="D3" s="1211"/>
    </row>
    <row r="4" spans="1:16" ht="17.25">
      <c r="B4" s="1212" t="s">
        <v>605</v>
      </c>
      <c r="C4" s="1213"/>
      <c r="D4" s="1214"/>
      <c r="F4" s="920" t="s">
        <v>1221</v>
      </c>
      <c r="G4" s="1238">
        <f>'5. Outdoor Water Supply'!C52</f>
        <v>1</v>
      </c>
    </row>
    <row r="5" spans="1:16" ht="15.75" thickBot="1">
      <c r="B5" s="1215" t="s">
        <v>336</v>
      </c>
      <c r="C5" s="1216"/>
      <c r="D5" s="1217" t="s">
        <v>339</v>
      </c>
      <c r="F5" s="920" t="str">
        <f>'5. Outdoor Water Supply'!B20</f>
        <v>Average Runoff Coefficient</v>
      </c>
      <c r="G5" s="1239">
        <f>'5. Outdoor Water Supply'!C53</f>
        <v>0.9</v>
      </c>
    </row>
    <row r="6" spans="1:16">
      <c r="B6" s="1218" t="s">
        <v>174</v>
      </c>
      <c r="C6" s="1219" t="s">
        <v>175</v>
      </c>
      <c r="D6" s="1220" t="s">
        <v>175</v>
      </c>
      <c r="F6" s="920" t="s">
        <v>1154</v>
      </c>
      <c r="G6" s="1240">
        <f>'5. Outdoor Water Supply'!C55</f>
        <v>0.8</v>
      </c>
    </row>
    <row r="7" spans="1:16">
      <c r="B7" s="1221" t="s">
        <v>606</v>
      </c>
      <c r="C7" s="1121" t="s">
        <v>607</v>
      </c>
      <c r="D7" s="1222" t="s">
        <v>607</v>
      </c>
      <c r="F7" s="920" t="s">
        <v>1202</v>
      </c>
      <c r="G7" s="1238">
        <f>'7. Project Definition'!D50</f>
        <v>10000</v>
      </c>
    </row>
    <row r="8" spans="1:16">
      <c r="B8" s="1221">
        <v>0</v>
      </c>
      <c r="C8" s="1223">
        <v>0</v>
      </c>
      <c r="D8" s="1222">
        <v>0</v>
      </c>
      <c r="F8" s="920" t="s">
        <v>1203</v>
      </c>
      <c r="G8" s="1236">
        <f>$G$7/7.48/$G$5/$G$4*12</f>
        <v>17825.311942959001</v>
      </c>
    </row>
    <row r="9" spans="1:16">
      <c r="B9" s="1224">
        <v>0.03</v>
      </c>
      <c r="C9" s="1223">
        <v>0.06</v>
      </c>
      <c r="D9" s="1225">
        <v>6</v>
      </c>
      <c r="F9" s="920" t="s">
        <v>1204</v>
      </c>
      <c r="G9" s="1237">
        <f>VLOOKUP(G8,$B$8:$D$39,2)</f>
        <v>1</v>
      </c>
    </row>
    <row r="10" spans="1:16">
      <c r="B10" s="1221">
        <v>0.06</v>
      </c>
      <c r="C10" s="1223">
        <v>0.13</v>
      </c>
      <c r="D10" s="1222">
        <v>13</v>
      </c>
      <c r="F10" s="920" t="s">
        <v>1218</v>
      </c>
      <c r="G10" s="1237">
        <f>IF($H$28&gt;0,$M$28/$H$28,0)</f>
        <v>1</v>
      </c>
    </row>
    <row r="11" spans="1:16">
      <c r="B11" s="1221">
        <v>0.12</v>
      </c>
      <c r="C11" s="1223">
        <v>0.2823</v>
      </c>
      <c r="D11" s="1222">
        <v>28.23</v>
      </c>
    </row>
    <row r="12" spans="1:16">
      <c r="B12" s="1221">
        <v>0.24</v>
      </c>
      <c r="C12" s="1223">
        <v>0.49219999999999997</v>
      </c>
      <c r="D12" s="1222">
        <v>49.22</v>
      </c>
    </row>
    <row r="13" spans="1:16">
      <c r="B13" s="1221">
        <v>0.36</v>
      </c>
      <c r="C13" s="1223">
        <v>0.64579999999999993</v>
      </c>
      <c r="D13" s="1222">
        <v>64.58</v>
      </c>
      <c r="F13" s="954" t="s">
        <v>1205</v>
      </c>
      <c r="G13" s="1226"/>
      <c r="H13" s="1167"/>
      <c r="I13" s="1167"/>
      <c r="J13" s="1167"/>
      <c r="K13" s="1167"/>
      <c r="L13" s="1167"/>
      <c r="M13" s="1167"/>
      <c r="N13" s="1167"/>
      <c r="O13" s="1167"/>
    </row>
    <row r="14" spans="1:16" ht="30" customHeight="1">
      <c r="B14" s="1221">
        <v>0.48</v>
      </c>
      <c r="C14" s="1223">
        <v>0.75709999999999988</v>
      </c>
      <c r="D14" s="1222">
        <v>75.709999999999994</v>
      </c>
      <c r="F14" s="1585" t="s">
        <v>585</v>
      </c>
      <c r="G14" s="1125" t="s">
        <v>1215</v>
      </c>
      <c r="H14" s="1125" t="s">
        <v>1216</v>
      </c>
      <c r="I14" s="1587" t="s">
        <v>1213</v>
      </c>
      <c r="J14" s="1587"/>
      <c r="K14" s="1587"/>
      <c r="L14" s="1125" t="s">
        <v>1206</v>
      </c>
      <c r="M14" s="1125" t="s">
        <v>1207</v>
      </c>
      <c r="N14" s="1125" t="s">
        <v>1208</v>
      </c>
      <c r="O14" s="1125" t="s">
        <v>1209</v>
      </c>
      <c r="P14" s="1229" t="s">
        <v>1220</v>
      </c>
    </row>
    <row r="15" spans="1:16" ht="17.25">
      <c r="B15" s="1221">
        <v>0.60000000000000009</v>
      </c>
      <c r="C15" s="1223">
        <v>0.83450000000000002</v>
      </c>
      <c r="D15" s="1222">
        <v>83.45</v>
      </c>
      <c r="F15" s="1588"/>
      <c r="G15" s="1230" t="s">
        <v>1219</v>
      </c>
      <c r="H15" s="1230" t="s">
        <v>1212</v>
      </c>
      <c r="I15" s="1230" t="s">
        <v>1188</v>
      </c>
      <c r="J15" s="1230" t="s">
        <v>1210</v>
      </c>
      <c r="K15" s="1230" t="s">
        <v>473</v>
      </c>
      <c r="L15" s="1230" t="s">
        <v>1211</v>
      </c>
      <c r="M15" s="1230" t="s">
        <v>1214</v>
      </c>
      <c r="N15" s="1230" t="s">
        <v>1214</v>
      </c>
      <c r="O15" s="1230" t="s">
        <v>1214</v>
      </c>
      <c r="P15" s="1231" t="s">
        <v>1214</v>
      </c>
    </row>
    <row r="16" spans="1:16">
      <c r="B16" s="1221">
        <v>0.72</v>
      </c>
      <c r="C16" s="1223">
        <v>0.88780000000000003</v>
      </c>
      <c r="D16" s="1222">
        <v>88.78</v>
      </c>
      <c r="F16" s="1192" t="s">
        <v>49</v>
      </c>
      <c r="G16" s="1193">
        <f>'5. Outdoor Water Supply'!C34</f>
        <v>0.37031249999999999</v>
      </c>
      <c r="H16" s="1188">
        <f>'5. Outdoor Water Supply'!E34</f>
        <v>0.15696312499999998</v>
      </c>
      <c r="I16" s="1188">
        <f>'7. Project Definition'!N$28</f>
        <v>1.6343020833333335</v>
      </c>
      <c r="J16" s="1188">
        <f>'7. Project Definition'!N$26</f>
        <v>2230.666666666667</v>
      </c>
      <c r="K16" s="1188">
        <f>I16+J16</f>
        <v>2232.3009687500003</v>
      </c>
      <c r="L16" s="1188">
        <f>IF(P16&lt;0,0,IF(P16&gt;$G$7,$G$7,P16))</f>
        <v>0</v>
      </c>
      <c r="M16" s="1188">
        <f>IF(K16&gt;H16*$G$9,H16*$G$9,L56-0+K16)</f>
        <v>0.15696312499999998</v>
      </c>
      <c r="N16" s="1188">
        <f>IF(H16*$G$9+0&gt;K16,K16,H16*$G$9+0)</f>
        <v>0.15696312499999998</v>
      </c>
      <c r="O16" s="1188">
        <f>IF(H16&gt;K16,H16-K16-0,0)</f>
        <v>0</v>
      </c>
      <c r="P16" s="1198">
        <f>0+H16*$G$9-K16</f>
        <v>-2232.1440056250003</v>
      </c>
    </row>
    <row r="17" spans="2:16">
      <c r="B17" s="1221">
        <v>0.84000000000000008</v>
      </c>
      <c r="C17" s="1223">
        <v>0.92510000000000003</v>
      </c>
      <c r="D17" s="1222">
        <v>92.51</v>
      </c>
      <c r="F17" s="1192" t="s">
        <v>112</v>
      </c>
      <c r="G17" s="1193">
        <f>'5. Outdoor Water Supply'!C35</f>
        <v>1.034639175257732</v>
      </c>
      <c r="H17" s="1188">
        <f>'5. Outdoor Water Supply'!E35</f>
        <v>0.43854905841924402</v>
      </c>
      <c r="I17" s="1188">
        <f>'7. Project Definition'!O$28</f>
        <v>0.6360499045437189</v>
      </c>
      <c r="J17" s="1188">
        <f>'7. Project Definition'!O$26</f>
        <v>2230.666666666667</v>
      </c>
      <c r="K17" s="1188">
        <f t="shared" ref="K17:K27" si="0">I17+J17</f>
        <v>2231.3027165712106</v>
      </c>
      <c r="L17" s="1188">
        <f t="shared" ref="L17:L27" si="1">IF(P17&lt;0,0,IF(P17&gt;$G$7,$G$7,P17))</f>
        <v>0</v>
      </c>
      <c r="M17" s="1188">
        <f t="shared" ref="M17:M27" si="2">IF(K17&gt;H17*$G$9,H17*$G$9,L57-0+K17)</f>
        <v>0.43854905841924402</v>
      </c>
      <c r="N17" s="1188">
        <f t="shared" ref="N17:N27" si="3">IF(H17*$G$9+0&gt;K17,K17,H17*$G$9+0)</f>
        <v>0.43854905841924402</v>
      </c>
      <c r="O17" s="1188">
        <f t="shared" ref="O17:O27" si="4">IF(H17&gt;K17,H17-K17-0,0)</f>
        <v>0</v>
      </c>
      <c r="P17" s="1198">
        <f t="shared" ref="P17:P27" si="5">0+H17*$G$9-K17</f>
        <v>-2230.8641675127915</v>
      </c>
    </row>
    <row r="18" spans="2:16">
      <c r="B18" s="1221">
        <v>0.96</v>
      </c>
      <c r="C18" s="1223">
        <v>0.95019999999999993</v>
      </c>
      <c r="D18" s="1222">
        <v>95.02</v>
      </c>
      <c r="F18" s="1192" t="s">
        <v>113</v>
      </c>
      <c r="G18" s="1193">
        <f>'5. Outdoor Water Supply'!C36</f>
        <v>2.6849484536082473</v>
      </c>
      <c r="H18" s="1188">
        <f>'5. Outdoor Water Supply'!E36</f>
        <v>1.1380601512027493</v>
      </c>
      <c r="I18" s="1188">
        <f>'7. Project Definition'!P$28</f>
        <v>0</v>
      </c>
      <c r="J18" s="1188">
        <f>'7. Project Definition'!P$26</f>
        <v>2230.666666666667</v>
      </c>
      <c r="K18" s="1188">
        <f t="shared" si="0"/>
        <v>2230.666666666667</v>
      </c>
      <c r="L18" s="1188">
        <f t="shared" si="1"/>
        <v>0</v>
      </c>
      <c r="M18" s="1188">
        <f t="shared" si="2"/>
        <v>1.1380601512027493</v>
      </c>
      <c r="N18" s="1188">
        <f t="shared" si="3"/>
        <v>1.1380601512027493</v>
      </c>
      <c r="O18" s="1188">
        <f t="shared" si="4"/>
        <v>0</v>
      </c>
      <c r="P18" s="1198">
        <f t="shared" si="5"/>
        <v>-2229.5286065154642</v>
      </c>
    </row>
    <row r="19" spans="2:16">
      <c r="B19" s="1221">
        <v>1.08</v>
      </c>
      <c r="C19" s="1223">
        <v>0.96629999999999994</v>
      </c>
      <c r="D19" s="1222">
        <v>96.63</v>
      </c>
      <c r="F19" s="1192" t="s">
        <v>114</v>
      </c>
      <c r="G19" s="1193">
        <f>'5. Outdoor Water Supply'!C37</f>
        <v>4.0832323232323233</v>
      </c>
      <c r="H19" s="1188">
        <f>'5. Outdoor Water Supply'!E37</f>
        <v>1.7307460740740741</v>
      </c>
      <c r="I19" s="1188">
        <f>'7. Project Definition'!Q$28</f>
        <v>0</v>
      </c>
      <c r="J19" s="1188">
        <f>'7. Project Definition'!Q$26</f>
        <v>2230.666666666667</v>
      </c>
      <c r="K19" s="1188">
        <f t="shared" si="0"/>
        <v>2230.666666666667</v>
      </c>
      <c r="L19" s="1188">
        <f t="shared" si="1"/>
        <v>0</v>
      </c>
      <c r="M19" s="1188">
        <f t="shared" si="2"/>
        <v>1.7307460740740741</v>
      </c>
      <c r="N19" s="1188">
        <f t="shared" si="3"/>
        <v>1.7307460740740741</v>
      </c>
      <c r="O19" s="1188">
        <f t="shared" si="4"/>
        <v>0</v>
      </c>
      <c r="P19" s="1198">
        <f t="shared" si="5"/>
        <v>-2228.935920592593</v>
      </c>
    </row>
    <row r="20" spans="2:16">
      <c r="B20" s="1221">
        <v>1.2000000000000002</v>
      </c>
      <c r="C20" s="1223">
        <v>0.97739999999999994</v>
      </c>
      <c r="D20" s="1222">
        <v>97.74</v>
      </c>
      <c r="F20" s="1192" t="s">
        <v>596</v>
      </c>
      <c r="G20" s="1193">
        <f>'5. Outdoor Water Supply'!C26</f>
        <v>4.5616000000000003</v>
      </c>
      <c r="H20" s="1188">
        <f>'5. Outdoor Water Supply'!E26</f>
        <v>1.9335101866666671</v>
      </c>
      <c r="I20" s="1188">
        <f>'7. Project Definition'!F$28</f>
        <v>0</v>
      </c>
      <c r="J20" s="1188">
        <f>'7. Project Definition'!F$26</f>
        <v>2230.666666666667</v>
      </c>
      <c r="K20" s="1188">
        <f t="shared" si="0"/>
        <v>2230.666666666667</v>
      </c>
      <c r="L20" s="1188">
        <f t="shared" si="1"/>
        <v>0</v>
      </c>
      <c r="M20" s="1188">
        <f t="shared" si="2"/>
        <v>1.9335101866666671</v>
      </c>
      <c r="N20" s="1188">
        <f t="shared" si="3"/>
        <v>1.9335101866666671</v>
      </c>
      <c r="O20" s="1188">
        <f t="shared" si="4"/>
        <v>0</v>
      </c>
      <c r="P20" s="1198">
        <f t="shared" si="5"/>
        <v>-2228.7331564800002</v>
      </c>
    </row>
    <row r="21" spans="2:16">
      <c r="B21" s="1221">
        <v>1.32</v>
      </c>
      <c r="C21" s="1223">
        <v>0.98459999999999992</v>
      </c>
      <c r="D21" s="1222">
        <v>98.46</v>
      </c>
      <c r="F21" s="1192" t="s">
        <v>597</v>
      </c>
      <c r="G21" s="1193">
        <f>'5. Outdoor Water Supply'!C27</f>
        <v>3.8450000000000002</v>
      </c>
      <c r="H21" s="1188">
        <f>'5. Outdoor Water Supply'!E27</f>
        <v>1.6297673333333336</v>
      </c>
      <c r="I21" s="1188">
        <f>'7. Project Definition'!G$28</f>
        <v>0</v>
      </c>
      <c r="J21" s="1188">
        <f>'7. Project Definition'!G$26</f>
        <v>2230.666666666667</v>
      </c>
      <c r="K21" s="1188">
        <f t="shared" si="0"/>
        <v>2230.666666666667</v>
      </c>
      <c r="L21" s="1188">
        <f t="shared" si="1"/>
        <v>0</v>
      </c>
      <c r="M21" s="1188">
        <f t="shared" si="2"/>
        <v>1.6297673333333336</v>
      </c>
      <c r="N21" s="1188">
        <f t="shared" si="3"/>
        <v>1.6297673333333336</v>
      </c>
      <c r="O21" s="1188">
        <f t="shared" si="4"/>
        <v>0</v>
      </c>
      <c r="P21" s="1198">
        <f t="shared" si="5"/>
        <v>-2229.0368993333336</v>
      </c>
    </row>
    <row r="22" spans="2:16">
      <c r="B22" s="1221">
        <v>1.44</v>
      </c>
      <c r="C22" s="1223">
        <v>0.98919999999999997</v>
      </c>
      <c r="D22" s="1222">
        <v>98.92</v>
      </c>
      <c r="F22" s="1192" t="s">
        <v>598</v>
      </c>
      <c r="G22" s="1193">
        <f>'5. Outdoor Water Supply'!C28</f>
        <v>2.9074</v>
      </c>
      <c r="H22" s="1188">
        <f>'5. Outdoor Water Supply'!E28</f>
        <v>1.2323499466666668</v>
      </c>
      <c r="I22" s="1188">
        <f>'7. Project Definition'!H$28</f>
        <v>0</v>
      </c>
      <c r="J22" s="1188">
        <f>'7. Project Definition'!H$26</f>
        <v>2230.666666666667</v>
      </c>
      <c r="K22" s="1188">
        <f t="shared" si="0"/>
        <v>2230.666666666667</v>
      </c>
      <c r="L22" s="1188">
        <f t="shared" si="1"/>
        <v>0</v>
      </c>
      <c r="M22" s="1188">
        <f t="shared" si="2"/>
        <v>1.2323499466666668</v>
      </c>
      <c r="N22" s="1188">
        <f t="shared" si="3"/>
        <v>1.2323499466666668</v>
      </c>
      <c r="O22" s="1188">
        <f t="shared" si="4"/>
        <v>0</v>
      </c>
      <c r="P22" s="1198">
        <f t="shared" si="5"/>
        <v>-2229.4343167200004</v>
      </c>
    </row>
    <row r="23" spans="2:16">
      <c r="B23" s="1221">
        <v>1.56</v>
      </c>
      <c r="C23" s="1223">
        <v>0.99230000000000007</v>
      </c>
      <c r="D23" s="1222">
        <v>99.23</v>
      </c>
      <c r="F23" s="1192" t="s">
        <v>599</v>
      </c>
      <c r="G23" s="1193">
        <f>'5. Outdoor Water Supply'!C29</f>
        <v>1.4120618556701032</v>
      </c>
      <c r="H23" s="1188">
        <f>'5. Outdoor Water Supply'!E29</f>
        <v>0.59852595189003444</v>
      </c>
      <c r="I23" s="1188">
        <f>'7. Project Definition'!I$28</f>
        <v>0.91279419625811375</v>
      </c>
      <c r="J23" s="1188">
        <f>'7. Project Definition'!I$26</f>
        <v>2230.666666666667</v>
      </c>
      <c r="K23" s="1188">
        <f t="shared" si="0"/>
        <v>2231.5794608629249</v>
      </c>
      <c r="L23" s="1188">
        <f t="shared" si="1"/>
        <v>0</v>
      </c>
      <c r="M23" s="1188">
        <f t="shared" si="2"/>
        <v>0.59852595189003444</v>
      </c>
      <c r="N23" s="1188">
        <f t="shared" si="3"/>
        <v>0.59852595189003444</v>
      </c>
      <c r="O23" s="1188">
        <f t="shared" si="4"/>
        <v>0</v>
      </c>
      <c r="P23" s="1198">
        <f t="shared" si="5"/>
        <v>-2230.9809349110346</v>
      </c>
    </row>
    <row r="24" spans="2:16">
      <c r="B24" s="1221">
        <v>1.6800000000000002</v>
      </c>
      <c r="C24" s="1223">
        <v>0.99480000000000002</v>
      </c>
      <c r="D24" s="1222">
        <v>99.48</v>
      </c>
      <c r="F24" s="1192" t="s">
        <v>600</v>
      </c>
      <c r="G24" s="1193">
        <f>'5. Outdoor Water Supply'!C30</f>
        <v>0.6282558139534884</v>
      </c>
      <c r="H24" s="1188">
        <f>'5. Outdoor Water Supply'!E30</f>
        <v>0.26629669767441866</v>
      </c>
      <c r="I24" s="1188">
        <f>'7. Project Definition'!J$28</f>
        <v>1.8192635658914729</v>
      </c>
      <c r="J24" s="1188">
        <f>'7. Project Definition'!J$26</f>
        <v>2230.666666666667</v>
      </c>
      <c r="K24" s="1188">
        <f t="shared" si="0"/>
        <v>2232.4859302325585</v>
      </c>
      <c r="L24" s="1188">
        <f t="shared" si="1"/>
        <v>0</v>
      </c>
      <c r="M24" s="1188">
        <f t="shared" si="2"/>
        <v>0.26629669767441866</v>
      </c>
      <c r="N24" s="1188">
        <f t="shared" si="3"/>
        <v>0.26629669767441866</v>
      </c>
      <c r="O24" s="1188">
        <f t="shared" si="4"/>
        <v>0</v>
      </c>
      <c r="P24" s="1198">
        <f t="shared" si="5"/>
        <v>-2232.219633534884</v>
      </c>
    </row>
    <row r="25" spans="2:16">
      <c r="B25" s="1221">
        <v>1.7999999999999998</v>
      </c>
      <c r="C25" s="1223">
        <v>0.99629999999999996</v>
      </c>
      <c r="D25" s="1222">
        <v>99.63</v>
      </c>
      <c r="F25" s="1192" t="s">
        <v>601</v>
      </c>
      <c r="G25" s="1193">
        <f>'5. Outdoor Water Supply'!C31</f>
        <v>0.22030303030303031</v>
      </c>
      <c r="H25" s="1188">
        <f>'5. Outdoor Water Supply'!E31</f>
        <v>9.3379111111111121E-2</v>
      </c>
      <c r="I25" s="1188">
        <f>'7. Project Definition'!K$28</f>
        <v>2.319975308641975</v>
      </c>
      <c r="J25" s="1188">
        <f>'7. Project Definition'!K$26</f>
        <v>2230.666666666667</v>
      </c>
      <c r="K25" s="1188">
        <f t="shared" si="0"/>
        <v>2232.9866419753089</v>
      </c>
      <c r="L25" s="1188">
        <f t="shared" si="1"/>
        <v>0</v>
      </c>
      <c r="M25" s="1188">
        <f t="shared" si="2"/>
        <v>9.3379111111111121E-2</v>
      </c>
      <c r="N25" s="1188">
        <f t="shared" si="3"/>
        <v>9.3379111111111121E-2</v>
      </c>
      <c r="O25" s="1188">
        <f t="shared" si="4"/>
        <v>0</v>
      </c>
      <c r="P25" s="1198">
        <f t="shared" si="5"/>
        <v>-2232.8932628641978</v>
      </c>
    </row>
    <row r="26" spans="2:16">
      <c r="B26" s="1221">
        <v>1.92</v>
      </c>
      <c r="C26" s="1223">
        <v>0.99719999999999998</v>
      </c>
      <c r="D26" s="1222">
        <v>99.72</v>
      </c>
      <c r="F26" s="1192" t="s">
        <v>341</v>
      </c>
      <c r="G26" s="1193">
        <f>'5. Outdoor Water Supply'!C32</f>
        <v>4.9722222222222223E-2</v>
      </c>
      <c r="H26" s="1188">
        <f>'5. Outdoor Water Supply'!E32</f>
        <v>2.1075592592592597E-2</v>
      </c>
      <c r="I26" s="1188">
        <f>'7. Project Definition'!L$28</f>
        <v>2.3702442386831275</v>
      </c>
      <c r="J26" s="1188">
        <f>'7. Project Definition'!L$26</f>
        <v>2230.666666666667</v>
      </c>
      <c r="K26" s="1188">
        <f t="shared" si="0"/>
        <v>2233.0369109053499</v>
      </c>
      <c r="L26" s="1188">
        <f t="shared" si="1"/>
        <v>0</v>
      </c>
      <c r="M26" s="1188">
        <f t="shared" si="2"/>
        <v>2.1075592592592597E-2</v>
      </c>
      <c r="N26" s="1188">
        <f t="shared" si="3"/>
        <v>2.1075592592592597E-2</v>
      </c>
      <c r="O26" s="1188">
        <f t="shared" si="4"/>
        <v>0</v>
      </c>
      <c r="P26" s="1198">
        <f t="shared" si="5"/>
        <v>-2233.0158353127572</v>
      </c>
    </row>
    <row r="27" spans="2:16" ht="15.75" thickBot="1">
      <c r="B27" s="1221">
        <v>2.04</v>
      </c>
      <c r="C27" s="1223">
        <v>0.99769999999999992</v>
      </c>
      <c r="D27" s="1222">
        <v>99.77</v>
      </c>
      <c r="F27" s="1194" t="s">
        <v>342</v>
      </c>
      <c r="G27" s="1195">
        <f>'5. Outdoor Water Supply'!C33</f>
        <v>0.1076086956521739</v>
      </c>
      <c r="H27" s="1190">
        <f>'5. Outdoor Water Supply'!E33</f>
        <v>4.5611739130434779E-2</v>
      </c>
      <c r="I27" s="1190">
        <f>'7. Project Definition'!M$28</f>
        <v>2.1798599033816428</v>
      </c>
      <c r="J27" s="1190">
        <f>'7. Project Definition'!M$26</f>
        <v>2230.666666666667</v>
      </c>
      <c r="K27" s="1190">
        <f t="shared" si="0"/>
        <v>2232.8465265700488</v>
      </c>
      <c r="L27" s="1190">
        <f t="shared" si="1"/>
        <v>0</v>
      </c>
      <c r="M27" s="1190">
        <f t="shared" si="2"/>
        <v>4.5611739130434779E-2</v>
      </c>
      <c r="N27" s="1190">
        <f t="shared" si="3"/>
        <v>4.5611739130434779E-2</v>
      </c>
      <c r="O27" s="1190">
        <f t="shared" si="4"/>
        <v>0</v>
      </c>
      <c r="P27" s="1199">
        <f t="shared" si="5"/>
        <v>-2232.8009148309184</v>
      </c>
    </row>
    <row r="28" spans="2:16" ht="15.75" thickTop="1">
      <c r="B28" s="1221">
        <v>2.16</v>
      </c>
      <c r="C28" s="1223">
        <v>0.998</v>
      </c>
      <c r="D28" s="1222">
        <v>99.8</v>
      </c>
      <c r="F28" s="922" t="s">
        <v>115</v>
      </c>
      <c r="G28" s="1232">
        <f>SUM(G16:G27)</f>
        <v>21.905084069899317</v>
      </c>
      <c r="H28" s="1143">
        <f t="shared" ref="H28:P28" si="6">SUM(H16:H27)</f>
        <v>9.2848349677613271</v>
      </c>
      <c r="I28" s="1143">
        <f t="shared" si="6"/>
        <v>11.872489200733384</v>
      </c>
      <c r="J28" s="1143">
        <f t="shared" si="6"/>
        <v>26768.000000000011</v>
      </c>
      <c r="K28" s="1143">
        <f t="shared" si="6"/>
        <v>26779.872489200745</v>
      </c>
      <c r="L28" s="1143">
        <f t="shared" si="6"/>
        <v>0</v>
      </c>
      <c r="M28" s="1143">
        <f t="shared" si="6"/>
        <v>9.2848349677613271</v>
      </c>
      <c r="N28" s="1143">
        <f t="shared" si="6"/>
        <v>9.2848349677613271</v>
      </c>
      <c r="O28" s="1143">
        <f t="shared" si="6"/>
        <v>0</v>
      </c>
      <c r="P28" s="1143">
        <f t="shared" si="6"/>
        <v>-26770.587654232975</v>
      </c>
    </row>
    <row r="29" spans="2:16">
      <c r="B29" s="1221">
        <v>2.2800000000000002</v>
      </c>
      <c r="C29" s="1223">
        <v>0.99819999999999998</v>
      </c>
      <c r="D29" s="1222">
        <v>99.82</v>
      </c>
    </row>
    <row r="30" spans="2:16">
      <c r="B30" s="1221">
        <v>2.4000000000000004</v>
      </c>
      <c r="C30" s="1223">
        <v>0.99849999999999994</v>
      </c>
      <c r="D30" s="1222">
        <v>99.85</v>
      </c>
    </row>
    <row r="31" spans="2:16">
      <c r="B31" s="1221">
        <v>2.52</v>
      </c>
      <c r="C31" s="1223">
        <v>0.99870000000000003</v>
      </c>
      <c r="D31" s="1222">
        <v>99.87</v>
      </c>
    </row>
    <row r="32" spans="2:16">
      <c r="B32" s="1221">
        <v>2.64</v>
      </c>
      <c r="C32" s="1223">
        <v>0.99890000000000001</v>
      </c>
      <c r="D32" s="1222">
        <v>99.89</v>
      </c>
    </row>
    <row r="33" spans="2:4">
      <c r="B33" s="1221">
        <v>2.7600000000000002</v>
      </c>
      <c r="C33" s="1223">
        <v>0.99919999999999998</v>
      </c>
      <c r="D33" s="1222">
        <v>99.92</v>
      </c>
    </row>
    <row r="34" spans="2:4">
      <c r="B34" s="1221">
        <v>2.88</v>
      </c>
      <c r="C34" s="1223">
        <v>0.99939999999999996</v>
      </c>
      <c r="D34" s="1222">
        <v>99.94</v>
      </c>
    </row>
    <row r="35" spans="2:4">
      <c r="B35" s="1221">
        <v>3</v>
      </c>
      <c r="C35" s="1223">
        <v>0.99959999999999993</v>
      </c>
      <c r="D35" s="1222">
        <v>99.96</v>
      </c>
    </row>
    <row r="36" spans="2:4">
      <c r="B36" s="1221">
        <v>3.12</v>
      </c>
      <c r="C36" s="1223">
        <v>0.99980000000000002</v>
      </c>
      <c r="D36" s="1222">
        <v>99.98</v>
      </c>
    </row>
    <row r="37" spans="2:4">
      <c r="B37" s="1221">
        <v>3.24</v>
      </c>
      <c r="C37" s="1223">
        <v>0.9998999999999999</v>
      </c>
      <c r="D37" s="1222">
        <v>99.99</v>
      </c>
    </row>
    <row r="38" spans="2:4">
      <c r="B38" s="1221">
        <v>3.3600000000000003</v>
      </c>
      <c r="C38" s="1223">
        <v>1</v>
      </c>
      <c r="D38" s="1222">
        <v>100</v>
      </c>
    </row>
    <row r="39" spans="2:4" ht="15.75" thickBot="1">
      <c r="B39" s="1227">
        <v>3.4799999999999995</v>
      </c>
      <c r="C39" s="1228">
        <v>1</v>
      </c>
      <c r="D39" s="1217">
        <v>100</v>
      </c>
    </row>
  </sheetData>
  <mergeCells count="2">
    <mergeCell ref="F14:F15"/>
    <mergeCell ref="I14:K14"/>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
  <sheetViews>
    <sheetView topLeftCell="A46" workbookViewId="0">
      <selection activeCell="B2" sqref="B2"/>
    </sheetView>
  </sheetViews>
  <sheetFormatPr defaultRowHeight="12.75"/>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sheetPr>
    <tabColor theme="0" tint="-0.249977111117893"/>
  </sheetPr>
  <dimension ref="A1:F169"/>
  <sheetViews>
    <sheetView workbookViewId="0">
      <selection activeCell="P29" sqref="P29"/>
    </sheetView>
  </sheetViews>
  <sheetFormatPr defaultRowHeight="12.75"/>
  <sheetData>
    <row r="1" spans="1:6">
      <c r="A1" s="763"/>
      <c r="B1" s="763"/>
      <c r="C1" s="763"/>
      <c r="D1" s="763"/>
      <c r="E1" s="763"/>
      <c r="F1" s="763"/>
    </row>
    <row r="2" spans="1:6">
      <c r="A2" s="766" t="s">
        <v>605</v>
      </c>
      <c r="B2" s="763"/>
      <c r="C2" s="763"/>
      <c r="D2" s="763"/>
      <c r="E2" s="763"/>
      <c r="F2" s="763"/>
    </row>
    <row r="3" spans="1:6" ht="13.5" thickBot="1">
      <c r="A3" s="766" t="s">
        <v>336</v>
      </c>
      <c r="B3" s="763"/>
      <c r="C3" s="768" t="s">
        <v>339</v>
      </c>
      <c r="D3" s="763"/>
      <c r="E3" s="766" t="s">
        <v>337</v>
      </c>
      <c r="F3" s="768" t="s">
        <v>338</v>
      </c>
    </row>
    <row r="4" spans="1:6">
      <c r="A4" s="770" t="s">
        <v>174</v>
      </c>
      <c r="B4" s="771" t="s">
        <v>175</v>
      </c>
      <c r="C4" s="772" t="s">
        <v>175</v>
      </c>
      <c r="D4" s="763"/>
      <c r="E4" s="785" t="s">
        <v>174</v>
      </c>
      <c r="F4" s="786" t="s">
        <v>175</v>
      </c>
    </row>
    <row r="5" spans="1:6" ht="13.5" thickBot="1">
      <c r="A5" s="773" t="s">
        <v>606</v>
      </c>
      <c r="B5" s="769" t="s">
        <v>607</v>
      </c>
      <c r="C5" s="774" t="s">
        <v>607</v>
      </c>
      <c r="D5" s="763"/>
      <c r="E5" s="783" t="s">
        <v>606</v>
      </c>
      <c r="F5" s="784" t="s">
        <v>607</v>
      </c>
    </row>
    <row r="6" spans="1:6">
      <c r="A6" s="770"/>
      <c r="B6" s="771"/>
      <c r="C6" s="772"/>
      <c r="D6" s="763"/>
      <c r="E6" s="764"/>
      <c r="F6" s="765"/>
    </row>
    <row r="7" spans="1:6">
      <c r="A7" s="773">
        <v>0</v>
      </c>
      <c r="B7" s="776">
        <v>0</v>
      </c>
      <c r="C7" s="774">
        <v>0</v>
      </c>
      <c r="D7" s="763"/>
      <c r="E7" s="777">
        <v>0</v>
      </c>
      <c r="F7" s="778">
        <v>0</v>
      </c>
    </row>
    <row r="8" spans="1:6">
      <c r="A8" s="777">
        <v>0.03</v>
      </c>
      <c r="B8" s="776">
        <v>0.06</v>
      </c>
      <c r="C8" s="778">
        <v>6</v>
      </c>
      <c r="D8" s="763"/>
      <c r="E8" s="777">
        <v>0.03</v>
      </c>
      <c r="F8" s="778">
        <v>6</v>
      </c>
    </row>
    <row r="9" spans="1:6">
      <c r="A9" s="773">
        <v>0.06</v>
      </c>
      <c r="B9" s="776">
        <v>0.13</v>
      </c>
      <c r="C9" s="774">
        <v>13</v>
      </c>
      <c r="D9" s="763"/>
      <c r="E9" s="773">
        <v>0.06</v>
      </c>
      <c r="F9" s="774">
        <v>13</v>
      </c>
    </row>
    <row r="10" spans="1:6">
      <c r="A10" s="773">
        <v>0.12</v>
      </c>
      <c r="B10" s="776">
        <v>0.2823</v>
      </c>
      <c r="C10" s="774">
        <v>28.23</v>
      </c>
      <c r="D10" s="763"/>
      <c r="E10" s="777">
        <v>0.12</v>
      </c>
      <c r="F10" s="778">
        <v>21.54</v>
      </c>
    </row>
    <row r="11" spans="1:6">
      <c r="A11" s="773">
        <v>0.24</v>
      </c>
      <c r="B11" s="776">
        <v>0.49219999999999997</v>
      </c>
      <c r="C11" s="774">
        <v>49.22</v>
      </c>
      <c r="D11" s="763"/>
      <c r="E11" s="777">
        <v>0.24</v>
      </c>
      <c r="F11" s="778">
        <v>38.76</v>
      </c>
    </row>
    <row r="12" spans="1:6">
      <c r="A12" s="773">
        <v>0.36</v>
      </c>
      <c r="B12" s="776">
        <v>0.64579999999999993</v>
      </c>
      <c r="C12" s="774">
        <v>64.58</v>
      </c>
      <c r="D12" s="763"/>
      <c r="E12" s="777">
        <v>0.36</v>
      </c>
      <c r="F12" s="778">
        <v>52.69</v>
      </c>
    </row>
    <row r="13" spans="1:6">
      <c r="A13" s="773">
        <v>0.48</v>
      </c>
      <c r="B13" s="776">
        <v>0.75709999999999988</v>
      </c>
      <c r="C13" s="774">
        <v>75.709999999999994</v>
      </c>
      <c r="D13" s="763"/>
      <c r="E13" s="777">
        <v>0.48</v>
      </c>
      <c r="F13" s="778">
        <v>63.74</v>
      </c>
    </row>
    <row r="14" spans="1:6">
      <c r="A14" s="773">
        <v>0.60000000000000009</v>
      </c>
      <c r="B14" s="776">
        <v>0.83450000000000002</v>
      </c>
      <c r="C14" s="774">
        <v>83.45</v>
      </c>
      <c r="D14" s="763"/>
      <c r="E14" s="777">
        <v>0.60000000000000009</v>
      </c>
      <c r="F14" s="778">
        <v>72.510000000000005</v>
      </c>
    </row>
    <row r="15" spans="1:6">
      <c r="A15" s="773">
        <v>0.72</v>
      </c>
      <c r="B15" s="776">
        <v>0.88780000000000003</v>
      </c>
      <c r="C15" s="774">
        <v>88.78</v>
      </c>
      <c r="D15" s="763"/>
      <c r="E15" s="777">
        <v>0.72</v>
      </c>
      <c r="F15" s="778">
        <v>79.28</v>
      </c>
    </row>
    <row r="16" spans="1:6">
      <c r="A16" s="773">
        <v>0.84000000000000008</v>
      </c>
      <c r="B16" s="776">
        <v>0.92510000000000003</v>
      </c>
      <c r="C16" s="774">
        <v>92.51</v>
      </c>
      <c r="D16" s="763"/>
      <c r="E16" s="777">
        <v>0.84000000000000008</v>
      </c>
      <c r="F16" s="778">
        <v>84.49</v>
      </c>
    </row>
    <row r="17" spans="1:6">
      <c r="A17" s="773">
        <v>0.96</v>
      </c>
      <c r="B17" s="776">
        <v>0.95019999999999993</v>
      </c>
      <c r="C17" s="774">
        <v>95.02</v>
      </c>
      <c r="D17" s="763"/>
      <c r="E17" s="777">
        <v>0.96</v>
      </c>
      <c r="F17" s="778">
        <v>88.46</v>
      </c>
    </row>
    <row r="18" spans="1:6">
      <c r="A18" s="773">
        <v>1.08</v>
      </c>
      <c r="B18" s="776">
        <v>0.96629999999999994</v>
      </c>
      <c r="C18" s="774">
        <v>96.63</v>
      </c>
      <c r="D18" s="763"/>
      <c r="E18" s="777">
        <v>1.08</v>
      </c>
      <c r="F18" s="778">
        <v>91.49</v>
      </c>
    </row>
    <row r="19" spans="1:6">
      <c r="A19" s="773">
        <v>1.2000000000000002</v>
      </c>
      <c r="B19" s="776">
        <v>0.97739999999999994</v>
      </c>
      <c r="C19" s="774">
        <v>97.74</v>
      </c>
      <c r="D19" s="763"/>
      <c r="E19" s="777">
        <v>1.2000000000000002</v>
      </c>
      <c r="F19" s="778">
        <v>93.71</v>
      </c>
    </row>
    <row r="20" spans="1:6">
      <c r="A20" s="773">
        <v>1.32</v>
      </c>
      <c r="B20" s="776">
        <v>0.98459999999999992</v>
      </c>
      <c r="C20" s="774">
        <v>98.46</v>
      </c>
      <c r="D20" s="763"/>
      <c r="E20" s="777">
        <v>1.32</v>
      </c>
      <c r="F20" s="778">
        <v>95.35</v>
      </c>
    </row>
    <row r="21" spans="1:6">
      <c r="A21" s="773">
        <v>1.44</v>
      </c>
      <c r="B21" s="776">
        <v>0.98919999999999997</v>
      </c>
      <c r="C21" s="774">
        <v>98.92</v>
      </c>
      <c r="D21" s="763"/>
      <c r="E21" s="777">
        <v>1.44</v>
      </c>
      <c r="F21" s="778">
        <v>96.52</v>
      </c>
    </row>
    <row r="22" spans="1:6">
      <c r="A22" s="773">
        <v>1.56</v>
      </c>
      <c r="B22" s="776">
        <v>0.99230000000000007</v>
      </c>
      <c r="C22" s="774">
        <v>99.23</v>
      </c>
      <c r="D22" s="763"/>
      <c r="E22" s="777">
        <v>1.56</v>
      </c>
      <c r="F22" s="778">
        <v>97.4</v>
      </c>
    </row>
    <row r="23" spans="1:6">
      <c r="A23" s="773">
        <v>1.6800000000000002</v>
      </c>
      <c r="B23" s="776">
        <v>0.99480000000000002</v>
      </c>
      <c r="C23" s="774">
        <v>99.48</v>
      </c>
      <c r="D23" s="763"/>
      <c r="E23" s="777">
        <v>1.6800000000000002</v>
      </c>
      <c r="F23" s="778">
        <v>98.04</v>
      </c>
    </row>
    <row r="24" spans="1:6">
      <c r="A24" s="773">
        <v>1.7999999999999998</v>
      </c>
      <c r="B24" s="776">
        <v>0.99629999999999996</v>
      </c>
      <c r="C24" s="774">
        <v>99.63</v>
      </c>
      <c r="D24" s="763"/>
      <c r="E24" s="777">
        <v>1.7999999999999998</v>
      </c>
      <c r="F24" s="778">
        <v>98.49</v>
      </c>
    </row>
    <row r="25" spans="1:6">
      <c r="A25" s="773">
        <v>1.92</v>
      </c>
      <c r="B25" s="776">
        <v>0.99719999999999998</v>
      </c>
      <c r="C25" s="774">
        <v>99.72</v>
      </c>
      <c r="D25" s="763"/>
      <c r="E25" s="777">
        <v>1.92</v>
      </c>
      <c r="F25" s="778">
        <v>98.82</v>
      </c>
    </row>
    <row r="26" spans="1:6">
      <c r="A26" s="773">
        <v>2.04</v>
      </c>
      <c r="B26" s="776">
        <v>0.99769999999999992</v>
      </c>
      <c r="C26" s="774">
        <v>99.77</v>
      </c>
      <c r="D26" s="763"/>
      <c r="E26" s="777">
        <v>2.04</v>
      </c>
      <c r="F26" s="778">
        <v>99.1</v>
      </c>
    </row>
    <row r="27" spans="1:6">
      <c r="A27" s="773">
        <v>2.16</v>
      </c>
      <c r="B27" s="776">
        <v>0.998</v>
      </c>
      <c r="C27" s="774">
        <v>99.8</v>
      </c>
      <c r="D27" s="763"/>
      <c r="E27" s="777">
        <v>2.16</v>
      </c>
      <c r="F27" s="778">
        <v>99.34</v>
      </c>
    </row>
    <row r="28" spans="1:6">
      <c r="A28" s="773">
        <v>2.2800000000000002</v>
      </c>
      <c r="B28" s="776">
        <v>0.99819999999999998</v>
      </c>
      <c r="C28" s="774">
        <v>99.82</v>
      </c>
      <c r="D28" s="763"/>
      <c r="E28" s="777">
        <v>2.2800000000000002</v>
      </c>
      <c r="F28" s="778">
        <v>99.52</v>
      </c>
    </row>
    <row r="29" spans="1:6">
      <c r="A29" s="773">
        <v>2.4000000000000004</v>
      </c>
      <c r="B29" s="776">
        <v>0.99849999999999994</v>
      </c>
      <c r="C29" s="774">
        <v>99.85</v>
      </c>
      <c r="D29" s="763"/>
      <c r="E29" s="777">
        <v>2.4000000000000004</v>
      </c>
      <c r="F29" s="778">
        <v>99.64</v>
      </c>
    </row>
    <row r="30" spans="1:6">
      <c r="A30" s="773">
        <v>2.52</v>
      </c>
      <c r="B30" s="776">
        <v>0.99870000000000003</v>
      </c>
      <c r="C30" s="774">
        <v>99.87</v>
      </c>
      <c r="D30" s="763"/>
      <c r="E30" s="777">
        <v>2.52</v>
      </c>
      <c r="F30" s="778">
        <v>99.7</v>
      </c>
    </row>
    <row r="31" spans="1:6">
      <c r="A31" s="773">
        <v>2.64</v>
      </c>
      <c r="B31" s="776">
        <v>0.99890000000000001</v>
      </c>
      <c r="C31" s="774">
        <v>99.89</v>
      </c>
      <c r="D31" s="763"/>
      <c r="E31" s="777">
        <v>2.64</v>
      </c>
      <c r="F31" s="778">
        <v>99.74</v>
      </c>
    </row>
    <row r="32" spans="1:6">
      <c r="A32" s="773">
        <v>2.7600000000000002</v>
      </c>
      <c r="B32" s="776">
        <v>0.99919999999999998</v>
      </c>
      <c r="C32" s="774">
        <v>99.92</v>
      </c>
      <c r="D32" s="763"/>
      <c r="E32" s="777">
        <v>2.7600000000000002</v>
      </c>
      <c r="F32" s="778">
        <v>99.77</v>
      </c>
    </row>
    <row r="33" spans="1:6">
      <c r="A33" s="773">
        <v>2.88</v>
      </c>
      <c r="B33" s="776">
        <v>0.99939999999999996</v>
      </c>
      <c r="C33" s="774">
        <v>99.94</v>
      </c>
      <c r="D33" s="763"/>
      <c r="E33" s="777">
        <v>2.88</v>
      </c>
      <c r="F33" s="778">
        <v>99.8</v>
      </c>
    </row>
    <row r="34" spans="1:6">
      <c r="A34" s="773">
        <v>3</v>
      </c>
      <c r="B34" s="776">
        <v>0.99959999999999993</v>
      </c>
      <c r="C34" s="774">
        <v>99.96</v>
      </c>
      <c r="D34" s="763"/>
      <c r="E34" s="777">
        <v>3</v>
      </c>
      <c r="F34" s="778">
        <v>99.82</v>
      </c>
    </row>
    <row r="35" spans="1:6">
      <c r="A35" s="773">
        <v>3.12</v>
      </c>
      <c r="B35" s="776">
        <v>0.99980000000000002</v>
      </c>
      <c r="C35" s="774">
        <v>99.98</v>
      </c>
      <c r="D35" s="763"/>
      <c r="E35" s="777">
        <v>3.12</v>
      </c>
      <c r="F35" s="778">
        <v>99.84</v>
      </c>
    </row>
    <row r="36" spans="1:6">
      <c r="A36" s="773">
        <v>3.24</v>
      </c>
      <c r="B36" s="776">
        <v>0.9998999999999999</v>
      </c>
      <c r="C36" s="774">
        <v>99.99</v>
      </c>
      <c r="D36" s="763"/>
      <c r="E36" s="777">
        <v>3.24</v>
      </c>
      <c r="F36" s="778">
        <v>99.86</v>
      </c>
    </row>
    <row r="37" spans="1:6">
      <c r="A37" s="773">
        <v>3.3600000000000003</v>
      </c>
      <c r="B37" s="776">
        <v>1</v>
      </c>
      <c r="C37" s="774">
        <v>100</v>
      </c>
      <c r="D37" s="763"/>
      <c r="E37" s="777">
        <v>3.3600000000000003</v>
      </c>
      <c r="F37" s="778">
        <v>99.88</v>
      </c>
    </row>
    <row r="38" spans="1:6" ht="13.5" thickBot="1">
      <c r="A38" s="780">
        <v>3.4799999999999995</v>
      </c>
      <c r="B38" s="781">
        <v>1</v>
      </c>
      <c r="C38" s="782">
        <v>100</v>
      </c>
      <c r="D38" s="763"/>
      <c r="E38" s="777">
        <v>3.4799999999999995</v>
      </c>
      <c r="F38" s="778">
        <v>99.91</v>
      </c>
    </row>
    <row r="39" spans="1:6">
      <c r="A39" s="763"/>
      <c r="B39" s="763"/>
      <c r="C39" s="763"/>
      <c r="D39" s="763"/>
      <c r="E39" s="777">
        <v>3.5999999999999996</v>
      </c>
      <c r="F39" s="778">
        <v>99.93</v>
      </c>
    </row>
    <row r="40" spans="1:6">
      <c r="A40" s="763"/>
      <c r="B40" s="763"/>
      <c r="C40" s="763"/>
      <c r="D40" s="763"/>
      <c r="E40" s="777">
        <v>3.7199999999999998</v>
      </c>
      <c r="F40" s="778">
        <v>99.95</v>
      </c>
    </row>
    <row r="41" spans="1:6">
      <c r="A41" s="763"/>
      <c r="B41" s="763"/>
      <c r="C41" s="763"/>
      <c r="D41" s="763"/>
      <c r="E41" s="777">
        <v>3.84</v>
      </c>
      <c r="F41" s="778">
        <v>99.97</v>
      </c>
    </row>
    <row r="42" spans="1:6">
      <c r="A42" s="763"/>
      <c r="B42" s="763"/>
      <c r="C42" s="763"/>
      <c r="D42" s="763"/>
      <c r="E42" s="777">
        <v>3.96</v>
      </c>
      <c r="F42" s="778">
        <v>99.98</v>
      </c>
    </row>
    <row r="43" spans="1:6">
      <c r="A43" s="763"/>
      <c r="B43" s="763"/>
      <c r="C43" s="763"/>
      <c r="D43" s="763"/>
      <c r="E43" s="777">
        <v>4.08</v>
      </c>
      <c r="F43" s="778">
        <v>99.99</v>
      </c>
    </row>
    <row r="44" spans="1:6" ht="13.5" thickBot="1">
      <c r="A44" s="763"/>
      <c r="B44" s="763"/>
      <c r="C44" s="763"/>
      <c r="D44" s="763"/>
      <c r="E44" s="783">
        <v>4.1999999999999993</v>
      </c>
      <c r="F44" s="784">
        <v>100</v>
      </c>
    </row>
    <row r="45" spans="1:6">
      <c r="A45" s="763"/>
      <c r="B45" s="763"/>
      <c r="C45" s="763"/>
      <c r="D45" s="763"/>
      <c r="E45" s="763"/>
      <c r="F45" s="763"/>
    </row>
    <row r="46" spans="1:6">
      <c r="A46" s="763"/>
      <c r="B46" s="763"/>
      <c r="C46" s="763"/>
      <c r="D46" s="763"/>
      <c r="E46" s="763"/>
      <c r="F46" s="763"/>
    </row>
    <row r="47" spans="1:6">
      <c r="A47" s="763"/>
      <c r="B47" s="763"/>
      <c r="C47" s="763"/>
      <c r="D47" s="763"/>
      <c r="E47" s="763"/>
      <c r="F47" s="763"/>
    </row>
    <row r="48" spans="1:6">
      <c r="A48" s="763"/>
      <c r="B48" s="763"/>
      <c r="C48" s="763"/>
      <c r="D48" s="763"/>
      <c r="E48" s="763"/>
      <c r="F48" s="763"/>
    </row>
    <row r="145" spans="1:2">
      <c r="A145" s="763"/>
      <c r="B145" s="763"/>
    </row>
    <row r="146" spans="1:2">
      <c r="A146" s="763"/>
      <c r="B146" s="763"/>
    </row>
    <row r="147" spans="1:2">
      <c r="A147" s="763"/>
      <c r="B147" s="763"/>
    </row>
    <row r="148" spans="1:2">
      <c r="A148" s="763"/>
      <c r="B148" s="763"/>
    </row>
    <row r="149" spans="1:2">
      <c r="A149" s="763"/>
      <c r="B149" s="763"/>
    </row>
    <row r="150" spans="1:2">
      <c r="A150" s="763"/>
      <c r="B150" s="763"/>
    </row>
    <row r="151" spans="1:2">
      <c r="A151" s="763"/>
      <c r="B151" s="763"/>
    </row>
    <row r="152" spans="1:2">
      <c r="A152" s="763"/>
      <c r="B152" s="763"/>
    </row>
    <row r="153" spans="1:2">
      <c r="A153" s="763"/>
      <c r="B153" s="763"/>
    </row>
    <row r="154" spans="1:2">
      <c r="A154" s="763"/>
      <c r="B154" s="763"/>
    </row>
    <row r="155" spans="1:2">
      <c r="A155" s="763"/>
      <c r="B155" s="763"/>
    </row>
    <row r="156" spans="1:2">
      <c r="A156" s="763"/>
      <c r="B156" s="763"/>
    </row>
    <row r="157" spans="1:2">
      <c r="A157" s="763"/>
      <c r="B157" s="763"/>
    </row>
    <row r="158" spans="1:2">
      <c r="A158" s="763"/>
      <c r="B158" s="763"/>
    </row>
    <row r="159" spans="1:2">
      <c r="A159" s="775">
        <v>3.3</v>
      </c>
      <c r="B159" s="775">
        <v>3.9</v>
      </c>
    </row>
    <row r="160" spans="1:2">
      <c r="A160" s="775">
        <v>4.03</v>
      </c>
      <c r="B160" s="775">
        <v>4.6500000000000004</v>
      </c>
    </row>
    <row r="161" spans="1:2">
      <c r="A161" s="775">
        <v>4.5</v>
      </c>
      <c r="B161" s="775">
        <v>5.0999999999999996</v>
      </c>
    </row>
    <row r="162" spans="1:2">
      <c r="A162" s="775">
        <v>4.6500000000000004</v>
      </c>
      <c r="B162" s="775">
        <v>4.96</v>
      </c>
    </row>
    <row r="163" spans="1:2">
      <c r="A163" s="775">
        <v>4.03</v>
      </c>
      <c r="B163" s="775">
        <v>4.6500000000000004</v>
      </c>
    </row>
    <row r="164" spans="1:2">
      <c r="A164" s="775">
        <v>3.3</v>
      </c>
      <c r="B164" s="775">
        <v>3.9</v>
      </c>
    </row>
    <row r="165" spans="1:2">
      <c r="A165" s="775">
        <v>2.48</v>
      </c>
      <c r="B165" s="775">
        <v>2.79</v>
      </c>
    </row>
    <row r="166" spans="1:2">
      <c r="A166" s="775">
        <v>1.2</v>
      </c>
      <c r="B166" s="775">
        <v>1.8</v>
      </c>
    </row>
    <row r="167" spans="1:2">
      <c r="A167" s="775">
        <v>0.62</v>
      </c>
      <c r="B167" s="775">
        <v>1.24</v>
      </c>
    </row>
    <row r="168" spans="1:2">
      <c r="A168" s="767">
        <v>32.9</v>
      </c>
      <c r="B168" s="779">
        <v>39</v>
      </c>
    </row>
    <row r="169" spans="1:2">
      <c r="A169" s="767"/>
      <c r="B169" s="76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34</vt:i4>
      </vt:variant>
    </vt:vector>
  </HeadingPairs>
  <TitlesOfParts>
    <vt:vector size="63" baseType="lpstr">
      <vt:lpstr>Readme</vt:lpstr>
      <vt:lpstr>1. Building Information</vt:lpstr>
      <vt:lpstr>2. Indoor Water Demand</vt:lpstr>
      <vt:lpstr>3. Indoor Nonpotable Supply</vt:lpstr>
      <vt:lpstr>4. Outdoor Water Demand</vt:lpstr>
      <vt:lpstr>5. Outdoor Water Supply</vt:lpstr>
      <vt:lpstr>1. WQv and WQf</vt:lpstr>
      <vt:lpstr>Infiltration Trench_Dry Well</vt:lpstr>
      <vt:lpstr>Infiltration Basin</vt:lpstr>
      <vt:lpstr>Permeable Pavement</vt:lpstr>
      <vt:lpstr>Detention Pond</vt:lpstr>
      <vt:lpstr>Detention Vault</vt:lpstr>
      <vt:lpstr>Wet Ponds_Wetlands</vt:lpstr>
      <vt:lpstr>Swales-Flow</vt:lpstr>
      <vt:lpstr>Swales-Volume</vt:lpstr>
      <vt:lpstr>Buffer Strip</vt:lpstr>
      <vt:lpstr>VRF</vt:lpstr>
      <vt:lpstr>Bioretention</vt:lpstr>
      <vt:lpstr>Media Filter</vt:lpstr>
      <vt:lpstr>Backup</vt:lpstr>
      <vt:lpstr>6. Building Potential Summary</vt:lpstr>
      <vt:lpstr>7. Project Definition</vt:lpstr>
      <vt:lpstr>8. Printable Project Summary</vt:lpstr>
      <vt:lpstr>Calculator Backup</vt:lpstr>
      <vt:lpstr>Climate Data</vt:lpstr>
      <vt:lpstr>Rainwater</vt:lpstr>
      <vt:lpstr>Stormwater</vt:lpstr>
      <vt:lpstr>Building Occupancy</vt:lpstr>
      <vt:lpstr>Storage Curves</vt:lpstr>
      <vt:lpstr>'1. WQv and WQf'!Input</vt:lpstr>
      <vt:lpstr>Bioretention!Input</vt:lpstr>
      <vt:lpstr>'Buffer Strip'!Input</vt:lpstr>
      <vt:lpstr>'Detention Pond'!Input</vt:lpstr>
      <vt:lpstr>'Detention Vault'!Input</vt:lpstr>
      <vt:lpstr>'Infiltration Basin'!Input</vt:lpstr>
      <vt:lpstr>'Infiltration Trench_Dry Well'!Input</vt:lpstr>
      <vt:lpstr>'Media Filter'!Input</vt:lpstr>
      <vt:lpstr>'Permeable Pavement'!Input</vt:lpstr>
      <vt:lpstr>'Swales-Flow'!Input</vt:lpstr>
      <vt:lpstr>'Swales-Volume'!Input</vt:lpstr>
      <vt:lpstr>VRF!Input</vt:lpstr>
      <vt:lpstr>'Wet Ponds_Wetlands'!Input</vt:lpstr>
      <vt:lpstr>'1. Building Information'!Print_Area</vt:lpstr>
      <vt:lpstr>'1. WQv and WQf'!Print_Area</vt:lpstr>
      <vt:lpstr>'2. Indoor Water Demand'!Print_Area</vt:lpstr>
      <vt:lpstr>'3. Indoor Nonpotable Supply'!Print_Area</vt:lpstr>
      <vt:lpstr>'4. Outdoor Water Demand'!Print_Area</vt:lpstr>
      <vt:lpstr>'5. Outdoor Water Supply'!Print_Area</vt:lpstr>
      <vt:lpstr>'6. Building Potential Summary'!Print_Area</vt:lpstr>
      <vt:lpstr>'7. Project Definition'!Print_Area</vt:lpstr>
      <vt:lpstr>'8. Printable Project Summary'!Print_Area</vt:lpstr>
      <vt:lpstr>Bioretention!Print_Area</vt:lpstr>
      <vt:lpstr>'Buffer Strip'!Print_Area</vt:lpstr>
      <vt:lpstr>'Climate Data'!Print_Area</vt:lpstr>
      <vt:lpstr>'Detention Pond'!Print_Area</vt:lpstr>
      <vt:lpstr>'Detention Vault'!Print_Area</vt:lpstr>
      <vt:lpstr>'Infiltration Trench_Dry Well'!Print_Area</vt:lpstr>
      <vt:lpstr>'Media Filter'!Print_Area</vt:lpstr>
      <vt:lpstr>'Permeable Pavement'!Print_Area</vt:lpstr>
      <vt:lpstr>Readme!Print_Area</vt:lpstr>
      <vt:lpstr>'Swales-Flow'!Print_Area</vt:lpstr>
      <vt:lpstr>'Swales-Volume'!Print_Area</vt:lpstr>
      <vt:lpstr>'Wet Ponds_Wetlands'!Print_Area</vt:lpstr>
    </vt:vector>
  </TitlesOfParts>
  <Company>Hydroconsult Engineers,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SFPUC and Port of SF</dc:creator>
  <cp:lastModifiedBy>nparulekar</cp:lastModifiedBy>
  <cp:lastPrinted>2012-06-27T19:31:56Z</cp:lastPrinted>
  <dcterms:created xsi:type="dcterms:W3CDTF">2008-01-29T22:51:53Z</dcterms:created>
  <dcterms:modified xsi:type="dcterms:W3CDTF">2013-04-24T21:38:25Z</dcterms:modified>
</cp:coreProperties>
</file>