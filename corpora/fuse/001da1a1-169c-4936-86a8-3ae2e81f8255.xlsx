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5135" windowHeight="8385"/>
  </bookViews>
  <sheets>
    <sheet name="Fund Order" sheetId="2" r:id="rId1"/>
    <sheet name="FB-OSR Funds-other" sheetId="5" r:id="rId2"/>
  </sheets>
  <definedNames>
    <definedName name="_xlnm.Print_Titles" localSheetId="0">'Fund Order'!$1:$8</definedName>
  </definedNames>
  <calcPr calcId="125725"/>
</workbook>
</file>

<file path=xl/calcChain.xml><?xml version="1.0" encoding="utf-8"?>
<calcChain xmlns="http://schemas.openxmlformats.org/spreadsheetml/2006/main">
  <c r="E41" i="2"/>
  <c r="C107"/>
  <c r="C86"/>
  <c r="H76"/>
  <c r="C73"/>
  <c r="G107"/>
  <c r="E107"/>
  <c r="G95"/>
  <c r="F95"/>
  <c r="E95"/>
  <c r="C95"/>
  <c r="G91"/>
  <c r="F91"/>
  <c r="E42"/>
  <c r="D19" i="5"/>
  <c r="C57" i="2" s="1"/>
  <c r="C91" s="1"/>
  <c r="C110" s="1"/>
  <c r="H102"/>
  <c r="H99"/>
  <c r="H93"/>
  <c r="H49"/>
  <c r="H73"/>
  <c r="H72"/>
  <c r="H44"/>
  <c r="H34"/>
  <c r="H24"/>
  <c r="H15"/>
  <c r="H47"/>
  <c r="H14"/>
  <c r="E62"/>
  <c r="H61"/>
  <c r="H58"/>
  <c r="E64"/>
  <c r="H56"/>
  <c r="H55"/>
  <c r="H54"/>
  <c r="H53"/>
  <c r="E52"/>
  <c r="H46"/>
  <c r="H40"/>
  <c r="H39"/>
  <c r="H38"/>
  <c r="H74"/>
  <c r="H30"/>
  <c r="H32"/>
  <c r="H16"/>
  <c r="E85"/>
  <c r="H98"/>
  <c r="H27"/>
  <c r="H87"/>
  <c r="H90"/>
  <c r="H89"/>
  <c r="H92"/>
  <c r="H68"/>
  <c r="H67"/>
  <c r="F109"/>
  <c r="F108"/>
  <c r="H28"/>
  <c r="H86"/>
  <c r="H84"/>
  <c r="H75"/>
  <c r="H78"/>
  <c r="H77"/>
  <c r="H79"/>
  <c r="H71"/>
  <c r="H81"/>
  <c r="H33"/>
  <c r="H94"/>
  <c r="F103"/>
  <c r="F105"/>
  <c r="F106"/>
  <c r="F104"/>
  <c r="F100"/>
  <c r="F101"/>
  <c r="F97"/>
  <c r="E45"/>
  <c r="E43"/>
  <c r="E37"/>
  <c r="E36"/>
  <c r="E35"/>
  <c r="E26"/>
  <c r="E25"/>
  <c r="H29"/>
  <c r="H23"/>
  <c r="H22"/>
  <c r="H19"/>
  <c r="H18"/>
  <c r="H13"/>
  <c r="E10"/>
  <c r="E9"/>
  <c r="F107" l="1"/>
  <c r="G110"/>
  <c r="F110"/>
  <c r="H95"/>
  <c r="H107"/>
  <c r="H57"/>
  <c r="H91" s="1"/>
  <c r="E91"/>
  <c r="E110" s="1"/>
  <c r="H110" l="1"/>
</calcChain>
</file>

<file path=xl/sharedStrings.xml><?xml version="1.0" encoding="utf-8"?>
<sst xmlns="http://schemas.openxmlformats.org/spreadsheetml/2006/main" count="177" uniqueCount="153">
  <si>
    <t>General Fund</t>
  </si>
  <si>
    <t>CSTS</t>
  </si>
  <si>
    <t>Revenue Sharing Reserve Fund</t>
  </si>
  <si>
    <t>Aerial Photo</t>
  </si>
  <si>
    <t>Building Services</t>
  </si>
  <si>
    <t>Child Care</t>
  </si>
  <si>
    <t>Community Corrections</t>
  </si>
  <si>
    <t>Community Development</t>
  </si>
  <si>
    <t>E-911</t>
  </si>
  <si>
    <t>ETCS</t>
  </si>
  <si>
    <t>Head Start</t>
  </si>
  <si>
    <t>Inmate Concessions</t>
  </si>
  <si>
    <t>Public Health</t>
  </si>
  <si>
    <t>Veterans' Trust</t>
  </si>
  <si>
    <t>Property Foreclosure</t>
  </si>
  <si>
    <t>Principal Residence Exemption</t>
  </si>
  <si>
    <t>Facilities Management</t>
  </si>
  <si>
    <t>Fleet Management</t>
  </si>
  <si>
    <t>Fringe Benefit Revolving</t>
  </si>
  <si>
    <t>Copier Fund / Warehouse Fund</t>
  </si>
  <si>
    <t>Insurance Revolving</t>
  </si>
  <si>
    <t>Medical Insurance Revolving</t>
  </si>
  <si>
    <t>Telephone Revolving</t>
  </si>
  <si>
    <t>Worker's Compensation</t>
  </si>
  <si>
    <t>Severance Fund</t>
  </si>
  <si>
    <t>Unemployment Benefits Fund</t>
  </si>
  <si>
    <t>Public Works Solid Waste Program</t>
  </si>
  <si>
    <t>Other SR Funds:</t>
  </si>
  <si>
    <t>Housing Contingency Fund</t>
  </si>
  <si>
    <t>EECS Millage Maintenance Fund</t>
  </si>
  <si>
    <t xml:space="preserve">WASHTENAW  COUNTY  </t>
  </si>
  <si>
    <t>Fund #</t>
  </si>
  <si>
    <t>Fund Name</t>
  </si>
  <si>
    <t>Homeland Security Grants</t>
  </si>
  <si>
    <t>Shared with</t>
  </si>
  <si>
    <t>Other Funds</t>
  </si>
  <si>
    <t>For</t>
  </si>
  <si>
    <t>Specific</t>
  </si>
  <si>
    <t>Purpose</t>
  </si>
  <si>
    <t>Potential</t>
  </si>
  <si>
    <t>For Future</t>
  </si>
  <si>
    <t>Use By</t>
  </si>
  <si>
    <t xml:space="preserve">General </t>
  </si>
  <si>
    <t>Fund</t>
  </si>
  <si>
    <t>Contributing</t>
  </si>
  <si>
    <t>Used to pay unemployment benefits to laid off workers</t>
  </si>
  <si>
    <t>Used to pay for inmate items in Jail</t>
  </si>
  <si>
    <t>Telephone/cell phone surcharge- required for technology</t>
  </si>
  <si>
    <t>Used to pay unused sick/vacation to employees on termination</t>
  </si>
  <si>
    <t>Special voted millage - restricted</t>
  </si>
  <si>
    <t>Used for cash flow to purchase new copiers</t>
  </si>
  <si>
    <t>Veteran's Relief millage monies-restricted</t>
  </si>
  <si>
    <t>Drug Forefeiture monies</t>
  </si>
  <si>
    <t>Sheriff's Grants:</t>
  </si>
  <si>
    <t>Sheriff's Special Projects fund</t>
  </si>
  <si>
    <t>Sheriff's Training funds</t>
  </si>
  <si>
    <t>1490-92</t>
  </si>
  <si>
    <t>Sheriff Connectivity fund</t>
  </si>
  <si>
    <t>LAWNET reimbursement fund</t>
  </si>
  <si>
    <t>Law Enforcement Block grant</t>
  </si>
  <si>
    <t>Water Resources Commissioner Grants:</t>
  </si>
  <si>
    <t>Resource Remediation</t>
  </si>
  <si>
    <t>Stormwater General Permit</t>
  </si>
  <si>
    <t>Clean Michigan Initiative grants</t>
  </si>
  <si>
    <t>1871-1872</t>
  </si>
  <si>
    <t>Diversity Scholarship Fund</t>
  </si>
  <si>
    <t>Mortgage Foreclosure Prevention</t>
  </si>
  <si>
    <t>Law Library</t>
  </si>
  <si>
    <t>National CASA Expansion grant</t>
  </si>
  <si>
    <t>Various other funds</t>
  </si>
  <si>
    <t>County Capital Projects:</t>
  </si>
  <si>
    <t>EECS construction</t>
  </si>
  <si>
    <t>District Court project</t>
  </si>
  <si>
    <t>Capital Reserve Fund</t>
  </si>
  <si>
    <t>Capital Equipment Fund (Tech Fund)</t>
  </si>
  <si>
    <t>1/8 Mill Capital Improvement Fund</t>
  </si>
  <si>
    <t>Register of Deeds Technology Fund</t>
  </si>
  <si>
    <t>Non-bond Projects</t>
  </si>
  <si>
    <t>Fiber Network project</t>
  </si>
  <si>
    <t>various</t>
  </si>
  <si>
    <t>Prosecuting Attorney Grants:</t>
  </si>
  <si>
    <t>PA Drug Forfeiture fund</t>
  </si>
  <si>
    <t>PA Cooperative Reimbursement</t>
  </si>
  <si>
    <t>Public Works:</t>
  </si>
  <si>
    <t>Solid Waste Management Planning</t>
  </si>
  <si>
    <t>Reserved for construction expenditures</t>
  </si>
  <si>
    <t>Reserved for debt service payments</t>
  </si>
  <si>
    <t>Reserved to pay for future aerial flight over County</t>
  </si>
  <si>
    <t>Delinquent Tax Funds</t>
  </si>
  <si>
    <t>Department of Human Services</t>
  </si>
  <si>
    <t>2970-2980</t>
  </si>
  <si>
    <t>A State fund</t>
  </si>
  <si>
    <t>Juvenile Grants</t>
  </si>
  <si>
    <t>County Debt Service</t>
  </si>
  <si>
    <t>Building Authority debt service</t>
  </si>
  <si>
    <t>Stormwater Controls Demonstration Park</t>
  </si>
  <si>
    <t>Cash that is  remaining (after the delinquent tax notes have been paid off) is transferred to the Capital Reserve fund for use in paying County debt service</t>
  </si>
  <si>
    <t>Available but used for ongoing building maintenance</t>
  </si>
  <si>
    <t>Available  but used for ongoing technology expenditures</t>
  </si>
  <si>
    <t>Reserved for Register of Deeds technology</t>
  </si>
  <si>
    <t>Available but needed for fiscal stability  of County</t>
  </si>
  <si>
    <t>Explanation</t>
  </si>
  <si>
    <t>Available but used for ongoing  housing program initiatives</t>
  </si>
  <si>
    <r>
      <t>Natural Areas Millage</t>
    </r>
    <r>
      <rPr>
        <i/>
        <sz val="11"/>
        <color indexed="8"/>
        <rFont val="Calibri"/>
        <family val="2"/>
      </rPr>
      <t xml:space="preserve"> </t>
    </r>
    <r>
      <rPr>
        <i/>
        <sz val="9"/>
        <color indexed="8"/>
        <rFont val="Calibri"/>
        <family val="2"/>
      </rPr>
      <t>(reserved for land acquisition)</t>
    </r>
  </si>
  <si>
    <t>Natural Areas Millage Administration Fund</t>
  </si>
  <si>
    <t>Administrative portion of Natural Areas monies</t>
  </si>
  <si>
    <t>Accommodation Ordinance Tax</t>
  </si>
  <si>
    <t>Economic Development Millage</t>
  </si>
  <si>
    <t>Other</t>
  </si>
  <si>
    <t>Historic District Commission</t>
  </si>
  <si>
    <t>Reserved</t>
  </si>
  <si>
    <t>Reserved for tourism related expenditures</t>
  </si>
  <si>
    <t>Reserved for Act 88 expenditures</t>
  </si>
  <si>
    <t>Used to pay medical expenditures for employees and retirees</t>
  </si>
  <si>
    <t>Reserved for debt service and maintenance expenditures</t>
  </si>
  <si>
    <t>Grant monies</t>
  </si>
  <si>
    <t>Historic District Commission monies</t>
  </si>
  <si>
    <t>Reserved for solid waste expenditures</t>
  </si>
  <si>
    <t>Monies reserved for training purposes</t>
  </si>
  <si>
    <t>Secondary Road Patrol</t>
  </si>
  <si>
    <t>Used for cash flow to purchase new vehicles</t>
  </si>
  <si>
    <r>
      <t>Natural Areas Millage</t>
    </r>
    <r>
      <rPr>
        <i/>
        <sz val="11"/>
        <color indexed="8"/>
        <rFont val="Calibri"/>
        <family val="2"/>
      </rPr>
      <t xml:space="preserve"> </t>
    </r>
    <r>
      <rPr>
        <i/>
        <sz val="9"/>
        <color indexed="8"/>
        <rFont val="Calibri"/>
        <family val="2"/>
      </rPr>
      <t>(reserved for agricultural land acquisition)</t>
    </r>
  </si>
  <si>
    <t>Reserved for paying back Capital Reserve Fund</t>
  </si>
  <si>
    <t>HIDTA Grant</t>
  </si>
  <si>
    <t>Reserved to pay lease costs for space occupied by FBI task force</t>
  </si>
  <si>
    <t>Federal Drug Forefeiture monies</t>
  </si>
  <si>
    <t>Mental Health Donation (Haarer Bequest)</t>
  </si>
  <si>
    <t>Reserved for mental health services</t>
  </si>
  <si>
    <t>fund #</t>
  </si>
  <si>
    <t>amount</t>
  </si>
  <si>
    <t>Reserved for expenses of the property foreclosure program</t>
  </si>
  <si>
    <t>Net book value of fleet vehicles</t>
  </si>
  <si>
    <t>Fleet Management (capital asset portion)</t>
  </si>
  <si>
    <t>Copier Fund / Warehouse Fund (capital asset portion)</t>
  </si>
  <si>
    <t>Net book value of County copiers</t>
  </si>
  <si>
    <t>Friend of the Court</t>
  </si>
  <si>
    <t>Parks and Recreation:</t>
  </si>
  <si>
    <t>Parks and Recreation Fund</t>
  </si>
  <si>
    <t>Total for Governmental Funds</t>
  </si>
  <si>
    <t>Total for Enterprise Funds</t>
  </si>
  <si>
    <t>Total for Internal Service Funds</t>
  </si>
  <si>
    <t>Unobligated</t>
  </si>
  <si>
    <t>But Should Be</t>
  </si>
  <si>
    <t>Purpose)</t>
  </si>
  <si>
    <t>For A Specific</t>
  </si>
  <si>
    <t>(Not Reserved</t>
  </si>
  <si>
    <t xml:space="preserve">Fund Balances </t>
  </si>
  <si>
    <t>Fund Balance for Various Other Funds (row 60) in Other Special Revenue Funds section</t>
  </si>
  <si>
    <t>12/31/12 Fund Balances / Fund Equity</t>
  </si>
  <si>
    <t>at 12-31-12</t>
  </si>
  <si>
    <t>Salvage Vehicle Inspections</t>
  </si>
  <si>
    <t>/ Net Position</t>
  </si>
  <si>
    <t>Will be transferred to General Fund in 2013  per State schedule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</si>
</sst>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5" fillId="0" borderId="0" xfId="0" applyFont="1" applyFill="1" applyAlignment="1">
      <alignment horizontal="center"/>
    </xf>
    <xf numFmtId="164" fontId="3" fillId="0" borderId="1" xfId="1" applyNumberFormat="1" applyFont="1" applyFill="1" applyBorder="1"/>
    <xf numFmtId="0" fontId="0" fillId="0" borderId="0" xfId="0" applyFill="1" applyAlignment="1">
      <alignment horizontal="left" indent="2"/>
    </xf>
    <xf numFmtId="164" fontId="3" fillId="0" borderId="0" xfId="1" applyNumberFormat="1" applyFont="1" applyFill="1"/>
    <xf numFmtId="0" fontId="5" fillId="0" borderId="0" xfId="0" applyFont="1" applyFill="1" applyBorder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wrapText="1"/>
    </xf>
    <xf numFmtId="164" fontId="3" fillId="0" borderId="2" xfId="1" applyNumberFormat="1" applyFont="1" applyFill="1" applyBorder="1"/>
    <xf numFmtId="0" fontId="6" fillId="0" borderId="0" xfId="0" applyFont="1"/>
    <xf numFmtId="0" fontId="3" fillId="0" borderId="0" xfId="1" applyNumberFormat="1" applyFont="1" applyFill="1"/>
    <xf numFmtId="0" fontId="7" fillId="0" borderId="0" xfId="0" applyFont="1" applyFill="1"/>
    <xf numFmtId="0" fontId="8" fillId="0" borderId="0" xfId="0" applyFont="1" applyFill="1"/>
    <xf numFmtId="14" fontId="9" fillId="0" borderId="0" xfId="0" applyNumberFormat="1" applyFont="1" applyFill="1" applyAlignment="1">
      <alignment horizontal="left"/>
    </xf>
    <xf numFmtId="164" fontId="3" fillId="0" borderId="0" xfId="1" applyNumberFormat="1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0" fillId="0" borderId="0" xfId="0" applyFill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4" fontId="4" fillId="0" borderId="0" xfId="1" applyNumberFormat="1" applyFont="1" applyFill="1"/>
    <xf numFmtId="164" fontId="4" fillId="0" borderId="1" xfId="1" applyNumberFormat="1" applyFont="1" applyFill="1" applyBorder="1"/>
    <xf numFmtId="0" fontId="0" fillId="0" borderId="0" xfId="0" applyFill="1" applyBorder="1"/>
    <xf numFmtId="164" fontId="4" fillId="0" borderId="0" xfId="1" applyNumberFormat="1" applyFont="1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indent="2"/>
    </xf>
    <xf numFmtId="164" fontId="4" fillId="0" borderId="2" xfId="1" applyNumberFormat="1" applyFont="1" applyFill="1" applyBorder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 indent="4"/>
    </xf>
    <xf numFmtId="0" fontId="0" fillId="0" borderId="0" xfId="0" applyFill="1" applyBorder="1" applyAlignment="1">
      <alignment horizont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right"/>
    </xf>
    <xf numFmtId="0" fontId="11" fillId="0" borderId="0" xfId="0" applyFont="1" applyFill="1"/>
    <xf numFmtId="0" fontId="11" fillId="2" borderId="0" xfId="1" applyNumberFormat="1" applyFont="1" applyFill="1"/>
    <xf numFmtId="164" fontId="3" fillId="2" borderId="0" xfId="1" applyNumberFormat="1" applyFont="1" applyFill="1"/>
    <xf numFmtId="0" fontId="0" fillId="2" borderId="0" xfId="0" applyFill="1"/>
    <xf numFmtId="164" fontId="0" fillId="2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14"/>
  <sheetViews>
    <sheetView tabSelected="1" zoomScale="90" zoomScaleNormal="90" workbookViewId="0"/>
  </sheetViews>
  <sheetFormatPr defaultRowHeight="15"/>
  <cols>
    <col min="1" max="1" width="10.7109375" customWidth="1"/>
    <col min="2" max="2" width="39.85546875" customWidth="1"/>
    <col min="3" max="3" width="14.140625" style="21" bestFit="1" customWidth="1"/>
    <col min="4" max="4" width="2.7109375" customWidth="1"/>
    <col min="5" max="5" width="15.5703125" style="2" bestFit="1" customWidth="1"/>
    <col min="6" max="6" width="13.42578125" style="2" bestFit="1" customWidth="1"/>
    <col min="7" max="7" width="10.140625" style="2" bestFit="1" customWidth="1"/>
    <col min="8" max="8" width="12.7109375" style="2" bestFit="1" customWidth="1"/>
    <col min="9" max="9" width="41.140625" customWidth="1"/>
    <col min="10" max="10" width="10" bestFit="1" customWidth="1"/>
    <col min="11" max="11" width="12.140625" bestFit="1" customWidth="1"/>
  </cols>
  <sheetData>
    <row r="1" spans="1:9" ht="23.25">
      <c r="A1" s="14" t="s">
        <v>30</v>
      </c>
      <c r="B1" s="2"/>
      <c r="D1" s="2"/>
      <c r="E1" s="31"/>
      <c r="F1" s="31"/>
      <c r="G1" s="31"/>
      <c r="H1" s="31"/>
      <c r="I1" s="2"/>
    </row>
    <row r="2" spans="1:9" ht="18.75">
      <c r="A2" s="15" t="s">
        <v>148</v>
      </c>
      <c r="B2" s="2"/>
      <c r="D2" s="2"/>
      <c r="E2" s="31"/>
      <c r="F2" s="31"/>
      <c r="G2" s="31"/>
      <c r="H2" s="31"/>
      <c r="I2" s="2"/>
    </row>
    <row r="3" spans="1:9" ht="18.75">
      <c r="A3" s="15"/>
      <c r="B3" s="2"/>
      <c r="D3" s="2"/>
      <c r="E3" s="31"/>
      <c r="F3" s="31"/>
      <c r="G3" s="31"/>
      <c r="H3" s="31"/>
      <c r="I3" s="2"/>
    </row>
    <row r="4" spans="1:9" ht="15.75" customHeight="1">
      <c r="A4" s="15"/>
      <c r="B4" s="2"/>
      <c r="D4" s="2"/>
      <c r="E4" s="3"/>
      <c r="F4" s="3" t="s">
        <v>141</v>
      </c>
      <c r="G4" s="32" t="s">
        <v>39</v>
      </c>
      <c r="H4" s="32"/>
      <c r="I4" s="2"/>
    </row>
    <row r="5" spans="1:9" ht="15.75">
      <c r="A5" s="2"/>
      <c r="B5" s="16"/>
      <c r="C5" s="22"/>
      <c r="D5" s="2"/>
      <c r="E5" s="34" t="s">
        <v>141</v>
      </c>
      <c r="F5" s="3" t="s">
        <v>142</v>
      </c>
      <c r="G5" s="32" t="s">
        <v>40</v>
      </c>
      <c r="H5" s="32" t="s">
        <v>110</v>
      </c>
      <c r="I5" s="2"/>
    </row>
    <row r="6" spans="1:9">
      <c r="A6" s="2"/>
      <c r="B6" s="17"/>
      <c r="C6" s="22" t="s">
        <v>146</v>
      </c>
      <c r="D6" s="2"/>
      <c r="E6" s="3" t="s">
        <v>145</v>
      </c>
      <c r="F6" s="32" t="s">
        <v>34</v>
      </c>
      <c r="G6" s="32" t="s">
        <v>41</v>
      </c>
      <c r="H6" s="32" t="s">
        <v>36</v>
      </c>
      <c r="I6" s="2"/>
    </row>
    <row r="7" spans="1:9">
      <c r="A7" s="2"/>
      <c r="B7" s="2"/>
      <c r="C7" s="22" t="s">
        <v>151</v>
      </c>
      <c r="D7" s="2"/>
      <c r="E7" s="3" t="s">
        <v>144</v>
      </c>
      <c r="F7" s="32" t="s">
        <v>35</v>
      </c>
      <c r="G7" s="32" t="s">
        <v>42</v>
      </c>
      <c r="H7" s="32" t="s">
        <v>37</v>
      </c>
      <c r="I7" s="2"/>
    </row>
    <row r="8" spans="1:9">
      <c r="A8" s="18" t="s">
        <v>31</v>
      </c>
      <c r="B8" s="19" t="s">
        <v>32</v>
      </c>
      <c r="C8" s="23" t="s">
        <v>149</v>
      </c>
      <c r="D8" s="2"/>
      <c r="E8" s="8" t="s">
        <v>143</v>
      </c>
      <c r="F8" s="4" t="s">
        <v>44</v>
      </c>
      <c r="G8" s="4" t="s">
        <v>43</v>
      </c>
      <c r="H8" s="4" t="s">
        <v>38</v>
      </c>
      <c r="I8" s="4" t="s">
        <v>101</v>
      </c>
    </row>
    <row r="9" spans="1:9" ht="30">
      <c r="A9" s="2">
        <v>1010</v>
      </c>
      <c r="B9" s="2" t="s">
        <v>0</v>
      </c>
      <c r="C9" s="24">
        <v>16788087</v>
      </c>
      <c r="D9" s="2"/>
      <c r="E9" s="7">
        <f>C9</f>
        <v>16788087</v>
      </c>
      <c r="F9" s="7">
        <v>0</v>
      </c>
      <c r="G9" s="7">
        <v>0</v>
      </c>
      <c r="H9" s="7">
        <v>0</v>
      </c>
      <c r="I9" s="10" t="s">
        <v>100</v>
      </c>
    </row>
    <row r="10" spans="1:9">
      <c r="A10" s="26">
        <v>2930</v>
      </c>
      <c r="B10" s="26" t="s">
        <v>1</v>
      </c>
      <c r="C10" s="27">
        <v>0</v>
      </c>
      <c r="D10" s="2"/>
      <c r="E10" s="7">
        <f>C10</f>
        <v>0</v>
      </c>
      <c r="F10" s="7">
        <v>0</v>
      </c>
      <c r="G10" s="7">
        <v>0</v>
      </c>
      <c r="H10" s="7">
        <v>0</v>
      </c>
      <c r="I10" s="2"/>
    </row>
    <row r="11" spans="1:9">
      <c r="A11" s="26"/>
      <c r="B11" s="26"/>
      <c r="C11" s="27"/>
      <c r="D11" s="2"/>
      <c r="E11" s="7"/>
      <c r="F11" s="7"/>
      <c r="G11" s="7"/>
      <c r="H11" s="7"/>
      <c r="I11" s="2"/>
    </row>
    <row r="12" spans="1:9">
      <c r="A12" s="26"/>
      <c r="B12" s="26" t="s">
        <v>136</v>
      </c>
      <c r="C12" s="27"/>
      <c r="D12" s="2"/>
      <c r="E12" s="7"/>
      <c r="F12" s="7"/>
      <c r="G12" s="7"/>
      <c r="H12" s="7"/>
      <c r="I12" s="2"/>
    </row>
    <row r="13" spans="1:9">
      <c r="A13" s="26">
        <v>2080</v>
      </c>
      <c r="B13" s="26" t="s">
        <v>137</v>
      </c>
      <c r="C13" s="27">
        <v>12950814</v>
      </c>
      <c r="D13" s="2"/>
      <c r="E13" s="7">
        <v>0</v>
      </c>
      <c r="F13" s="7">
        <v>0</v>
      </c>
      <c r="G13" s="7">
        <v>0</v>
      </c>
      <c r="H13" s="7">
        <f t="shared" ref="H13:H24" si="0">C13</f>
        <v>12950814</v>
      </c>
      <c r="I13" s="2" t="s">
        <v>49</v>
      </c>
    </row>
    <row r="14" spans="1:9" ht="27.75">
      <c r="A14" s="26">
        <v>2090</v>
      </c>
      <c r="B14" s="28" t="s">
        <v>103</v>
      </c>
      <c r="C14" s="27">
        <v>7553471</v>
      </c>
      <c r="D14" s="2"/>
      <c r="E14" s="7">
        <v>0</v>
      </c>
      <c r="F14" s="7">
        <v>0</v>
      </c>
      <c r="G14" s="7">
        <v>0</v>
      </c>
      <c r="H14" s="7">
        <f>C14</f>
        <v>7553471</v>
      </c>
      <c r="I14" s="2" t="s">
        <v>49</v>
      </c>
    </row>
    <row r="15" spans="1:9" ht="27.75">
      <c r="A15" s="26">
        <v>2091</v>
      </c>
      <c r="B15" s="28" t="s">
        <v>121</v>
      </c>
      <c r="C15" s="27">
        <v>745736</v>
      </c>
      <c r="D15" s="2"/>
      <c r="E15" s="7">
        <v>0</v>
      </c>
      <c r="F15" s="7">
        <v>0</v>
      </c>
      <c r="G15" s="7">
        <v>0</v>
      </c>
      <c r="H15" s="7">
        <f>C15</f>
        <v>745736</v>
      </c>
      <c r="I15" s="2" t="s">
        <v>49</v>
      </c>
    </row>
    <row r="16" spans="1:9" ht="30">
      <c r="A16" s="26">
        <v>2095</v>
      </c>
      <c r="B16" s="28" t="s">
        <v>104</v>
      </c>
      <c r="C16" s="27">
        <v>1964436</v>
      </c>
      <c r="D16" s="2"/>
      <c r="E16" s="7">
        <v>0</v>
      </c>
      <c r="F16" s="7">
        <v>0</v>
      </c>
      <c r="G16" s="7">
        <v>0</v>
      </c>
      <c r="H16" s="7">
        <f>C16</f>
        <v>1964436</v>
      </c>
      <c r="I16" s="10" t="s">
        <v>105</v>
      </c>
    </row>
    <row r="17" spans="1:9">
      <c r="A17" s="26"/>
      <c r="B17" s="28"/>
      <c r="C17" s="27"/>
      <c r="D17" s="2"/>
      <c r="E17" s="7"/>
      <c r="F17" s="7"/>
      <c r="G17" s="7"/>
      <c r="H17" s="7"/>
      <c r="I17" s="10"/>
    </row>
    <row r="18" spans="1:9" ht="30">
      <c r="A18" s="26">
        <v>2850</v>
      </c>
      <c r="B18" s="26" t="s">
        <v>2</v>
      </c>
      <c r="C18" s="24">
        <v>4022175</v>
      </c>
      <c r="D18" s="2"/>
      <c r="E18" s="7">
        <v>0</v>
      </c>
      <c r="F18" s="7">
        <v>0</v>
      </c>
      <c r="G18" s="7">
        <v>0</v>
      </c>
      <c r="H18" s="7">
        <f t="shared" si="0"/>
        <v>4022175</v>
      </c>
      <c r="I18" s="10" t="s">
        <v>152</v>
      </c>
    </row>
    <row r="19" spans="1:9" ht="30">
      <c r="A19" s="2">
        <v>1990</v>
      </c>
      <c r="B19" s="2" t="s">
        <v>29</v>
      </c>
      <c r="C19" s="24">
        <v>1694284</v>
      </c>
      <c r="D19" s="2"/>
      <c r="E19" s="7">
        <v>0</v>
      </c>
      <c r="F19" s="7">
        <v>0</v>
      </c>
      <c r="G19" s="7">
        <v>0</v>
      </c>
      <c r="H19" s="7">
        <f t="shared" si="0"/>
        <v>1694284</v>
      </c>
      <c r="I19" s="10" t="s">
        <v>114</v>
      </c>
    </row>
    <row r="20" spans="1:9">
      <c r="A20" s="2"/>
      <c r="B20" s="2"/>
      <c r="C20" s="24"/>
      <c r="D20" s="2"/>
      <c r="E20" s="7"/>
      <c r="F20" s="7"/>
      <c r="G20" s="7"/>
      <c r="H20" s="7"/>
      <c r="I20" s="2"/>
    </row>
    <row r="21" spans="1:9">
      <c r="A21" s="26"/>
      <c r="B21" s="26" t="s">
        <v>70</v>
      </c>
      <c r="C21" s="27"/>
      <c r="D21" s="2"/>
      <c r="E21" s="7"/>
      <c r="F21" s="7"/>
      <c r="G21" s="7"/>
      <c r="H21" s="7"/>
      <c r="I21" s="2"/>
    </row>
    <row r="22" spans="1:9">
      <c r="A22" s="26">
        <v>4016</v>
      </c>
      <c r="B22" s="29" t="s">
        <v>71</v>
      </c>
      <c r="C22" s="27">
        <v>5987647.1200000001</v>
      </c>
      <c r="D22" s="2"/>
      <c r="E22" s="7">
        <v>0</v>
      </c>
      <c r="F22" s="7">
        <v>0</v>
      </c>
      <c r="G22" s="7">
        <v>0</v>
      </c>
      <c r="H22" s="7">
        <f t="shared" si="0"/>
        <v>5987647.1200000001</v>
      </c>
      <c r="I22" s="2" t="s">
        <v>85</v>
      </c>
    </row>
    <row r="23" spans="1:9">
      <c r="A23" s="26">
        <v>4019</v>
      </c>
      <c r="B23" s="29" t="s">
        <v>72</v>
      </c>
      <c r="C23" s="27">
        <v>0</v>
      </c>
      <c r="D23" s="2"/>
      <c r="E23" s="7">
        <v>0</v>
      </c>
      <c r="F23" s="7">
        <v>0</v>
      </c>
      <c r="G23" s="7">
        <v>0</v>
      </c>
      <c r="H23" s="7">
        <f t="shared" si="0"/>
        <v>0</v>
      </c>
      <c r="I23" s="2" t="s">
        <v>85</v>
      </c>
    </row>
    <row r="24" spans="1:9">
      <c r="A24" s="26">
        <v>4060</v>
      </c>
      <c r="B24" s="29" t="s">
        <v>73</v>
      </c>
      <c r="C24" s="27">
        <v>7579837.4000000004</v>
      </c>
      <c r="D24" s="2"/>
      <c r="E24" s="7">
        <v>0</v>
      </c>
      <c r="F24" s="7">
        <v>0</v>
      </c>
      <c r="G24" s="7">
        <v>0</v>
      </c>
      <c r="H24" s="7">
        <f t="shared" si="0"/>
        <v>7579837.4000000004</v>
      </c>
      <c r="I24" s="2" t="s">
        <v>86</v>
      </c>
    </row>
    <row r="25" spans="1:9" ht="30">
      <c r="A25" s="26">
        <v>4050</v>
      </c>
      <c r="B25" s="29" t="s">
        <v>74</v>
      </c>
      <c r="C25" s="27">
        <v>3064195.63</v>
      </c>
      <c r="D25" s="2"/>
      <c r="E25" s="7">
        <f>C25</f>
        <v>3064195.63</v>
      </c>
      <c r="F25" s="7">
        <v>0</v>
      </c>
      <c r="G25" s="7">
        <v>0</v>
      </c>
      <c r="H25" s="7">
        <v>0</v>
      </c>
      <c r="I25" s="10" t="s">
        <v>98</v>
      </c>
    </row>
    <row r="26" spans="1:9" ht="30">
      <c r="A26" s="26">
        <v>4010</v>
      </c>
      <c r="B26" s="29" t="s">
        <v>75</v>
      </c>
      <c r="C26" s="27">
        <v>2100876.9900000002</v>
      </c>
      <c r="D26" s="2"/>
      <c r="E26" s="7">
        <f>C26</f>
        <v>2100876.9900000002</v>
      </c>
      <c r="F26" s="7">
        <v>0</v>
      </c>
      <c r="G26" s="7">
        <v>0</v>
      </c>
      <c r="H26" s="7">
        <v>0</v>
      </c>
      <c r="I26" s="10" t="s">
        <v>97</v>
      </c>
    </row>
    <row r="27" spans="1:9">
      <c r="A27" s="26">
        <v>4040</v>
      </c>
      <c r="B27" s="29" t="s">
        <v>76</v>
      </c>
      <c r="C27" s="27">
        <v>176505.54</v>
      </c>
      <c r="D27" s="2"/>
      <c r="E27" s="7">
        <v>0</v>
      </c>
      <c r="F27" s="7">
        <v>0</v>
      </c>
      <c r="G27" s="7">
        <v>0</v>
      </c>
      <c r="H27" s="7">
        <f>C27</f>
        <v>176505.54</v>
      </c>
      <c r="I27" s="2" t="s">
        <v>99</v>
      </c>
    </row>
    <row r="28" spans="1:9">
      <c r="A28" s="26">
        <v>4020</v>
      </c>
      <c r="B28" s="29" t="s">
        <v>77</v>
      </c>
      <c r="C28" s="27">
        <v>1510917.61</v>
      </c>
      <c r="D28" s="2"/>
      <c r="E28" s="7">
        <v>0</v>
      </c>
      <c r="F28" s="7">
        <v>0</v>
      </c>
      <c r="G28" s="7">
        <v>0</v>
      </c>
      <c r="H28" s="7">
        <f>C28</f>
        <v>1510917.61</v>
      </c>
      <c r="I28" s="2" t="s">
        <v>85</v>
      </c>
    </row>
    <row r="29" spans="1:9">
      <c r="A29" s="26">
        <v>4021</v>
      </c>
      <c r="B29" s="29" t="s">
        <v>78</v>
      </c>
      <c r="C29" s="27">
        <v>46505.13</v>
      </c>
      <c r="D29" s="2"/>
      <c r="E29" s="7">
        <v>0</v>
      </c>
      <c r="F29" s="7">
        <v>0</v>
      </c>
      <c r="G29" s="7">
        <v>0</v>
      </c>
      <c r="H29" s="7">
        <f>C29</f>
        <v>46505.13</v>
      </c>
      <c r="I29" s="2" t="s">
        <v>85</v>
      </c>
    </row>
    <row r="30" spans="1:9">
      <c r="A30" s="26">
        <v>4017</v>
      </c>
      <c r="B30" s="29" t="s">
        <v>108</v>
      </c>
      <c r="C30" s="27">
        <v>44.38</v>
      </c>
      <c r="D30" s="2"/>
      <c r="E30" s="7">
        <v>0</v>
      </c>
      <c r="F30" s="7">
        <v>0</v>
      </c>
      <c r="G30" s="7">
        <v>0</v>
      </c>
      <c r="H30" s="7">
        <f>C30</f>
        <v>44.38</v>
      </c>
      <c r="I30" s="2" t="s">
        <v>85</v>
      </c>
    </row>
    <row r="31" spans="1:9">
      <c r="A31" s="2"/>
      <c r="B31" s="2"/>
      <c r="C31" s="24"/>
      <c r="D31" s="2"/>
      <c r="E31" s="7"/>
      <c r="F31" s="7"/>
      <c r="G31" s="7"/>
      <c r="H31" s="7"/>
      <c r="I31" s="2"/>
    </row>
    <row r="32" spans="1:9">
      <c r="A32" s="2">
        <v>2290</v>
      </c>
      <c r="B32" s="20" t="s">
        <v>106</v>
      </c>
      <c r="C32" s="24">
        <v>763784</v>
      </c>
      <c r="D32" s="2"/>
      <c r="E32" s="7">
        <v>0</v>
      </c>
      <c r="F32" s="7">
        <v>0</v>
      </c>
      <c r="G32" s="7">
        <v>0</v>
      </c>
      <c r="H32" s="7">
        <f>C32</f>
        <v>763784</v>
      </c>
      <c r="I32" s="2" t="s">
        <v>111</v>
      </c>
    </row>
    <row r="33" spans="1:9" s="2" customFormat="1" ht="30">
      <c r="A33" s="2">
        <v>1090</v>
      </c>
      <c r="B33" s="2" t="s">
        <v>3</v>
      </c>
      <c r="C33" s="24">
        <v>141965</v>
      </c>
      <c r="E33" s="7">
        <v>0</v>
      </c>
      <c r="F33" s="7">
        <v>0</v>
      </c>
      <c r="G33" s="7">
        <v>0</v>
      </c>
      <c r="H33" s="7">
        <f>C33</f>
        <v>141965</v>
      </c>
      <c r="I33" s="10" t="s">
        <v>87</v>
      </c>
    </row>
    <row r="34" spans="1:9" s="2" customFormat="1">
      <c r="A34" s="2">
        <v>1750</v>
      </c>
      <c r="B34" s="2" t="s">
        <v>4</v>
      </c>
      <c r="C34" s="24">
        <v>399105</v>
      </c>
      <c r="E34" s="7">
        <v>0</v>
      </c>
      <c r="F34" s="7">
        <v>0</v>
      </c>
      <c r="G34" s="7">
        <v>0</v>
      </c>
      <c r="H34" s="7">
        <f>C34</f>
        <v>399105</v>
      </c>
      <c r="I34" s="2" t="s">
        <v>122</v>
      </c>
    </row>
    <row r="35" spans="1:9" s="2" customFormat="1">
      <c r="A35" s="2">
        <v>2990</v>
      </c>
      <c r="B35" s="2" t="s">
        <v>5</v>
      </c>
      <c r="C35" s="24">
        <v>826581</v>
      </c>
      <c r="E35" s="7">
        <f>C35</f>
        <v>826581</v>
      </c>
      <c r="F35" s="7">
        <v>0</v>
      </c>
      <c r="G35" s="7">
        <v>0</v>
      </c>
      <c r="H35" s="7">
        <v>0</v>
      </c>
    </row>
    <row r="36" spans="1:9" s="2" customFormat="1">
      <c r="A36" s="2">
        <v>2804</v>
      </c>
      <c r="B36" s="2" t="s">
        <v>6</v>
      </c>
      <c r="C36" s="24">
        <v>237010</v>
      </c>
      <c r="E36" s="7">
        <f>C36</f>
        <v>237010</v>
      </c>
      <c r="F36" s="7">
        <v>0</v>
      </c>
      <c r="G36" s="7">
        <v>0</v>
      </c>
      <c r="H36" s="7">
        <v>0</v>
      </c>
    </row>
    <row r="37" spans="1:9" s="2" customFormat="1">
      <c r="A37" s="9" t="s">
        <v>79</v>
      </c>
      <c r="B37" s="2" t="s">
        <v>7</v>
      </c>
      <c r="C37" s="24">
        <v>410149</v>
      </c>
      <c r="E37" s="7">
        <f>C37</f>
        <v>410149</v>
      </c>
      <c r="F37" s="7">
        <v>0</v>
      </c>
      <c r="G37" s="7">
        <v>0</v>
      </c>
      <c r="H37" s="7">
        <v>0</v>
      </c>
    </row>
    <row r="38" spans="1:9" s="2" customFormat="1">
      <c r="A38" s="2" t="s">
        <v>90</v>
      </c>
      <c r="B38" s="2" t="s">
        <v>89</v>
      </c>
      <c r="C38" s="24">
        <v>44944</v>
      </c>
      <c r="E38" s="7">
        <v>0</v>
      </c>
      <c r="F38" s="7">
        <v>0</v>
      </c>
      <c r="G38" s="7">
        <v>0</v>
      </c>
      <c r="H38" s="7">
        <f>C38</f>
        <v>44944</v>
      </c>
      <c r="I38" s="2" t="s">
        <v>91</v>
      </c>
    </row>
    <row r="39" spans="1:9" s="2" customFormat="1" ht="30">
      <c r="A39" s="9" t="s">
        <v>79</v>
      </c>
      <c r="B39" s="2" t="s">
        <v>8</v>
      </c>
      <c r="C39" s="24">
        <v>699454</v>
      </c>
      <c r="E39" s="7">
        <v>0</v>
      </c>
      <c r="F39" s="7">
        <v>0</v>
      </c>
      <c r="G39" s="7">
        <v>0</v>
      </c>
      <c r="H39" s="7">
        <f>C39</f>
        <v>699454</v>
      </c>
      <c r="I39" s="10" t="s">
        <v>47</v>
      </c>
    </row>
    <row r="40" spans="1:9" s="2" customFormat="1">
      <c r="A40" s="9">
        <v>1212</v>
      </c>
      <c r="B40" s="20" t="s">
        <v>107</v>
      </c>
      <c r="C40" s="24">
        <v>18875</v>
      </c>
      <c r="E40" s="7">
        <v>0</v>
      </c>
      <c r="F40" s="7">
        <v>0</v>
      </c>
      <c r="G40" s="7">
        <v>0</v>
      </c>
      <c r="H40" s="7">
        <f>C40</f>
        <v>18875</v>
      </c>
      <c r="I40" s="10" t="s">
        <v>112</v>
      </c>
    </row>
    <row r="41" spans="1:9" s="2" customFormat="1">
      <c r="A41" s="9" t="s">
        <v>79</v>
      </c>
      <c r="B41" s="2" t="s">
        <v>9</v>
      </c>
      <c r="C41" s="24">
        <v>1034263</v>
      </c>
      <c r="E41" s="7">
        <f>C41-H41</f>
        <v>627173</v>
      </c>
      <c r="F41" s="7">
        <v>0</v>
      </c>
      <c r="G41" s="7">
        <v>0</v>
      </c>
      <c r="H41" s="7">
        <v>407090</v>
      </c>
    </row>
    <row r="42" spans="1:9" s="2" customFormat="1">
      <c r="A42" s="9">
        <v>2150</v>
      </c>
      <c r="B42" s="2" t="s">
        <v>135</v>
      </c>
      <c r="C42" s="24">
        <v>0</v>
      </c>
      <c r="E42" s="7">
        <f>C42</f>
        <v>0</v>
      </c>
      <c r="F42" s="7">
        <v>0</v>
      </c>
      <c r="G42" s="7">
        <v>0</v>
      </c>
      <c r="H42" s="7">
        <v>0</v>
      </c>
    </row>
    <row r="43" spans="1:9" s="2" customFormat="1">
      <c r="A43" s="9" t="s">
        <v>79</v>
      </c>
      <c r="B43" s="2" t="s">
        <v>10</v>
      </c>
      <c r="C43" s="24">
        <v>133444</v>
      </c>
      <c r="E43" s="7">
        <f>C43</f>
        <v>133444</v>
      </c>
      <c r="F43" s="7">
        <v>0</v>
      </c>
      <c r="G43" s="7">
        <v>0</v>
      </c>
      <c r="H43" s="7">
        <v>0</v>
      </c>
    </row>
    <row r="44" spans="1:9" s="2" customFormat="1" ht="30">
      <c r="A44" s="9" t="s">
        <v>79</v>
      </c>
      <c r="B44" s="2" t="s">
        <v>123</v>
      </c>
      <c r="C44" s="24">
        <v>92956</v>
      </c>
      <c r="E44" s="7">
        <v>0</v>
      </c>
      <c r="F44" s="7">
        <v>0</v>
      </c>
      <c r="G44" s="7">
        <v>0</v>
      </c>
      <c r="H44" s="7">
        <f>C44</f>
        <v>92956</v>
      </c>
      <c r="I44" s="10" t="s">
        <v>124</v>
      </c>
    </row>
    <row r="45" spans="1:9" s="2" customFormat="1">
      <c r="A45" s="9">
        <v>1950</v>
      </c>
      <c r="B45" s="2" t="s">
        <v>33</v>
      </c>
      <c r="C45" s="24">
        <v>22525</v>
      </c>
      <c r="E45" s="7">
        <f>C45</f>
        <v>22525</v>
      </c>
      <c r="F45" s="7">
        <v>0</v>
      </c>
      <c r="G45" s="7">
        <v>0</v>
      </c>
      <c r="H45" s="7">
        <v>0</v>
      </c>
    </row>
    <row r="46" spans="1:9" s="2" customFormat="1">
      <c r="A46" s="9">
        <v>1572</v>
      </c>
      <c r="B46" s="2" t="s">
        <v>11</v>
      </c>
      <c r="C46" s="24">
        <v>136106</v>
      </c>
      <c r="E46" s="7">
        <v>0</v>
      </c>
      <c r="F46" s="7">
        <v>0</v>
      </c>
      <c r="G46" s="7">
        <v>0</v>
      </c>
      <c r="H46" s="7">
        <f>C46</f>
        <v>136106</v>
      </c>
      <c r="I46" s="2" t="s">
        <v>46</v>
      </c>
    </row>
    <row r="47" spans="1:9" s="2" customFormat="1">
      <c r="A47" s="9" t="s">
        <v>79</v>
      </c>
      <c r="B47" s="2" t="s">
        <v>92</v>
      </c>
      <c r="C47" s="24">
        <v>15217</v>
      </c>
      <c r="E47" s="7">
        <v>0</v>
      </c>
      <c r="F47" s="7">
        <v>0</v>
      </c>
      <c r="G47" s="7">
        <v>0</v>
      </c>
      <c r="H47" s="7">
        <f>C47</f>
        <v>15217</v>
      </c>
    </row>
    <row r="48" spans="1:9" s="2" customFormat="1">
      <c r="A48" s="9"/>
      <c r="C48" s="24"/>
      <c r="E48" s="7"/>
      <c r="F48" s="7"/>
      <c r="G48" s="7"/>
      <c r="H48" s="7"/>
    </row>
    <row r="49" spans="1:11" s="2" customFormat="1">
      <c r="A49" s="9">
        <v>2972</v>
      </c>
      <c r="B49" s="2" t="s">
        <v>126</v>
      </c>
      <c r="C49" s="24">
        <v>419851</v>
      </c>
      <c r="E49" s="7">
        <v>0</v>
      </c>
      <c r="F49" s="7">
        <v>0</v>
      </c>
      <c r="G49" s="7">
        <v>0</v>
      </c>
      <c r="H49" s="7">
        <f>C49</f>
        <v>419851</v>
      </c>
      <c r="I49" s="2" t="s">
        <v>127</v>
      </c>
    </row>
    <row r="50" spans="1:11" s="2" customFormat="1">
      <c r="A50" s="9"/>
      <c r="C50" s="24"/>
      <c r="E50" s="7"/>
      <c r="F50" s="7"/>
      <c r="G50" s="7"/>
      <c r="H50" s="7"/>
    </row>
    <row r="51" spans="1:11" s="2" customFormat="1">
      <c r="A51" s="26"/>
      <c r="B51" s="26" t="s">
        <v>27</v>
      </c>
      <c r="C51" s="27"/>
      <c r="E51" s="7"/>
      <c r="F51" s="7"/>
      <c r="G51" s="7"/>
      <c r="H51" s="7"/>
    </row>
    <row r="52" spans="1:11" s="2" customFormat="1" ht="30">
      <c r="A52" s="35">
        <v>1670</v>
      </c>
      <c r="B52" s="29" t="s">
        <v>28</v>
      </c>
      <c r="C52" s="27">
        <v>144446.71</v>
      </c>
      <c r="E52" s="7">
        <f>C52</f>
        <v>144446.71</v>
      </c>
      <c r="F52" s="7">
        <v>0</v>
      </c>
      <c r="G52" s="7">
        <v>0</v>
      </c>
      <c r="H52" s="7">
        <v>0</v>
      </c>
      <c r="I52" s="10" t="s">
        <v>102</v>
      </c>
    </row>
    <row r="53" spans="1:11" s="2" customFormat="1">
      <c r="A53" s="35">
        <v>1120</v>
      </c>
      <c r="B53" s="29" t="s">
        <v>66</v>
      </c>
      <c r="C53" s="27">
        <v>16763.32</v>
      </c>
      <c r="E53" s="7">
        <v>0</v>
      </c>
      <c r="F53" s="7">
        <v>0</v>
      </c>
      <c r="G53" s="7">
        <v>0</v>
      </c>
      <c r="H53" s="7">
        <f t="shared" ref="H53:H57" si="1">C53</f>
        <v>16763.32</v>
      </c>
      <c r="J53" s="13"/>
      <c r="K53" s="7"/>
    </row>
    <row r="54" spans="1:11" s="2" customFormat="1">
      <c r="A54" s="35">
        <v>2070</v>
      </c>
      <c r="B54" s="29" t="s">
        <v>65</v>
      </c>
      <c r="C54" s="27">
        <v>40942.42</v>
      </c>
      <c r="E54" s="7">
        <v>0</v>
      </c>
      <c r="F54" s="7">
        <v>0</v>
      </c>
      <c r="G54" s="7">
        <v>0</v>
      </c>
      <c r="H54" s="7">
        <f t="shared" si="1"/>
        <v>40942.42</v>
      </c>
      <c r="J54" s="13"/>
      <c r="K54" s="7"/>
    </row>
    <row r="55" spans="1:11" s="2" customFormat="1">
      <c r="A55" s="35">
        <v>2991</v>
      </c>
      <c r="B55" s="29" t="s">
        <v>68</v>
      </c>
      <c r="C55" s="27">
        <v>77821.38</v>
      </c>
      <c r="E55" s="7">
        <v>0</v>
      </c>
      <c r="F55" s="7">
        <v>0</v>
      </c>
      <c r="G55" s="7">
        <v>0</v>
      </c>
      <c r="H55" s="7">
        <f t="shared" si="1"/>
        <v>77821.38</v>
      </c>
      <c r="I55" s="2" t="s">
        <v>115</v>
      </c>
      <c r="J55" s="13"/>
      <c r="K55" s="7"/>
    </row>
    <row r="56" spans="1:11" s="2" customFormat="1">
      <c r="A56" s="35">
        <v>2060</v>
      </c>
      <c r="B56" s="29" t="s">
        <v>67</v>
      </c>
      <c r="C56" s="27">
        <v>36109.67</v>
      </c>
      <c r="E56" s="7">
        <v>0</v>
      </c>
      <c r="F56" s="7">
        <v>0</v>
      </c>
      <c r="G56" s="7">
        <v>0</v>
      </c>
      <c r="H56" s="7">
        <f t="shared" si="1"/>
        <v>36109.67</v>
      </c>
      <c r="J56" s="13"/>
      <c r="K56" s="7"/>
    </row>
    <row r="57" spans="1:11" s="2" customFormat="1">
      <c r="A57" s="36" t="s">
        <v>79</v>
      </c>
      <c r="B57" s="29" t="s">
        <v>69</v>
      </c>
      <c r="C57" s="27">
        <f>'FB-OSR Funds-other'!D19</f>
        <v>157678.26999999999</v>
      </c>
      <c r="E57" s="7">
        <v>0</v>
      </c>
      <c r="F57" s="7">
        <v>0</v>
      </c>
      <c r="G57" s="7">
        <v>0</v>
      </c>
      <c r="H57" s="7">
        <f t="shared" si="1"/>
        <v>157678.26999999999</v>
      </c>
      <c r="J57" s="13"/>
      <c r="K57" s="7"/>
    </row>
    <row r="58" spans="1:11" s="2" customFormat="1">
      <c r="A58" s="36">
        <v>1260</v>
      </c>
      <c r="B58" s="29" t="s">
        <v>109</v>
      </c>
      <c r="C58" s="27">
        <v>5065.9399999999996</v>
      </c>
      <c r="E58" s="7">
        <v>0</v>
      </c>
      <c r="F58" s="7">
        <v>0</v>
      </c>
      <c r="G58" s="7">
        <v>0</v>
      </c>
      <c r="H58" s="7">
        <f>C58</f>
        <v>5065.9399999999996</v>
      </c>
      <c r="I58" s="2" t="s">
        <v>116</v>
      </c>
      <c r="J58" s="13"/>
      <c r="K58" s="7"/>
    </row>
    <row r="59" spans="1:11" s="2" customFormat="1">
      <c r="C59" s="21"/>
      <c r="E59" s="31"/>
      <c r="F59" s="31"/>
      <c r="G59" s="31"/>
      <c r="H59" s="31"/>
      <c r="I59" s="10"/>
      <c r="K59" s="7"/>
    </row>
    <row r="60" spans="1:11" s="2" customFormat="1">
      <c r="B60" s="2" t="s">
        <v>80</v>
      </c>
      <c r="C60" s="24"/>
      <c r="E60" s="7"/>
      <c r="F60" s="7"/>
      <c r="G60" s="7"/>
      <c r="H60" s="7"/>
      <c r="I60" s="10"/>
    </row>
    <row r="61" spans="1:11" s="2" customFormat="1">
      <c r="A61" s="2">
        <v>1610</v>
      </c>
      <c r="B61" s="6" t="s">
        <v>81</v>
      </c>
      <c r="C61" s="24">
        <v>256459.12</v>
      </c>
      <c r="E61" s="7">
        <v>0</v>
      </c>
      <c r="F61" s="7">
        <v>0</v>
      </c>
      <c r="G61" s="7">
        <v>0</v>
      </c>
      <c r="H61" s="7">
        <f>C61</f>
        <v>256459.12</v>
      </c>
    </row>
    <row r="62" spans="1:11" s="2" customFormat="1">
      <c r="A62" s="2">
        <v>1620</v>
      </c>
      <c r="B62" s="6" t="s">
        <v>82</v>
      </c>
      <c r="C62" s="24">
        <v>69874.710000000006</v>
      </c>
      <c r="E62" s="7">
        <f>C62</f>
        <v>69874.710000000006</v>
      </c>
      <c r="F62" s="7">
        <v>0</v>
      </c>
      <c r="G62" s="7">
        <v>0</v>
      </c>
      <c r="H62" s="7">
        <v>0</v>
      </c>
    </row>
    <row r="63" spans="1:11" s="2" customFormat="1">
      <c r="C63" s="24"/>
      <c r="E63" s="7"/>
      <c r="F63" s="7"/>
      <c r="G63" s="7"/>
      <c r="H63" s="7"/>
    </row>
    <row r="64" spans="1:11" s="2" customFormat="1">
      <c r="B64" s="2" t="s">
        <v>12</v>
      </c>
      <c r="C64" s="24">
        <v>2051532</v>
      </c>
      <c r="E64" s="7">
        <f>C64</f>
        <v>2051532</v>
      </c>
      <c r="F64" s="7">
        <v>0</v>
      </c>
      <c r="G64" s="7">
        <v>0</v>
      </c>
      <c r="H64" s="7">
        <v>0</v>
      </c>
    </row>
    <row r="65" spans="1:9" s="2" customFormat="1">
      <c r="C65" s="21"/>
      <c r="E65" s="31"/>
      <c r="F65" s="31"/>
      <c r="G65" s="31"/>
      <c r="H65" s="31"/>
    </row>
    <row r="66" spans="1:9" s="2" customFormat="1">
      <c r="B66" s="2" t="s">
        <v>83</v>
      </c>
      <c r="C66" s="24"/>
      <c r="E66" s="7"/>
      <c r="F66" s="7"/>
      <c r="G66" s="7"/>
      <c r="H66" s="7"/>
    </row>
    <row r="67" spans="1:9" s="2" customFormat="1">
      <c r="A67" s="2">
        <v>1710</v>
      </c>
      <c r="B67" s="6" t="s">
        <v>26</v>
      </c>
      <c r="C67" s="24">
        <v>766636.15</v>
      </c>
      <c r="E67" s="7">
        <v>0</v>
      </c>
      <c r="F67" s="7">
        <v>0</v>
      </c>
      <c r="G67" s="7">
        <v>0</v>
      </c>
      <c r="H67" s="7">
        <f>C67</f>
        <v>766636.15</v>
      </c>
      <c r="I67" s="2" t="s">
        <v>117</v>
      </c>
    </row>
    <row r="68" spans="1:9" s="2" customFormat="1">
      <c r="A68" s="2">
        <v>1740</v>
      </c>
      <c r="B68" s="6" t="s">
        <v>84</v>
      </c>
      <c r="C68" s="24">
        <v>11896</v>
      </c>
      <c r="E68" s="7">
        <v>0</v>
      </c>
      <c r="F68" s="7">
        <v>0</v>
      </c>
      <c r="G68" s="7">
        <v>0</v>
      </c>
      <c r="H68" s="7">
        <f>C68</f>
        <v>11896</v>
      </c>
    </row>
    <row r="69" spans="1:9" s="2" customFormat="1">
      <c r="C69" s="21"/>
      <c r="E69" s="31"/>
      <c r="F69" s="31"/>
      <c r="G69" s="31"/>
      <c r="H69" s="31"/>
    </row>
    <row r="70" spans="1:9" s="2" customFormat="1">
      <c r="B70" s="2" t="s">
        <v>53</v>
      </c>
      <c r="C70" s="24"/>
      <c r="E70" s="7"/>
      <c r="F70" s="7"/>
      <c r="G70" s="7"/>
      <c r="H70" s="7"/>
    </row>
    <row r="71" spans="1:9" s="2" customFormat="1">
      <c r="A71" s="2">
        <v>1300</v>
      </c>
      <c r="B71" s="6" t="s">
        <v>52</v>
      </c>
      <c r="C71" s="24">
        <v>53946.35</v>
      </c>
      <c r="E71" s="7">
        <v>0</v>
      </c>
      <c r="F71" s="7">
        <v>0</v>
      </c>
      <c r="G71" s="7">
        <v>0</v>
      </c>
      <c r="H71" s="7">
        <f t="shared" ref="H71:H79" si="2">C71</f>
        <v>53946.35</v>
      </c>
    </row>
    <row r="72" spans="1:9" s="2" customFormat="1">
      <c r="A72" s="2">
        <v>1301</v>
      </c>
      <c r="B72" s="6" t="s">
        <v>125</v>
      </c>
      <c r="C72" s="24">
        <v>309756.83</v>
      </c>
      <c r="E72" s="7">
        <v>0</v>
      </c>
      <c r="F72" s="7">
        <v>0</v>
      </c>
      <c r="G72" s="7">
        <v>0</v>
      </c>
      <c r="H72" s="7">
        <f>C72</f>
        <v>309756.83</v>
      </c>
    </row>
    <row r="73" spans="1:9" s="2" customFormat="1">
      <c r="A73" s="9" t="s">
        <v>56</v>
      </c>
      <c r="B73" s="6" t="s">
        <v>55</v>
      </c>
      <c r="C73" s="24">
        <f>65851.28+17153.31+324214.24</f>
        <v>407218.82999999996</v>
      </c>
      <c r="E73" s="7">
        <v>0</v>
      </c>
      <c r="F73" s="7">
        <v>0</v>
      </c>
      <c r="G73" s="7">
        <v>0</v>
      </c>
      <c r="H73" s="7">
        <f t="shared" si="2"/>
        <v>407218.82999999996</v>
      </c>
      <c r="I73" s="10" t="s">
        <v>118</v>
      </c>
    </row>
    <row r="74" spans="1:9" s="2" customFormat="1">
      <c r="A74" s="2">
        <v>1400</v>
      </c>
      <c r="B74" s="6" t="s">
        <v>119</v>
      </c>
      <c r="C74" s="24">
        <v>0</v>
      </c>
      <c r="E74" s="7">
        <v>0</v>
      </c>
      <c r="F74" s="7">
        <v>0</v>
      </c>
      <c r="G74" s="7">
        <v>0</v>
      </c>
      <c r="H74" s="7">
        <f t="shared" si="2"/>
        <v>0</v>
      </c>
      <c r="I74" s="2" t="s">
        <v>115</v>
      </c>
    </row>
    <row r="75" spans="1:9" s="2" customFormat="1">
      <c r="A75" s="37">
        <v>1590</v>
      </c>
      <c r="B75" s="6" t="s">
        <v>54</v>
      </c>
      <c r="C75" s="24">
        <v>61668.82</v>
      </c>
      <c r="E75" s="7">
        <v>0</v>
      </c>
      <c r="F75" s="7">
        <v>0</v>
      </c>
      <c r="G75" s="7">
        <v>0</v>
      </c>
      <c r="H75" s="7">
        <f t="shared" si="2"/>
        <v>61668.82</v>
      </c>
    </row>
    <row r="76" spans="1:9" s="2" customFormat="1">
      <c r="A76" s="37">
        <v>1451</v>
      </c>
      <c r="B76" s="6" t="s">
        <v>150</v>
      </c>
      <c r="C76" s="24">
        <v>22502.85</v>
      </c>
      <c r="E76" s="7">
        <v>0</v>
      </c>
      <c r="F76" s="7">
        <v>0</v>
      </c>
      <c r="G76" s="7">
        <v>0</v>
      </c>
      <c r="H76" s="7">
        <f t="shared" si="2"/>
        <v>22502.85</v>
      </c>
    </row>
    <row r="77" spans="1:9" s="2" customFormat="1">
      <c r="A77" s="37">
        <v>1570</v>
      </c>
      <c r="B77" s="6" t="s">
        <v>58</v>
      </c>
      <c r="C77" s="24">
        <v>18363</v>
      </c>
      <c r="E77" s="7">
        <v>0</v>
      </c>
      <c r="F77" s="7">
        <v>0</v>
      </c>
      <c r="G77" s="7">
        <v>0</v>
      </c>
      <c r="H77" s="7">
        <f t="shared" si="2"/>
        <v>18363</v>
      </c>
    </row>
    <row r="78" spans="1:9" s="2" customFormat="1">
      <c r="A78" s="37">
        <v>1573</v>
      </c>
      <c r="B78" s="6" t="s">
        <v>57</v>
      </c>
      <c r="C78" s="24">
        <v>17548.990000000002</v>
      </c>
      <c r="E78" s="7">
        <v>0</v>
      </c>
      <c r="F78" s="7">
        <v>0</v>
      </c>
      <c r="G78" s="7">
        <v>0</v>
      </c>
      <c r="H78" s="7">
        <f t="shared" si="2"/>
        <v>17548.990000000002</v>
      </c>
    </row>
    <row r="79" spans="1:9" s="2" customFormat="1">
      <c r="A79" s="2">
        <v>1390</v>
      </c>
      <c r="B79" s="6" t="s">
        <v>59</v>
      </c>
      <c r="C79" s="24">
        <v>10527</v>
      </c>
      <c r="E79" s="7">
        <v>0</v>
      </c>
      <c r="F79" s="7">
        <v>0</v>
      </c>
      <c r="G79" s="7">
        <v>0</v>
      </c>
      <c r="H79" s="7">
        <f t="shared" si="2"/>
        <v>10527</v>
      </c>
      <c r="I79" s="2" t="s">
        <v>115</v>
      </c>
    </row>
    <row r="80" spans="1:9" s="2" customFormat="1">
      <c r="C80" s="21"/>
      <c r="E80" s="31"/>
      <c r="F80" s="31"/>
      <c r="G80" s="31"/>
      <c r="H80" s="31"/>
    </row>
    <row r="81" spans="1:9" s="2" customFormat="1">
      <c r="A81" s="9" t="s">
        <v>79</v>
      </c>
      <c r="B81" s="2" t="s">
        <v>13</v>
      </c>
      <c r="C81" s="24">
        <v>119838</v>
      </c>
      <c r="E81" s="7">
        <v>0</v>
      </c>
      <c r="F81" s="7">
        <v>0</v>
      </c>
      <c r="G81" s="7">
        <v>0</v>
      </c>
      <c r="H81" s="7">
        <f>C81</f>
        <v>119838</v>
      </c>
      <c r="I81" s="2" t="s">
        <v>51</v>
      </c>
    </row>
    <row r="82" spans="1:9" s="2" customFormat="1">
      <c r="C82" s="24"/>
      <c r="E82" s="7"/>
      <c r="F82" s="7"/>
      <c r="G82" s="7"/>
      <c r="H82" s="7"/>
    </row>
    <row r="83" spans="1:9" s="2" customFormat="1">
      <c r="B83" s="2" t="s">
        <v>60</v>
      </c>
      <c r="C83" s="24"/>
      <c r="E83" s="7"/>
      <c r="F83" s="7"/>
      <c r="G83" s="7"/>
      <c r="H83" s="7"/>
    </row>
    <row r="84" spans="1:9" s="2" customFormat="1">
      <c r="A84" s="2">
        <v>1780</v>
      </c>
      <c r="B84" s="6" t="s">
        <v>61</v>
      </c>
      <c r="C84" s="24">
        <v>104928.22</v>
      </c>
      <c r="D84" s="7"/>
      <c r="E84" s="7">
        <v>0</v>
      </c>
      <c r="F84" s="7">
        <v>0</v>
      </c>
      <c r="G84" s="7">
        <v>0</v>
      </c>
      <c r="H84" s="7">
        <f>C84</f>
        <v>104928.22</v>
      </c>
    </row>
    <row r="85" spans="1:9" s="2" customFormat="1">
      <c r="A85" s="2">
        <v>1850</v>
      </c>
      <c r="B85" s="6" t="s">
        <v>62</v>
      </c>
      <c r="C85" s="24">
        <v>112415.72</v>
      </c>
      <c r="D85" s="7"/>
      <c r="E85" s="7">
        <f>C85</f>
        <v>112415.72</v>
      </c>
      <c r="F85" s="7">
        <v>0</v>
      </c>
      <c r="G85" s="7">
        <v>0</v>
      </c>
      <c r="H85" s="7">
        <v>0</v>
      </c>
    </row>
    <row r="86" spans="1:9" s="2" customFormat="1">
      <c r="A86" s="2" t="s">
        <v>64</v>
      </c>
      <c r="B86" s="6" t="s">
        <v>63</v>
      </c>
      <c r="C86" s="24">
        <f>12497.56+20.31</f>
        <v>12517.869999999999</v>
      </c>
      <c r="D86" s="7"/>
      <c r="E86" s="7">
        <v>0</v>
      </c>
      <c r="F86" s="7">
        <v>0</v>
      </c>
      <c r="G86" s="7">
        <v>0</v>
      </c>
      <c r="H86" s="7">
        <f>C86</f>
        <v>12517.869999999999</v>
      </c>
      <c r="I86" s="2" t="s">
        <v>115</v>
      </c>
    </row>
    <row r="87" spans="1:9" s="2" customFormat="1">
      <c r="A87" s="2">
        <v>1860</v>
      </c>
      <c r="B87" s="6" t="s">
        <v>95</v>
      </c>
      <c r="C87" s="24">
        <v>128</v>
      </c>
      <c r="D87" s="7"/>
      <c r="E87" s="7">
        <v>0</v>
      </c>
      <c r="F87" s="7">
        <v>0</v>
      </c>
      <c r="G87" s="7">
        <v>0</v>
      </c>
      <c r="H87" s="7">
        <f>C87</f>
        <v>128</v>
      </c>
    </row>
    <row r="88" spans="1:9" s="2" customFormat="1">
      <c r="C88" s="21"/>
      <c r="E88" s="31"/>
      <c r="F88" s="31"/>
      <c r="G88" s="31"/>
      <c r="H88" s="31"/>
    </row>
    <row r="89" spans="1:9" s="2" customFormat="1">
      <c r="A89" s="9" t="s">
        <v>79</v>
      </c>
      <c r="B89" s="6" t="s">
        <v>93</v>
      </c>
      <c r="C89" s="24">
        <v>3361</v>
      </c>
      <c r="E89" s="7">
        <v>0</v>
      </c>
      <c r="F89" s="7">
        <v>0</v>
      </c>
      <c r="G89" s="7">
        <v>0</v>
      </c>
      <c r="H89" s="7">
        <f>C89</f>
        <v>3361</v>
      </c>
    </row>
    <row r="90" spans="1:9" s="2" customFormat="1">
      <c r="A90" s="9" t="s">
        <v>79</v>
      </c>
      <c r="B90" s="6" t="s">
        <v>94</v>
      </c>
      <c r="C90" s="24">
        <v>0</v>
      </c>
      <c r="E90" s="7">
        <v>0</v>
      </c>
      <c r="F90" s="7">
        <v>0</v>
      </c>
      <c r="G90" s="7">
        <v>0</v>
      </c>
      <c r="H90" s="7">
        <f>C90</f>
        <v>0</v>
      </c>
    </row>
    <row r="91" spans="1:9" s="2" customFormat="1">
      <c r="A91" s="9"/>
      <c r="B91" s="33" t="s">
        <v>138</v>
      </c>
      <c r="C91" s="30">
        <f>SUM(C9:C90)</f>
        <v>76471708.969999969</v>
      </c>
      <c r="E91" s="11">
        <f>SUM(E9:E90)</f>
        <v>26588310.759999998</v>
      </c>
      <c r="F91" s="11">
        <f>SUM(F9:F90)</f>
        <v>0</v>
      </c>
      <c r="G91" s="11">
        <f>SUM(G9:G90)</f>
        <v>0</v>
      </c>
      <c r="H91" s="11">
        <f>SUM(H9:H90)</f>
        <v>49883398.210000001</v>
      </c>
    </row>
    <row r="92" spans="1:9" s="2" customFormat="1" ht="61.5" customHeight="1">
      <c r="A92" s="9" t="s">
        <v>79</v>
      </c>
      <c r="B92" s="2" t="s">
        <v>88</v>
      </c>
      <c r="C92" s="24">
        <v>15304363</v>
      </c>
      <c r="E92" s="7">
        <v>4000000</v>
      </c>
      <c r="F92" s="7">
        <v>0</v>
      </c>
      <c r="G92" s="7">
        <v>0</v>
      </c>
      <c r="H92" s="7">
        <f>C92-E92</f>
        <v>11304363</v>
      </c>
      <c r="I92" s="10" t="s">
        <v>96</v>
      </c>
    </row>
    <row r="93" spans="1:9" s="2" customFormat="1" ht="30">
      <c r="A93" s="9" t="s">
        <v>79</v>
      </c>
      <c r="B93" s="2" t="s">
        <v>14</v>
      </c>
      <c r="C93" s="24">
        <v>1922469</v>
      </c>
      <c r="E93" s="7">
        <v>0</v>
      </c>
      <c r="F93" s="7">
        <v>0</v>
      </c>
      <c r="G93" s="7">
        <v>0</v>
      </c>
      <c r="H93" s="7">
        <f>C93</f>
        <v>1922469</v>
      </c>
      <c r="I93" s="10" t="s">
        <v>130</v>
      </c>
    </row>
    <row r="94" spans="1:9" s="2" customFormat="1">
      <c r="A94" s="9" t="s">
        <v>79</v>
      </c>
      <c r="B94" s="2" t="s">
        <v>15</v>
      </c>
      <c r="C94" s="24">
        <v>25423</v>
      </c>
      <c r="E94" s="7">
        <v>0</v>
      </c>
      <c r="F94" s="7">
        <v>0</v>
      </c>
      <c r="G94" s="7">
        <v>0</v>
      </c>
      <c r="H94" s="7">
        <f>C94</f>
        <v>25423</v>
      </c>
    </row>
    <row r="95" spans="1:9" s="2" customFormat="1">
      <c r="A95" s="9"/>
      <c r="B95" s="6" t="s">
        <v>139</v>
      </c>
      <c r="C95" s="30">
        <f>SUM(C92:C94)</f>
        <v>17252255</v>
      </c>
      <c r="E95" s="11">
        <f>SUM(E92:E94)</f>
        <v>4000000</v>
      </c>
      <c r="F95" s="11">
        <f>SUM(F92:F94)</f>
        <v>0</v>
      </c>
      <c r="G95" s="11">
        <f>SUM(G92:G94)</f>
        <v>0</v>
      </c>
      <c r="H95" s="11">
        <f>SUM(H92:H94)</f>
        <v>13252255</v>
      </c>
    </row>
    <row r="96" spans="1:9" s="2" customFormat="1">
      <c r="A96" s="9"/>
      <c r="C96" s="24"/>
      <c r="E96" s="7"/>
      <c r="F96" s="7"/>
      <c r="G96" s="7"/>
      <c r="H96" s="7"/>
    </row>
    <row r="97" spans="1:9" s="2" customFormat="1">
      <c r="A97" s="2">
        <v>6310</v>
      </c>
      <c r="B97" s="2" t="s">
        <v>16</v>
      </c>
      <c r="C97" s="24">
        <v>1055020</v>
      </c>
      <c r="E97" s="7">
        <v>0</v>
      </c>
      <c r="F97" s="7">
        <f>C97</f>
        <v>1055020</v>
      </c>
      <c r="G97" s="7">
        <v>0</v>
      </c>
      <c r="H97" s="7">
        <v>0</v>
      </c>
    </row>
    <row r="98" spans="1:9" s="2" customFormat="1">
      <c r="A98" s="2">
        <v>6320</v>
      </c>
      <c r="B98" s="2" t="s">
        <v>17</v>
      </c>
      <c r="C98" s="24">
        <v>1031654</v>
      </c>
      <c r="E98" s="7">
        <v>0</v>
      </c>
      <c r="F98" s="7">
        <v>0</v>
      </c>
      <c r="G98" s="7">
        <v>0</v>
      </c>
      <c r="H98" s="7">
        <f>C98</f>
        <v>1031654</v>
      </c>
      <c r="I98" s="10" t="s">
        <v>120</v>
      </c>
    </row>
    <row r="99" spans="1:9" s="2" customFormat="1">
      <c r="A99" s="2">
        <v>6320</v>
      </c>
      <c r="B99" s="2" t="s">
        <v>132</v>
      </c>
      <c r="C99" s="24">
        <v>2583651</v>
      </c>
      <c r="E99" s="7">
        <v>0</v>
      </c>
      <c r="F99" s="7">
        <v>0</v>
      </c>
      <c r="G99" s="7">
        <v>0</v>
      </c>
      <c r="H99" s="7">
        <f>C99</f>
        <v>2583651</v>
      </c>
      <c r="I99" s="10" t="s">
        <v>131</v>
      </c>
    </row>
    <row r="100" spans="1:9" s="2" customFormat="1">
      <c r="A100" s="2">
        <v>6650</v>
      </c>
      <c r="B100" s="2" t="s">
        <v>18</v>
      </c>
      <c r="C100" s="24">
        <v>658742</v>
      </c>
      <c r="E100" s="7">
        <v>0</v>
      </c>
      <c r="F100" s="7">
        <f t="shared" ref="F100:F106" si="3">C100</f>
        <v>658742</v>
      </c>
      <c r="G100" s="7">
        <v>0</v>
      </c>
      <c r="H100" s="7">
        <v>0</v>
      </c>
    </row>
    <row r="101" spans="1:9" s="2" customFormat="1">
      <c r="A101" s="9" t="s">
        <v>79</v>
      </c>
      <c r="B101" s="2" t="s">
        <v>19</v>
      </c>
      <c r="C101" s="24">
        <v>142412</v>
      </c>
      <c r="E101" s="7">
        <v>0</v>
      </c>
      <c r="F101" s="7">
        <f t="shared" si="3"/>
        <v>142412</v>
      </c>
      <c r="G101" s="7">
        <v>0</v>
      </c>
      <c r="H101" s="7">
        <v>0</v>
      </c>
      <c r="I101" s="10" t="s">
        <v>50</v>
      </c>
    </row>
    <row r="102" spans="1:9" s="2" customFormat="1" ht="30">
      <c r="A102" s="9" t="s">
        <v>79</v>
      </c>
      <c r="B102" s="10" t="s">
        <v>133</v>
      </c>
      <c r="C102" s="24">
        <v>428737</v>
      </c>
      <c r="E102" s="7">
        <v>0</v>
      </c>
      <c r="F102" s="7">
        <v>0</v>
      </c>
      <c r="G102" s="7">
        <v>0</v>
      </c>
      <c r="H102" s="7">
        <f>C102</f>
        <v>428737</v>
      </c>
      <c r="I102" s="10" t="s">
        <v>134</v>
      </c>
    </row>
    <row r="103" spans="1:9" s="2" customFormat="1">
      <c r="A103" s="2">
        <v>6440</v>
      </c>
      <c r="B103" s="2" t="s">
        <v>20</v>
      </c>
      <c r="C103" s="24">
        <v>1675740</v>
      </c>
      <c r="E103" s="7">
        <v>1401000</v>
      </c>
      <c r="F103" s="7">
        <f>C103-E103</f>
        <v>274740</v>
      </c>
      <c r="G103" s="7">
        <v>0</v>
      </c>
      <c r="H103" s="7">
        <v>0</v>
      </c>
    </row>
    <row r="104" spans="1:9" s="2" customFormat="1" ht="30">
      <c r="A104" s="2">
        <v>6630</v>
      </c>
      <c r="B104" s="2" t="s">
        <v>21</v>
      </c>
      <c r="C104" s="24">
        <v>3555042</v>
      </c>
      <c r="E104" s="7">
        <v>0</v>
      </c>
      <c r="F104" s="7">
        <f t="shared" si="3"/>
        <v>3555042</v>
      </c>
      <c r="G104" s="7">
        <v>0</v>
      </c>
      <c r="H104" s="7">
        <v>0</v>
      </c>
      <c r="I104" s="10" t="s">
        <v>113</v>
      </c>
    </row>
    <row r="105" spans="1:9" s="2" customFormat="1">
      <c r="A105" s="2">
        <v>6900</v>
      </c>
      <c r="B105" s="2" t="s">
        <v>22</v>
      </c>
      <c r="C105" s="24">
        <v>0</v>
      </c>
      <c r="E105" s="7">
        <v>0</v>
      </c>
      <c r="F105" s="7">
        <f t="shared" si="3"/>
        <v>0</v>
      </c>
      <c r="G105" s="7">
        <v>0</v>
      </c>
      <c r="H105" s="7">
        <v>0</v>
      </c>
    </row>
    <row r="106" spans="1:9" s="2" customFormat="1">
      <c r="A106" s="2">
        <v>6660</v>
      </c>
      <c r="B106" s="2" t="s">
        <v>23</v>
      </c>
      <c r="C106" s="24">
        <v>420128</v>
      </c>
      <c r="E106" s="7">
        <v>0</v>
      </c>
      <c r="F106" s="7">
        <f t="shared" si="3"/>
        <v>420128</v>
      </c>
      <c r="G106" s="7">
        <v>0</v>
      </c>
      <c r="H106" s="7">
        <v>0</v>
      </c>
    </row>
    <row r="107" spans="1:9" s="2" customFormat="1">
      <c r="B107" s="6" t="s">
        <v>140</v>
      </c>
      <c r="C107" s="30">
        <f>SUM(C97:C106)</f>
        <v>11551126</v>
      </c>
      <c r="E107" s="11">
        <f>SUM(E97:E106)</f>
        <v>1401000</v>
      </c>
      <c r="F107" s="11">
        <f>SUM(F97:F106)</f>
        <v>6106084</v>
      </c>
      <c r="G107" s="11">
        <f>SUM(G97:G106)</f>
        <v>0</v>
      </c>
      <c r="H107" s="11">
        <f>SUM(H97:H106)</f>
        <v>4044042</v>
      </c>
    </row>
    <row r="108" spans="1:9" s="2" customFormat="1" ht="30">
      <c r="A108" s="2">
        <v>6670</v>
      </c>
      <c r="B108" s="2" t="s">
        <v>24</v>
      </c>
      <c r="C108" s="24">
        <v>840684</v>
      </c>
      <c r="E108" s="7">
        <v>0</v>
      </c>
      <c r="F108" s="7">
        <f>C108</f>
        <v>840684</v>
      </c>
      <c r="G108" s="7">
        <v>0</v>
      </c>
      <c r="H108" s="7">
        <v>0</v>
      </c>
      <c r="I108" s="10" t="s">
        <v>48</v>
      </c>
    </row>
    <row r="109" spans="1:9" s="2" customFormat="1" ht="30">
      <c r="A109" s="2">
        <v>6680</v>
      </c>
      <c r="B109" s="2" t="s">
        <v>25</v>
      </c>
      <c r="C109" s="24">
        <v>186958</v>
      </c>
      <c r="E109" s="7">
        <v>0</v>
      </c>
      <c r="F109" s="7">
        <f>C109</f>
        <v>186958</v>
      </c>
      <c r="G109" s="7">
        <v>0</v>
      </c>
      <c r="H109" s="7">
        <v>0</v>
      </c>
      <c r="I109" s="10" t="s">
        <v>45</v>
      </c>
    </row>
    <row r="110" spans="1:9" ht="15.75" thickBot="1">
      <c r="C110" s="25">
        <f>C107+C95+C91</f>
        <v>105275089.96999997</v>
      </c>
      <c r="D110" s="2"/>
      <c r="E110" s="5">
        <f>E107+E95+E91</f>
        <v>31989310.759999998</v>
      </c>
      <c r="F110" s="5">
        <f>F107+F95+F91</f>
        <v>6106084</v>
      </c>
      <c r="G110" s="5">
        <f>G107+G95+G91</f>
        <v>0</v>
      </c>
      <c r="H110" s="5">
        <f>H107+H95+H91</f>
        <v>67179695.210000008</v>
      </c>
    </row>
    <row r="111" spans="1:9" ht="15.75" thickTop="1">
      <c r="C111" s="24"/>
      <c r="D111" s="2"/>
      <c r="E111" s="7"/>
      <c r="F111" s="7"/>
      <c r="G111" s="7"/>
      <c r="H111" s="7"/>
    </row>
    <row r="112" spans="1:9">
      <c r="C112" s="24"/>
      <c r="D112" s="2"/>
      <c r="E112" s="7"/>
      <c r="F112" s="7"/>
      <c r="G112" s="7"/>
      <c r="H112" s="7"/>
    </row>
    <row r="113" spans="3:8">
      <c r="C113" s="24"/>
      <c r="D113" s="2"/>
      <c r="E113" s="7"/>
      <c r="F113" s="7"/>
      <c r="G113" s="7"/>
      <c r="H113" s="7"/>
    </row>
    <row r="114" spans="3:8">
      <c r="C114" s="24"/>
      <c r="D114" s="2"/>
    </row>
  </sheetData>
  <printOptions gridLines="1"/>
  <pageMargins left="0.2" right="0.2" top="0.25" bottom="0.25" header="0.3" footer="0.3"/>
  <pageSetup scale="72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6:D20"/>
  <sheetViews>
    <sheetView workbookViewId="0">
      <selection activeCell="C10" sqref="C10:D19"/>
    </sheetView>
  </sheetViews>
  <sheetFormatPr defaultRowHeight="15"/>
  <sheetData>
    <row r="6" spans="1:4" ht="18.75">
      <c r="A6" s="12" t="s">
        <v>147</v>
      </c>
    </row>
    <row r="9" spans="1:4">
      <c r="C9" s="1" t="s">
        <v>128</v>
      </c>
      <c r="D9" s="1" t="s">
        <v>129</v>
      </c>
    </row>
    <row r="10" spans="1:4">
      <c r="C10" s="38">
        <v>2830</v>
      </c>
      <c r="D10" s="39">
        <v>148.38999999999999</v>
      </c>
    </row>
    <row r="11" spans="1:4">
      <c r="C11" s="38">
        <v>1690</v>
      </c>
      <c r="D11" s="39">
        <v>123331</v>
      </c>
    </row>
    <row r="12" spans="1:4">
      <c r="C12" s="38">
        <v>2110</v>
      </c>
      <c r="D12" s="39">
        <v>593</v>
      </c>
    </row>
    <row r="13" spans="1:4">
      <c r="C13" s="38">
        <v>1230</v>
      </c>
      <c r="D13" s="39">
        <v>0.56000000000000005</v>
      </c>
    </row>
    <row r="14" spans="1:4">
      <c r="C14" s="38">
        <v>1041</v>
      </c>
      <c r="D14" s="39">
        <v>31074.71</v>
      </c>
    </row>
    <row r="15" spans="1:4">
      <c r="C15" s="38">
        <v>1680</v>
      </c>
      <c r="D15" s="39">
        <v>16.61</v>
      </c>
    </row>
    <row r="16" spans="1:4">
      <c r="C16" s="38">
        <v>1270</v>
      </c>
      <c r="D16" s="39">
        <v>9</v>
      </c>
    </row>
    <row r="17" spans="3:4">
      <c r="C17" s="38">
        <v>1250</v>
      </c>
      <c r="D17" s="39">
        <v>1</v>
      </c>
    </row>
    <row r="18" spans="3:4">
      <c r="C18" s="38">
        <v>1211</v>
      </c>
      <c r="D18" s="39">
        <v>2504</v>
      </c>
    </row>
    <row r="19" spans="3:4" ht="15.75" thickBot="1">
      <c r="C19" s="40"/>
      <c r="D19" s="41">
        <f>SUM(D10:D18)</f>
        <v>157678.26999999999</v>
      </c>
    </row>
    <row r="20" spans="3:4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Fund Order</vt:lpstr>
      <vt:lpstr>FB-OSR Funds-other</vt:lpstr>
      <vt:lpstr>'Fund Order'!Print_Titles</vt:lpstr>
    </vt:vector>
  </TitlesOfParts>
  <Company>Washtenaw County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Authorized User</cp:lastModifiedBy>
  <cp:lastPrinted>2012-04-23T18:37:37Z</cp:lastPrinted>
  <dcterms:created xsi:type="dcterms:W3CDTF">2010-03-10T21:36:56Z</dcterms:created>
  <dcterms:modified xsi:type="dcterms:W3CDTF">2013-06-04T20:44:27Z</dcterms:modified>
</cp:coreProperties>
</file>