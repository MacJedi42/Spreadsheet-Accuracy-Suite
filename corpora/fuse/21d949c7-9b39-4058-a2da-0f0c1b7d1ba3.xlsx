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18585" windowHeight="10875"/>
  </bookViews>
  <sheets>
    <sheet name="Sheet1" sheetId="1" r:id="rId1"/>
  </sheets>
  <definedNames>
    <definedName name="_xlnm.Print_Area" localSheetId="0">Sheet1!$B$1:$F$167</definedName>
  </definedNames>
  <calcPr calcId="145621"/>
</workbook>
</file>

<file path=xl/calcChain.xml><?xml version="1.0" encoding="utf-8"?>
<calcChain xmlns="http://schemas.openxmlformats.org/spreadsheetml/2006/main">
  <c r="D18" i="1" l="1"/>
  <c r="D29" i="1" l="1"/>
  <c r="D22" i="1"/>
  <c r="D24" i="1" s="1"/>
  <c r="D136" i="1"/>
  <c r="D142" i="1" s="1"/>
  <c r="E136" i="1"/>
  <c r="E142" i="1" s="1"/>
  <c r="D128" i="1"/>
  <c r="E128" i="1"/>
  <c r="E99" i="1" l="1"/>
  <c r="D99" i="1"/>
</calcChain>
</file>

<file path=xl/sharedStrings.xml><?xml version="1.0" encoding="utf-8"?>
<sst xmlns="http://schemas.openxmlformats.org/spreadsheetml/2006/main" count="116" uniqueCount="91">
  <si>
    <t>PPG INDUSTRIES AND CONSOLIDATED SUBSIDIARIES</t>
  </si>
  <si>
    <t>CONDENSED STATEMENT OF OPERATIONS (unaudited)</t>
  </si>
  <si>
    <t>(All amounts in millions except per-share data)</t>
  </si>
  <si>
    <t>3 Months Ended</t>
  </si>
  <si>
    <t>Net sales</t>
  </si>
  <si>
    <t>Depreciation</t>
  </si>
  <si>
    <t>Amortization</t>
  </si>
  <si>
    <t>Interest expense</t>
  </si>
  <si>
    <t>Interest income</t>
  </si>
  <si>
    <t>Asbestos settlement - net</t>
  </si>
  <si>
    <t>INCOME BEFORE INCOME TAXES</t>
  </si>
  <si>
    <t>Net income attributable to the controlling and noncontrolling interests</t>
  </si>
  <si>
    <t>Less: Net income attributable to noncontrolling interests</t>
  </si>
  <si>
    <t>NET INCOME (ATTRIBUTABLE TO PPG)</t>
  </si>
  <si>
    <t>Earnings per common share (attributable to PPG)</t>
  </si>
  <si>
    <t>Earnings per common share (attributable to PPG) - assuming dilution</t>
  </si>
  <si>
    <t>Average shares outstanding</t>
  </si>
  <si>
    <t>Average shares outstanding - assuming dilution</t>
  </si>
  <si>
    <t>Note A:</t>
  </si>
  <si>
    <t>Note B:</t>
  </si>
  <si>
    <t>Note C:</t>
  </si>
  <si>
    <t>BALANCE SHEET HIGHLIGHTS (unaudited)</t>
  </si>
  <si>
    <t>Dec 31</t>
  </si>
  <si>
    <t>Dec. 31</t>
  </si>
  <si>
    <t>($ in millions)</t>
  </si>
  <si>
    <t>Current assets:</t>
  </si>
  <si>
    <t>Short-term investments (a)</t>
  </si>
  <si>
    <t>Receivables - net</t>
  </si>
  <si>
    <t>Inventories</t>
  </si>
  <si>
    <t>Other</t>
  </si>
  <si>
    <t xml:space="preserve">     Total current assets</t>
  </si>
  <si>
    <t>Current liabilities:</t>
  </si>
  <si>
    <t>Short-term debt and current portion of long-term debt</t>
  </si>
  <si>
    <t>Asbestos settlement</t>
  </si>
  <si>
    <t>Accounts payable and accrued liabilities</t>
  </si>
  <si>
    <t xml:space="preserve">     Total current liabilities</t>
  </si>
  <si>
    <t>Long-term debt</t>
  </si>
  <si>
    <t>(a)</t>
  </si>
  <si>
    <t>PPG OPERATING METRICS  (unaudited)</t>
  </si>
  <si>
    <t>Amount</t>
  </si>
  <si>
    <t>As a percent of quarter sales, annualized</t>
  </si>
  <si>
    <t>Operating working capital includes (1) receivables from customers, net of the allowance for doubtful accounts, plus (2) inventories on a first-in, first-out (FIFO) basis, less (3) the trade creditor's liability.</t>
  </si>
  <si>
    <t>BUSINESS SEGMENT INFORMATION (unaudited)</t>
  </si>
  <si>
    <t>(millions)</t>
  </si>
  <si>
    <t>Performance Coatings</t>
  </si>
  <si>
    <t>Industrial Coatings</t>
  </si>
  <si>
    <t>Architectural Coatings - EMEA</t>
  </si>
  <si>
    <t>Optical and Specialty Materials</t>
  </si>
  <si>
    <t>Glass</t>
  </si>
  <si>
    <t xml:space="preserve">     TOTAL</t>
  </si>
  <si>
    <t>Segment income</t>
  </si>
  <si>
    <t>March 31</t>
  </si>
  <si>
    <t>Interest expense, net of interest income</t>
  </si>
  <si>
    <t>Business restructuring</t>
  </si>
  <si>
    <t>Other unallocated corporate expense</t>
  </si>
  <si>
    <t>Cash and cash equivalents</t>
  </si>
  <si>
    <t>Legacy items (Note A)</t>
  </si>
  <si>
    <t>Business restructuring (Note B)</t>
  </si>
  <si>
    <t>Acquisition-related costs (Note C)</t>
  </si>
  <si>
    <t>Amounts attributable to PPG:</t>
  </si>
  <si>
    <t>Income from discontinued operations, net of tax</t>
  </si>
  <si>
    <t>Net income (attributable to PPG)</t>
  </si>
  <si>
    <t>Income (loss) from continuing operations, net of tax</t>
  </si>
  <si>
    <t xml:space="preserve"> </t>
  </si>
  <si>
    <t>The quarter ended March 31, 2012 includes business restructuring charges of $65 million for the Performance Coatings segment, $46 million for the Industrial Coatings segment, $63 million for the Architectural Coatings - EMEA segment, $32 million for the Optical and Specialty Materials segment,  and $2 million for Corporate. These costs are considered to be unusual and non-recurring and will not reduce the segment earnings used to evaluate the performance of the operating segments.</t>
  </si>
  <si>
    <t>Note D:</t>
  </si>
  <si>
    <t>(c )</t>
  </si>
  <si>
    <t xml:space="preserve">(b) </t>
  </si>
  <si>
    <t>Income (loss) from continuing operations, net of income taxes</t>
  </si>
  <si>
    <t xml:space="preserve">Legacy items include current costs related to former operations of the company, including pension and other postretirement benefit costs, certain charges for legal matters and environmental remediation costs, and certain charges which are considered to be unusual or nonrecurring including the earnings impact of the proposed asbestos settlement. Legacy items also include equity earnings from PPG's approximate 40 percent investment in the former automotive glass and services business.  </t>
  </si>
  <si>
    <t>Inclusive of PPG's former Commodity Chemicals business that was separated in January 2013.</t>
  </si>
  <si>
    <t>Note E:</t>
  </si>
  <si>
    <t>Income tax expense (benefit) (Note D)</t>
  </si>
  <si>
    <t>Income from discontinued operations, net of income taxes (Note E)</t>
  </si>
  <si>
    <t>Cost of sales, exclusive of depreciation and amortization (Note A)</t>
  </si>
  <si>
    <t>Selling, R&amp;D and administrative expenses (Note B)</t>
  </si>
  <si>
    <t>The increase in short-term investments from March 2012 to March 2013 is partly due to proceeds received from the separation of PPG's commodity chemicals segment in January 2013.</t>
  </si>
  <si>
    <t>The three months ended March 31, 2013 includes $4 million of certain acquisition-related costs.  In addition, the flow-through cost of sales of the step up to fair value of inventory acquired from Spraylat of $3 million in 2013 and Dyrup and Colpisa of $6 million in 2012 are included in this line.  These costs are considered to be unusual and non-recurring and will not reduce the segment earnings used to evaluate the performance of the operating segments.</t>
  </si>
  <si>
    <t>Cost of sales, exclusive of depreciation and amortization includes $16 million for final settlement of certain legacy Canadian pension plans in 2013 and the flow-through cost of sales of the step up to fair value of inventory acquired from Spraylat of $3 million in 2013 and Dyrup and Colpisa of $6 million in 2012.</t>
  </si>
  <si>
    <t>Selling, R&amp;D and administrative expenses includes $2 million for final settlement of certain legacy Canadian pension plans and $4 million for acquisition related charges in 2013.</t>
  </si>
  <si>
    <t>Income from discontinued operations includes the historical operating results of PPG's former Commodity Chemicals business that was separated on January 28, 2013.  For the quarter ended March 31, 2013 income from discontinued operations includes a net gain on the separation transaction of $2.2 billion.</t>
  </si>
  <si>
    <t/>
  </si>
  <si>
    <t>2012 (b)</t>
  </si>
  <si>
    <t>The effective tax rate on pretax earnings from continuing operations for the quarter ended March 31, 2012 includes tax benefits of $60 million or 37.7 percent for estimated environmental remediation costs primarily at sites in New Jersey,  $45 million or 21.4 percent for business restructuring charges and $2 million or 28.6 percent for acquisition-related expenses stemming from the integration of Dyrup A/S in Europe and Colpisa in Latin America.  The effective tax rate on the remaining pre-tax earnings from continuing operations was 23.5 percent resulting in tax expense of $76 million.</t>
  </si>
  <si>
    <t>Other charges - net (Note C)</t>
  </si>
  <si>
    <t>See accompanying notes on page 2</t>
  </si>
  <si>
    <t>The quarter ended March 31, 2013 includes a pretax charge of $12 million related to environmental remediation at a legacy manufacturing site.  The quarter ended March 31, 2012 includes a pretax charge of $159 million, relating primarily to continued environmental remediation activities at PPG’s former Jersey City, N.J., manufacturing plant and associated sites.</t>
  </si>
  <si>
    <t>Operating Working Capital (c )</t>
  </si>
  <si>
    <t>Excluding the Commodity Chemicals business, operating working capital was $2,989 or 22.4 percent at March 31, 2012 and $2,634 million or 20.3 percent at December 31, 2012.</t>
  </si>
  <si>
    <t>The quarter ended March 31, 2013 includes pretax charges of  $18 million charge for final settlement of certain legacy Canadian pension plans and $12 million for environmental remediation activities at a legacy operating plant site.  The quarter ended March 31, 2012 includes a pretax charge of $159 million related primarily to continued environmental remediation activities at PPG’s former Jersey City, N.J., manufacturing plant and associated sites.</t>
  </si>
  <si>
    <t>The effective rate on pretax earnings from continuing operations for the quarter ended March 31, 2013 includes tax benefits of $5 million or 26.7 percent for final settlement of legacy pension plans, $4 million or 37.4 percent for a legacy environmental remediation charge, $2 million or 26.4 percent for acquisition-related costs.  The quarter also includes an after-tax benefit of $10 million for the retroactive impact of a US tax law change enacted in early 2013 and that was not included in previously reported 2012 earnings.  The effective tax rate on the remaining pre-tax earnings from continuing operations was 24 percent resulting in tax expense of $85 million.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</si>
</sst>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0.0_);_(* \(#,##0.0\);_(* &quot;-&quot;?_);_(@_)"/>
    <numFmt numFmtId="166" formatCode="[$-409]mmmm\ d\,\ yyyy;@"/>
    <numFmt numFmtId="167" formatCode="_(* #,##0_);_(* \(#,##0\);_(* &quot;-&quot;??_);_(@_)"/>
    <numFmt numFmtId="168" formatCode="0.0%"/>
    <numFmt numFmtId="169" formatCode="_(&quot;$&quot;* #,##0_);_(&quot;$&quot;* \(#,##0\);_(&quot;$&quot;* &quot;-&quot;??_);_(@_)"/>
    <numFmt numFmtId="170" formatCode="_(&quot;$&quot;* #,##0.000_);_(&quot;$&quot;* \(#,##0.000\);_(&quot;$&quot;* &quot;-&quot;??_);_(@_)"/>
  </numFmts>
  <fonts count="28" x14ac:knownFonts="1">
    <font>
      <sz val="10"/>
      <name val="Arial"/>
    </font>
    <font>
      <sz val="10"/>
      <name val="Arial"/>
      <family val="2"/>
    </font>
    <font>
      <sz val="8"/>
      <name val="Arial"/>
      <family val="2"/>
    </font>
    <font>
      <sz val="13"/>
      <name val="Times New Roman"/>
      <family val="1"/>
    </font>
    <font>
      <sz val="13"/>
      <name val="Arial"/>
      <family val="2"/>
    </font>
    <font>
      <u/>
      <sz val="13"/>
      <name val="Arial"/>
      <family val="2"/>
    </font>
    <font>
      <sz val="13"/>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Garamond"/>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aramond"/>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Times New Roman"/>
      <family val="1"/>
    </font>
    <font>
      <sz val="1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thin">
        <color indexed="64"/>
      </bottom>
      <diagonal/>
    </border>
  </borders>
  <cellStyleXfs count="46">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43" fontId="1" fillId="0" borderId="0" applyFont="0" applyFill="0" applyBorder="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21" fillId="0" borderId="0"/>
    <xf numFmtId="0" fontId="12" fillId="23" borderId="7" applyNumberFormat="0" applyFont="0" applyAlignment="0" applyProtection="0"/>
    <xf numFmtId="0" fontId="22" fillId="20"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44" fontId="27" fillId="0" borderId="0" applyFont="0" applyFill="0" applyBorder="0" applyAlignment="0" applyProtection="0"/>
    <xf numFmtId="9" fontId="27" fillId="0" borderId="0" applyFont="0" applyFill="0" applyBorder="0" applyAlignment="0" applyProtection="0"/>
  </cellStyleXfs>
  <cellXfs count="94">
    <xf numFmtId="0" fontId="0" fillId="0" borderId="0" xfId="0"/>
    <xf numFmtId="0" fontId="3" fillId="0" borderId="0" xfId="0" applyFont="1"/>
    <xf numFmtId="0" fontId="4" fillId="0" borderId="0" xfId="0" applyFont="1"/>
    <xf numFmtId="0" fontId="5" fillId="0" borderId="0" xfId="0" applyFont="1" applyAlignment="1">
      <alignment horizontal="center"/>
    </xf>
    <xf numFmtId="42" fontId="4" fillId="0" borderId="0" xfId="0" applyNumberFormat="1" applyFont="1" applyFill="1"/>
    <xf numFmtId="42" fontId="3" fillId="0" borderId="0" xfId="0" applyNumberFormat="1" applyFont="1"/>
    <xf numFmtId="0" fontId="4" fillId="0" borderId="0" xfId="0" applyFont="1" applyBorder="1"/>
    <xf numFmtId="41" fontId="4" fillId="0" borderId="0" xfId="0" applyNumberFormat="1" applyFont="1" applyFill="1" applyBorder="1"/>
    <xf numFmtId="41" fontId="4" fillId="0" borderId="0" xfId="0" applyNumberFormat="1" applyFont="1" applyFill="1"/>
    <xf numFmtId="0" fontId="4" fillId="0" borderId="10" xfId="0" applyFont="1" applyBorder="1"/>
    <xf numFmtId="41" fontId="4" fillId="0" borderId="10" xfId="0" applyNumberFormat="1" applyFont="1" applyFill="1" applyBorder="1"/>
    <xf numFmtId="0" fontId="4" fillId="0" borderId="11" xfId="0" applyFont="1" applyBorder="1"/>
    <xf numFmtId="0" fontId="3" fillId="0" borderId="0" xfId="0" applyFont="1" applyBorder="1"/>
    <xf numFmtId="42" fontId="4" fillId="0" borderId="11" xfId="0" applyNumberFormat="1" applyFont="1" applyFill="1" applyBorder="1"/>
    <xf numFmtId="42" fontId="4" fillId="0" borderId="0" xfId="0" applyNumberFormat="1" applyFont="1" applyFill="1" applyBorder="1"/>
    <xf numFmtId="164" fontId="4" fillId="0" borderId="11" xfId="0" applyNumberFormat="1" applyFont="1" applyFill="1" applyBorder="1"/>
    <xf numFmtId="42" fontId="4" fillId="0" borderId="0" xfId="0" applyNumberFormat="1" applyFont="1"/>
    <xf numFmtId="0" fontId="4" fillId="0" borderId="12" xfId="0" applyFont="1" applyBorder="1"/>
    <xf numFmtId="165" fontId="4" fillId="0" borderId="0" xfId="0" applyNumberFormat="1" applyFont="1" applyFill="1" applyBorder="1"/>
    <xf numFmtId="0" fontId="4" fillId="0" borderId="0" xfId="0" applyFont="1" applyFill="1" applyBorder="1" applyAlignment="1">
      <alignment vertical="top"/>
    </xf>
    <xf numFmtId="0" fontId="4" fillId="0" borderId="0" xfId="0" applyFont="1" applyFill="1" applyBorder="1"/>
    <xf numFmtId="166" fontId="4" fillId="0" borderId="0" xfId="0" quotePrefix="1" applyNumberFormat="1" applyFont="1" applyAlignment="1">
      <alignment horizontal="center"/>
    </xf>
    <xf numFmtId="166" fontId="4" fillId="0" borderId="0" xfId="0" applyNumberFormat="1" applyFont="1" applyAlignment="1">
      <alignment horizontal="center"/>
    </xf>
    <xf numFmtId="166" fontId="4" fillId="0" borderId="0" xfId="0" quotePrefix="1" applyNumberFormat="1" applyFont="1" applyAlignment="1"/>
    <xf numFmtId="167" fontId="4" fillId="0" borderId="0" xfId="28" applyNumberFormat="1" applyFont="1" applyFill="1"/>
    <xf numFmtId="0" fontId="4" fillId="0" borderId="0" xfId="0" quotePrefix="1" applyFont="1" applyBorder="1"/>
    <xf numFmtId="0" fontId="4" fillId="0" borderId="0" xfId="0" applyFont="1" applyFill="1"/>
    <xf numFmtId="0" fontId="4" fillId="0" borderId="0" xfId="0" quotePrefix="1" applyFont="1"/>
    <xf numFmtId="168" fontId="4" fillId="0" borderId="0" xfId="0" applyNumberFormat="1" applyFont="1" applyFill="1"/>
    <xf numFmtId="168" fontId="4" fillId="0" borderId="0" xfId="0" applyNumberFormat="1" applyFont="1"/>
    <xf numFmtId="0" fontId="0" fillId="0" borderId="0" xfId="0" applyAlignment="1"/>
    <xf numFmtId="0" fontId="6" fillId="0" borderId="0" xfId="0" applyFont="1" applyAlignment="1">
      <alignment readingOrder="1"/>
    </xf>
    <xf numFmtId="0" fontId="4" fillId="0" borderId="12" xfId="0" quotePrefix="1" applyFont="1" applyBorder="1"/>
    <xf numFmtId="167" fontId="4" fillId="0" borderId="0" xfId="28" applyNumberFormat="1" applyFont="1" applyFill="1" applyBorder="1"/>
    <xf numFmtId="42" fontId="4" fillId="0" borderId="0" xfId="0" applyNumberFormat="1" applyFont="1" applyBorder="1"/>
    <xf numFmtId="0" fontId="3" fillId="0" borderId="0" xfId="0" applyFont="1" applyFill="1"/>
    <xf numFmtId="0" fontId="0" fillId="0" borderId="0" xfId="0" applyFill="1" applyAlignment="1">
      <alignment wrapText="1"/>
    </xf>
    <xf numFmtId="0" fontId="4" fillId="0" borderId="0" xfId="0" applyFont="1" applyFill="1" applyAlignment="1"/>
    <xf numFmtId="0" fontId="4" fillId="0" borderId="0" xfId="0" applyFont="1" applyFill="1" applyAlignment="1">
      <alignment horizontal="left" wrapText="1"/>
    </xf>
    <xf numFmtId="166" fontId="4" fillId="0" borderId="0" xfId="38" quotePrefix="1" applyNumberFormat="1" applyFont="1" applyAlignment="1">
      <alignment horizontal="center"/>
    </xf>
    <xf numFmtId="0" fontId="5" fillId="0" borderId="0" xfId="38" applyFont="1" applyAlignment="1">
      <alignment horizontal="center"/>
    </xf>
    <xf numFmtId="0" fontId="26" fillId="0" borderId="0" xfId="38" applyFont="1"/>
    <xf numFmtId="165" fontId="4" fillId="0" borderId="12" xfId="0" applyNumberFormat="1" applyFont="1" applyFill="1" applyBorder="1"/>
    <xf numFmtId="42" fontId="4" fillId="24" borderId="11" xfId="0" applyNumberFormat="1" applyFont="1" applyFill="1" applyBorder="1"/>
    <xf numFmtId="42" fontId="4" fillId="0" borderId="12" xfId="0" applyNumberFormat="1" applyFont="1" applyFill="1" applyBorder="1"/>
    <xf numFmtId="41" fontId="3" fillId="0" borderId="0" xfId="0" applyNumberFormat="1" applyFont="1"/>
    <xf numFmtId="0" fontId="6" fillId="0" borderId="0" xfId="0" applyFont="1" applyFill="1" applyAlignment="1">
      <alignment horizontal="left" vertical="top" wrapText="1"/>
    </xf>
    <xf numFmtId="0" fontId="0" fillId="0" borderId="0" xfId="0" applyFill="1" applyAlignment="1">
      <alignment wrapText="1"/>
    </xf>
    <xf numFmtId="0" fontId="4" fillId="0" borderId="13" xfId="0" applyFont="1" applyBorder="1"/>
    <xf numFmtId="42" fontId="4" fillId="0" borderId="13" xfId="0" applyNumberFormat="1" applyFont="1" applyFill="1" applyBorder="1"/>
    <xf numFmtId="0" fontId="4" fillId="0" borderId="11" xfId="0" applyFont="1" applyBorder="1" applyAlignment="1">
      <alignment horizontal="left" indent="1"/>
    </xf>
    <xf numFmtId="44" fontId="4" fillId="0" borderId="0" xfId="44" applyFont="1" applyFill="1" applyBorder="1"/>
    <xf numFmtId="169" fontId="4" fillId="0" borderId="11" xfId="44" applyNumberFormat="1" applyFont="1" applyFill="1" applyBorder="1"/>
    <xf numFmtId="167" fontId="4" fillId="0" borderId="0" xfId="28" applyNumberFormat="1" applyFont="1" applyFill="1" applyAlignment="1">
      <alignment horizontal="right"/>
    </xf>
    <xf numFmtId="9" fontId="3" fillId="0" borderId="0" xfId="45" applyFont="1"/>
    <xf numFmtId="0" fontId="0" fillId="0" borderId="0" xfId="0" applyFill="1" applyAlignment="1">
      <alignment vertical="center" readingOrder="1"/>
    </xf>
    <xf numFmtId="42" fontId="4" fillId="0" borderId="0" xfId="0" quotePrefix="1" applyNumberFormat="1" applyFont="1" applyFill="1" applyBorder="1" applyAlignment="1">
      <alignment horizontal="center"/>
    </xf>
    <xf numFmtId="43" fontId="4" fillId="0" borderId="0" xfId="28" applyNumberFormat="1" applyFont="1" applyFill="1" applyBorder="1"/>
    <xf numFmtId="43" fontId="4" fillId="0" borderId="0" xfId="0" applyNumberFormat="1" applyFont="1" applyFill="1"/>
    <xf numFmtId="43" fontId="4" fillId="0" borderId="0" xfId="28" applyNumberFormat="1" applyFont="1" applyFill="1"/>
    <xf numFmtId="0" fontId="6" fillId="0" borderId="0" xfId="0" applyFont="1" applyFill="1" applyAlignment="1">
      <alignment horizontal="left" vertical="center" wrapText="1" readingOrder="1"/>
    </xf>
    <xf numFmtId="0" fontId="0" fillId="0" borderId="0" xfId="0" applyAlignment="1">
      <alignment vertical="center" wrapText="1" readingOrder="1"/>
    </xf>
    <xf numFmtId="0" fontId="4" fillId="0" borderId="0" xfId="0" applyFont="1" applyAlignment="1">
      <alignment horizontal="left" vertical="top" wrapText="1"/>
    </xf>
    <xf numFmtId="0" fontId="0" fillId="0" borderId="0" xfId="0" applyAlignment="1">
      <alignment wrapText="1"/>
    </xf>
    <xf numFmtId="0" fontId="4" fillId="0" borderId="0" xfId="0" quotePrefix="1" applyFont="1" applyAlignment="1">
      <alignment horizontal="center"/>
    </xf>
    <xf numFmtId="169" fontId="4" fillId="0" borderId="0" xfId="44" applyNumberFormat="1" applyFont="1" applyFill="1" applyBorder="1"/>
    <xf numFmtId="164" fontId="4" fillId="0" borderId="0" xfId="0" applyNumberFormat="1" applyFont="1" applyFill="1" applyBorder="1"/>
    <xf numFmtId="170" fontId="3" fillId="0" borderId="0" xfId="0" applyNumberFormat="1" applyFont="1"/>
    <xf numFmtId="166" fontId="4" fillId="0" borderId="0" xfId="0" quotePrefix="1" applyNumberFormat="1" applyFont="1" applyAlignment="1">
      <alignment horizontal="left"/>
    </xf>
    <xf numFmtId="166" fontId="4" fillId="0" borderId="0" xfId="0" quotePrefix="1" applyNumberFormat="1" applyFont="1" applyAlignment="1">
      <alignment horizontal="center"/>
    </xf>
    <xf numFmtId="0" fontId="4" fillId="0" borderId="0" xfId="0" applyFont="1" applyAlignment="1">
      <alignment horizontal="center"/>
    </xf>
    <xf numFmtId="49" fontId="4" fillId="0" borderId="0" xfId="0" applyNumberFormat="1" applyFont="1" applyAlignment="1">
      <alignment horizontal="center"/>
    </xf>
    <xf numFmtId="49" fontId="4" fillId="0" borderId="0" xfId="0" quotePrefix="1" applyNumberFormat="1" applyFont="1" applyAlignment="1">
      <alignment horizontal="center"/>
    </xf>
    <xf numFmtId="0" fontId="4" fillId="0" borderId="0" xfId="0" applyFont="1" applyAlignment="1">
      <alignment vertical="top" wrapText="1"/>
    </xf>
    <xf numFmtId="0" fontId="0" fillId="0" borderId="0" xfId="0" applyAlignment="1">
      <alignment vertical="top" wrapText="1"/>
    </xf>
    <xf numFmtId="0" fontId="4" fillId="0" borderId="0" xfId="0" applyFont="1" applyFill="1" applyAlignment="1">
      <alignment horizontal="left" vertical="center" wrapText="1" readingOrder="1"/>
    </xf>
    <xf numFmtId="0" fontId="0" fillId="0" borderId="0" xfId="0" applyFill="1" applyAlignment="1">
      <alignment vertical="center" wrapText="1" readingOrder="1"/>
    </xf>
    <xf numFmtId="0" fontId="4" fillId="0" borderId="0" xfId="0" applyFont="1" applyAlignment="1">
      <alignment horizontal="center" wrapText="1"/>
    </xf>
    <xf numFmtId="0" fontId="4" fillId="0" borderId="0" xfId="0" applyNumberFormat="1" applyFont="1" applyFill="1" applyAlignment="1">
      <alignment horizontal="left" vertical="center" wrapText="1" readingOrder="1"/>
    </xf>
    <xf numFmtId="0" fontId="0" fillId="0" borderId="0" xfId="0" applyFill="1" applyAlignment="1">
      <alignment vertical="center" readingOrder="1"/>
    </xf>
    <xf numFmtId="0" fontId="6" fillId="0" borderId="0" xfId="0" applyFont="1" applyFill="1" applyAlignment="1">
      <alignment horizontal="left" vertical="center" wrapText="1" readingOrder="1"/>
    </xf>
    <xf numFmtId="0" fontId="0" fillId="0" borderId="0" xfId="0" applyAlignment="1">
      <alignment vertical="center" wrapText="1" readingOrder="1"/>
    </xf>
    <xf numFmtId="49" fontId="4" fillId="0" borderId="0" xfId="0" quotePrefix="1" applyNumberFormat="1" applyFont="1" applyAlignment="1">
      <alignment horizontal="center" wrapText="1"/>
    </xf>
    <xf numFmtId="0" fontId="6" fillId="0" borderId="0" xfId="0" applyFont="1" applyFill="1" applyAlignment="1">
      <alignment horizontal="left" vertical="top" wrapText="1" readingOrder="1"/>
    </xf>
    <xf numFmtId="0" fontId="0" fillId="0" borderId="0" xfId="0" applyAlignment="1">
      <alignment vertical="top" wrapText="1" readingOrder="1"/>
    </xf>
    <xf numFmtId="0" fontId="6" fillId="0" borderId="0" xfId="0" applyFont="1" applyFill="1" applyAlignment="1">
      <alignment horizontal="left" vertical="top" wrapText="1"/>
    </xf>
    <xf numFmtId="0" fontId="0" fillId="0" borderId="0" xfId="0" applyFill="1" applyAlignment="1">
      <alignment wrapText="1"/>
    </xf>
    <xf numFmtId="0" fontId="4" fillId="0" borderId="0" xfId="0" applyFont="1" applyFill="1" applyBorder="1" applyAlignment="1">
      <alignment horizontal="left" vertical="top" wrapText="1"/>
    </xf>
    <xf numFmtId="0" fontId="4" fillId="0" borderId="0" xfId="0" applyFont="1" applyFill="1" applyBorder="1" applyAlignment="1">
      <alignment wrapText="1"/>
    </xf>
    <xf numFmtId="0" fontId="4" fillId="0" borderId="0" xfId="0" applyFont="1" applyAlignment="1">
      <alignment vertical="top"/>
    </xf>
    <xf numFmtId="0" fontId="0" fillId="0" borderId="0" xfId="0" applyAlignment="1">
      <alignment vertical="top"/>
    </xf>
    <xf numFmtId="0" fontId="4" fillId="0" borderId="0" xfId="0" applyFont="1" applyBorder="1" applyAlignment="1">
      <alignment wrapText="1"/>
    </xf>
    <xf numFmtId="0" fontId="0" fillId="0" borderId="0" xfId="0" applyAlignment="1">
      <alignment wrapText="1"/>
    </xf>
    <xf numFmtId="0" fontId="4" fillId="0" borderId="0" xfId="0" applyFont="1" applyAlignment="1">
      <alignment horizontal="left" vertical="top"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44"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Sheet1" xfId="38"/>
    <cellStyle name="Note" xfId="39" builtinId="10" customBuiltin="1"/>
    <cellStyle name="Output" xfId="40" builtinId="21" customBuiltin="1"/>
    <cellStyle name="Percent" xfId="45"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171"/>
  <sheetViews>
    <sheetView tabSelected="1" zoomScale="75" zoomScaleNormal="75" workbookViewId="0"/>
  </sheetViews>
  <sheetFormatPr defaultRowHeight="16.5" x14ac:dyDescent="0.25"/>
  <cols>
    <col min="1" max="1" width="9.5703125" style="1" customWidth="1"/>
    <col min="2" max="2" width="4.42578125" style="1" customWidth="1"/>
    <col min="3" max="3" width="80.140625" style="1" customWidth="1"/>
    <col min="4" max="5" width="12.7109375" style="1" customWidth="1"/>
    <col min="6" max="6" width="11.28515625" style="1" customWidth="1"/>
    <col min="7" max="7" width="9.140625" style="1"/>
    <col min="8" max="8" width="13.140625" style="1" bestFit="1" customWidth="1"/>
    <col min="9" max="9" width="10.140625" style="1" bestFit="1" customWidth="1"/>
    <col min="10" max="10" width="9.140625" style="1"/>
    <col min="11" max="11" width="10.140625" style="1" bestFit="1" customWidth="1"/>
    <col min="12" max="14" width="9.140625" style="1"/>
    <col min="15" max="15" width="11.42578125" style="1" bestFit="1" customWidth="1"/>
    <col min="16" max="16" width="10.140625" style="1" bestFit="1" customWidth="1"/>
    <col min="17" max="16384" width="9.140625" style="1"/>
  </cols>
  <sheetData>
    <row r="1" spans="2:13" x14ac:dyDescent="0.25">
      <c r="B1" s="2" t="s">
        <v>0</v>
      </c>
      <c r="C1" s="2"/>
      <c r="D1" s="2"/>
      <c r="E1" s="2"/>
    </row>
    <row r="2" spans="2:13" x14ac:dyDescent="0.25">
      <c r="B2" s="2" t="s">
        <v>1</v>
      </c>
      <c r="C2" s="2"/>
      <c r="D2" s="2"/>
      <c r="E2" s="2"/>
    </row>
    <row r="3" spans="2:13" x14ac:dyDescent="0.25">
      <c r="B3" s="2" t="s">
        <v>2</v>
      </c>
      <c r="C3" s="2"/>
      <c r="D3" s="2"/>
      <c r="E3" s="2"/>
    </row>
    <row r="4" spans="2:13" ht="16.5" customHeight="1" x14ac:dyDescent="0.25">
      <c r="B4" s="2"/>
      <c r="C4" s="2"/>
      <c r="D4" s="77" t="s">
        <v>3</v>
      </c>
      <c r="E4" s="77"/>
    </row>
    <row r="5" spans="2:13" ht="16.5" customHeight="1" x14ac:dyDescent="0.25">
      <c r="B5" s="2"/>
      <c r="C5" s="2"/>
      <c r="D5" s="82" t="s">
        <v>51</v>
      </c>
      <c r="E5" s="82"/>
    </row>
    <row r="6" spans="2:13" x14ac:dyDescent="0.25">
      <c r="B6" s="2"/>
      <c r="C6" s="2"/>
      <c r="D6" s="3">
        <v>2013</v>
      </c>
      <c r="E6" s="3">
        <v>2012</v>
      </c>
    </row>
    <row r="7" spans="2:13" ht="9" customHeight="1" x14ac:dyDescent="0.25">
      <c r="B7" s="2"/>
      <c r="C7" s="2"/>
      <c r="D7" s="2"/>
      <c r="E7" s="2"/>
    </row>
    <row r="8" spans="2:13" x14ac:dyDescent="0.25">
      <c r="B8" s="2" t="s">
        <v>4</v>
      </c>
      <c r="C8" s="2"/>
      <c r="D8" s="4">
        <v>3331</v>
      </c>
      <c r="E8" s="4">
        <v>3333</v>
      </c>
      <c r="G8" s="5"/>
      <c r="H8" s="54"/>
      <c r="I8" s="5"/>
      <c r="K8" s="5"/>
    </row>
    <row r="9" spans="2:13" x14ac:dyDescent="0.25">
      <c r="B9" s="6" t="s">
        <v>74</v>
      </c>
      <c r="C9" s="6"/>
      <c r="D9" s="7">
        <v>1947</v>
      </c>
      <c r="E9" s="7">
        <v>1946</v>
      </c>
      <c r="G9" s="5"/>
      <c r="H9" s="54"/>
      <c r="I9" s="5"/>
    </row>
    <row r="10" spans="2:13" x14ac:dyDescent="0.25">
      <c r="B10" s="2" t="s">
        <v>75</v>
      </c>
      <c r="C10" s="2"/>
      <c r="D10" s="8">
        <v>912</v>
      </c>
      <c r="E10" s="8">
        <v>933</v>
      </c>
      <c r="G10" s="5"/>
      <c r="H10" s="54"/>
      <c r="I10" s="5"/>
      <c r="M10" s="54"/>
    </row>
    <row r="11" spans="2:13" x14ac:dyDescent="0.25">
      <c r="B11" s="2" t="s">
        <v>5</v>
      </c>
      <c r="C11" s="2"/>
      <c r="D11" s="8">
        <v>81</v>
      </c>
      <c r="E11" s="8">
        <v>79</v>
      </c>
      <c r="G11" s="5"/>
      <c r="H11" s="54"/>
      <c r="I11" s="5"/>
    </row>
    <row r="12" spans="2:13" x14ac:dyDescent="0.25">
      <c r="B12" s="2" t="s">
        <v>6</v>
      </c>
      <c r="C12" s="2"/>
      <c r="D12" s="8">
        <v>26</v>
      </c>
      <c r="E12" s="8">
        <v>29</v>
      </c>
      <c r="G12" s="5"/>
      <c r="H12" s="54"/>
      <c r="I12" s="5"/>
    </row>
    <row r="13" spans="2:13" x14ac:dyDescent="0.25">
      <c r="B13" s="2" t="s">
        <v>7</v>
      </c>
      <c r="C13" s="2"/>
      <c r="D13" s="8">
        <v>53</v>
      </c>
      <c r="E13" s="8">
        <v>51</v>
      </c>
      <c r="G13" s="5"/>
      <c r="H13" s="54"/>
      <c r="I13" s="5"/>
    </row>
    <row r="14" spans="2:13" x14ac:dyDescent="0.25">
      <c r="B14" s="2" t="s">
        <v>8</v>
      </c>
      <c r="C14" s="2"/>
      <c r="D14" s="8">
        <v>-10</v>
      </c>
      <c r="E14" s="8">
        <v>-10</v>
      </c>
      <c r="G14" s="5"/>
      <c r="H14" s="54"/>
      <c r="I14" s="5"/>
    </row>
    <row r="15" spans="2:13" x14ac:dyDescent="0.25">
      <c r="B15" s="2" t="s">
        <v>9</v>
      </c>
      <c r="C15" s="2"/>
      <c r="D15" s="8">
        <v>3</v>
      </c>
      <c r="E15" s="8">
        <v>3</v>
      </c>
      <c r="G15" s="5"/>
      <c r="H15" s="54"/>
      <c r="I15" s="5"/>
    </row>
    <row r="16" spans="2:13" x14ac:dyDescent="0.25">
      <c r="B16" s="2" t="s">
        <v>53</v>
      </c>
      <c r="C16" s="2"/>
      <c r="D16" s="8">
        <v>0</v>
      </c>
      <c r="E16" s="8">
        <v>208</v>
      </c>
      <c r="G16" s="5"/>
      <c r="H16" s="54"/>
      <c r="I16" s="5"/>
    </row>
    <row r="17" spans="2:11" x14ac:dyDescent="0.25">
      <c r="B17" s="9" t="s">
        <v>84</v>
      </c>
      <c r="C17" s="9"/>
      <c r="D17" s="10">
        <v>1</v>
      </c>
      <c r="E17" s="10">
        <v>141</v>
      </c>
      <c r="G17" s="5"/>
      <c r="H17" s="54"/>
      <c r="I17" s="5"/>
      <c r="J17" s="45"/>
      <c r="K17" s="45"/>
    </row>
    <row r="18" spans="2:11" x14ac:dyDescent="0.25">
      <c r="B18" s="2" t="s">
        <v>10</v>
      </c>
      <c r="C18" s="2"/>
      <c r="D18" s="8">
        <f>D8-SUM(D9:D17)</f>
        <v>318</v>
      </c>
      <c r="E18" s="8">
        <v>-47</v>
      </c>
      <c r="G18" s="5"/>
      <c r="H18" s="54"/>
      <c r="I18" s="5"/>
    </row>
    <row r="19" spans="2:11" x14ac:dyDescent="0.25">
      <c r="B19" s="9" t="s">
        <v>72</v>
      </c>
      <c r="C19" s="9"/>
      <c r="D19" s="10">
        <v>64</v>
      </c>
      <c r="E19" s="10">
        <v>-31</v>
      </c>
      <c r="G19" s="5"/>
      <c r="H19" s="54"/>
      <c r="I19" s="5"/>
    </row>
    <row r="20" spans="2:11" x14ac:dyDescent="0.25">
      <c r="B20" s="6" t="s">
        <v>68</v>
      </c>
      <c r="C20" s="2"/>
      <c r="D20" s="8">
        <v>254</v>
      </c>
      <c r="E20" s="8">
        <v>-16</v>
      </c>
      <c r="G20" s="5"/>
      <c r="H20" s="54"/>
      <c r="I20" s="5"/>
    </row>
    <row r="21" spans="2:11" x14ac:dyDescent="0.25">
      <c r="B21" s="9" t="s">
        <v>73</v>
      </c>
      <c r="C21" s="9"/>
      <c r="D21" s="10">
        <v>2191</v>
      </c>
      <c r="E21" s="10">
        <v>67</v>
      </c>
      <c r="G21" s="5"/>
      <c r="H21" s="54"/>
      <c r="I21" s="5"/>
    </row>
    <row r="22" spans="2:11" x14ac:dyDescent="0.25">
      <c r="B22" s="6" t="s">
        <v>11</v>
      </c>
      <c r="C22" s="2"/>
      <c r="D22" s="8">
        <f>D20+D21</f>
        <v>2445</v>
      </c>
      <c r="E22" s="8">
        <v>51</v>
      </c>
      <c r="G22" s="5"/>
      <c r="H22" s="54"/>
      <c r="I22" s="5"/>
    </row>
    <row r="23" spans="2:11" x14ac:dyDescent="0.25">
      <c r="B23" s="9"/>
      <c r="C23" s="9" t="s">
        <v>12</v>
      </c>
      <c r="D23" s="10">
        <v>-35</v>
      </c>
      <c r="E23" s="10">
        <v>-38</v>
      </c>
      <c r="G23" s="5"/>
      <c r="H23" s="54"/>
      <c r="I23" s="5"/>
      <c r="J23" s="45"/>
      <c r="K23" s="45"/>
    </row>
    <row r="24" spans="2:11" ht="17.25" thickBot="1" x14ac:dyDescent="0.3">
      <c r="B24" s="11" t="s">
        <v>13</v>
      </c>
      <c r="C24" s="11"/>
      <c r="D24" s="52">
        <f>D22+D23</f>
        <v>2410</v>
      </c>
      <c r="E24" s="52">
        <v>13</v>
      </c>
      <c r="G24" s="5"/>
      <c r="H24" s="54"/>
      <c r="I24" s="5"/>
    </row>
    <row r="25" spans="2:11" s="12" customFormat="1" ht="8.25" customHeight="1" thickTop="1" x14ac:dyDescent="0.25">
      <c r="B25" s="6"/>
      <c r="C25" s="6"/>
      <c r="D25" s="14"/>
      <c r="E25" s="14"/>
      <c r="G25" s="5"/>
      <c r="H25" s="54"/>
    </row>
    <row r="26" spans="2:11" s="12" customFormat="1" x14ac:dyDescent="0.25">
      <c r="B26" s="48" t="s">
        <v>59</v>
      </c>
      <c r="C26" s="48"/>
      <c r="D26" s="49"/>
      <c r="E26" s="49"/>
      <c r="G26" s="5"/>
      <c r="H26" s="54"/>
    </row>
    <row r="27" spans="2:11" s="12" customFormat="1" x14ac:dyDescent="0.25">
      <c r="B27" s="6"/>
      <c r="C27" s="6" t="s">
        <v>62</v>
      </c>
      <c r="D27" s="65">
        <v>219</v>
      </c>
      <c r="E27" s="14">
        <v>-50</v>
      </c>
      <c r="G27" s="5"/>
      <c r="H27" s="54"/>
    </row>
    <row r="28" spans="2:11" s="12" customFormat="1" x14ac:dyDescent="0.25">
      <c r="B28" s="6"/>
      <c r="C28" s="6" t="s">
        <v>60</v>
      </c>
      <c r="D28" s="14">
        <v>2191</v>
      </c>
      <c r="E28" s="33">
        <v>63</v>
      </c>
      <c r="G28" s="5"/>
      <c r="H28" s="54"/>
    </row>
    <row r="29" spans="2:11" s="12" customFormat="1" ht="17.25" thickBot="1" x14ac:dyDescent="0.3">
      <c r="B29" s="50" t="s">
        <v>61</v>
      </c>
      <c r="C29" s="11"/>
      <c r="D29" s="52">
        <f>SUM(D27:D28)</f>
        <v>2410</v>
      </c>
      <c r="E29" s="52">
        <v>13</v>
      </c>
      <c r="G29" s="5"/>
      <c r="H29" s="54"/>
    </row>
    <row r="30" spans="2:11" s="12" customFormat="1" ht="17.25" thickTop="1" x14ac:dyDescent="0.25">
      <c r="B30" s="6"/>
      <c r="C30" s="6"/>
      <c r="D30" s="14"/>
      <c r="E30" s="14"/>
      <c r="G30" s="5"/>
      <c r="H30" s="54"/>
    </row>
    <row r="31" spans="2:11" s="12" customFormat="1" x14ac:dyDescent="0.25">
      <c r="B31" s="48" t="s">
        <v>14</v>
      </c>
      <c r="C31" s="48"/>
      <c r="D31" s="49"/>
      <c r="E31" s="49"/>
      <c r="G31" s="5"/>
      <c r="H31" s="54"/>
    </row>
    <row r="32" spans="2:11" s="12" customFormat="1" x14ac:dyDescent="0.25">
      <c r="B32" s="6"/>
      <c r="C32" s="6" t="s">
        <v>62</v>
      </c>
      <c r="D32" s="66">
        <v>1.5</v>
      </c>
      <c r="E32" s="51">
        <v>-0.33</v>
      </c>
      <c r="G32" s="5"/>
      <c r="H32" s="54"/>
    </row>
    <row r="33" spans="2:16" s="12" customFormat="1" x14ac:dyDescent="0.25">
      <c r="B33" s="6"/>
      <c r="C33" s="6" t="s">
        <v>60</v>
      </c>
      <c r="D33" s="57">
        <v>14.99</v>
      </c>
      <c r="E33" s="57">
        <v>0.41</v>
      </c>
      <c r="G33" s="5"/>
      <c r="H33" s="54"/>
    </row>
    <row r="34" spans="2:16" s="12" customFormat="1" ht="17.25" thickBot="1" x14ac:dyDescent="0.3">
      <c r="B34" s="50" t="s">
        <v>61</v>
      </c>
      <c r="C34" s="11"/>
      <c r="D34" s="15">
        <v>16.489999999999998</v>
      </c>
      <c r="E34" s="15">
        <v>0.08</v>
      </c>
      <c r="G34" s="5"/>
      <c r="H34" s="54"/>
    </row>
    <row r="35" spans="2:16" ht="10.5" customHeight="1" thickTop="1" x14ac:dyDescent="0.25">
      <c r="B35" s="2"/>
      <c r="C35" s="2"/>
      <c r="D35" s="4"/>
      <c r="E35" s="4"/>
      <c r="G35" s="5"/>
      <c r="H35" s="54"/>
    </row>
    <row r="36" spans="2:16" x14ac:dyDescent="0.25">
      <c r="B36" s="48" t="s">
        <v>15</v>
      </c>
      <c r="C36" s="48"/>
      <c r="D36" s="49"/>
      <c r="E36" s="49"/>
      <c r="G36" s="5"/>
      <c r="H36" s="54"/>
    </row>
    <row r="37" spans="2:16" x14ac:dyDescent="0.25">
      <c r="B37" s="6"/>
      <c r="C37" s="6" t="s">
        <v>62</v>
      </c>
      <c r="D37" s="66">
        <v>1.48</v>
      </c>
      <c r="E37" s="58">
        <v>-0.32</v>
      </c>
      <c r="G37" s="5"/>
      <c r="H37" s="54"/>
    </row>
    <row r="38" spans="2:16" x14ac:dyDescent="0.25">
      <c r="B38" s="6"/>
      <c r="C38" s="6" t="s">
        <v>60</v>
      </c>
      <c r="D38" s="57">
        <v>14.83</v>
      </c>
      <c r="E38" s="59">
        <v>0.4</v>
      </c>
      <c r="G38" s="5"/>
      <c r="H38" s="54"/>
    </row>
    <row r="39" spans="2:16" ht="17.25" thickBot="1" x14ac:dyDescent="0.3">
      <c r="B39" s="50" t="s">
        <v>61</v>
      </c>
      <c r="C39" s="11"/>
      <c r="D39" s="15">
        <v>16.309999999999999</v>
      </c>
      <c r="E39" s="15">
        <v>0.08</v>
      </c>
      <c r="G39" s="5"/>
      <c r="H39" s="54"/>
      <c r="O39" s="5"/>
      <c r="P39" s="5"/>
    </row>
    <row r="40" spans="2:16" ht="9" customHeight="1" thickTop="1" x14ac:dyDescent="0.25">
      <c r="B40" s="2"/>
      <c r="C40" s="2"/>
      <c r="D40" s="4"/>
      <c r="E40" s="4"/>
      <c r="G40" s="5"/>
      <c r="H40" s="54"/>
    </row>
    <row r="41" spans="2:16" ht="17.25" thickBot="1" x14ac:dyDescent="0.3">
      <c r="B41" s="17" t="s">
        <v>16</v>
      </c>
      <c r="C41" s="17"/>
      <c r="D41" s="42">
        <v>146.1</v>
      </c>
      <c r="E41" s="42">
        <v>152.80000000000001</v>
      </c>
      <c r="G41" s="5"/>
      <c r="H41" s="54"/>
    </row>
    <row r="42" spans="2:16" ht="11.25" customHeight="1" thickTop="1" x14ac:dyDescent="0.25">
      <c r="B42" s="2"/>
      <c r="C42" s="2"/>
      <c r="D42" s="4"/>
      <c r="E42" s="4"/>
      <c r="G42" s="5"/>
      <c r="H42" s="54"/>
    </row>
    <row r="43" spans="2:16" ht="17.25" thickBot="1" x14ac:dyDescent="0.3">
      <c r="B43" s="17" t="s">
        <v>17</v>
      </c>
      <c r="C43" s="17"/>
      <c r="D43" s="42">
        <v>147.69999999999999</v>
      </c>
      <c r="E43" s="42">
        <v>154.5</v>
      </c>
      <c r="G43" s="5"/>
      <c r="H43" s="54"/>
    </row>
    <row r="44" spans="2:16" ht="17.25" thickTop="1" x14ac:dyDescent="0.25">
      <c r="B44" s="25" t="s">
        <v>85</v>
      </c>
      <c r="C44" s="6"/>
      <c r="D44" s="18"/>
      <c r="G44" s="5"/>
      <c r="H44" s="54"/>
      <c r="J44" s="41"/>
    </row>
    <row r="45" spans="2:16" x14ac:dyDescent="0.25">
      <c r="B45" s="19" t="s">
        <v>18</v>
      </c>
      <c r="C45" s="6"/>
      <c r="D45" s="18"/>
      <c r="G45" s="5"/>
      <c r="H45" s="54"/>
      <c r="J45" s="41"/>
    </row>
    <row r="46" spans="2:16" x14ac:dyDescent="0.25">
      <c r="B46" s="19"/>
      <c r="C46" s="91" t="s">
        <v>78</v>
      </c>
      <c r="D46" s="92"/>
      <c r="E46" s="92"/>
      <c r="F46" s="92"/>
      <c r="G46" s="5"/>
      <c r="H46" s="54"/>
      <c r="J46" s="41"/>
    </row>
    <row r="47" spans="2:16" x14ac:dyDescent="0.25">
      <c r="B47" s="19"/>
      <c r="C47" s="91"/>
      <c r="D47" s="92"/>
      <c r="E47" s="92"/>
      <c r="F47" s="92"/>
      <c r="G47" s="5"/>
      <c r="H47" s="54"/>
      <c r="J47" s="41"/>
    </row>
    <row r="48" spans="2:16" x14ac:dyDescent="0.25">
      <c r="B48" s="19"/>
      <c r="C48" s="92"/>
      <c r="D48" s="92"/>
      <c r="E48" s="92"/>
      <c r="F48" s="92"/>
      <c r="G48" s="5"/>
      <c r="H48" s="54"/>
      <c r="J48" s="41"/>
    </row>
    <row r="49" spans="2:13" x14ac:dyDescent="0.25">
      <c r="B49" s="19" t="s">
        <v>19</v>
      </c>
      <c r="C49" s="6"/>
      <c r="D49" s="18"/>
      <c r="G49" s="5"/>
      <c r="H49" s="54"/>
      <c r="J49" s="41"/>
    </row>
    <row r="50" spans="2:13" x14ac:dyDescent="0.25">
      <c r="B50" s="6"/>
      <c r="C50" s="91" t="s">
        <v>79</v>
      </c>
      <c r="D50" s="92"/>
      <c r="E50" s="92"/>
      <c r="F50" s="92"/>
      <c r="G50" s="5"/>
      <c r="H50" s="54"/>
      <c r="J50" s="41"/>
    </row>
    <row r="51" spans="2:13" x14ac:dyDescent="0.25">
      <c r="B51" s="6"/>
      <c r="C51" s="92"/>
      <c r="D51" s="92"/>
      <c r="E51" s="92"/>
      <c r="F51" s="92"/>
      <c r="G51" s="5"/>
      <c r="H51" s="54"/>
      <c r="J51" s="41"/>
    </row>
    <row r="52" spans="2:13" x14ac:dyDescent="0.25">
      <c r="B52" s="19" t="s">
        <v>20</v>
      </c>
      <c r="C52" s="20"/>
      <c r="D52" s="18"/>
      <c r="E52" s="18"/>
      <c r="G52" s="5"/>
      <c r="H52" s="54"/>
      <c r="J52" s="41"/>
    </row>
    <row r="53" spans="2:13" x14ac:dyDescent="0.25">
      <c r="B53" s="20"/>
      <c r="C53" s="87" t="s">
        <v>86</v>
      </c>
      <c r="D53" s="87"/>
      <c r="E53" s="87"/>
      <c r="F53" s="86"/>
      <c r="G53" s="5"/>
      <c r="H53" s="54"/>
    </row>
    <row r="54" spans="2:13" x14ac:dyDescent="0.25">
      <c r="B54" s="20"/>
      <c r="C54" s="87"/>
      <c r="D54" s="87"/>
      <c r="E54" s="87"/>
      <c r="F54" s="86"/>
      <c r="G54" s="5"/>
      <c r="H54" s="54"/>
    </row>
    <row r="55" spans="2:13" x14ac:dyDescent="0.25">
      <c r="B55" s="20"/>
      <c r="C55" s="87"/>
      <c r="D55" s="87"/>
      <c r="E55" s="87"/>
      <c r="F55" s="86"/>
      <c r="G55" s="5"/>
      <c r="H55" s="54"/>
    </row>
    <row r="56" spans="2:13" x14ac:dyDescent="0.25">
      <c r="B56" s="20"/>
      <c r="C56" s="87"/>
      <c r="D56" s="87"/>
      <c r="E56" s="87"/>
      <c r="F56" s="86"/>
      <c r="G56" s="5"/>
      <c r="H56" s="54"/>
      <c r="M56" s="41"/>
    </row>
    <row r="57" spans="2:13" x14ac:dyDescent="0.25">
      <c r="B57" s="19" t="s">
        <v>65</v>
      </c>
      <c r="C57" s="20"/>
      <c r="D57" s="18"/>
      <c r="E57" s="18"/>
      <c r="G57" s="5"/>
      <c r="H57" s="54"/>
    </row>
    <row r="58" spans="2:13" x14ac:dyDescent="0.25">
      <c r="B58" s="19"/>
      <c r="C58" s="88" t="s">
        <v>90</v>
      </c>
      <c r="D58" s="86"/>
      <c r="E58" s="86"/>
      <c r="F58" s="86"/>
      <c r="G58" s="5"/>
      <c r="H58" s="54"/>
    </row>
    <row r="59" spans="2:13" x14ac:dyDescent="0.25">
      <c r="B59" s="19"/>
      <c r="C59" s="88"/>
      <c r="D59" s="86"/>
      <c r="E59" s="86"/>
      <c r="F59" s="86"/>
      <c r="G59" s="5"/>
      <c r="H59" s="54"/>
    </row>
    <row r="60" spans="2:13" x14ac:dyDescent="0.25">
      <c r="B60" s="19"/>
      <c r="C60" s="88"/>
      <c r="D60" s="86"/>
      <c r="E60" s="86"/>
      <c r="F60" s="86"/>
      <c r="G60" s="5"/>
      <c r="H60" s="54"/>
    </row>
    <row r="61" spans="2:13" x14ac:dyDescent="0.25">
      <c r="B61" s="19"/>
      <c r="C61" s="88"/>
      <c r="D61" s="86"/>
      <c r="E61" s="86"/>
      <c r="F61" s="86"/>
      <c r="G61" s="5"/>
      <c r="H61" s="54"/>
    </row>
    <row r="62" spans="2:13" x14ac:dyDescent="0.25">
      <c r="B62" s="19"/>
      <c r="C62" s="88"/>
      <c r="D62" s="86"/>
      <c r="E62" s="86"/>
      <c r="F62" s="86"/>
      <c r="G62" s="5"/>
      <c r="H62" s="54"/>
    </row>
    <row r="63" spans="2:13" x14ac:dyDescent="0.25">
      <c r="B63" s="19"/>
      <c r="C63" s="86"/>
      <c r="D63" s="86"/>
      <c r="E63" s="86"/>
      <c r="F63" s="86"/>
      <c r="G63" s="5"/>
      <c r="H63" s="54"/>
    </row>
    <row r="64" spans="2:13" x14ac:dyDescent="0.25">
      <c r="B64" s="19"/>
      <c r="C64" s="86"/>
      <c r="D64" s="86"/>
      <c r="E64" s="86"/>
      <c r="F64" s="86"/>
      <c r="G64" s="5"/>
      <c r="H64" s="54"/>
    </row>
    <row r="65" spans="2:8" ht="18.75" customHeight="1" x14ac:dyDescent="0.25">
      <c r="B65" s="20"/>
      <c r="C65" s="85" t="s">
        <v>83</v>
      </c>
      <c r="D65" s="85"/>
      <c r="E65" s="85"/>
      <c r="F65" s="86"/>
      <c r="G65" s="5"/>
      <c r="H65" s="54"/>
    </row>
    <row r="66" spans="2:8" ht="18.75" customHeight="1" x14ac:dyDescent="0.25">
      <c r="B66" s="20"/>
      <c r="C66" s="85"/>
      <c r="D66" s="85"/>
      <c r="E66" s="85"/>
      <c r="F66" s="86"/>
      <c r="G66" s="5"/>
      <c r="H66" s="54"/>
    </row>
    <row r="67" spans="2:8" ht="18.75" customHeight="1" x14ac:dyDescent="0.25">
      <c r="B67" s="20"/>
      <c r="C67" s="85"/>
      <c r="D67" s="85"/>
      <c r="E67" s="85"/>
      <c r="F67" s="86"/>
      <c r="G67" s="5"/>
      <c r="H67" s="54"/>
    </row>
    <row r="68" spans="2:8" ht="18.75" customHeight="1" x14ac:dyDescent="0.25">
      <c r="B68" s="20"/>
      <c r="C68" s="85"/>
      <c r="D68" s="85"/>
      <c r="E68" s="85"/>
      <c r="F68" s="86"/>
      <c r="G68" s="5"/>
      <c r="H68" s="54"/>
    </row>
    <row r="69" spans="2:8" x14ac:dyDescent="0.25">
      <c r="B69" s="20"/>
      <c r="C69" s="85"/>
      <c r="D69" s="85"/>
      <c r="E69" s="85"/>
      <c r="F69" s="86"/>
      <c r="G69" s="5"/>
      <c r="H69" s="54"/>
    </row>
    <row r="70" spans="2:8" ht="16.5" customHeight="1" x14ac:dyDescent="0.25">
      <c r="B70" s="20"/>
      <c r="C70" s="85"/>
      <c r="D70" s="85"/>
      <c r="E70" s="85"/>
      <c r="F70" s="86"/>
      <c r="G70" s="5"/>
      <c r="H70" s="54"/>
    </row>
    <row r="71" spans="2:8" ht="16.5" customHeight="1" x14ac:dyDescent="0.25">
      <c r="B71" s="19" t="s">
        <v>71</v>
      </c>
      <c r="C71" s="46"/>
      <c r="D71" s="46"/>
      <c r="E71" s="46"/>
      <c r="F71" s="47"/>
      <c r="G71" s="5"/>
      <c r="H71" s="54"/>
    </row>
    <row r="72" spans="2:8" ht="16.5" customHeight="1" x14ac:dyDescent="0.25">
      <c r="B72" s="20"/>
      <c r="C72" s="87" t="s">
        <v>80</v>
      </c>
      <c r="D72" s="87"/>
      <c r="E72" s="87"/>
      <c r="F72" s="86"/>
      <c r="G72" s="5"/>
      <c r="H72" s="54"/>
    </row>
    <row r="73" spans="2:8" ht="16.5" customHeight="1" x14ac:dyDescent="0.25">
      <c r="B73" s="20"/>
      <c r="C73" s="87"/>
      <c r="D73" s="87"/>
      <c r="E73" s="87"/>
      <c r="F73" s="86"/>
      <c r="G73" s="5"/>
      <c r="H73" s="54"/>
    </row>
    <row r="74" spans="2:8" ht="16.5" customHeight="1" x14ac:dyDescent="0.25">
      <c r="B74" s="20"/>
      <c r="C74" s="87"/>
      <c r="D74" s="87"/>
      <c r="E74" s="87"/>
      <c r="F74" s="86"/>
      <c r="G74" s="5"/>
      <c r="H74" s="54"/>
    </row>
    <row r="75" spans="2:8" ht="16.5" customHeight="1" x14ac:dyDescent="0.25">
      <c r="B75" s="20"/>
      <c r="C75" s="46"/>
      <c r="D75" s="46"/>
      <c r="E75" s="46"/>
      <c r="F75" s="47"/>
      <c r="G75" s="5"/>
      <c r="H75" s="54"/>
    </row>
    <row r="76" spans="2:8" x14ac:dyDescent="0.25">
      <c r="B76" s="2" t="s">
        <v>21</v>
      </c>
      <c r="C76" s="2"/>
      <c r="D76" s="2"/>
      <c r="E76" s="2"/>
      <c r="G76" s="5"/>
      <c r="H76" s="54"/>
    </row>
    <row r="77" spans="2:8" x14ac:dyDescent="0.25">
      <c r="B77" s="2"/>
      <c r="C77" s="2"/>
      <c r="D77" s="2"/>
      <c r="E77" s="64"/>
      <c r="F77" s="64"/>
      <c r="G77" s="5"/>
      <c r="H77" s="54"/>
    </row>
    <row r="78" spans="2:8" x14ac:dyDescent="0.25">
      <c r="B78" s="2"/>
      <c r="C78" s="2"/>
      <c r="D78" s="39" t="s">
        <v>51</v>
      </c>
      <c r="E78" s="39" t="s">
        <v>51</v>
      </c>
      <c r="F78" s="21" t="s">
        <v>22</v>
      </c>
      <c r="G78" s="5"/>
      <c r="H78" s="54"/>
    </row>
    <row r="79" spans="2:8" x14ac:dyDescent="0.25">
      <c r="B79" s="2"/>
      <c r="C79" s="2"/>
      <c r="D79" s="40">
        <v>2013</v>
      </c>
      <c r="E79" s="3" t="s">
        <v>82</v>
      </c>
      <c r="F79" s="3" t="s">
        <v>82</v>
      </c>
      <c r="G79" s="5"/>
      <c r="H79" s="54"/>
    </row>
    <row r="80" spans="2:8" x14ac:dyDescent="0.25">
      <c r="B80" s="68" t="s">
        <v>24</v>
      </c>
      <c r="C80" s="68"/>
      <c r="E80" s="23"/>
      <c r="G80" s="5"/>
      <c r="H80" s="54"/>
    </row>
    <row r="81" spans="2:8" x14ac:dyDescent="0.25">
      <c r="B81" s="2" t="s">
        <v>25</v>
      </c>
      <c r="C81" s="2"/>
      <c r="D81" s="2"/>
      <c r="E81" s="2"/>
      <c r="F81" s="2"/>
      <c r="G81" s="5"/>
      <c r="H81" s="54"/>
    </row>
    <row r="82" spans="2:8" x14ac:dyDescent="0.25">
      <c r="B82" s="2"/>
      <c r="C82" s="2" t="s">
        <v>55</v>
      </c>
      <c r="D82" s="4">
        <v>2021</v>
      </c>
      <c r="E82" s="4">
        <v>978</v>
      </c>
      <c r="F82" s="4">
        <v>1306</v>
      </c>
      <c r="G82" s="5"/>
      <c r="H82" s="54"/>
    </row>
    <row r="83" spans="2:8" x14ac:dyDescent="0.25">
      <c r="B83" s="2"/>
      <c r="C83" s="2" t="s">
        <v>26</v>
      </c>
      <c r="D83" s="24">
        <v>359</v>
      </c>
      <c r="E83" s="24">
        <v>56</v>
      </c>
      <c r="F83" s="24">
        <v>1087</v>
      </c>
      <c r="G83" s="5"/>
      <c r="H83" s="54"/>
    </row>
    <row r="84" spans="2:8" x14ac:dyDescent="0.25">
      <c r="B84" s="2"/>
      <c r="C84" s="2" t="s">
        <v>27</v>
      </c>
      <c r="D84" s="24">
        <v>2824</v>
      </c>
      <c r="E84" s="24">
        <v>3236</v>
      </c>
      <c r="F84" s="24">
        <v>2813</v>
      </c>
      <c r="G84" s="5"/>
      <c r="H84" s="54"/>
    </row>
    <row r="85" spans="2:8" x14ac:dyDescent="0.25">
      <c r="B85" s="2"/>
      <c r="C85" s="2" t="s">
        <v>28</v>
      </c>
      <c r="D85" s="24">
        <v>1698</v>
      </c>
      <c r="E85" s="24">
        <v>1830</v>
      </c>
      <c r="F85" s="24">
        <v>1687</v>
      </c>
      <c r="G85" s="5"/>
      <c r="H85" s="54"/>
    </row>
    <row r="86" spans="2:8" x14ac:dyDescent="0.25">
      <c r="B86" s="2"/>
      <c r="C86" s="6" t="s">
        <v>29</v>
      </c>
      <c r="D86" s="7">
        <v>824</v>
      </c>
      <c r="E86" s="7">
        <v>844</v>
      </c>
      <c r="F86" s="7">
        <v>822</v>
      </c>
      <c r="G86" s="5"/>
      <c r="H86" s="54"/>
    </row>
    <row r="87" spans="2:8" ht="17.25" thickBot="1" x14ac:dyDescent="0.3">
      <c r="B87" s="6"/>
      <c r="C87" s="25" t="s">
        <v>30</v>
      </c>
      <c r="D87" s="13">
        <v>7726</v>
      </c>
      <c r="E87" s="13">
        <v>6944</v>
      </c>
      <c r="F87" s="13">
        <v>7715</v>
      </c>
      <c r="G87" s="5"/>
      <c r="H87" s="54"/>
    </row>
    <row r="88" spans="2:8" ht="17.25" thickTop="1" x14ac:dyDescent="0.25">
      <c r="B88" s="6"/>
      <c r="C88" s="6"/>
      <c r="D88" s="26"/>
      <c r="E88" s="26"/>
      <c r="F88" s="26"/>
      <c r="G88" s="5"/>
      <c r="H88" s="54"/>
    </row>
    <row r="89" spans="2:8" x14ac:dyDescent="0.25">
      <c r="B89" s="6" t="s">
        <v>31</v>
      </c>
      <c r="C89" s="6"/>
      <c r="D89" s="26"/>
      <c r="E89" s="26"/>
      <c r="F89" s="26"/>
      <c r="G89" s="5"/>
      <c r="H89" s="54"/>
    </row>
    <row r="90" spans="2:8" x14ac:dyDescent="0.25">
      <c r="B90" s="6"/>
      <c r="C90" s="6" t="s">
        <v>32</v>
      </c>
      <c r="D90" s="4">
        <v>48</v>
      </c>
      <c r="E90" s="4">
        <v>669</v>
      </c>
      <c r="F90" s="4">
        <v>642</v>
      </c>
      <c r="G90" s="5"/>
      <c r="H90" s="54"/>
    </row>
    <row r="91" spans="2:8" x14ac:dyDescent="0.25">
      <c r="B91" s="6"/>
      <c r="C91" s="6" t="s">
        <v>33</v>
      </c>
      <c r="D91" s="53">
        <v>680</v>
      </c>
      <c r="E91" s="24">
        <v>610</v>
      </c>
      <c r="F91" s="24">
        <v>683</v>
      </c>
      <c r="G91" s="5"/>
      <c r="H91" s="54"/>
    </row>
    <row r="92" spans="2:8" x14ac:dyDescent="0.25">
      <c r="B92" s="6"/>
      <c r="C92" s="6" t="s">
        <v>34</v>
      </c>
      <c r="D92" s="7">
        <v>2999</v>
      </c>
      <c r="E92" s="7">
        <v>3279</v>
      </c>
      <c r="F92" s="7">
        <v>3136</v>
      </c>
      <c r="G92" s="5"/>
      <c r="H92" s="54"/>
    </row>
    <row r="93" spans="2:8" ht="17.25" thickBot="1" x14ac:dyDescent="0.3">
      <c r="B93" s="6"/>
      <c r="C93" s="25" t="s">
        <v>35</v>
      </c>
      <c r="D93" s="13">
        <v>3727</v>
      </c>
      <c r="E93" s="13">
        <v>4558</v>
      </c>
      <c r="F93" s="13">
        <v>4461</v>
      </c>
      <c r="G93" s="5"/>
      <c r="H93" s="54"/>
    </row>
    <row r="94" spans="2:8" ht="17.25" thickTop="1" x14ac:dyDescent="0.25">
      <c r="B94" s="2"/>
      <c r="C94" s="27"/>
      <c r="D94" s="8"/>
      <c r="E94" s="8"/>
      <c r="F94" s="8"/>
      <c r="G94" s="5"/>
      <c r="H94" s="54"/>
    </row>
    <row r="95" spans="2:8" ht="17.25" thickBot="1" x14ac:dyDescent="0.3">
      <c r="B95" s="2" t="s">
        <v>36</v>
      </c>
      <c r="C95" s="2"/>
      <c r="D95" s="43">
        <v>3353</v>
      </c>
      <c r="E95" s="43">
        <v>2988</v>
      </c>
      <c r="F95" s="13">
        <v>3368</v>
      </c>
      <c r="G95" s="5"/>
      <c r="H95" s="54"/>
    </row>
    <row r="96" spans="2:8" ht="17.25" thickTop="1" x14ac:dyDescent="0.25">
      <c r="B96" s="2"/>
      <c r="C96" s="2"/>
      <c r="D96" s="14"/>
      <c r="E96" s="14"/>
      <c r="G96" s="5"/>
      <c r="H96" s="54"/>
    </row>
    <row r="97" spans="2:9" x14ac:dyDescent="0.25">
      <c r="B97" s="2" t="s">
        <v>38</v>
      </c>
      <c r="C97" s="2"/>
      <c r="D97" s="14"/>
      <c r="E97" s="14"/>
      <c r="G97" s="5"/>
      <c r="H97" s="54"/>
    </row>
    <row r="98" spans="2:9" x14ac:dyDescent="0.25">
      <c r="B98" s="2"/>
      <c r="C98" s="2"/>
      <c r="D98" s="14"/>
      <c r="E98" s="56" t="s">
        <v>81</v>
      </c>
      <c r="F98" s="56"/>
      <c r="G98" s="5"/>
      <c r="H98" s="54"/>
    </row>
    <row r="99" spans="2:9" x14ac:dyDescent="0.25">
      <c r="B99" s="2"/>
      <c r="C99" s="2"/>
      <c r="D99" s="21" t="str">
        <f>D78</f>
        <v>March 31</v>
      </c>
      <c r="E99" s="21" t="str">
        <f>E78</f>
        <v>March 31</v>
      </c>
      <c r="F99" s="22" t="s">
        <v>23</v>
      </c>
      <c r="G99" s="5"/>
      <c r="H99" s="54"/>
    </row>
    <row r="100" spans="2:9" x14ac:dyDescent="0.25">
      <c r="B100" s="2"/>
      <c r="C100" s="2"/>
      <c r="D100" s="3">
        <v>2013</v>
      </c>
      <c r="E100" s="3" t="s">
        <v>82</v>
      </c>
      <c r="F100" s="3" t="s">
        <v>82</v>
      </c>
      <c r="G100" s="5"/>
      <c r="H100" s="54"/>
    </row>
    <row r="101" spans="2:9" x14ac:dyDescent="0.25">
      <c r="B101" s="68" t="s">
        <v>24</v>
      </c>
      <c r="C101" s="68"/>
      <c r="D101" s="69"/>
      <c r="E101" s="69"/>
      <c r="G101" s="5"/>
      <c r="H101" s="54"/>
    </row>
    <row r="102" spans="2:9" x14ac:dyDescent="0.25">
      <c r="B102" s="2" t="s">
        <v>87</v>
      </c>
      <c r="C102" s="2"/>
      <c r="D102" s="26"/>
      <c r="E102" s="6"/>
      <c r="G102" s="5"/>
      <c r="H102" s="54"/>
    </row>
    <row r="103" spans="2:9" x14ac:dyDescent="0.25">
      <c r="B103" s="2"/>
      <c r="C103" s="2" t="s">
        <v>39</v>
      </c>
      <c r="D103" s="4">
        <v>2837</v>
      </c>
      <c r="E103" s="4">
        <v>3241</v>
      </c>
      <c r="F103" s="4">
        <v>2878</v>
      </c>
      <c r="G103" s="5"/>
      <c r="H103" s="54"/>
      <c r="I103" s="67"/>
    </row>
    <row r="104" spans="2:9" x14ac:dyDescent="0.25">
      <c r="B104" s="2"/>
      <c r="C104" s="2" t="s">
        <v>40</v>
      </c>
      <c r="D104" s="28">
        <v>0.21299999999999999</v>
      </c>
      <c r="E104" s="28">
        <v>0.216</v>
      </c>
      <c r="F104" s="28">
        <v>0.19700000000000001</v>
      </c>
      <c r="G104" s="5"/>
      <c r="H104" s="54"/>
    </row>
    <row r="105" spans="2:9" x14ac:dyDescent="0.25">
      <c r="B105" s="2"/>
      <c r="C105" s="2"/>
      <c r="D105" s="28"/>
      <c r="E105" s="29"/>
      <c r="G105" s="5"/>
      <c r="H105" s="54"/>
    </row>
    <row r="106" spans="2:9" x14ac:dyDescent="0.25">
      <c r="B106" s="27" t="s">
        <v>37</v>
      </c>
      <c r="C106" s="93" t="s">
        <v>76</v>
      </c>
      <c r="D106" s="92"/>
      <c r="E106" s="92"/>
      <c r="F106" s="92"/>
      <c r="G106" s="5"/>
      <c r="H106" s="54"/>
    </row>
    <row r="107" spans="2:9" ht="16.5" customHeight="1" x14ac:dyDescent="0.25">
      <c r="C107" s="92"/>
      <c r="D107" s="92"/>
      <c r="E107" s="92"/>
      <c r="F107" s="92"/>
      <c r="G107" s="5"/>
      <c r="H107" s="54"/>
    </row>
    <row r="108" spans="2:9" x14ac:dyDescent="0.25">
      <c r="B108" s="27"/>
      <c r="C108" s="62"/>
      <c r="D108" s="62"/>
      <c r="E108" s="62"/>
      <c r="F108" s="63"/>
      <c r="G108" s="5"/>
      <c r="H108" s="54"/>
    </row>
    <row r="109" spans="2:9" x14ac:dyDescent="0.25">
      <c r="B109" s="27" t="s">
        <v>67</v>
      </c>
      <c r="C109" s="89" t="s">
        <v>70</v>
      </c>
      <c r="D109" s="90"/>
      <c r="E109" s="90"/>
      <c r="F109" s="90"/>
      <c r="G109" s="5"/>
      <c r="H109" s="54"/>
    </row>
    <row r="110" spans="2:9" x14ac:dyDescent="0.25">
      <c r="B110" s="27"/>
      <c r="C110" s="73" t="s">
        <v>88</v>
      </c>
      <c r="D110" s="74"/>
      <c r="E110" s="74"/>
      <c r="F110" s="74"/>
      <c r="G110" s="5"/>
      <c r="H110" s="54"/>
    </row>
    <row r="111" spans="2:9" x14ac:dyDescent="0.25">
      <c r="B111" s="27"/>
      <c r="C111" s="74"/>
      <c r="D111" s="74"/>
      <c r="E111" s="74"/>
      <c r="F111" s="74"/>
      <c r="G111" s="5"/>
      <c r="H111" s="54"/>
    </row>
    <row r="112" spans="2:9" x14ac:dyDescent="0.25">
      <c r="B112" s="2"/>
      <c r="C112" s="2"/>
      <c r="D112" s="29"/>
      <c r="E112" s="29"/>
      <c r="G112" s="5"/>
      <c r="H112" s="54"/>
    </row>
    <row r="113" spans="2:11" ht="16.5" customHeight="1" x14ac:dyDescent="0.25">
      <c r="B113" s="25" t="s">
        <v>66</v>
      </c>
      <c r="C113" s="83" t="s">
        <v>41</v>
      </c>
      <c r="D113" s="83"/>
      <c r="E113" s="83"/>
      <c r="F113" s="84"/>
      <c r="G113" s="5"/>
      <c r="H113" s="54"/>
    </row>
    <row r="114" spans="2:11" x14ac:dyDescent="0.25">
      <c r="B114" s="25"/>
      <c r="C114" s="83"/>
      <c r="D114" s="83"/>
      <c r="E114" s="83"/>
      <c r="F114" s="84"/>
      <c r="G114" s="5"/>
      <c r="H114" s="54"/>
    </row>
    <row r="115" spans="2:11" x14ac:dyDescent="0.25">
      <c r="B115" s="25"/>
      <c r="C115" s="31"/>
      <c r="D115" s="30"/>
      <c r="E115" s="30"/>
      <c r="G115" s="5"/>
      <c r="H115" s="54"/>
    </row>
    <row r="116" spans="2:11" x14ac:dyDescent="0.25">
      <c r="B116" s="2" t="s">
        <v>42</v>
      </c>
      <c r="C116" s="2"/>
      <c r="D116" s="2"/>
      <c r="E116" s="2"/>
      <c r="G116" s="5"/>
      <c r="H116" s="54"/>
    </row>
    <row r="117" spans="2:11" x14ac:dyDescent="0.25">
      <c r="B117" s="2"/>
      <c r="C117" s="2"/>
      <c r="D117" s="70" t="s">
        <v>3</v>
      </c>
      <c r="E117" s="70"/>
      <c r="G117" s="5"/>
      <c r="H117" s="54"/>
    </row>
    <row r="118" spans="2:11" x14ac:dyDescent="0.25">
      <c r="B118" s="2"/>
      <c r="C118" s="2"/>
      <c r="D118" s="71" t="s">
        <v>51</v>
      </c>
      <c r="E118" s="72"/>
      <c r="G118" s="5"/>
      <c r="H118" s="54"/>
    </row>
    <row r="119" spans="2:11" x14ac:dyDescent="0.25">
      <c r="B119" s="2"/>
      <c r="C119" s="2"/>
      <c r="D119" s="3">
        <v>2013</v>
      </c>
      <c r="E119" s="3">
        <v>2012</v>
      </c>
      <c r="F119" s="3"/>
      <c r="G119" s="5"/>
      <c r="H119" s="54"/>
    </row>
    <row r="120" spans="2:11" x14ac:dyDescent="0.25">
      <c r="B120" s="2"/>
      <c r="C120" s="2"/>
      <c r="D120" s="77" t="s">
        <v>43</v>
      </c>
      <c r="E120" s="77"/>
      <c r="G120" s="5"/>
      <c r="H120" s="54"/>
    </row>
    <row r="121" spans="2:11" x14ac:dyDescent="0.25">
      <c r="B121" s="2"/>
      <c r="C121" s="2"/>
      <c r="D121" s="16"/>
      <c r="E121" s="16"/>
      <c r="G121" s="5"/>
      <c r="H121" s="54"/>
    </row>
    <row r="122" spans="2:11" x14ac:dyDescent="0.25">
      <c r="B122" s="2" t="s">
        <v>4</v>
      </c>
      <c r="C122" s="2"/>
      <c r="D122" s="4"/>
      <c r="E122" s="16"/>
      <c r="G122" s="5"/>
      <c r="H122" s="54"/>
    </row>
    <row r="123" spans="2:11" x14ac:dyDescent="0.25">
      <c r="B123" s="2"/>
      <c r="C123" s="2" t="s">
        <v>44</v>
      </c>
      <c r="D123" s="4">
        <v>1124</v>
      </c>
      <c r="E123" s="4">
        <v>1150</v>
      </c>
      <c r="G123" s="5"/>
      <c r="H123" s="54"/>
      <c r="K123" s="5"/>
    </row>
    <row r="124" spans="2:11" x14ac:dyDescent="0.25">
      <c r="B124" s="2"/>
      <c r="C124" s="2" t="s">
        <v>45</v>
      </c>
      <c r="D124" s="24">
        <v>1183</v>
      </c>
      <c r="E124" s="24">
        <v>1076</v>
      </c>
      <c r="G124" s="5"/>
      <c r="H124" s="54"/>
      <c r="K124" s="5"/>
    </row>
    <row r="125" spans="2:11" x14ac:dyDescent="0.25">
      <c r="B125" s="2"/>
      <c r="C125" s="2" t="s">
        <v>46</v>
      </c>
      <c r="D125" s="24">
        <v>454</v>
      </c>
      <c r="E125" s="24">
        <v>517</v>
      </c>
      <c r="G125" s="5"/>
      <c r="H125" s="54"/>
      <c r="K125" s="5"/>
    </row>
    <row r="126" spans="2:11" x14ac:dyDescent="0.25">
      <c r="B126" s="2"/>
      <c r="C126" s="2" t="s">
        <v>47</v>
      </c>
      <c r="D126" s="24">
        <v>314</v>
      </c>
      <c r="E126" s="24">
        <v>334</v>
      </c>
      <c r="G126" s="5"/>
      <c r="H126" s="54"/>
      <c r="K126" s="5"/>
    </row>
    <row r="127" spans="2:11" x14ac:dyDescent="0.25">
      <c r="B127" s="6"/>
      <c r="C127" s="6" t="s">
        <v>48</v>
      </c>
      <c r="D127" s="8">
        <v>256</v>
      </c>
      <c r="E127" s="8">
        <v>256</v>
      </c>
      <c r="G127" s="5"/>
      <c r="H127" s="54"/>
      <c r="K127" s="5"/>
    </row>
    <row r="128" spans="2:11" ht="17.25" thickBot="1" x14ac:dyDescent="0.3">
      <c r="B128" s="17"/>
      <c r="C128" s="32" t="s">
        <v>49</v>
      </c>
      <c r="D128" s="13">
        <f>SUM(D123:D127)</f>
        <v>3331</v>
      </c>
      <c r="E128" s="13">
        <f>SUM(E123:E127)</f>
        <v>3333</v>
      </c>
      <c r="G128" s="5"/>
      <c r="H128" s="54"/>
      <c r="K128" s="5"/>
    </row>
    <row r="129" spans="2:14" ht="17.25" thickTop="1" x14ac:dyDescent="0.25">
      <c r="B129" s="2"/>
      <c r="C129" s="2"/>
      <c r="D129" s="26"/>
      <c r="E129" s="26"/>
      <c r="G129" s="5"/>
      <c r="H129" s="54"/>
    </row>
    <row r="130" spans="2:14" x14ac:dyDescent="0.25">
      <c r="B130" s="2" t="s">
        <v>50</v>
      </c>
      <c r="C130" s="2"/>
      <c r="D130" s="26"/>
      <c r="E130" s="26"/>
      <c r="G130" s="5"/>
      <c r="H130" s="54"/>
    </row>
    <row r="131" spans="2:14" x14ac:dyDescent="0.25">
      <c r="B131" s="2"/>
      <c r="C131" s="2" t="s">
        <v>44</v>
      </c>
      <c r="D131" s="4">
        <v>172</v>
      </c>
      <c r="E131" s="4">
        <v>160</v>
      </c>
      <c r="G131" s="5"/>
      <c r="H131" s="54"/>
      <c r="K131" s="5"/>
    </row>
    <row r="132" spans="2:14" x14ac:dyDescent="0.25">
      <c r="B132" s="2"/>
      <c r="C132" s="2" t="s">
        <v>45</v>
      </c>
      <c r="D132" s="24">
        <v>178</v>
      </c>
      <c r="E132" s="24">
        <v>150</v>
      </c>
      <c r="G132" s="5"/>
      <c r="H132" s="54"/>
      <c r="K132" s="5"/>
    </row>
    <row r="133" spans="2:14" x14ac:dyDescent="0.25">
      <c r="B133" s="2"/>
      <c r="C133" s="2" t="s">
        <v>46</v>
      </c>
      <c r="D133" s="24">
        <v>20</v>
      </c>
      <c r="E133" s="24">
        <v>16</v>
      </c>
      <c r="G133" s="5"/>
      <c r="H133" s="54"/>
      <c r="K133" s="5"/>
    </row>
    <row r="134" spans="2:14" x14ac:dyDescent="0.25">
      <c r="B134" s="2"/>
      <c r="C134" s="2" t="s">
        <v>47</v>
      </c>
      <c r="D134" s="24">
        <v>99</v>
      </c>
      <c r="E134" s="24">
        <v>109</v>
      </c>
      <c r="G134" s="5"/>
      <c r="H134" s="54"/>
      <c r="K134" s="5"/>
    </row>
    <row r="135" spans="2:14" x14ac:dyDescent="0.25">
      <c r="B135" s="2"/>
      <c r="C135" s="2" t="s">
        <v>48</v>
      </c>
      <c r="D135" s="10">
        <v>5</v>
      </c>
      <c r="E135" s="10">
        <v>8</v>
      </c>
      <c r="G135" s="5"/>
      <c r="H135" s="54"/>
      <c r="K135" s="5"/>
    </row>
    <row r="136" spans="2:14" x14ac:dyDescent="0.25">
      <c r="B136" s="2"/>
      <c r="C136" s="27" t="s">
        <v>49</v>
      </c>
      <c r="D136" s="7">
        <f>SUM(D131:D135)</f>
        <v>474</v>
      </c>
      <c r="E136" s="7">
        <f>SUM(E131:E135)</f>
        <v>443</v>
      </c>
      <c r="G136" s="5"/>
      <c r="H136" s="54"/>
      <c r="K136" s="5"/>
    </row>
    <row r="137" spans="2:14" x14ac:dyDescent="0.25">
      <c r="B137" s="2" t="s">
        <v>56</v>
      </c>
      <c r="C137" s="27"/>
      <c r="D137" s="8">
        <v>-46</v>
      </c>
      <c r="E137" s="8">
        <v>-175</v>
      </c>
      <c r="G137" s="5"/>
      <c r="H137" s="54"/>
      <c r="K137" s="5"/>
    </row>
    <row r="138" spans="2:14" x14ac:dyDescent="0.25">
      <c r="B138" s="2" t="s">
        <v>57</v>
      </c>
      <c r="C138" s="27"/>
      <c r="D138" s="8">
        <v>0</v>
      </c>
      <c r="E138" s="8">
        <v>-208</v>
      </c>
      <c r="G138" s="5"/>
      <c r="H138" s="54"/>
      <c r="K138" s="5"/>
    </row>
    <row r="139" spans="2:14" x14ac:dyDescent="0.25">
      <c r="B139" s="2" t="s">
        <v>58</v>
      </c>
      <c r="C139" s="27"/>
      <c r="D139" s="8">
        <v>-7</v>
      </c>
      <c r="E139" s="8">
        <v>-6</v>
      </c>
      <c r="G139" s="5"/>
      <c r="H139" s="54"/>
      <c r="K139" s="5"/>
    </row>
    <row r="140" spans="2:14" x14ac:dyDescent="0.25">
      <c r="B140" s="2" t="s">
        <v>52</v>
      </c>
      <c r="C140" s="2"/>
      <c r="D140" s="8">
        <v>-43</v>
      </c>
      <c r="E140" s="8">
        <v>-41</v>
      </c>
      <c r="G140" s="5"/>
      <c r="H140" s="5"/>
      <c r="K140" s="5"/>
      <c r="N140" s="1" t="s">
        <v>63</v>
      </c>
    </row>
    <row r="141" spans="2:14" x14ac:dyDescent="0.25">
      <c r="B141" s="2" t="s">
        <v>54</v>
      </c>
      <c r="C141" s="2"/>
      <c r="D141" s="10">
        <v>-60</v>
      </c>
      <c r="E141" s="10">
        <v>-60</v>
      </c>
      <c r="G141" s="5"/>
      <c r="H141" s="54"/>
      <c r="K141" s="5"/>
    </row>
    <row r="142" spans="2:14" ht="17.25" thickBot="1" x14ac:dyDescent="0.3">
      <c r="B142" s="17" t="s">
        <v>10</v>
      </c>
      <c r="C142" s="17"/>
      <c r="D142" s="44">
        <f>SUM(D136:D141)</f>
        <v>318</v>
      </c>
      <c r="E142" s="44">
        <f>SUM(E136:E141)</f>
        <v>-47</v>
      </c>
      <c r="G142" s="5"/>
      <c r="H142" s="54"/>
      <c r="K142" s="5"/>
    </row>
    <row r="143" spans="2:14" ht="17.25" thickTop="1" x14ac:dyDescent="0.25">
      <c r="B143" s="6"/>
      <c r="C143" s="6"/>
      <c r="D143" s="34"/>
      <c r="E143" s="34"/>
    </row>
    <row r="144" spans="2:14" x14ac:dyDescent="0.25">
      <c r="B144" s="19" t="s">
        <v>18</v>
      </c>
      <c r="C144" s="20"/>
      <c r="D144" s="14"/>
      <c r="E144" s="14"/>
    </row>
    <row r="145" spans="2:6" ht="16.5" customHeight="1" x14ac:dyDescent="0.25">
      <c r="B145" s="20"/>
      <c r="C145" s="80" t="s">
        <v>69</v>
      </c>
      <c r="D145" s="80"/>
      <c r="E145" s="80"/>
      <c r="F145" s="81"/>
    </row>
    <row r="146" spans="2:6" ht="16.5" customHeight="1" x14ac:dyDescent="0.25">
      <c r="B146" s="20"/>
      <c r="C146" s="80"/>
      <c r="D146" s="80"/>
      <c r="E146" s="80"/>
      <c r="F146" s="81"/>
    </row>
    <row r="147" spans="2:6" ht="16.5" customHeight="1" x14ac:dyDescent="0.25">
      <c r="B147" s="20"/>
      <c r="C147" s="80"/>
      <c r="D147" s="80"/>
      <c r="E147" s="80"/>
      <c r="F147" s="81"/>
    </row>
    <row r="148" spans="2:6" ht="17.25" customHeight="1" x14ac:dyDescent="0.25">
      <c r="B148" s="35"/>
      <c r="C148" s="80"/>
      <c r="D148" s="80"/>
      <c r="E148" s="80"/>
      <c r="F148" s="81"/>
    </row>
    <row r="149" spans="2:6" ht="16.5" customHeight="1" x14ac:dyDescent="0.25">
      <c r="B149" s="35"/>
      <c r="C149" s="80"/>
      <c r="D149" s="80"/>
      <c r="E149" s="80"/>
      <c r="F149" s="81"/>
    </row>
    <row r="150" spans="2:6" ht="16.5" customHeight="1" x14ac:dyDescent="0.25">
      <c r="B150" s="35"/>
      <c r="C150" s="60"/>
      <c r="D150" s="60"/>
      <c r="E150" s="60"/>
      <c r="F150" s="61"/>
    </row>
    <row r="151" spans="2:6" ht="16.5" customHeight="1" x14ac:dyDescent="0.25">
      <c r="B151" s="35"/>
      <c r="C151" s="80" t="s">
        <v>89</v>
      </c>
      <c r="D151" s="81"/>
      <c r="E151" s="81"/>
      <c r="F151" s="81"/>
    </row>
    <row r="152" spans="2:6" ht="16.5" customHeight="1" x14ac:dyDescent="0.25">
      <c r="B152" s="35"/>
      <c r="C152" s="80"/>
      <c r="D152" s="81"/>
      <c r="E152" s="81"/>
      <c r="F152" s="81"/>
    </row>
    <row r="153" spans="2:6" ht="16.5" customHeight="1" x14ac:dyDescent="0.25">
      <c r="B153" s="35"/>
      <c r="C153" s="80"/>
      <c r="D153" s="81"/>
      <c r="E153" s="81"/>
      <c r="F153" s="81"/>
    </row>
    <row r="154" spans="2:6" ht="16.5" customHeight="1" x14ac:dyDescent="0.25">
      <c r="B154" s="35"/>
      <c r="C154" s="80"/>
      <c r="D154" s="81"/>
      <c r="E154" s="81"/>
      <c r="F154" s="81"/>
    </row>
    <row r="155" spans="2:6" ht="16.5" customHeight="1" x14ac:dyDescent="0.25">
      <c r="B155" s="35"/>
      <c r="C155" s="81"/>
      <c r="D155" s="81"/>
      <c r="E155" s="81"/>
      <c r="F155" s="81"/>
    </row>
    <row r="156" spans="2:6" x14ac:dyDescent="0.25">
      <c r="B156" s="19" t="s">
        <v>19</v>
      </c>
      <c r="C156" s="36"/>
      <c r="D156" s="37"/>
      <c r="E156" s="37"/>
    </row>
    <row r="157" spans="2:6" ht="16.5" customHeight="1" x14ac:dyDescent="0.25">
      <c r="B157" s="35"/>
      <c r="C157" s="75" t="s">
        <v>64</v>
      </c>
      <c r="D157" s="75"/>
      <c r="E157" s="75"/>
      <c r="F157" s="76"/>
    </row>
    <row r="158" spans="2:6" ht="16.5" customHeight="1" x14ac:dyDescent="0.25">
      <c r="B158" s="35"/>
      <c r="C158" s="75"/>
      <c r="D158" s="75"/>
      <c r="E158" s="75"/>
      <c r="F158" s="76"/>
    </row>
    <row r="159" spans="2:6" ht="16.5" customHeight="1" x14ac:dyDescent="0.25">
      <c r="B159" s="35"/>
      <c r="C159" s="75"/>
      <c r="D159" s="75"/>
      <c r="E159" s="75"/>
      <c r="F159" s="76"/>
    </row>
    <row r="160" spans="2:6" ht="16.5" customHeight="1" x14ac:dyDescent="0.25">
      <c r="B160" s="35"/>
      <c r="C160" s="75"/>
      <c r="D160" s="75"/>
      <c r="E160" s="75"/>
      <c r="F160" s="76"/>
    </row>
    <row r="161" spans="2:6" x14ac:dyDescent="0.25">
      <c r="B161" s="35"/>
      <c r="C161" s="75"/>
      <c r="D161" s="75"/>
      <c r="E161" s="75"/>
      <c r="F161" s="76"/>
    </row>
    <row r="162" spans="2:6" x14ac:dyDescent="0.25">
      <c r="B162" s="19" t="s">
        <v>20</v>
      </c>
      <c r="C162" s="38"/>
      <c r="D162" s="38"/>
      <c r="E162" s="38"/>
    </row>
    <row r="163" spans="2:6" x14ac:dyDescent="0.25">
      <c r="C163" s="78" t="s">
        <v>77</v>
      </c>
      <c r="D163" s="79"/>
      <c r="E163" s="79"/>
      <c r="F163" s="79"/>
    </row>
    <row r="164" spans="2:6" x14ac:dyDescent="0.25">
      <c r="C164" s="78"/>
      <c r="D164" s="79"/>
      <c r="E164" s="79"/>
      <c r="F164" s="79"/>
    </row>
    <row r="165" spans="2:6" x14ac:dyDescent="0.25">
      <c r="C165" s="78"/>
      <c r="D165" s="79"/>
      <c r="E165" s="79"/>
      <c r="F165" s="79"/>
    </row>
    <row r="166" spans="2:6" x14ac:dyDescent="0.25">
      <c r="C166" s="79"/>
      <c r="D166" s="79"/>
      <c r="E166" s="79"/>
      <c r="F166" s="79"/>
    </row>
    <row r="167" spans="2:6" x14ac:dyDescent="0.25">
      <c r="C167" s="79"/>
      <c r="D167" s="79"/>
      <c r="E167" s="79"/>
      <c r="F167" s="79"/>
    </row>
    <row r="168" spans="2:6" x14ac:dyDescent="0.25">
      <c r="C168" s="55"/>
      <c r="D168" s="55"/>
      <c r="E168" s="55"/>
      <c r="F168" s="55"/>
    </row>
    <row r="169" spans="2:6" x14ac:dyDescent="0.25">
      <c r="C169" s="30"/>
      <c r="D169" s="30"/>
      <c r="E169" s="30"/>
    </row>
    <row r="171" spans="2:6" x14ac:dyDescent="0.25">
      <c r="C171" s="2"/>
    </row>
  </sheetData>
  <mergeCells count="22">
    <mergeCell ref="C157:F161"/>
    <mergeCell ref="D120:E120"/>
    <mergeCell ref="C163:F167"/>
    <mergeCell ref="C151:F155"/>
    <mergeCell ref="D4:E4"/>
    <mergeCell ref="D5:E5"/>
    <mergeCell ref="C113:F114"/>
    <mergeCell ref="C145:F149"/>
    <mergeCell ref="C65:F70"/>
    <mergeCell ref="C53:F56"/>
    <mergeCell ref="C72:F74"/>
    <mergeCell ref="C58:F64"/>
    <mergeCell ref="C109:F109"/>
    <mergeCell ref="C46:F48"/>
    <mergeCell ref="C50:F51"/>
    <mergeCell ref="C106:F107"/>
    <mergeCell ref="B80:C80"/>
    <mergeCell ref="B101:C101"/>
    <mergeCell ref="D101:E101"/>
    <mergeCell ref="D117:E117"/>
    <mergeCell ref="D118:E118"/>
    <mergeCell ref="C110:F111"/>
  </mergeCells>
  <phoneticPr fontId="2" type="noConversion"/>
  <pageMargins left="0.75" right="0.75" top="1" bottom="1" header="0.5" footer="0.5"/>
  <pageSetup scale="75" fitToHeight="0" orientation="portrait" r:id="rId1"/>
  <headerFooter alignWithMargins="0">
    <oddFooter>&amp;CFinancial Statements pg. &amp;P</oddFooter>
  </headerFooter>
  <rowBreaks count="3" manualBreakCount="3">
    <brk id="44" min="1" max="5" man="1"/>
    <brk id="74" max="16383" man="1"/>
    <brk id="11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PPG Industries,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Kirk Loy</dc:creator>
  <cp:lastModifiedBy>Mary Anne Bendzsuk</cp:lastModifiedBy>
  <cp:lastPrinted>2013-04-17T14:36:22Z</cp:lastPrinted>
  <dcterms:created xsi:type="dcterms:W3CDTF">2012-01-18T01:15:24Z</dcterms:created>
  <dcterms:modified xsi:type="dcterms:W3CDTF">2013-04-18T11:32:01Z</dcterms:modified>
</cp:coreProperties>
</file>