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hidePivotFieldList="1" autoCompressPictures="0"/>
  <bookViews>
    <workbookView xWindow="2280" yWindow="620" windowWidth="25600" windowHeight="16420" tabRatio="869"/>
  </bookViews>
  <sheets>
    <sheet name="Budget Report" sheetId="4" r:id="rId1"/>
    <sheet name="Budget Details" sheetId="1" r:id="rId2"/>
    <sheet name="Lookup Lists" sheetId="2" r:id="rId3"/>
  </sheets>
  <externalReferences>
    <externalReference r:id="rId4"/>
  </externalReferences>
  <definedNames>
    <definedName name="BudgetCategory">BudgetCategoryLookup[Budget Category Lookup]</definedName>
    <definedName name="ConstructionCategory">[1]!BudgetCategoryLookup[Budget Category Lookup]</definedName>
    <definedName name="_xlnm.Print_Titles" localSheetId="0">'Budget Report'!$B:$B,'Budget Report'!$15:$16</definedName>
  </definedNames>
  <calcPr calcId="140001" concurrentCalc="0"/>
  <pivotCaches>
    <pivotCache cacheId="9" r:id="rId5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D12" i="4"/>
  <c r="E12" i="4"/>
  <c r="D11" i="4"/>
  <c r="E11" i="4"/>
  <c r="G27" i="1"/>
  <c r="G28" i="1"/>
  <c r="G29" i="1"/>
  <c r="G30" i="1"/>
  <c r="G31" i="1"/>
  <c r="G32" i="1"/>
  <c r="G26" i="1"/>
  <c r="G25" i="1"/>
  <c r="G24" i="1"/>
  <c r="G23" i="1"/>
  <c r="G21" i="1"/>
  <c r="G22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F6" i="1"/>
  <c r="G6" i="1"/>
  <c r="G5" i="1"/>
  <c r="G4" i="1"/>
  <c r="G3" i="1"/>
  <c r="G2" i="1"/>
  <c r="F8" i="1"/>
  <c r="F7" i="1"/>
  <c r="F10" i="1"/>
  <c r="F9" i="1"/>
  <c r="F11" i="1"/>
  <c r="D13" i="4"/>
  <c r="E13" i="4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3" i="1"/>
  <c r="H6" i="1"/>
  <c r="H5" i="1"/>
  <c r="H28" i="1"/>
  <c r="H29" i="1"/>
  <c r="H30" i="1"/>
  <c r="H31" i="1"/>
  <c r="H32" i="1"/>
  <c r="H2" i="1"/>
  <c r="H3" i="1"/>
  <c r="H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</calcChain>
</file>

<file path=xl/sharedStrings.xml><?xml version="1.0" encoding="utf-8"?>
<sst xmlns="http://schemas.openxmlformats.org/spreadsheetml/2006/main" count="40" uniqueCount="38">
  <si>
    <t>Category</t>
  </si>
  <si>
    <t>Budget Category Lookup</t>
  </si>
  <si>
    <t>Systems</t>
  </si>
  <si>
    <t>Seating</t>
  </si>
  <si>
    <t>Tables</t>
  </si>
  <si>
    <t>Private Offices</t>
  </si>
  <si>
    <t>Sound Masking</t>
  </si>
  <si>
    <t>Walls</t>
  </si>
  <si>
    <t>Carpet</t>
  </si>
  <si>
    <t>Cabling</t>
  </si>
  <si>
    <t>Discount</t>
  </si>
  <si>
    <t>List Price</t>
  </si>
  <si>
    <t>Sale Price</t>
  </si>
  <si>
    <t>Installation</t>
  </si>
  <si>
    <t>$/sf</t>
  </si>
  <si>
    <t>% of Total</t>
  </si>
  <si>
    <t>Markup</t>
  </si>
  <si>
    <t>Construction</t>
  </si>
  <si>
    <t>$ per SF</t>
  </si>
  <si>
    <t>Cost</t>
  </si>
  <si>
    <t>Categories</t>
  </si>
  <si>
    <t>Cost Analysis</t>
  </si>
  <si>
    <t>Total</t>
  </si>
  <si>
    <t>Per SF</t>
  </si>
  <si>
    <t>MAI Package</t>
  </si>
  <si>
    <t>% Total</t>
  </si>
  <si>
    <t>Costs</t>
  </si>
  <si>
    <t>Breakdown</t>
  </si>
  <si>
    <t>Lateral Files</t>
  </si>
  <si>
    <t>Rentable SF</t>
  </si>
  <si>
    <t xml:space="preserve">Attention: </t>
  </si>
  <si>
    <t xml:space="preserve">Title: </t>
  </si>
  <si>
    <t xml:space="preserve">Company Name: </t>
  </si>
  <si>
    <t xml:space="preserve">Address: </t>
  </si>
  <si>
    <t>Quote Number:</t>
  </si>
  <si>
    <t xml:space="preserve">Date: </t>
  </si>
  <si>
    <t xml:space="preserve">Project Title: </t>
  </si>
  <si>
    <t>MAI Representative: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</si>
</sst>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8" x14ac:knownFonts="1">
    <font>
      <sz val="12"/>
      <color indexed="63"/>
      <name val="Calibri"/>
      <scheme val="minor"/>
    </font>
    <font>
      <b/>
      <sz val="15"/>
      <color theme="1" tint="0.2499465926084170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2"/>
      <color theme="10"/>
      <name val="Calibri"/>
      <scheme val="minor"/>
    </font>
    <font>
      <u/>
      <sz val="12"/>
      <color theme="11"/>
      <name val="Calibri"/>
      <scheme val="minor"/>
    </font>
    <font>
      <sz val="12"/>
      <color indexed="63"/>
      <name val="Calibri"/>
      <scheme val="minor"/>
    </font>
    <font>
      <b/>
      <sz val="15"/>
      <color theme="1" tint="0.24994659260841701"/>
      <name val="Helvetica Neue"/>
    </font>
    <font>
      <sz val="12"/>
      <color indexed="63"/>
      <name val="Helvetica Neue"/>
    </font>
    <font>
      <sz val="12"/>
      <color rgb="FF333333"/>
      <name val="Helvetica Neue"/>
    </font>
    <font>
      <sz val="12"/>
      <color indexed="63"/>
      <name val="Helvetica Neue Light"/>
    </font>
    <font>
      <sz val="10"/>
      <color indexed="63"/>
      <name val="Helvetica Neue Light"/>
    </font>
    <font>
      <sz val="10"/>
      <color indexed="63"/>
      <name val="Helvetica Neue"/>
    </font>
    <font>
      <sz val="10"/>
      <name val="Helvetica Neue"/>
    </font>
    <font>
      <sz val="12"/>
      <color theme="4" tint="-0.249977111117893"/>
      <name val="Helvetica Neue Light"/>
    </font>
    <font>
      <sz val="16"/>
      <color theme="1" tint="0.24994659260841701"/>
      <name val="Helvetica Neue Light"/>
    </font>
    <font>
      <b/>
      <sz val="10"/>
      <color indexed="63"/>
      <name val="Helvetica Neue Light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 style="thick">
        <color rgb="FF4F81BD"/>
      </right>
      <top style="thick">
        <color rgb="FF4F81BD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0"/>
      </left>
      <right/>
      <top style="thin">
        <color theme="3"/>
      </top>
      <bottom/>
      <diagonal/>
    </border>
    <border>
      <left/>
      <right/>
      <top/>
      <bottom style="thin">
        <color theme="3"/>
      </bottom>
      <diagonal/>
    </border>
  </borders>
  <cellStyleXfs count="158">
    <xf numFmtId="0" fontId="0" fillId="0" borderId="0"/>
    <xf numFmtId="0" fontId="1" fillId="0" borderId="1" applyNumberFormat="0" applyFill="0" applyProtection="0">
      <alignment horizontal="left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8" fillId="0" borderId="1" xfId="1" applyFont="1" applyAlignment="1">
      <alignment horizontal="center" vertical="center"/>
    </xf>
    <xf numFmtId="0" fontId="8" fillId="0" borderId="1" xfId="1" applyFont="1" applyAlignment="1">
      <alignment vertical="center" wrapText="1"/>
    </xf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3" xfId="0" applyFont="1" applyBorder="1" applyAlignment="1"/>
    <xf numFmtId="0" fontId="10" fillId="0" borderId="8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11" fillId="0" borderId="0" xfId="0" applyFont="1"/>
    <xf numFmtId="0" fontId="11" fillId="0" borderId="0" xfId="0" applyFont="1" applyBorder="1"/>
    <xf numFmtId="0" fontId="9" fillId="0" borderId="0" xfId="0" applyFont="1" applyAlignment="1">
      <alignment wrapText="1"/>
    </xf>
    <xf numFmtId="9" fontId="9" fillId="0" borderId="0" xfId="12" applyFont="1" applyAlignment="1">
      <alignment wrapText="1"/>
    </xf>
    <xf numFmtId="10" fontId="9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9" fontId="11" fillId="0" borderId="0" xfId="12" applyFont="1" applyAlignment="1">
      <alignment wrapText="1"/>
    </xf>
    <xf numFmtId="164" fontId="11" fillId="0" borderId="0" xfId="0" applyNumberFormat="1" applyFont="1" applyAlignment="1">
      <alignment wrapText="1"/>
    </xf>
    <xf numFmtId="10" fontId="11" fillId="0" borderId="0" xfId="0" applyNumberFormat="1" applyFont="1" applyAlignment="1">
      <alignment wrapText="1"/>
    </xf>
    <xf numFmtId="0" fontId="10" fillId="0" borderId="0" xfId="0" applyFont="1" applyBorder="1"/>
    <xf numFmtId="0" fontId="12" fillId="0" borderId="0" xfId="0" applyFont="1"/>
    <xf numFmtId="49" fontId="13" fillId="0" borderId="0" xfId="0" applyNumberFormat="1" applyFont="1" applyBorder="1"/>
    <xf numFmtId="0" fontId="13" fillId="0" borderId="0" xfId="0" applyFont="1"/>
    <xf numFmtId="0" fontId="13" fillId="0" borderId="0" xfId="0" applyFont="1" applyBorder="1"/>
    <xf numFmtId="6" fontId="13" fillId="0" borderId="0" xfId="0" applyNumberFormat="1" applyFont="1" applyBorder="1"/>
    <xf numFmtId="0" fontId="12" fillId="0" borderId="0" xfId="0" applyFont="1" applyBorder="1"/>
    <xf numFmtId="8" fontId="12" fillId="0" borderId="0" xfId="0" applyNumberFormat="1" applyFont="1" applyBorder="1"/>
    <xf numFmtId="0" fontId="14" fillId="3" borderId="0" xfId="0" applyFont="1" applyFill="1" applyBorder="1" applyAlignment="1">
      <alignment horizontal="center"/>
    </xf>
    <xf numFmtId="1" fontId="13" fillId="0" borderId="0" xfId="0" applyNumberFormat="1" applyFont="1" applyBorder="1" applyAlignment="1">
      <alignment horizontal="left"/>
    </xf>
    <xf numFmtId="0" fontId="15" fillId="0" borderId="0" xfId="0" applyFont="1"/>
    <xf numFmtId="0" fontId="14" fillId="3" borderId="0" xfId="0" applyFont="1" applyFill="1" applyBorder="1"/>
    <xf numFmtId="0" fontId="13" fillId="2" borderId="9" xfId="0" applyFont="1" applyFill="1" applyBorder="1"/>
    <xf numFmtId="0" fontId="13" fillId="2" borderId="10" xfId="0" applyFont="1" applyFill="1" applyBorder="1"/>
    <xf numFmtId="165" fontId="9" fillId="0" borderId="0" xfId="0" applyNumberFormat="1" applyFont="1" applyAlignment="1">
      <alignment wrapText="1"/>
    </xf>
    <xf numFmtId="0" fontId="16" fillId="0" borderId="1" xfId="1" applyFont="1" applyAlignment="1">
      <alignment horizontal="left" vertical="center"/>
    </xf>
    <xf numFmtId="0" fontId="12" fillId="0" borderId="0" xfId="0" applyFont="1" applyAlignment="1">
      <alignment horizontal="left" indent="7"/>
    </xf>
    <xf numFmtId="10" fontId="9" fillId="0" borderId="0" xfId="12" applyNumberFormat="1" applyFont="1" applyAlignment="1">
      <alignment wrapText="1"/>
    </xf>
    <xf numFmtId="10" fontId="11" fillId="0" borderId="0" xfId="12" applyNumberFormat="1" applyFont="1" applyAlignment="1">
      <alignment wrapText="1"/>
    </xf>
    <xf numFmtId="44" fontId="9" fillId="0" borderId="0" xfId="137" applyFont="1" applyAlignment="1">
      <alignment wrapText="1"/>
    </xf>
    <xf numFmtId="44" fontId="11" fillId="0" borderId="0" xfId="137" applyFont="1" applyAlignment="1">
      <alignment wrapText="1"/>
    </xf>
    <xf numFmtId="44" fontId="11" fillId="0" borderId="0" xfId="137" applyFont="1"/>
    <xf numFmtId="164" fontId="13" fillId="0" borderId="0" xfId="0" applyNumberFormat="1" applyFont="1" applyBorder="1"/>
    <xf numFmtId="10" fontId="13" fillId="0" borderId="0" xfId="0" applyNumberFormat="1" applyFont="1" applyBorder="1"/>
    <xf numFmtId="0" fontId="12" fillId="0" borderId="11" xfId="0" applyFont="1" applyBorder="1"/>
    <xf numFmtId="8" fontId="12" fillId="0" borderId="11" xfId="0" applyNumberFormat="1" applyFont="1" applyBorder="1"/>
    <xf numFmtId="0" fontId="9" fillId="0" borderId="1" xfId="0" applyFont="1" applyBorder="1"/>
    <xf numFmtId="0" fontId="17" fillId="0" borderId="0" xfId="0" applyFont="1" applyBorder="1"/>
    <xf numFmtId="8" fontId="17" fillId="0" borderId="0" xfId="0" applyNumberFormat="1" applyFont="1" applyBorder="1"/>
    <xf numFmtId="1" fontId="13" fillId="0" borderId="0" xfId="0" applyNumberFormat="1" applyFont="1" applyFill="1" applyBorder="1" applyAlignment="1" applyProtection="1">
      <alignment horizontal="left"/>
      <protection hidden="1"/>
    </xf>
  </cellXfs>
  <cellStyles count="158">
    <cellStyle name="Currency" xfId="137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Heading 1" xfId="1" builtinId="16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Normal" xfId="0" builtinId="0" customBuiltin="1"/>
    <cellStyle name="Percent" xfId="12" builtinId="5"/>
  </cellStyles>
  <dxfs count="67"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</dxf>
    <dxf>
      <font>
        <strike val="0"/>
        <outline val="0"/>
        <shadow val="0"/>
        <u val="none"/>
        <vertAlign val="baseline"/>
        <sz val="12"/>
        <color indexed="63"/>
        <name val="Helvetica Neue"/>
        <scheme val="none"/>
      </font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numFmt numFmtId="164" formatCode="&quot;$&quot;#,##0.0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 Ligh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63"/>
        <name val="Helvetica Neue"/>
        <scheme val="none"/>
      </font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Helvetica Neue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Helvetica Neue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Helvetica Neue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Helvetica Neue Light"/>
        <scheme val="none"/>
      </font>
      <numFmt numFmtId="12" formatCode="&quot;$&quot;#,##0.00_);[Red]\(&quot;$&quot;#,##0.00\)"/>
    </dxf>
    <dxf>
      <font>
        <b val="0"/>
        <i val="0"/>
        <strike val="0"/>
        <outline val="0"/>
        <shadow val="0"/>
        <u val="none"/>
        <vertAlign val="baseline"/>
        <sz val="10"/>
        <color indexed="63"/>
        <name val="Helvetica Neue Light"/>
        <scheme val="none"/>
      </font>
      <numFmt numFmtId="12" formatCode="&quot;$&quot;#,##0.00_);[Red]\(&quot;$&quot;#,##0.00\)"/>
    </dxf>
    <dxf>
      <font>
        <b val="0"/>
        <i val="0"/>
        <strike val="0"/>
        <outline val="0"/>
        <shadow val="0"/>
        <u val="none"/>
        <vertAlign val="baseline"/>
        <sz val="10"/>
        <color indexed="63"/>
        <name val="Helvetica Neue Light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indexed="63"/>
        <name val="Helvetica Neue Light"/>
        <scheme val="none"/>
      </font>
    </dxf>
    <dxf>
      <font>
        <strike val="0"/>
        <outline val="0"/>
        <shadow val="0"/>
        <u val="none"/>
        <vertAlign val="baseline"/>
        <sz val="10"/>
        <name val="Helvetica Neue"/>
        <scheme val="none"/>
      </font>
    </dxf>
    <dxf>
      <fill>
        <patternFill patternType="none">
          <fgColor indexed="64"/>
          <bgColor indexed="65"/>
        </patternFill>
      </fill>
    </dxf>
    <dxf>
      <border>
        <bottom style="thick">
          <color theme="4"/>
        </bottom>
      </border>
    </dxf>
    <dxf>
      <border>
        <bottom style="thick">
          <color theme="4"/>
        </bottom>
      </border>
    </dxf>
    <dxf>
      <border>
        <bottom/>
        <vertical/>
      </border>
    </dxf>
    <dxf>
      <border>
        <bottom/>
        <vertical/>
      </border>
    </dxf>
    <dxf>
      <border>
        <left style="thin">
          <color theme="0"/>
        </left>
      </border>
    </dxf>
    <dxf>
      <border>
        <bottom/>
      </border>
    </dxf>
    <dxf>
      <border>
        <bottom style="thin">
          <color theme="3"/>
        </bottom>
        <vertical/>
        <horizontal style="thin">
          <color theme="3"/>
        </horizontal>
      </border>
    </dxf>
    <dxf>
      <border>
        <left/>
        <right/>
        <top style="thin">
          <color theme="3"/>
        </top>
        <bottom/>
      </border>
    </dxf>
    <dxf>
      <font>
        <sz val="10"/>
      </font>
    </dxf>
    <dxf>
      <border>
        <left/>
        <right/>
        <bottom/>
        <vertic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auto="1"/>
      </font>
    </dxf>
    <dxf>
      <font>
        <color auto="1"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sz val="12"/>
      </font>
    </dxf>
    <dxf>
      <alignment horizontal="center" readingOrder="0"/>
    </dxf>
    <dxf>
      <numFmt numFmtId="14" formatCode="0.00%"/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name val="Helvetica Neue Light"/>
        <scheme val="none"/>
      </font>
    </dxf>
    <dxf>
      <font>
        <name val="Helvetica Neue Light"/>
        <scheme val="none"/>
      </font>
    </dxf>
    <dxf>
      <alignment horizontal="center"/>
    </dxf>
    <dxf>
      <font>
        <name val="Helvetica Neue"/>
        <scheme val="none"/>
      </font>
    </dxf>
    <dxf>
      <font>
        <sz val="14"/>
      </font>
    </dxf>
    <dxf>
      <font>
        <sz val="12"/>
      </font>
    </dxf>
    <dxf>
      <numFmt numFmtId="164" formatCode="&quot;$&quot;#,##0.00"/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/>
        </bottom>
      </border>
    </dxf>
    <dxf>
      <font>
        <color theme="0"/>
      </font>
      <fill>
        <patternFill patternType="solid">
          <fgColor theme="8" tint="0.39997558519241921"/>
          <bgColor theme="8" tint="0.39997558519241921"/>
        </patternFill>
      </fill>
      <border>
        <bottom style="thin">
          <color theme="8" tint="0.79998168889431442"/>
        </bottom>
        <horizontal style="thin">
          <color theme="8" tint="0.39997558519241921"/>
        </horizontal>
      </border>
    </dxf>
    <dxf>
      <border>
        <bottom style="thin">
          <color theme="8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 tint="0.39994506668294322"/>
          <bgColor theme="8" tint="0.79998168889431442"/>
        </patternFill>
      </fill>
    </dxf>
    <dxf>
      <font>
        <b/>
        <color theme="0"/>
      </font>
    </dxf>
    <dxf>
      <font>
        <color theme="0" tint="-4.9989318521683403E-2"/>
      </font>
      <fill>
        <patternFill>
          <bgColor theme="8" tint="0.39994506668294322"/>
        </patternFill>
      </fill>
      <border>
        <left/>
        <right/>
      </border>
    </dxf>
    <dxf>
      <fill>
        <patternFill patternType="solid">
          <fgColor indexed="64"/>
          <bgColor theme="8"/>
        </patternFill>
      </fill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/>
        <i val="0"/>
        <color theme="1" tint="0.2499465926084170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8168889431442"/>
        </horizontal>
      </border>
    </dxf>
  </dxfs>
  <tableStyles count="1" defaultTableStyle="TableStyleMedium2" defaultPivotStyle="PivotStyleLight16">
    <tableStyle name="BudgetReportPivot" table="0" count="13">
      <tableStyleElement type="wholeTable" dxfId="66"/>
      <tableStyleElement type="headerRow" dxfId="65"/>
      <tableStyleElement type="totalRow" dxfId="64"/>
      <tableStyleElement type="firstRowStripe" dxfId="63"/>
      <tableStyleElement type="firstColumnStripe" dxfId="62"/>
      <tableStyleElement type="firstHeaderCell" dxfId="61"/>
      <tableStyleElement type="firstSubtotalRow" dxfId="60"/>
      <tableStyleElement type="secondSubtotalRow" dxfId="59"/>
      <tableStyleElement type="firstColumnSubheading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0">
                <a:latin typeface="Helvetica Neue Light"/>
                <a:cs typeface="Helvetica Neue Light"/>
              </a:rPr>
              <a:t>Costs per RSF</a:t>
            </a:r>
            <a:endParaRPr lang="en-US" b="0" i="0" baseline="30000">
              <a:latin typeface="Helvetica Neue Light"/>
              <a:cs typeface="Helvetica Neue Light"/>
            </a:endParaRPr>
          </a:p>
        </c:rich>
      </c:tx>
      <c:layout>
        <c:manualLayout>
          <c:xMode val="edge"/>
          <c:yMode val="edge"/>
          <c:x val="0.26846009305655"/>
          <c:y val="0.0167886706469384"/>
        </c:manualLayout>
      </c:layout>
      <c:overlay val="0"/>
    </c:title>
    <c:autoTitleDeleted val="0"/>
    <c:view3D>
      <c:rotX val="52"/>
      <c:rotY val="84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167760916249105"/>
          <c:y val="0.10942813966436"/>
          <c:w val="0.742677834913493"/>
          <c:h val="0.843023586895388"/>
        </c:manualLayout>
      </c:layout>
      <c:pie3DChart>
        <c:varyColors val="1"/>
        <c:ser>
          <c:idx val="2"/>
          <c:order val="0"/>
          <c:spPr>
            <a:scene3d>
              <a:camera prst="orthographicFront"/>
              <a:lightRig rig="threePt" dir="t"/>
            </a:scene3d>
            <a:sp3d>
              <a:contourClr>
                <a:srgbClr val="000000"/>
              </a:contourClr>
            </a:sp3d>
          </c:spPr>
          <c:explosion val="5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numRef>
              <c:f>'Budget Report'!$B$17:$B$27</c:f>
              <c:numCache>
                <c:formatCode>General</c:formatCode>
                <c:ptCount val="11"/>
              </c:numCache>
            </c:numRef>
          </c:cat>
          <c:val>
            <c:numRef>
              <c:f>'Budget Report'!$D$17:$D$27</c:f>
              <c:numCache>
                <c:formatCode>General</c:formatCode>
                <c:ptCount val="1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 i="0">
          <a:latin typeface="Helvetica Neue Light"/>
          <a:cs typeface="Helvetica Neue Light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27</xdr:row>
      <xdr:rowOff>139700</xdr:rowOff>
    </xdr:from>
    <xdr:to>
      <xdr:col>4</xdr:col>
      <xdr:colOff>1549400</xdr:colOff>
      <xdr:row>45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88900</xdr:rowOff>
    </xdr:from>
    <xdr:to>
      <xdr:col>1</xdr:col>
      <xdr:colOff>1308100</xdr:colOff>
      <xdr:row>0</xdr:row>
      <xdr:rowOff>633730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88900"/>
          <a:ext cx="1485900" cy="544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/Library/Mail%20Downloads/Maispace-Constructi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dget Details - Construction"/>
      <sheetName val="Lookup Lists - Construction"/>
      <sheetName val="Maispace-Construction.xlsx"/>
    </sheet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ark Bassil" refreshedDate="40969.52146851852" createdVersion="4" refreshedVersion="4" minRefreshableVersion="3" recordCount="31">
  <cacheSource type="worksheet">
    <worksheetSource name="BudgetDetails"/>
  </cacheSource>
  <cacheFields count="10">
    <cacheField name="Category" numFmtId="0">
      <sharedItems containsNonDate="0" containsBlank="1" count="23">
        <m/>
        <s v="Pets" u="1"/>
        <s v="Private Offices" u="1"/>
        <s v="Sound Masking" u="1"/>
        <s v="Savings or Investments" u="1"/>
        <s v="Taxes" u="1"/>
        <s v="Food" u="1"/>
        <s v="Insurance" u="1"/>
        <s v="Lateral Files" u="1"/>
        <s v="Walls" u="1"/>
        <s v="Gifts and Charity" u="1"/>
        <s v="Carpet" u="1"/>
        <s v="Loans" u="1"/>
        <s v="Tables" u="1"/>
        <s v="Cabling" u="1"/>
        <s v="Seating" u="1"/>
        <s v="Personal Care" u="1"/>
        <s v="Transportation" u="1"/>
        <s v="Systems" u="1"/>
        <s v="Housing" u="1"/>
        <s v="Children" u="1"/>
        <s v="Entertainment" u="1"/>
        <s v="Construction" u="1"/>
      </sharedItems>
    </cacheField>
    <cacheField name="List Price" numFmtId="44">
      <sharedItems containsNonDate="0" containsString="0" containsBlank="1"/>
    </cacheField>
    <cacheField name="Installation" numFmtId="44">
      <sharedItems containsNonDate="0" containsString="0" containsBlank="1"/>
    </cacheField>
    <cacheField name="Discount" numFmtId="9">
      <sharedItems containsNonDate="0" containsString="0" containsBlank="1"/>
    </cacheField>
    <cacheField name="Markup" numFmtId="10">
      <sharedItems containsNonDate="0" containsString="0" containsBlank="1"/>
    </cacheField>
    <cacheField name="Sale Price" numFmtId="44">
      <sharedItems containsSemiMixedTypes="0" containsString="0" containsNumber="1" containsInteger="1" minValue="0" maxValue="0"/>
    </cacheField>
    <cacheField name="$/sf" numFmtId="164">
      <sharedItems/>
    </cacheField>
    <cacheField name="% of Total" numFmtId="10">
      <sharedItems/>
    </cacheField>
    <cacheField name="Field1" numFmtId="0" formula=" 0" databaseField="0"/>
    <cacheField name="Field2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  <r>
    <x v="0"/>
    <m/>
    <m/>
    <m/>
    <m/>
    <n v="0"/>
    <e v="#DIV/0!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udgetReport" cacheId="9" applyNumberFormats="0" applyBorderFormats="0" applyFontFormats="0" applyPatternFormats="0" applyAlignmentFormats="0" applyWidthHeightFormats="1" dataCaption="Breakdown" grandTotalCaption="Total" updatedVersion="4" minRefreshableVersion="3" showDrill="0" enableDrill="0" rowGrandTotals="0" fieldPrintTitles="1" itemPrintTitles="1" createdVersion="4" indent="0" outline="1" outlineData="1" multipleFieldFilters="0" chartFormat="5" rowHeaderCaption="Categories">
  <location ref="B15:E17" firstHeaderRow="1" firstDataRow="2" firstDataCol="1"/>
  <pivotFields count="10">
    <pivotField axis="axisRow" showAll="0">
      <items count="24">
        <item m="1" x="14"/>
        <item m="1" x="11"/>
        <item h="1" sd="0" m="1" x="20"/>
        <item m="1" x="22"/>
        <item h="1" sd="0" m="1" x="21"/>
        <item h="1" sd="0" m="1" x="6"/>
        <item h="1" sd="0" m="1" x="10"/>
        <item h="1" sd="0" m="1" x="19"/>
        <item h="1" sd="0" m="1" x="7"/>
        <item m="1" x="8"/>
        <item h="1" sd="0" m="1" x="12"/>
        <item h="1" sd="0" m="1" x="16"/>
        <item h="1" sd="0" m="1" x="1"/>
        <item m="1" x="2"/>
        <item h="1" sd="0" m="1" x="4"/>
        <item m="1" x="15"/>
        <item m="1" x="3"/>
        <item m="1" x="18"/>
        <item m="1" x="13"/>
        <item h="1" sd="0" m="1" x="5"/>
        <item h="1" sd="0" m="1" x="17"/>
        <item m="1" x="9"/>
        <item h="1" sd="0" x="0"/>
        <item t="default" sd="0"/>
      </items>
    </pivotField>
    <pivotField showAll="0" defaultSubtotal="0"/>
    <pivotField showAll="0" defaultSubtotal="0"/>
    <pivotField showAll="0" defaultSubtotal="0"/>
    <pivotField showAll="0" defaultSubtotal="0"/>
    <pivotField dataField="1" numFmtId="6" showAll="0" defaultSubtotal="0"/>
    <pivotField dataField="1" numFmtId="164" showAll="0" defaultSubtotal="0"/>
    <pivotField dataField="1" numFmtId="1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colFields count="1">
    <field x="-2"/>
  </colFields>
  <colItems count="3">
    <i>
      <x/>
    </i>
    <i i="1">
      <x v="1"/>
    </i>
    <i i="2">
      <x v="2"/>
    </i>
  </colItems>
  <dataFields count="3">
    <dataField name="Cost" fld="5" baseField="0" baseItem="0"/>
    <dataField name="$ per SF" fld="6" baseField="0" baseItem="0"/>
    <dataField name="% Total" fld="7" baseField="0" baseItem="0" numFmtId="10"/>
  </dataFields>
  <formats count="33">
    <format dxfId="53">
      <pivotArea outline="0" collapsedLevelsAreSubtotals="1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collapsedLevelsAreSubtotals="1" fieldPosition="0">
        <references count="1">
          <reference field="0" count="0"/>
        </references>
      </pivotArea>
    </format>
    <format dxfId="47">
      <pivotArea dataOnly="0" labelOnly="1" fieldPosition="0">
        <references count="1">
          <reference field="0" count="0"/>
        </references>
      </pivotArea>
    </format>
    <format dxfId="46">
      <pivotArea collapsedLevelsAreSubtotals="1" fieldPosition="0">
        <references count="1">
          <reference field="0" count="0"/>
        </references>
      </pivotArea>
    </format>
    <format dxfId="45">
      <pivotArea dataOnly="0" labelOnly="1" fieldPosition="0">
        <references count="1">
          <reference field="0" count="0"/>
        </references>
      </pivotArea>
    </format>
    <format dxfId="44">
      <pivotArea collapsedLevelsAreSubtotals="1" fieldPosition="0">
        <references count="1">
          <reference field="0" count="0"/>
        </references>
      </pivotArea>
    </format>
    <format dxfId="43">
      <pivotArea dataOnly="0" labelOnly="1" fieldPosition="0">
        <references count="1">
          <reference field="0" count="0"/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">
      <pivotArea type="all" dataOnly="0" outline="0" fieldPosition="0"/>
    </format>
    <format dxfId="39">
      <pivotArea type="origin" dataOnly="0" labelOnly="1" outline="0" fieldPosition="0"/>
    </format>
    <format dxfId="38">
      <pivotArea field="-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0">
      <pivotArea type="all" dataOnly="0" outline="0" fieldPosition="0"/>
    </format>
    <format dxfId="29">
      <pivotArea type="all" dataOnly="0" outline="0" fieldPosition="0"/>
    </format>
    <format dxfId="28">
      <pivotArea collapsedLevelsAreSubtotals="1" fieldPosition="0">
        <references count="1">
          <reference field="0" count="1">
            <x v="21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field="-2" type="button" dataOnly="0" labelOnly="1" outline="0" axis="axisCol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</formats>
  <pivotTableStyleInfo name="PivotStyleMedium11" showRowHeaders="1" showColHeaders="1" showRowStripes="0" showColStripes="1" showLastColumn="1"/>
</pivotTableDefinition>
</file>

<file path=xl/tables/table1.xml><?xml version="1.0" encoding="utf-8"?>
<table xmlns="http://schemas.openxmlformats.org/spreadsheetml/2006/main" id="4" name="Table4" displayName="Table4" ref="C10:E13" totalsRowShown="0" headerRowDxfId="20" dataDxfId="19">
  <autoFilter ref="C10:E13"/>
  <tableColumns count="3">
    <tableColumn id="1" name="Costs" dataDxfId="18"/>
    <tableColumn id="2" name="Total" dataDxfId="17"/>
    <tableColumn id="5" name="Per SF" dataDxfId="16">
      <calculatedColumnFormula>Table4[[#This Row],[Total]]/Table6[[#This Row],[Rentable SF]]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B10:B11" totalsRowShown="0" headerRowDxfId="15" dataDxfId="14">
  <autoFilter ref="B10:B11"/>
  <tableColumns count="1">
    <tableColumn id="1" name="Rentable SF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BudgetDetails" displayName="BudgetDetails" ref="A1:H32" totalsRowShown="0" headerRowDxfId="12" dataDxfId="11">
  <autoFilter ref="A1:H32"/>
  <sortState ref="A2:F31">
    <sortCondition ref="A2:A60"/>
  </sortState>
  <tableColumns count="8">
    <tableColumn id="1" name="Category" dataDxfId="10"/>
    <tableColumn id="3" name="List Price" dataDxfId="9" dataCellStyle="Currency"/>
    <tableColumn id="8" name="Installation" dataDxfId="8" dataCellStyle="Currency"/>
    <tableColumn id="4" name="Discount" dataDxfId="7" dataCellStyle="Percent"/>
    <tableColumn id="7" name="Markup" dataDxfId="6" dataCellStyle="Percent"/>
    <tableColumn id="5" name="Sale Price" dataDxfId="5" dataCellStyle="Currency">
      <calculatedColumnFormula>(BudgetDetails[[#This Row],[List Price]]*(1-BudgetDetails[[#This Row],[Discount]]))*(1+BudgetDetails[[#This Row],[Markup]])+BudgetDetails[[#This Row],[Installation]]</calculatedColumnFormula>
    </tableColumn>
    <tableColumn id="2" name="$/sf" dataDxfId="4">
      <calculatedColumnFormula>BudgetDetails[[#This Row],[Sale Price]]/'Budget Report'!B1</calculatedColumnFormula>
    </tableColumn>
    <tableColumn id="9" name="% of Total" dataDxfId="3">
      <calculatedColumnFormula>BudgetDetails[[#This Row],[$/sf]]/#REF!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BudgetCategoryLookup" displayName="BudgetCategoryLookup" ref="A1:A23" totalsRowShown="0" headerRowDxfId="2" dataDxfId="1">
  <autoFilter ref="A1:A23"/>
  <sortState ref="A2:A23">
    <sortCondition ref="A1:A23"/>
  </sortState>
  <tableColumns count="1">
    <tableColumn id="1" name="Budget Category Lookup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4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topLeftCell="A8" workbookViewId="0">
      <selection activeCell="J33" sqref="J33"/>
    </sheetView>
  </sheetViews>
  <sheetFormatPr baseColWidth="10" defaultColWidth="8.83203125" defaultRowHeight="15" x14ac:dyDescent="0"/>
  <cols>
    <col min="1" max="1" width="2.83203125" style="3" customWidth="1"/>
    <col min="2" max="2" width="20.1640625" style="3" customWidth="1"/>
    <col min="3" max="3" width="14.1640625" style="3" customWidth="1"/>
    <col min="4" max="4" width="21.83203125" style="3" customWidth="1"/>
    <col min="5" max="5" width="23.83203125" style="3" customWidth="1"/>
    <col min="6" max="6" width="1.6640625" style="3" customWidth="1"/>
    <col min="7" max="7" width="14.6640625" style="3" customWidth="1"/>
    <col min="8" max="8" width="11" style="3" customWidth="1"/>
    <col min="9" max="16384" width="8.83203125" style="3"/>
  </cols>
  <sheetData>
    <row r="1" spans="1:7" ht="63" customHeight="1"/>
    <row r="2" spans="1:7" ht="14" customHeight="1">
      <c r="A2" s="22" t="s">
        <v>30</v>
      </c>
      <c r="C2" s="22"/>
      <c r="D2" s="37" t="s">
        <v>37</v>
      </c>
      <c r="E2" s="12"/>
    </row>
    <row r="3" spans="1:7" ht="14" customHeight="1">
      <c r="A3" s="22" t="s">
        <v>31</v>
      </c>
      <c r="C3" s="22"/>
      <c r="D3" s="37" t="s">
        <v>36</v>
      </c>
      <c r="E3" s="12"/>
    </row>
    <row r="4" spans="1:7" ht="14" customHeight="1">
      <c r="A4" s="22" t="s">
        <v>32</v>
      </c>
      <c r="C4" s="22"/>
      <c r="D4" s="37" t="s">
        <v>34</v>
      </c>
      <c r="E4" s="12"/>
    </row>
    <row r="5" spans="1:7" ht="14" customHeight="1">
      <c r="A5" s="22" t="s">
        <v>33</v>
      </c>
      <c r="C5" s="22"/>
      <c r="D5" s="37" t="s">
        <v>35</v>
      </c>
      <c r="E5" s="12"/>
    </row>
    <row r="6" spans="1:7" ht="14" customHeight="1">
      <c r="A6" s="22"/>
      <c r="C6" s="22"/>
      <c r="D6" s="22"/>
      <c r="E6" s="12"/>
    </row>
    <row r="7" spans="1:7" ht="7" customHeight="1"/>
    <row r="8" spans="1:7" ht="20" customHeight="1" thickBot="1">
      <c r="A8" s="36" t="s">
        <v>21</v>
      </c>
      <c r="B8" s="1"/>
      <c r="C8" s="1"/>
      <c r="D8" s="1"/>
      <c r="E8" s="2"/>
    </row>
    <row r="9" spans="1:7" ht="9" customHeight="1" thickTop="1">
      <c r="A9" s="4"/>
      <c r="B9" s="5"/>
      <c r="C9" s="6"/>
      <c r="D9" s="5"/>
      <c r="E9" s="5"/>
      <c r="F9" s="7"/>
      <c r="G9" s="21"/>
    </row>
    <row r="10" spans="1:7">
      <c r="A10" s="8"/>
      <c r="B10" s="23" t="s">
        <v>29</v>
      </c>
      <c r="C10" s="25" t="s">
        <v>26</v>
      </c>
      <c r="D10" s="24" t="s">
        <v>22</v>
      </c>
      <c r="E10" s="26" t="s">
        <v>23</v>
      </c>
      <c r="F10" s="9"/>
    </row>
    <row r="11" spans="1:7" ht="15" customHeight="1">
      <c r="A11" s="8"/>
      <c r="B11" s="30"/>
      <c r="C11" s="27" t="s">
        <v>17</v>
      </c>
      <c r="D11" s="28">
        <f>SUMIF('Budget Details'!A:A,"Construction",'Budget Details'!F:F)</f>
        <v>0</v>
      </c>
      <c r="E11" s="28" t="e">
        <f>Table4[[#This Row],[Total]]/B11</f>
        <v>#DIV/0!</v>
      </c>
      <c r="F11" s="9"/>
    </row>
    <row r="12" spans="1:7" ht="15" customHeight="1">
      <c r="A12" s="8"/>
      <c r="B12" s="50"/>
      <c r="C12" s="45" t="s">
        <v>24</v>
      </c>
      <c r="D12" s="46">
        <f>SUMIF('Budget Details'!A:A, "Systems",'Budget Details'!F:F)+SUMIF('Budget Details'!A:A,"Lateral Files",'Budget Details'!F:F)+SUMIF('Budget Details'!A:A,"Seating",'Budget Details'!F:F)+SUMIF('Budget Details'!A:A,"Tables",'Budget Details'!F:F)+SUMIF('Budget Details'!A:A,"Private Offices",'Budget Details'!F:F)+SUMIF('Budget Details'!A:A,"Sound Masking", 'Budget Details'!F:F)+SUMIF('Budget Details'!A:A,"Walls",'Budget Details'!F:F)+SUMIF('Budget Details'!A:A,"Carpet",'Budget Details'!F:F)+SUMIF('Budget Details'!A:A,"Cabling",'Budget Details'!F:F)</f>
        <v>0</v>
      </c>
      <c r="E12" s="46" t="e">
        <f>Table4[[#This Row],[Total]]/B11</f>
        <v>#DIV/0!</v>
      </c>
      <c r="F12" s="9"/>
    </row>
    <row r="13" spans="1:7" ht="15" customHeight="1">
      <c r="A13" s="8"/>
      <c r="B13" s="50"/>
      <c r="C13" s="48" t="s">
        <v>22</v>
      </c>
      <c r="D13" s="49">
        <f>SUM(D11:D12)</f>
        <v>0</v>
      </c>
      <c r="E13" s="49" t="e">
        <f>SUM(E11:E12)</f>
        <v>#DIV/0!</v>
      </c>
      <c r="F13" s="9"/>
    </row>
    <row r="14" spans="1:7">
      <c r="A14" s="8"/>
      <c r="C14" s="25"/>
      <c r="D14" s="24"/>
      <c r="E14" s="24"/>
      <c r="F14" s="9"/>
    </row>
    <row r="15" spans="1:7">
      <c r="A15" s="8"/>
      <c r="B15" s="33"/>
      <c r="C15" s="34" t="s">
        <v>27</v>
      </c>
      <c r="D15" s="33"/>
      <c r="E15" s="33"/>
      <c r="F15" s="9"/>
    </row>
    <row r="16" spans="1:7">
      <c r="A16" s="8"/>
      <c r="B16" s="32" t="s">
        <v>20</v>
      </c>
      <c r="C16" s="29" t="s">
        <v>19</v>
      </c>
      <c r="D16" s="29" t="s">
        <v>18</v>
      </c>
      <c r="E16" s="29" t="s">
        <v>25</v>
      </c>
      <c r="F16" s="9"/>
    </row>
    <row r="17" spans="1:6">
      <c r="A17" s="8"/>
      <c r="B17" s="25"/>
      <c r="C17" s="43"/>
      <c r="D17" s="43"/>
      <c r="E17" s="44"/>
      <c r="F17" s="9"/>
    </row>
    <row r="18" spans="1:6">
      <c r="A18" s="8"/>
      <c r="B18"/>
      <c r="C18"/>
      <c r="D18"/>
      <c r="E18"/>
      <c r="F18" s="9"/>
    </row>
    <row r="19" spans="1:6">
      <c r="A19" s="8"/>
      <c r="B19"/>
      <c r="C19"/>
      <c r="D19"/>
      <c r="E19"/>
      <c r="F19" s="9"/>
    </row>
    <row r="20" spans="1:6">
      <c r="A20" s="8"/>
      <c r="B20"/>
      <c r="C20"/>
      <c r="D20"/>
      <c r="E20"/>
      <c r="F20" s="9"/>
    </row>
    <row r="21" spans="1:6">
      <c r="A21" s="8"/>
      <c r="B21"/>
      <c r="C21"/>
      <c r="D21"/>
      <c r="E21"/>
      <c r="F21" s="9"/>
    </row>
    <row r="22" spans="1:6">
      <c r="A22" s="8"/>
      <c r="B22"/>
      <c r="C22"/>
      <c r="D22"/>
      <c r="E22"/>
      <c r="F22" s="9"/>
    </row>
    <row r="23" spans="1:6">
      <c r="A23" s="8"/>
      <c r="B23"/>
      <c r="C23"/>
      <c r="D23"/>
      <c r="E23"/>
      <c r="F23" s="9"/>
    </row>
    <row r="24" spans="1:6">
      <c r="A24" s="8"/>
      <c r="B24"/>
      <c r="C24"/>
      <c r="D24"/>
      <c r="E24"/>
      <c r="F24" s="9"/>
    </row>
    <row r="25" spans="1:6">
      <c r="A25" s="8"/>
      <c r="B25"/>
      <c r="C25"/>
      <c r="D25"/>
      <c r="E25"/>
      <c r="F25" s="9"/>
    </row>
    <row r="26" spans="1:6">
      <c r="A26" s="8"/>
      <c r="C26"/>
      <c r="D26"/>
      <c r="E26"/>
      <c r="F26" s="9"/>
    </row>
    <row r="27" spans="1:6" ht="16" thickBot="1">
      <c r="A27" s="10"/>
      <c r="B27" s="47"/>
      <c r="C27" s="47"/>
      <c r="D27" s="47"/>
      <c r="E27" s="47"/>
      <c r="F27" s="11"/>
    </row>
    <row r="28" spans="1:6" ht="16" thickTop="1"/>
  </sheetData>
  <phoneticPr fontId="2" type="noConversion"/>
  <printOptions horizontalCentered="1"/>
  <pageMargins left="0.25" right="0.25" top="0.25" bottom="0.25" header="0.21" footer="0"/>
  <pageSetup orientation="portrait" horizontalDpi="200" verticalDpi="200"/>
  <drawing r:id="rId2"/>
  <tableParts count="2">
    <tablePart r:id="rId3"/>
    <tablePart r:id="rId4"/>
  </tableParts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workbookViewId="0">
      <selection activeCell="F4" sqref="F4"/>
    </sheetView>
  </sheetViews>
  <sheetFormatPr baseColWidth="10" defaultColWidth="8.83203125" defaultRowHeight="15" x14ac:dyDescent="0"/>
  <cols>
    <col min="1" max="1" width="21.6640625" style="14" customWidth="1"/>
    <col min="2" max="3" width="19.6640625" style="40" customWidth="1"/>
    <col min="4" max="4" width="18.33203125" style="15" customWidth="1"/>
    <col min="5" max="5" width="18.33203125" style="38" customWidth="1"/>
    <col min="6" max="6" width="17.83203125" style="40" customWidth="1"/>
    <col min="7" max="7" width="13.83203125" style="14" customWidth="1"/>
    <col min="8" max="8" width="18" style="16" customWidth="1"/>
    <col min="9" max="9" width="8.83203125" style="14"/>
    <col min="10" max="10" width="29.1640625" style="14" customWidth="1"/>
    <col min="11" max="11" width="12.33203125" style="35" bestFit="1" customWidth="1"/>
    <col min="12" max="13" width="9.1640625" style="14" bestFit="1" customWidth="1"/>
    <col min="14" max="16384" width="8.83203125" style="14"/>
  </cols>
  <sheetData>
    <row r="1" spans="1:10">
      <c r="A1" s="14" t="s">
        <v>0</v>
      </c>
      <c r="B1" s="40" t="s">
        <v>11</v>
      </c>
      <c r="C1" s="40" t="s">
        <v>13</v>
      </c>
      <c r="D1" s="15" t="s">
        <v>10</v>
      </c>
      <c r="E1" s="38" t="s">
        <v>16</v>
      </c>
      <c r="F1" s="40" t="s">
        <v>12</v>
      </c>
      <c r="G1" s="14" t="s">
        <v>14</v>
      </c>
      <c r="H1" s="16" t="s">
        <v>15</v>
      </c>
    </row>
    <row r="2" spans="1:10" ht="16">
      <c r="A2" s="17"/>
      <c r="B2" s="42"/>
      <c r="C2" s="41"/>
      <c r="D2" s="18"/>
      <c r="E2" s="39"/>
      <c r="F2" s="41">
        <f>(BudgetDetails[[#This Row],[List Price]]*(1-BudgetDetails[[#This Row],[Discount]]))*(1+BudgetDetails[[#This Row],[Markup]])+BudgetDetails[[#This Row],[Installation]]</f>
        <v>0</v>
      </c>
      <c r="G2" s="19" t="e">
        <f>BudgetDetails[[#This Row],[Sale Price]]/'Budget Report'!B11</f>
        <v>#DIV/0!</v>
      </c>
      <c r="H2" s="20" t="e">
        <f>BudgetDetails[$/sf]/SUM(G:G)</f>
        <v>#DIV/0!</v>
      </c>
      <c r="J2" s="31"/>
    </row>
    <row r="3" spans="1:10" ht="16">
      <c r="A3" s="17"/>
      <c r="B3" s="42"/>
      <c r="C3" s="41"/>
      <c r="D3" s="18"/>
      <c r="E3" s="39"/>
      <c r="F3" s="41">
        <f>(BudgetDetails[[#This Row],[List Price]]*(1-BudgetDetails[[#This Row],[Discount]]))*(1+BudgetDetails[[#This Row],[Markup]])+BudgetDetails[[#This Row],[Installation]]</f>
        <v>0</v>
      </c>
      <c r="G3" s="19" t="e">
        <f>BudgetDetails[[#This Row],[Sale Price]]/'Budget Report'!B11</f>
        <v>#DIV/0!</v>
      </c>
      <c r="H3" s="20" t="e">
        <f>BudgetDetails[$/sf]/SUM(G:G)</f>
        <v>#DIV/0!</v>
      </c>
    </row>
    <row r="4" spans="1:10" ht="16">
      <c r="A4" s="17"/>
      <c r="B4" s="42"/>
      <c r="C4" s="41"/>
      <c r="D4" s="18"/>
      <c r="E4" s="39"/>
      <c r="F4" s="41">
        <f>(BudgetDetails[[#This Row],[List Price]]*(1-BudgetDetails[[#This Row],[Discount]]))*(1+BudgetDetails[[#This Row],[Markup]])+BudgetDetails[[#This Row],[Installation]]</f>
        <v>0</v>
      </c>
      <c r="G4" s="19" t="e">
        <f>BudgetDetails[[#This Row],[Sale Price]]/'Budget Report'!B11</f>
        <v>#DIV/0!</v>
      </c>
      <c r="H4" s="20" t="e">
        <f>BudgetDetails[$/sf]/SUM(G:G)</f>
        <v>#DIV/0!</v>
      </c>
    </row>
    <row r="5" spans="1:10" ht="16">
      <c r="A5" s="17"/>
      <c r="B5" s="42"/>
      <c r="C5" s="41"/>
      <c r="D5" s="18"/>
      <c r="E5" s="39"/>
      <c r="F5" s="41">
        <f>(BudgetDetails[[#This Row],[List Price]]*(1-BudgetDetails[[#This Row],[Discount]]))*(1+BudgetDetails[[#This Row],[Markup]])+BudgetDetails[[#This Row],[Installation]]</f>
        <v>0</v>
      </c>
      <c r="G5" s="19" t="e">
        <f>BudgetDetails[[#This Row],[Sale Price]]/'Budget Report'!B11</f>
        <v>#DIV/0!</v>
      </c>
      <c r="H5" s="20" t="e">
        <f>BudgetDetails[$/sf]/SUM(G:G)</f>
        <v>#DIV/0!</v>
      </c>
    </row>
    <row r="6" spans="1:10" ht="16">
      <c r="A6" s="17"/>
      <c r="B6" s="42"/>
      <c r="C6" s="41"/>
      <c r="D6" s="18"/>
      <c r="E6" s="39"/>
      <c r="F6" s="41">
        <f>(BudgetDetails[[#This Row],[List Price]]*(1-BudgetDetails[[#This Row],[Discount]]))*(1+BudgetDetails[[#This Row],[Markup]])+BudgetDetails[[#This Row],[Installation]]</f>
        <v>0</v>
      </c>
      <c r="G6" s="19" t="e">
        <f>BudgetDetails[[#This Row],[Sale Price]]/'Budget Report'!B11</f>
        <v>#DIV/0!</v>
      </c>
      <c r="H6" s="20" t="e">
        <f>BudgetDetails[$/sf]/SUM(G:G)</f>
        <v>#DIV/0!</v>
      </c>
    </row>
    <row r="7" spans="1:10" ht="16">
      <c r="A7" s="17"/>
      <c r="B7" s="42"/>
      <c r="C7" s="41"/>
      <c r="D7" s="18"/>
      <c r="E7" s="39"/>
      <c r="F7" s="41">
        <f>(BudgetDetails[[#This Row],[List Price]]*(1-BudgetDetails[[#This Row],[Discount]]))*(1+BudgetDetails[[#This Row],[Markup]])+BudgetDetails[[#This Row],[Installation]]</f>
        <v>0</v>
      </c>
      <c r="G7" s="19" t="e">
        <f>BudgetDetails[[#This Row],[Sale Price]]/'Budget Report'!B11</f>
        <v>#DIV/0!</v>
      </c>
      <c r="H7" s="20" t="e">
        <f>BudgetDetails[$/sf]/SUM(G:G)</f>
        <v>#DIV/0!</v>
      </c>
    </row>
    <row r="8" spans="1:10" ht="16">
      <c r="A8" s="17"/>
      <c r="B8" s="42"/>
      <c r="C8" s="41"/>
      <c r="D8" s="18"/>
      <c r="E8" s="39"/>
      <c r="F8" s="41">
        <f>(BudgetDetails[[#This Row],[List Price]]*(1-BudgetDetails[[#This Row],[Discount]]))*(1+BudgetDetails[[#This Row],[Markup]])+BudgetDetails[[#This Row],[Installation]]</f>
        <v>0</v>
      </c>
      <c r="G8" s="19" t="e">
        <f>BudgetDetails[[#This Row],[Sale Price]]/'Budget Report'!B11</f>
        <v>#DIV/0!</v>
      </c>
      <c r="H8" s="20" t="e">
        <f>BudgetDetails[$/sf]/SUM(G:G)</f>
        <v>#DIV/0!</v>
      </c>
    </row>
    <row r="9" spans="1:10" ht="16">
      <c r="A9" s="17"/>
      <c r="B9" s="42"/>
      <c r="C9" s="41"/>
      <c r="D9" s="18"/>
      <c r="E9" s="39"/>
      <c r="F9" s="41">
        <f>(BudgetDetails[[#This Row],[List Price]]*(1-BudgetDetails[[#This Row],[Discount]]))*(1+BudgetDetails[[#This Row],[Markup]])+BudgetDetails[[#This Row],[Installation]]</f>
        <v>0</v>
      </c>
      <c r="G9" s="19" t="e">
        <f>BudgetDetails[[#This Row],[Sale Price]]/'Budget Report'!B11</f>
        <v>#DIV/0!</v>
      </c>
      <c r="H9" s="20" t="e">
        <f>BudgetDetails[$/sf]/SUM(G:G)</f>
        <v>#DIV/0!</v>
      </c>
    </row>
    <row r="10" spans="1:10" ht="16">
      <c r="A10" s="17"/>
      <c r="B10" s="42"/>
      <c r="C10" s="41"/>
      <c r="D10" s="18"/>
      <c r="E10" s="39"/>
      <c r="F10" s="41">
        <f>(BudgetDetails[[#This Row],[List Price]]*(1-BudgetDetails[[#This Row],[Discount]]))*(1+BudgetDetails[[#This Row],[Markup]])+BudgetDetails[[#This Row],[Installation]]</f>
        <v>0</v>
      </c>
      <c r="G10" s="19" t="e">
        <f>BudgetDetails[[#This Row],[Sale Price]]/'Budget Report'!B11</f>
        <v>#DIV/0!</v>
      </c>
      <c r="H10" s="20" t="e">
        <f>BudgetDetails[$/sf]/SUM(G:G)</f>
        <v>#DIV/0!</v>
      </c>
    </row>
    <row r="11" spans="1:10" ht="16">
      <c r="A11" s="17"/>
      <c r="B11" s="42"/>
      <c r="C11" s="41"/>
      <c r="D11" s="18"/>
      <c r="E11" s="39"/>
      <c r="F11" s="41">
        <f>(BudgetDetails[[#This Row],[List Price]]*(1-BudgetDetails[[#This Row],[Discount]]))*(1+BudgetDetails[[#This Row],[Markup]])+BudgetDetails[[#This Row],[Installation]]</f>
        <v>0</v>
      </c>
      <c r="G11" s="19" t="e">
        <f>BudgetDetails[[#This Row],[Sale Price]]/'Budget Report'!B11</f>
        <v>#DIV/0!</v>
      </c>
      <c r="H11" s="20" t="e">
        <f>BudgetDetails[$/sf]/SUM(G:G)</f>
        <v>#DIV/0!</v>
      </c>
    </row>
    <row r="12" spans="1:10" ht="16">
      <c r="A12" s="17"/>
      <c r="B12" s="42"/>
      <c r="C12" s="41"/>
      <c r="D12" s="18"/>
      <c r="E12" s="39"/>
      <c r="F12" s="41">
        <f>(BudgetDetails[[#This Row],[List Price]]*(1-BudgetDetails[[#This Row],[Discount]]))*(1+BudgetDetails[[#This Row],[Markup]])+BudgetDetails[[#This Row],[Installation]]</f>
        <v>0</v>
      </c>
      <c r="G12" s="19" t="e">
        <f>BudgetDetails[[#This Row],[Sale Price]]/'Budget Report'!B11</f>
        <v>#DIV/0!</v>
      </c>
      <c r="H12" s="20" t="e">
        <f>BudgetDetails[$/sf]/SUM(G:G)</f>
        <v>#DIV/0!</v>
      </c>
    </row>
    <row r="13" spans="1:10" ht="16">
      <c r="A13" s="17"/>
      <c r="B13" s="42"/>
      <c r="C13" s="41"/>
      <c r="D13" s="18"/>
      <c r="E13" s="39"/>
      <c r="F13" s="41">
        <f>(BudgetDetails[[#This Row],[List Price]]*(1-BudgetDetails[[#This Row],[Discount]]))*(1+BudgetDetails[[#This Row],[Markup]])+BudgetDetails[[#This Row],[Installation]]</f>
        <v>0</v>
      </c>
      <c r="G13" s="19" t="e">
        <f>BudgetDetails[[#This Row],[Sale Price]]/'Budget Report'!B11</f>
        <v>#DIV/0!</v>
      </c>
      <c r="H13" s="20" t="e">
        <f>BudgetDetails[$/sf]/SUM(G:G)</f>
        <v>#DIV/0!</v>
      </c>
    </row>
    <row r="14" spans="1:10" ht="16">
      <c r="A14" s="17"/>
      <c r="B14" s="42"/>
      <c r="C14" s="41"/>
      <c r="D14" s="18"/>
      <c r="E14" s="39"/>
      <c r="F14" s="41">
        <f>(BudgetDetails[[#This Row],[List Price]]*(1-BudgetDetails[[#This Row],[Discount]]))*(1+BudgetDetails[[#This Row],[Markup]])+BudgetDetails[[#This Row],[Installation]]</f>
        <v>0</v>
      </c>
      <c r="G14" s="19" t="e">
        <f>BudgetDetails[[#This Row],[Sale Price]]/'Budget Report'!B11</f>
        <v>#DIV/0!</v>
      </c>
      <c r="H14" s="20" t="e">
        <f>BudgetDetails[$/sf]/SUM(G:G)</f>
        <v>#DIV/0!</v>
      </c>
    </row>
    <row r="15" spans="1:10" ht="16">
      <c r="A15" s="17"/>
      <c r="B15" s="42"/>
      <c r="C15" s="41"/>
      <c r="D15" s="18"/>
      <c r="E15" s="39"/>
      <c r="F15" s="41">
        <f>(BudgetDetails[[#This Row],[List Price]]*(1-BudgetDetails[[#This Row],[Discount]]))*(1+BudgetDetails[[#This Row],[Markup]])+BudgetDetails[[#This Row],[Installation]]</f>
        <v>0</v>
      </c>
      <c r="G15" s="19" t="e">
        <f>BudgetDetails[[#This Row],[Sale Price]]/'Budget Report'!B11</f>
        <v>#DIV/0!</v>
      </c>
      <c r="H15" s="20" t="e">
        <f>BudgetDetails[$/sf]/SUM(G:G)</f>
        <v>#DIV/0!</v>
      </c>
    </row>
    <row r="16" spans="1:10" ht="16">
      <c r="A16" s="17"/>
      <c r="B16" s="42"/>
      <c r="C16" s="41"/>
      <c r="D16" s="18"/>
      <c r="E16" s="39"/>
      <c r="F16" s="41">
        <f>(BudgetDetails[[#This Row],[List Price]]*(1-BudgetDetails[[#This Row],[Discount]]))*(1+BudgetDetails[[#This Row],[Markup]])+BudgetDetails[[#This Row],[Installation]]</f>
        <v>0</v>
      </c>
      <c r="G16" s="19" t="e">
        <f>BudgetDetails[[#This Row],[Sale Price]]/'Budget Report'!B11</f>
        <v>#DIV/0!</v>
      </c>
      <c r="H16" s="20" t="e">
        <f>BudgetDetails[$/sf]/SUM(G:G)</f>
        <v>#DIV/0!</v>
      </c>
    </row>
    <row r="17" spans="1:8" ht="16">
      <c r="A17" s="17"/>
      <c r="B17" s="42"/>
      <c r="C17" s="41"/>
      <c r="D17" s="18"/>
      <c r="E17" s="39"/>
      <c r="F17" s="41">
        <f>(BudgetDetails[[#This Row],[List Price]]*(1-BudgetDetails[[#This Row],[Discount]]))*(1+BudgetDetails[[#This Row],[Markup]])+BudgetDetails[[#This Row],[Installation]]</f>
        <v>0</v>
      </c>
      <c r="G17" s="19" t="e">
        <f>BudgetDetails[[#This Row],[Sale Price]]/'Budget Report'!B11</f>
        <v>#DIV/0!</v>
      </c>
      <c r="H17" s="20" t="e">
        <f>BudgetDetails[$/sf]/SUM(G:G)</f>
        <v>#DIV/0!</v>
      </c>
    </row>
    <row r="18" spans="1:8" ht="16">
      <c r="A18" s="17"/>
      <c r="B18" s="42"/>
      <c r="C18" s="41"/>
      <c r="D18" s="18"/>
      <c r="E18" s="39"/>
      <c r="F18" s="41">
        <f>(BudgetDetails[[#This Row],[List Price]]*(1-BudgetDetails[[#This Row],[Discount]]))*(1+BudgetDetails[[#This Row],[Markup]])+BudgetDetails[[#This Row],[Installation]]</f>
        <v>0</v>
      </c>
      <c r="G18" s="19" t="e">
        <f>BudgetDetails[[#This Row],[Sale Price]]/'Budget Report'!B11</f>
        <v>#DIV/0!</v>
      </c>
      <c r="H18" s="20" t="e">
        <f>BudgetDetails[$/sf]/SUM(G:G)</f>
        <v>#DIV/0!</v>
      </c>
    </row>
    <row r="19" spans="1:8" ht="16">
      <c r="A19" s="17"/>
      <c r="B19" s="42"/>
      <c r="C19" s="41"/>
      <c r="D19" s="18"/>
      <c r="E19" s="39"/>
      <c r="F19" s="41">
        <f>(BudgetDetails[[#This Row],[List Price]]*(1-BudgetDetails[[#This Row],[Discount]]))*(1+BudgetDetails[[#This Row],[Markup]])+BudgetDetails[[#This Row],[Installation]]</f>
        <v>0</v>
      </c>
      <c r="G19" s="19" t="e">
        <f>BudgetDetails[[#This Row],[Sale Price]]/'Budget Report'!B11</f>
        <v>#DIV/0!</v>
      </c>
      <c r="H19" s="20" t="e">
        <f>BudgetDetails[$/sf]/SUM(G:G)</f>
        <v>#DIV/0!</v>
      </c>
    </row>
    <row r="20" spans="1:8" ht="16">
      <c r="A20" s="17"/>
      <c r="B20" s="42"/>
      <c r="C20" s="41"/>
      <c r="D20" s="18"/>
      <c r="E20" s="39"/>
      <c r="F20" s="41">
        <f>(BudgetDetails[[#This Row],[List Price]]*(1-BudgetDetails[[#This Row],[Discount]]))*(1+BudgetDetails[[#This Row],[Markup]])+BudgetDetails[[#This Row],[Installation]]</f>
        <v>0</v>
      </c>
      <c r="G20" s="19" t="e">
        <f>BudgetDetails[[#This Row],[Sale Price]]/'Budget Report'!B11</f>
        <v>#DIV/0!</v>
      </c>
      <c r="H20" s="20" t="e">
        <f>BudgetDetails[$/sf]/SUM(G:G)</f>
        <v>#DIV/0!</v>
      </c>
    </row>
    <row r="21" spans="1:8" ht="16">
      <c r="A21" s="17"/>
      <c r="B21" s="42"/>
      <c r="C21" s="41"/>
      <c r="D21" s="18"/>
      <c r="E21" s="39"/>
      <c r="F21" s="41">
        <f>(BudgetDetails[[#This Row],[List Price]]*(1-BudgetDetails[[#This Row],[Discount]]))*(1+BudgetDetails[[#This Row],[Markup]])+BudgetDetails[[#This Row],[Installation]]</f>
        <v>0</v>
      </c>
      <c r="G21" s="19" t="e">
        <f>BudgetDetails[[#This Row],[Sale Price]]/'Budget Report'!B11</f>
        <v>#DIV/0!</v>
      </c>
      <c r="H21" s="20" t="e">
        <f>BudgetDetails[$/sf]/SUM(G:G)</f>
        <v>#DIV/0!</v>
      </c>
    </row>
    <row r="22" spans="1:8" ht="16">
      <c r="A22" s="17"/>
      <c r="B22" s="42"/>
      <c r="C22" s="41"/>
      <c r="D22" s="18"/>
      <c r="E22" s="39"/>
      <c r="F22" s="41">
        <f>(BudgetDetails[[#This Row],[List Price]]*(1-BudgetDetails[[#This Row],[Discount]]))*(1+BudgetDetails[[#This Row],[Markup]])+BudgetDetails[[#This Row],[Installation]]</f>
        <v>0</v>
      </c>
      <c r="G22" s="19" t="e">
        <f>BudgetDetails[[#This Row],[Sale Price]]/'Budget Report'!B11</f>
        <v>#DIV/0!</v>
      </c>
      <c r="H22" s="20" t="e">
        <f>BudgetDetails[$/sf]/SUM(G:G)</f>
        <v>#DIV/0!</v>
      </c>
    </row>
    <row r="23" spans="1:8" ht="16">
      <c r="A23" s="17"/>
      <c r="B23" s="42"/>
      <c r="C23" s="41"/>
      <c r="D23" s="18"/>
      <c r="E23" s="39"/>
      <c r="F23" s="41">
        <f>(BudgetDetails[[#This Row],[List Price]]*(1-BudgetDetails[[#This Row],[Discount]]))*(1+BudgetDetails[[#This Row],[Markup]])+BudgetDetails[[#This Row],[Installation]]</f>
        <v>0</v>
      </c>
      <c r="G23" s="19" t="e">
        <f>BudgetDetails[[#This Row],[Sale Price]]/'Budget Report'!B11</f>
        <v>#DIV/0!</v>
      </c>
      <c r="H23" s="20" t="e">
        <f>BudgetDetails[$/sf]/SUM(G:G)</f>
        <v>#DIV/0!</v>
      </c>
    </row>
    <row r="24" spans="1:8" ht="16">
      <c r="A24" s="17"/>
      <c r="B24" s="42"/>
      <c r="C24" s="41"/>
      <c r="D24" s="18"/>
      <c r="E24" s="39"/>
      <c r="F24" s="41">
        <f>(BudgetDetails[[#This Row],[List Price]]*(1-BudgetDetails[[#This Row],[Discount]]))*(1+BudgetDetails[[#This Row],[Markup]])+BudgetDetails[[#This Row],[Installation]]</f>
        <v>0</v>
      </c>
      <c r="G24" s="19" t="e">
        <f>BudgetDetails[[#This Row],[Sale Price]]/'Budget Report'!B11</f>
        <v>#DIV/0!</v>
      </c>
      <c r="H24" s="20" t="e">
        <f>BudgetDetails[$/sf]/SUM(G:G)</f>
        <v>#DIV/0!</v>
      </c>
    </row>
    <row r="25" spans="1:8" ht="16">
      <c r="A25" s="17"/>
      <c r="B25" s="42"/>
      <c r="C25" s="41"/>
      <c r="D25" s="18"/>
      <c r="E25" s="39"/>
      <c r="F25" s="41">
        <f>(BudgetDetails[[#This Row],[List Price]]*(1-BudgetDetails[[#This Row],[Discount]]))*(1+BudgetDetails[[#This Row],[Markup]])+BudgetDetails[[#This Row],[Installation]]</f>
        <v>0</v>
      </c>
      <c r="G25" s="19" t="e">
        <f>BudgetDetails[[#This Row],[Sale Price]]/'Budget Report'!B11</f>
        <v>#DIV/0!</v>
      </c>
      <c r="H25" s="20" t="e">
        <f>BudgetDetails[$/sf]/SUM(G:G)</f>
        <v>#DIV/0!</v>
      </c>
    </row>
    <row r="26" spans="1:8" ht="16">
      <c r="A26" s="17"/>
      <c r="B26" s="42"/>
      <c r="C26" s="41"/>
      <c r="D26" s="18"/>
      <c r="E26" s="39"/>
      <c r="F26" s="41">
        <f>(BudgetDetails[[#This Row],[List Price]]*(1-BudgetDetails[[#This Row],[Discount]]))*(1+BudgetDetails[[#This Row],[Markup]])+BudgetDetails[[#This Row],[Installation]]</f>
        <v>0</v>
      </c>
      <c r="G26" s="19" t="e">
        <f>BudgetDetails[[#This Row],[Sale Price]]/'Budget Report'!B11</f>
        <v>#DIV/0!</v>
      </c>
      <c r="H26" s="20" t="e">
        <f>BudgetDetails[$/sf]/SUM(G:G)</f>
        <v>#DIV/0!</v>
      </c>
    </row>
    <row r="27" spans="1:8" ht="16">
      <c r="A27" s="17"/>
      <c r="B27" s="42"/>
      <c r="C27" s="41"/>
      <c r="D27" s="18"/>
      <c r="E27" s="39"/>
      <c r="F27" s="41">
        <f>(BudgetDetails[[#This Row],[List Price]]*(1-BudgetDetails[[#This Row],[Discount]]))*(1+BudgetDetails[[#This Row],[Markup]])+BudgetDetails[[#This Row],[Installation]]</f>
        <v>0</v>
      </c>
      <c r="G27" s="19" t="e">
        <f>BudgetDetails[[#This Row],[Sale Price]]/'Budget Report'!B11</f>
        <v>#DIV/0!</v>
      </c>
      <c r="H27" s="20" t="e">
        <f>BudgetDetails[$/sf]/SUM(G:G)</f>
        <v>#DIV/0!</v>
      </c>
    </row>
    <row r="28" spans="1:8" ht="16">
      <c r="A28" s="17"/>
      <c r="B28" s="42"/>
      <c r="C28" s="41"/>
      <c r="D28" s="18"/>
      <c r="E28" s="39"/>
      <c r="F28" s="41">
        <f>(BudgetDetails[[#This Row],[List Price]]*(1-BudgetDetails[[#This Row],[Discount]]))*(1+BudgetDetails[[#This Row],[Markup]])+BudgetDetails[[#This Row],[Installation]]</f>
        <v>0</v>
      </c>
      <c r="G28" s="19" t="e">
        <f>BudgetDetails[[#This Row],[Sale Price]]/'Budget Report'!B11</f>
        <v>#DIV/0!</v>
      </c>
      <c r="H28" s="20" t="e">
        <f>BudgetDetails[$/sf]/SUM(G:G)</f>
        <v>#DIV/0!</v>
      </c>
    </row>
    <row r="29" spans="1:8" ht="16">
      <c r="A29" s="17"/>
      <c r="B29" s="42"/>
      <c r="C29" s="41"/>
      <c r="D29" s="18"/>
      <c r="E29" s="39"/>
      <c r="F29" s="41">
        <f>(BudgetDetails[[#This Row],[List Price]]*(1-BudgetDetails[[#This Row],[Discount]]))*(1+BudgetDetails[[#This Row],[Markup]])+BudgetDetails[[#This Row],[Installation]]</f>
        <v>0</v>
      </c>
      <c r="G29" s="19" t="e">
        <f>BudgetDetails[[#This Row],[Sale Price]]/'Budget Report'!B11</f>
        <v>#DIV/0!</v>
      </c>
      <c r="H29" s="20" t="e">
        <f>BudgetDetails[$/sf]/SUM(G:G)</f>
        <v>#DIV/0!</v>
      </c>
    </row>
    <row r="30" spans="1:8" ht="16">
      <c r="A30" s="17"/>
      <c r="B30" s="42"/>
      <c r="C30" s="41"/>
      <c r="D30" s="18"/>
      <c r="E30" s="39"/>
      <c r="F30" s="41">
        <f>(BudgetDetails[[#This Row],[List Price]]*(1-BudgetDetails[[#This Row],[Discount]]))*(1+BudgetDetails[[#This Row],[Markup]])+BudgetDetails[[#This Row],[Installation]]</f>
        <v>0</v>
      </c>
      <c r="G30" s="19" t="e">
        <f>BudgetDetails[[#This Row],[Sale Price]]/'Budget Report'!B11</f>
        <v>#DIV/0!</v>
      </c>
      <c r="H30" s="20" t="e">
        <f>BudgetDetails[$/sf]/SUM(G:G)</f>
        <v>#DIV/0!</v>
      </c>
    </row>
    <row r="31" spans="1:8" ht="16">
      <c r="A31" s="17"/>
      <c r="B31" s="42"/>
      <c r="C31" s="41"/>
      <c r="D31" s="18"/>
      <c r="E31" s="39"/>
      <c r="F31" s="41">
        <f>(BudgetDetails[[#This Row],[List Price]]*(1-BudgetDetails[[#This Row],[Discount]]))*(1+BudgetDetails[[#This Row],[Markup]])+BudgetDetails[[#This Row],[Installation]]</f>
        <v>0</v>
      </c>
      <c r="G31" s="19" t="e">
        <f>BudgetDetails[[#This Row],[Sale Price]]/'Budget Report'!B11</f>
        <v>#DIV/0!</v>
      </c>
      <c r="H31" s="20" t="e">
        <f>BudgetDetails[$/sf]/SUM(G:G)</f>
        <v>#DIV/0!</v>
      </c>
    </row>
    <row r="32" spans="1:8" ht="16">
      <c r="A32" s="17"/>
      <c r="B32" s="42"/>
      <c r="C32" s="41"/>
      <c r="D32" s="18"/>
      <c r="E32" s="39"/>
      <c r="F32" s="41">
        <f>(BudgetDetails[[#This Row],[List Price]]*(1-BudgetDetails[[#This Row],[Discount]]))*(1+BudgetDetails[[#This Row],[Markup]])+BudgetDetails[[#This Row],[Installation]]</f>
        <v>0</v>
      </c>
      <c r="G32" s="19" t="e">
        <f>BudgetDetails[[#This Row],[Sale Price]]/'Budget Report'!B11</f>
        <v>#DIV/0!</v>
      </c>
      <c r="H32" s="20" t="e">
        <f>BudgetDetails[$/sf]/SUM(G:G)</f>
        <v>#DIV/0!</v>
      </c>
    </row>
  </sheetData>
  <phoneticPr fontId="2" type="noConversion"/>
  <dataValidations count="1">
    <dataValidation type="list" allowBlank="1" showInputMessage="1" showErrorMessage="1" errorTitle="Invalid Data" error="If you need to add a new category to this list, you can add new list items to the Budget Category Lookup column on the worksheet named Lookup Lists." sqref="A2:A32">
      <formula1>BudgetCategory</formula1>
    </dataValidation>
  </dataValidations>
  <pageMargins left="0.5" right="0.5" top="0.75" bottom="0.75" header="0.3" footer="0.3"/>
  <pageSetup orientation="portrait" horizontalDpi="4294967292" verticalDpi="4294967292"/>
  <headerFooter>
    <oddHeader>&amp;L&amp;"-,Bold"&amp;16&amp;K01+024Monthly Budget - Detail&amp;R&amp;"-,Bold"&amp;K01+024&amp;D
Page &amp;P of &amp;N</oddHead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F2FB7FF4-1734-4CDA-9347-1DD0CA5DB73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F2:H32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showGridLines="0" workbookViewId="0">
      <selection activeCell="A38" sqref="A38"/>
    </sheetView>
  </sheetViews>
  <sheetFormatPr baseColWidth="10" defaultColWidth="8.83203125" defaultRowHeight="15" x14ac:dyDescent="0"/>
  <cols>
    <col min="1" max="1" width="40.6640625" style="3" customWidth="1"/>
    <col min="2" max="16384" width="8.83203125" style="3"/>
  </cols>
  <sheetData>
    <row r="1" spans="1:1">
      <c r="A1" s="3" t="s">
        <v>1</v>
      </c>
    </row>
    <row r="2" spans="1:1" ht="16">
      <c r="A2" s="12" t="s">
        <v>9</v>
      </c>
    </row>
    <row r="3" spans="1:1" ht="16">
      <c r="A3" s="12" t="s">
        <v>8</v>
      </c>
    </row>
    <row r="4" spans="1:1" ht="16">
      <c r="A4" s="12" t="s">
        <v>17</v>
      </c>
    </row>
    <row r="5" spans="1:1" ht="16">
      <c r="A5" s="12" t="s">
        <v>28</v>
      </c>
    </row>
    <row r="6" spans="1:1" ht="16">
      <c r="A6" s="12" t="s">
        <v>5</v>
      </c>
    </row>
    <row r="7" spans="1:1" ht="16">
      <c r="A7" s="12" t="s">
        <v>3</v>
      </c>
    </row>
    <row r="8" spans="1:1" ht="16">
      <c r="A8" s="12" t="s">
        <v>6</v>
      </c>
    </row>
    <row r="9" spans="1:1" ht="16">
      <c r="A9" s="12" t="s">
        <v>2</v>
      </c>
    </row>
    <row r="10" spans="1:1" ht="16">
      <c r="A10" s="12" t="s">
        <v>4</v>
      </c>
    </row>
    <row r="11" spans="1:1" ht="16">
      <c r="A11" s="12" t="s">
        <v>7</v>
      </c>
    </row>
    <row r="12" spans="1:1" ht="16">
      <c r="A12" s="12"/>
    </row>
    <row r="13" spans="1:1" ht="16">
      <c r="A13" s="12"/>
    </row>
    <row r="14" spans="1:1" ht="16">
      <c r="A14" s="12"/>
    </row>
    <row r="15" spans="1:1" ht="16">
      <c r="A15" s="12"/>
    </row>
    <row r="16" spans="1:1" ht="16">
      <c r="A16" s="12"/>
    </row>
    <row r="17" spans="1:1" ht="16">
      <c r="A17" s="12"/>
    </row>
    <row r="18" spans="1:1" ht="16">
      <c r="A18" s="12"/>
    </row>
    <row r="19" spans="1:1" ht="16">
      <c r="A19" s="12"/>
    </row>
    <row r="20" spans="1:1" ht="16">
      <c r="A20" s="12"/>
    </row>
    <row r="21" spans="1:1" ht="16">
      <c r="A21" s="12"/>
    </row>
    <row r="22" spans="1:1" ht="16">
      <c r="A22" s="12"/>
    </row>
    <row r="23" spans="1:1" ht="16">
      <c r="A23" s="13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Report</vt:lpstr>
      <vt:lpstr>Budget Details</vt:lpstr>
      <vt:lpstr>Lookup Lists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 Bassil</cp:lastModifiedBy>
  <cp:lastPrinted>2012-02-19T00:30:34Z</cp:lastPrinted>
  <dcterms:created xsi:type="dcterms:W3CDTF">2010-03-18T14:33:29Z</dcterms:created>
  <dcterms:modified xsi:type="dcterms:W3CDTF">2012-03-01T20:31:05Z</dcterms:modified>
  <cp:category/>
</cp:coreProperties>
</file>