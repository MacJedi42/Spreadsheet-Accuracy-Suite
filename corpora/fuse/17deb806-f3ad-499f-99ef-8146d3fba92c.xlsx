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I14" i="1" l="1"/>
  <c r="I15" i="1"/>
  <c r="I16" i="1"/>
  <c r="I17" i="1"/>
  <c r="I18" i="1"/>
  <c r="I19" i="1"/>
  <c r="I20" i="1"/>
  <c r="I21" i="1"/>
  <c r="H18" i="1"/>
  <c r="H19" i="1"/>
  <c r="H20" i="1"/>
  <c r="H14" i="1"/>
  <c r="I11" i="1" l="1"/>
  <c r="I10" i="1"/>
  <c r="I9" i="1"/>
  <c r="I8" i="1"/>
  <c r="I12" i="1"/>
  <c r="I22" i="1"/>
  <c r="I13" i="1"/>
  <c r="H17" i="1"/>
  <c r="H16" i="1"/>
  <c r="H22" i="1"/>
  <c r="H21" i="1"/>
  <c r="H15" i="1"/>
  <c r="H13" i="1"/>
  <c r="H12" i="1"/>
  <c r="H11" i="1"/>
  <c r="H10" i="1"/>
  <c r="H8" i="1"/>
  <c r="H9" i="1"/>
  <c r="I23" i="1" l="1"/>
  <c r="I24" i="1" s="1"/>
  <c r="I28" i="1" s="1"/>
  <c r="H23" i="1"/>
</calcChain>
</file>

<file path=xl/sharedStrings.xml><?xml version="1.0" encoding="utf-8"?>
<sst xmlns="http://schemas.openxmlformats.org/spreadsheetml/2006/main" count="33" uniqueCount="32">
  <si>
    <t>Inventory Managemnet</t>
  </si>
  <si>
    <t>Name</t>
  </si>
  <si>
    <t>Date</t>
  </si>
  <si>
    <t>MILITARY</t>
  </si>
  <si>
    <t xml:space="preserve">SWEET AND SAVORY </t>
  </si>
  <si>
    <t>CHEESE LOVERS</t>
  </si>
  <si>
    <t>WHITE CHOCOLATEY PRETZELS</t>
  </si>
  <si>
    <t>CARAMEL CORN WITH NUTS</t>
  </si>
  <si>
    <t>CARMEL CORN</t>
  </si>
  <si>
    <t>POPPING CORN</t>
  </si>
  <si>
    <t>UNBELIEVABLE BUTTER</t>
  </si>
  <si>
    <t>BUTTER LIGHT</t>
  </si>
  <si>
    <t>TOTAL CASES</t>
  </si>
  <si>
    <t>TOTAL SOLD</t>
  </si>
  <si>
    <t>MONEY OWED</t>
  </si>
  <si>
    <t>PRODUCT PER CASE</t>
  </si>
  <si>
    <t>COST</t>
  </si>
  <si>
    <t>TOTAL OWED</t>
  </si>
  <si>
    <t>Funds Collected Previously</t>
  </si>
  <si>
    <t>PAID BY CHECK</t>
  </si>
  <si>
    <t>PAID CASH</t>
  </si>
  <si>
    <t>TOTAL DUE</t>
  </si>
  <si>
    <t>Parent Signature</t>
  </si>
  <si>
    <t>TOTAL CONTAINERS</t>
  </si>
  <si>
    <t>RETURN CONTAINERS</t>
  </si>
  <si>
    <t>RETURN CASES</t>
  </si>
  <si>
    <t>Kernel Signature</t>
  </si>
  <si>
    <t>CHOCOLATE LOVERS (Tin)</t>
  </si>
  <si>
    <t>CHOCOLATE DRIZZLE</t>
  </si>
  <si>
    <t>BUFFALO CHEDDAR</t>
  </si>
  <si>
    <t>BACON RANCH</t>
  </si>
  <si>
    <t>PREPOPPED KETTLE 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</si>
</sst>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44" fontId="0" fillId="0" borderId="1" xfId="0" applyNumberFormat="1" applyBorder="1"/>
    <xf numFmtId="0" fontId="0" fillId="0" borderId="0" xfId="0" applyBorder="1"/>
    <xf numFmtId="0" fontId="0" fillId="6" borderId="1" xfId="0" applyFill="1" applyBorder="1"/>
    <xf numFmtId="6" fontId="0" fillId="6" borderId="1" xfId="0" applyNumberFormat="1" applyFill="1" applyBorder="1"/>
    <xf numFmtId="0" fontId="1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2" xfId="0" applyBorder="1" applyAlignme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C18" sqref="C18"/>
    </sheetView>
  </sheetViews>
  <sheetFormatPr defaultRowHeight="15" x14ac:dyDescent="0.25"/>
  <cols>
    <col min="1" max="1" width="28.28515625" bestFit="1" customWidth="1"/>
    <col min="2" max="2" width="10.140625" customWidth="1"/>
    <col min="3" max="3" width="9.42578125" customWidth="1"/>
    <col min="4" max="4" width="12.42578125" bestFit="1" customWidth="1"/>
    <col min="5" max="5" width="8.7109375" customWidth="1"/>
    <col min="6" max="6" width="12.140625" customWidth="1"/>
    <col min="7" max="7" width="9.7109375" customWidth="1"/>
    <col min="8" max="8" width="11.5703125" bestFit="1" customWidth="1"/>
    <col min="9" max="9" width="14.140625" bestFit="1" customWidth="1"/>
    <col min="10" max="10" width="10.28515625" customWidth="1"/>
    <col min="11" max="11" width="11.42578125" customWidth="1"/>
    <col min="12" max="12" width="14.28515625" customWidth="1"/>
  </cols>
  <sheetData>
    <row r="1" spans="1:9" ht="46.5" x14ac:dyDescent="0.7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3" spans="1:9" ht="30" customHeight="1" x14ac:dyDescent="0.25">
      <c r="A3" s="10" t="s">
        <v>1</v>
      </c>
      <c r="B3" s="15"/>
      <c r="C3" s="15"/>
      <c r="D3" s="15"/>
      <c r="E3" s="15"/>
      <c r="F3" s="15"/>
    </row>
    <row r="4" spans="1:9" ht="23.25" customHeight="1" x14ac:dyDescent="0.25">
      <c r="A4" s="10" t="s">
        <v>2</v>
      </c>
    </row>
    <row r="6" spans="1:9" ht="15" customHeight="1" x14ac:dyDescent="0.25">
      <c r="B6" s="17" t="s">
        <v>15</v>
      </c>
      <c r="C6" s="17" t="s">
        <v>16</v>
      </c>
      <c r="D6" s="17" t="s">
        <v>12</v>
      </c>
      <c r="E6" s="17" t="s">
        <v>25</v>
      </c>
      <c r="F6" s="20" t="s">
        <v>23</v>
      </c>
      <c r="G6" s="11" t="s">
        <v>24</v>
      </c>
      <c r="H6" s="12" t="s">
        <v>13</v>
      </c>
      <c r="I6" s="12" t="s">
        <v>14</v>
      </c>
    </row>
    <row r="7" spans="1:9" x14ac:dyDescent="0.25">
      <c r="B7" s="17"/>
      <c r="C7" s="17"/>
      <c r="D7" s="17"/>
      <c r="E7" s="17"/>
      <c r="F7" s="20"/>
      <c r="G7" s="11"/>
      <c r="H7" s="12"/>
      <c r="I7" s="12"/>
    </row>
    <row r="8" spans="1:9" x14ac:dyDescent="0.25">
      <c r="A8" t="s">
        <v>3</v>
      </c>
      <c r="B8" s="1">
        <v>0</v>
      </c>
      <c r="C8" s="6">
        <v>50</v>
      </c>
      <c r="D8" s="2"/>
      <c r="E8" s="2"/>
      <c r="F8" s="8"/>
      <c r="G8" s="8"/>
      <c r="H8" s="4">
        <f>D8-E8+F8-G8</f>
        <v>0</v>
      </c>
      <c r="I8" s="6">
        <f t="shared" ref="I8:I11" si="0">D8*C8-E8*C8</f>
        <v>0</v>
      </c>
    </row>
    <row r="9" spans="1:9" x14ac:dyDescent="0.25">
      <c r="A9" t="s">
        <v>3</v>
      </c>
      <c r="B9" s="1">
        <v>0</v>
      </c>
      <c r="C9" s="6">
        <v>30</v>
      </c>
      <c r="D9" s="2"/>
      <c r="E9" s="2"/>
      <c r="F9" s="9"/>
      <c r="G9" s="8"/>
      <c r="H9" s="4">
        <f>D9-E9+F9-G9</f>
        <v>0</v>
      </c>
      <c r="I9" s="6">
        <f t="shared" si="0"/>
        <v>0</v>
      </c>
    </row>
    <row r="10" spans="1:9" x14ac:dyDescent="0.25">
      <c r="A10" t="s">
        <v>27</v>
      </c>
      <c r="B10" s="1">
        <v>1</v>
      </c>
      <c r="C10" s="6">
        <v>55</v>
      </c>
      <c r="D10" s="2"/>
      <c r="E10" s="2"/>
      <c r="F10" s="8"/>
      <c r="G10" s="8"/>
      <c r="H10" s="4">
        <f t="shared" ref="H10:H22" si="1">D10-E10+F10-G10</f>
        <v>0</v>
      </c>
      <c r="I10" s="6">
        <f t="shared" si="0"/>
        <v>0</v>
      </c>
    </row>
    <row r="11" spans="1:9" x14ac:dyDescent="0.25">
      <c r="A11" t="s">
        <v>4</v>
      </c>
      <c r="B11" s="1">
        <v>1</v>
      </c>
      <c r="C11" s="6">
        <v>40</v>
      </c>
      <c r="D11" s="2"/>
      <c r="E11" s="2"/>
      <c r="F11" s="8"/>
      <c r="G11" s="8"/>
      <c r="H11" s="4">
        <f t="shared" si="1"/>
        <v>0</v>
      </c>
      <c r="I11" s="6">
        <f t="shared" si="0"/>
        <v>0</v>
      </c>
    </row>
    <row r="12" spans="1:9" x14ac:dyDescent="0.25">
      <c r="A12" t="s">
        <v>5</v>
      </c>
      <c r="B12" s="1">
        <v>1</v>
      </c>
      <c r="C12" s="6">
        <v>30</v>
      </c>
      <c r="D12" s="2"/>
      <c r="E12" s="2"/>
      <c r="F12" s="8"/>
      <c r="G12" s="8"/>
      <c r="H12" s="4">
        <f t="shared" si="1"/>
        <v>0</v>
      </c>
      <c r="I12" s="6">
        <f>D12*C12-E12*C12</f>
        <v>0</v>
      </c>
    </row>
    <row r="13" spans="1:9" x14ac:dyDescent="0.25">
      <c r="A13" t="s">
        <v>6</v>
      </c>
      <c r="B13" s="1">
        <v>8</v>
      </c>
      <c r="C13" s="6">
        <v>25</v>
      </c>
      <c r="D13" s="1"/>
      <c r="E13" s="1"/>
      <c r="F13" s="3"/>
      <c r="G13" s="5"/>
      <c r="H13" s="4">
        <f t="shared" si="1"/>
        <v>0</v>
      </c>
      <c r="I13" s="6">
        <f>D13*B13*C13-E13*B13*C13+F13*C13-G139</f>
        <v>0</v>
      </c>
    </row>
    <row r="14" spans="1:9" x14ac:dyDescent="0.25">
      <c r="A14" t="s">
        <v>28</v>
      </c>
      <c r="B14" s="1">
        <v>8</v>
      </c>
      <c r="C14" s="6">
        <v>20</v>
      </c>
      <c r="D14" s="1"/>
      <c r="E14" s="1"/>
      <c r="F14" s="3"/>
      <c r="G14" s="5"/>
      <c r="H14" s="4">
        <f t="shared" si="1"/>
        <v>0</v>
      </c>
      <c r="I14" s="6">
        <f t="shared" ref="I14:I21" si="2">D14*B14*C14-E14*B14*C14+F14*C14-G140</f>
        <v>0</v>
      </c>
    </row>
    <row r="15" spans="1:9" x14ac:dyDescent="0.25">
      <c r="A15" t="s">
        <v>7</v>
      </c>
      <c r="B15" s="1">
        <v>8</v>
      </c>
      <c r="C15" s="6">
        <v>20</v>
      </c>
      <c r="D15" s="1"/>
      <c r="E15" s="1"/>
      <c r="F15" s="3"/>
      <c r="G15" s="5"/>
      <c r="H15" s="4">
        <f t="shared" si="1"/>
        <v>0</v>
      </c>
      <c r="I15" s="6">
        <f t="shared" si="2"/>
        <v>0</v>
      </c>
    </row>
    <row r="16" spans="1:9" x14ac:dyDescent="0.25">
      <c r="A16" t="s">
        <v>10</v>
      </c>
      <c r="B16" s="1">
        <v>6</v>
      </c>
      <c r="C16" s="6">
        <v>20</v>
      </c>
      <c r="D16" s="1"/>
      <c r="E16" s="1"/>
      <c r="F16" s="3"/>
      <c r="G16" s="5"/>
      <c r="H16" s="4">
        <f>D16-E16+F16-G16</f>
        <v>0</v>
      </c>
      <c r="I16" s="6">
        <f t="shared" si="2"/>
        <v>0</v>
      </c>
    </row>
    <row r="17" spans="1:9" x14ac:dyDescent="0.25">
      <c r="A17" t="s">
        <v>11</v>
      </c>
      <c r="B17" s="1">
        <v>6</v>
      </c>
      <c r="C17" s="6">
        <v>20</v>
      </c>
      <c r="D17" s="1"/>
      <c r="E17" s="1"/>
      <c r="F17" s="3"/>
      <c r="G17" s="5"/>
      <c r="H17" s="4">
        <f>D17-E17+F17-G17</f>
        <v>0</v>
      </c>
      <c r="I17" s="6">
        <f t="shared" si="2"/>
        <v>0</v>
      </c>
    </row>
    <row r="18" spans="1:9" x14ac:dyDescent="0.25">
      <c r="A18" t="s">
        <v>29</v>
      </c>
      <c r="B18" s="1">
        <v>8</v>
      </c>
      <c r="C18" s="6">
        <v>15</v>
      </c>
      <c r="D18" s="1"/>
      <c r="E18" s="1"/>
      <c r="F18" s="3"/>
      <c r="G18" s="5"/>
      <c r="H18" s="4">
        <f t="shared" ref="H18:H20" si="3">D18-E18+F18-G18</f>
        <v>0</v>
      </c>
      <c r="I18" s="6">
        <f t="shared" si="2"/>
        <v>0</v>
      </c>
    </row>
    <row r="19" spans="1:9" x14ac:dyDescent="0.25">
      <c r="A19" t="s">
        <v>30</v>
      </c>
      <c r="B19" s="1">
        <v>8</v>
      </c>
      <c r="C19" s="6">
        <v>15</v>
      </c>
      <c r="D19" s="1"/>
      <c r="E19" s="1"/>
      <c r="F19" s="3"/>
      <c r="G19" s="5"/>
      <c r="H19" s="4">
        <f t="shared" si="3"/>
        <v>0</v>
      </c>
      <c r="I19" s="6">
        <f t="shared" si="2"/>
        <v>0</v>
      </c>
    </row>
    <row r="20" spans="1:9" x14ac:dyDescent="0.25">
      <c r="A20" t="s">
        <v>31</v>
      </c>
      <c r="B20" s="1">
        <v>8</v>
      </c>
      <c r="C20" s="6">
        <v>15</v>
      </c>
      <c r="D20" s="1"/>
      <c r="E20" s="1"/>
      <c r="F20" s="3"/>
      <c r="G20" s="5"/>
      <c r="H20" s="4">
        <f t="shared" si="3"/>
        <v>0</v>
      </c>
      <c r="I20" s="6">
        <f t="shared" si="2"/>
        <v>0</v>
      </c>
    </row>
    <row r="21" spans="1:9" x14ac:dyDescent="0.25">
      <c r="A21" t="s">
        <v>8</v>
      </c>
      <c r="B21" s="1">
        <v>12</v>
      </c>
      <c r="C21" s="6">
        <v>10</v>
      </c>
      <c r="D21" s="1"/>
      <c r="E21" s="1"/>
      <c r="F21" s="3"/>
      <c r="G21" s="5"/>
      <c r="H21" s="4">
        <f t="shared" si="1"/>
        <v>0</v>
      </c>
      <c r="I21" s="6">
        <f t="shared" si="2"/>
        <v>0</v>
      </c>
    </row>
    <row r="22" spans="1:9" x14ac:dyDescent="0.25">
      <c r="A22" t="s">
        <v>9</v>
      </c>
      <c r="B22" s="1">
        <v>12</v>
      </c>
      <c r="C22" s="6">
        <v>10</v>
      </c>
      <c r="D22" s="1"/>
      <c r="E22" s="1"/>
      <c r="F22" s="3"/>
      <c r="G22" s="5"/>
      <c r="H22" s="4">
        <f t="shared" si="1"/>
        <v>0</v>
      </c>
      <c r="I22" s="6">
        <f>D22*B22*C22-E22*B22*C22+F22*C22-G144</f>
        <v>0</v>
      </c>
    </row>
    <row r="23" spans="1:9" x14ac:dyDescent="0.25">
      <c r="G23" s="7"/>
      <c r="H23" s="4">
        <f>SUM(H8:H22)</f>
        <v>0</v>
      </c>
      <c r="I23" s="6">
        <f>SUM(I8:I22)</f>
        <v>0</v>
      </c>
    </row>
    <row r="24" spans="1:9" x14ac:dyDescent="0.25">
      <c r="G24" s="18" t="s">
        <v>17</v>
      </c>
      <c r="H24" s="14"/>
      <c r="I24" s="6">
        <f>I23</f>
        <v>0</v>
      </c>
    </row>
    <row r="25" spans="1:9" x14ac:dyDescent="0.25">
      <c r="A25" s="10" t="s">
        <v>26</v>
      </c>
      <c r="B25" s="15"/>
      <c r="C25" s="15"/>
      <c r="D25" s="15"/>
      <c r="E25" s="15"/>
      <c r="F25" s="15"/>
      <c r="G25" s="19" t="s">
        <v>18</v>
      </c>
      <c r="H25" s="14"/>
      <c r="I25" s="6">
        <v>0</v>
      </c>
    </row>
    <row r="26" spans="1:9" x14ac:dyDescent="0.25">
      <c r="G26" s="13" t="s">
        <v>19</v>
      </c>
      <c r="H26" s="14"/>
      <c r="I26" s="6">
        <v>0</v>
      </c>
    </row>
    <row r="27" spans="1:9" x14ac:dyDescent="0.25">
      <c r="A27" s="10" t="s">
        <v>22</v>
      </c>
      <c r="B27" s="15"/>
      <c r="C27" s="15"/>
      <c r="D27" s="15"/>
      <c r="E27" s="15"/>
      <c r="F27" s="15"/>
      <c r="G27" s="13" t="s">
        <v>20</v>
      </c>
      <c r="H27" s="14"/>
      <c r="I27" s="6">
        <v>0</v>
      </c>
    </row>
    <row r="28" spans="1:9" x14ac:dyDescent="0.25">
      <c r="G28" s="13" t="s">
        <v>21</v>
      </c>
      <c r="H28" s="14"/>
      <c r="I28" s="6">
        <f>SUM(I25:I27)-I24</f>
        <v>0</v>
      </c>
    </row>
    <row r="29" spans="1:9" ht="24.75" customHeight="1" x14ac:dyDescent="0.25"/>
    <row r="30" spans="1:9" ht="29.25" customHeight="1" x14ac:dyDescent="0.25"/>
    <row r="31" spans="1:9" ht="21" customHeight="1" x14ac:dyDescent="0.25"/>
    <row r="32" spans="1:9" ht="24.75" customHeight="1" x14ac:dyDescent="0.25"/>
    <row r="33" ht="22.5" customHeight="1" x14ac:dyDescent="0.25"/>
  </sheetData>
  <mergeCells count="17">
    <mergeCell ref="F6:F7"/>
    <mergeCell ref="G6:G7"/>
    <mergeCell ref="H6:H7"/>
    <mergeCell ref="G28:H28"/>
    <mergeCell ref="B3:F3"/>
    <mergeCell ref="A1:I1"/>
    <mergeCell ref="B25:F25"/>
    <mergeCell ref="B27:F27"/>
    <mergeCell ref="E6:E7"/>
    <mergeCell ref="G24:H24"/>
    <mergeCell ref="G25:H25"/>
    <mergeCell ref="G26:H26"/>
    <mergeCell ref="G27:H27"/>
    <mergeCell ref="I6:I7"/>
    <mergeCell ref="B6:B7"/>
    <mergeCell ref="C6:C7"/>
    <mergeCell ref="D6:D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Crossroads of America Council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Lemieux</dc:creator>
  <cp:lastModifiedBy>Josh Lemieux</cp:lastModifiedBy>
  <dcterms:created xsi:type="dcterms:W3CDTF">2012-09-14T19:25:02Z</dcterms:created>
  <dcterms:modified xsi:type="dcterms:W3CDTF">2013-05-13T14:51:20Z</dcterms:modified>
</cp:coreProperties>
</file>