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1" i="1" l="1"/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<sst xmlns="http://schemas.openxmlformats.org/spreadsheetml/2006/main" count="62" uniqueCount="32">
  <si>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</si>
  <si>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</si>
  <si>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</si>
  <si>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</si>
  <si>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</si>
  <si>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</si>
  <si>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</si>
  <si>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</si>
  <si>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</si>
  <si>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</si>
  <si>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</si>
  <si>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</si>
  <si>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</si>
  <si>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</si>
  <si>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</si>
  <si>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</si>
  <si>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</si>
  <si>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</si>
  <si>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</si>
  <si>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</si>
  <si>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</si>
  <si>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</si>
  <si>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</si>
  <si>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</si>
  <si>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</si>
  <si>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</si>
  <si>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</si>
  <si>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</si>
  <si>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</si>
  <si>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</si>
  <si>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</si>
  <si>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ONLINE UG SUCCESS RATE (DEV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</si>
</sst>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NumberFormat="1"/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0" fillId="0" borderId="0" xfId="117" applyNumberFormat="1" applyFont="1"/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P22" sqref="P2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4" max="14" width="10.140625" bestFit="1" customWidth="1"/>
  </cols>
  <sheetData>
    <row r="1" spans="1:25" ht="15.75" customHeight="1" thickBot="1" x14ac:dyDescent="0.3">
      <c r="A1" s="36" t="s">
        <v>0</v>
      </c>
      <c r="B1" s="38" t="s">
        <v>31</v>
      </c>
      <c r="C1" s="38"/>
      <c r="D1" s="39"/>
      <c r="E1" s="39"/>
      <c r="F1" s="39"/>
      <c r="G1" s="39"/>
      <c r="H1" s="39"/>
      <c r="I1" s="39"/>
      <c r="J1" s="38"/>
      <c r="K1" s="38"/>
    </row>
    <row r="2" spans="1:25" ht="15" customHeight="1" x14ac:dyDescent="0.25">
      <c r="A2" s="37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</row>
    <row r="3" spans="1:25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52"/>
      <c r="N3" s="47"/>
      <c r="O3" s="47"/>
      <c r="P3" s="47"/>
      <c r="Q3" s="47"/>
      <c r="S3" s="47"/>
      <c r="U3" s="47"/>
      <c r="W3" s="47"/>
      <c r="X3" s="47"/>
      <c r="Y3" s="47"/>
    </row>
    <row r="4" spans="1:25" ht="15.75" customHeight="1" x14ac:dyDescent="0.25">
      <c r="A4" s="26" t="s">
        <v>3</v>
      </c>
      <c r="B4" s="13">
        <v>405</v>
      </c>
      <c r="C4" s="31">
        <v>0.40740740740740738</v>
      </c>
      <c r="D4" s="13">
        <v>409</v>
      </c>
      <c r="E4" s="31">
        <v>0.5012224938875306</v>
      </c>
      <c r="F4" s="13">
        <v>489</v>
      </c>
      <c r="G4" s="31">
        <v>0.40081799591002043</v>
      </c>
      <c r="H4" s="13">
        <v>503</v>
      </c>
      <c r="I4" s="31">
        <v>0.49701789264413521</v>
      </c>
      <c r="J4" s="13">
        <v>501</v>
      </c>
      <c r="K4" s="31">
        <v>0.42315369261477048</v>
      </c>
      <c r="M4" s="48"/>
      <c r="N4" s="55"/>
      <c r="O4" s="47"/>
      <c r="P4" s="55"/>
      <c r="Q4" s="47"/>
      <c r="R4" s="55"/>
      <c r="S4" s="47"/>
      <c r="T4" s="55"/>
      <c r="U4" s="47"/>
      <c r="V4" s="55"/>
      <c r="W4" s="47"/>
      <c r="X4" s="47"/>
      <c r="Y4" s="54"/>
    </row>
    <row r="5" spans="1:25" x14ac:dyDescent="0.25">
      <c r="A5" s="26" t="s">
        <v>4</v>
      </c>
      <c r="B5" s="13">
        <v>123</v>
      </c>
      <c r="C5" s="31">
        <v>0.35772357723577236</v>
      </c>
      <c r="D5" s="13">
        <v>110</v>
      </c>
      <c r="E5" s="31">
        <v>0.52727272727272723</v>
      </c>
      <c r="F5" s="13">
        <v>195</v>
      </c>
      <c r="G5" s="31">
        <v>0.38974358974358975</v>
      </c>
      <c r="H5" s="13">
        <v>213</v>
      </c>
      <c r="I5" s="31">
        <v>0.53051643192488263</v>
      </c>
      <c r="J5" s="13">
        <v>212</v>
      </c>
      <c r="K5" s="31">
        <v>0.42924528301886794</v>
      </c>
      <c r="M5" s="48"/>
      <c r="N5" s="55"/>
      <c r="O5" s="47"/>
      <c r="P5" s="55"/>
      <c r="Q5" s="47"/>
      <c r="R5" s="55"/>
      <c r="S5" s="47"/>
      <c r="T5" s="55"/>
      <c r="U5" s="47"/>
      <c r="V5" s="55"/>
      <c r="W5" s="47"/>
      <c r="X5" s="47"/>
      <c r="Y5" s="54"/>
    </row>
    <row r="6" spans="1:25" x14ac:dyDescent="0.25">
      <c r="A6" s="26" t="s">
        <v>5</v>
      </c>
      <c r="B6" s="13">
        <v>5</v>
      </c>
      <c r="C6" s="31">
        <v>0.4</v>
      </c>
      <c r="D6" s="13">
        <v>10</v>
      </c>
      <c r="E6" s="31">
        <v>0.6</v>
      </c>
      <c r="F6" s="13">
        <v>7</v>
      </c>
      <c r="G6" s="31">
        <v>0.2857142857142857</v>
      </c>
      <c r="H6" s="13">
        <v>5</v>
      </c>
      <c r="I6" s="31">
        <v>0.2</v>
      </c>
      <c r="J6" s="13">
        <v>4</v>
      </c>
      <c r="K6" s="31">
        <v>0.75</v>
      </c>
      <c r="M6" s="48"/>
      <c r="N6" s="55"/>
      <c r="O6" s="47"/>
      <c r="P6" s="55"/>
      <c r="Q6" s="47"/>
      <c r="R6" s="55"/>
      <c r="S6" s="47"/>
      <c r="T6" s="55"/>
      <c r="U6" s="47"/>
      <c r="V6" s="55"/>
      <c r="W6" s="47"/>
      <c r="X6" s="47"/>
      <c r="Y6" s="54"/>
    </row>
    <row r="7" spans="1:25" x14ac:dyDescent="0.25">
      <c r="A7" s="11" t="s">
        <v>23</v>
      </c>
      <c r="B7" s="13">
        <v>533</v>
      </c>
      <c r="C7" s="31">
        <v>0.39587242026266417</v>
      </c>
      <c r="D7" s="13">
        <v>529</v>
      </c>
      <c r="E7" s="31">
        <v>0.50850661625708882</v>
      </c>
      <c r="F7" s="13">
        <v>691</v>
      </c>
      <c r="G7" s="31">
        <v>0.39652677279305354</v>
      </c>
      <c r="H7" s="13">
        <v>721</v>
      </c>
      <c r="I7" s="31">
        <v>0.50485436893203883</v>
      </c>
      <c r="J7" s="13">
        <v>717</v>
      </c>
      <c r="K7" s="31">
        <v>0.42677824267782427</v>
      </c>
      <c r="M7" s="48"/>
      <c r="N7" s="55"/>
      <c r="O7" s="47"/>
      <c r="P7" s="55"/>
      <c r="Q7" s="47"/>
      <c r="R7" s="55"/>
      <c r="S7" s="47"/>
      <c r="T7" s="55"/>
      <c r="U7" s="47"/>
      <c r="V7" s="55"/>
      <c r="W7" s="47"/>
      <c r="X7" s="47"/>
      <c r="Y7" s="54"/>
    </row>
    <row r="8" spans="1:25" ht="15.75" thickBot="1" x14ac:dyDescent="0.3">
      <c r="A8" s="12"/>
      <c r="B8" s="44" t="str">
        <f>B2</f>
        <v>AY07-08</v>
      </c>
      <c r="C8" s="45"/>
      <c r="D8" s="44" t="str">
        <f t="shared" ref="D8" si="0">D2</f>
        <v>AY08-09</v>
      </c>
      <c r="E8" s="45"/>
      <c r="F8" s="44" t="str">
        <f t="shared" ref="F8" si="1">F2</f>
        <v>AY09-10</v>
      </c>
      <c r="G8" s="45"/>
      <c r="H8" s="44" t="str">
        <f t="shared" ref="H8" si="2">H2</f>
        <v>AY10-11</v>
      </c>
      <c r="I8" s="45"/>
      <c r="J8" s="44" t="str">
        <f t="shared" ref="J8" si="3">J2</f>
        <v>AY11-12</v>
      </c>
      <c r="K8" s="45"/>
    </row>
    <row r="9" spans="1:25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  <c r="M9" s="33"/>
    </row>
    <row r="10" spans="1:25" x14ac:dyDescent="0.25">
      <c r="A10" s="24" t="s">
        <v>7</v>
      </c>
      <c r="B10" s="13">
        <v>299</v>
      </c>
      <c r="C10" s="31">
        <v>0.451505016722408</v>
      </c>
      <c r="D10" s="13">
        <v>252</v>
      </c>
      <c r="E10" s="31">
        <v>0.57936507936507942</v>
      </c>
      <c r="F10" s="13">
        <v>337</v>
      </c>
      <c r="G10" s="31">
        <v>0.43026706231454004</v>
      </c>
      <c r="H10" s="13">
        <v>375</v>
      </c>
      <c r="I10" s="31">
        <v>0.55200000000000005</v>
      </c>
      <c r="J10" s="13">
        <v>349</v>
      </c>
      <c r="K10" s="31">
        <v>0.46131805157593125</v>
      </c>
      <c r="M10" s="51"/>
      <c r="N10" s="58"/>
      <c r="O10" s="49"/>
      <c r="P10" s="58"/>
      <c r="Q10" s="49"/>
      <c r="R10" s="58"/>
      <c r="S10" s="49"/>
      <c r="T10" s="58"/>
      <c r="U10" s="49"/>
      <c r="V10" s="58"/>
      <c r="W10" s="49"/>
      <c r="X10" s="49"/>
      <c r="Y10" s="57"/>
    </row>
    <row r="11" spans="1:25" x14ac:dyDescent="0.25">
      <c r="A11" s="29" t="s">
        <v>8</v>
      </c>
      <c r="B11" s="13">
        <v>110</v>
      </c>
      <c r="C11" s="31">
        <f>40/110</f>
        <v>0.36363636363636365</v>
      </c>
      <c r="D11" s="13">
        <v>128</v>
      </c>
      <c r="E11" s="31">
        <v>0.453125</v>
      </c>
      <c r="F11" s="13">
        <v>171</v>
      </c>
      <c r="G11" s="31">
        <v>0.35672514619883039</v>
      </c>
      <c r="H11" s="13">
        <v>187</v>
      </c>
      <c r="I11" s="31">
        <v>0.46524064171122997</v>
      </c>
      <c r="J11" s="13">
        <v>205</v>
      </c>
      <c r="K11" s="31">
        <v>0.43414634146341463</v>
      </c>
      <c r="M11" s="51"/>
      <c r="N11" s="46"/>
      <c r="O11" s="60"/>
      <c r="P11" s="59"/>
      <c r="Q11" s="60"/>
      <c r="R11" s="59"/>
      <c r="S11" s="60"/>
      <c r="T11" s="59"/>
      <c r="U11" s="60"/>
      <c r="V11" s="59"/>
      <c r="W11" s="60"/>
      <c r="X11" s="49"/>
      <c r="Y11" s="57"/>
    </row>
    <row r="12" spans="1:25" x14ac:dyDescent="0.25">
      <c r="A12" s="28" t="s">
        <v>9</v>
      </c>
      <c r="B12" s="20">
        <v>45</v>
      </c>
      <c r="C12" s="14">
        <v>0.26666666666666666</v>
      </c>
      <c r="D12" s="20">
        <v>51</v>
      </c>
      <c r="E12" s="14">
        <v>0.21568627450980393</v>
      </c>
      <c r="F12" s="20">
        <v>74</v>
      </c>
      <c r="G12" s="14">
        <v>0.20270270270270271</v>
      </c>
      <c r="H12" s="20">
        <v>48</v>
      </c>
      <c r="I12" s="14">
        <v>0.4375</v>
      </c>
      <c r="J12" s="20">
        <v>59</v>
      </c>
      <c r="K12" s="14">
        <v>0.28813559322033899</v>
      </c>
      <c r="M12" s="51"/>
      <c r="N12" s="58"/>
      <c r="O12" s="49"/>
      <c r="P12" s="58"/>
      <c r="Q12" s="49"/>
      <c r="R12" s="58"/>
      <c r="S12" s="49"/>
      <c r="T12" s="58"/>
      <c r="U12" s="49"/>
      <c r="V12" s="58"/>
      <c r="W12" s="49"/>
      <c r="X12" s="49"/>
      <c r="Y12" s="57"/>
    </row>
    <row r="13" spans="1:25" x14ac:dyDescent="0.25">
      <c r="A13" s="29" t="s">
        <v>10</v>
      </c>
      <c r="B13" s="13">
        <v>10</v>
      </c>
      <c r="C13" s="31">
        <v>0.3</v>
      </c>
      <c r="D13" s="13">
        <v>9</v>
      </c>
      <c r="E13" s="31">
        <v>0.66666666666666663</v>
      </c>
      <c r="F13" s="13">
        <v>13</v>
      </c>
      <c r="G13" s="31">
        <v>0.69230769230769229</v>
      </c>
      <c r="H13" s="13">
        <v>17</v>
      </c>
      <c r="I13" s="31">
        <v>0.58823529411764708</v>
      </c>
      <c r="J13" s="13">
        <v>14</v>
      </c>
      <c r="K13" s="31">
        <v>0.5</v>
      </c>
      <c r="M13" s="51"/>
      <c r="N13" s="58"/>
      <c r="O13" s="49"/>
      <c r="P13" s="58"/>
      <c r="Q13" s="49"/>
      <c r="R13" s="58"/>
      <c r="S13" s="49"/>
      <c r="T13" s="58"/>
      <c r="U13" s="49"/>
      <c r="V13" s="58"/>
      <c r="W13" s="49"/>
      <c r="X13" s="49"/>
      <c r="Y13" s="57"/>
    </row>
    <row r="14" spans="1:25" x14ac:dyDescent="0.25">
      <c r="A14" s="29" t="s">
        <v>11</v>
      </c>
      <c r="B14" s="13">
        <v>8</v>
      </c>
      <c r="C14" s="31">
        <v>0.125</v>
      </c>
      <c r="D14" s="13">
        <v>8</v>
      </c>
      <c r="E14" s="31">
        <v>0.5</v>
      </c>
      <c r="F14" s="13">
        <v>6</v>
      </c>
      <c r="G14" s="31">
        <v>0.66666666666666663</v>
      </c>
      <c r="H14" s="13">
        <v>10</v>
      </c>
      <c r="I14" s="31">
        <v>0.3</v>
      </c>
      <c r="J14" s="13">
        <v>8</v>
      </c>
      <c r="K14" s="31">
        <v>0.125</v>
      </c>
      <c r="M14" s="51"/>
      <c r="N14" s="58"/>
      <c r="O14" s="49"/>
      <c r="P14" s="58"/>
      <c r="Q14" s="49"/>
      <c r="R14" s="58"/>
      <c r="S14" s="49"/>
      <c r="T14" s="58"/>
      <c r="U14" s="49"/>
      <c r="V14" s="58"/>
      <c r="W14" s="49"/>
      <c r="X14" s="49"/>
      <c r="Y14" s="57"/>
    </row>
    <row r="15" spans="1:25" x14ac:dyDescent="0.25">
      <c r="A15" s="29" t="s">
        <v>12</v>
      </c>
      <c r="B15" s="13">
        <v>12</v>
      </c>
      <c r="C15" s="31">
        <v>0.5</v>
      </c>
      <c r="D15" s="13">
        <v>13</v>
      </c>
      <c r="E15" s="31">
        <v>0.53846153846153844</v>
      </c>
      <c r="F15" s="13">
        <v>17</v>
      </c>
      <c r="G15" s="31">
        <v>0.47058823529411764</v>
      </c>
      <c r="H15" s="13">
        <v>21</v>
      </c>
      <c r="I15" s="31">
        <v>0.61904761904761907</v>
      </c>
      <c r="J15" s="13">
        <v>20</v>
      </c>
      <c r="K15" s="31">
        <v>0.3</v>
      </c>
      <c r="M15" s="51"/>
      <c r="N15" s="58"/>
      <c r="O15" s="49"/>
      <c r="P15" s="58"/>
      <c r="Q15" s="49"/>
      <c r="R15" s="58"/>
      <c r="S15" s="49"/>
      <c r="T15" s="58"/>
      <c r="U15" s="49"/>
      <c r="V15" s="58"/>
      <c r="W15" s="49"/>
      <c r="X15" s="49"/>
      <c r="Y15" s="57"/>
    </row>
    <row r="16" spans="1:25" x14ac:dyDescent="0.25">
      <c r="A16" s="29" t="s">
        <v>13</v>
      </c>
      <c r="B16" s="13">
        <v>4</v>
      </c>
      <c r="C16" s="31">
        <v>0.25</v>
      </c>
      <c r="D16" s="13">
        <v>2</v>
      </c>
      <c r="E16" s="31">
        <v>0.5</v>
      </c>
      <c r="F16" s="13">
        <v>5</v>
      </c>
      <c r="G16" s="31">
        <v>0.4</v>
      </c>
      <c r="H16" s="13">
        <v>2</v>
      </c>
      <c r="I16" s="31">
        <v>1</v>
      </c>
      <c r="J16" s="13">
        <v>5</v>
      </c>
      <c r="K16" s="31">
        <v>0.4</v>
      </c>
      <c r="M16" s="51"/>
      <c r="N16" s="58"/>
      <c r="O16" s="49"/>
      <c r="P16" s="58"/>
      <c r="Q16" s="49"/>
      <c r="R16" s="58"/>
      <c r="S16" s="49"/>
      <c r="T16" s="58"/>
      <c r="U16" s="49"/>
      <c r="V16" s="58"/>
      <c r="W16" s="49"/>
      <c r="X16" s="49"/>
      <c r="Y16" s="57"/>
    </row>
    <row r="17" spans="1:25" x14ac:dyDescent="0.25">
      <c r="A17" s="29" t="s">
        <v>14</v>
      </c>
      <c r="B17" s="13">
        <v>11</v>
      </c>
      <c r="C17" s="31">
        <v>0.18181818181818182</v>
      </c>
      <c r="D17" s="13">
        <v>11</v>
      </c>
      <c r="E17" s="31">
        <v>0.45454545454545453</v>
      </c>
      <c r="F17" s="13">
        <v>12</v>
      </c>
      <c r="G17" s="31">
        <v>0.41666666666666669</v>
      </c>
      <c r="H17" s="13">
        <v>25</v>
      </c>
      <c r="I17" s="31">
        <v>0.24</v>
      </c>
      <c r="J17" s="13">
        <v>33</v>
      </c>
      <c r="K17" s="31">
        <v>0.39393939393939392</v>
      </c>
      <c r="M17" s="49"/>
      <c r="N17" s="56"/>
      <c r="O17" s="50"/>
      <c r="P17" s="56"/>
      <c r="Q17" s="50"/>
      <c r="R17" s="56"/>
      <c r="S17" s="50"/>
      <c r="T17" s="56"/>
      <c r="U17" s="50"/>
      <c r="V17" s="56"/>
      <c r="W17" s="50"/>
      <c r="X17" s="50"/>
      <c r="Y17" s="57"/>
    </row>
    <row r="18" spans="1:25" ht="15.75" thickBot="1" x14ac:dyDescent="0.3">
      <c r="A18" s="30" t="s">
        <v>5</v>
      </c>
      <c r="B18" s="13">
        <v>34</v>
      </c>
      <c r="C18" s="31">
        <v>0.3235294117647059</v>
      </c>
      <c r="D18" s="13">
        <v>55</v>
      </c>
      <c r="E18" s="31">
        <v>0.5636363636363636</v>
      </c>
      <c r="F18" s="13">
        <v>56</v>
      </c>
      <c r="G18" s="31">
        <v>0.4642857142857143</v>
      </c>
      <c r="H18" s="13">
        <v>36</v>
      </c>
      <c r="I18" s="31">
        <v>0.44444444444444442</v>
      </c>
      <c r="J18" s="13">
        <v>24</v>
      </c>
      <c r="K18" s="31">
        <v>0.41666666666666669</v>
      </c>
      <c r="M18" s="51"/>
      <c r="N18" s="58"/>
      <c r="O18" s="49"/>
      <c r="P18" s="58"/>
      <c r="Q18" s="49"/>
      <c r="R18" s="58"/>
      <c r="S18" s="49"/>
      <c r="T18" s="58"/>
      <c r="U18" s="49"/>
      <c r="V18" s="58"/>
      <c r="W18" s="49"/>
      <c r="Y18" s="57"/>
    </row>
    <row r="19" spans="1:25" ht="15.75" thickBot="1" x14ac:dyDescent="0.3">
      <c r="A19" s="15"/>
      <c r="B19" s="42" t="str">
        <f>B8</f>
        <v>AY07-08</v>
      </c>
      <c r="C19" s="43"/>
      <c r="D19" s="42" t="str">
        <f t="shared" ref="D19" si="4">D8</f>
        <v>AY08-09</v>
      </c>
      <c r="E19" s="43"/>
      <c r="F19" s="42" t="str">
        <f t="shared" ref="F19" si="5">F8</f>
        <v>AY09-10</v>
      </c>
      <c r="G19" s="43"/>
      <c r="H19" s="42" t="str">
        <f t="shared" ref="H19" si="6">H8</f>
        <v>AY10-11</v>
      </c>
      <c r="I19" s="43"/>
      <c r="J19" s="42" t="str">
        <f t="shared" ref="J19" si="7">J8</f>
        <v>AY11-12</v>
      </c>
      <c r="K19" s="43"/>
      <c r="L19" s="5"/>
    </row>
    <row r="20" spans="1:25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  <c r="M20" s="34"/>
      <c r="O20" s="35"/>
      <c r="Q20" s="35"/>
      <c r="S20" s="35"/>
    </row>
    <row r="21" spans="1:25" x14ac:dyDescent="0.25">
      <c r="A21" s="18" t="s">
        <v>16</v>
      </c>
      <c r="B21" s="13">
        <v>4</v>
      </c>
      <c r="C21" s="31">
        <v>0.5</v>
      </c>
      <c r="D21" s="13">
        <v>1</v>
      </c>
      <c r="E21" s="31">
        <v>1</v>
      </c>
      <c r="F21" s="13">
        <v>6</v>
      </c>
      <c r="G21" s="31">
        <v>0.83333333333333337</v>
      </c>
      <c r="H21" s="13">
        <v>2</v>
      </c>
      <c r="I21" s="31">
        <v>1</v>
      </c>
      <c r="J21" s="13">
        <v>2</v>
      </c>
      <c r="K21" s="31">
        <v>0.5</v>
      </c>
      <c r="M21" s="53"/>
      <c r="N21" s="62"/>
      <c r="O21" s="52"/>
      <c r="P21" s="62"/>
      <c r="Q21" s="52"/>
      <c r="R21" s="62"/>
      <c r="S21" s="52"/>
      <c r="T21" s="62"/>
      <c r="U21" s="52"/>
      <c r="V21" s="62"/>
      <c r="W21" s="52"/>
      <c r="X21" s="52"/>
      <c r="Y21" s="61"/>
    </row>
    <row r="22" spans="1:25" x14ac:dyDescent="0.25">
      <c r="A22" s="19" t="s">
        <v>17</v>
      </c>
      <c r="B22" s="13">
        <v>70</v>
      </c>
      <c r="C22" s="31">
        <v>0.3</v>
      </c>
      <c r="D22" s="13">
        <v>61</v>
      </c>
      <c r="E22" s="31">
        <v>0.42622950819672129</v>
      </c>
      <c r="F22" s="13">
        <v>76</v>
      </c>
      <c r="G22" s="31">
        <v>0.40789473684210525</v>
      </c>
      <c r="H22" s="13">
        <v>73</v>
      </c>
      <c r="I22" s="31">
        <v>0.50684931506849318</v>
      </c>
      <c r="J22" s="13">
        <v>92</v>
      </c>
      <c r="K22" s="31">
        <v>0.34782608695652173</v>
      </c>
      <c r="M22" s="53"/>
      <c r="N22" s="62"/>
      <c r="O22" s="52"/>
      <c r="P22" s="62"/>
      <c r="Q22" s="52"/>
      <c r="R22" s="62"/>
      <c r="S22" s="52"/>
      <c r="T22" s="62"/>
      <c r="U22" s="52"/>
      <c r="V22" s="62"/>
      <c r="W22" s="52"/>
      <c r="X22" s="52"/>
      <c r="Y22" s="61"/>
    </row>
    <row r="23" spans="1:25" x14ac:dyDescent="0.25">
      <c r="A23" s="19" t="s">
        <v>18</v>
      </c>
      <c r="B23" s="13">
        <v>142</v>
      </c>
      <c r="C23" s="31">
        <v>0.30985915492957744</v>
      </c>
      <c r="D23" s="13">
        <v>147</v>
      </c>
      <c r="E23" s="31">
        <v>0.44897959183673469</v>
      </c>
      <c r="F23" s="13">
        <v>204</v>
      </c>
      <c r="G23" s="31">
        <v>0.34313725490196079</v>
      </c>
      <c r="H23" s="13">
        <v>218</v>
      </c>
      <c r="I23" s="31">
        <v>0.47247706422018348</v>
      </c>
      <c r="J23" s="13">
        <v>224</v>
      </c>
      <c r="K23" s="31">
        <v>0.36607142857142855</v>
      </c>
      <c r="M23" s="53"/>
      <c r="N23" s="62"/>
      <c r="O23" s="52"/>
      <c r="P23" s="62"/>
      <c r="Q23" s="52"/>
      <c r="R23" s="62"/>
      <c r="S23" s="52"/>
      <c r="T23" s="62"/>
      <c r="U23" s="52"/>
      <c r="V23" s="62"/>
      <c r="W23" s="52"/>
      <c r="X23" s="52"/>
      <c r="Y23" s="61"/>
    </row>
    <row r="24" spans="1:25" x14ac:dyDescent="0.25">
      <c r="A24" s="19" t="s">
        <v>19</v>
      </c>
      <c r="B24" s="13">
        <v>85</v>
      </c>
      <c r="C24" s="31">
        <v>0.31764705882352939</v>
      </c>
      <c r="D24" s="13">
        <v>90</v>
      </c>
      <c r="E24" s="31">
        <v>0.4777777777777778</v>
      </c>
      <c r="F24" s="13">
        <v>138</v>
      </c>
      <c r="G24" s="31">
        <v>0.42028985507246375</v>
      </c>
      <c r="H24" s="13">
        <v>164</v>
      </c>
      <c r="I24" s="31">
        <v>0.48170731707317072</v>
      </c>
      <c r="J24" s="13">
        <v>135</v>
      </c>
      <c r="K24" s="31">
        <v>0.43703703703703706</v>
      </c>
      <c r="M24" s="53"/>
      <c r="N24" s="62"/>
      <c r="O24" s="52"/>
      <c r="P24" s="62"/>
      <c r="Q24" s="52"/>
      <c r="R24" s="62"/>
      <c r="S24" s="52"/>
      <c r="T24" s="62"/>
      <c r="U24" s="52"/>
      <c r="V24" s="62"/>
      <c r="W24" s="52"/>
      <c r="X24" s="52"/>
      <c r="Y24" s="61"/>
    </row>
    <row r="25" spans="1:25" x14ac:dyDescent="0.25">
      <c r="A25" s="19" t="s">
        <v>20</v>
      </c>
      <c r="B25" s="13">
        <v>76</v>
      </c>
      <c r="C25" s="31">
        <v>0.47368421052631576</v>
      </c>
      <c r="D25" s="13">
        <v>86</v>
      </c>
      <c r="E25" s="31">
        <v>0.53488372093023251</v>
      </c>
      <c r="F25" s="13">
        <v>92</v>
      </c>
      <c r="G25" s="31">
        <v>0.46739130434782611</v>
      </c>
      <c r="H25" s="13">
        <v>75</v>
      </c>
      <c r="I25" s="31">
        <v>0.48</v>
      </c>
      <c r="J25" s="13">
        <v>97</v>
      </c>
      <c r="K25" s="31">
        <v>0.42268041237113402</v>
      </c>
      <c r="M25" s="53"/>
      <c r="N25" s="62"/>
      <c r="O25" s="52"/>
      <c r="P25" s="62"/>
      <c r="Q25" s="52"/>
      <c r="R25" s="62"/>
      <c r="S25" s="52"/>
      <c r="T25" s="62"/>
      <c r="U25" s="52"/>
      <c r="V25" s="62"/>
      <c r="W25" s="52"/>
      <c r="X25" s="52"/>
      <c r="Y25" s="61"/>
    </row>
    <row r="26" spans="1:25" x14ac:dyDescent="0.25">
      <c r="A26" s="19" t="s">
        <v>21</v>
      </c>
      <c r="B26" s="13">
        <v>66</v>
      </c>
      <c r="C26" s="31">
        <v>0.5757575757575758</v>
      </c>
      <c r="D26" s="13">
        <v>53</v>
      </c>
      <c r="E26" s="31">
        <v>0.58490566037735847</v>
      </c>
      <c r="F26" s="13">
        <v>66</v>
      </c>
      <c r="G26" s="31">
        <v>0.40909090909090912</v>
      </c>
      <c r="H26" s="13">
        <v>77</v>
      </c>
      <c r="I26" s="31">
        <v>0.4935064935064935</v>
      </c>
      <c r="J26" s="13">
        <v>46</v>
      </c>
      <c r="K26" s="31">
        <v>0.5</v>
      </c>
      <c r="M26" s="53"/>
      <c r="N26" s="62"/>
      <c r="O26" s="52"/>
      <c r="P26" s="62"/>
      <c r="Q26" s="52"/>
      <c r="R26" s="62"/>
      <c r="S26" s="52"/>
      <c r="T26" s="62"/>
      <c r="U26" s="52"/>
      <c r="V26" s="62"/>
      <c r="W26" s="52"/>
      <c r="X26" s="52"/>
      <c r="Y26" s="61"/>
    </row>
    <row r="27" spans="1:25" x14ac:dyDescent="0.25">
      <c r="A27" s="9" t="s">
        <v>22</v>
      </c>
      <c r="B27" s="13">
        <v>58</v>
      </c>
      <c r="C27" s="31">
        <v>0.5</v>
      </c>
      <c r="D27" s="13">
        <v>73</v>
      </c>
      <c r="E27" s="31">
        <v>0.57534246575342463</v>
      </c>
      <c r="F27" s="13">
        <v>79</v>
      </c>
      <c r="G27" s="31">
        <v>0.35443037974683544</v>
      </c>
      <c r="H27" s="13">
        <v>82</v>
      </c>
      <c r="I27" s="31">
        <v>0.6097560975609756</v>
      </c>
      <c r="J27" s="13">
        <v>71</v>
      </c>
      <c r="K27" s="31">
        <v>0.52112676056338025</v>
      </c>
      <c r="M27" s="53"/>
      <c r="N27" s="62"/>
      <c r="O27" s="52"/>
      <c r="P27" s="62"/>
      <c r="Q27" s="52"/>
      <c r="R27" s="62"/>
      <c r="S27" s="52"/>
      <c r="T27" s="62"/>
      <c r="U27" s="52"/>
      <c r="V27" s="62"/>
      <c r="W27" s="52"/>
      <c r="X27" s="52"/>
      <c r="Y27" s="61"/>
    </row>
    <row r="28" spans="1:25" x14ac:dyDescent="0.25">
      <c r="A28" s="9" t="s">
        <v>24</v>
      </c>
      <c r="B28" s="13">
        <v>32</v>
      </c>
      <c r="C28" s="31">
        <v>0.4375</v>
      </c>
      <c r="D28" s="13">
        <v>18</v>
      </c>
      <c r="E28" s="31">
        <v>0.77777777777777779</v>
      </c>
      <c r="F28" s="13">
        <v>29</v>
      </c>
      <c r="G28" s="31">
        <v>0.37931034482758619</v>
      </c>
      <c r="H28" s="13">
        <v>30</v>
      </c>
      <c r="I28" s="31">
        <v>0.6333333333333333</v>
      </c>
      <c r="J28" s="13">
        <v>49</v>
      </c>
      <c r="K28" s="31">
        <v>0.61224489795918369</v>
      </c>
      <c r="M28" s="53"/>
      <c r="N28" s="62"/>
      <c r="O28" s="52"/>
      <c r="P28" s="62"/>
      <c r="Q28" s="52"/>
      <c r="R28" s="62"/>
      <c r="S28" s="52"/>
      <c r="T28" s="62"/>
      <c r="U28" s="52"/>
      <c r="V28" s="62"/>
      <c r="W28" s="52"/>
      <c r="X28" s="52"/>
      <c r="Y28" s="61"/>
    </row>
    <row r="29" spans="1:25" ht="15.75" thickBot="1" x14ac:dyDescent="0.3">
      <c r="A29" s="30" t="s">
        <v>5</v>
      </c>
      <c r="B29" s="21"/>
      <c r="C29" s="32"/>
      <c r="D29" s="21"/>
      <c r="E29" s="32"/>
      <c r="F29" s="21">
        <v>1</v>
      </c>
      <c r="G29" s="32">
        <v>1</v>
      </c>
      <c r="H29" s="21"/>
      <c r="I29" s="32"/>
      <c r="J29" s="21">
        <v>1</v>
      </c>
      <c r="K29" s="32">
        <v>1</v>
      </c>
      <c r="M29" s="53"/>
      <c r="N29" s="62"/>
      <c r="O29" s="52"/>
      <c r="P29" s="62"/>
      <c r="Q29" s="52"/>
      <c r="R29" s="62"/>
      <c r="S29" s="52"/>
      <c r="T29" s="62"/>
      <c r="U29" s="52"/>
      <c r="V29" s="62"/>
      <c r="W29" s="52"/>
      <c r="X29" s="52"/>
      <c r="Y29" s="61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6"/>
      <c r="B1" s="38"/>
      <c r="C1" s="38"/>
      <c r="D1" s="39"/>
      <c r="E1" s="39"/>
      <c r="F1" s="39"/>
      <c r="G1" s="39"/>
      <c r="H1" s="39"/>
      <c r="I1" s="39"/>
      <c r="J1" s="38"/>
      <c r="K1" s="38"/>
    </row>
    <row r="2" spans="1:11" x14ac:dyDescent="0.25">
      <c r="A2" s="37"/>
      <c r="B2" s="40"/>
      <c r="C2" s="41"/>
      <c r="D2" s="40"/>
      <c r="E2" s="41"/>
      <c r="F2" s="40"/>
      <c r="G2" s="41"/>
      <c r="H2" s="40"/>
      <c r="I2" s="41"/>
      <c r="J2" s="40"/>
      <c r="K2" s="41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4"/>
      <c r="C8" s="45"/>
      <c r="D8" s="44"/>
      <c r="E8" s="45"/>
      <c r="F8" s="44"/>
      <c r="G8" s="45"/>
      <c r="H8" s="44"/>
      <c r="I8" s="45"/>
      <c r="J8" s="44"/>
      <c r="K8" s="45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2"/>
      <c r="C19" s="43"/>
      <c r="D19" s="42"/>
      <c r="E19" s="43"/>
      <c r="F19" s="42"/>
      <c r="G19" s="43"/>
      <c r="H19" s="42"/>
      <c r="I19" s="43"/>
      <c r="J19" s="42"/>
      <c r="K19" s="43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