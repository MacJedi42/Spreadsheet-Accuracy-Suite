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15" yWindow="60" windowWidth="14550" windowHeight="8610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B17" i="1" l="1"/>
  <c r="D11" i="1"/>
  <c r="E11" i="1"/>
  <c r="D12" i="1"/>
  <c r="E12" i="1"/>
  <c r="D13" i="1"/>
  <c r="E13" i="1"/>
  <c r="E14" i="1" s="1"/>
  <c r="D14" i="1"/>
  <c r="D15" i="1"/>
  <c r="E15" i="1"/>
  <c r="D16" i="1"/>
  <c r="D17" i="1"/>
  <c r="B16" i="1"/>
  <c r="C15" i="1"/>
  <c r="B15" i="1"/>
  <c r="C11" i="1"/>
  <c r="C12" i="1"/>
  <c r="C13" i="1"/>
  <c r="C14" i="1" s="1"/>
  <c r="A8" i="1"/>
  <c r="E16" i="1" l="1"/>
  <c r="E17" i="1" s="1"/>
  <c r="B11" i="1"/>
  <c r="A9" i="1"/>
  <c r="A10" i="1" s="1"/>
  <c r="A11" i="1" s="1"/>
  <c r="C16" i="1"/>
  <c r="C17" i="1" s="1"/>
  <c r="A12" i="1" l="1"/>
  <c r="B12" i="1"/>
  <c r="A13" i="1" l="1"/>
  <c r="B13" i="1"/>
  <c r="A14" i="1" l="1"/>
  <c r="A15" i="1" s="1"/>
  <c r="A16" i="1" s="1"/>
  <c r="A17" i="1" s="1"/>
  <c r="B14" i="1"/>
</calcChain>
</file>

<file path=xl/comments1.xml><?xml version="1.0" encoding="utf-8"?>
<comments xmlns="http://schemas.openxmlformats.org/spreadsheetml/2006/main">
  <authors>
    <author>SHARONP</author>
  </authors>
  <commentList>
    <comment ref="E7" authorId="0">
      <text>
        <r>
          <rPr>
            <b/>
            <sz val="10"/>
            <color indexed="53"/>
            <rFont val="Tahoma"/>
            <family val="2"/>
          </rPr>
          <t>The sum of the student counts entered on line 2 and line 3 cannot exceed the total enrollment shown on line 1.</t>
        </r>
      </text>
    </comment>
  </commentList>
</comments>
</file>

<file path=xl/sharedStrings.xml><?xml version="1.0" encoding="utf-8"?>
<sst xmlns="http://schemas.openxmlformats.org/spreadsheetml/2006/main" count="10" uniqueCount="10">
  <si>
    <t>A</t>
  </si>
  <si>
    <t>Enter your school's (not district's) student counts in column A on lines 1, 2 and 3.  The FY 2012 compensatory revenue will be computed on line 9 and the revenue per adjusted eligible student computed on line 10.</t>
  </si>
  <si>
    <t>Compensatory Revenue for FY 2011, FY 2012, and FY 2013</t>
  </si>
  <si>
    <t>October 1 enrollment from prior school year</t>
  </si>
  <si>
    <t>Count of students eligible for free lunch on October 1 of prior school year</t>
  </si>
  <si>
    <t>Count of students eligible for reduced priced lunch on October 1 of prior school year</t>
  </si>
  <si>
    <t>Basic formula allowance</t>
  </si>
  <si>
    <t>FY 2011</t>
  </si>
  <si>
    <t>FY 2012</t>
  </si>
  <si>
    <t>FY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</si>
</sst>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0.0000"/>
  </numFmts>
  <fonts count="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12"/>
      <color indexed="9"/>
      <name val="Arial"/>
      <family val="2"/>
    </font>
    <font>
      <b/>
      <sz val="10"/>
      <color indexed="53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1" applyFont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/>
    </xf>
    <xf numFmtId="0" fontId="0" fillId="2" borderId="0" xfId="0" applyFill="1"/>
    <xf numFmtId="0" fontId="6" fillId="0" borderId="0" xfId="0" applyFont="1"/>
    <xf numFmtId="164" fontId="0" fillId="0" borderId="0" xfId="0" applyNumberFormat="1"/>
    <xf numFmtId="0" fontId="0" fillId="0" borderId="0" xfId="0" applyBorder="1" applyAlignment="1">
      <alignment wrapText="1"/>
    </xf>
    <xf numFmtId="0" fontId="2" fillId="0" borderId="0" xfId="0" applyFont="1" applyBorder="1" applyAlignment="1">
      <alignment horizontal="center"/>
    </xf>
    <xf numFmtId="44" fontId="0" fillId="2" borderId="0" xfId="0" applyNumberFormat="1" applyFill="1"/>
    <xf numFmtId="44" fontId="0" fillId="0" borderId="0" xfId="1" applyNumberFormat="1" applyFont="1"/>
    <xf numFmtId="0" fontId="2" fillId="0" borderId="0" xfId="0" applyFont="1" applyBorder="1" applyAlignment="1">
      <alignment horizontal="center" wrapText="1"/>
    </xf>
    <xf numFmtId="0" fontId="6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4" fillId="3" borderId="4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E17"/>
  <sheetViews>
    <sheetView tabSelected="1" workbookViewId="0"/>
  </sheetViews>
  <sheetFormatPr defaultRowHeight="12.75" x14ac:dyDescent="0.2"/>
  <cols>
    <col min="1" max="1" width="3.7109375" customWidth="1"/>
    <col min="2" max="2" width="71.28515625" customWidth="1"/>
    <col min="3" max="5" width="14.7109375" customWidth="1"/>
  </cols>
  <sheetData>
    <row r="1" spans="1:5" ht="15.75" x14ac:dyDescent="0.25">
      <c r="B1" s="15" t="s">
        <v>2</v>
      </c>
      <c r="C1" s="15"/>
      <c r="D1" s="15"/>
      <c r="E1" s="15"/>
    </row>
    <row r="2" spans="1:5" ht="52.5" customHeight="1" x14ac:dyDescent="0.2">
      <c r="B2" s="12" t="s">
        <v>1</v>
      </c>
      <c r="C2" s="13"/>
      <c r="D2" s="13"/>
      <c r="E2" s="14"/>
    </row>
    <row r="3" spans="1:5" x14ac:dyDescent="0.2">
      <c r="B3" s="2"/>
      <c r="C3" s="2"/>
      <c r="D3" s="2"/>
      <c r="E3" s="3" t="s">
        <v>0</v>
      </c>
    </row>
    <row r="4" spans="1:5" x14ac:dyDescent="0.2">
      <c r="B4" s="7"/>
      <c r="C4" s="7"/>
      <c r="D4" s="7"/>
      <c r="E4" s="8"/>
    </row>
    <row r="5" spans="1:5" x14ac:dyDescent="0.2">
      <c r="B5" s="7"/>
      <c r="C5" s="11" t="s">
        <v>7</v>
      </c>
      <c r="D5" s="11" t="s">
        <v>8</v>
      </c>
      <c r="E5" s="8" t="s">
        <v>9</v>
      </c>
    </row>
    <row r="6" spans="1:5" x14ac:dyDescent="0.2">
      <c r="B6" s="7"/>
      <c r="C6" s="7"/>
      <c r="D6" s="7"/>
      <c r="E6" s="8"/>
    </row>
    <row r="7" spans="1:5" x14ac:dyDescent="0.2">
      <c r="A7">
        <v>1</v>
      </c>
      <c r="B7" s="5" t="s">
        <v>3</v>
      </c>
      <c r="C7" s="4">
        <v>2</v>
      </c>
      <c r="D7" s="4">
        <v>2</v>
      </c>
      <c r="E7" s="4">
        <v>2</v>
      </c>
    </row>
    <row r="8" spans="1:5" x14ac:dyDescent="0.2">
      <c r="A8">
        <f>A7+1</f>
        <v>2</v>
      </c>
      <c r="B8" s="5" t="s">
        <v>4</v>
      </c>
      <c r="C8" s="4">
        <v>1</v>
      </c>
      <c r="D8" s="4">
        <v>1</v>
      </c>
      <c r="E8" s="4">
        <v>1</v>
      </c>
    </row>
    <row r="9" spans="1:5" x14ac:dyDescent="0.2">
      <c r="A9">
        <f t="shared" ref="A9:A17" si="0">A8+1</f>
        <v>3</v>
      </c>
      <c r="B9" s="5" t="s">
        <v>5</v>
      </c>
      <c r="C9" s="4">
        <v>1</v>
      </c>
      <c r="D9" s="4">
        <v>1</v>
      </c>
      <c r="E9" s="4">
        <v>1</v>
      </c>
    </row>
    <row r="10" spans="1:5" x14ac:dyDescent="0.2">
      <c r="A10">
        <f t="shared" si="0"/>
        <v>4</v>
      </c>
      <c r="B10" s="5" t="s">
        <v>6</v>
      </c>
      <c r="C10" s="9">
        <v>5124</v>
      </c>
      <c r="D10" s="9">
        <v>5174</v>
      </c>
      <c r="E10" s="9">
        <v>5224</v>
      </c>
    </row>
    <row r="11" spans="1:5" x14ac:dyDescent="0.2">
      <c r="A11">
        <f t="shared" si="0"/>
        <v>5</v>
      </c>
      <c r="B11" t="str">
        <f>+"Adjusted eligible student count = ("&amp;FIXED(A8,0)&amp;") + [("&amp;FIXED(A9,0)&amp;") / 2] ="</f>
        <v>Adjusted eligible student count = (2) + [(3) / 2] =</v>
      </c>
      <c r="C11">
        <f t="shared" ref="C11" si="1">C8+(ROUND(C9/2,2))</f>
        <v>1.5</v>
      </c>
      <c r="D11">
        <f t="shared" ref="D11:E11" si="2">D8+(ROUND(D9/2,2))</f>
        <v>1.5</v>
      </c>
      <c r="E11">
        <f t="shared" si="2"/>
        <v>1.5</v>
      </c>
    </row>
    <row r="12" spans="1:5" x14ac:dyDescent="0.2">
      <c r="A12">
        <f t="shared" si="0"/>
        <v>6</v>
      </c>
      <c r="B12" t="str">
        <f>+"Concentration ratio = ("&amp;FIXED(A11,0)&amp;") / ("&amp;FIXED(A7,0)&amp;") ="</f>
        <v>Concentration ratio = (5) / (1) =</v>
      </c>
      <c r="C12" s="6">
        <f t="shared" ref="C12" si="3">ROUND(C11/C7,4)</f>
        <v>0.75</v>
      </c>
      <c r="D12" s="6">
        <f t="shared" ref="D12" si="4">ROUND(D11/D7,4)</f>
        <v>0.75</v>
      </c>
      <c r="E12" s="6">
        <f t="shared" ref="E12" si="5">ROUND(E11/E7,4)</f>
        <v>0.75</v>
      </c>
    </row>
    <row r="13" spans="1:5" x14ac:dyDescent="0.2">
      <c r="A13">
        <f t="shared" si="0"/>
        <v>7</v>
      </c>
      <c r="B13" t="str">
        <f>+"Adjusted ratio = lesser of 1 or [("&amp;FIXED(A12,0)&amp;") / 0.8] ="</f>
        <v>Adjusted ratio = lesser of 1 or [(6) / 0.8] =</v>
      </c>
      <c r="C13" s="6">
        <f t="shared" ref="C13" si="6">MIN(1,ROUND(C12/0.8,4))</f>
        <v>0.9375</v>
      </c>
      <c r="D13" s="6">
        <f t="shared" ref="D13" si="7">MIN(1,ROUND(D12/0.8,4))</f>
        <v>0.9375</v>
      </c>
      <c r="E13" s="6">
        <f t="shared" ref="E13" si="8">MIN(1,ROUND(E12/0.8,4))</f>
        <v>0.9375</v>
      </c>
    </row>
    <row r="14" spans="1:5" x14ac:dyDescent="0.2">
      <c r="A14">
        <f t="shared" si="0"/>
        <v>8</v>
      </c>
      <c r="B14" t="str">
        <f>+"Compensatory pupil units = ("&amp;FIXED(A11,0)&amp;") x ("&amp;FIXED(A13,0)&amp;") x 60% ="</f>
        <v>Compensatory pupil units = (5) x (7) x 60% =</v>
      </c>
      <c r="C14">
        <f t="shared" ref="C14" si="9">ROUND(C11*C13*0.6,2)</f>
        <v>0.84</v>
      </c>
      <c r="D14">
        <f t="shared" ref="D14" si="10">ROUND(D11*D13*0.6,2)</f>
        <v>0.84</v>
      </c>
      <c r="E14">
        <f t="shared" ref="E14" si="11">ROUND(E11*E13*0.6,2)</f>
        <v>0.84</v>
      </c>
    </row>
    <row r="15" spans="1:5" x14ac:dyDescent="0.2">
      <c r="A15">
        <f>A14+1</f>
        <v>9</v>
      </c>
      <c r="B15" t="str">
        <f>+"Adjusted formula allowance = ("&amp;FIXED(A10,0)&amp;") - $415 ="</f>
        <v>Adjusted formula allowance = (4) - $415 =</v>
      </c>
      <c r="C15" s="10">
        <f>+C10-415</f>
        <v>4709</v>
      </c>
      <c r="D15" s="10">
        <f t="shared" ref="D15:E15" si="12">+D10-415</f>
        <v>4759</v>
      </c>
      <c r="E15" s="10">
        <f t="shared" si="12"/>
        <v>4809</v>
      </c>
    </row>
    <row r="16" spans="1:5" x14ac:dyDescent="0.2">
      <c r="A16">
        <f t="shared" si="0"/>
        <v>10</v>
      </c>
      <c r="B16" t="str">
        <f>+"Compensatory revenue = ("&amp;FIXED(A14,0)&amp;") x ("&amp;FIXED(A15,0)&amp;") ="</f>
        <v>Compensatory revenue = (8) x (9) =</v>
      </c>
      <c r="C16" s="1">
        <f>ROUND(C14*C15,2)</f>
        <v>3955.56</v>
      </c>
      <c r="D16" s="1">
        <f t="shared" ref="D16:E16" si="13">ROUND(D14*D15,2)</f>
        <v>3997.56</v>
      </c>
      <c r="E16" s="1">
        <f t="shared" si="13"/>
        <v>4039.56</v>
      </c>
    </row>
    <row r="17" spans="1:5" x14ac:dyDescent="0.2">
      <c r="A17">
        <f t="shared" si="0"/>
        <v>11</v>
      </c>
      <c r="B17" t="str">
        <f>+"Revenue per adjusted eligible student count = ("&amp;FIXED(A16,0)&amp;")/("&amp;FIXED(A11,0)&amp;") ="</f>
        <v>Revenue per adjusted eligible student count = (10)/(5) =</v>
      </c>
      <c r="C17" s="1">
        <f>ROUND(C16/C11,2)</f>
        <v>2637.04</v>
      </c>
      <c r="D17" s="1">
        <f t="shared" ref="D17:E17" si="14">ROUND(D16/D11,2)</f>
        <v>2665.04</v>
      </c>
      <c r="E17" s="1">
        <f t="shared" si="14"/>
        <v>2693.04</v>
      </c>
    </row>
  </sheetData>
  <mergeCells count="2">
    <mergeCell ref="B2:E2"/>
    <mergeCell ref="B1:E1"/>
  </mergeCells>
  <phoneticPr fontId="3" type="noConversion"/>
  <dataValidations xWindow="553" yWindow="525" count="3">
    <dataValidation type="whole" allowBlank="1" showInputMessage="1" showErrorMessage="1" errorTitle="Invalid number" error="Enrollment must be a whole number." promptTitle="October 3, 2005 enrollment" sqref="C7:E7">
      <formula1>1</formula1>
      <formula2>10000</formula2>
    </dataValidation>
    <dataValidation type="whole" allowBlank="1" showInputMessage="1" showErrorMessage="1" errorTitle="Invalid value" error="This must be a whole number between zero and 10,000." promptTitle="Free meal eligible" prompt="Of the students enrolled on October 1, 2010, enter the number who have been verified as eligible for the free meal program." sqref="C8:E8">
      <formula1>0</formula1>
      <formula2>10000</formula2>
    </dataValidation>
    <dataValidation type="whole" allowBlank="1" showInputMessage="1" showErrorMessage="1" errorTitle="Invalid value" error="This must be a whole number between zero and 10,000." promptTitle="Reduced price meal eligible" prompt="Of the students enrolled on October 1, 2010, enter the number who have been verified to be eligible for the reduced price meal program." sqref="C9:E10">
      <formula1>0</formula1>
      <formula2>10000</formula2>
    </dataValidation>
  </dataValidations>
  <pageMargins left="0.75" right="0.75" top="1" bottom="1" header="0.5" footer="0.5"/>
  <pageSetup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 2011 - FY 2013 Compensatory Revenue Computation</dc:title>
  <dc:creator>Terik</dc:creator>
  <dc:description/>
  <cp:lastModifiedBy>STELLENT</cp:lastModifiedBy>
  <cp:lastPrinted>2012-01-17T15:36:38Z</cp:lastPrinted>
  <dcterms:created xsi:type="dcterms:W3CDTF">2005-10-04T12:41:43Z</dcterms:created>
  <dcterms:modified xsi:type="dcterms:W3CDTF">2012-01-18T15:30:38Z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ID">
    <vt:lpwstr>002789</vt:lpwstr>
  </property>
</Properties>
</file>