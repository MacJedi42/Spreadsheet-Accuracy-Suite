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36" yWindow="372" windowWidth="11868" windowHeight="8988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E4" i="1"/>
  <c r="D4" i="1"/>
  <c r="C4" i="1"/>
  <c r="B4" i="1"/>
  <c r="A4" i="1"/>
  <c r="O634" i="1"/>
  <c r="N634" i="1"/>
  <c r="M634" i="1"/>
  <c r="L634" i="1"/>
  <c r="K634" i="1"/>
  <c r="J634" i="1"/>
  <c r="O633" i="1" l="1"/>
  <c r="N633" i="1"/>
  <c r="M633" i="1"/>
  <c r="L633" i="1"/>
  <c r="K633" i="1"/>
  <c r="J633" i="1"/>
  <c r="O632" i="1" l="1"/>
  <c r="N632" i="1"/>
  <c r="M632" i="1"/>
  <c r="L632" i="1"/>
  <c r="K632" i="1"/>
  <c r="J632" i="1"/>
  <c r="O631" i="1" l="1"/>
  <c r="N631" i="1"/>
  <c r="M631" i="1"/>
  <c r="L631" i="1"/>
  <c r="K631" i="1"/>
  <c r="J631" i="1"/>
  <c r="O630" i="1" l="1"/>
  <c r="N630" i="1"/>
  <c r="M630" i="1"/>
  <c r="L630" i="1"/>
  <c r="K630" i="1"/>
  <c r="J630" i="1"/>
  <c r="O629" i="1" l="1"/>
  <c r="N629" i="1"/>
  <c r="M629" i="1"/>
  <c r="L629" i="1"/>
  <c r="K629" i="1"/>
  <c r="J629" i="1"/>
  <c r="O628" i="1" l="1"/>
  <c r="N628" i="1"/>
  <c r="M628" i="1"/>
  <c r="L628" i="1"/>
  <c r="K628" i="1"/>
  <c r="J628" i="1"/>
  <c r="O627" i="1" l="1"/>
  <c r="N627" i="1"/>
  <c r="M627" i="1"/>
  <c r="L627" i="1"/>
  <c r="K627" i="1"/>
  <c r="J627" i="1"/>
  <c r="O626" i="1" l="1"/>
  <c r="N626" i="1"/>
  <c r="M626" i="1"/>
  <c r="L626" i="1"/>
  <c r="K626" i="1"/>
  <c r="J626" i="1"/>
  <c r="O625" i="1" l="1"/>
  <c r="N625" i="1"/>
  <c r="M625" i="1"/>
  <c r="L625" i="1"/>
  <c r="K625" i="1"/>
  <c r="J625" i="1"/>
  <c r="O624" i="1" l="1"/>
  <c r="N624" i="1"/>
  <c r="M624" i="1"/>
  <c r="L624" i="1"/>
  <c r="K624" i="1"/>
  <c r="J624" i="1"/>
  <c r="J623" i="1"/>
  <c r="K623" i="1"/>
  <c r="L623" i="1"/>
  <c r="M623" i="1"/>
  <c r="N623" i="1"/>
  <c r="O623" i="1"/>
  <c r="O622" i="1" l="1"/>
  <c r="N622" i="1"/>
  <c r="M622" i="1"/>
  <c r="L622" i="1"/>
  <c r="K622" i="1"/>
  <c r="J622" i="1"/>
  <c r="O621" i="1" l="1"/>
  <c r="N621" i="1"/>
  <c r="M621" i="1"/>
  <c r="L621" i="1"/>
  <c r="K621" i="1"/>
  <c r="J621" i="1"/>
  <c r="O620" i="1" l="1"/>
  <c r="N620" i="1"/>
  <c r="M620" i="1"/>
  <c r="L620" i="1"/>
  <c r="K620" i="1"/>
  <c r="J620" i="1"/>
  <c r="O619" i="1" l="1"/>
  <c r="N619" i="1"/>
  <c r="M619" i="1"/>
  <c r="L619" i="1"/>
  <c r="K619" i="1"/>
  <c r="J619" i="1"/>
  <c r="O618" i="1" l="1"/>
  <c r="N618" i="1"/>
  <c r="M618" i="1"/>
  <c r="L618" i="1"/>
  <c r="K618" i="1"/>
  <c r="J618" i="1"/>
  <c r="O617" i="1" l="1"/>
  <c r="N617" i="1"/>
  <c r="M617" i="1"/>
  <c r="L617" i="1"/>
  <c r="K617" i="1"/>
  <c r="J617" i="1"/>
  <c r="O616" i="1" l="1"/>
  <c r="N616" i="1"/>
  <c r="M616" i="1"/>
  <c r="L616" i="1"/>
  <c r="K616" i="1"/>
  <c r="J616" i="1"/>
  <c r="O615" i="1" l="1"/>
  <c r="N615" i="1"/>
  <c r="M615" i="1"/>
  <c r="L615" i="1"/>
  <c r="K615" i="1"/>
  <c r="J615" i="1"/>
  <c r="O614" i="1" l="1"/>
  <c r="N614" i="1"/>
  <c r="M614" i="1"/>
  <c r="L614" i="1"/>
  <c r="K614" i="1"/>
  <c r="J614" i="1"/>
  <c r="O613" i="1" l="1"/>
  <c r="N613" i="1"/>
  <c r="M613" i="1"/>
  <c r="L613" i="1"/>
  <c r="K613" i="1"/>
  <c r="J613" i="1"/>
  <c r="O612" i="1" l="1"/>
  <c r="N612" i="1"/>
  <c r="M612" i="1"/>
  <c r="L612" i="1"/>
  <c r="K612" i="1"/>
  <c r="J612" i="1"/>
  <c r="O611" i="1" l="1"/>
  <c r="N611" i="1"/>
  <c r="M611" i="1"/>
  <c r="L611" i="1"/>
  <c r="K611" i="1"/>
  <c r="J611" i="1"/>
  <c r="O610" i="1" l="1"/>
  <c r="N610" i="1"/>
  <c r="M610" i="1"/>
  <c r="L610" i="1"/>
  <c r="K610" i="1"/>
  <c r="J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O603" i="1" l="1"/>
  <c r="N603" i="1"/>
  <c r="M603" i="1"/>
  <c r="L603" i="1"/>
  <c r="K603" i="1"/>
  <c r="J603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O600" i="1"/>
  <c r="N600" i="1"/>
  <c r="M600" i="1"/>
  <c r="L600" i="1"/>
  <c r="K600" i="1"/>
  <c r="J600" i="1"/>
  <c r="O599" i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<sst xmlns="http://schemas.openxmlformats.org/spreadsheetml/2006/main" count="78" uniqueCount="35">
  <si>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</si>
  <si>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</si>
  <si>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</si>
  <si>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</si>
  <si>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</si>
  <si>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</si>
  <si>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</si>
  <si>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</si>
  <si>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</si>
  <si>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</si>
  <si>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</si>
  <si>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</si>
  <si>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</si>
  <si>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</si>
  <si>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</si>
  <si>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</si>
  <si>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</si>
  <si>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</si>
  <si>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</si>
  <si>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</si>
  <si>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</si>
  <si>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</si>
  <si>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</si>
  <si>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</si>
  <si>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</si>
  <si>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</si>
  <si>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Unit</t>
  </si>
  <si>
    <t>Shuttle</t>
  </si>
  <si>
    <t>Monthly Averaged Tariffs
 with Fuel Surcharges</t>
  </si>
  <si>
    <t>Unit Train</t>
  </si>
  <si>
    <t>Secondary</t>
  </si>
  <si>
    <t>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</si>
  <si>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 </t>
    </r>
  </si>
  <si>
    <t xml:space="preserve">  </t>
  </si>
  <si>
    <t>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</si>
</sst>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34"/>
  <sheetViews>
    <sheetView defaultGridColor="0" colorId="22" zoomScaleNormal="100" workbookViewId="0">
      <pane xSplit="1" ySplit="7" topLeftCell="B628" activePane="bottomRight" state="frozen"/>
      <selection pane="topRight" activeCell="B1" sqref="B1"/>
      <selection pane="bottomLeft" activeCell="A8" sqref="A8"/>
      <selection pane="bottomRight" activeCell="F636" sqref="F636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179687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4.36328125" style="1" bestFit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81640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  <c r="Q3" s="4" t="s">
        <v>3</v>
      </c>
    </row>
    <row r="4" spans="1:26" ht="15" customHeight="1" x14ac:dyDescent="0.3">
      <c r="A4" s="54">
        <f>(A634)</f>
        <v>41871</v>
      </c>
      <c r="B4" s="53">
        <f t="shared" ref="B4:G4" si="0">J634</f>
        <v>257.38255033557044</v>
      </c>
      <c r="C4" s="53">
        <f t="shared" si="0"/>
        <v>241.52157080952281</v>
      </c>
      <c r="D4" s="53">
        <f t="shared" si="0"/>
        <v>263.35384359222587</v>
      </c>
      <c r="E4" s="53">
        <f t="shared" si="0"/>
        <v>259.44444444444446</v>
      </c>
      <c r="F4" s="53">
        <f t="shared" si="0"/>
        <v>192.30769230769232</v>
      </c>
      <c r="G4" s="53">
        <f t="shared" si="0"/>
        <v>170.21276595744681</v>
      </c>
    </row>
    <row r="5" spans="1:26" s="32" customFormat="1" ht="15.6" customHeight="1" x14ac:dyDescent="0.3">
      <c r="A5" s="28"/>
      <c r="B5" s="8">
        <f t="shared" ref="B5:G5" si="1">(B634-B633)/(B633)</f>
        <v>-2.0817069997397884E-3</v>
      </c>
      <c r="C5" s="8">
        <f t="shared" si="1"/>
        <v>-1</v>
      </c>
      <c r="D5" s="8">
        <f t="shared" si="1"/>
        <v>-0.13207547169811321</v>
      </c>
      <c r="E5" s="8">
        <f t="shared" si="1"/>
        <v>5.6561085972850679E-2</v>
      </c>
      <c r="F5" s="8">
        <f t="shared" si="1"/>
        <v>3.614457831325301E-2</v>
      </c>
      <c r="G5" s="8">
        <f t="shared" si="1"/>
        <v>5.4945054945054944E-2</v>
      </c>
      <c r="H5" s="29"/>
      <c r="I5" s="29"/>
      <c r="J5" s="29"/>
      <c r="K5" s="29"/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87" t="s">
        <v>28</v>
      </c>
      <c r="Z5" s="188"/>
    </row>
    <row r="6" spans="1:26" x14ac:dyDescent="0.3">
      <c r="A6" s="1" t="s">
        <v>4</v>
      </c>
      <c r="B6" s="19" t="s">
        <v>5</v>
      </c>
      <c r="C6" s="2" t="s">
        <v>30</v>
      </c>
      <c r="D6" s="2" t="s">
        <v>30</v>
      </c>
      <c r="E6" s="2" t="s">
        <v>22</v>
      </c>
      <c r="F6" s="19" t="s">
        <v>6</v>
      </c>
      <c r="I6" s="1" t="s">
        <v>7</v>
      </c>
      <c r="Q6" s="9" t="s">
        <v>8</v>
      </c>
      <c r="Y6" s="188"/>
      <c r="Z6" s="188"/>
    </row>
    <row r="7" spans="1:26" x14ac:dyDescent="0.3">
      <c r="A7" s="1" t="s">
        <v>9</v>
      </c>
      <c r="B7" s="19" t="s">
        <v>10</v>
      </c>
      <c r="C7" s="2" t="s">
        <v>26</v>
      </c>
      <c r="D7" s="2" t="s">
        <v>27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26</v>
      </c>
      <c r="S7" s="4" t="s">
        <v>27</v>
      </c>
      <c r="T7" s="4" t="s">
        <v>17</v>
      </c>
      <c r="U7" s="4" t="s">
        <v>13</v>
      </c>
      <c r="V7" s="3" t="s">
        <v>14</v>
      </c>
      <c r="Y7" s="4" t="s">
        <v>26</v>
      </c>
      <c r="Z7" s="4" t="s">
        <v>27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86" t="s">
        <v>25</v>
      </c>
      <c r="G236" s="186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3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95" customHeight="1" x14ac:dyDescent="0.3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3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3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3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3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3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3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3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3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3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3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3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3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3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3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3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3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3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3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3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73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3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3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3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3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3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3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3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82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3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3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4"/>
        <v>261.07382550335575</v>
      </c>
      <c r="K569" s="11">
        <f t="shared" si="139"/>
        <v>233.55864752387672</v>
      </c>
      <c r="L569" s="11">
        <f t="shared" si="139"/>
        <v>204.71740628819424</v>
      </c>
      <c r="M569" s="27">
        <f t="shared" si="142"/>
        <v>151.66666666666666</v>
      </c>
      <c r="N569" s="27">
        <f t="shared" si="142"/>
        <v>199.01610017889089</v>
      </c>
      <c r="O569" s="27">
        <f t="shared" si="142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3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633" si="143">(1+(B570-Q570)/Q570)*100</f>
        <v>260.40268456375838</v>
      </c>
      <c r="K570" s="11">
        <f t="shared" si="139"/>
        <v>233.55864752387672</v>
      </c>
      <c r="L570" s="11">
        <f t="shared" si="139"/>
        <v>205.35890216763102</v>
      </c>
      <c r="M570" s="27">
        <f t="shared" si="142"/>
        <v>172.22222222222223</v>
      </c>
      <c r="N570" s="27">
        <f t="shared" si="142"/>
        <v>201.25223613595705</v>
      </c>
      <c r="O570" s="27">
        <f t="shared" si="142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3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3"/>
        <v>259.66442953020135</v>
      </c>
      <c r="K571" s="11">
        <f t="shared" si="139"/>
        <v>236.34115952626894</v>
      </c>
      <c r="L571" s="11">
        <f t="shared" si="139"/>
        <v>209.60628014832275</v>
      </c>
      <c r="M571" s="27">
        <f t="shared" si="142"/>
        <v>175</v>
      </c>
      <c r="N571" s="27">
        <f t="shared" si="142"/>
        <v>196.77996422182468</v>
      </c>
      <c r="O571" s="27">
        <f t="shared" si="142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3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3"/>
        <v>258.32214765100667</v>
      </c>
      <c r="K572" s="11">
        <f t="shared" si="139"/>
        <v>235.98320095096116</v>
      </c>
      <c r="L572" s="11">
        <f t="shared" si="139"/>
        <v>209.07170024879213</v>
      </c>
      <c r="M572" s="27">
        <f t="shared" si="142"/>
        <v>162.77777777777777</v>
      </c>
      <c r="N572" s="27">
        <f t="shared" si="142"/>
        <v>196.77996422182468</v>
      </c>
      <c r="O572" s="27">
        <f t="shared" si="142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3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3"/>
        <v>257.78523489932883</v>
      </c>
      <c r="K573" s="11">
        <f t="shared" si="139"/>
        <v>235.98320095096116</v>
      </c>
      <c r="L573" s="11">
        <f t="shared" si="139"/>
        <v>214.95207914362902</v>
      </c>
      <c r="M573" s="27">
        <f t="shared" si="142"/>
        <v>163.88888888888889</v>
      </c>
      <c r="N573" s="27">
        <f t="shared" si="142"/>
        <v>203.48837209302326</v>
      </c>
      <c r="O573" s="27">
        <f t="shared" si="142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3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3"/>
        <v>257.58389261744964</v>
      </c>
      <c r="K574" s="11">
        <f t="shared" ref="K574:L589" si="144">(C574+Y574)/R574*100</f>
        <v>236.20348315115058</v>
      </c>
      <c r="L574" s="11">
        <f t="shared" si="144"/>
        <v>207.72455890197494</v>
      </c>
      <c r="M574" s="27">
        <f t="shared" si="142"/>
        <v>179.44444444444443</v>
      </c>
      <c r="N574" s="27">
        <f t="shared" si="142"/>
        <v>205.72450805008947</v>
      </c>
      <c r="O574" s="27">
        <f t="shared" si="142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3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3"/>
        <v>256.17449664429535</v>
      </c>
      <c r="K575" s="11">
        <f t="shared" si="144"/>
        <v>234.15483695101429</v>
      </c>
      <c r="L575" s="11">
        <f t="shared" si="144"/>
        <v>204.72548688541244</v>
      </c>
      <c r="M575" s="27">
        <f t="shared" si="142"/>
        <v>170.55555555555557</v>
      </c>
      <c r="N575" s="27">
        <f t="shared" si="142"/>
        <v>205.72450805008947</v>
      </c>
      <c r="O575" s="27">
        <f t="shared" si="142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3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3"/>
        <v>256.91275167785233</v>
      </c>
      <c r="K576" s="11">
        <f t="shared" si="144"/>
        <v>233.9620900258486</v>
      </c>
      <c r="L576" s="11">
        <f t="shared" si="144"/>
        <v>201.47524109626622</v>
      </c>
      <c r="M576" s="27">
        <f t="shared" si="142"/>
        <v>160</v>
      </c>
      <c r="N576" s="27">
        <f t="shared" si="142"/>
        <v>203.48837209302326</v>
      </c>
      <c r="O576" s="27">
        <f t="shared" si="142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3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3"/>
        <v>259.53020134228188</v>
      </c>
      <c r="K577" s="11">
        <f t="shared" si="144"/>
        <v>233.9620900258486</v>
      </c>
      <c r="L577" s="11">
        <f t="shared" si="144"/>
        <v>203.65632708635118</v>
      </c>
      <c r="M577" s="27">
        <f t="shared" si="142"/>
        <v>156.66666666666666</v>
      </c>
      <c r="N577" s="27">
        <f t="shared" si="142"/>
        <v>203.48837209302326</v>
      </c>
      <c r="O577" s="27">
        <f t="shared" si="142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3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3"/>
        <v>261.94630872483219</v>
      </c>
      <c r="K578" s="11">
        <f t="shared" si="144"/>
        <v>233.93455475082493</v>
      </c>
      <c r="L578" s="11">
        <f t="shared" si="144"/>
        <v>201.68907305607848</v>
      </c>
      <c r="M578" s="27">
        <f t="shared" si="142"/>
        <v>147.22222222222223</v>
      </c>
      <c r="N578" s="27">
        <f t="shared" si="142"/>
        <v>207.96064400715562</v>
      </c>
      <c r="O578" s="27">
        <f t="shared" si="142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3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3"/>
        <v>262.75167785234902</v>
      </c>
      <c r="K579" s="11">
        <f t="shared" si="144"/>
        <v>234.15483695101429</v>
      </c>
      <c r="L579" s="11">
        <f t="shared" si="144"/>
        <v>202.0312041917781</v>
      </c>
      <c r="M579" s="27">
        <f t="shared" si="142"/>
        <v>143.33333333333334</v>
      </c>
      <c r="N579" s="27">
        <f t="shared" si="142"/>
        <v>205.72450805008947</v>
      </c>
      <c r="O579" s="27">
        <f t="shared" si="142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3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3"/>
        <v>262.34899328859058</v>
      </c>
      <c r="K580" s="11">
        <f t="shared" si="144"/>
        <v>234.28709032617806</v>
      </c>
      <c r="L580" s="11">
        <f t="shared" si="144"/>
        <v>205.40121838704647</v>
      </c>
      <c r="M580" s="27">
        <f t="shared" si="142"/>
        <v>158.33333333333334</v>
      </c>
      <c r="N580" s="27">
        <f t="shared" si="142"/>
        <v>207.96064400715562</v>
      </c>
      <c r="O580" s="27">
        <f t="shared" si="142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3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3"/>
        <v>261.47651006711408</v>
      </c>
      <c r="K581" s="11">
        <f t="shared" si="144"/>
        <v>234.28709032617806</v>
      </c>
      <c r="L581" s="11">
        <f t="shared" si="144"/>
        <v>205.46536797499019</v>
      </c>
      <c r="M581" s="27">
        <f t="shared" si="142"/>
        <v>195.55555555555557</v>
      </c>
      <c r="N581" s="27">
        <f t="shared" si="142"/>
        <v>203.48837209302326</v>
      </c>
      <c r="O581" s="27">
        <f t="shared" si="142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3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3"/>
        <v>261.744966442953</v>
      </c>
      <c r="K582" s="11">
        <f t="shared" si="144"/>
        <v>234.28709032617806</v>
      </c>
      <c r="L582" s="11">
        <f t="shared" si="144"/>
        <v>205.87164869863344</v>
      </c>
      <c r="M582" s="27">
        <f t="shared" si="142"/>
        <v>197.22222222222223</v>
      </c>
      <c r="N582" s="27">
        <f t="shared" si="142"/>
        <v>201.25223613595705</v>
      </c>
      <c r="O582" s="27">
        <f t="shared" si="142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3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3"/>
        <v>262.6174496644295</v>
      </c>
      <c r="K583" s="11">
        <f t="shared" si="144"/>
        <v>237.37104112882946</v>
      </c>
      <c r="L583" s="11">
        <f t="shared" si="144"/>
        <v>209.93445593506621</v>
      </c>
      <c r="M583" s="27">
        <f t="shared" ref="M583:O598" si="145">(1+(E583-T582)/T582)*100</f>
        <v>217.7777777777778</v>
      </c>
      <c r="N583" s="27">
        <f t="shared" si="145"/>
        <v>201.25223613595705</v>
      </c>
      <c r="O583" s="27">
        <f t="shared" si="145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3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3"/>
        <v>267.18120805369125</v>
      </c>
      <c r="K584" s="11">
        <f t="shared" si="144"/>
        <v>244.17188015962643</v>
      </c>
      <c r="L584" s="11">
        <f t="shared" si="144"/>
        <v>216.56840116490881</v>
      </c>
      <c r="M584" s="27">
        <f t="shared" si="145"/>
        <v>236.11111111111111</v>
      </c>
      <c r="N584" s="27">
        <f t="shared" si="145"/>
        <v>203.48837209302326</v>
      </c>
      <c r="O584" s="27">
        <f t="shared" si="145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3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3"/>
        <v>267.18120805369125</v>
      </c>
      <c r="K585" s="11">
        <f t="shared" si="144"/>
        <v>236.81996172830563</v>
      </c>
      <c r="L585" s="11">
        <f t="shared" si="144"/>
        <v>216.93191549658962</v>
      </c>
      <c r="M585" s="27">
        <f t="shared" si="145"/>
        <v>251.66666666666666</v>
      </c>
      <c r="N585" s="27">
        <f t="shared" si="145"/>
        <v>212.43291592128801</v>
      </c>
      <c r="O585" s="27">
        <f t="shared" si="145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3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3"/>
        <v>266.71140939597313</v>
      </c>
      <c r="K586" s="11">
        <f t="shared" si="144"/>
        <v>251.63393969104192</v>
      </c>
      <c r="L586" s="11">
        <f t="shared" si="144"/>
        <v>214.79359589846717</v>
      </c>
      <c r="M586" s="27">
        <f t="shared" si="145"/>
        <v>305.55555555555554</v>
      </c>
      <c r="N586" s="27">
        <f t="shared" si="145"/>
        <v>225.84973166368516</v>
      </c>
      <c r="O586" s="27">
        <f t="shared" si="145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3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3"/>
        <v>265.50335570469798</v>
      </c>
      <c r="K587" s="11">
        <f t="shared" si="144"/>
        <v>240.26187110626483</v>
      </c>
      <c r="L587" s="11">
        <f t="shared" si="144"/>
        <v>234.57305218110031</v>
      </c>
      <c r="M587" s="27">
        <f t="shared" si="145"/>
        <v>310</v>
      </c>
      <c r="N587" s="27">
        <f t="shared" si="145"/>
        <v>232.55813953488374</v>
      </c>
      <c r="O587" s="27">
        <f t="shared" si="145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3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3"/>
        <v>263.02013422818794</v>
      </c>
      <c r="K588" s="11">
        <f t="shared" si="144"/>
        <v>239.1216542074595</v>
      </c>
      <c r="L588" s="11">
        <f t="shared" si="144"/>
        <v>257.7210595982242</v>
      </c>
      <c r="M588" s="27">
        <f t="shared" si="145"/>
        <v>330.55555555555554</v>
      </c>
      <c r="N588" s="27">
        <f t="shared" si="145"/>
        <v>259.391771019678</v>
      </c>
      <c r="O588" s="27">
        <f t="shared" si="145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3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3"/>
        <v>261.54362416107386</v>
      </c>
      <c r="K589" s="11">
        <f>(C589+Y589)/R589*100</f>
        <v>262.52663797758191</v>
      </c>
      <c r="L589" s="11">
        <f t="shared" si="144"/>
        <v>257.7210595982242</v>
      </c>
      <c r="M589" s="27">
        <f t="shared" si="145"/>
        <v>305.55555555555554</v>
      </c>
      <c r="N589" s="27">
        <f t="shared" si="145"/>
        <v>252.6833631484794</v>
      </c>
      <c r="O589" s="27">
        <f t="shared" si="145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3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3"/>
        <v>260.80536912751677</v>
      </c>
      <c r="K590" s="11">
        <f t="shared" ref="K590:L605" si="146">(C590+Y590)/R590*100</f>
        <v>256.11091889706603</v>
      </c>
      <c r="L590" s="11">
        <f t="shared" si="146"/>
        <v>258.61915382943567</v>
      </c>
      <c r="M590" s="27">
        <f t="shared" si="145"/>
        <v>347.22222222222223</v>
      </c>
      <c r="N590" s="27">
        <f t="shared" si="145"/>
        <v>257.15563506261179</v>
      </c>
      <c r="O590" s="27">
        <f t="shared" si="145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3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3"/>
        <v>260.80536912751677</v>
      </c>
      <c r="K591" s="11">
        <f t="shared" si="146"/>
        <v>252.88929171929624</v>
      </c>
      <c r="L591" s="11">
        <f t="shared" si="146"/>
        <v>251.84068070338731</v>
      </c>
      <c r="M591" s="27">
        <f t="shared" si="145"/>
        <v>356.11111111111109</v>
      </c>
      <c r="N591" s="27">
        <f t="shared" si="145"/>
        <v>248.21109123434707</v>
      </c>
      <c r="O591" s="27">
        <f t="shared" si="145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3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3"/>
        <v>259.73154362416108</v>
      </c>
      <c r="K592" s="11">
        <f t="shared" si="146"/>
        <v>262.0585383021795</v>
      </c>
      <c r="L592" s="11">
        <f t="shared" si="146"/>
        <v>261.46311889493859</v>
      </c>
      <c r="M592" s="27">
        <f t="shared" si="145"/>
        <v>343.33333333333331</v>
      </c>
      <c r="N592" s="27">
        <f t="shared" si="145"/>
        <v>245.97495527728083</v>
      </c>
      <c r="O592" s="27">
        <f t="shared" si="145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3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3"/>
        <v>258.85906040268452</v>
      </c>
      <c r="K593" s="11">
        <f t="shared" si="146"/>
        <v>289.53437336242678</v>
      </c>
      <c r="L593" s="11">
        <f t="shared" si="146"/>
        <v>287.56036422767505</v>
      </c>
      <c r="M593" s="27">
        <f t="shared" si="145"/>
        <v>323.88888888888891</v>
      </c>
      <c r="N593" s="27">
        <f t="shared" si="145"/>
        <v>243.7388193202147</v>
      </c>
      <c r="O593" s="27">
        <f t="shared" si="145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3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3"/>
        <v>257.18120805369125</v>
      </c>
      <c r="K594" s="11">
        <f t="shared" si="146"/>
        <v>268.4148174192693</v>
      </c>
      <c r="L594" s="11">
        <f t="shared" si="146"/>
        <v>263.14075441711606</v>
      </c>
      <c r="M594" s="27">
        <f t="shared" si="145"/>
        <v>384.44444444444446</v>
      </c>
      <c r="N594" s="27">
        <f t="shared" si="145"/>
        <v>243.7388193202147</v>
      </c>
      <c r="O594" s="27">
        <f t="shared" si="145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3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3"/>
        <v>256.51006711409394</v>
      </c>
      <c r="K595" s="11">
        <f t="shared" si="146"/>
        <v>262.9077624145346</v>
      </c>
      <c r="L595" s="11">
        <f t="shared" si="146"/>
        <v>236.41175944058475</v>
      </c>
      <c r="M595" s="27">
        <f t="shared" si="145"/>
        <v>361.11111111111114</v>
      </c>
      <c r="N595" s="27">
        <f t="shared" si="145"/>
        <v>237.03041144901613</v>
      </c>
      <c r="O595" s="27">
        <f t="shared" si="145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3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3"/>
        <v>257.98657718120808</v>
      </c>
      <c r="K596" s="11">
        <f t="shared" si="146"/>
        <v>249.14012490269789</v>
      </c>
      <c r="L596" s="11">
        <f t="shared" si="146"/>
        <v>237.92996635525171</v>
      </c>
      <c r="M596" s="27">
        <f t="shared" si="145"/>
        <v>294.44444444444446</v>
      </c>
      <c r="N596" s="27">
        <f t="shared" si="145"/>
        <v>237.03041144901613</v>
      </c>
      <c r="O596" s="27">
        <f t="shared" si="145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3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3"/>
        <v>260.60402684563758</v>
      </c>
      <c r="K597" s="11">
        <f t="shared" si="146"/>
        <v>248.59308883992753</v>
      </c>
      <c r="L597" s="11">
        <f t="shared" si="146"/>
        <v>242.20858631070351</v>
      </c>
      <c r="M597" s="27">
        <f t="shared" si="145"/>
        <v>301.11111111111109</v>
      </c>
      <c r="N597" s="27">
        <f t="shared" si="145"/>
        <v>243.7388193202147</v>
      </c>
      <c r="O597" s="27">
        <f t="shared" si="145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3">
      <c r="A598" s="61">
        <v>41619</v>
      </c>
      <c r="B598" s="155">
        <v>3.879</v>
      </c>
      <c r="C598" s="2">
        <v>487.5</v>
      </c>
      <c r="D598" s="2">
        <v>1562.5</v>
      </c>
      <c r="E598" s="2">
        <v>538</v>
      </c>
      <c r="F598" s="155">
        <v>57</v>
      </c>
      <c r="G598" s="155">
        <v>30.5</v>
      </c>
      <c r="I598" s="10">
        <v>41619</v>
      </c>
      <c r="J598" s="27">
        <f t="shared" si="143"/>
        <v>260.33557046979865</v>
      </c>
      <c r="K598" s="11">
        <f t="shared" si="146"/>
        <v>265.80263572972342</v>
      </c>
      <c r="L598" s="11">
        <f t="shared" si="146"/>
        <v>280.69833907690855</v>
      </c>
      <c r="M598" s="27">
        <f t="shared" si="145"/>
        <v>298.88888888888891</v>
      </c>
      <c r="N598" s="27">
        <f t="shared" si="145"/>
        <v>254.91949910554564</v>
      </c>
      <c r="O598" s="27">
        <f t="shared" si="145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84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3">
      <c r="A599" s="61">
        <v>41626</v>
      </c>
      <c r="B599" s="156">
        <v>3.87</v>
      </c>
      <c r="C599" s="2">
        <v>594</v>
      </c>
      <c r="D599" s="2">
        <v>1950</v>
      </c>
      <c r="E599" s="2">
        <v>577</v>
      </c>
      <c r="F599" s="156">
        <v>59.5</v>
      </c>
      <c r="G599" s="156">
        <v>31.5</v>
      </c>
      <c r="I599" s="10">
        <v>41626</v>
      </c>
      <c r="J599" s="27">
        <f t="shared" si="143"/>
        <v>259.73154362416108</v>
      </c>
      <c r="K599" s="11">
        <f t="shared" si="146"/>
        <v>271.66764930976586</v>
      </c>
      <c r="L599" s="11">
        <f t="shared" si="146"/>
        <v>297.27031596235798</v>
      </c>
      <c r="M599" s="27">
        <f t="shared" ref="M599:O614" si="147">(1+(E599-T598)/T598)*100</f>
        <v>320.55555555555554</v>
      </c>
      <c r="N599" s="27">
        <f t="shared" si="147"/>
        <v>266.10017889087658</v>
      </c>
      <c r="O599" s="27">
        <f t="shared" si="147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84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3">
      <c r="A600" s="61">
        <v>41633</v>
      </c>
      <c r="B600" s="156">
        <v>3.87</v>
      </c>
      <c r="C600" s="2">
        <v>650</v>
      </c>
      <c r="D600" s="2">
        <v>1700</v>
      </c>
      <c r="E600" s="2">
        <v>590</v>
      </c>
      <c r="F600" s="156">
        <v>58</v>
      </c>
      <c r="G600" s="156">
        <v>29.5</v>
      </c>
      <c r="I600" s="10">
        <v>41633</v>
      </c>
      <c r="J600" s="27">
        <f t="shared" si="143"/>
        <v>259.73154362416108</v>
      </c>
      <c r="K600" s="11">
        <f t="shared" si="146"/>
        <v>274.75160011241729</v>
      </c>
      <c r="L600" s="11">
        <f t="shared" si="146"/>
        <v>286.5787179717455</v>
      </c>
      <c r="M600" s="27">
        <f t="shared" si="147"/>
        <v>327.77777777777777</v>
      </c>
      <c r="N600" s="27">
        <f t="shared" si="147"/>
        <v>259.391771019678</v>
      </c>
      <c r="O600" s="27">
        <f t="shared" si="147"/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84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3">
      <c r="A601" s="61">
        <v>41640</v>
      </c>
      <c r="B601" s="156">
        <v>3.9</v>
      </c>
      <c r="C601" s="2">
        <v>650</v>
      </c>
      <c r="D601" s="2">
        <v>1731</v>
      </c>
      <c r="E601" s="2">
        <v>587</v>
      </c>
      <c r="F601" s="156">
        <v>58</v>
      </c>
      <c r="G601" s="156">
        <v>29.5</v>
      </c>
      <c r="I601" s="10">
        <v>41640</v>
      </c>
      <c r="J601" s="27">
        <f t="shared" si="143"/>
        <v>261.744966442953</v>
      </c>
      <c r="K601" s="11">
        <f t="shared" si="146"/>
        <v>274.24694808403342</v>
      </c>
      <c r="L601" s="11">
        <f t="shared" si="146"/>
        <v>287.29600039946507</v>
      </c>
      <c r="M601" s="27">
        <f t="shared" si="147"/>
        <v>326.11111111111109</v>
      </c>
      <c r="N601" s="27">
        <f t="shared" si="147"/>
        <v>259.391771019678</v>
      </c>
      <c r="O601" s="27">
        <f t="shared" si="147"/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84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3">
      <c r="A602" s="61">
        <v>41647</v>
      </c>
      <c r="B602" s="156">
        <v>3.91</v>
      </c>
      <c r="C602" s="2">
        <v>400</v>
      </c>
      <c r="D602" s="2">
        <v>1679</v>
      </c>
      <c r="E602" s="2">
        <v>568</v>
      </c>
      <c r="F602" s="156">
        <v>58</v>
      </c>
      <c r="G602" s="156">
        <v>29.5</v>
      </c>
      <c r="I602" s="10">
        <v>41647</v>
      </c>
      <c r="J602" s="27">
        <f t="shared" si="143"/>
        <v>262.41610738255031</v>
      </c>
      <c r="K602" s="27">
        <f t="shared" si="146"/>
        <v>260.47931057219677</v>
      </c>
      <c r="L602" s="27">
        <f t="shared" si="146"/>
        <v>285.07214801741765</v>
      </c>
      <c r="M602" s="27">
        <f t="shared" si="147"/>
        <v>315.55555555555554</v>
      </c>
      <c r="N602" s="27">
        <f t="shared" si="147"/>
        <v>259.391771019678</v>
      </c>
      <c r="O602" s="27">
        <f t="shared" si="147"/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84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3">
      <c r="A603" s="61">
        <v>41654</v>
      </c>
      <c r="B603" s="156">
        <v>3.8860000000000001</v>
      </c>
      <c r="C603" s="2" t="s">
        <v>19</v>
      </c>
      <c r="D603" s="2">
        <v>2000</v>
      </c>
      <c r="E603" s="2">
        <v>560</v>
      </c>
      <c r="F603" s="156">
        <v>57</v>
      </c>
      <c r="G603" s="156">
        <v>28.5</v>
      </c>
      <c r="I603" s="10">
        <v>41654</v>
      </c>
      <c r="J603" s="27">
        <f t="shared" si="143"/>
        <v>260.80536912751677</v>
      </c>
      <c r="K603" s="27">
        <f t="shared" si="146"/>
        <v>238.45109055325801</v>
      </c>
      <c r="L603" s="27">
        <f t="shared" si="146"/>
        <v>298.80015983736416</v>
      </c>
      <c r="M603" s="27">
        <f t="shared" si="147"/>
        <v>311.11111111111114</v>
      </c>
      <c r="N603" s="27">
        <f t="shared" si="147"/>
        <v>254.91949910554564</v>
      </c>
      <c r="O603" s="27">
        <f t="shared" si="147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84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3">
      <c r="A604" s="61">
        <v>41661</v>
      </c>
      <c r="B604" s="157">
        <v>3.8730000000000002</v>
      </c>
      <c r="C604" s="2">
        <v>975</v>
      </c>
      <c r="D604" s="2">
        <v>1737.5</v>
      </c>
      <c r="E604" s="2">
        <v>555</v>
      </c>
      <c r="F604" s="157">
        <v>56.5</v>
      </c>
      <c r="G604" s="157">
        <v>28</v>
      </c>
      <c r="I604" s="10">
        <v>41661</v>
      </c>
      <c r="J604" s="27">
        <f t="shared" si="143"/>
        <v>259.93288590604027</v>
      </c>
      <c r="K604" s="27">
        <f t="shared" si="146"/>
        <v>292.14487684942117</v>
      </c>
      <c r="L604" s="27">
        <f t="shared" si="146"/>
        <v>287.573981947221</v>
      </c>
      <c r="M604" s="27">
        <f t="shared" si="147"/>
        <v>308.33333333333337</v>
      </c>
      <c r="N604" s="27">
        <f t="shared" si="147"/>
        <v>252.6833631484794</v>
      </c>
      <c r="O604" s="27">
        <f t="shared" si="147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84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3">
      <c r="A605" s="61">
        <v>41668</v>
      </c>
      <c r="B605" s="158">
        <v>3.9039999999999999</v>
      </c>
      <c r="C605" s="2">
        <v>1000</v>
      </c>
      <c r="D605" s="2">
        <v>1194</v>
      </c>
      <c r="E605" s="2">
        <v>590</v>
      </c>
      <c r="F605" s="158">
        <v>56.5</v>
      </c>
      <c r="G605" s="158">
        <v>28</v>
      </c>
      <c r="I605" s="10">
        <v>41668</v>
      </c>
      <c r="J605" s="27">
        <f t="shared" si="143"/>
        <v>262.01342281879192</v>
      </c>
      <c r="K605" s="27">
        <f t="shared" si="146"/>
        <v>293.52164060060483</v>
      </c>
      <c r="L605" s="27">
        <f t="shared" si="146"/>
        <v>264.33044791562941</v>
      </c>
      <c r="M605" s="27">
        <f t="shared" si="147"/>
        <v>327.77777777777777</v>
      </c>
      <c r="N605" s="27">
        <f t="shared" si="147"/>
        <v>252.6833631484794</v>
      </c>
      <c r="O605" s="27">
        <f t="shared" si="147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84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3">
      <c r="A606" s="61">
        <v>41675</v>
      </c>
      <c r="B606" s="159">
        <v>3.9510000000000001</v>
      </c>
      <c r="C606" s="2">
        <v>800</v>
      </c>
      <c r="D606" s="2">
        <v>1146</v>
      </c>
      <c r="E606" s="2" t="s">
        <v>19</v>
      </c>
      <c r="F606" s="159">
        <v>56.5</v>
      </c>
      <c r="G606" s="159">
        <v>28</v>
      </c>
      <c r="I606" s="10">
        <v>41675</v>
      </c>
      <c r="J606" s="27">
        <f t="shared" si="143"/>
        <v>265.16778523489933</v>
      </c>
      <c r="K606" s="27">
        <f t="shared" ref="K606:L621" si="148">(C606+Y606)/R606*100</f>
        <v>283.08464386958161</v>
      </c>
      <c r="L606" s="27">
        <f t="shared" si="148"/>
        <v>262.88613682454815</v>
      </c>
      <c r="M606" s="37" t="s">
        <v>19</v>
      </c>
      <c r="N606" s="27">
        <f t="shared" si="147"/>
        <v>252.6833631484794</v>
      </c>
      <c r="O606" s="27">
        <f t="shared" si="147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84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3">
      <c r="A607" s="61">
        <v>41682</v>
      </c>
      <c r="B607" s="160">
        <v>3.9769999999999999</v>
      </c>
      <c r="C607" s="2">
        <v>900</v>
      </c>
      <c r="D607" s="2">
        <v>1850</v>
      </c>
      <c r="E607" s="2">
        <v>587</v>
      </c>
      <c r="F607" s="160">
        <v>55.5</v>
      </c>
      <c r="G607" s="160">
        <v>28</v>
      </c>
      <c r="I607" s="10">
        <v>41682</v>
      </c>
      <c r="J607" s="27">
        <f t="shared" si="143"/>
        <v>266.91275167785238</v>
      </c>
      <c r="K607" s="27">
        <f t="shared" si="148"/>
        <v>288.59169887431631</v>
      </c>
      <c r="L607" s="27">
        <f t="shared" si="148"/>
        <v>292.99367676611297</v>
      </c>
      <c r="M607" s="27">
        <f t="shared" ref="M607:O622" si="149">(1+(E607-T606)/T606)*100</f>
        <v>326.11111111111109</v>
      </c>
      <c r="N607" s="27">
        <f t="shared" si="147"/>
        <v>248.21109123434707</v>
      </c>
      <c r="O607" s="27">
        <f t="shared" si="147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84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3">
      <c r="A608" s="61">
        <v>41689</v>
      </c>
      <c r="B608" s="161">
        <v>3.9889999999999999</v>
      </c>
      <c r="C608" s="2" t="s">
        <v>19</v>
      </c>
      <c r="D608" s="2">
        <v>1350</v>
      </c>
      <c r="E608" s="2">
        <v>600</v>
      </c>
      <c r="F608" s="161">
        <v>52</v>
      </c>
      <c r="G608" s="161">
        <v>27</v>
      </c>
      <c r="I608" s="10">
        <v>41689</v>
      </c>
      <c r="J608" s="27">
        <f t="shared" si="143"/>
        <v>267.7181208053691</v>
      </c>
      <c r="K608" s="27">
        <f t="shared" si="148"/>
        <v>239.02820383170419</v>
      </c>
      <c r="L608" s="27">
        <f t="shared" si="148"/>
        <v>271.61048078488795</v>
      </c>
      <c r="M608" s="27">
        <f t="shared" si="149"/>
        <v>333.33333333333337</v>
      </c>
      <c r="N608" s="27">
        <f t="shared" si="147"/>
        <v>232.55813953488374</v>
      </c>
      <c r="O608" s="27">
        <f t="shared" si="147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84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3">
      <c r="A609" s="61">
        <v>41696</v>
      </c>
      <c r="B609" s="162">
        <v>4.0170000000000003</v>
      </c>
      <c r="C609" s="2" t="s">
        <v>19</v>
      </c>
      <c r="D609" s="2">
        <v>1712.5</v>
      </c>
      <c r="E609" s="2">
        <v>592</v>
      </c>
      <c r="F609" s="162">
        <v>53</v>
      </c>
      <c r="G609" s="162">
        <v>28</v>
      </c>
      <c r="I609" s="10">
        <v>41696</v>
      </c>
      <c r="J609" s="27">
        <f t="shared" si="143"/>
        <v>269.59731543624162</v>
      </c>
      <c r="K609" s="27">
        <f t="shared" si="148"/>
        <v>239.02820383170419</v>
      </c>
      <c r="L609" s="27">
        <f t="shared" si="148"/>
        <v>287.11329787127607</v>
      </c>
      <c r="M609" s="27">
        <f t="shared" si="149"/>
        <v>328.88888888888886</v>
      </c>
      <c r="N609" s="27">
        <f t="shared" si="147"/>
        <v>237.03041144901613</v>
      </c>
      <c r="O609" s="27">
        <f t="shared" si="147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84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3">
      <c r="A610" s="61">
        <v>41703</v>
      </c>
      <c r="B610" s="163">
        <v>4.016</v>
      </c>
      <c r="C610" s="2">
        <v>1125</v>
      </c>
      <c r="D610" s="2">
        <v>1733.5</v>
      </c>
      <c r="E610" s="2">
        <v>620</v>
      </c>
      <c r="F610" s="163">
        <v>53</v>
      </c>
      <c r="G610" s="163">
        <v>28</v>
      </c>
      <c r="I610" s="10">
        <v>41703</v>
      </c>
      <c r="J610" s="27">
        <f t="shared" si="143"/>
        <v>269.53020134228188</v>
      </c>
      <c r="K610" s="27">
        <f t="shared" si="148"/>
        <v>300.72861479342606</v>
      </c>
      <c r="L610" s="27">
        <f t="shared" si="148"/>
        <v>288.01139210248755</v>
      </c>
      <c r="M610" s="27">
        <f t="shared" si="149"/>
        <v>344.44444444444446</v>
      </c>
      <c r="N610" s="27">
        <f t="shared" si="147"/>
        <v>237.03041144901613</v>
      </c>
      <c r="O610" s="27">
        <f t="shared" si="147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84">
        <v>14.1</v>
      </c>
      <c r="X610" s="61">
        <v>41703</v>
      </c>
      <c r="Y610" s="68">
        <v>4335.7882894736849</v>
      </c>
      <c r="Z610" s="68">
        <v>5001.0263157894751</v>
      </c>
    </row>
    <row r="611" spans="1:26" x14ac:dyDescent="0.3">
      <c r="A611" s="61">
        <v>41710</v>
      </c>
      <c r="B611" s="164">
        <v>4.0209999999999999</v>
      </c>
      <c r="C611" s="2">
        <v>1200</v>
      </c>
      <c r="D611" s="2">
        <v>2687.5</v>
      </c>
      <c r="E611" s="2">
        <v>625</v>
      </c>
      <c r="F611" s="164">
        <v>52</v>
      </c>
      <c r="G611" s="164">
        <v>28</v>
      </c>
      <c r="I611" s="10">
        <v>41710</v>
      </c>
      <c r="J611" s="27">
        <f t="shared" si="143"/>
        <v>269.86577181208054</v>
      </c>
      <c r="K611" s="27">
        <f t="shared" si="148"/>
        <v>304.85890604697704</v>
      </c>
      <c r="L611" s="27">
        <f t="shared" si="148"/>
        <v>328.81053003466491</v>
      </c>
      <c r="M611" s="27">
        <f t="shared" si="149"/>
        <v>347.22222222222223</v>
      </c>
      <c r="N611" s="27">
        <f t="shared" si="147"/>
        <v>232.55813953488374</v>
      </c>
      <c r="O611" s="27">
        <f t="shared" si="147"/>
        <v>198.58156028368796</v>
      </c>
      <c r="Q611" s="4">
        <v>1.49</v>
      </c>
      <c r="R611" s="4">
        <v>1815.8525729999999</v>
      </c>
      <c r="S611" s="4">
        <v>2338.2847000000002</v>
      </c>
      <c r="T611" s="4">
        <v>180</v>
      </c>
      <c r="U611" s="4">
        <v>22.36</v>
      </c>
      <c r="V611" s="84">
        <v>14.1</v>
      </c>
      <c r="X611" s="61">
        <v>41710</v>
      </c>
      <c r="Y611" s="68">
        <v>4335.7882894736849</v>
      </c>
      <c r="Z611" s="68">
        <v>5001.0263157894751</v>
      </c>
    </row>
    <row r="612" spans="1:26" x14ac:dyDescent="0.3">
      <c r="A612" s="61">
        <v>41717</v>
      </c>
      <c r="B612" s="165">
        <v>4.0030000000000001</v>
      </c>
      <c r="C612" s="2">
        <v>1500</v>
      </c>
      <c r="D612" s="2">
        <v>3837.5</v>
      </c>
      <c r="E612" s="2">
        <v>578</v>
      </c>
      <c r="F612" s="165">
        <v>53</v>
      </c>
      <c r="G612" s="165">
        <v>30</v>
      </c>
      <c r="I612" s="10">
        <v>41717</v>
      </c>
      <c r="J612" s="27">
        <f t="shared" si="143"/>
        <v>268.65771812080538</v>
      </c>
      <c r="K612" s="27">
        <f t="shared" si="148"/>
        <v>321.38007106118107</v>
      </c>
      <c r="L612" s="27">
        <f t="shared" si="148"/>
        <v>377.99188079148252</v>
      </c>
      <c r="M612" s="27">
        <f t="shared" si="149"/>
        <v>321.11111111111114</v>
      </c>
      <c r="N612" s="27">
        <f t="shared" si="147"/>
        <v>237.03041144901613</v>
      </c>
      <c r="O612" s="27">
        <f t="shared" si="147"/>
        <v>212.7659574468085</v>
      </c>
      <c r="Q612" s="4">
        <v>1.49</v>
      </c>
      <c r="R612" s="4">
        <v>1815.8525729999999</v>
      </c>
      <c r="S612" s="4">
        <v>2338.2847000000002</v>
      </c>
      <c r="T612" s="4">
        <v>180</v>
      </c>
      <c r="U612" s="4">
        <v>22.36</v>
      </c>
      <c r="V612" s="84">
        <v>14.1</v>
      </c>
      <c r="X612" s="61">
        <v>41717</v>
      </c>
      <c r="Y612" s="68">
        <v>4335.7882894736849</v>
      </c>
      <c r="Z612" s="68">
        <v>5001.0263157894751</v>
      </c>
    </row>
    <row r="613" spans="1:26" x14ac:dyDescent="0.3">
      <c r="A613" s="61">
        <v>41724</v>
      </c>
      <c r="B613" s="166">
        <v>3.988</v>
      </c>
      <c r="C613" s="2">
        <v>1875</v>
      </c>
      <c r="D613" s="2">
        <v>2158.5</v>
      </c>
      <c r="E613" s="2">
        <v>469</v>
      </c>
      <c r="F613" s="166">
        <v>53</v>
      </c>
      <c r="G613" s="166">
        <v>29</v>
      </c>
      <c r="I613" s="10">
        <v>41724</v>
      </c>
      <c r="J613" s="27">
        <f t="shared" si="143"/>
        <v>267.65100671140942</v>
      </c>
      <c r="K613" s="27">
        <f t="shared" si="148"/>
        <v>342.03152732893614</v>
      </c>
      <c r="L613" s="27">
        <f t="shared" si="148"/>
        <v>306.18710868652886</v>
      </c>
      <c r="M613" s="27">
        <f t="shared" si="149"/>
        <v>260.55555555555554</v>
      </c>
      <c r="N613" s="27">
        <f t="shared" si="147"/>
        <v>237.03041144901613</v>
      </c>
      <c r="O613" s="27">
        <f t="shared" si="147"/>
        <v>205.67375886524823</v>
      </c>
      <c r="Q613" s="4">
        <v>1.49</v>
      </c>
      <c r="R613" s="4">
        <v>1815.8525729999999</v>
      </c>
      <c r="S613" s="4">
        <v>2338.2847000000002</v>
      </c>
      <c r="T613" s="4">
        <v>180</v>
      </c>
      <c r="U613" s="4">
        <v>22.36</v>
      </c>
      <c r="V613" s="84">
        <v>14.1</v>
      </c>
      <c r="X613" s="61">
        <v>41724</v>
      </c>
      <c r="Y613" s="68">
        <v>4335.7882894736849</v>
      </c>
      <c r="Z613" s="68">
        <v>5001.0263157894751</v>
      </c>
    </row>
    <row r="614" spans="1:26" x14ac:dyDescent="0.3">
      <c r="A614" s="61">
        <v>41731</v>
      </c>
      <c r="B614" s="167">
        <v>3.9750000000000001</v>
      </c>
      <c r="C614" s="2">
        <v>1875</v>
      </c>
      <c r="D614" s="2">
        <v>2537.5</v>
      </c>
      <c r="E614" s="2">
        <v>416</v>
      </c>
      <c r="F614" s="167">
        <v>51.5</v>
      </c>
      <c r="G614" s="167">
        <v>28</v>
      </c>
      <c r="I614" s="10">
        <v>41731</v>
      </c>
      <c r="J614" s="27">
        <f t="shared" si="143"/>
        <v>266.77852348993292</v>
      </c>
      <c r="K614" s="27">
        <f t="shared" si="148"/>
        <v>342.76977268914578</v>
      </c>
      <c r="L614" s="27">
        <f>(D614+Z614)/S614*100</f>
        <v>323.95321327007923</v>
      </c>
      <c r="M614" s="27">
        <f t="shared" si="149"/>
        <v>231.11111111111109</v>
      </c>
      <c r="N614" s="27">
        <f t="shared" si="147"/>
        <v>230.32200357781755</v>
      </c>
      <c r="O614" s="27">
        <f t="shared" si="147"/>
        <v>198.58156028368796</v>
      </c>
      <c r="Q614" s="4">
        <v>1.49</v>
      </c>
      <c r="R614" s="4">
        <v>1815.8525729999999</v>
      </c>
      <c r="S614" s="4">
        <v>2338.2847000000002</v>
      </c>
      <c r="T614" s="4">
        <v>180</v>
      </c>
      <c r="U614" s="4">
        <v>22.36</v>
      </c>
      <c r="V614" s="84">
        <v>14.1</v>
      </c>
      <c r="X614" s="61">
        <v>41731</v>
      </c>
      <c r="Y614" s="68">
        <v>4349.193736842105</v>
      </c>
      <c r="Z614" s="68">
        <v>5037.4484210526325</v>
      </c>
    </row>
    <row r="615" spans="1:26" x14ac:dyDescent="0.3">
      <c r="A615" s="61">
        <v>41738</v>
      </c>
      <c r="B615" s="168">
        <v>3.9590000000000001</v>
      </c>
      <c r="C615" s="2">
        <v>1325</v>
      </c>
      <c r="D615" s="2">
        <v>1933.5</v>
      </c>
      <c r="E615" s="2">
        <v>370</v>
      </c>
      <c r="F615" s="168">
        <v>50</v>
      </c>
      <c r="G615" s="168">
        <v>27</v>
      </c>
      <c r="I615" s="10">
        <v>41738</v>
      </c>
      <c r="J615" s="27">
        <f t="shared" si="143"/>
        <v>265.70469798657717</v>
      </c>
      <c r="K615" s="27">
        <f t="shared" si="148"/>
        <v>312.48097016310504</v>
      </c>
      <c r="L615" s="27">
        <f>(D615+Z615)/S615*100</f>
        <v>298.12231252475937</v>
      </c>
      <c r="M615" s="27">
        <f t="shared" si="149"/>
        <v>205.55555555555554</v>
      </c>
      <c r="N615" s="27">
        <f t="shared" si="149"/>
        <v>223.61359570661898</v>
      </c>
      <c r="O615" s="27">
        <f t="shared" si="149"/>
        <v>191.48936170212767</v>
      </c>
      <c r="Q615" s="4">
        <v>1.49</v>
      </c>
      <c r="R615" s="4">
        <v>1815.8525729999999</v>
      </c>
      <c r="S615" s="4">
        <v>2338.2847000000002</v>
      </c>
      <c r="T615" s="4">
        <v>180</v>
      </c>
      <c r="U615" s="4">
        <v>22.36</v>
      </c>
      <c r="V615" s="84">
        <v>14.1</v>
      </c>
      <c r="X615" s="61">
        <v>41738</v>
      </c>
      <c r="Y615" s="68">
        <v>4349.193736842105</v>
      </c>
      <c r="Z615" s="68">
        <v>5037.4484210526325</v>
      </c>
    </row>
    <row r="616" spans="1:26" x14ac:dyDescent="0.3">
      <c r="A616" s="61">
        <v>41745</v>
      </c>
      <c r="B616" s="169">
        <v>3.952</v>
      </c>
      <c r="C616" s="2">
        <v>1000</v>
      </c>
      <c r="D616" s="2">
        <v>1275</v>
      </c>
      <c r="E616" s="2">
        <v>384</v>
      </c>
      <c r="F616" s="169">
        <v>50</v>
      </c>
      <c r="G616" s="169">
        <v>27</v>
      </c>
      <c r="I616" s="10">
        <v>41745</v>
      </c>
      <c r="J616" s="27">
        <f t="shared" si="143"/>
        <v>265.23489932885906</v>
      </c>
      <c r="K616" s="27">
        <f t="shared" si="148"/>
        <v>294.58304139771735</v>
      </c>
      <c r="L616" s="27">
        <f>(D616+Z616)/S616*100</f>
        <v>269.96064341748598</v>
      </c>
      <c r="M616" s="27">
        <f t="shared" si="149"/>
        <v>213.33333333333334</v>
      </c>
      <c r="N616" s="27">
        <f t="shared" si="149"/>
        <v>223.61359570661898</v>
      </c>
      <c r="O616" s="27">
        <f t="shared" si="149"/>
        <v>191.48936170212767</v>
      </c>
      <c r="Q616" s="4">
        <v>1.49</v>
      </c>
      <c r="R616" s="4">
        <v>1815.8525729999999</v>
      </c>
      <c r="S616" s="4">
        <v>2338.2847000000002</v>
      </c>
      <c r="T616" s="4">
        <v>180</v>
      </c>
      <c r="U616" s="4">
        <v>22.36</v>
      </c>
      <c r="V616" s="84">
        <v>14.1</v>
      </c>
      <c r="X616" s="61">
        <v>41745</v>
      </c>
      <c r="Y616" s="68">
        <v>4349.193736842105</v>
      </c>
      <c r="Z616" s="68">
        <v>5037.4484210526325</v>
      </c>
    </row>
    <row r="617" spans="1:26" x14ac:dyDescent="0.3">
      <c r="A617" s="61">
        <v>41752</v>
      </c>
      <c r="B617" s="170">
        <v>3.9710000000000001</v>
      </c>
      <c r="C617" s="2">
        <v>2500</v>
      </c>
      <c r="D617" s="2">
        <v>1500</v>
      </c>
      <c r="E617" s="2">
        <v>377</v>
      </c>
      <c r="F617" s="170">
        <v>47.5</v>
      </c>
      <c r="G617" s="170">
        <v>26.5</v>
      </c>
      <c r="I617" s="10">
        <v>41752</v>
      </c>
      <c r="J617" s="27">
        <f t="shared" si="143"/>
        <v>266.51006711409394</v>
      </c>
      <c r="K617" s="27">
        <f t="shared" si="148"/>
        <v>377.18886646873756</v>
      </c>
      <c r="L617" s="27">
        <f>(D617+Z617)/S617*100</f>
        <v>279.58308160903727</v>
      </c>
      <c r="M617" s="27">
        <f t="shared" si="149"/>
        <v>209.44444444444446</v>
      </c>
      <c r="N617" s="27">
        <f t="shared" si="149"/>
        <v>212.43291592128801</v>
      </c>
      <c r="O617" s="27">
        <f t="shared" si="149"/>
        <v>187.94326241134752</v>
      </c>
      <c r="Q617" s="4">
        <v>1.49</v>
      </c>
      <c r="R617" s="4">
        <v>1815.8525729999999</v>
      </c>
      <c r="S617" s="4">
        <v>2338.2847000000002</v>
      </c>
      <c r="T617" s="4">
        <v>180</v>
      </c>
      <c r="U617" s="4">
        <v>22.36</v>
      </c>
      <c r="V617" s="84">
        <v>14.1</v>
      </c>
      <c r="X617" s="61">
        <v>41752</v>
      </c>
      <c r="Y617" s="68">
        <v>4349.193736842105</v>
      </c>
      <c r="Z617" s="68">
        <v>5037.4484210526325</v>
      </c>
    </row>
    <row r="618" spans="1:26" x14ac:dyDescent="0.3">
      <c r="A618" s="61">
        <v>41759</v>
      </c>
      <c r="B618" s="171">
        <v>3.9750000000000001</v>
      </c>
      <c r="C618" s="2">
        <v>875</v>
      </c>
      <c r="D618" s="2">
        <v>850</v>
      </c>
      <c r="E618" s="2">
        <v>360</v>
      </c>
      <c r="F618" s="171">
        <v>47.5</v>
      </c>
      <c r="G618" s="171">
        <v>26.5</v>
      </c>
      <c r="I618" s="10">
        <v>41759</v>
      </c>
      <c r="J618" s="27">
        <f t="shared" si="143"/>
        <v>266.77852348993292</v>
      </c>
      <c r="K618" s="27">
        <f t="shared" si="148"/>
        <v>287.699222641799</v>
      </c>
      <c r="L618" s="27">
        <f>(D618+Z618)/S618*100</f>
        <v>251.7849268334447</v>
      </c>
      <c r="M618" s="27">
        <f t="shared" si="149"/>
        <v>200</v>
      </c>
      <c r="N618" s="27">
        <f t="shared" si="149"/>
        <v>212.43291592128801</v>
      </c>
      <c r="O618" s="27">
        <f t="shared" si="149"/>
        <v>187.94326241134752</v>
      </c>
      <c r="Q618" s="4">
        <v>1.49</v>
      </c>
      <c r="R618" s="4">
        <v>1815.8525729999999</v>
      </c>
      <c r="S618" s="4">
        <v>2338.2847000000002</v>
      </c>
      <c r="T618" s="4">
        <v>180</v>
      </c>
      <c r="U618" s="4">
        <v>22.36</v>
      </c>
      <c r="V618" s="84">
        <v>14.1</v>
      </c>
      <c r="X618" s="61">
        <v>41759</v>
      </c>
      <c r="Y618" s="68">
        <v>4349.193736842105</v>
      </c>
      <c r="Z618" s="68">
        <v>5037.4484210526325</v>
      </c>
    </row>
    <row r="619" spans="1:26" x14ac:dyDescent="0.3">
      <c r="A619" s="61">
        <v>41766</v>
      </c>
      <c r="B619" s="172">
        <v>3.964</v>
      </c>
      <c r="C619" s="2">
        <v>700</v>
      </c>
      <c r="D619" s="2">
        <v>537.5</v>
      </c>
      <c r="E619" s="2">
        <v>365</v>
      </c>
      <c r="F619" s="172">
        <v>47</v>
      </c>
      <c r="G619" s="172">
        <v>26.5</v>
      </c>
      <c r="I619" s="10">
        <v>41766</v>
      </c>
      <c r="J619" s="27">
        <f t="shared" si="143"/>
        <v>266.04026845637583</v>
      </c>
      <c r="K619" s="27">
        <f t="shared" si="148"/>
        <v>278.38763317929335</v>
      </c>
      <c r="L619" s="27">
        <f t="shared" si="148"/>
        <v>238.5918550510664</v>
      </c>
      <c r="M619" s="27">
        <f t="shared" si="149"/>
        <v>202.77777777777777</v>
      </c>
      <c r="N619" s="27">
        <f t="shared" si="149"/>
        <v>210.19677996422183</v>
      </c>
      <c r="O619" s="27">
        <f t="shared" si="149"/>
        <v>187.94326241134752</v>
      </c>
      <c r="Q619" s="4">
        <v>1.49</v>
      </c>
      <c r="R619" s="4">
        <v>1815.8525729999999</v>
      </c>
      <c r="S619" s="4">
        <v>2338.2847000000002</v>
      </c>
      <c r="T619" s="4">
        <v>180</v>
      </c>
      <c r="U619" s="4">
        <v>22.36</v>
      </c>
      <c r="V619" s="84">
        <v>14.1</v>
      </c>
      <c r="X619" s="61">
        <v>41766</v>
      </c>
      <c r="Y619" s="68">
        <v>4355.1089999999995</v>
      </c>
      <c r="Z619" s="68">
        <v>5041.4568421052627</v>
      </c>
    </row>
    <row r="620" spans="1:26" x14ac:dyDescent="0.3">
      <c r="A620" s="61">
        <v>41773</v>
      </c>
      <c r="B620" s="173">
        <v>3.948</v>
      </c>
      <c r="C620" s="2">
        <v>200</v>
      </c>
      <c r="D620" s="2">
        <v>0</v>
      </c>
      <c r="E620" s="2">
        <v>355</v>
      </c>
      <c r="F620" s="173">
        <v>46.5</v>
      </c>
      <c r="G620" s="173">
        <v>26</v>
      </c>
      <c r="I620" s="10">
        <v>41773</v>
      </c>
      <c r="J620" s="27">
        <f t="shared" si="143"/>
        <v>264.96644295302013</v>
      </c>
      <c r="K620" s="27">
        <f t="shared" si="148"/>
        <v>250.8523581556199</v>
      </c>
      <c r="L620" s="27">
        <f t="shared" si="148"/>
        <v>215.60491937124948</v>
      </c>
      <c r="M620" s="27">
        <f t="shared" si="149"/>
        <v>197.22222222222223</v>
      </c>
      <c r="N620" s="27">
        <f t="shared" si="149"/>
        <v>207.96064400715562</v>
      </c>
      <c r="O620" s="27">
        <f t="shared" si="149"/>
        <v>184.39716312056737</v>
      </c>
      <c r="Q620" s="4">
        <v>1.49</v>
      </c>
      <c r="R620" s="4">
        <v>1815.8525729999999</v>
      </c>
      <c r="S620" s="4">
        <v>2338.2847000000002</v>
      </c>
      <c r="T620" s="4">
        <v>180</v>
      </c>
      <c r="U620" s="4">
        <v>22.36</v>
      </c>
      <c r="V620" s="84">
        <v>14.1</v>
      </c>
      <c r="X620" s="61">
        <v>41773</v>
      </c>
      <c r="Y620" s="68">
        <v>4355.1089999999995</v>
      </c>
      <c r="Z620" s="68">
        <v>5041.4568421052627</v>
      </c>
    </row>
    <row r="621" spans="1:26" x14ac:dyDescent="0.3">
      <c r="A621" s="61">
        <v>41780</v>
      </c>
      <c r="B621" s="174">
        <v>3.9340000000000002</v>
      </c>
      <c r="C621" s="2">
        <v>450</v>
      </c>
      <c r="D621" s="2">
        <v>-188</v>
      </c>
      <c r="E621" s="2">
        <v>373</v>
      </c>
      <c r="F621" s="174">
        <v>47.5</v>
      </c>
      <c r="G621" s="174">
        <v>26.5</v>
      </c>
      <c r="I621" s="10">
        <v>41780</v>
      </c>
      <c r="J621" s="27">
        <f t="shared" si="143"/>
        <v>264.0268456375839</v>
      </c>
      <c r="K621" s="27">
        <f t="shared" si="148"/>
        <v>264.61999566745664</v>
      </c>
      <c r="L621" s="27">
        <f t="shared" si="148"/>
        <v>207.56483768230885</v>
      </c>
      <c r="M621" s="27">
        <f t="shared" si="149"/>
        <v>207.2222222222222</v>
      </c>
      <c r="N621" s="27">
        <f t="shared" si="149"/>
        <v>212.43291592128801</v>
      </c>
      <c r="O621" s="27">
        <f t="shared" si="149"/>
        <v>187.94326241134752</v>
      </c>
      <c r="Q621" s="4">
        <v>1.49</v>
      </c>
      <c r="R621" s="4">
        <v>1815.8525729999999</v>
      </c>
      <c r="S621" s="4">
        <v>2338.2847000000002</v>
      </c>
      <c r="T621" s="4">
        <v>180</v>
      </c>
      <c r="U621" s="4">
        <v>22.36</v>
      </c>
      <c r="V621" s="84">
        <v>14.1</v>
      </c>
      <c r="X621" s="61">
        <v>41780</v>
      </c>
      <c r="Y621" s="68">
        <v>4355.1089999999995</v>
      </c>
      <c r="Z621" s="68">
        <v>5041.4568421052627</v>
      </c>
    </row>
    <row r="622" spans="1:26" x14ac:dyDescent="0.3">
      <c r="A622" s="61">
        <v>41787</v>
      </c>
      <c r="B622" s="175">
        <v>3.9249999999999998</v>
      </c>
      <c r="C622" s="2">
        <v>75</v>
      </c>
      <c r="D622" s="2">
        <v>225</v>
      </c>
      <c r="E622" s="2">
        <v>360</v>
      </c>
      <c r="F622" s="175">
        <v>47</v>
      </c>
      <c r="G622" s="175">
        <v>26</v>
      </c>
      <c r="I622" s="10">
        <v>41787</v>
      </c>
      <c r="J622" s="27">
        <f t="shared" si="143"/>
        <v>263.42281879194627</v>
      </c>
      <c r="K622" s="27">
        <f t="shared" ref="K622:L635" si="150">(C622+Y622)/R622*100</f>
        <v>243.96853939970157</v>
      </c>
      <c r="L622" s="27">
        <f t="shared" si="150"/>
        <v>225.22735756280073</v>
      </c>
      <c r="M622" s="27">
        <f t="shared" si="149"/>
        <v>200</v>
      </c>
      <c r="N622" s="27">
        <f t="shared" si="149"/>
        <v>210.19677996422183</v>
      </c>
      <c r="O622" s="27">
        <f t="shared" si="149"/>
        <v>184.39716312056737</v>
      </c>
      <c r="Q622" s="4">
        <v>1.49</v>
      </c>
      <c r="R622" s="4">
        <v>1815.8525729999999</v>
      </c>
      <c r="S622" s="4">
        <v>2338.2847000000002</v>
      </c>
      <c r="T622" s="4">
        <v>180</v>
      </c>
      <c r="U622" s="4">
        <v>22.36</v>
      </c>
      <c r="V622" s="84">
        <v>14.1</v>
      </c>
      <c r="X622" s="61">
        <v>41787</v>
      </c>
      <c r="Y622" s="68">
        <v>4355.1089999999995</v>
      </c>
      <c r="Z622" s="68">
        <v>5041.4568421052627</v>
      </c>
    </row>
    <row r="623" spans="1:26" x14ac:dyDescent="0.3">
      <c r="A623" s="61">
        <v>41794</v>
      </c>
      <c r="B623" s="176">
        <v>3.9180000000000001</v>
      </c>
      <c r="C623" s="2">
        <v>400</v>
      </c>
      <c r="D623" s="2">
        <v>168.5</v>
      </c>
      <c r="E623" s="2">
        <v>353</v>
      </c>
      <c r="F623" s="176">
        <v>46</v>
      </c>
      <c r="G623" s="176">
        <v>25</v>
      </c>
      <c r="H623" s="1" t="s">
        <v>33</v>
      </c>
      <c r="I623" s="10">
        <v>41794</v>
      </c>
      <c r="J623" s="27">
        <f t="shared" si="143"/>
        <v>262.95302013422821</v>
      </c>
      <c r="K623" s="27">
        <f t="shared" si="150"/>
        <v>263.85845401535192</v>
      </c>
      <c r="L623" s="27">
        <f t="shared" si="150"/>
        <v>222.23470050503252</v>
      </c>
      <c r="M623" s="27">
        <f t="shared" ref="M623:O635" si="151">(1+(E623-T622)/T622)*100</f>
        <v>196.11111111111111</v>
      </c>
      <c r="N623" s="27">
        <f t="shared" si="151"/>
        <v>205.72450805008947</v>
      </c>
      <c r="O623" s="27">
        <f t="shared" si="151"/>
        <v>177.3049645390071</v>
      </c>
      <c r="Q623" s="4">
        <v>1.49</v>
      </c>
      <c r="R623" s="4">
        <v>1815.8525729999999</v>
      </c>
      <c r="S623" s="4">
        <v>2338.2847000000002</v>
      </c>
      <c r="T623" s="4">
        <v>180</v>
      </c>
      <c r="U623" s="4">
        <v>22.36</v>
      </c>
      <c r="V623" s="84">
        <v>14.1</v>
      </c>
      <c r="X623" s="61">
        <v>41794</v>
      </c>
      <c r="Y623" s="68">
        <v>4391.2805263157898</v>
      </c>
      <c r="Z623" s="68">
        <v>5027.9799999999987</v>
      </c>
    </row>
    <row r="624" spans="1:26" x14ac:dyDescent="0.3">
      <c r="A624" s="61">
        <v>41801</v>
      </c>
      <c r="B624" s="177">
        <v>3.8919999999999999</v>
      </c>
      <c r="C624" s="2">
        <v>0</v>
      </c>
      <c r="D624" s="2">
        <v>425</v>
      </c>
      <c r="E624" s="2">
        <v>373</v>
      </c>
      <c r="F624" s="177">
        <v>45</v>
      </c>
      <c r="G624" s="177">
        <v>24</v>
      </c>
      <c r="I624" s="10">
        <v>41801</v>
      </c>
      <c r="J624" s="27">
        <f t="shared" si="143"/>
        <v>261.20805369127515</v>
      </c>
      <c r="K624" s="27">
        <f t="shared" si="150"/>
        <v>241.8302339964132</v>
      </c>
      <c r="L624" s="27">
        <f t="shared" si="150"/>
        <v>233.20428004340096</v>
      </c>
      <c r="M624" s="27">
        <f t="shared" si="151"/>
        <v>207.2222222222222</v>
      </c>
      <c r="N624" s="27">
        <f t="shared" si="151"/>
        <v>201.25223613595705</v>
      </c>
      <c r="O624" s="27">
        <f t="shared" si="151"/>
        <v>170.21276595744681</v>
      </c>
      <c r="Q624" s="4">
        <v>1.49</v>
      </c>
      <c r="R624" s="4">
        <v>1815.8525729999999</v>
      </c>
      <c r="S624" s="4">
        <v>2338.2847000000002</v>
      </c>
      <c r="T624" s="4">
        <v>180</v>
      </c>
      <c r="U624" s="4">
        <v>22.36</v>
      </c>
      <c r="V624" s="84">
        <v>14.1</v>
      </c>
      <c r="X624" s="61">
        <v>41801</v>
      </c>
      <c r="Y624" s="68">
        <v>4391.2805263157898</v>
      </c>
      <c r="Z624" s="68">
        <v>5027.9799999999987</v>
      </c>
    </row>
    <row r="625" spans="1:26" x14ac:dyDescent="0.3">
      <c r="A625" s="61">
        <v>41808</v>
      </c>
      <c r="B625" s="178">
        <v>3.8820000000000001</v>
      </c>
      <c r="C625" s="2">
        <v>-50</v>
      </c>
      <c r="D625" s="2">
        <v>800</v>
      </c>
      <c r="E625" s="2">
        <v>367</v>
      </c>
      <c r="F625" s="178">
        <v>44</v>
      </c>
      <c r="G625" s="178">
        <v>23</v>
      </c>
      <c r="I625" s="10">
        <v>41808</v>
      </c>
      <c r="J625" s="27">
        <f t="shared" si="143"/>
        <v>260.5369127516779</v>
      </c>
      <c r="K625" s="27">
        <f t="shared" si="150"/>
        <v>239.07670649404588</v>
      </c>
      <c r="L625" s="27">
        <f t="shared" si="150"/>
        <v>249.24167702931976</v>
      </c>
      <c r="M625" s="27">
        <f t="shared" si="151"/>
        <v>203.88888888888889</v>
      </c>
      <c r="N625" s="27">
        <f t="shared" si="151"/>
        <v>196.77996422182468</v>
      </c>
      <c r="O625" s="27">
        <f t="shared" si="151"/>
        <v>163.12056737588651</v>
      </c>
      <c r="Q625" s="4">
        <v>1.49</v>
      </c>
      <c r="R625" s="4">
        <v>1815.8525729999999</v>
      </c>
      <c r="S625" s="4">
        <v>2338.2847000000002</v>
      </c>
      <c r="T625" s="4">
        <v>180</v>
      </c>
      <c r="U625" s="4">
        <v>22.36</v>
      </c>
      <c r="V625" s="84">
        <v>14.1</v>
      </c>
      <c r="X625" s="61">
        <v>41808</v>
      </c>
      <c r="Y625" s="68">
        <v>4391.2805263157898</v>
      </c>
      <c r="Z625" s="68">
        <v>5027.9799999999987</v>
      </c>
    </row>
    <row r="626" spans="1:26" x14ac:dyDescent="0.3">
      <c r="A626" s="61">
        <v>41815</v>
      </c>
      <c r="B626" s="179">
        <v>3.919</v>
      </c>
      <c r="C626" s="2">
        <v>400</v>
      </c>
      <c r="D626" s="2">
        <v>637.5</v>
      </c>
      <c r="E626" s="2">
        <v>369</v>
      </c>
      <c r="F626" s="179">
        <v>43.5</v>
      </c>
      <c r="G626" s="179">
        <v>23</v>
      </c>
      <c r="I626" s="10">
        <v>41815</v>
      </c>
      <c r="J626" s="27">
        <f t="shared" si="143"/>
        <v>263.02013422818794</v>
      </c>
      <c r="K626" s="27">
        <f t="shared" si="150"/>
        <v>263.85845401535192</v>
      </c>
      <c r="L626" s="27">
        <f t="shared" si="150"/>
        <v>242.29213833542161</v>
      </c>
      <c r="M626" s="27">
        <f t="shared" si="151"/>
        <v>204.99999999999997</v>
      </c>
      <c r="N626" s="27">
        <f t="shared" si="151"/>
        <v>194.5438282647585</v>
      </c>
      <c r="O626" s="27">
        <f t="shared" si="151"/>
        <v>163.12056737588651</v>
      </c>
      <c r="Q626" s="4">
        <v>1.49</v>
      </c>
      <c r="R626" s="4">
        <v>1815.8525729999999</v>
      </c>
      <c r="S626" s="4">
        <v>2338.2847000000002</v>
      </c>
      <c r="T626" s="4">
        <v>180</v>
      </c>
      <c r="U626" s="4">
        <v>22.36</v>
      </c>
      <c r="V626" s="84">
        <v>14.1</v>
      </c>
      <c r="X626" s="61">
        <v>41815</v>
      </c>
      <c r="Y626" s="68">
        <v>4391.2805263157898</v>
      </c>
      <c r="Z626" s="68">
        <v>5027.9799999999987</v>
      </c>
    </row>
    <row r="627" spans="1:26" x14ac:dyDescent="0.3">
      <c r="A627" s="61">
        <v>41822</v>
      </c>
      <c r="B627" s="180">
        <v>3.92</v>
      </c>
      <c r="C627" s="2">
        <v>337.5</v>
      </c>
      <c r="D627" s="2">
        <v>875</v>
      </c>
      <c r="E627" s="2">
        <v>378</v>
      </c>
      <c r="F627" s="180">
        <v>42</v>
      </c>
      <c r="G627" s="180">
        <v>22</v>
      </c>
      <c r="I627" s="10">
        <v>41822</v>
      </c>
      <c r="J627" s="27">
        <f t="shared" si="143"/>
        <v>263.08724832214762</v>
      </c>
      <c r="K627" s="27">
        <f t="shared" si="150"/>
        <v>260.09837743294429</v>
      </c>
      <c r="L627" s="27">
        <f t="shared" si="150"/>
        <v>252.03013581978095</v>
      </c>
      <c r="M627" s="27">
        <f t="shared" si="151"/>
        <v>210</v>
      </c>
      <c r="N627" s="27">
        <f t="shared" si="151"/>
        <v>187.83542039355993</v>
      </c>
      <c r="O627" s="27">
        <f t="shared" si="151"/>
        <v>156.02836879432624</v>
      </c>
      <c r="Q627" s="4">
        <v>1.49</v>
      </c>
      <c r="R627" s="4">
        <v>1815.8525729999999</v>
      </c>
      <c r="S627" s="4">
        <v>2338.2847000000002</v>
      </c>
      <c r="T627" s="4">
        <v>180</v>
      </c>
      <c r="U627" s="4">
        <v>22.36</v>
      </c>
      <c r="V627" s="84">
        <v>14.1</v>
      </c>
      <c r="X627" s="61">
        <v>41822</v>
      </c>
      <c r="Y627" s="68">
        <v>4385.5030789473694</v>
      </c>
      <c r="Z627" s="68">
        <v>5018.1821052631576</v>
      </c>
    </row>
    <row r="628" spans="1:26" x14ac:dyDescent="0.3">
      <c r="A628" s="61">
        <v>41829</v>
      </c>
      <c r="B628" s="181">
        <v>3.9129999999999998</v>
      </c>
      <c r="C628" s="2">
        <v>500</v>
      </c>
      <c r="D628" s="2">
        <v>300</v>
      </c>
      <c r="E628" s="2">
        <v>345</v>
      </c>
      <c r="F628" s="181">
        <v>43</v>
      </c>
      <c r="G628" s="181">
        <v>23.5</v>
      </c>
      <c r="I628" s="10">
        <v>41829</v>
      </c>
      <c r="J628" s="27">
        <f t="shared" si="143"/>
        <v>262.6174496644295</v>
      </c>
      <c r="K628" s="27">
        <f t="shared" si="150"/>
        <v>269.04734181563816</v>
      </c>
      <c r="L628" s="27">
        <f t="shared" si="150"/>
        <v>227.43946044137212</v>
      </c>
      <c r="M628" s="27">
        <f t="shared" si="151"/>
        <v>191.66666666666666</v>
      </c>
      <c r="N628" s="27">
        <f t="shared" si="151"/>
        <v>192.30769230769232</v>
      </c>
      <c r="O628" s="27">
        <f t="shared" si="151"/>
        <v>166.66666666666669</v>
      </c>
      <c r="Q628" s="4">
        <v>1.49</v>
      </c>
      <c r="R628" s="4">
        <v>1815.8525729999999</v>
      </c>
      <c r="S628" s="4">
        <v>2338.2847000000002</v>
      </c>
      <c r="T628" s="4">
        <v>180</v>
      </c>
      <c r="U628" s="4">
        <v>22.36</v>
      </c>
      <c r="V628" s="84">
        <v>14.1</v>
      </c>
      <c r="X628" s="61">
        <v>41829</v>
      </c>
      <c r="Y628" s="68">
        <v>4385.5030789473694</v>
      </c>
      <c r="Z628" s="68">
        <v>5018.1821052631576</v>
      </c>
    </row>
    <row r="629" spans="1:26" x14ac:dyDescent="0.3">
      <c r="A629" s="61">
        <v>41836</v>
      </c>
      <c r="B629" s="19">
        <v>3.8940000000000001</v>
      </c>
      <c r="C629" s="2">
        <v>850</v>
      </c>
      <c r="D629" s="2">
        <v>1900</v>
      </c>
      <c r="E629" s="2">
        <v>405</v>
      </c>
      <c r="F629" s="19">
        <v>43</v>
      </c>
      <c r="G629" s="19">
        <v>24</v>
      </c>
      <c r="I629" s="10">
        <v>41836</v>
      </c>
      <c r="J629" s="27">
        <f t="shared" si="143"/>
        <v>261.34228187919462</v>
      </c>
      <c r="K629" s="27">
        <f t="shared" si="150"/>
        <v>288.32203433220951</v>
      </c>
      <c r="L629" s="27">
        <f t="shared" si="150"/>
        <v>295.86568758129226</v>
      </c>
      <c r="M629" s="27">
        <f t="shared" si="151"/>
        <v>225</v>
      </c>
      <c r="N629" s="27">
        <f t="shared" si="151"/>
        <v>192.30769230769232</v>
      </c>
      <c r="O629" s="27">
        <f t="shared" si="151"/>
        <v>170.21276595744681</v>
      </c>
      <c r="Q629" s="4">
        <v>1.49</v>
      </c>
      <c r="R629" s="4">
        <v>1815.8525729999999</v>
      </c>
      <c r="S629" s="4">
        <v>2338.2847000000002</v>
      </c>
      <c r="T629" s="4">
        <v>180</v>
      </c>
      <c r="U629" s="4">
        <v>22.36</v>
      </c>
      <c r="V629" s="84">
        <v>14.1</v>
      </c>
      <c r="X629" s="61">
        <v>41836</v>
      </c>
      <c r="Y629" s="68">
        <v>4385.5030789473694</v>
      </c>
      <c r="Z629" s="68">
        <v>5018.1821052631576</v>
      </c>
    </row>
    <row r="630" spans="1:26" x14ac:dyDescent="0.3">
      <c r="A630" s="61">
        <v>41843</v>
      </c>
      <c r="B630" s="19">
        <v>3.8690000000000002</v>
      </c>
      <c r="C630" s="2">
        <v>750</v>
      </c>
      <c r="D630" s="2">
        <v>1769</v>
      </c>
      <c r="E630" s="2">
        <v>547</v>
      </c>
      <c r="F630" s="19">
        <v>42.5</v>
      </c>
      <c r="G630" s="19">
        <v>23.5</v>
      </c>
      <c r="I630" s="10">
        <v>41843</v>
      </c>
      <c r="J630" s="27">
        <f t="shared" si="143"/>
        <v>259.66442953020135</v>
      </c>
      <c r="K630" s="27">
        <f t="shared" si="150"/>
        <v>282.81497932747482</v>
      </c>
      <c r="L630" s="27">
        <f t="shared" si="150"/>
        <v>290.2632902342113</v>
      </c>
      <c r="M630" s="27">
        <f t="shared" si="151"/>
        <v>303.88888888888886</v>
      </c>
      <c r="N630" s="27">
        <f t="shared" si="151"/>
        <v>190.07155635062611</v>
      </c>
      <c r="O630" s="27">
        <f t="shared" si="151"/>
        <v>166.66666666666669</v>
      </c>
      <c r="Q630" s="4">
        <v>1.49</v>
      </c>
      <c r="R630" s="4">
        <v>1815.8525729999999</v>
      </c>
      <c r="S630" s="4">
        <v>2338.2847000000002</v>
      </c>
      <c r="T630" s="4">
        <v>180</v>
      </c>
      <c r="U630" s="4">
        <v>22.36</v>
      </c>
      <c r="V630" s="84">
        <v>14.1</v>
      </c>
      <c r="X630" s="61">
        <v>41836</v>
      </c>
      <c r="Y630" s="68">
        <v>4385.5030789473694</v>
      </c>
      <c r="Z630" s="68">
        <v>5018.1821052631576</v>
      </c>
    </row>
    <row r="631" spans="1:26" x14ac:dyDescent="0.3">
      <c r="A631" s="61">
        <v>41850</v>
      </c>
      <c r="B631" s="182">
        <v>3.8580000000000001</v>
      </c>
      <c r="C631" s="2">
        <v>1100</v>
      </c>
      <c r="D631" s="2">
        <v>2466.5</v>
      </c>
      <c r="E631" s="2">
        <v>560</v>
      </c>
      <c r="F631" s="182">
        <v>42</v>
      </c>
      <c r="G631" s="182">
        <v>23.25</v>
      </c>
      <c r="I631" s="10">
        <v>41850</v>
      </c>
      <c r="J631" s="27">
        <f t="shared" si="143"/>
        <v>258.92617449664431</v>
      </c>
      <c r="K631" s="27">
        <f t="shared" si="150"/>
        <v>302.08967184404622</v>
      </c>
      <c r="L631" s="27">
        <f t="shared" si="150"/>
        <v>320.09284862802025</v>
      </c>
      <c r="M631" s="27">
        <f t="shared" si="151"/>
        <v>311.11111111111114</v>
      </c>
      <c r="N631" s="27">
        <f t="shared" si="151"/>
        <v>187.83542039355993</v>
      </c>
      <c r="O631" s="27">
        <f t="shared" si="151"/>
        <v>164.89361702127661</v>
      </c>
      <c r="Q631" s="4">
        <v>1.49</v>
      </c>
      <c r="R631" s="4">
        <v>1815.8525729999999</v>
      </c>
      <c r="S631" s="4">
        <v>2338.2847000000002</v>
      </c>
      <c r="T631" s="4">
        <v>180</v>
      </c>
      <c r="U631" s="4">
        <v>22.36</v>
      </c>
      <c r="V631" s="84">
        <v>14.1</v>
      </c>
      <c r="X631" s="61">
        <v>41850</v>
      </c>
      <c r="Y631" s="68">
        <v>4385.5030789473694</v>
      </c>
      <c r="Z631" s="68">
        <v>5018.1821052631576</v>
      </c>
    </row>
    <row r="632" spans="1:26" x14ac:dyDescent="0.3">
      <c r="A632" s="61">
        <v>41857</v>
      </c>
      <c r="B632" s="183">
        <v>3.8530000000000002</v>
      </c>
      <c r="C632" s="2">
        <v>950</v>
      </c>
      <c r="D632" s="2">
        <v>2016.5</v>
      </c>
      <c r="E632" s="2">
        <v>468</v>
      </c>
      <c r="F632" s="183">
        <v>41.5</v>
      </c>
      <c r="G632" s="183">
        <v>23</v>
      </c>
      <c r="I632" s="10">
        <v>41857</v>
      </c>
      <c r="J632" s="27">
        <f t="shared" si="143"/>
        <v>258.59060402684565</v>
      </c>
      <c r="K632" s="27">
        <f t="shared" si="150"/>
        <v>293.83859335450234</v>
      </c>
      <c r="L632" s="27">
        <f t="shared" si="150"/>
        <v>300.41092222768884</v>
      </c>
      <c r="M632" s="27">
        <f t="shared" si="151"/>
        <v>260</v>
      </c>
      <c r="N632" s="27">
        <f t="shared" si="151"/>
        <v>185.59928443649375</v>
      </c>
      <c r="O632" s="27">
        <f t="shared" si="151"/>
        <v>163.12056737588651</v>
      </c>
      <c r="Q632" s="4">
        <v>1.49</v>
      </c>
      <c r="R632" s="4">
        <v>1815.8525729999999</v>
      </c>
      <c r="S632" s="4">
        <v>2338.2847000000002</v>
      </c>
      <c r="T632" s="4">
        <v>180</v>
      </c>
      <c r="U632" s="4">
        <v>22.36</v>
      </c>
      <c r="V632" s="84">
        <v>14.1</v>
      </c>
      <c r="X632" s="61">
        <v>41857</v>
      </c>
      <c r="Y632" s="68">
        <v>4385.675657894737</v>
      </c>
      <c r="Z632" s="68">
        <v>5007.9626315789474</v>
      </c>
    </row>
    <row r="633" spans="1:26" x14ac:dyDescent="0.3">
      <c r="A633" s="61">
        <v>41864</v>
      </c>
      <c r="B633" s="184">
        <v>3.843</v>
      </c>
      <c r="C633" s="2">
        <v>1825</v>
      </c>
      <c r="D633" s="2">
        <v>1325</v>
      </c>
      <c r="E633" s="2">
        <v>442</v>
      </c>
      <c r="F633" s="184">
        <v>41.5</v>
      </c>
      <c r="G633" s="184">
        <v>22.75</v>
      </c>
      <c r="I633" s="10">
        <v>41864</v>
      </c>
      <c r="J633" s="27">
        <f t="shared" si="143"/>
        <v>257.91946308724835</v>
      </c>
      <c r="K633" s="27">
        <f t="shared" si="150"/>
        <v>342.02532464593077</v>
      </c>
      <c r="L633" s="27">
        <f t="shared" si="150"/>
        <v>270.83796218565459</v>
      </c>
      <c r="M633" s="27">
        <f t="shared" si="151"/>
        <v>245.55555555555557</v>
      </c>
      <c r="N633" s="27">
        <f t="shared" si="151"/>
        <v>185.59928443649375</v>
      </c>
      <c r="O633" s="27">
        <f t="shared" si="151"/>
        <v>161.34751773049646</v>
      </c>
      <c r="Q633" s="4">
        <v>1.49</v>
      </c>
      <c r="R633" s="4">
        <v>1815.8525729999999</v>
      </c>
      <c r="S633" s="4">
        <v>2338.2847000000002</v>
      </c>
      <c r="T633" s="4">
        <v>180</v>
      </c>
      <c r="U633" s="4">
        <v>22.36</v>
      </c>
      <c r="V633" s="84">
        <v>14.1</v>
      </c>
      <c r="X633" s="61">
        <v>41864</v>
      </c>
      <c r="Y633" s="68">
        <v>4385.675657894737</v>
      </c>
      <c r="Z633" s="68">
        <v>5007.9626315789474</v>
      </c>
    </row>
    <row r="634" spans="1:26" x14ac:dyDescent="0.3">
      <c r="A634" s="61">
        <v>41871</v>
      </c>
      <c r="B634" s="185">
        <v>3.835</v>
      </c>
      <c r="C634" s="2" t="s">
        <v>34</v>
      </c>
      <c r="D634" s="2">
        <v>1150</v>
      </c>
      <c r="E634" s="2">
        <v>467</v>
      </c>
      <c r="F634" s="185">
        <v>43</v>
      </c>
      <c r="G634" s="185">
        <v>24</v>
      </c>
      <c r="I634" s="10">
        <v>41871</v>
      </c>
      <c r="J634" s="27">
        <f t="shared" ref="J634:J635" si="152">(1+(B634-Q634)/Q634)*100</f>
        <v>257.38255033557044</v>
      </c>
      <c r="K634" s="27">
        <f t="shared" si="150"/>
        <v>241.52157080952281</v>
      </c>
      <c r="L634" s="27">
        <f t="shared" si="150"/>
        <v>263.35384359222587</v>
      </c>
      <c r="M634" s="27">
        <f t="shared" si="151"/>
        <v>259.44444444444446</v>
      </c>
      <c r="N634" s="27">
        <f t="shared" si="151"/>
        <v>192.30769230769232</v>
      </c>
      <c r="O634" s="27">
        <f t="shared" si="151"/>
        <v>170.21276595744681</v>
      </c>
      <c r="Q634" s="4">
        <v>1.49</v>
      </c>
      <c r="R634" s="4">
        <v>1815.8525729999999</v>
      </c>
      <c r="S634" s="4">
        <v>2338.2847000000002</v>
      </c>
      <c r="T634" s="4">
        <v>180</v>
      </c>
      <c r="U634" s="4">
        <v>22.36</v>
      </c>
      <c r="V634" s="84">
        <v>14.1</v>
      </c>
      <c r="X634" s="61">
        <v>41871</v>
      </c>
      <c r="Y634" s="68">
        <v>4385.675657894737</v>
      </c>
      <c r="Z634" s="68">
        <v>5007.9626315789474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5"/>
  <cols>
    <col min="1" max="1" width="2.90625" customWidth="1"/>
    <col min="2" max="2" width="20.81640625" customWidth="1"/>
    <col min="3" max="8" width="10.81640625" customWidth="1"/>
    <col min="9" max="9" width="12.1796875" customWidth="1"/>
    <col min="10" max="10" width="2.5429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5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5">
      <c r="A3" s="47"/>
      <c r="B3" s="40"/>
      <c r="C3" s="41" t="s">
        <v>16</v>
      </c>
      <c r="D3" s="190" t="s">
        <v>11</v>
      </c>
      <c r="E3" s="190"/>
      <c r="F3" s="41" t="s">
        <v>17</v>
      </c>
      <c r="G3" s="42" t="s">
        <v>6</v>
      </c>
      <c r="H3" s="42"/>
      <c r="I3" s="22"/>
      <c r="J3" s="47"/>
    </row>
    <row r="4" spans="1:10" x14ac:dyDescent="0.25">
      <c r="A4" s="47"/>
      <c r="B4" s="43" t="s">
        <v>21</v>
      </c>
      <c r="C4" s="52"/>
      <c r="D4" s="41" t="s">
        <v>29</v>
      </c>
      <c r="E4" s="41" t="s">
        <v>27</v>
      </c>
      <c r="F4" s="44"/>
      <c r="G4" s="45" t="s">
        <v>13</v>
      </c>
      <c r="H4" s="45" t="s">
        <v>18</v>
      </c>
      <c r="I4" s="22"/>
      <c r="J4" s="47"/>
    </row>
    <row r="5" spans="1:10" x14ac:dyDescent="0.25">
      <c r="A5" s="47"/>
      <c r="B5" s="36">
        <f>Data!A4</f>
        <v>41871</v>
      </c>
      <c r="C5" s="51">
        <f>Data!B4</f>
        <v>257.38255033557044</v>
      </c>
      <c r="D5" s="51">
        <f>Data!C4</f>
        <v>241.52157080952281</v>
      </c>
      <c r="E5" s="51">
        <f>Data!D4</f>
        <v>263.35384359222587</v>
      </c>
      <c r="F5" s="51">
        <f>Data!E4</f>
        <v>259.44444444444446</v>
      </c>
      <c r="G5" s="51">
        <f>Data!F4</f>
        <v>192.30769230769232</v>
      </c>
      <c r="H5" s="51">
        <f>Data!G4</f>
        <v>170.21276595744681</v>
      </c>
      <c r="I5" s="22"/>
      <c r="J5" s="47"/>
    </row>
    <row r="6" spans="1:10" ht="9" customHeight="1" x14ac:dyDescent="0.25">
      <c r="A6" s="47"/>
      <c r="B6" s="25"/>
      <c r="C6" s="26">
        <f>Data!B5</f>
        <v>-2.0817069997397884E-3</v>
      </c>
      <c r="D6" s="26">
        <f>Data!C5</f>
        <v>-1</v>
      </c>
      <c r="E6" s="26"/>
      <c r="F6" s="26">
        <f>Data!E5</f>
        <v>5.6561085972850679E-2</v>
      </c>
      <c r="G6" s="26">
        <f>Data!F5</f>
        <v>3.614457831325301E-2</v>
      </c>
      <c r="H6" s="26">
        <f>Data!G5</f>
        <v>5.4945054945054944E-2</v>
      </c>
      <c r="I6" s="22"/>
      <c r="J6" s="47"/>
    </row>
    <row r="7" spans="1:10" ht="12" customHeight="1" x14ac:dyDescent="0.25">
      <c r="A7" s="47"/>
      <c r="B7" s="49">
        <f>Data!A633</f>
        <v>41864</v>
      </c>
      <c r="C7" s="50">
        <f>Data!J633</f>
        <v>257.91946308724835</v>
      </c>
      <c r="D7" s="50">
        <f>Data!K633</f>
        <v>342.02532464593077</v>
      </c>
      <c r="E7" s="50">
        <f>Data!L633</f>
        <v>270.83796218565459</v>
      </c>
      <c r="F7" s="50">
        <f>Data!M633</f>
        <v>245.55555555555557</v>
      </c>
      <c r="G7" s="50">
        <f>Data!N633</f>
        <v>185.59928443649375</v>
      </c>
      <c r="H7" s="50">
        <f>Data!O633</f>
        <v>161.34751773049646</v>
      </c>
      <c r="I7" s="22"/>
      <c r="J7" s="47"/>
    </row>
    <row r="8" spans="1:10" x14ac:dyDescent="0.25">
      <c r="A8" s="47"/>
      <c r="B8" s="46" t="s">
        <v>32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5">
      <c r="A9" s="47"/>
      <c r="B9" s="21" t="s">
        <v>31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5">
      <c r="A10" s="47"/>
      <c r="B10" s="189"/>
      <c r="C10" s="189"/>
      <c r="D10" s="189"/>
      <c r="E10" s="189"/>
      <c r="F10" s="189"/>
      <c r="G10" s="189"/>
      <c r="H10" s="189"/>
      <c r="I10" s="22"/>
      <c r="J10" s="47"/>
    </row>
    <row r="11" spans="1:10" ht="9.75" customHeight="1" x14ac:dyDescent="0.25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5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2010-12-15T17:27:58Z</cp:lastPrinted>
  <dcterms:created xsi:type="dcterms:W3CDTF">2003-11-24T15:34:41Z</dcterms:created>
  <dcterms:modified xsi:type="dcterms:W3CDTF">2014-08-20T15:29:54Z</dcterms:modified>
</cp:coreProperties>
</file>