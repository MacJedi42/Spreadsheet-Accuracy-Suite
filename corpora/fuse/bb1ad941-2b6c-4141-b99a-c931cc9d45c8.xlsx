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28515" windowHeight="12840" activeTab="1"/>
  </bookViews>
  <sheets>
    <sheet name="RATS_q" sheetId="3" r:id="rId1"/>
    <sheet name="RATS_m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calcPr calcId="145621"/>
</workbook>
</file>

<file path=xl/calcChain.xml><?xml version="1.0" encoding="utf-8"?>
<calcChain xmlns="http://schemas.openxmlformats.org/spreadsheetml/2006/main">
  <c r="B3" i="3" l="1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CS3" i="3"/>
  <c r="CT3" i="3"/>
  <c r="CU3" i="3"/>
  <c r="CV3" i="3"/>
  <c r="CW3" i="3"/>
  <c r="CX3" i="3"/>
  <c r="CY3" i="3"/>
  <c r="CZ3" i="3"/>
  <c r="DA3" i="3"/>
  <c r="DB3" i="3"/>
  <c r="DC3" i="3"/>
  <c r="DD3" i="3"/>
  <c r="DE3" i="3"/>
  <c r="DF3" i="3"/>
  <c r="DG3" i="3"/>
  <c r="DH3" i="3"/>
  <c r="DI3" i="3"/>
  <c r="DJ3" i="3"/>
  <c r="DK3" i="3"/>
  <c r="DL3" i="3"/>
  <c r="DM3" i="3"/>
  <c r="DN3" i="3"/>
  <c r="DO3" i="3"/>
  <c r="DP3" i="3"/>
  <c r="DQ3" i="3"/>
  <c r="DR3" i="3"/>
  <c r="DS3" i="3"/>
  <c r="DT3" i="3"/>
  <c r="DU3" i="3"/>
  <c r="DV3" i="3"/>
  <c r="DW3" i="3"/>
  <c r="DX3" i="3"/>
  <c r="DY3" i="3"/>
  <c r="DZ3" i="3"/>
  <c r="EA3" i="3"/>
  <c r="EB3" i="3"/>
  <c r="EC3" i="3"/>
  <c r="ED3" i="3"/>
  <c r="EE3" i="3"/>
  <c r="EF3" i="3"/>
  <c r="EG3" i="3"/>
  <c r="EH3" i="3"/>
  <c r="EI3" i="3"/>
  <c r="EJ3" i="3"/>
  <c r="EK3" i="3"/>
  <c r="EL3" i="3"/>
  <c r="EM3" i="3"/>
  <c r="EN3" i="3"/>
  <c r="EO3" i="3"/>
  <c r="EP3" i="3"/>
  <c r="EQ3" i="3"/>
  <c r="ER3" i="3"/>
  <c r="ES3" i="3"/>
  <c r="ET3" i="3"/>
  <c r="EU3" i="3"/>
  <c r="EV3" i="3"/>
  <c r="EW3" i="3"/>
  <c r="EX3" i="3"/>
  <c r="EY3" i="3"/>
  <c r="EZ3" i="3"/>
  <c r="FA3" i="3"/>
  <c r="FB3" i="3"/>
  <c r="FC3" i="3"/>
  <c r="FD3" i="3"/>
  <c r="FE3" i="3"/>
  <c r="FF3" i="3"/>
  <c r="FG3" i="3"/>
  <c r="FH3" i="3"/>
  <c r="FI3" i="3"/>
  <c r="FJ3" i="3"/>
  <c r="FK3" i="3"/>
  <c r="FL3" i="3"/>
  <c r="FM3" i="3"/>
  <c r="FN3" i="3"/>
  <c r="FO3" i="3"/>
  <c r="FP3" i="3"/>
  <c r="FQ3" i="3"/>
  <c r="FR3" i="3"/>
  <c r="FS3" i="3"/>
  <c r="FT3" i="3"/>
  <c r="FU3" i="3"/>
  <c r="FV3" i="3"/>
  <c r="FW3" i="3"/>
  <c r="FX3" i="3"/>
  <c r="FY3" i="3"/>
  <c r="FZ3" i="3"/>
  <c r="GA3" i="3"/>
  <c r="GB3" i="3"/>
  <c r="GC3" i="3"/>
  <c r="GD3" i="3"/>
  <c r="GE3" i="3"/>
  <c r="GF3" i="3"/>
  <c r="GG3" i="3"/>
  <c r="GH3" i="3"/>
  <c r="GI3" i="3"/>
  <c r="GJ3" i="3"/>
  <c r="GK3" i="3"/>
  <c r="GL3" i="3"/>
  <c r="GM3" i="3"/>
  <c r="GN3" i="3"/>
  <c r="GO3" i="3"/>
  <c r="GP3" i="3"/>
  <c r="GQ3" i="3"/>
  <c r="GR3" i="3"/>
  <c r="GS3" i="3"/>
  <c r="GT3" i="3"/>
  <c r="GU3" i="3"/>
  <c r="GV3" i="3"/>
  <c r="GW3" i="3"/>
  <c r="GX3" i="3"/>
  <c r="GY3" i="3"/>
  <c r="GZ3" i="3"/>
  <c r="HA3" i="3"/>
  <c r="HB3" i="3"/>
  <c r="HC3" i="3"/>
  <c r="HD3" i="3"/>
  <c r="HE3" i="3"/>
  <c r="HF3" i="3"/>
  <c r="HG3" i="3"/>
  <c r="HH3" i="3"/>
  <c r="HI3" i="3"/>
  <c r="HJ3" i="3"/>
  <c r="HK3" i="3"/>
  <c r="HL3" i="3"/>
  <c r="HM3" i="3"/>
  <c r="HN3" i="3"/>
  <c r="HO3" i="3"/>
  <c r="HP3" i="3"/>
  <c r="HQ3" i="3"/>
  <c r="HR3" i="3"/>
  <c r="HS3" i="3"/>
  <c r="HT3" i="3"/>
  <c r="HU3" i="3"/>
  <c r="HV3" i="3"/>
  <c r="HW3" i="3"/>
  <c r="HX3" i="3"/>
  <c r="HY3" i="3"/>
  <c r="HZ3" i="3"/>
  <c r="IA3" i="3"/>
  <c r="IB3" i="3"/>
  <c r="IC3" i="3"/>
  <c r="ID3" i="3"/>
  <c r="IE3" i="3"/>
  <c r="IF3" i="3"/>
  <c r="IG3" i="3"/>
  <c r="IH3" i="3"/>
  <c r="II3" i="3"/>
  <c r="IJ3" i="3"/>
  <c r="IK3" i="3"/>
  <c r="IL3" i="3"/>
  <c r="IM3" i="3"/>
  <c r="IN3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CS4" i="3"/>
  <c r="CT4" i="3"/>
  <c r="CU4" i="3"/>
  <c r="CV4" i="3"/>
  <c r="CW4" i="3"/>
  <c r="CX4" i="3"/>
  <c r="CY4" i="3"/>
  <c r="CZ4" i="3"/>
  <c r="DA4" i="3"/>
  <c r="DB4" i="3"/>
  <c r="DC4" i="3"/>
  <c r="DD4" i="3"/>
  <c r="DE4" i="3"/>
  <c r="DF4" i="3"/>
  <c r="DG4" i="3"/>
  <c r="DH4" i="3"/>
  <c r="DI4" i="3"/>
  <c r="DJ4" i="3"/>
  <c r="DK4" i="3"/>
  <c r="DL4" i="3"/>
  <c r="DM4" i="3"/>
  <c r="DN4" i="3"/>
  <c r="DO4" i="3"/>
  <c r="DP4" i="3"/>
  <c r="DQ4" i="3"/>
  <c r="DR4" i="3"/>
  <c r="DS4" i="3"/>
  <c r="DT4" i="3"/>
  <c r="DU4" i="3"/>
  <c r="DV4" i="3"/>
  <c r="DW4" i="3"/>
  <c r="DX4" i="3"/>
  <c r="DY4" i="3"/>
  <c r="DZ4" i="3"/>
  <c r="EA4" i="3"/>
  <c r="EB4" i="3"/>
  <c r="EC4" i="3"/>
  <c r="ED4" i="3"/>
  <c r="EE4" i="3"/>
  <c r="EF4" i="3"/>
  <c r="EG4" i="3"/>
  <c r="EH4" i="3"/>
  <c r="EI4" i="3"/>
  <c r="EJ4" i="3"/>
  <c r="EK4" i="3"/>
  <c r="EL4" i="3"/>
  <c r="EM4" i="3"/>
  <c r="EN4" i="3"/>
  <c r="EO4" i="3"/>
  <c r="EP4" i="3"/>
  <c r="EQ4" i="3"/>
  <c r="ER4" i="3"/>
  <c r="ES4" i="3"/>
  <c r="ET4" i="3"/>
  <c r="EU4" i="3"/>
  <c r="EV4" i="3"/>
  <c r="EW4" i="3"/>
  <c r="EX4" i="3"/>
  <c r="EY4" i="3"/>
  <c r="EZ4" i="3"/>
  <c r="FA4" i="3"/>
  <c r="FB4" i="3"/>
  <c r="FC4" i="3"/>
  <c r="FD4" i="3"/>
  <c r="FE4" i="3"/>
  <c r="FF4" i="3"/>
  <c r="FG4" i="3"/>
  <c r="FH4" i="3"/>
  <c r="FI4" i="3"/>
  <c r="FJ4" i="3"/>
  <c r="FK4" i="3"/>
  <c r="FL4" i="3"/>
  <c r="FM4" i="3"/>
  <c r="FN4" i="3"/>
  <c r="FO4" i="3"/>
  <c r="FP4" i="3"/>
  <c r="FQ4" i="3"/>
  <c r="FR4" i="3"/>
  <c r="FS4" i="3"/>
  <c r="FT4" i="3"/>
  <c r="FU4" i="3"/>
  <c r="FV4" i="3"/>
  <c r="FW4" i="3"/>
  <c r="FX4" i="3"/>
  <c r="FY4" i="3"/>
  <c r="FZ4" i="3"/>
  <c r="GA4" i="3"/>
  <c r="GB4" i="3"/>
  <c r="GC4" i="3"/>
  <c r="GD4" i="3"/>
  <c r="GE4" i="3"/>
  <c r="GF4" i="3"/>
  <c r="GG4" i="3"/>
  <c r="GH4" i="3"/>
  <c r="GI4" i="3"/>
  <c r="GJ4" i="3"/>
  <c r="GK4" i="3"/>
  <c r="GL4" i="3"/>
  <c r="GM4" i="3"/>
  <c r="GN4" i="3"/>
  <c r="GO4" i="3"/>
  <c r="GP4" i="3"/>
  <c r="GQ4" i="3"/>
  <c r="GR4" i="3"/>
  <c r="GS4" i="3"/>
  <c r="GT4" i="3"/>
  <c r="GU4" i="3"/>
  <c r="GV4" i="3"/>
  <c r="GW4" i="3"/>
  <c r="GX4" i="3"/>
  <c r="GY4" i="3"/>
  <c r="GZ4" i="3"/>
  <c r="HA4" i="3"/>
  <c r="HB4" i="3"/>
  <c r="HC4" i="3"/>
  <c r="HD4" i="3"/>
  <c r="HE4" i="3"/>
  <c r="HF4" i="3"/>
  <c r="HG4" i="3"/>
  <c r="HH4" i="3"/>
  <c r="HI4" i="3"/>
  <c r="HJ4" i="3"/>
  <c r="HK4" i="3"/>
  <c r="HL4" i="3"/>
  <c r="HM4" i="3"/>
  <c r="HN4" i="3"/>
  <c r="HO4" i="3"/>
  <c r="HP4" i="3"/>
  <c r="HQ4" i="3"/>
  <c r="HR4" i="3"/>
  <c r="HS4" i="3"/>
  <c r="HT4" i="3"/>
  <c r="HU4" i="3"/>
  <c r="HV4" i="3"/>
  <c r="HW4" i="3"/>
  <c r="HX4" i="3"/>
  <c r="HY4" i="3"/>
  <c r="HZ4" i="3"/>
  <c r="IA4" i="3"/>
  <c r="IB4" i="3"/>
  <c r="IC4" i="3"/>
  <c r="ID4" i="3"/>
  <c r="IE4" i="3"/>
  <c r="IF4" i="3"/>
  <c r="IG4" i="3"/>
  <c r="IH4" i="3"/>
  <c r="II4" i="3"/>
  <c r="IJ4" i="3"/>
  <c r="IK4" i="3"/>
  <c r="IL4" i="3"/>
  <c r="IM4" i="3"/>
  <c r="IN4" i="3"/>
  <c r="FZ5" i="3"/>
  <c r="GA5" i="3"/>
  <c r="GB5" i="3"/>
  <c r="GC5" i="3"/>
  <c r="GD5" i="3"/>
  <c r="GE5" i="3"/>
  <c r="GF5" i="3"/>
  <c r="GG5" i="3"/>
  <c r="GH5" i="3"/>
  <c r="GI5" i="3"/>
  <c r="GJ5" i="3"/>
  <c r="GK5" i="3"/>
  <c r="GL5" i="3"/>
  <c r="GM5" i="3"/>
  <c r="GN5" i="3"/>
  <c r="GO5" i="3"/>
  <c r="GP5" i="3"/>
  <c r="GQ5" i="3"/>
  <c r="GR5" i="3"/>
  <c r="GS5" i="3"/>
  <c r="GT5" i="3"/>
  <c r="GU5" i="3"/>
  <c r="GV5" i="3"/>
  <c r="GW5" i="3"/>
  <c r="GX5" i="3"/>
  <c r="GY5" i="3"/>
  <c r="GZ5" i="3"/>
  <c r="HA5" i="3"/>
  <c r="HB5" i="3"/>
  <c r="HC5" i="3"/>
  <c r="HD5" i="3"/>
  <c r="HE5" i="3"/>
  <c r="HF5" i="3"/>
  <c r="HG5" i="3"/>
  <c r="HH5" i="3"/>
  <c r="HI5" i="3"/>
  <c r="HJ5" i="3"/>
  <c r="HK5" i="3"/>
  <c r="HL5" i="3"/>
  <c r="HM5" i="3"/>
  <c r="HN5" i="3"/>
  <c r="HO5" i="3"/>
  <c r="HP5" i="3"/>
  <c r="HQ5" i="3"/>
  <c r="HR5" i="3"/>
  <c r="HS5" i="3"/>
  <c r="HT5" i="3"/>
  <c r="HU5" i="3"/>
  <c r="HV5" i="3"/>
  <c r="HW5" i="3"/>
  <c r="HX5" i="3"/>
  <c r="HY5" i="3"/>
  <c r="HZ5" i="3"/>
  <c r="IA5" i="3"/>
  <c r="IB5" i="3"/>
  <c r="IC5" i="3"/>
  <c r="ID5" i="3"/>
  <c r="IE5" i="3"/>
  <c r="IF5" i="3"/>
  <c r="IG5" i="3"/>
  <c r="IH5" i="3"/>
  <c r="II5" i="3"/>
  <c r="IJ5" i="3"/>
  <c r="IK5" i="3"/>
  <c r="IL5" i="3"/>
  <c r="IM5" i="3"/>
  <c r="IN5" i="3"/>
  <c r="FZ6" i="3"/>
  <c r="GA6" i="3"/>
  <c r="GB6" i="3"/>
  <c r="GC6" i="3"/>
  <c r="GD6" i="3"/>
  <c r="GE6" i="3"/>
  <c r="GF6" i="3"/>
  <c r="GG6" i="3"/>
  <c r="GH6" i="3"/>
  <c r="GI6" i="3"/>
  <c r="GJ6" i="3"/>
  <c r="GK6" i="3"/>
  <c r="GL6" i="3"/>
  <c r="GM6" i="3"/>
  <c r="GN6" i="3"/>
  <c r="GO6" i="3"/>
  <c r="GP6" i="3"/>
  <c r="GQ6" i="3"/>
  <c r="GR6" i="3"/>
  <c r="GS6" i="3"/>
  <c r="GT6" i="3"/>
  <c r="GU6" i="3"/>
  <c r="GV6" i="3"/>
  <c r="GW6" i="3"/>
  <c r="GX6" i="3"/>
  <c r="GY6" i="3"/>
  <c r="GZ6" i="3"/>
  <c r="HA6" i="3"/>
  <c r="HB6" i="3"/>
  <c r="HC6" i="3"/>
  <c r="HD6" i="3"/>
  <c r="HE6" i="3"/>
  <c r="HF6" i="3"/>
  <c r="HG6" i="3"/>
  <c r="HH6" i="3"/>
  <c r="HI6" i="3"/>
  <c r="HJ6" i="3"/>
  <c r="HK6" i="3"/>
  <c r="HL6" i="3"/>
  <c r="HM6" i="3"/>
  <c r="HN6" i="3"/>
  <c r="HO6" i="3"/>
  <c r="HP6" i="3"/>
  <c r="HQ6" i="3"/>
  <c r="HR6" i="3"/>
  <c r="HS6" i="3"/>
  <c r="HT6" i="3"/>
  <c r="HU6" i="3"/>
  <c r="HV6" i="3"/>
  <c r="HW6" i="3"/>
  <c r="HX6" i="3"/>
  <c r="HY6" i="3"/>
  <c r="HZ6" i="3"/>
  <c r="IA6" i="3"/>
  <c r="IB6" i="3"/>
  <c r="IC6" i="3"/>
  <c r="ID6" i="3"/>
  <c r="IE6" i="3"/>
  <c r="IF6" i="3"/>
  <c r="IG6" i="3"/>
  <c r="IH6" i="3"/>
  <c r="II6" i="3"/>
  <c r="IJ6" i="3"/>
  <c r="IK6" i="3"/>
  <c r="IL6" i="3"/>
  <c r="IM6" i="3"/>
  <c r="IN6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CC7" i="3"/>
  <c r="CD7" i="3"/>
  <c r="CE7" i="3"/>
  <c r="CF7" i="3"/>
  <c r="CG7" i="3"/>
  <c r="CH7" i="3"/>
  <c r="CI7" i="3"/>
  <c r="CJ7" i="3"/>
  <c r="CK7" i="3"/>
  <c r="CL7" i="3"/>
  <c r="CM7" i="3"/>
  <c r="CN7" i="3"/>
  <c r="CO7" i="3"/>
  <c r="CP7" i="3"/>
  <c r="CQ7" i="3"/>
  <c r="CR7" i="3"/>
  <c r="CS7" i="3"/>
  <c r="CT7" i="3"/>
  <c r="CU7" i="3"/>
  <c r="CV7" i="3"/>
  <c r="CW7" i="3"/>
  <c r="CX7" i="3"/>
  <c r="CY7" i="3"/>
  <c r="CZ7" i="3"/>
  <c r="DA7" i="3"/>
  <c r="DB7" i="3"/>
  <c r="DC7" i="3"/>
  <c r="DD7" i="3"/>
  <c r="DE7" i="3"/>
  <c r="DF7" i="3"/>
  <c r="DG7" i="3"/>
  <c r="DH7" i="3"/>
  <c r="DI7" i="3"/>
  <c r="DJ7" i="3"/>
  <c r="DK7" i="3"/>
  <c r="DL7" i="3"/>
  <c r="DM7" i="3"/>
  <c r="DN7" i="3"/>
  <c r="DO7" i="3"/>
  <c r="DP7" i="3"/>
  <c r="DQ7" i="3"/>
  <c r="DR7" i="3"/>
  <c r="DS7" i="3"/>
  <c r="DT7" i="3"/>
  <c r="DU7" i="3"/>
  <c r="DV7" i="3"/>
  <c r="DW7" i="3"/>
  <c r="DX7" i="3"/>
  <c r="DY7" i="3"/>
  <c r="DZ7" i="3"/>
  <c r="EA7" i="3"/>
  <c r="EB7" i="3"/>
  <c r="EC7" i="3"/>
  <c r="ED7" i="3"/>
  <c r="EE7" i="3"/>
  <c r="EF7" i="3"/>
  <c r="EG7" i="3"/>
  <c r="EH7" i="3"/>
  <c r="EI7" i="3"/>
  <c r="EJ7" i="3"/>
  <c r="EK7" i="3"/>
  <c r="EL7" i="3"/>
  <c r="EM7" i="3"/>
  <c r="EN7" i="3"/>
  <c r="EO7" i="3"/>
  <c r="EP7" i="3"/>
  <c r="EQ7" i="3"/>
  <c r="ER7" i="3"/>
  <c r="ES7" i="3"/>
  <c r="ET7" i="3"/>
  <c r="EU7" i="3"/>
  <c r="EV7" i="3"/>
  <c r="EW7" i="3"/>
  <c r="EX7" i="3"/>
  <c r="EY7" i="3"/>
  <c r="EZ7" i="3"/>
  <c r="FA7" i="3"/>
  <c r="FB7" i="3"/>
  <c r="FC7" i="3"/>
  <c r="FD7" i="3"/>
  <c r="FE7" i="3"/>
  <c r="FF7" i="3"/>
  <c r="FG7" i="3"/>
  <c r="FH7" i="3"/>
  <c r="FI7" i="3"/>
  <c r="FJ7" i="3"/>
  <c r="FK7" i="3"/>
  <c r="FL7" i="3"/>
  <c r="FM7" i="3"/>
  <c r="FN7" i="3"/>
  <c r="FO7" i="3"/>
  <c r="FP7" i="3"/>
  <c r="FQ7" i="3"/>
  <c r="FR7" i="3"/>
  <c r="FS7" i="3"/>
  <c r="FT7" i="3"/>
  <c r="FU7" i="3"/>
  <c r="FV7" i="3"/>
  <c r="FW7" i="3"/>
  <c r="FX7" i="3"/>
  <c r="FY7" i="3"/>
  <c r="FZ7" i="3"/>
  <c r="GA7" i="3"/>
  <c r="GB7" i="3"/>
  <c r="GC7" i="3"/>
  <c r="GD7" i="3"/>
  <c r="GE7" i="3"/>
  <c r="GF7" i="3"/>
  <c r="GG7" i="3"/>
  <c r="GH7" i="3"/>
  <c r="GI7" i="3"/>
  <c r="GJ7" i="3"/>
  <c r="GK7" i="3"/>
  <c r="GL7" i="3"/>
  <c r="GM7" i="3"/>
  <c r="GN7" i="3"/>
  <c r="GO7" i="3"/>
  <c r="GP7" i="3"/>
  <c r="GQ7" i="3"/>
  <c r="GR7" i="3"/>
  <c r="GS7" i="3"/>
  <c r="GT7" i="3"/>
  <c r="GU7" i="3"/>
  <c r="GV7" i="3"/>
  <c r="GW7" i="3"/>
  <c r="GX7" i="3"/>
  <c r="GY7" i="3"/>
  <c r="GZ7" i="3"/>
  <c r="HA7" i="3"/>
  <c r="HB7" i="3"/>
  <c r="HC7" i="3"/>
  <c r="HD7" i="3"/>
  <c r="HE7" i="3"/>
  <c r="HF7" i="3"/>
  <c r="HG7" i="3"/>
  <c r="HH7" i="3"/>
  <c r="HI7" i="3"/>
  <c r="HJ7" i="3"/>
  <c r="HK7" i="3"/>
  <c r="HL7" i="3"/>
  <c r="HM7" i="3"/>
  <c r="HN7" i="3"/>
  <c r="HO7" i="3"/>
  <c r="HP7" i="3"/>
  <c r="HQ7" i="3"/>
  <c r="HR7" i="3"/>
  <c r="HS7" i="3"/>
  <c r="HT7" i="3"/>
  <c r="HU7" i="3"/>
  <c r="HV7" i="3"/>
  <c r="HW7" i="3"/>
  <c r="HX7" i="3"/>
  <c r="HY7" i="3"/>
  <c r="HZ7" i="3"/>
  <c r="IA7" i="3"/>
  <c r="IB7" i="3"/>
  <c r="IC7" i="3"/>
  <c r="ID7" i="3"/>
  <c r="IE7" i="3"/>
  <c r="IF7" i="3"/>
  <c r="IG7" i="3"/>
  <c r="IH7" i="3"/>
  <c r="II7" i="3"/>
  <c r="IJ7" i="3"/>
  <c r="IK7" i="3"/>
  <c r="IL7" i="3"/>
  <c r="IM7" i="3"/>
  <c r="IN7" i="3"/>
  <c r="FZ8" i="3"/>
  <c r="GA8" i="3"/>
  <c r="GB8" i="3"/>
  <c r="GC8" i="3"/>
  <c r="GD8" i="3"/>
  <c r="GE8" i="3"/>
  <c r="GF8" i="3"/>
  <c r="GG8" i="3"/>
  <c r="GH8" i="3"/>
  <c r="GI8" i="3"/>
  <c r="GJ8" i="3"/>
  <c r="GK8" i="3"/>
  <c r="GL8" i="3"/>
  <c r="GM8" i="3"/>
  <c r="GN8" i="3"/>
  <c r="GO8" i="3"/>
  <c r="GP8" i="3"/>
  <c r="GQ8" i="3"/>
  <c r="GR8" i="3"/>
  <c r="GS8" i="3"/>
  <c r="GT8" i="3"/>
  <c r="GU8" i="3"/>
  <c r="GV8" i="3"/>
  <c r="GW8" i="3"/>
  <c r="GX8" i="3"/>
  <c r="GY8" i="3"/>
  <c r="GZ8" i="3"/>
  <c r="HA8" i="3"/>
  <c r="HB8" i="3"/>
  <c r="HC8" i="3"/>
  <c r="HD8" i="3"/>
  <c r="HE8" i="3"/>
  <c r="HF8" i="3"/>
  <c r="HG8" i="3"/>
  <c r="HH8" i="3"/>
  <c r="HI8" i="3"/>
  <c r="HJ8" i="3"/>
  <c r="HK8" i="3"/>
  <c r="HL8" i="3"/>
  <c r="HM8" i="3"/>
  <c r="HN8" i="3"/>
  <c r="HO8" i="3"/>
  <c r="HP8" i="3"/>
  <c r="HQ8" i="3"/>
  <c r="HR8" i="3"/>
  <c r="HS8" i="3"/>
  <c r="HT8" i="3"/>
  <c r="HU8" i="3"/>
  <c r="HV8" i="3"/>
  <c r="HW8" i="3"/>
  <c r="HX8" i="3"/>
  <c r="HY8" i="3"/>
  <c r="HZ8" i="3"/>
  <c r="IA8" i="3"/>
  <c r="IB8" i="3"/>
  <c r="IC8" i="3"/>
  <c r="ID8" i="3"/>
  <c r="IE8" i="3"/>
  <c r="IF8" i="3"/>
  <c r="IG8" i="3"/>
  <c r="IH8" i="3"/>
  <c r="II8" i="3"/>
  <c r="IJ8" i="3"/>
  <c r="IK8" i="3"/>
  <c r="IL8" i="3"/>
  <c r="IM8" i="3"/>
  <c r="IN8" i="3"/>
  <c r="FZ9" i="3"/>
  <c r="GA9" i="3"/>
  <c r="GB9" i="3"/>
  <c r="GC9" i="3"/>
  <c r="GD9" i="3"/>
  <c r="GE9" i="3"/>
  <c r="GF9" i="3"/>
  <c r="GG9" i="3"/>
  <c r="GH9" i="3"/>
  <c r="GI9" i="3"/>
  <c r="GJ9" i="3"/>
  <c r="GK9" i="3"/>
  <c r="GL9" i="3"/>
  <c r="GM9" i="3"/>
  <c r="GN9" i="3"/>
  <c r="GO9" i="3"/>
  <c r="GP9" i="3"/>
  <c r="GQ9" i="3"/>
  <c r="GR9" i="3"/>
  <c r="GS9" i="3"/>
  <c r="GT9" i="3"/>
  <c r="GU9" i="3"/>
  <c r="GV9" i="3"/>
  <c r="GW9" i="3"/>
  <c r="GX9" i="3"/>
  <c r="GY9" i="3"/>
  <c r="GZ9" i="3"/>
  <c r="HA9" i="3"/>
  <c r="HB9" i="3"/>
  <c r="HC9" i="3"/>
  <c r="HD9" i="3"/>
  <c r="HE9" i="3"/>
  <c r="HF9" i="3"/>
  <c r="HG9" i="3"/>
  <c r="HH9" i="3"/>
  <c r="HI9" i="3"/>
  <c r="HJ9" i="3"/>
  <c r="HK9" i="3"/>
  <c r="HL9" i="3"/>
  <c r="HM9" i="3"/>
  <c r="HN9" i="3"/>
  <c r="HO9" i="3"/>
  <c r="HP9" i="3"/>
  <c r="HQ9" i="3"/>
  <c r="HR9" i="3"/>
  <c r="HS9" i="3"/>
  <c r="HT9" i="3"/>
  <c r="HU9" i="3"/>
  <c r="HV9" i="3"/>
  <c r="HW9" i="3"/>
  <c r="HX9" i="3"/>
  <c r="HY9" i="3"/>
  <c r="HZ9" i="3"/>
  <c r="IA9" i="3"/>
  <c r="IB9" i="3"/>
  <c r="IC9" i="3"/>
  <c r="ID9" i="3"/>
  <c r="IE9" i="3"/>
  <c r="IF9" i="3"/>
  <c r="IG9" i="3"/>
  <c r="IH9" i="3"/>
  <c r="II9" i="3"/>
  <c r="IJ9" i="3"/>
  <c r="IK9" i="3"/>
  <c r="IL9" i="3"/>
  <c r="IM9" i="3"/>
  <c r="IN9" i="3"/>
  <c r="FZ10" i="3"/>
  <c r="GA10" i="3"/>
  <c r="GB10" i="3"/>
  <c r="GC10" i="3"/>
  <c r="GD10" i="3"/>
  <c r="GE10" i="3"/>
  <c r="GF10" i="3"/>
  <c r="GG10" i="3"/>
  <c r="GH10" i="3"/>
  <c r="GI10" i="3"/>
  <c r="GJ10" i="3"/>
  <c r="GK10" i="3"/>
  <c r="GL10" i="3"/>
  <c r="GM10" i="3"/>
  <c r="GN10" i="3"/>
  <c r="GO10" i="3"/>
  <c r="GP10" i="3"/>
  <c r="GQ10" i="3"/>
  <c r="GR10" i="3"/>
  <c r="GS10" i="3"/>
  <c r="GT10" i="3"/>
  <c r="GU10" i="3"/>
  <c r="GV10" i="3"/>
  <c r="GW10" i="3"/>
  <c r="GX10" i="3"/>
  <c r="GY10" i="3"/>
  <c r="GZ10" i="3"/>
  <c r="HA10" i="3"/>
  <c r="HB10" i="3"/>
  <c r="HC10" i="3"/>
  <c r="HD10" i="3"/>
  <c r="HE10" i="3"/>
  <c r="HF10" i="3"/>
  <c r="HG10" i="3"/>
  <c r="HH10" i="3"/>
  <c r="HI10" i="3"/>
  <c r="HJ10" i="3"/>
  <c r="HK10" i="3"/>
  <c r="HL10" i="3"/>
  <c r="HM10" i="3"/>
  <c r="HN10" i="3"/>
  <c r="HO10" i="3"/>
  <c r="HP10" i="3"/>
  <c r="HQ10" i="3"/>
  <c r="HR10" i="3"/>
  <c r="HS10" i="3"/>
  <c r="HT10" i="3"/>
  <c r="HU10" i="3"/>
  <c r="HV10" i="3"/>
  <c r="HW10" i="3"/>
  <c r="HX10" i="3"/>
  <c r="HY10" i="3"/>
  <c r="HZ10" i="3"/>
  <c r="IA10" i="3"/>
  <c r="IB10" i="3"/>
  <c r="IC10" i="3"/>
  <c r="ID10" i="3"/>
  <c r="IE10" i="3"/>
  <c r="IF10" i="3"/>
  <c r="IG10" i="3"/>
  <c r="IH10" i="3"/>
  <c r="II10" i="3"/>
  <c r="IJ10" i="3"/>
  <c r="IK10" i="3"/>
  <c r="IL10" i="3"/>
  <c r="IM10" i="3"/>
  <c r="IN10" i="3"/>
  <c r="FZ11" i="3"/>
  <c r="GA11" i="3"/>
  <c r="GB11" i="3"/>
  <c r="GC11" i="3"/>
  <c r="GD11" i="3"/>
  <c r="GE11" i="3"/>
  <c r="GF11" i="3"/>
  <c r="GG11" i="3"/>
  <c r="GH11" i="3"/>
  <c r="GI11" i="3"/>
  <c r="GJ11" i="3"/>
  <c r="GK11" i="3"/>
  <c r="GL11" i="3"/>
  <c r="GM11" i="3"/>
  <c r="GN11" i="3"/>
  <c r="GO11" i="3"/>
  <c r="GP11" i="3"/>
  <c r="GQ11" i="3"/>
  <c r="GR11" i="3"/>
  <c r="GS11" i="3"/>
  <c r="GT11" i="3"/>
  <c r="GU11" i="3"/>
  <c r="GV11" i="3"/>
  <c r="GW11" i="3"/>
  <c r="GX11" i="3"/>
  <c r="GY11" i="3"/>
  <c r="GZ11" i="3"/>
  <c r="HA11" i="3"/>
  <c r="HB11" i="3"/>
  <c r="HC11" i="3"/>
  <c r="HD11" i="3"/>
  <c r="HE11" i="3"/>
  <c r="HF11" i="3"/>
  <c r="HG11" i="3"/>
  <c r="HH11" i="3"/>
  <c r="HI11" i="3"/>
  <c r="HJ11" i="3"/>
  <c r="HK11" i="3"/>
  <c r="HL11" i="3"/>
  <c r="HM11" i="3"/>
  <c r="HN11" i="3"/>
  <c r="HO11" i="3"/>
  <c r="HP11" i="3"/>
  <c r="HQ11" i="3"/>
  <c r="HR11" i="3"/>
  <c r="HS11" i="3"/>
  <c r="HT11" i="3"/>
  <c r="HU11" i="3"/>
  <c r="HV11" i="3"/>
  <c r="HW11" i="3"/>
  <c r="HX11" i="3"/>
  <c r="HY11" i="3"/>
  <c r="HZ11" i="3"/>
  <c r="IA11" i="3"/>
  <c r="IB11" i="3"/>
  <c r="IC11" i="3"/>
  <c r="ID11" i="3"/>
  <c r="IE11" i="3"/>
  <c r="IF11" i="3"/>
  <c r="IG11" i="3"/>
  <c r="IH11" i="3"/>
  <c r="II11" i="3"/>
  <c r="IJ11" i="3"/>
  <c r="IK11" i="3"/>
  <c r="IL11" i="3"/>
  <c r="IM11" i="3"/>
  <c r="IN11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DF12" i="3"/>
  <c r="DG12" i="3"/>
  <c r="DH12" i="3"/>
  <c r="DI12" i="3"/>
  <c r="DJ12" i="3"/>
  <c r="DK12" i="3"/>
  <c r="DL12" i="3"/>
  <c r="DM12" i="3"/>
  <c r="DN12" i="3"/>
  <c r="DO12" i="3"/>
  <c r="DP12" i="3"/>
  <c r="DQ12" i="3"/>
  <c r="DR12" i="3"/>
  <c r="DS12" i="3"/>
  <c r="DT12" i="3"/>
  <c r="DU12" i="3"/>
  <c r="DV12" i="3"/>
  <c r="DW12" i="3"/>
  <c r="DX12" i="3"/>
  <c r="DY12" i="3"/>
  <c r="DZ12" i="3"/>
  <c r="EA12" i="3"/>
  <c r="EB12" i="3"/>
  <c r="EC12" i="3"/>
  <c r="ED12" i="3"/>
  <c r="EE12" i="3"/>
  <c r="EF12" i="3"/>
  <c r="EG12" i="3"/>
  <c r="EH12" i="3"/>
  <c r="EI12" i="3"/>
  <c r="EJ12" i="3"/>
  <c r="EK12" i="3"/>
  <c r="EL12" i="3"/>
  <c r="EM12" i="3"/>
  <c r="EN12" i="3"/>
  <c r="EO12" i="3"/>
  <c r="EP12" i="3"/>
  <c r="EQ12" i="3"/>
  <c r="ER12" i="3"/>
  <c r="ES12" i="3"/>
  <c r="ET12" i="3"/>
  <c r="EU12" i="3"/>
  <c r="EV12" i="3"/>
  <c r="EW12" i="3"/>
  <c r="EX12" i="3"/>
  <c r="EY12" i="3"/>
  <c r="EZ12" i="3"/>
  <c r="FA12" i="3"/>
  <c r="FB12" i="3"/>
  <c r="FC12" i="3"/>
  <c r="FD12" i="3"/>
  <c r="FE12" i="3"/>
  <c r="FF12" i="3"/>
  <c r="FG12" i="3"/>
  <c r="FH12" i="3"/>
  <c r="FI12" i="3"/>
  <c r="FJ12" i="3"/>
  <c r="FK12" i="3"/>
  <c r="FL12" i="3"/>
  <c r="FM12" i="3"/>
  <c r="FN12" i="3"/>
  <c r="FO12" i="3"/>
  <c r="FP12" i="3"/>
  <c r="FQ12" i="3"/>
  <c r="FR12" i="3"/>
  <c r="FS12" i="3"/>
  <c r="FT12" i="3"/>
  <c r="FU12" i="3"/>
  <c r="FV12" i="3"/>
  <c r="FW12" i="3"/>
  <c r="FX12" i="3"/>
  <c r="FY12" i="3"/>
  <c r="FZ12" i="3"/>
  <c r="GA12" i="3"/>
  <c r="GB12" i="3"/>
  <c r="GC12" i="3"/>
  <c r="GD12" i="3"/>
  <c r="GE12" i="3"/>
  <c r="GF12" i="3"/>
  <c r="GG12" i="3"/>
  <c r="GH12" i="3"/>
  <c r="GI12" i="3"/>
  <c r="GJ12" i="3"/>
  <c r="GK12" i="3"/>
  <c r="GL12" i="3"/>
  <c r="GM12" i="3"/>
  <c r="GN12" i="3"/>
  <c r="GO12" i="3"/>
  <c r="GP12" i="3"/>
  <c r="GQ12" i="3"/>
  <c r="GR12" i="3"/>
  <c r="GS12" i="3"/>
  <c r="GT12" i="3"/>
  <c r="GU12" i="3"/>
  <c r="GV12" i="3"/>
  <c r="GW12" i="3"/>
  <c r="GX12" i="3"/>
  <c r="GY12" i="3"/>
  <c r="GZ12" i="3"/>
  <c r="HA12" i="3"/>
  <c r="HB12" i="3"/>
  <c r="HC12" i="3"/>
  <c r="HD12" i="3"/>
  <c r="HE12" i="3"/>
  <c r="HF12" i="3"/>
  <c r="HG12" i="3"/>
  <c r="HH12" i="3"/>
  <c r="HI12" i="3"/>
  <c r="HJ12" i="3"/>
  <c r="HK12" i="3"/>
  <c r="HL12" i="3"/>
  <c r="HM12" i="3"/>
  <c r="HN12" i="3"/>
  <c r="HO12" i="3"/>
  <c r="HP12" i="3"/>
  <c r="HQ12" i="3"/>
  <c r="HR12" i="3"/>
  <c r="HS12" i="3"/>
  <c r="HT12" i="3"/>
  <c r="HU12" i="3"/>
  <c r="HV12" i="3"/>
  <c r="HW12" i="3"/>
  <c r="HX12" i="3"/>
  <c r="HY12" i="3"/>
  <c r="HZ12" i="3"/>
  <c r="IA12" i="3"/>
  <c r="IB12" i="3"/>
  <c r="IC12" i="3"/>
  <c r="ID12" i="3"/>
  <c r="IE12" i="3"/>
  <c r="IF12" i="3"/>
  <c r="IG12" i="3"/>
  <c r="IH12" i="3"/>
  <c r="II12" i="3"/>
  <c r="IJ12" i="3"/>
  <c r="IK12" i="3"/>
  <c r="IL12" i="3"/>
  <c r="IM12" i="3"/>
  <c r="IN12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CS13" i="3"/>
  <c r="CT13" i="3"/>
  <c r="CU13" i="3"/>
  <c r="CV13" i="3"/>
  <c r="CW13" i="3"/>
  <c r="CX13" i="3"/>
  <c r="CY13" i="3"/>
  <c r="CZ13" i="3"/>
  <c r="DA13" i="3"/>
  <c r="DB13" i="3"/>
  <c r="DC13" i="3"/>
  <c r="DD13" i="3"/>
  <c r="DE13" i="3"/>
  <c r="DF13" i="3"/>
  <c r="DG13" i="3"/>
  <c r="DH13" i="3"/>
  <c r="DI13" i="3"/>
  <c r="DJ13" i="3"/>
  <c r="DK13" i="3"/>
  <c r="DL13" i="3"/>
  <c r="DM13" i="3"/>
  <c r="DN13" i="3"/>
  <c r="DO13" i="3"/>
  <c r="DP13" i="3"/>
  <c r="DQ13" i="3"/>
  <c r="DR13" i="3"/>
  <c r="DS13" i="3"/>
  <c r="DT13" i="3"/>
  <c r="DU13" i="3"/>
  <c r="DV13" i="3"/>
  <c r="DW13" i="3"/>
  <c r="DX13" i="3"/>
  <c r="DY13" i="3"/>
  <c r="DZ13" i="3"/>
  <c r="EA13" i="3"/>
  <c r="EB13" i="3"/>
  <c r="EC13" i="3"/>
  <c r="ED13" i="3"/>
  <c r="EE13" i="3"/>
  <c r="EF13" i="3"/>
  <c r="EG13" i="3"/>
  <c r="EH13" i="3"/>
  <c r="EI13" i="3"/>
  <c r="EJ13" i="3"/>
  <c r="EK13" i="3"/>
  <c r="EL13" i="3"/>
  <c r="EM13" i="3"/>
  <c r="EN13" i="3"/>
  <c r="EO13" i="3"/>
  <c r="EP13" i="3"/>
  <c r="EQ13" i="3"/>
  <c r="ER13" i="3"/>
  <c r="ES13" i="3"/>
  <c r="ET13" i="3"/>
  <c r="EU13" i="3"/>
  <c r="EV13" i="3"/>
  <c r="EW13" i="3"/>
  <c r="EX13" i="3"/>
  <c r="EY13" i="3"/>
  <c r="EZ13" i="3"/>
  <c r="FA13" i="3"/>
  <c r="FB13" i="3"/>
  <c r="FC13" i="3"/>
  <c r="FD13" i="3"/>
  <c r="FE13" i="3"/>
  <c r="FF13" i="3"/>
  <c r="FG13" i="3"/>
  <c r="FH13" i="3"/>
  <c r="FI13" i="3"/>
  <c r="FJ13" i="3"/>
  <c r="FK13" i="3"/>
  <c r="FL13" i="3"/>
  <c r="FM13" i="3"/>
  <c r="FN13" i="3"/>
  <c r="FO13" i="3"/>
  <c r="FP13" i="3"/>
  <c r="FQ13" i="3"/>
  <c r="FR13" i="3"/>
  <c r="FS13" i="3"/>
  <c r="FT13" i="3"/>
  <c r="FU13" i="3"/>
  <c r="FV13" i="3"/>
  <c r="FW13" i="3"/>
  <c r="FX13" i="3"/>
  <c r="FY13" i="3"/>
  <c r="FZ13" i="3"/>
  <c r="GA13" i="3"/>
  <c r="GB13" i="3"/>
  <c r="GC13" i="3"/>
  <c r="GD13" i="3"/>
  <c r="GE13" i="3"/>
  <c r="GF13" i="3"/>
  <c r="GG13" i="3"/>
  <c r="GH13" i="3"/>
  <c r="GI13" i="3"/>
  <c r="GJ13" i="3"/>
  <c r="GK13" i="3"/>
  <c r="GL13" i="3"/>
  <c r="GM13" i="3"/>
  <c r="GN13" i="3"/>
  <c r="GO13" i="3"/>
  <c r="GP13" i="3"/>
  <c r="GQ13" i="3"/>
  <c r="GR13" i="3"/>
  <c r="GS13" i="3"/>
  <c r="GT13" i="3"/>
  <c r="GU13" i="3"/>
  <c r="GV13" i="3"/>
  <c r="GW13" i="3"/>
  <c r="GX13" i="3"/>
  <c r="GY13" i="3"/>
  <c r="GZ13" i="3"/>
  <c r="HA13" i="3"/>
  <c r="HB13" i="3"/>
  <c r="HC13" i="3"/>
  <c r="HD13" i="3"/>
  <c r="HE13" i="3"/>
  <c r="HF13" i="3"/>
  <c r="HG13" i="3"/>
  <c r="HH13" i="3"/>
  <c r="HI13" i="3"/>
  <c r="HJ13" i="3"/>
  <c r="HK13" i="3"/>
  <c r="HL13" i="3"/>
  <c r="HM13" i="3"/>
  <c r="HN13" i="3"/>
  <c r="HO13" i="3"/>
  <c r="HP13" i="3"/>
  <c r="HQ13" i="3"/>
  <c r="HR13" i="3"/>
  <c r="HS13" i="3"/>
  <c r="HT13" i="3"/>
  <c r="HU13" i="3"/>
  <c r="HV13" i="3"/>
  <c r="HW13" i="3"/>
  <c r="HX13" i="3"/>
  <c r="HY13" i="3"/>
  <c r="HZ13" i="3"/>
  <c r="IA13" i="3"/>
  <c r="IB13" i="3"/>
  <c r="IC13" i="3"/>
  <c r="ID13" i="3"/>
  <c r="IE13" i="3"/>
  <c r="IF13" i="3"/>
  <c r="IG13" i="3"/>
  <c r="IH13" i="3"/>
  <c r="II13" i="3"/>
  <c r="IJ13" i="3"/>
  <c r="IK13" i="3"/>
  <c r="IL13" i="3"/>
  <c r="IM13" i="3"/>
  <c r="IN13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Q14" i="3"/>
  <c r="CR14" i="3"/>
  <c r="CS14" i="3"/>
  <c r="CT14" i="3"/>
  <c r="CU14" i="3"/>
  <c r="CV14" i="3"/>
  <c r="CW14" i="3"/>
  <c r="CX14" i="3"/>
  <c r="CY14" i="3"/>
  <c r="CZ14" i="3"/>
  <c r="DA14" i="3"/>
  <c r="DB14" i="3"/>
  <c r="DC14" i="3"/>
  <c r="DD14" i="3"/>
  <c r="DE14" i="3"/>
  <c r="DF14" i="3"/>
  <c r="DG14" i="3"/>
  <c r="DH14" i="3"/>
  <c r="DI14" i="3"/>
  <c r="DJ14" i="3"/>
  <c r="DK14" i="3"/>
  <c r="DL14" i="3"/>
  <c r="DM14" i="3"/>
  <c r="DN14" i="3"/>
  <c r="DO14" i="3"/>
  <c r="DP14" i="3"/>
  <c r="DQ14" i="3"/>
  <c r="DR14" i="3"/>
  <c r="DS14" i="3"/>
  <c r="DT14" i="3"/>
  <c r="DU14" i="3"/>
  <c r="DV14" i="3"/>
  <c r="DW14" i="3"/>
  <c r="DX14" i="3"/>
  <c r="DY14" i="3"/>
  <c r="DZ14" i="3"/>
  <c r="EA14" i="3"/>
  <c r="EB14" i="3"/>
  <c r="EC14" i="3"/>
  <c r="ED14" i="3"/>
  <c r="EE14" i="3"/>
  <c r="EF14" i="3"/>
  <c r="EG14" i="3"/>
  <c r="EH14" i="3"/>
  <c r="EI14" i="3"/>
  <c r="EJ14" i="3"/>
  <c r="EK14" i="3"/>
  <c r="EL14" i="3"/>
  <c r="EM14" i="3"/>
  <c r="EN14" i="3"/>
  <c r="EO14" i="3"/>
  <c r="EP14" i="3"/>
  <c r="EQ14" i="3"/>
  <c r="ER14" i="3"/>
  <c r="ES14" i="3"/>
  <c r="ET14" i="3"/>
  <c r="EU14" i="3"/>
  <c r="EV14" i="3"/>
  <c r="EW14" i="3"/>
  <c r="EX14" i="3"/>
  <c r="EY14" i="3"/>
  <c r="EZ14" i="3"/>
  <c r="FA14" i="3"/>
  <c r="FB14" i="3"/>
  <c r="FC14" i="3"/>
  <c r="FD14" i="3"/>
  <c r="FE14" i="3"/>
  <c r="FF14" i="3"/>
  <c r="FG14" i="3"/>
  <c r="FH14" i="3"/>
  <c r="FI14" i="3"/>
  <c r="FJ14" i="3"/>
  <c r="FK14" i="3"/>
  <c r="FL14" i="3"/>
  <c r="FM14" i="3"/>
  <c r="FN14" i="3"/>
  <c r="FO14" i="3"/>
  <c r="FP14" i="3"/>
  <c r="FQ14" i="3"/>
  <c r="FR14" i="3"/>
  <c r="FS14" i="3"/>
  <c r="FT14" i="3"/>
  <c r="FU14" i="3"/>
  <c r="FV14" i="3"/>
  <c r="FW14" i="3"/>
  <c r="FX14" i="3"/>
  <c r="FY14" i="3"/>
  <c r="FZ14" i="3"/>
  <c r="GA14" i="3"/>
  <c r="GB14" i="3"/>
  <c r="GC14" i="3"/>
  <c r="GD14" i="3"/>
  <c r="GE14" i="3"/>
  <c r="GF14" i="3"/>
  <c r="GG14" i="3"/>
  <c r="GH14" i="3"/>
  <c r="GI14" i="3"/>
  <c r="GJ14" i="3"/>
  <c r="GK14" i="3"/>
  <c r="GL14" i="3"/>
  <c r="GM14" i="3"/>
  <c r="GN14" i="3"/>
  <c r="GO14" i="3"/>
  <c r="GP14" i="3"/>
  <c r="GQ14" i="3"/>
  <c r="GR14" i="3"/>
  <c r="GS14" i="3"/>
  <c r="GT14" i="3"/>
  <c r="GU14" i="3"/>
  <c r="GV14" i="3"/>
  <c r="GW14" i="3"/>
  <c r="GX14" i="3"/>
  <c r="GY14" i="3"/>
  <c r="GZ14" i="3"/>
  <c r="HA14" i="3"/>
  <c r="HB14" i="3"/>
  <c r="HC14" i="3"/>
  <c r="HD14" i="3"/>
  <c r="HE14" i="3"/>
  <c r="HF14" i="3"/>
  <c r="HG14" i="3"/>
  <c r="HH14" i="3"/>
  <c r="HI14" i="3"/>
  <c r="HJ14" i="3"/>
  <c r="HK14" i="3"/>
  <c r="HL14" i="3"/>
  <c r="HM14" i="3"/>
  <c r="HN14" i="3"/>
  <c r="HO14" i="3"/>
  <c r="HP14" i="3"/>
  <c r="HQ14" i="3"/>
  <c r="HR14" i="3"/>
  <c r="HS14" i="3"/>
  <c r="HT14" i="3"/>
  <c r="HU14" i="3"/>
  <c r="HV14" i="3"/>
  <c r="HW14" i="3"/>
  <c r="HX14" i="3"/>
  <c r="HY14" i="3"/>
  <c r="HZ14" i="3"/>
  <c r="IA14" i="3"/>
  <c r="IB14" i="3"/>
  <c r="IC14" i="3"/>
  <c r="ID14" i="3"/>
  <c r="IE14" i="3"/>
  <c r="IF14" i="3"/>
  <c r="IG14" i="3"/>
  <c r="IH14" i="3"/>
  <c r="II14" i="3"/>
  <c r="IJ14" i="3"/>
  <c r="IK14" i="3"/>
  <c r="IL14" i="3"/>
  <c r="IM14" i="3"/>
  <c r="IN14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CS15" i="3"/>
  <c r="CT15" i="3"/>
  <c r="CU15" i="3"/>
  <c r="CV15" i="3"/>
  <c r="CW15" i="3"/>
  <c r="CX15" i="3"/>
  <c r="CY15" i="3"/>
  <c r="CZ15" i="3"/>
  <c r="DA15" i="3"/>
  <c r="DB15" i="3"/>
  <c r="DC15" i="3"/>
  <c r="DD15" i="3"/>
  <c r="DE15" i="3"/>
  <c r="DF15" i="3"/>
  <c r="DG15" i="3"/>
  <c r="DH15" i="3"/>
  <c r="DI15" i="3"/>
  <c r="DJ15" i="3"/>
  <c r="DK15" i="3"/>
  <c r="DL15" i="3"/>
  <c r="DM15" i="3"/>
  <c r="DN15" i="3"/>
  <c r="DO15" i="3"/>
  <c r="DP15" i="3"/>
  <c r="DQ15" i="3"/>
  <c r="DR15" i="3"/>
  <c r="DS15" i="3"/>
  <c r="DT15" i="3"/>
  <c r="DU15" i="3"/>
  <c r="DV15" i="3"/>
  <c r="DW15" i="3"/>
  <c r="DX15" i="3"/>
  <c r="DY15" i="3"/>
  <c r="DZ15" i="3"/>
  <c r="EA15" i="3"/>
  <c r="EB15" i="3"/>
  <c r="EC15" i="3"/>
  <c r="ED15" i="3"/>
  <c r="EE15" i="3"/>
  <c r="EF15" i="3"/>
  <c r="EG15" i="3"/>
  <c r="EH15" i="3"/>
  <c r="EI15" i="3"/>
  <c r="EJ15" i="3"/>
  <c r="EK15" i="3"/>
  <c r="EL15" i="3"/>
  <c r="EM15" i="3"/>
  <c r="EN15" i="3"/>
  <c r="EO15" i="3"/>
  <c r="EP15" i="3"/>
  <c r="EQ15" i="3"/>
  <c r="ER15" i="3"/>
  <c r="ES15" i="3"/>
  <c r="ET15" i="3"/>
  <c r="EU15" i="3"/>
  <c r="EV15" i="3"/>
  <c r="EW15" i="3"/>
  <c r="EX15" i="3"/>
  <c r="EY15" i="3"/>
  <c r="EZ15" i="3"/>
  <c r="FA15" i="3"/>
  <c r="FB15" i="3"/>
  <c r="FC15" i="3"/>
  <c r="FD15" i="3"/>
  <c r="FE15" i="3"/>
  <c r="FF15" i="3"/>
  <c r="FG15" i="3"/>
  <c r="FH15" i="3"/>
  <c r="FI15" i="3"/>
  <c r="FJ15" i="3"/>
  <c r="FK15" i="3"/>
  <c r="FL15" i="3"/>
  <c r="FM15" i="3"/>
  <c r="FN15" i="3"/>
  <c r="FO15" i="3"/>
  <c r="FP15" i="3"/>
  <c r="FQ15" i="3"/>
  <c r="FR15" i="3"/>
  <c r="FS15" i="3"/>
  <c r="FT15" i="3"/>
  <c r="FU15" i="3"/>
  <c r="FV15" i="3"/>
  <c r="FW15" i="3"/>
  <c r="FX15" i="3"/>
  <c r="FY15" i="3"/>
  <c r="FZ15" i="3"/>
  <c r="GA15" i="3"/>
  <c r="GB15" i="3"/>
  <c r="GC15" i="3"/>
  <c r="GD15" i="3"/>
  <c r="GE15" i="3"/>
  <c r="GF15" i="3"/>
  <c r="GG15" i="3"/>
  <c r="GH15" i="3"/>
  <c r="GI15" i="3"/>
  <c r="GJ15" i="3"/>
  <c r="GK15" i="3"/>
  <c r="GL15" i="3"/>
  <c r="GM15" i="3"/>
  <c r="GN15" i="3"/>
  <c r="GO15" i="3"/>
  <c r="GP15" i="3"/>
  <c r="GQ15" i="3"/>
  <c r="GR15" i="3"/>
  <c r="GS15" i="3"/>
  <c r="GT15" i="3"/>
  <c r="GU15" i="3"/>
  <c r="GV15" i="3"/>
  <c r="GW15" i="3"/>
  <c r="GX15" i="3"/>
  <c r="GY15" i="3"/>
  <c r="GZ15" i="3"/>
  <c r="HA15" i="3"/>
  <c r="HB15" i="3"/>
  <c r="HC15" i="3"/>
  <c r="HD15" i="3"/>
  <c r="HE15" i="3"/>
  <c r="HF15" i="3"/>
  <c r="HG15" i="3"/>
  <c r="HH15" i="3"/>
  <c r="HI15" i="3"/>
  <c r="HJ15" i="3"/>
  <c r="HK15" i="3"/>
  <c r="HL15" i="3"/>
  <c r="HM15" i="3"/>
  <c r="HN15" i="3"/>
  <c r="HO15" i="3"/>
  <c r="HP15" i="3"/>
  <c r="HQ15" i="3"/>
  <c r="HR15" i="3"/>
  <c r="HS15" i="3"/>
  <c r="HT15" i="3"/>
  <c r="HU15" i="3"/>
  <c r="HV15" i="3"/>
  <c r="HW15" i="3"/>
  <c r="HX15" i="3"/>
  <c r="HY15" i="3"/>
  <c r="HZ15" i="3"/>
  <c r="IA15" i="3"/>
  <c r="IB15" i="3"/>
  <c r="IC15" i="3"/>
  <c r="ID15" i="3"/>
  <c r="IE15" i="3"/>
  <c r="IF15" i="3"/>
  <c r="IG15" i="3"/>
  <c r="IH15" i="3"/>
  <c r="II15" i="3"/>
  <c r="IJ15" i="3"/>
  <c r="IK15" i="3"/>
  <c r="IL15" i="3"/>
  <c r="IM15" i="3"/>
  <c r="IN15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CS16" i="3"/>
  <c r="CT16" i="3"/>
  <c r="CU16" i="3"/>
  <c r="CV16" i="3"/>
  <c r="CW16" i="3"/>
  <c r="CX16" i="3"/>
  <c r="CY16" i="3"/>
  <c r="CZ16" i="3"/>
  <c r="DA16" i="3"/>
  <c r="DB16" i="3"/>
  <c r="DC16" i="3"/>
  <c r="DD16" i="3"/>
  <c r="DE16" i="3"/>
  <c r="DF16" i="3"/>
  <c r="DG16" i="3"/>
  <c r="DH16" i="3"/>
  <c r="DI16" i="3"/>
  <c r="DJ16" i="3"/>
  <c r="DK16" i="3"/>
  <c r="DL16" i="3"/>
  <c r="DM16" i="3"/>
  <c r="DN16" i="3"/>
  <c r="DO16" i="3"/>
  <c r="DP16" i="3"/>
  <c r="DQ16" i="3"/>
  <c r="DR16" i="3"/>
  <c r="DS16" i="3"/>
  <c r="DT16" i="3"/>
  <c r="DU16" i="3"/>
  <c r="DV16" i="3"/>
  <c r="DW16" i="3"/>
  <c r="DX16" i="3"/>
  <c r="DY16" i="3"/>
  <c r="DZ16" i="3"/>
  <c r="EA16" i="3"/>
  <c r="EB16" i="3"/>
  <c r="EC16" i="3"/>
  <c r="ED16" i="3"/>
  <c r="EE16" i="3"/>
  <c r="EF16" i="3"/>
  <c r="EG16" i="3"/>
  <c r="EH16" i="3"/>
  <c r="EI16" i="3"/>
  <c r="EJ16" i="3"/>
  <c r="EK16" i="3"/>
  <c r="EL16" i="3"/>
  <c r="EM16" i="3"/>
  <c r="EN16" i="3"/>
  <c r="EO16" i="3"/>
  <c r="EP16" i="3"/>
  <c r="EQ16" i="3"/>
  <c r="ER16" i="3"/>
  <c r="ES16" i="3"/>
  <c r="ET16" i="3"/>
  <c r="EU16" i="3"/>
  <c r="EV16" i="3"/>
  <c r="EW16" i="3"/>
  <c r="EX16" i="3"/>
  <c r="EY16" i="3"/>
  <c r="EZ16" i="3"/>
  <c r="FA16" i="3"/>
  <c r="FB16" i="3"/>
  <c r="FC16" i="3"/>
  <c r="FD16" i="3"/>
  <c r="FE16" i="3"/>
  <c r="FF16" i="3"/>
  <c r="FG16" i="3"/>
  <c r="FH16" i="3"/>
  <c r="FI16" i="3"/>
  <c r="FJ16" i="3"/>
  <c r="FK16" i="3"/>
  <c r="FL16" i="3"/>
  <c r="FM16" i="3"/>
  <c r="FN16" i="3"/>
  <c r="FO16" i="3"/>
  <c r="FP16" i="3"/>
  <c r="FQ16" i="3"/>
  <c r="FR16" i="3"/>
  <c r="FS16" i="3"/>
  <c r="FT16" i="3"/>
  <c r="FU16" i="3"/>
  <c r="FV16" i="3"/>
  <c r="FW16" i="3"/>
  <c r="FX16" i="3"/>
  <c r="FY16" i="3"/>
  <c r="FZ16" i="3"/>
  <c r="GA16" i="3"/>
  <c r="GB16" i="3"/>
  <c r="GC16" i="3"/>
  <c r="GD16" i="3"/>
  <c r="GE16" i="3"/>
  <c r="GF16" i="3"/>
  <c r="GG16" i="3"/>
  <c r="GH16" i="3"/>
  <c r="GI16" i="3"/>
  <c r="GJ16" i="3"/>
  <c r="GK16" i="3"/>
  <c r="GL16" i="3"/>
  <c r="GM16" i="3"/>
  <c r="GN16" i="3"/>
  <c r="GO16" i="3"/>
  <c r="GP16" i="3"/>
  <c r="GQ16" i="3"/>
  <c r="GR16" i="3"/>
  <c r="GS16" i="3"/>
  <c r="GT16" i="3"/>
  <c r="GU16" i="3"/>
  <c r="GV16" i="3"/>
  <c r="GW16" i="3"/>
  <c r="GX16" i="3"/>
  <c r="GY16" i="3"/>
  <c r="GZ16" i="3"/>
  <c r="HA16" i="3"/>
  <c r="HB16" i="3"/>
  <c r="HC16" i="3"/>
  <c r="HD16" i="3"/>
  <c r="HE16" i="3"/>
  <c r="HF16" i="3"/>
  <c r="HG16" i="3"/>
  <c r="HH16" i="3"/>
  <c r="HI16" i="3"/>
  <c r="HJ16" i="3"/>
  <c r="HK16" i="3"/>
  <c r="HL16" i="3"/>
  <c r="HM16" i="3"/>
  <c r="HN16" i="3"/>
  <c r="HO16" i="3"/>
  <c r="HP16" i="3"/>
  <c r="HQ16" i="3"/>
  <c r="HR16" i="3"/>
  <c r="HS16" i="3"/>
  <c r="HT16" i="3"/>
  <c r="HU16" i="3"/>
  <c r="HV16" i="3"/>
  <c r="HW16" i="3"/>
  <c r="HX16" i="3"/>
  <c r="HY16" i="3"/>
  <c r="HZ16" i="3"/>
  <c r="IA16" i="3"/>
  <c r="IB16" i="3"/>
  <c r="IC16" i="3"/>
  <c r="ID16" i="3"/>
  <c r="IE16" i="3"/>
  <c r="IF16" i="3"/>
  <c r="IG16" i="3"/>
  <c r="IH16" i="3"/>
  <c r="II16" i="3"/>
  <c r="IJ16" i="3"/>
  <c r="IK16" i="3"/>
  <c r="IL16" i="3"/>
  <c r="IM16" i="3"/>
  <c r="IN16" i="3"/>
  <c r="DC17" i="3"/>
  <c r="DD17" i="3"/>
  <c r="DE17" i="3"/>
  <c r="DF17" i="3"/>
  <c r="DG17" i="3"/>
  <c r="DH17" i="3"/>
  <c r="DI17" i="3"/>
  <c r="DJ17" i="3"/>
  <c r="DK17" i="3"/>
  <c r="DL17" i="3"/>
  <c r="DM17" i="3"/>
  <c r="DN17" i="3"/>
  <c r="DO17" i="3"/>
  <c r="DP17" i="3"/>
  <c r="DQ17" i="3"/>
  <c r="DR17" i="3"/>
  <c r="DS17" i="3"/>
  <c r="DT17" i="3"/>
  <c r="DU17" i="3"/>
  <c r="DV17" i="3"/>
  <c r="DW17" i="3"/>
  <c r="DX17" i="3"/>
  <c r="DY17" i="3"/>
  <c r="DZ17" i="3"/>
  <c r="EA17" i="3"/>
  <c r="EB17" i="3"/>
  <c r="EC17" i="3"/>
  <c r="ED17" i="3"/>
  <c r="EE17" i="3"/>
  <c r="EF17" i="3"/>
  <c r="EG17" i="3"/>
  <c r="EH17" i="3"/>
  <c r="EI17" i="3"/>
  <c r="EJ17" i="3"/>
  <c r="EK17" i="3"/>
  <c r="EL17" i="3"/>
  <c r="EM17" i="3"/>
  <c r="EN17" i="3"/>
  <c r="EO17" i="3"/>
  <c r="EP17" i="3"/>
  <c r="EQ17" i="3"/>
  <c r="ER17" i="3"/>
  <c r="ES17" i="3"/>
  <c r="ET17" i="3"/>
  <c r="EU17" i="3"/>
  <c r="EV17" i="3"/>
  <c r="EW17" i="3"/>
  <c r="EX17" i="3"/>
  <c r="EY17" i="3"/>
  <c r="EZ17" i="3"/>
  <c r="FA17" i="3"/>
  <c r="FB17" i="3"/>
  <c r="FC17" i="3"/>
  <c r="FD17" i="3"/>
  <c r="FE17" i="3"/>
  <c r="FF17" i="3"/>
  <c r="FG17" i="3"/>
  <c r="FH17" i="3"/>
  <c r="FI17" i="3"/>
  <c r="FJ17" i="3"/>
  <c r="FK17" i="3"/>
  <c r="FL17" i="3"/>
  <c r="FM17" i="3"/>
  <c r="FN17" i="3"/>
  <c r="FO17" i="3"/>
  <c r="FP17" i="3"/>
  <c r="FQ17" i="3"/>
  <c r="FR17" i="3"/>
  <c r="FS17" i="3"/>
  <c r="FT17" i="3"/>
  <c r="FU17" i="3"/>
  <c r="FV17" i="3"/>
  <c r="FW17" i="3"/>
  <c r="FX17" i="3"/>
  <c r="FY17" i="3"/>
  <c r="FZ17" i="3"/>
  <c r="GA17" i="3"/>
  <c r="GB17" i="3"/>
  <c r="GC17" i="3"/>
  <c r="GD17" i="3"/>
  <c r="GE17" i="3"/>
  <c r="GF17" i="3"/>
  <c r="GG17" i="3"/>
  <c r="GH17" i="3"/>
  <c r="GI17" i="3"/>
  <c r="GJ17" i="3"/>
  <c r="GK17" i="3"/>
  <c r="GL17" i="3"/>
  <c r="GM17" i="3"/>
  <c r="GN17" i="3"/>
  <c r="GO17" i="3"/>
  <c r="GP17" i="3"/>
  <c r="GQ17" i="3"/>
  <c r="GR17" i="3"/>
  <c r="GS17" i="3"/>
  <c r="GT17" i="3"/>
  <c r="GU17" i="3"/>
  <c r="GV17" i="3"/>
  <c r="GW17" i="3"/>
  <c r="GX17" i="3"/>
  <c r="GY17" i="3"/>
  <c r="GZ17" i="3"/>
  <c r="HA17" i="3"/>
  <c r="HB17" i="3"/>
  <c r="HC17" i="3"/>
  <c r="HD17" i="3"/>
  <c r="HE17" i="3"/>
  <c r="HF17" i="3"/>
  <c r="HG17" i="3"/>
  <c r="HH17" i="3"/>
  <c r="HI17" i="3"/>
  <c r="HJ17" i="3"/>
  <c r="HK17" i="3"/>
  <c r="HL17" i="3"/>
  <c r="HM17" i="3"/>
  <c r="HN17" i="3"/>
  <c r="HO17" i="3"/>
  <c r="HP17" i="3"/>
  <c r="HQ17" i="3"/>
  <c r="HR17" i="3"/>
  <c r="HS17" i="3"/>
  <c r="HT17" i="3"/>
  <c r="HU17" i="3"/>
  <c r="HV17" i="3"/>
  <c r="HW17" i="3"/>
  <c r="HX17" i="3"/>
  <c r="HY17" i="3"/>
  <c r="HZ17" i="3"/>
  <c r="IA17" i="3"/>
  <c r="IB17" i="3"/>
  <c r="IC17" i="3"/>
  <c r="ID17" i="3"/>
  <c r="IE17" i="3"/>
  <c r="IF17" i="3"/>
  <c r="IG17" i="3"/>
  <c r="IH17" i="3"/>
  <c r="II17" i="3"/>
  <c r="IJ17" i="3"/>
  <c r="IK17" i="3"/>
  <c r="IL17" i="3"/>
  <c r="IM17" i="3"/>
  <c r="IN17" i="3"/>
  <c r="DC18" i="3"/>
  <c r="DD18" i="3"/>
  <c r="DE18" i="3"/>
  <c r="DF18" i="3"/>
  <c r="DG18" i="3"/>
  <c r="DH18" i="3"/>
  <c r="DI18" i="3"/>
  <c r="DJ18" i="3"/>
  <c r="DK18" i="3"/>
  <c r="DL18" i="3"/>
  <c r="DM18" i="3"/>
  <c r="DN18" i="3"/>
  <c r="DO18" i="3"/>
  <c r="DP18" i="3"/>
  <c r="DQ18" i="3"/>
  <c r="DR18" i="3"/>
  <c r="DS18" i="3"/>
  <c r="DT18" i="3"/>
  <c r="DU18" i="3"/>
  <c r="DV18" i="3"/>
  <c r="DW18" i="3"/>
  <c r="DX18" i="3"/>
  <c r="DY18" i="3"/>
  <c r="DZ18" i="3"/>
  <c r="EA18" i="3"/>
  <c r="EB18" i="3"/>
  <c r="EC18" i="3"/>
  <c r="ED18" i="3"/>
  <c r="EE18" i="3"/>
  <c r="EF18" i="3"/>
  <c r="EG18" i="3"/>
  <c r="EH18" i="3"/>
  <c r="EI18" i="3"/>
  <c r="EJ18" i="3"/>
  <c r="EK18" i="3"/>
  <c r="EL18" i="3"/>
  <c r="EM18" i="3"/>
  <c r="EN18" i="3"/>
  <c r="EO18" i="3"/>
  <c r="EP18" i="3"/>
  <c r="EQ18" i="3"/>
  <c r="ER18" i="3"/>
  <c r="ES18" i="3"/>
  <c r="ET18" i="3"/>
  <c r="EU18" i="3"/>
  <c r="EV18" i="3"/>
  <c r="EW18" i="3"/>
  <c r="EX18" i="3"/>
  <c r="EY18" i="3"/>
  <c r="EZ18" i="3"/>
  <c r="FA18" i="3"/>
  <c r="FB18" i="3"/>
  <c r="FC18" i="3"/>
  <c r="FD18" i="3"/>
  <c r="FE18" i="3"/>
  <c r="FF18" i="3"/>
  <c r="FG18" i="3"/>
  <c r="FH18" i="3"/>
  <c r="FI18" i="3"/>
  <c r="FJ18" i="3"/>
  <c r="FK18" i="3"/>
  <c r="FL18" i="3"/>
  <c r="FM18" i="3"/>
  <c r="FN18" i="3"/>
  <c r="FO18" i="3"/>
  <c r="FP18" i="3"/>
  <c r="FQ18" i="3"/>
  <c r="FR18" i="3"/>
  <c r="FS18" i="3"/>
  <c r="FT18" i="3"/>
  <c r="FU18" i="3"/>
  <c r="FV18" i="3"/>
  <c r="FW18" i="3"/>
  <c r="FX18" i="3"/>
  <c r="FY18" i="3"/>
  <c r="FZ18" i="3"/>
  <c r="GA18" i="3"/>
  <c r="GB18" i="3"/>
  <c r="GC18" i="3"/>
  <c r="GD18" i="3"/>
  <c r="GE18" i="3"/>
  <c r="GF18" i="3"/>
  <c r="GG18" i="3"/>
  <c r="GH18" i="3"/>
  <c r="GI18" i="3"/>
  <c r="GJ18" i="3"/>
  <c r="GK18" i="3"/>
  <c r="GL18" i="3"/>
  <c r="GM18" i="3"/>
  <c r="GN18" i="3"/>
  <c r="GO18" i="3"/>
  <c r="GP18" i="3"/>
  <c r="GQ18" i="3"/>
  <c r="GR18" i="3"/>
  <c r="GS18" i="3"/>
  <c r="GT18" i="3"/>
  <c r="GU18" i="3"/>
  <c r="GV18" i="3"/>
  <c r="GW18" i="3"/>
  <c r="GX18" i="3"/>
  <c r="GY18" i="3"/>
  <c r="GZ18" i="3"/>
  <c r="HA18" i="3"/>
  <c r="HB18" i="3"/>
  <c r="HC18" i="3"/>
  <c r="HD18" i="3"/>
  <c r="HE18" i="3"/>
  <c r="HF18" i="3"/>
  <c r="HG18" i="3"/>
  <c r="HH18" i="3"/>
  <c r="HI18" i="3"/>
  <c r="HJ18" i="3"/>
  <c r="HK18" i="3"/>
  <c r="HL18" i="3"/>
  <c r="HM18" i="3"/>
  <c r="HN18" i="3"/>
  <c r="HO18" i="3"/>
  <c r="HP18" i="3"/>
  <c r="HQ18" i="3"/>
  <c r="HR18" i="3"/>
  <c r="HS18" i="3"/>
  <c r="HT18" i="3"/>
  <c r="HU18" i="3"/>
  <c r="HV18" i="3"/>
  <c r="HW18" i="3"/>
  <c r="HX18" i="3"/>
  <c r="HY18" i="3"/>
  <c r="HZ18" i="3"/>
  <c r="IA18" i="3"/>
  <c r="IB18" i="3"/>
  <c r="IC18" i="3"/>
  <c r="ID18" i="3"/>
  <c r="IE18" i="3"/>
  <c r="IF18" i="3"/>
  <c r="IG18" i="3"/>
  <c r="IH18" i="3"/>
  <c r="II18" i="3"/>
  <c r="IJ18" i="3"/>
  <c r="IK18" i="3"/>
  <c r="IL18" i="3"/>
  <c r="IM18" i="3"/>
  <c r="IN18" i="3"/>
  <c r="FG19" i="3"/>
  <c r="FH19" i="3"/>
  <c r="FI19" i="3"/>
  <c r="FJ19" i="3"/>
  <c r="FK19" i="3"/>
  <c r="FL19" i="3"/>
  <c r="FM19" i="3"/>
  <c r="FN19" i="3"/>
  <c r="FO19" i="3"/>
  <c r="FP19" i="3"/>
  <c r="FQ19" i="3"/>
  <c r="FR19" i="3"/>
  <c r="FS19" i="3"/>
  <c r="FT19" i="3"/>
  <c r="FU19" i="3"/>
  <c r="FV19" i="3"/>
  <c r="FW19" i="3"/>
  <c r="FX19" i="3"/>
  <c r="FY19" i="3"/>
  <c r="FZ19" i="3"/>
  <c r="GA19" i="3"/>
  <c r="GB19" i="3"/>
  <c r="GC19" i="3"/>
  <c r="GD19" i="3"/>
  <c r="GE19" i="3"/>
  <c r="GF19" i="3"/>
  <c r="GG19" i="3"/>
  <c r="GH19" i="3"/>
  <c r="GI19" i="3"/>
  <c r="GJ19" i="3"/>
  <c r="GK19" i="3"/>
  <c r="GL19" i="3"/>
  <c r="GM19" i="3"/>
  <c r="GN19" i="3"/>
  <c r="GO19" i="3"/>
  <c r="GP19" i="3"/>
  <c r="GQ19" i="3"/>
  <c r="GR19" i="3"/>
  <c r="GS19" i="3"/>
  <c r="GT19" i="3"/>
  <c r="GU19" i="3"/>
  <c r="GV19" i="3"/>
  <c r="GW19" i="3"/>
  <c r="GX19" i="3"/>
  <c r="GY19" i="3"/>
  <c r="GZ19" i="3"/>
  <c r="HA19" i="3"/>
  <c r="HB19" i="3"/>
  <c r="HC19" i="3"/>
  <c r="HD19" i="3"/>
  <c r="HE19" i="3"/>
  <c r="HF19" i="3"/>
  <c r="HG19" i="3"/>
  <c r="HH19" i="3"/>
  <c r="HI19" i="3"/>
  <c r="HJ19" i="3"/>
  <c r="HK19" i="3"/>
  <c r="HL19" i="3"/>
  <c r="HM19" i="3"/>
  <c r="HN19" i="3"/>
  <c r="HO19" i="3"/>
  <c r="HP19" i="3"/>
  <c r="HQ19" i="3"/>
  <c r="HR19" i="3"/>
  <c r="HS19" i="3"/>
  <c r="HT19" i="3"/>
  <c r="HU19" i="3"/>
  <c r="HV19" i="3"/>
  <c r="HW19" i="3"/>
  <c r="HX19" i="3"/>
  <c r="HY19" i="3"/>
  <c r="HZ19" i="3"/>
  <c r="IA19" i="3"/>
  <c r="IB19" i="3"/>
  <c r="IC19" i="3"/>
  <c r="ID19" i="3"/>
  <c r="IE19" i="3"/>
  <c r="IF19" i="3"/>
  <c r="IG19" i="3"/>
  <c r="IH19" i="3"/>
  <c r="II19" i="3"/>
  <c r="IJ19" i="3"/>
  <c r="IK19" i="3"/>
  <c r="IL19" i="3"/>
  <c r="IM19" i="3"/>
  <c r="IN19" i="3"/>
  <c r="FM20" i="3"/>
  <c r="FN20" i="3"/>
  <c r="FO20" i="3"/>
  <c r="FP20" i="3"/>
  <c r="FQ20" i="3"/>
  <c r="FR20" i="3"/>
  <c r="FS20" i="3"/>
  <c r="FT20" i="3"/>
  <c r="FU20" i="3"/>
  <c r="FV20" i="3"/>
  <c r="FW20" i="3"/>
  <c r="FX20" i="3"/>
  <c r="FY20" i="3"/>
  <c r="FZ20" i="3"/>
  <c r="GA20" i="3"/>
  <c r="GB20" i="3"/>
  <c r="GC20" i="3"/>
  <c r="GD20" i="3"/>
  <c r="GE20" i="3"/>
  <c r="GF20" i="3"/>
  <c r="GG20" i="3"/>
  <c r="GH20" i="3"/>
  <c r="GI20" i="3"/>
  <c r="GJ20" i="3"/>
  <c r="GK20" i="3"/>
  <c r="GL20" i="3"/>
  <c r="GM20" i="3"/>
  <c r="GN20" i="3"/>
  <c r="GO20" i="3"/>
  <c r="GP20" i="3"/>
  <c r="GQ20" i="3"/>
  <c r="GR20" i="3"/>
  <c r="GS20" i="3"/>
  <c r="GT20" i="3"/>
  <c r="GU20" i="3"/>
  <c r="GV20" i="3"/>
  <c r="GW20" i="3"/>
  <c r="GX20" i="3"/>
  <c r="GY20" i="3"/>
  <c r="GZ20" i="3"/>
  <c r="HA20" i="3"/>
  <c r="HB20" i="3"/>
  <c r="HC20" i="3"/>
  <c r="HD20" i="3"/>
  <c r="HE20" i="3"/>
  <c r="HF20" i="3"/>
  <c r="HG20" i="3"/>
  <c r="HH20" i="3"/>
  <c r="HI20" i="3"/>
  <c r="HJ20" i="3"/>
  <c r="HK20" i="3"/>
  <c r="HL20" i="3"/>
  <c r="HM20" i="3"/>
  <c r="HN20" i="3"/>
  <c r="HO20" i="3"/>
  <c r="HP20" i="3"/>
  <c r="HQ20" i="3"/>
  <c r="HR20" i="3"/>
  <c r="HS20" i="3"/>
  <c r="HT20" i="3"/>
  <c r="HU20" i="3"/>
  <c r="HV20" i="3"/>
  <c r="HW20" i="3"/>
  <c r="HX20" i="3"/>
  <c r="HY20" i="3"/>
  <c r="HZ20" i="3"/>
  <c r="IA20" i="3"/>
  <c r="IB20" i="3"/>
  <c r="IC20" i="3"/>
  <c r="ID20" i="3"/>
  <c r="IE20" i="3"/>
  <c r="IF20" i="3"/>
  <c r="IG20" i="3"/>
  <c r="IH20" i="3"/>
  <c r="II20" i="3"/>
  <c r="IJ20" i="3"/>
  <c r="IK20" i="3"/>
  <c r="IL20" i="3"/>
  <c r="IM20" i="3"/>
  <c r="IN20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CO21" i="3"/>
  <c r="CP21" i="3"/>
  <c r="CQ21" i="3"/>
  <c r="CR21" i="3"/>
  <c r="CS21" i="3"/>
  <c r="CT21" i="3"/>
  <c r="CU21" i="3"/>
  <c r="CV21" i="3"/>
  <c r="CW21" i="3"/>
  <c r="CX21" i="3"/>
  <c r="CY21" i="3"/>
  <c r="CZ21" i="3"/>
  <c r="DA21" i="3"/>
  <c r="DB21" i="3"/>
  <c r="DC21" i="3"/>
  <c r="DD21" i="3"/>
  <c r="DE21" i="3"/>
  <c r="DF21" i="3"/>
  <c r="DG21" i="3"/>
  <c r="DH21" i="3"/>
  <c r="DI21" i="3"/>
  <c r="DJ21" i="3"/>
  <c r="DK21" i="3"/>
  <c r="DL21" i="3"/>
  <c r="DM21" i="3"/>
  <c r="DN21" i="3"/>
  <c r="DO21" i="3"/>
  <c r="DP21" i="3"/>
  <c r="DQ21" i="3"/>
  <c r="DR21" i="3"/>
  <c r="DS21" i="3"/>
  <c r="DT21" i="3"/>
  <c r="DU21" i="3"/>
  <c r="DV21" i="3"/>
  <c r="DW21" i="3"/>
  <c r="DX21" i="3"/>
  <c r="DY21" i="3"/>
  <c r="DZ21" i="3"/>
  <c r="EA21" i="3"/>
  <c r="EB21" i="3"/>
  <c r="EC21" i="3"/>
  <c r="ED21" i="3"/>
  <c r="EE21" i="3"/>
  <c r="EF21" i="3"/>
  <c r="EG21" i="3"/>
  <c r="EH21" i="3"/>
  <c r="EI21" i="3"/>
  <c r="EJ21" i="3"/>
  <c r="EK21" i="3"/>
  <c r="EL21" i="3"/>
  <c r="EM21" i="3"/>
  <c r="EN21" i="3"/>
  <c r="EO21" i="3"/>
  <c r="EP21" i="3"/>
  <c r="EQ21" i="3"/>
  <c r="ER21" i="3"/>
  <c r="ES21" i="3"/>
  <c r="ET21" i="3"/>
  <c r="EU21" i="3"/>
  <c r="EV21" i="3"/>
  <c r="EW21" i="3"/>
  <c r="EX21" i="3"/>
  <c r="EY21" i="3"/>
  <c r="EZ21" i="3"/>
  <c r="FA21" i="3"/>
  <c r="FB21" i="3"/>
  <c r="FC21" i="3"/>
  <c r="FD21" i="3"/>
  <c r="FE21" i="3"/>
  <c r="FF21" i="3"/>
  <c r="FG21" i="3"/>
  <c r="FH21" i="3"/>
  <c r="FI21" i="3"/>
  <c r="FJ21" i="3"/>
  <c r="FK21" i="3"/>
  <c r="FL21" i="3"/>
  <c r="FM21" i="3"/>
  <c r="FN21" i="3"/>
  <c r="FO21" i="3"/>
  <c r="FP21" i="3"/>
  <c r="FQ21" i="3"/>
  <c r="FR21" i="3"/>
  <c r="FS21" i="3"/>
  <c r="FT21" i="3"/>
  <c r="FU21" i="3"/>
  <c r="FV21" i="3"/>
  <c r="FW21" i="3"/>
  <c r="FX21" i="3"/>
  <c r="FY21" i="3"/>
  <c r="FZ21" i="3"/>
  <c r="GA21" i="3"/>
  <c r="GB21" i="3"/>
  <c r="GC21" i="3"/>
  <c r="GD21" i="3"/>
  <c r="GE21" i="3"/>
  <c r="GF21" i="3"/>
  <c r="GG21" i="3"/>
  <c r="GH21" i="3"/>
  <c r="GI21" i="3"/>
  <c r="GJ21" i="3"/>
  <c r="GK21" i="3"/>
  <c r="GL21" i="3"/>
  <c r="GM21" i="3"/>
  <c r="GN21" i="3"/>
  <c r="GO21" i="3"/>
  <c r="GP21" i="3"/>
  <c r="GQ21" i="3"/>
  <c r="GR21" i="3"/>
  <c r="GS21" i="3"/>
  <c r="GT21" i="3"/>
  <c r="GU21" i="3"/>
  <c r="GV21" i="3"/>
  <c r="GW21" i="3"/>
  <c r="GX21" i="3"/>
  <c r="GY21" i="3"/>
  <c r="GZ21" i="3"/>
  <c r="HA21" i="3"/>
  <c r="HB21" i="3"/>
  <c r="HC21" i="3"/>
  <c r="HD21" i="3"/>
  <c r="HE21" i="3"/>
  <c r="HF21" i="3"/>
  <c r="HG21" i="3"/>
  <c r="HH21" i="3"/>
  <c r="HI21" i="3"/>
  <c r="HJ21" i="3"/>
  <c r="HK21" i="3"/>
  <c r="HL21" i="3"/>
  <c r="HM21" i="3"/>
  <c r="HN21" i="3"/>
  <c r="HO21" i="3"/>
  <c r="HP21" i="3"/>
  <c r="HQ21" i="3"/>
  <c r="HR21" i="3"/>
  <c r="HS21" i="3"/>
  <c r="HT21" i="3"/>
  <c r="HU21" i="3"/>
  <c r="HV21" i="3"/>
  <c r="HW21" i="3"/>
  <c r="HX21" i="3"/>
  <c r="HY21" i="3"/>
  <c r="HZ21" i="3"/>
  <c r="IA21" i="3"/>
  <c r="IB21" i="3"/>
  <c r="IC21" i="3"/>
  <c r="ID21" i="3"/>
  <c r="IE21" i="3"/>
  <c r="IF21" i="3"/>
  <c r="IG21" i="3"/>
  <c r="IH21" i="3"/>
  <c r="II21" i="3"/>
  <c r="IJ21" i="3"/>
  <c r="IK21" i="3"/>
  <c r="IL21" i="3"/>
  <c r="IM21" i="3"/>
  <c r="IN21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CS22" i="3"/>
  <c r="CT22" i="3"/>
  <c r="CU22" i="3"/>
  <c r="CV22" i="3"/>
  <c r="CW22" i="3"/>
  <c r="CX22" i="3"/>
  <c r="CY22" i="3"/>
  <c r="CZ22" i="3"/>
  <c r="DA22" i="3"/>
  <c r="DB22" i="3"/>
  <c r="DC22" i="3"/>
  <c r="DD22" i="3"/>
  <c r="DE22" i="3"/>
  <c r="DF22" i="3"/>
  <c r="DG22" i="3"/>
  <c r="DH22" i="3"/>
  <c r="DI22" i="3"/>
  <c r="DJ22" i="3"/>
  <c r="DK22" i="3"/>
  <c r="DL22" i="3"/>
  <c r="DM22" i="3"/>
  <c r="DN22" i="3"/>
  <c r="DO22" i="3"/>
  <c r="DP22" i="3"/>
  <c r="DQ22" i="3"/>
  <c r="DR22" i="3"/>
  <c r="DS22" i="3"/>
  <c r="DT22" i="3"/>
  <c r="DU22" i="3"/>
  <c r="DV22" i="3"/>
  <c r="DW22" i="3"/>
  <c r="DX22" i="3"/>
  <c r="DY22" i="3"/>
  <c r="DZ22" i="3"/>
  <c r="EA22" i="3"/>
  <c r="EB22" i="3"/>
  <c r="EC22" i="3"/>
  <c r="ED22" i="3"/>
  <c r="EE22" i="3"/>
  <c r="EF22" i="3"/>
  <c r="EG22" i="3"/>
  <c r="EH22" i="3"/>
  <c r="EI22" i="3"/>
  <c r="EJ22" i="3"/>
  <c r="EK22" i="3"/>
  <c r="EL22" i="3"/>
  <c r="EM22" i="3"/>
  <c r="EN22" i="3"/>
  <c r="EO22" i="3"/>
  <c r="EP22" i="3"/>
  <c r="EQ22" i="3"/>
  <c r="ER22" i="3"/>
  <c r="ES22" i="3"/>
  <c r="ET22" i="3"/>
  <c r="EU22" i="3"/>
  <c r="EV22" i="3"/>
  <c r="EW22" i="3"/>
  <c r="EX22" i="3"/>
  <c r="EY22" i="3"/>
  <c r="EZ22" i="3"/>
  <c r="FA22" i="3"/>
  <c r="FB22" i="3"/>
  <c r="FC22" i="3"/>
  <c r="FD22" i="3"/>
  <c r="FE22" i="3"/>
  <c r="FF22" i="3"/>
  <c r="FG22" i="3"/>
  <c r="FH22" i="3"/>
  <c r="FI22" i="3"/>
  <c r="FJ22" i="3"/>
  <c r="FK22" i="3"/>
  <c r="FL22" i="3"/>
  <c r="FM22" i="3"/>
  <c r="FN22" i="3"/>
  <c r="FO22" i="3"/>
  <c r="FP22" i="3"/>
  <c r="FQ22" i="3"/>
  <c r="FR22" i="3"/>
  <c r="FS22" i="3"/>
  <c r="FT22" i="3"/>
  <c r="FU22" i="3"/>
  <c r="FV22" i="3"/>
  <c r="FW22" i="3"/>
  <c r="FX22" i="3"/>
  <c r="FY22" i="3"/>
  <c r="FZ22" i="3"/>
  <c r="GA22" i="3"/>
  <c r="GB22" i="3"/>
  <c r="GC22" i="3"/>
  <c r="GD22" i="3"/>
  <c r="GE22" i="3"/>
  <c r="GF22" i="3"/>
  <c r="GG22" i="3"/>
  <c r="GH22" i="3"/>
  <c r="GI22" i="3"/>
  <c r="GJ22" i="3"/>
  <c r="GK22" i="3"/>
  <c r="GL22" i="3"/>
  <c r="GM22" i="3"/>
  <c r="GN22" i="3"/>
  <c r="GO22" i="3"/>
  <c r="GP22" i="3"/>
  <c r="GQ22" i="3"/>
  <c r="GR22" i="3"/>
  <c r="GS22" i="3"/>
  <c r="GT22" i="3"/>
  <c r="GU22" i="3"/>
  <c r="GV22" i="3"/>
  <c r="GW22" i="3"/>
  <c r="GX22" i="3"/>
  <c r="GY22" i="3"/>
  <c r="GZ22" i="3"/>
  <c r="HA22" i="3"/>
  <c r="HB22" i="3"/>
  <c r="HC22" i="3"/>
  <c r="HD22" i="3"/>
  <c r="HE22" i="3"/>
  <c r="HF22" i="3"/>
  <c r="HG22" i="3"/>
  <c r="HH22" i="3"/>
  <c r="HI22" i="3"/>
  <c r="HJ22" i="3"/>
  <c r="HK22" i="3"/>
  <c r="HL22" i="3"/>
  <c r="HM22" i="3"/>
  <c r="HN22" i="3"/>
  <c r="HO22" i="3"/>
  <c r="HP22" i="3"/>
  <c r="HQ22" i="3"/>
  <c r="HR22" i="3"/>
  <c r="HS22" i="3"/>
  <c r="HT22" i="3"/>
  <c r="HU22" i="3"/>
  <c r="HV22" i="3"/>
  <c r="HW22" i="3"/>
  <c r="HX22" i="3"/>
  <c r="HY22" i="3"/>
  <c r="HZ22" i="3"/>
  <c r="IA22" i="3"/>
  <c r="IB22" i="3"/>
  <c r="IC22" i="3"/>
  <c r="ID22" i="3"/>
  <c r="IE22" i="3"/>
  <c r="IF22" i="3"/>
  <c r="IG22" i="3"/>
  <c r="IH22" i="3"/>
  <c r="II22" i="3"/>
  <c r="IJ22" i="3"/>
  <c r="IK22" i="3"/>
  <c r="IL22" i="3"/>
  <c r="IM22" i="3"/>
  <c r="IN22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CC23" i="3"/>
  <c r="CD23" i="3"/>
  <c r="CE23" i="3"/>
  <c r="CF23" i="3"/>
  <c r="CG23" i="3"/>
  <c r="CH23" i="3"/>
  <c r="CI23" i="3"/>
  <c r="CJ23" i="3"/>
  <c r="CK23" i="3"/>
  <c r="CL23" i="3"/>
  <c r="CM23" i="3"/>
  <c r="CN23" i="3"/>
  <c r="CO23" i="3"/>
  <c r="CP23" i="3"/>
  <c r="CQ23" i="3"/>
  <c r="CR23" i="3"/>
  <c r="CS23" i="3"/>
  <c r="CT23" i="3"/>
  <c r="CU23" i="3"/>
  <c r="CV23" i="3"/>
  <c r="CW23" i="3"/>
  <c r="CX23" i="3"/>
  <c r="CY23" i="3"/>
  <c r="CZ23" i="3"/>
  <c r="DA23" i="3"/>
  <c r="DB23" i="3"/>
  <c r="DC23" i="3"/>
  <c r="DD23" i="3"/>
  <c r="DE23" i="3"/>
  <c r="DF23" i="3"/>
  <c r="DG23" i="3"/>
  <c r="DH23" i="3"/>
  <c r="DI23" i="3"/>
  <c r="DJ23" i="3"/>
  <c r="DK23" i="3"/>
  <c r="DL23" i="3"/>
  <c r="DM23" i="3"/>
  <c r="DN23" i="3"/>
  <c r="DO23" i="3"/>
  <c r="DP23" i="3"/>
  <c r="DQ23" i="3"/>
  <c r="DR23" i="3"/>
  <c r="DS23" i="3"/>
  <c r="DT23" i="3"/>
  <c r="DU23" i="3"/>
  <c r="DV23" i="3"/>
  <c r="DW23" i="3"/>
  <c r="DX23" i="3"/>
  <c r="DY23" i="3"/>
  <c r="DZ23" i="3"/>
  <c r="EA23" i="3"/>
  <c r="EB23" i="3"/>
  <c r="EC23" i="3"/>
  <c r="ED23" i="3"/>
  <c r="EE23" i="3"/>
  <c r="EF23" i="3"/>
  <c r="EG23" i="3"/>
  <c r="EH23" i="3"/>
  <c r="EI23" i="3"/>
  <c r="EJ23" i="3"/>
  <c r="EK23" i="3"/>
  <c r="EL23" i="3"/>
  <c r="EM23" i="3"/>
  <c r="EN23" i="3"/>
  <c r="EO23" i="3"/>
  <c r="EP23" i="3"/>
  <c r="EQ23" i="3"/>
  <c r="ER23" i="3"/>
  <c r="ES23" i="3"/>
  <c r="ET23" i="3"/>
  <c r="EU23" i="3"/>
  <c r="EV23" i="3"/>
  <c r="EW23" i="3"/>
  <c r="EX23" i="3"/>
  <c r="EY23" i="3"/>
  <c r="EZ23" i="3"/>
  <c r="FA23" i="3"/>
  <c r="FB23" i="3"/>
  <c r="FC23" i="3"/>
  <c r="FD23" i="3"/>
  <c r="FE23" i="3"/>
  <c r="FF23" i="3"/>
  <c r="FG23" i="3"/>
  <c r="FH23" i="3"/>
  <c r="FI23" i="3"/>
  <c r="FJ23" i="3"/>
  <c r="FK23" i="3"/>
  <c r="FL23" i="3"/>
  <c r="FM23" i="3"/>
  <c r="FN23" i="3"/>
  <c r="FO23" i="3"/>
  <c r="FP23" i="3"/>
  <c r="FQ23" i="3"/>
  <c r="FR23" i="3"/>
  <c r="FS23" i="3"/>
  <c r="FT23" i="3"/>
  <c r="FU23" i="3"/>
  <c r="FV23" i="3"/>
  <c r="FW23" i="3"/>
  <c r="FX23" i="3"/>
  <c r="FY23" i="3"/>
  <c r="FZ23" i="3"/>
  <c r="GA23" i="3"/>
  <c r="GB23" i="3"/>
  <c r="GC23" i="3"/>
  <c r="GD23" i="3"/>
  <c r="GE23" i="3"/>
  <c r="GF23" i="3"/>
  <c r="GG23" i="3"/>
  <c r="GH23" i="3"/>
  <c r="GI23" i="3"/>
  <c r="GJ23" i="3"/>
  <c r="GK23" i="3"/>
  <c r="GL23" i="3"/>
  <c r="GM23" i="3"/>
  <c r="GN23" i="3"/>
  <c r="GO23" i="3"/>
  <c r="GP23" i="3"/>
  <c r="GQ23" i="3"/>
  <c r="GR23" i="3"/>
  <c r="GS23" i="3"/>
  <c r="GT23" i="3"/>
  <c r="GU23" i="3"/>
  <c r="GV23" i="3"/>
  <c r="GW23" i="3"/>
  <c r="GX23" i="3"/>
  <c r="GY23" i="3"/>
  <c r="GZ23" i="3"/>
  <c r="HA23" i="3"/>
  <c r="HB23" i="3"/>
  <c r="HC23" i="3"/>
  <c r="HD23" i="3"/>
  <c r="HE23" i="3"/>
  <c r="HF23" i="3"/>
  <c r="HG23" i="3"/>
  <c r="HH23" i="3"/>
  <c r="HI23" i="3"/>
  <c r="HJ23" i="3"/>
  <c r="HK23" i="3"/>
  <c r="HL23" i="3"/>
  <c r="HM23" i="3"/>
  <c r="HN23" i="3"/>
  <c r="HO23" i="3"/>
  <c r="HP23" i="3"/>
  <c r="HQ23" i="3"/>
  <c r="HR23" i="3"/>
  <c r="HS23" i="3"/>
  <c r="HT23" i="3"/>
  <c r="HU23" i="3"/>
  <c r="HV23" i="3"/>
  <c r="HW23" i="3"/>
  <c r="HX23" i="3"/>
  <c r="HY23" i="3"/>
  <c r="HZ23" i="3"/>
  <c r="IA23" i="3"/>
  <c r="IB23" i="3"/>
  <c r="IC23" i="3"/>
  <c r="ID23" i="3"/>
  <c r="IE23" i="3"/>
  <c r="IF23" i="3"/>
  <c r="IG23" i="3"/>
  <c r="IH23" i="3"/>
  <c r="II23" i="3"/>
  <c r="IJ23" i="3"/>
  <c r="IK23" i="3"/>
  <c r="IL23" i="3"/>
  <c r="IM23" i="3"/>
  <c r="IN23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CH24" i="3"/>
  <c r="CI24" i="3"/>
  <c r="CJ24" i="3"/>
  <c r="CK24" i="3"/>
  <c r="CL24" i="3"/>
  <c r="CM24" i="3"/>
  <c r="CN24" i="3"/>
  <c r="CO24" i="3"/>
  <c r="CP24" i="3"/>
  <c r="CQ24" i="3"/>
  <c r="CR24" i="3"/>
  <c r="CS24" i="3"/>
  <c r="CT24" i="3"/>
  <c r="CU24" i="3"/>
  <c r="CV24" i="3"/>
  <c r="CW24" i="3"/>
  <c r="CX24" i="3"/>
  <c r="CY24" i="3"/>
  <c r="CZ24" i="3"/>
  <c r="DA24" i="3"/>
  <c r="DB24" i="3"/>
  <c r="DC24" i="3"/>
  <c r="DD24" i="3"/>
  <c r="DE24" i="3"/>
  <c r="DF24" i="3"/>
  <c r="DG24" i="3"/>
  <c r="DH24" i="3"/>
  <c r="DI24" i="3"/>
  <c r="DJ24" i="3"/>
  <c r="DK24" i="3"/>
  <c r="DL24" i="3"/>
  <c r="DM24" i="3"/>
  <c r="DN24" i="3"/>
  <c r="DO24" i="3"/>
  <c r="DP24" i="3"/>
  <c r="DQ24" i="3"/>
  <c r="DR24" i="3"/>
  <c r="DS24" i="3"/>
  <c r="DT24" i="3"/>
  <c r="DU24" i="3"/>
  <c r="DV24" i="3"/>
  <c r="DW24" i="3"/>
  <c r="DX24" i="3"/>
  <c r="DY24" i="3"/>
  <c r="DZ24" i="3"/>
  <c r="EA24" i="3"/>
  <c r="EB24" i="3"/>
  <c r="EC24" i="3"/>
  <c r="ED24" i="3"/>
  <c r="EE24" i="3"/>
  <c r="EF24" i="3"/>
  <c r="EG24" i="3"/>
  <c r="EH24" i="3"/>
  <c r="EI24" i="3"/>
  <c r="EJ24" i="3"/>
  <c r="EK24" i="3"/>
  <c r="EL24" i="3"/>
  <c r="EM24" i="3"/>
  <c r="EN24" i="3"/>
  <c r="EO24" i="3"/>
  <c r="EP24" i="3"/>
  <c r="EQ24" i="3"/>
  <c r="ER24" i="3"/>
  <c r="ES24" i="3"/>
  <c r="ET24" i="3"/>
  <c r="EU24" i="3"/>
  <c r="EV24" i="3"/>
  <c r="EW24" i="3"/>
  <c r="EX24" i="3"/>
  <c r="EY24" i="3"/>
  <c r="EZ24" i="3"/>
  <c r="FA24" i="3"/>
  <c r="FB24" i="3"/>
  <c r="FC24" i="3"/>
  <c r="FD24" i="3"/>
  <c r="FE24" i="3"/>
  <c r="FF24" i="3"/>
  <c r="FG24" i="3"/>
  <c r="FH24" i="3"/>
  <c r="FI24" i="3"/>
  <c r="FJ24" i="3"/>
  <c r="FK24" i="3"/>
  <c r="FL24" i="3"/>
  <c r="FM24" i="3"/>
  <c r="FN24" i="3"/>
  <c r="FO24" i="3"/>
  <c r="FP24" i="3"/>
  <c r="FQ24" i="3"/>
  <c r="FR24" i="3"/>
  <c r="FS24" i="3"/>
  <c r="FT24" i="3"/>
  <c r="FU24" i="3"/>
  <c r="FV24" i="3"/>
  <c r="FW24" i="3"/>
  <c r="FX24" i="3"/>
  <c r="FY24" i="3"/>
  <c r="FZ24" i="3"/>
  <c r="GA24" i="3"/>
  <c r="GB24" i="3"/>
  <c r="GC24" i="3"/>
  <c r="GD24" i="3"/>
  <c r="GE24" i="3"/>
  <c r="GF24" i="3"/>
  <c r="GG24" i="3"/>
  <c r="GH24" i="3"/>
  <c r="GI24" i="3"/>
  <c r="GJ24" i="3"/>
  <c r="GK24" i="3"/>
  <c r="GL24" i="3"/>
  <c r="GM24" i="3"/>
  <c r="GN24" i="3"/>
  <c r="GO24" i="3"/>
  <c r="GP24" i="3"/>
  <c r="GQ24" i="3"/>
  <c r="GR24" i="3"/>
  <c r="GS24" i="3"/>
  <c r="GT24" i="3"/>
  <c r="GU24" i="3"/>
  <c r="GV24" i="3"/>
  <c r="GW24" i="3"/>
  <c r="GX24" i="3"/>
  <c r="GY24" i="3"/>
  <c r="GZ24" i="3"/>
  <c r="HA24" i="3"/>
  <c r="HB24" i="3"/>
  <c r="HC24" i="3"/>
  <c r="HD24" i="3"/>
  <c r="HE24" i="3"/>
  <c r="HF24" i="3"/>
  <c r="HG24" i="3"/>
  <c r="HH24" i="3"/>
  <c r="HI24" i="3"/>
  <c r="HJ24" i="3"/>
  <c r="HK24" i="3"/>
  <c r="HL24" i="3"/>
  <c r="HM24" i="3"/>
  <c r="HN24" i="3"/>
  <c r="HO24" i="3"/>
  <c r="HP24" i="3"/>
  <c r="HQ24" i="3"/>
  <c r="HR24" i="3"/>
  <c r="HS24" i="3"/>
  <c r="HT24" i="3"/>
  <c r="HU24" i="3"/>
  <c r="HV24" i="3"/>
  <c r="HW24" i="3"/>
  <c r="HX24" i="3"/>
  <c r="HY24" i="3"/>
  <c r="HZ24" i="3"/>
  <c r="IA24" i="3"/>
  <c r="IB24" i="3"/>
  <c r="IC24" i="3"/>
  <c r="ID24" i="3"/>
  <c r="IE24" i="3"/>
  <c r="IF24" i="3"/>
  <c r="IG24" i="3"/>
  <c r="IH24" i="3"/>
  <c r="II24" i="3"/>
  <c r="IJ24" i="3"/>
  <c r="IK24" i="3"/>
  <c r="IL24" i="3"/>
  <c r="IM24" i="3"/>
  <c r="IN24" i="3"/>
  <c r="IO24" i="3"/>
  <c r="IP24" i="3"/>
  <c r="IQ24" i="3"/>
  <c r="IR24" i="3"/>
  <c r="IS24" i="3"/>
  <c r="IT24" i="3"/>
  <c r="IU24" i="3"/>
  <c r="IV24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CD25" i="3"/>
  <c r="CE25" i="3"/>
  <c r="CF25" i="3"/>
  <c r="CG25" i="3"/>
  <c r="CH25" i="3"/>
  <c r="CI25" i="3"/>
  <c r="CJ25" i="3"/>
  <c r="CK25" i="3"/>
  <c r="CL25" i="3"/>
  <c r="CM25" i="3"/>
  <c r="CN25" i="3"/>
  <c r="CO25" i="3"/>
  <c r="CP25" i="3"/>
  <c r="CQ25" i="3"/>
  <c r="CR25" i="3"/>
  <c r="CS25" i="3"/>
  <c r="CT25" i="3"/>
  <c r="CU25" i="3"/>
  <c r="CV25" i="3"/>
  <c r="CW25" i="3"/>
  <c r="CX25" i="3"/>
  <c r="CY25" i="3"/>
  <c r="CZ25" i="3"/>
  <c r="DA25" i="3"/>
  <c r="DB25" i="3"/>
  <c r="DC25" i="3"/>
  <c r="DD25" i="3"/>
  <c r="DE25" i="3"/>
  <c r="DF25" i="3"/>
  <c r="DG25" i="3"/>
  <c r="DH25" i="3"/>
  <c r="DI25" i="3"/>
  <c r="DJ25" i="3"/>
  <c r="DK25" i="3"/>
  <c r="DL25" i="3"/>
  <c r="DM25" i="3"/>
  <c r="DN25" i="3"/>
  <c r="DO25" i="3"/>
  <c r="DP25" i="3"/>
  <c r="DQ25" i="3"/>
  <c r="DR25" i="3"/>
  <c r="DS25" i="3"/>
  <c r="DT25" i="3"/>
  <c r="DU25" i="3"/>
  <c r="DV25" i="3"/>
  <c r="DW25" i="3"/>
  <c r="DX25" i="3"/>
  <c r="DY25" i="3"/>
  <c r="DZ25" i="3"/>
  <c r="EA25" i="3"/>
  <c r="EB25" i="3"/>
  <c r="EC25" i="3"/>
  <c r="ED25" i="3"/>
  <c r="EE25" i="3"/>
  <c r="EF25" i="3"/>
  <c r="EG25" i="3"/>
  <c r="EH25" i="3"/>
  <c r="EI25" i="3"/>
  <c r="EJ25" i="3"/>
  <c r="EK25" i="3"/>
  <c r="EL25" i="3"/>
  <c r="EM25" i="3"/>
  <c r="EN25" i="3"/>
  <c r="EO25" i="3"/>
  <c r="EP25" i="3"/>
  <c r="EQ25" i="3"/>
  <c r="ER25" i="3"/>
  <c r="ES25" i="3"/>
  <c r="ET25" i="3"/>
  <c r="EU25" i="3"/>
  <c r="EV25" i="3"/>
  <c r="EW25" i="3"/>
  <c r="EX25" i="3"/>
  <c r="EY25" i="3"/>
  <c r="EZ25" i="3"/>
  <c r="FA25" i="3"/>
  <c r="FB25" i="3"/>
  <c r="FC25" i="3"/>
  <c r="FD25" i="3"/>
  <c r="FE25" i="3"/>
  <c r="FF25" i="3"/>
  <c r="FG25" i="3"/>
  <c r="FH25" i="3"/>
  <c r="FI25" i="3"/>
  <c r="FJ25" i="3"/>
  <c r="FK25" i="3"/>
  <c r="FL25" i="3"/>
  <c r="FM25" i="3"/>
  <c r="FN25" i="3"/>
  <c r="FO25" i="3"/>
  <c r="FP25" i="3"/>
  <c r="FQ25" i="3"/>
  <c r="FR25" i="3"/>
  <c r="FS25" i="3"/>
  <c r="FT25" i="3"/>
  <c r="FU25" i="3"/>
  <c r="FV25" i="3"/>
  <c r="FW25" i="3"/>
  <c r="FX25" i="3"/>
  <c r="FY25" i="3"/>
  <c r="FZ25" i="3"/>
  <c r="GA25" i="3"/>
  <c r="GB25" i="3"/>
  <c r="GC25" i="3"/>
  <c r="GD25" i="3"/>
  <c r="GE25" i="3"/>
  <c r="GF25" i="3"/>
  <c r="GG25" i="3"/>
  <c r="GH25" i="3"/>
  <c r="GI25" i="3"/>
  <c r="GJ25" i="3"/>
  <c r="GK25" i="3"/>
  <c r="GL25" i="3"/>
  <c r="GM25" i="3"/>
  <c r="GN25" i="3"/>
  <c r="GO25" i="3"/>
  <c r="GP25" i="3"/>
  <c r="GQ25" i="3"/>
  <c r="GR25" i="3"/>
  <c r="GS25" i="3"/>
  <c r="GT25" i="3"/>
  <c r="GU25" i="3"/>
  <c r="GV25" i="3"/>
  <c r="GW25" i="3"/>
  <c r="GX25" i="3"/>
  <c r="GY25" i="3"/>
  <c r="GZ25" i="3"/>
  <c r="HA25" i="3"/>
  <c r="HB25" i="3"/>
  <c r="HC25" i="3"/>
  <c r="HD25" i="3"/>
  <c r="HE25" i="3"/>
  <c r="HF25" i="3"/>
  <c r="HG25" i="3"/>
  <c r="HH25" i="3"/>
  <c r="HI25" i="3"/>
  <c r="HJ25" i="3"/>
  <c r="HK25" i="3"/>
  <c r="HL25" i="3"/>
  <c r="HM25" i="3"/>
  <c r="HN25" i="3"/>
  <c r="HO25" i="3"/>
  <c r="HP25" i="3"/>
  <c r="HQ25" i="3"/>
  <c r="HR25" i="3"/>
  <c r="HS25" i="3"/>
  <c r="HT25" i="3"/>
  <c r="HU25" i="3"/>
  <c r="HV25" i="3"/>
  <c r="HW25" i="3"/>
  <c r="HX25" i="3"/>
  <c r="HY25" i="3"/>
  <c r="HZ25" i="3"/>
  <c r="IA25" i="3"/>
  <c r="IB25" i="3"/>
  <c r="IC25" i="3"/>
  <c r="ID25" i="3"/>
  <c r="IE25" i="3"/>
  <c r="IF25" i="3"/>
  <c r="IG25" i="3"/>
  <c r="IH25" i="3"/>
  <c r="II25" i="3"/>
  <c r="IJ25" i="3"/>
  <c r="IK25" i="3"/>
  <c r="IL25" i="3"/>
  <c r="IM25" i="3"/>
  <c r="IN25" i="3"/>
  <c r="IO25" i="3"/>
  <c r="IP25" i="3"/>
  <c r="IQ25" i="3"/>
  <c r="IR25" i="3"/>
  <c r="IS25" i="3"/>
  <c r="IT25" i="3"/>
  <c r="IU25" i="3"/>
  <c r="IV25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CD26" i="3"/>
  <c r="CE26" i="3"/>
  <c r="CF26" i="3"/>
  <c r="CG26" i="3"/>
  <c r="CH26" i="3"/>
  <c r="CI26" i="3"/>
  <c r="CJ26" i="3"/>
  <c r="CK26" i="3"/>
  <c r="CL26" i="3"/>
  <c r="CM26" i="3"/>
  <c r="CN26" i="3"/>
  <c r="CO26" i="3"/>
  <c r="CP26" i="3"/>
  <c r="CQ26" i="3"/>
  <c r="CR26" i="3"/>
  <c r="CS26" i="3"/>
  <c r="CT26" i="3"/>
  <c r="CU26" i="3"/>
  <c r="CV26" i="3"/>
  <c r="CW26" i="3"/>
  <c r="CX26" i="3"/>
  <c r="CY26" i="3"/>
  <c r="CZ26" i="3"/>
  <c r="DA26" i="3"/>
  <c r="DB26" i="3"/>
  <c r="DC26" i="3"/>
  <c r="DD26" i="3"/>
  <c r="DE26" i="3"/>
  <c r="DF26" i="3"/>
  <c r="DG26" i="3"/>
  <c r="DH26" i="3"/>
  <c r="DI26" i="3"/>
  <c r="DJ26" i="3"/>
  <c r="DK26" i="3"/>
  <c r="DL26" i="3"/>
  <c r="DM26" i="3"/>
  <c r="DN26" i="3"/>
  <c r="DO26" i="3"/>
  <c r="DP26" i="3"/>
  <c r="DQ26" i="3"/>
  <c r="DR26" i="3"/>
  <c r="DS26" i="3"/>
  <c r="DT26" i="3"/>
  <c r="DU26" i="3"/>
  <c r="DV26" i="3"/>
  <c r="DW26" i="3"/>
  <c r="DX26" i="3"/>
  <c r="DY26" i="3"/>
  <c r="DZ26" i="3"/>
  <c r="EA26" i="3"/>
  <c r="EB26" i="3"/>
  <c r="EC26" i="3"/>
  <c r="ED26" i="3"/>
  <c r="EE26" i="3"/>
  <c r="EF26" i="3"/>
  <c r="EG26" i="3"/>
  <c r="EH26" i="3"/>
  <c r="EI26" i="3"/>
  <c r="EJ26" i="3"/>
  <c r="EK26" i="3"/>
  <c r="EL26" i="3"/>
  <c r="EM26" i="3"/>
  <c r="EN26" i="3"/>
  <c r="EO26" i="3"/>
  <c r="EP26" i="3"/>
  <c r="EQ26" i="3"/>
  <c r="ER26" i="3"/>
  <c r="ES26" i="3"/>
  <c r="ET26" i="3"/>
  <c r="EU26" i="3"/>
  <c r="EV26" i="3"/>
  <c r="EW26" i="3"/>
  <c r="EX26" i="3"/>
  <c r="EY26" i="3"/>
  <c r="EZ26" i="3"/>
  <c r="FA26" i="3"/>
  <c r="FB26" i="3"/>
  <c r="FC26" i="3"/>
  <c r="FD26" i="3"/>
  <c r="FE26" i="3"/>
  <c r="FF26" i="3"/>
  <c r="FG26" i="3"/>
  <c r="FH26" i="3"/>
  <c r="FI26" i="3"/>
  <c r="FJ26" i="3"/>
  <c r="FK26" i="3"/>
  <c r="FL26" i="3"/>
  <c r="FM26" i="3"/>
  <c r="FN26" i="3"/>
  <c r="FO26" i="3"/>
  <c r="FP26" i="3"/>
  <c r="FQ26" i="3"/>
  <c r="FR26" i="3"/>
  <c r="FS26" i="3"/>
  <c r="FT26" i="3"/>
  <c r="FU26" i="3"/>
  <c r="FV26" i="3"/>
  <c r="FW26" i="3"/>
  <c r="FX26" i="3"/>
  <c r="FY26" i="3"/>
  <c r="FZ26" i="3"/>
  <c r="GA26" i="3"/>
  <c r="GB26" i="3"/>
  <c r="GC26" i="3"/>
  <c r="GD26" i="3"/>
  <c r="GE26" i="3"/>
  <c r="GF26" i="3"/>
  <c r="GG26" i="3"/>
  <c r="GH26" i="3"/>
  <c r="GI26" i="3"/>
  <c r="GJ26" i="3"/>
  <c r="GK26" i="3"/>
  <c r="GL26" i="3"/>
  <c r="GM26" i="3"/>
  <c r="GN26" i="3"/>
  <c r="GO26" i="3"/>
  <c r="GP26" i="3"/>
  <c r="GQ26" i="3"/>
  <c r="GR26" i="3"/>
  <c r="GS26" i="3"/>
  <c r="GT26" i="3"/>
  <c r="GU26" i="3"/>
  <c r="GV26" i="3"/>
  <c r="GW26" i="3"/>
  <c r="GX26" i="3"/>
  <c r="GY26" i="3"/>
  <c r="GZ26" i="3"/>
  <c r="HA26" i="3"/>
  <c r="HB26" i="3"/>
  <c r="HC26" i="3"/>
  <c r="HD26" i="3"/>
  <c r="HE26" i="3"/>
  <c r="HF26" i="3"/>
  <c r="HG26" i="3"/>
  <c r="HH26" i="3"/>
  <c r="HI26" i="3"/>
  <c r="HJ26" i="3"/>
  <c r="HK26" i="3"/>
  <c r="HL26" i="3"/>
  <c r="HM26" i="3"/>
  <c r="HN26" i="3"/>
  <c r="HO26" i="3"/>
  <c r="HP26" i="3"/>
  <c r="HQ26" i="3"/>
  <c r="HR26" i="3"/>
  <c r="HS26" i="3"/>
  <c r="HT26" i="3"/>
  <c r="HU26" i="3"/>
  <c r="HV26" i="3"/>
  <c r="HW26" i="3"/>
  <c r="HX26" i="3"/>
  <c r="HY26" i="3"/>
  <c r="HZ26" i="3"/>
  <c r="IA26" i="3"/>
  <c r="IB26" i="3"/>
  <c r="IC26" i="3"/>
  <c r="ID26" i="3"/>
  <c r="IE26" i="3"/>
  <c r="IF26" i="3"/>
  <c r="IG26" i="3"/>
  <c r="IH26" i="3"/>
  <c r="II26" i="3"/>
  <c r="IJ26" i="3"/>
  <c r="IK26" i="3"/>
  <c r="IL26" i="3"/>
  <c r="IM26" i="3"/>
  <c r="IN26" i="3"/>
  <c r="IO26" i="3"/>
  <c r="IP26" i="3"/>
  <c r="IQ26" i="3"/>
  <c r="IR26" i="3"/>
  <c r="IS26" i="3"/>
  <c r="IT26" i="3"/>
  <c r="IU26" i="3"/>
  <c r="IV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B27" i="3"/>
  <c r="CC27" i="3"/>
  <c r="CD27" i="3"/>
  <c r="CE27" i="3"/>
  <c r="CF27" i="3"/>
  <c r="CG27" i="3"/>
  <c r="CH27" i="3"/>
  <c r="CI27" i="3"/>
  <c r="CJ27" i="3"/>
  <c r="CK27" i="3"/>
  <c r="CL27" i="3"/>
  <c r="CM27" i="3"/>
  <c r="CN27" i="3"/>
  <c r="CO27" i="3"/>
  <c r="CP27" i="3"/>
  <c r="CQ27" i="3"/>
  <c r="CR27" i="3"/>
  <c r="CS27" i="3"/>
  <c r="CT27" i="3"/>
  <c r="CU27" i="3"/>
  <c r="CV27" i="3"/>
  <c r="CW27" i="3"/>
  <c r="CX27" i="3"/>
  <c r="CY27" i="3"/>
  <c r="CZ27" i="3"/>
  <c r="DA27" i="3"/>
  <c r="DB27" i="3"/>
  <c r="DC27" i="3"/>
  <c r="DD27" i="3"/>
  <c r="DE27" i="3"/>
  <c r="DF27" i="3"/>
  <c r="DG27" i="3"/>
  <c r="DH27" i="3"/>
  <c r="DI27" i="3"/>
  <c r="DJ27" i="3"/>
  <c r="DK27" i="3"/>
  <c r="DL27" i="3"/>
  <c r="DM27" i="3"/>
  <c r="DN27" i="3"/>
  <c r="DO27" i="3"/>
  <c r="DP27" i="3"/>
  <c r="DQ27" i="3"/>
  <c r="DR27" i="3"/>
  <c r="DS27" i="3"/>
  <c r="DT27" i="3"/>
  <c r="DU27" i="3"/>
  <c r="DV27" i="3"/>
  <c r="DW27" i="3"/>
  <c r="DX27" i="3"/>
  <c r="DY27" i="3"/>
  <c r="DZ27" i="3"/>
  <c r="EA27" i="3"/>
  <c r="EB27" i="3"/>
  <c r="EC27" i="3"/>
  <c r="ED27" i="3"/>
  <c r="EE27" i="3"/>
  <c r="EF27" i="3"/>
  <c r="EG27" i="3"/>
  <c r="EH27" i="3"/>
  <c r="EI27" i="3"/>
  <c r="EJ27" i="3"/>
  <c r="EK27" i="3"/>
  <c r="EL27" i="3"/>
  <c r="EM27" i="3"/>
  <c r="EN27" i="3"/>
  <c r="EO27" i="3"/>
  <c r="EP27" i="3"/>
  <c r="EQ27" i="3"/>
  <c r="ER27" i="3"/>
  <c r="ES27" i="3"/>
  <c r="ET27" i="3"/>
  <c r="EU27" i="3"/>
  <c r="EV27" i="3"/>
  <c r="EW27" i="3"/>
  <c r="EX27" i="3"/>
  <c r="EY27" i="3"/>
  <c r="EZ27" i="3"/>
  <c r="FA27" i="3"/>
  <c r="FB27" i="3"/>
  <c r="FC27" i="3"/>
  <c r="FD27" i="3"/>
  <c r="FE27" i="3"/>
  <c r="FF27" i="3"/>
  <c r="FG27" i="3"/>
  <c r="FH27" i="3"/>
  <c r="FI27" i="3"/>
  <c r="FJ27" i="3"/>
  <c r="FK27" i="3"/>
  <c r="FL27" i="3"/>
  <c r="FM27" i="3"/>
  <c r="FN27" i="3"/>
  <c r="FO27" i="3"/>
  <c r="FP27" i="3"/>
  <c r="FQ27" i="3"/>
  <c r="FR27" i="3"/>
  <c r="FS27" i="3"/>
  <c r="FT27" i="3"/>
  <c r="FU27" i="3"/>
  <c r="FV27" i="3"/>
  <c r="FW27" i="3"/>
  <c r="FX27" i="3"/>
  <c r="FY27" i="3"/>
  <c r="FZ27" i="3"/>
  <c r="GA27" i="3"/>
  <c r="GB27" i="3"/>
  <c r="GC27" i="3"/>
  <c r="GD27" i="3"/>
  <c r="GE27" i="3"/>
  <c r="GF27" i="3"/>
  <c r="GG27" i="3"/>
  <c r="GH27" i="3"/>
  <c r="GI27" i="3"/>
  <c r="GJ27" i="3"/>
  <c r="GK27" i="3"/>
  <c r="GL27" i="3"/>
  <c r="GM27" i="3"/>
  <c r="GN27" i="3"/>
  <c r="GO27" i="3"/>
  <c r="GP27" i="3"/>
  <c r="GQ27" i="3"/>
  <c r="GR27" i="3"/>
  <c r="GS27" i="3"/>
  <c r="GT27" i="3"/>
  <c r="GU27" i="3"/>
  <c r="GV27" i="3"/>
  <c r="GW27" i="3"/>
  <c r="GX27" i="3"/>
  <c r="GY27" i="3"/>
  <c r="GZ27" i="3"/>
  <c r="HA27" i="3"/>
  <c r="HB27" i="3"/>
  <c r="HC27" i="3"/>
  <c r="HD27" i="3"/>
  <c r="HE27" i="3"/>
  <c r="HF27" i="3"/>
  <c r="HG27" i="3"/>
  <c r="HH27" i="3"/>
  <c r="HI27" i="3"/>
  <c r="HJ27" i="3"/>
  <c r="HK27" i="3"/>
  <c r="HL27" i="3"/>
  <c r="HM27" i="3"/>
  <c r="HN27" i="3"/>
  <c r="HO27" i="3"/>
  <c r="HP27" i="3"/>
  <c r="HQ27" i="3"/>
  <c r="HR27" i="3"/>
  <c r="HS27" i="3"/>
  <c r="HT27" i="3"/>
  <c r="HU27" i="3"/>
  <c r="HV27" i="3"/>
  <c r="HW27" i="3"/>
  <c r="HX27" i="3"/>
  <c r="HY27" i="3"/>
  <c r="HZ27" i="3"/>
  <c r="IA27" i="3"/>
  <c r="IB27" i="3"/>
  <c r="IC27" i="3"/>
  <c r="ID27" i="3"/>
  <c r="IE27" i="3"/>
  <c r="IF27" i="3"/>
  <c r="IG27" i="3"/>
  <c r="IH27" i="3"/>
  <c r="II27" i="3"/>
  <c r="IJ27" i="3"/>
  <c r="IK27" i="3"/>
  <c r="IL27" i="3"/>
  <c r="IM27" i="3"/>
  <c r="IN27" i="3"/>
  <c r="DJ28" i="3"/>
  <c r="DK28" i="3"/>
  <c r="DL28" i="3"/>
  <c r="DM28" i="3"/>
  <c r="DN28" i="3"/>
  <c r="DO28" i="3"/>
  <c r="DP28" i="3"/>
  <c r="DQ28" i="3"/>
  <c r="DR28" i="3"/>
  <c r="DS28" i="3"/>
  <c r="DT28" i="3"/>
  <c r="DU28" i="3"/>
  <c r="DV28" i="3"/>
  <c r="DW28" i="3"/>
  <c r="DX28" i="3"/>
  <c r="DY28" i="3"/>
  <c r="DZ28" i="3"/>
  <c r="EA28" i="3"/>
  <c r="EB28" i="3"/>
  <c r="EC28" i="3"/>
  <c r="ED28" i="3"/>
  <c r="EE28" i="3"/>
  <c r="EF28" i="3"/>
  <c r="EG28" i="3"/>
  <c r="EH28" i="3"/>
  <c r="EI28" i="3"/>
  <c r="EJ28" i="3"/>
  <c r="EK28" i="3"/>
  <c r="EL28" i="3"/>
  <c r="EM28" i="3"/>
  <c r="EN28" i="3"/>
  <c r="EO28" i="3"/>
  <c r="EP28" i="3"/>
  <c r="EQ28" i="3"/>
  <c r="ER28" i="3"/>
  <c r="ES28" i="3"/>
  <c r="ET28" i="3"/>
  <c r="EU28" i="3"/>
  <c r="EV28" i="3"/>
  <c r="EW28" i="3"/>
  <c r="EX28" i="3"/>
  <c r="EY28" i="3"/>
  <c r="EZ28" i="3"/>
  <c r="FA28" i="3"/>
  <c r="FB28" i="3"/>
  <c r="FC28" i="3"/>
  <c r="FD28" i="3"/>
  <c r="FE28" i="3"/>
  <c r="FF28" i="3"/>
  <c r="FG28" i="3"/>
  <c r="FH28" i="3"/>
  <c r="FI28" i="3"/>
  <c r="FJ28" i="3"/>
  <c r="FK28" i="3"/>
  <c r="FL28" i="3"/>
  <c r="FM28" i="3"/>
  <c r="FN28" i="3"/>
  <c r="FO28" i="3"/>
  <c r="FP28" i="3"/>
  <c r="FQ28" i="3"/>
  <c r="FR28" i="3"/>
  <c r="FS28" i="3"/>
  <c r="FT28" i="3"/>
  <c r="FU28" i="3"/>
  <c r="FV28" i="3"/>
  <c r="FW28" i="3"/>
  <c r="FX28" i="3"/>
  <c r="FY28" i="3"/>
  <c r="FZ28" i="3"/>
  <c r="GA28" i="3"/>
  <c r="GB28" i="3"/>
  <c r="GC28" i="3"/>
  <c r="GD28" i="3"/>
  <c r="GE28" i="3"/>
  <c r="GF28" i="3"/>
  <c r="GG28" i="3"/>
  <c r="GH28" i="3"/>
  <c r="GI28" i="3"/>
  <c r="GJ28" i="3"/>
  <c r="GK28" i="3"/>
  <c r="GL28" i="3"/>
  <c r="GM28" i="3"/>
  <c r="GN28" i="3"/>
  <c r="GO28" i="3"/>
  <c r="GP28" i="3"/>
  <c r="GQ28" i="3"/>
  <c r="GR28" i="3"/>
  <c r="GS28" i="3"/>
  <c r="GT28" i="3"/>
  <c r="GU28" i="3"/>
  <c r="GV28" i="3"/>
  <c r="GW28" i="3"/>
  <c r="GX28" i="3"/>
  <c r="GY28" i="3"/>
  <c r="GZ28" i="3"/>
  <c r="HA28" i="3"/>
  <c r="HB28" i="3"/>
  <c r="HC28" i="3"/>
  <c r="HD28" i="3"/>
  <c r="HE28" i="3"/>
  <c r="HF28" i="3"/>
  <c r="HG28" i="3"/>
  <c r="HH28" i="3"/>
  <c r="HI28" i="3"/>
  <c r="HJ28" i="3"/>
  <c r="HK28" i="3"/>
  <c r="HL28" i="3"/>
  <c r="HM28" i="3"/>
  <c r="HN28" i="3"/>
  <c r="HO28" i="3"/>
  <c r="HP28" i="3"/>
  <c r="HQ28" i="3"/>
  <c r="HR28" i="3"/>
  <c r="HS28" i="3"/>
  <c r="HT28" i="3"/>
  <c r="HU28" i="3"/>
  <c r="HV28" i="3"/>
  <c r="HW28" i="3"/>
  <c r="HX28" i="3"/>
  <c r="HY28" i="3"/>
  <c r="HZ28" i="3"/>
  <c r="IA28" i="3"/>
  <c r="IB28" i="3"/>
  <c r="IC28" i="3"/>
  <c r="ID28" i="3"/>
  <c r="IE28" i="3"/>
  <c r="IF28" i="3"/>
  <c r="IG28" i="3"/>
  <c r="IH28" i="3"/>
  <c r="II28" i="3"/>
  <c r="IJ28" i="3"/>
  <c r="IK28" i="3"/>
  <c r="IL28" i="3"/>
  <c r="IM28" i="3"/>
  <c r="IN28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B29" i="3"/>
  <c r="CC29" i="3"/>
  <c r="CD29" i="3"/>
  <c r="CE29" i="3"/>
  <c r="CF29" i="3"/>
  <c r="CG29" i="3"/>
  <c r="CH29" i="3"/>
  <c r="CI29" i="3"/>
  <c r="CJ29" i="3"/>
  <c r="CK29" i="3"/>
  <c r="CL29" i="3"/>
  <c r="CM29" i="3"/>
  <c r="CN29" i="3"/>
  <c r="CO29" i="3"/>
  <c r="CP29" i="3"/>
  <c r="CQ29" i="3"/>
  <c r="CR29" i="3"/>
  <c r="CS29" i="3"/>
  <c r="CT29" i="3"/>
  <c r="CU29" i="3"/>
  <c r="CV29" i="3"/>
  <c r="CW29" i="3"/>
  <c r="CX29" i="3"/>
  <c r="CY29" i="3"/>
  <c r="CZ29" i="3"/>
  <c r="DA29" i="3"/>
  <c r="DB29" i="3"/>
  <c r="DC29" i="3"/>
  <c r="DD29" i="3"/>
  <c r="DE29" i="3"/>
  <c r="DF29" i="3"/>
  <c r="DG29" i="3"/>
  <c r="DH29" i="3"/>
  <c r="DI29" i="3"/>
  <c r="DJ29" i="3"/>
  <c r="DK29" i="3"/>
  <c r="DL29" i="3"/>
  <c r="DM29" i="3"/>
  <c r="DN29" i="3"/>
  <c r="DO29" i="3"/>
  <c r="DP29" i="3"/>
  <c r="DQ29" i="3"/>
  <c r="DR29" i="3"/>
  <c r="DS29" i="3"/>
  <c r="DT29" i="3"/>
  <c r="DU29" i="3"/>
  <c r="DV29" i="3"/>
  <c r="DW29" i="3"/>
  <c r="DX29" i="3"/>
  <c r="DY29" i="3"/>
  <c r="DZ29" i="3"/>
  <c r="EA29" i="3"/>
  <c r="EB29" i="3"/>
  <c r="EC29" i="3"/>
  <c r="ED29" i="3"/>
  <c r="EE29" i="3"/>
  <c r="EF29" i="3"/>
  <c r="EG29" i="3"/>
  <c r="EH29" i="3"/>
  <c r="EI29" i="3"/>
  <c r="EJ29" i="3"/>
  <c r="EK29" i="3"/>
  <c r="EL29" i="3"/>
  <c r="EM29" i="3"/>
  <c r="EN29" i="3"/>
  <c r="EO29" i="3"/>
  <c r="EP29" i="3"/>
  <c r="EQ29" i="3"/>
  <c r="ER29" i="3"/>
  <c r="ES29" i="3"/>
  <c r="ET29" i="3"/>
  <c r="EU29" i="3"/>
  <c r="EV29" i="3"/>
  <c r="EW29" i="3"/>
  <c r="EX29" i="3"/>
  <c r="EY29" i="3"/>
  <c r="EZ29" i="3"/>
  <c r="FA29" i="3"/>
  <c r="FB29" i="3"/>
  <c r="FC29" i="3"/>
  <c r="FD29" i="3"/>
  <c r="FE29" i="3"/>
  <c r="FF29" i="3"/>
  <c r="FG29" i="3"/>
  <c r="FH29" i="3"/>
  <c r="FI29" i="3"/>
  <c r="FJ29" i="3"/>
  <c r="FK29" i="3"/>
  <c r="FL29" i="3"/>
  <c r="FM29" i="3"/>
  <c r="FN29" i="3"/>
  <c r="FO29" i="3"/>
  <c r="FP29" i="3"/>
  <c r="FQ29" i="3"/>
  <c r="FR29" i="3"/>
  <c r="FS29" i="3"/>
  <c r="FT29" i="3"/>
  <c r="FU29" i="3"/>
  <c r="FV29" i="3"/>
  <c r="FW29" i="3"/>
  <c r="FX29" i="3"/>
  <c r="FY29" i="3"/>
  <c r="FZ29" i="3"/>
  <c r="GA29" i="3"/>
  <c r="GB29" i="3"/>
  <c r="GC29" i="3"/>
  <c r="GD29" i="3"/>
  <c r="GE29" i="3"/>
  <c r="GF29" i="3"/>
  <c r="GG29" i="3"/>
  <c r="GH29" i="3"/>
  <c r="GI29" i="3"/>
  <c r="GJ29" i="3"/>
  <c r="GK29" i="3"/>
  <c r="GL29" i="3"/>
  <c r="GM29" i="3"/>
  <c r="GN29" i="3"/>
  <c r="GO29" i="3"/>
  <c r="GP29" i="3"/>
  <c r="GQ29" i="3"/>
  <c r="GR29" i="3"/>
  <c r="GS29" i="3"/>
  <c r="GT29" i="3"/>
  <c r="GU29" i="3"/>
  <c r="GV29" i="3"/>
  <c r="GW29" i="3"/>
  <c r="GX29" i="3"/>
  <c r="GY29" i="3"/>
  <c r="GZ29" i="3"/>
  <c r="HA29" i="3"/>
  <c r="HB29" i="3"/>
  <c r="HC29" i="3"/>
  <c r="HD29" i="3"/>
  <c r="HE29" i="3"/>
  <c r="HF29" i="3"/>
  <c r="HG29" i="3"/>
  <c r="HH29" i="3"/>
  <c r="HI29" i="3"/>
  <c r="HJ29" i="3"/>
  <c r="HK29" i="3"/>
  <c r="HL29" i="3"/>
  <c r="HM29" i="3"/>
  <c r="HN29" i="3"/>
  <c r="HO29" i="3"/>
  <c r="HP29" i="3"/>
  <c r="HQ29" i="3"/>
  <c r="HR29" i="3"/>
  <c r="HS29" i="3"/>
  <c r="HT29" i="3"/>
  <c r="HU29" i="3"/>
  <c r="HV29" i="3"/>
  <c r="HW29" i="3"/>
  <c r="HX29" i="3"/>
  <c r="HY29" i="3"/>
  <c r="HZ29" i="3"/>
  <c r="IA29" i="3"/>
  <c r="IB29" i="3"/>
  <c r="IC29" i="3"/>
  <c r="ID29" i="3"/>
  <c r="IE29" i="3"/>
  <c r="IF29" i="3"/>
  <c r="IG29" i="3"/>
  <c r="IH29" i="3"/>
  <c r="II29" i="3"/>
  <c r="IJ29" i="3"/>
  <c r="IK29" i="3"/>
  <c r="IL29" i="3"/>
  <c r="IM29" i="3"/>
  <c r="IN29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T30" i="3"/>
  <c r="BU30" i="3"/>
  <c r="BV30" i="3"/>
  <c r="BW30" i="3"/>
  <c r="BX30" i="3"/>
  <c r="BY30" i="3"/>
  <c r="BZ30" i="3"/>
  <c r="CA30" i="3"/>
  <c r="CB30" i="3"/>
  <c r="CC30" i="3"/>
  <c r="CD30" i="3"/>
  <c r="CE30" i="3"/>
  <c r="CF30" i="3"/>
  <c r="CG30" i="3"/>
  <c r="CH30" i="3"/>
  <c r="CI30" i="3"/>
  <c r="CJ30" i="3"/>
  <c r="CK30" i="3"/>
  <c r="CL30" i="3"/>
  <c r="CM30" i="3"/>
  <c r="CN30" i="3"/>
  <c r="CO30" i="3"/>
  <c r="CP30" i="3"/>
  <c r="CQ30" i="3"/>
  <c r="CR30" i="3"/>
  <c r="CS30" i="3"/>
  <c r="CT30" i="3"/>
  <c r="CU30" i="3"/>
  <c r="CV30" i="3"/>
  <c r="CW30" i="3"/>
  <c r="CX30" i="3"/>
  <c r="CY30" i="3"/>
  <c r="CZ30" i="3"/>
  <c r="DA30" i="3"/>
  <c r="DB30" i="3"/>
  <c r="DC30" i="3"/>
  <c r="DD30" i="3"/>
  <c r="DE30" i="3"/>
  <c r="DF30" i="3"/>
  <c r="DG30" i="3"/>
  <c r="DH30" i="3"/>
  <c r="DI30" i="3"/>
  <c r="DJ30" i="3"/>
  <c r="DK30" i="3"/>
  <c r="DL30" i="3"/>
  <c r="DM30" i="3"/>
  <c r="DN30" i="3"/>
  <c r="DO30" i="3"/>
  <c r="DP30" i="3"/>
  <c r="DQ30" i="3"/>
  <c r="DR30" i="3"/>
  <c r="DS30" i="3"/>
  <c r="DT30" i="3"/>
  <c r="DU30" i="3"/>
  <c r="DV30" i="3"/>
  <c r="DW30" i="3"/>
  <c r="DX30" i="3"/>
  <c r="DY30" i="3"/>
  <c r="DZ30" i="3"/>
  <c r="EA30" i="3"/>
  <c r="EB30" i="3"/>
  <c r="EC30" i="3"/>
  <c r="ED30" i="3"/>
  <c r="EE30" i="3"/>
  <c r="EF30" i="3"/>
  <c r="EG30" i="3"/>
  <c r="EH30" i="3"/>
  <c r="EI30" i="3"/>
  <c r="EJ30" i="3"/>
  <c r="EK30" i="3"/>
  <c r="EL30" i="3"/>
  <c r="EM30" i="3"/>
  <c r="EN30" i="3"/>
  <c r="EO30" i="3"/>
  <c r="EP30" i="3"/>
  <c r="EQ30" i="3"/>
  <c r="ER30" i="3"/>
  <c r="ES30" i="3"/>
  <c r="ET30" i="3"/>
  <c r="EU30" i="3"/>
  <c r="EV30" i="3"/>
  <c r="EW30" i="3"/>
  <c r="EX30" i="3"/>
  <c r="EY30" i="3"/>
  <c r="EZ30" i="3"/>
  <c r="FA30" i="3"/>
  <c r="FB30" i="3"/>
  <c r="FC30" i="3"/>
  <c r="FD30" i="3"/>
  <c r="FE30" i="3"/>
  <c r="FF30" i="3"/>
  <c r="FG30" i="3"/>
  <c r="FH30" i="3"/>
  <c r="FI30" i="3"/>
  <c r="FJ30" i="3"/>
  <c r="FK30" i="3"/>
  <c r="FL30" i="3"/>
  <c r="FM30" i="3"/>
  <c r="FN30" i="3"/>
  <c r="FO30" i="3"/>
  <c r="FP30" i="3"/>
  <c r="FQ30" i="3"/>
  <c r="FR30" i="3"/>
  <c r="FS30" i="3"/>
  <c r="FT30" i="3"/>
  <c r="FU30" i="3"/>
  <c r="FV30" i="3"/>
  <c r="FW30" i="3"/>
  <c r="FX30" i="3"/>
  <c r="FY30" i="3"/>
  <c r="FZ30" i="3"/>
  <c r="GA30" i="3"/>
  <c r="GB30" i="3"/>
  <c r="GC30" i="3"/>
  <c r="GD30" i="3"/>
  <c r="GE30" i="3"/>
  <c r="GF30" i="3"/>
  <c r="GG30" i="3"/>
  <c r="GH30" i="3"/>
  <c r="GI30" i="3"/>
  <c r="GJ30" i="3"/>
  <c r="GK30" i="3"/>
  <c r="GL30" i="3"/>
  <c r="GM30" i="3"/>
  <c r="GN30" i="3"/>
  <c r="GO30" i="3"/>
  <c r="GP30" i="3"/>
  <c r="GQ30" i="3"/>
  <c r="GR30" i="3"/>
  <c r="GS30" i="3"/>
  <c r="GT30" i="3"/>
  <c r="GU30" i="3"/>
  <c r="GV30" i="3"/>
  <c r="GW30" i="3"/>
  <c r="GX30" i="3"/>
  <c r="GY30" i="3"/>
  <c r="GZ30" i="3"/>
  <c r="HA30" i="3"/>
  <c r="HB30" i="3"/>
  <c r="HC30" i="3"/>
  <c r="HD30" i="3"/>
  <c r="HE30" i="3"/>
  <c r="HF30" i="3"/>
  <c r="HG30" i="3"/>
  <c r="HH30" i="3"/>
  <c r="HI30" i="3"/>
  <c r="HJ30" i="3"/>
  <c r="HK30" i="3"/>
  <c r="HL30" i="3"/>
  <c r="HM30" i="3"/>
  <c r="HN30" i="3"/>
  <c r="HO30" i="3"/>
  <c r="HP30" i="3"/>
  <c r="HQ30" i="3"/>
  <c r="HR30" i="3"/>
  <c r="HS30" i="3"/>
  <c r="HT30" i="3"/>
  <c r="HU30" i="3"/>
  <c r="HV30" i="3"/>
  <c r="HW30" i="3"/>
  <c r="HX30" i="3"/>
  <c r="HY30" i="3"/>
  <c r="HZ30" i="3"/>
  <c r="IA30" i="3"/>
  <c r="IB30" i="3"/>
  <c r="IC30" i="3"/>
  <c r="ID30" i="3"/>
  <c r="IE30" i="3"/>
  <c r="IF30" i="3"/>
  <c r="IG30" i="3"/>
  <c r="IH30" i="3"/>
  <c r="II30" i="3"/>
  <c r="IJ30" i="3"/>
  <c r="IK30" i="3"/>
  <c r="IL30" i="3"/>
  <c r="IM30" i="3"/>
  <c r="IN30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BW31" i="3"/>
  <c r="BX31" i="3"/>
  <c r="BY31" i="3"/>
  <c r="BZ31" i="3"/>
  <c r="CA31" i="3"/>
  <c r="CB31" i="3"/>
  <c r="CC31" i="3"/>
  <c r="CD31" i="3"/>
  <c r="CE31" i="3"/>
  <c r="CF31" i="3"/>
  <c r="CG31" i="3"/>
  <c r="CH31" i="3"/>
  <c r="CI31" i="3"/>
  <c r="CJ31" i="3"/>
  <c r="CK31" i="3"/>
  <c r="CL31" i="3"/>
  <c r="CM31" i="3"/>
  <c r="CN31" i="3"/>
  <c r="CO31" i="3"/>
  <c r="CP31" i="3"/>
  <c r="CQ31" i="3"/>
  <c r="CR31" i="3"/>
  <c r="CS31" i="3"/>
  <c r="CT31" i="3"/>
  <c r="CU31" i="3"/>
  <c r="CV31" i="3"/>
  <c r="CW31" i="3"/>
  <c r="CX31" i="3"/>
  <c r="CY31" i="3"/>
  <c r="CZ31" i="3"/>
  <c r="DA31" i="3"/>
  <c r="DB31" i="3"/>
  <c r="DC31" i="3"/>
  <c r="DD31" i="3"/>
  <c r="DE31" i="3"/>
  <c r="DF31" i="3"/>
  <c r="DG31" i="3"/>
  <c r="DH31" i="3"/>
  <c r="DI31" i="3"/>
  <c r="DJ31" i="3"/>
  <c r="DK31" i="3"/>
  <c r="DL31" i="3"/>
  <c r="DM31" i="3"/>
  <c r="DN31" i="3"/>
  <c r="DO31" i="3"/>
  <c r="DP31" i="3"/>
  <c r="DQ31" i="3"/>
  <c r="DR31" i="3"/>
  <c r="DS31" i="3"/>
  <c r="DT31" i="3"/>
  <c r="DU31" i="3"/>
  <c r="DV31" i="3"/>
  <c r="DW31" i="3"/>
  <c r="DX31" i="3"/>
  <c r="DY31" i="3"/>
  <c r="DZ31" i="3"/>
  <c r="EA31" i="3"/>
  <c r="EB31" i="3"/>
  <c r="EC31" i="3"/>
  <c r="ED31" i="3"/>
  <c r="EE31" i="3"/>
  <c r="EF31" i="3"/>
  <c r="EG31" i="3"/>
  <c r="EH31" i="3"/>
  <c r="EI31" i="3"/>
  <c r="EJ31" i="3"/>
  <c r="EK31" i="3"/>
  <c r="EL31" i="3"/>
  <c r="EM31" i="3"/>
  <c r="EN31" i="3"/>
  <c r="EO31" i="3"/>
  <c r="EP31" i="3"/>
  <c r="EQ31" i="3"/>
  <c r="ER31" i="3"/>
  <c r="ES31" i="3"/>
  <c r="ET31" i="3"/>
  <c r="EU31" i="3"/>
  <c r="EV31" i="3"/>
  <c r="EW31" i="3"/>
  <c r="EX31" i="3"/>
  <c r="EY31" i="3"/>
  <c r="EZ31" i="3"/>
  <c r="FA31" i="3"/>
  <c r="FB31" i="3"/>
  <c r="FC31" i="3"/>
  <c r="FD31" i="3"/>
  <c r="FE31" i="3"/>
  <c r="FF31" i="3"/>
  <c r="FG31" i="3"/>
  <c r="FH31" i="3"/>
  <c r="FI31" i="3"/>
  <c r="FJ31" i="3"/>
  <c r="FK31" i="3"/>
  <c r="FL31" i="3"/>
  <c r="FM31" i="3"/>
  <c r="FN31" i="3"/>
  <c r="FO31" i="3"/>
  <c r="FP31" i="3"/>
  <c r="FQ31" i="3"/>
  <c r="FR31" i="3"/>
  <c r="FS31" i="3"/>
  <c r="FT31" i="3"/>
  <c r="FU31" i="3"/>
  <c r="FV31" i="3"/>
  <c r="FW31" i="3"/>
  <c r="FX31" i="3"/>
  <c r="FY31" i="3"/>
  <c r="FZ31" i="3"/>
  <c r="GA31" i="3"/>
  <c r="GB31" i="3"/>
  <c r="GC31" i="3"/>
  <c r="GD31" i="3"/>
  <c r="GE31" i="3"/>
  <c r="GF31" i="3"/>
  <c r="GG31" i="3"/>
  <c r="GH31" i="3"/>
  <c r="GI31" i="3"/>
  <c r="GJ31" i="3"/>
  <c r="GK31" i="3"/>
  <c r="GL31" i="3"/>
  <c r="GM31" i="3"/>
  <c r="GN31" i="3"/>
  <c r="GO31" i="3"/>
  <c r="GP31" i="3"/>
  <c r="GQ31" i="3"/>
  <c r="GR31" i="3"/>
  <c r="GS31" i="3"/>
  <c r="GT31" i="3"/>
  <c r="GU31" i="3"/>
  <c r="GV31" i="3"/>
  <c r="GW31" i="3"/>
  <c r="GX31" i="3"/>
  <c r="GY31" i="3"/>
  <c r="GZ31" i="3"/>
  <c r="HA31" i="3"/>
  <c r="HB31" i="3"/>
  <c r="HC31" i="3"/>
  <c r="HD31" i="3"/>
  <c r="HE31" i="3"/>
  <c r="HF31" i="3"/>
  <c r="HG31" i="3"/>
  <c r="HH31" i="3"/>
  <c r="HI31" i="3"/>
  <c r="HJ31" i="3"/>
  <c r="HK31" i="3"/>
  <c r="HL31" i="3"/>
  <c r="HM31" i="3"/>
  <c r="HN31" i="3"/>
  <c r="HO31" i="3"/>
  <c r="HP31" i="3"/>
  <c r="HQ31" i="3"/>
  <c r="HR31" i="3"/>
  <c r="HS31" i="3"/>
  <c r="HT31" i="3"/>
  <c r="HU31" i="3"/>
  <c r="HV31" i="3"/>
  <c r="HW31" i="3"/>
  <c r="HX31" i="3"/>
  <c r="HY31" i="3"/>
  <c r="HZ31" i="3"/>
  <c r="IA31" i="3"/>
  <c r="IB31" i="3"/>
  <c r="IC31" i="3"/>
  <c r="ID31" i="3"/>
  <c r="IE31" i="3"/>
  <c r="IF31" i="3"/>
  <c r="IG31" i="3"/>
  <c r="IH31" i="3"/>
  <c r="II31" i="3"/>
  <c r="IJ31" i="3"/>
  <c r="IK31" i="3"/>
  <c r="IL31" i="3"/>
  <c r="IM31" i="3"/>
  <c r="IN31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Y32" i="3"/>
  <c r="BZ32" i="3"/>
  <c r="CA32" i="3"/>
  <c r="CB32" i="3"/>
  <c r="CC32" i="3"/>
  <c r="CD32" i="3"/>
  <c r="CE32" i="3"/>
  <c r="CF32" i="3"/>
  <c r="CG32" i="3"/>
  <c r="CH32" i="3"/>
  <c r="CI32" i="3"/>
  <c r="CJ32" i="3"/>
  <c r="CK32" i="3"/>
  <c r="CL32" i="3"/>
  <c r="CM32" i="3"/>
  <c r="CN32" i="3"/>
  <c r="CO32" i="3"/>
  <c r="CP32" i="3"/>
  <c r="CQ32" i="3"/>
  <c r="CR32" i="3"/>
  <c r="CS32" i="3"/>
  <c r="CT32" i="3"/>
  <c r="CU32" i="3"/>
  <c r="CV32" i="3"/>
  <c r="CW32" i="3"/>
  <c r="CX32" i="3"/>
  <c r="CY32" i="3"/>
  <c r="CZ32" i="3"/>
  <c r="DA32" i="3"/>
  <c r="DB32" i="3"/>
  <c r="DC32" i="3"/>
  <c r="DD32" i="3"/>
  <c r="DE32" i="3"/>
  <c r="DF32" i="3"/>
  <c r="DG32" i="3"/>
  <c r="DH32" i="3"/>
  <c r="DI32" i="3"/>
  <c r="DJ32" i="3"/>
  <c r="DK32" i="3"/>
  <c r="DL32" i="3"/>
  <c r="DM32" i="3"/>
  <c r="DN32" i="3"/>
  <c r="DO32" i="3"/>
  <c r="DP32" i="3"/>
  <c r="DQ32" i="3"/>
  <c r="DR32" i="3"/>
  <c r="DS32" i="3"/>
  <c r="DT32" i="3"/>
  <c r="DU32" i="3"/>
  <c r="DV32" i="3"/>
  <c r="DW32" i="3"/>
  <c r="DX32" i="3"/>
  <c r="DY32" i="3"/>
  <c r="DZ32" i="3"/>
  <c r="EA32" i="3"/>
  <c r="EB32" i="3"/>
  <c r="EC32" i="3"/>
  <c r="ED32" i="3"/>
  <c r="EE32" i="3"/>
  <c r="EF32" i="3"/>
  <c r="EG32" i="3"/>
  <c r="EH32" i="3"/>
  <c r="EI32" i="3"/>
  <c r="EJ32" i="3"/>
  <c r="EK32" i="3"/>
  <c r="EL32" i="3"/>
  <c r="EM32" i="3"/>
  <c r="EN32" i="3"/>
  <c r="EO32" i="3"/>
  <c r="EP32" i="3"/>
  <c r="EQ32" i="3"/>
  <c r="ER32" i="3"/>
  <c r="ES32" i="3"/>
  <c r="ET32" i="3"/>
  <c r="EU32" i="3"/>
  <c r="EV32" i="3"/>
  <c r="EW32" i="3"/>
  <c r="EX32" i="3"/>
  <c r="EY32" i="3"/>
  <c r="EZ32" i="3"/>
  <c r="FA32" i="3"/>
  <c r="FB32" i="3"/>
  <c r="FC32" i="3"/>
  <c r="FD32" i="3"/>
  <c r="FE32" i="3"/>
  <c r="FF32" i="3"/>
  <c r="FG32" i="3"/>
  <c r="FH32" i="3"/>
  <c r="FI32" i="3"/>
  <c r="FJ32" i="3"/>
  <c r="FK32" i="3"/>
  <c r="FL32" i="3"/>
  <c r="FM32" i="3"/>
  <c r="FN32" i="3"/>
  <c r="FO32" i="3"/>
  <c r="FP32" i="3"/>
  <c r="FQ32" i="3"/>
  <c r="FR32" i="3"/>
  <c r="FS32" i="3"/>
  <c r="FT32" i="3"/>
  <c r="FU32" i="3"/>
  <c r="FV32" i="3"/>
  <c r="FW32" i="3"/>
  <c r="FX32" i="3"/>
  <c r="FY32" i="3"/>
  <c r="FZ32" i="3"/>
  <c r="GA32" i="3"/>
  <c r="GB32" i="3"/>
  <c r="GC32" i="3"/>
  <c r="GD32" i="3"/>
  <c r="GE32" i="3"/>
  <c r="GF32" i="3"/>
  <c r="GG32" i="3"/>
  <c r="GH32" i="3"/>
  <c r="GI32" i="3"/>
  <c r="GJ32" i="3"/>
  <c r="GK32" i="3"/>
  <c r="GL32" i="3"/>
  <c r="GM32" i="3"/>
  <c r="GN32" i="3"/>
  <c r="GO32" i="3"/>
  <c r="GP32" i="3"/>
  <c r="GQ32" i="3"/>
  <c r="GR32" i="3"/>
  <c r="GS32" i="3"/>
  <c r="GT32" i="3"/>
  <c r="GU32" i="3"/>
  <c r="GV32" i="3"/>
  <c r="GW32" i="3"/>
  <c r="GX32" i="3"/>
  <c r="GY32" i="3"/>
  <c r="GZ32" i="3"/>
  <c r="HA32" i="3"/>
  <c r="HB32" i="3"/>
  <c r="HC32" i="3"/>
  <c r="HD32" i="3"/>
  <c r="HE32" i="3"/>
  <c r="HF32" i="3"/>
  <c r="HG32" i="3"/>
  <c r="HH32" i="3"/>
  <c r="HI32" i="3"/>
  <c r="HJ32" i="3"/>
  <c r="HK32" i="3"/>
  <c r="HL32" i="3"/>
  <c r="HM32" i="3"/>
  <c r="HN32" i="3"/>
  <c r="HO32" i="3"/>
  <c r="HP32" i="3"/>
  <c r="HQ32" i="3"/>
  <c r="HR32" i="3"/>
  <c r="HS32" i="3"/>
  <c r="HT32" i="3"/>
  <c r="HU32" i="3"/>
  <c r="HV32" i="3"/>
  <c r="HW32" i="3"/>
  <c r="HX32" i="3"/>
  <c r="HY32" i="3"/>
  <c r="HZ32" i="3"/>
  <c r="IA32" i="3"/>
  <c r="IB32" i="3"/>
  <c r="IC32" i="3"/>
  <c r="ID32" i="3"/>
  <c r="IE32" i="3"/>
  <c r="IF32" i="3"/>
  <c r="IG32" i="3"/>
  <c r="IH32" i="3"/>
  <c r="II32" i="3"/>
  <c r="IJ32" i="3"/>
  <c r="IK32" i="3"/>
  <c r="IL32" i="3"/>
  <c r="IM32" i="3"/>
  <c r="IN32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T33" i="3"/>
  <c r="BU33" i="3"/>
  <c r="BV33" i="3"/>
  <c r="BW33" i="3"/>
  <c r="BX33" i="3"/>
  <c r="BY33" i="3"/>
  <c r="BZ33" i="3"/>
  <c r="CA33" i="3"/>
  <c r="CB33" i="3"/>
  <c r="CC33" i="3"/>
  <c r="CD33" i="3"/>
  <c r="CE33" i="3"/>
  <c r="CF33" i="3"/>
  <c r="CG33" i="3"/>
  <c r="CH33" i="3"/>
  <c r="CI33" i="3"/>
  <c r="CJ33" i="3"/>
  <c r="CK33" i="3"/>
  <c r="CL33" i="3"/>
  <c r="CM33" i="3"/>
  <c r="CN33" i="3"/>
  <c r="CO33" i="3"/>
  <c r="CP33" i="3"/>
  <c r="CQ33" i="3"/>
  <c r="CR33" i="3"/>
  <c r="CS33" i="3"/>
  <c r="CT33" i="3"/>
  <c r="CU33" i="3"/>
  <c r="CV33" i="3"/>
  <c r="CW33" i="3"/>
  <c r="CX33" i="3"/>
  <c r="CY33" i="3"/>
  <c r="CZ33" i="3"/>
  <c r="DA33" i="3"/>
  <c r="DB33" i="3"/>
  <c r="DC33" i="3"/>
  <c r="DD33" i="3"/>
  <c r="DE33" i="3"/>
  <c r="DF33" i="3"/>
  <c r="DG33" i="3"/>
  <c r="DH33" i="3"/>
  <c r="DI33" i="3"/>
  <c r="DJ33" i="3"/>
  <c r="DK33" i="3"/>
  <c r="DL33" i="3"/>
  <c r="DM33" i="3"/>
  <c r="DN33" i="3"/>
  <c r="DO33" i="3"/>
  <c r="DP33" i="3"/>
  <c r="DQ33" i="3"/>
  <c r="DR33" i="3"/>
  <c r="DS33" i="3"/>
  <c r="DT33" i="3"/>
  <c r="DU33" i="3"/>
  <c r="DV33" i="3"/>
  <c r="DW33" i="3"/>
  <c r="DX33" i="3"/>
  <c r="DY33" i="3"/>
  <c r="DZ33" i="3"/>
  <c r="EA33" i="3"/>
  <c r="EB33" i="3"/>
  <c r="EC33" i="3"/>
  <c r="ED33" i="3"/>
  <c r="EE33" i="3"/>
  <c r="EF33" i="3"/>
  <c r="EG33" i="3"/>
  <c r="EH33" i="3"/>
  <c r="EI33" i="3"/>
  <c r="EJ33" i="3"/>
  <c r="EK33" i="3"/>
  <c r="EL33" i="3"/>
  <c r="EM33" i="3"/>
  <c r="EN33" i="3"/>
  <c r="EO33" i="3"/>
  <c r="EP33" i="3"/>
  <c r="EQ33" i="3"/>
  <c r="ER33" i="3"/>
  <c r="ES33" i="3"/>
  <c r="ET33" i="3"/>
  <c r="EU33" i="3"/>
  <c r="EV33" i="3"/>
  <c r="EW33" i="3"/>
  <c r="EX33" i="3"/>
  <c r="EY33" i="3"/>
  <c r="EZ33" i="3"/>
  <c r="FA33" i="3"/>
  <c r="FB33" i="3"/>
  <c r="FC33" i="3"/>
  <c r="FD33" i="3"/>
  <c r="FE33" i="3"/>
  <c r="FF33" i="3"/>
  <c r="FG33" i="3"/>
  <c r="FH33" i="3"/>
  <c r="FI33" i="3"/>
  <c r="FJ33" i="3"/>
  <c r="FK33" i="3"/>
  <c r="FL33" i="3"/>
  <c r="FM33" i="3"/>
  <c r="FN33" i="3"/>
  <c r="FO33" i="3"/>
  <c r="FP33" i="3"/>
  <c r="FQ33" i="3"/>
  <c r="FR33" i="3"/>
  <c r="FS33" i="3"/>
  <c r="FT33" i="3"/>
  <c r="FU33" i="3"/>
  <c r="FV33" i="3"/>
  <c r="FW33" i="3"/>
  <c r="FX33" i="3"/>
  <c r="FY33" i="3"/>
  <c r="FZ33" i="3"/>
  <c r="GA33" i="3"/>
  <c r="GB33" i="3"/>
  <c r="GC33" i="3"/>
  <c r="GD33" i="3"/>
  <c r="GE33" i="3"/>
  <c r="GF33" i="3"/>
  <c r="GG33" i="3"/>
  <c r="GH33" i="3"/>
  <c r="GI33" i="3"/>
  <c r="GJ33" i="3"/>
  <c r="GK33" i="3"/>
  <c r="GL33" i="3"/>
  <c r="GM33" i="3"/>
  <c r="GN33" i="3"/>
  <c r="GO33" i="3"/>
  <c r="GP33" i="3"/>
  <c r="GQ33" i="3"/>
  <c r="GR33" i="3"/>
  <c r="GS33" i="3"/>
  <c r="GT33" i="3"/>
  <c r="GU33" i="3"/>
  <c r="GV33" i="3"/>
  <c r="GW33" i="3"/>
  <c r="GX33" i="3"/>
  <c r="GY33" i="3"/>
  <c r="GZ33" i="3"/>
  <c r="HA33" i="3"/>
  <c r="HB33" i="3"/>
  <c r="HC33" i="3"/>
  <c r="HD33" i="3"/>
  <c r="HE33" i="3"/>
  <c r="HF33" i="3"/>
  <c r="HG33" i="3"/>
  <c r="HH33" i="3"/>
  <c r="HI33" i="3"/>
  <c r="HJ33" i="3"/>
  <c r="HK33" i="3"/>
  <c r="HL33" i="3"/>
  <c r="HM33" i="3"/>
  <c r="HN33" i="3"/>
  <c r="HO33" i="3"/>
  <c r="HP33" i="3"/>
  <c r="HQ33" i="3"/>
  <c r="HR33" i="3"/>
  <c r="HS33" i="3"/>
  <c r="HT33" i="3"/>
  <c r="HU33" i="3"/>
  <c r="HV33" i="3"/>
  <c r="HW33" i="3"/>
  <c r="HX33" i="3"/>
  <c r="HY33" i="3"/>
  <c r="HZ33" i="3"/>
  <c r="IA33" i="3"/>
  <c r="IB33" i="3"/>
  <c r="IC33" i="3"/>
  <c r="ID33" i="3"/>
  <c r="IE33" i="3"/>
  <c r="IF33" i="3"/>
  <c r="IG33" i="3"/>
  <c r="IH33" i="3"/>
  <c r="II33" i="3"/>
  <c r="IJ33" i="3"/>
  <c r="IK33" i="3"/>
  <c r="IL33" i="3"/>
  <c r="IM33" i="3"/>
  <c r="IN33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BW34" i="3"/>
  <c r="BX34" i="3"/>
  <c r="BY34" i="3"/>
  <c r="BZ34" i="3"/>
  <c r="CA34" i="3"/>
  <c r="CB34" i="3"/>
  <c r="CC34" i="3"/>
  <c r="CD34" i="3"/>
  <c r="CE34" i="3"/>
  <c r="CF34" i="3"/>
  <c r="CG34" i="3"/>
  <c r="CH34" i="3"/>
  <c r="CI34" i="3"/>
  <c r="CJ34" i="3"/>
  <c r="CK34" i="3"/>
  <c r="CL34" i="3"/>
  <c r="CM34" i="3"/>
  <c r="CN34" i="3"/>
  <c r="CO34" i="3"/>
  <c r="CP34" i="3"/>
  <c r="CQ34" i="3"/>
  <c r="CR34" i="3"/>
  <c r="CS34" i="3"/>
  <c r="CT34" i="3"/>
  <c r="CU34" i="3"/>
  <c r="CV34" i="3"/>
  <c r="CW34" i="3"/>
  <c r="CX34" i="3"/>
  <c r="CY34" i="3"/>
  <c r="CZ34" i="3"/>
  <c r="DA34" i="3"/>
  <c r="DB34" i="3"/>
  <c r="DC34" i="3"/>
  <c r="DD34" i="3"/>
  <c r="DE34" i="3"/>
  <c r="DF34" i="3"/>
  <c r="DG34" i="3"/>
  <c r="DH34" i="3"/>
  <c r="DI34" i="3"/>
  <c r="DJ34" i="3"/>
  <c r="DK34" i="3"/>
  <c r="DL34" i="3"/>
  <c r="DM34" i="3"/>
  <c r="DN34" i="3"/>
  <c r="DO34" i="3"/>
  <c r="DP34" i="3"/>
  <c r="DQ34" i="3"/>
  <c r="DR34" i="3"/>
  <c r="DS34" i="3"/>
  <c r="DT34" i="3"/>
  <c r="DU34" i="3"/>
  <c r="DV34" i="3"/>
  <c r="DW34" i="3"/>
  <c r="DX34" i="3"/>
  <c r="DY34" i="3"/>
  <c r="DZ34" i="3"/>
  <c r="EA34" i="3"/>
  <c r="EB34" i="3"/>
  <c r="EC34" i="3"/>
  <c r="ED34" i="3"/>
  <c r="EE34" i="3"/>
  <c r="EF34" i="3"/>
  <c r="EG34" i="3"/>
  <c r="EH34" i="3"/>
  <c r="EI34" i="3"/>
  <c r="EJ34" i="3"/>
  <c r="EK34" i="3"/>
  <c r="EL34" i="3"/>
  <c r="EM34" i="3"/>
  <c r="EN34" i="3"/>
  <c r="EO34" i="3"/>
  <c r="EP34" i="3"/>
  <c r="EQ34" i="3"/>
  <c r="ER34" i="3"/>
  <c r="ES34" i="3"/>
  <c r="ET34" i="3"/>
  <c r="EU34" i="3"/>
  <c r="EV34" i="3"/>
  <c r="EW34" i="3"/>
  <c r="EX34" i="3"/>
  <c r="EY34" i="3"/>
  <c r="EZ34" i="3"/>
  <c r="FA34" i="3"/>
  <c r="FB34" i="3"/>
  <c r="FC34" i="3"/>
  <c r="FD34" i="3"/>
  <c r="FE34" i="3"/>
  <c r="FF34" i="3"/>
  <c r="FG34" i="3"/>
  <c r="FH34" i="3"/>
  <c r="FI34" i="3"/>
  <c r="FJ34" i="3"/>
  <c r="FK34" i="3"/>
  <c r="FL34" i="3"/>
  <c r="FM34" i="3"/>
  <c r="FN34" i="3"/>
  <c r="FO34" i="3"/>
  <c r="FP34" i="3"/>
  <c r="FQ34" i="3"/>
  <c r="FR34" i="3"/>
  <c r="FS34" i="3"/>
  <c r="FT34" i="3"/>
  <c r="FU34" i="3"/>
  <c r="FV34" i="3"/>
  <c r="FW34" i="3"/>
  <c r="FX34" i="3"/>
  <c r="FY34" i="3"/>
  <c r="FZ34" i="3"/>
  <c r="GA34" i="3"/>
  <c r="GB34" i="3"/>
  <c r="GC34" i="3"/>
  <c r="GD34" i="3"/>
  <c r="GE34" i="3"/>
  <c r="GF34" i="3"/>
  <c r="GG34" i="3"/>
  <c r="GH34" i="3"/>
  <c r="GI34" i="3"/>
  <c r="GJ34" i="3"/>
  <c r="GK34" i="3"/>
  <c r="GL34" i="3"/>
  <c r="GM34" i="3"/>
  <c r="GN34" i="3"/>
  <c r="GO34" i="3"/>
  <c r="GP34" i="3"/>
  <c r="GQ34" i="3"/>
  <c r="GR34" i="3"/>
  <c r="GS34" i="3"/>
  <c r="GT34" i="3"/>
  <c r="GU34" i="3"/>
  <c r="GV34" i="3"/>
  <c r="GW34" i="3"/>
  <c r="GX34" i="3"/>
  <c r="GY34" i="3"/>
  <c r="GZ34" i="3"/>
  <c r="HA34" i="3"/>
  <c r="HB34" i="3"/>
  <c r="HC34" i="3"/>
  <c r="HD34" i="3"/>
  <c r="HE34" i="3"/>
  <c r="HF34" i="3"/>
  <c r="HG34" i="3"/>
  <c r="HH34" i="3"/>
  <c r="HI34" i="3"/>
  <c r="HJ34" i="3"/>
  <c r="HK34" i="3"/>
  <c r="HL34" i="3"/>
  <c r="HM34" i="3"/>
  <c r="HN34" i="3"/>
  <c r="HO34" i="3"/>
  <c r="HP34" i="3"/>
  <c r="HQ34" i="3"/>
  <c r="HR34" i="3"/>
  <c r="HS34" i="3"/>
  <c r="HT34" i="3"/>
  <c r="HU34" i="3"/>
  <c r="HV34" i="3"/>
  <c r="HW34" i="3"/>
  <c r="HX34" i="3"/>
  <c r="HY34" i="3"/>
  <c r="HZ34" i="3"/>
  <c r="IA34" i="3"/>
  <c r="IB34" i="3"/>
  <c r="IC34" i="3"/>
  <c r="ID34" i="3"/>
  <c r="IE34" i="3"/>
  <c r="IF34" i="3"/>
  <c r="IG34" i="3"/>
  <c r="IH34" i="3"/>
  <c r="II34" i="3"/>
  <c r="IJ34" i="3"/>
  <c r="IK34" i="3"/>
  <c r="IL34" i="3"/>
  <c r="IM34" i="3"/>
  <c r="IN34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Y35" i="3"/>
  <c r="BZ35" i="3"/>
  <c r="CA35" i="3"/>
  <c r="CB35" i="3"/>
  <c r="CC35" i="3"/>
  <c r="CD35" i="3"/>
  <c r="CE35" i="3"/>
  <c r="CF35" i="3"/>
  <c r="CG35" i="3"/>
  <c r="CH35" i="3"/>
  <c r="CI35" i="3"/>
  <c r="CJ35" i="3"/>
  <c r="CK35" i="3"/>
  <c r="CL35" i="3"/>
  <c r="CM35" i="3"/>
  <c r="CN35" i="3"/>
  <c r="CO35" i="3"/>
  <c r="CP35" i="3"/>
  <c r="CQ35" i="3"/>
  <c r="CR35" i="3"/>
  <c r="CS35" i="3"/>
  <c r="CT35" i="3"/>
  <c r="CU35" i="3"/>
  <c r="CV35" i="3"/>
  <c r="CW35" i="3"/>
  <c r="CX35" i="3"/>
  <c r="CY35" i="3"/>
  <c r="CZ35" i="3"/>
  <c r="DA35" i="3"/>
  <c r="DB35" i="3"/>
  <c r="DC35" i="3"/>
  <c r="DD35" i="3"/>
  <c r="DE35" i="3"/>
  <c r="DF35" i="3"/>
  <c r="DG35" i="3"/>
  <c r="DH35" i="3"/>
  <c r="DI35" i="3"/>
  <c r="DJ35" i="3"/>
  <c r="DK35" i="3"/>
  <c r="DL35" i="3"/>
  <c r="DM35" i="3"/>
  <c r="DN35" i="3"/>
  <c r="DO35" i="3"/>
  <c r="DP35" i="3"/>
  <c r="DQ35" i="3"/>
  <c r="DR35" i="3"/>
  <c r="DS35" i="3"/>
  <c r="DT35" i="3"/>
  <c r="DU35" i="3"/>
  <c r="DV35" i="3"/>
  <c r="DW35" i="3"/>
  <c r="DX35" i="3"/>
  <c r="DY35" i="3"/>
  <c r="DZ35" i="3"/>
  <c r="EA35" i="3"/>
  <c r="EB35" i="3"/>
  <c r="EC35" i="3"/>
  <c r="ED35" i="3"/>
  <c r="EE35" i="3"/>
  <c r="EF35" i="3"/>
  <c r="EG35" i="3"/>
  <c r="EH35" i="3"/>
  <c r="EI35" i="3"/>
  <c r="EJ35" i="3"/>
  <c r="EK35" i="3"/>
  <c r="EL35" i="3"/>
  <c r="EM35" i="3"/>
  <c r="EN35" i="3"/>
  <c r="EO35" i="3"/>
  <c r="EP35" i="3"/>
  <c r="EQ35" i="3"/>
  <c r="ER35" i="3"/>
  <c r="ES35" i="3"/>
  <c r="ET35" i="3"/>
  <c r="EU35" i="3"/>
  <c r="EV35" i="3"/>
  <c r="EW35" i="3"/>
  <c r="EX35" i="3"/>
  <c r="EY35" i="3"/>
  <c r="EZ35" i="3"/>
  <c r="FA35" i="3"/>
  <c r="FB35" i="3"/>
  <c r="FC35" i="3"/>
  <c r="FD35" i="3"/>
  <c r="FE35" i="3"/>
  <c r="FF35" i="3"/>
  <c r="FG35" i="3"/>
  <c r="FH35" i="3"/>
  <c r="FI35" i="3"/>
  <c r="FJ35" i="3"/>
  <c r="FK35" i="3"/>
  <c r="FL35" i="3"/>
  <c r="FM35" i="3"/>
  <c r="FN35" i="3"/>
  <c r="FO35" i="3"/>
  <c r="FP35" i="3"/>
  <c r="FQ35" i="3"/>
  <c r="FR35" i="3"/>
  <c r="FS35" i="3"/>
  <c r="FT35" i="3"/>
  <c r="FU35" i="3"/>
  <c r="FV35" i="3"/>
  <c r="FW35" i="3"/>
  <c r="FX35" i="3"/>
  <c r="FY35" i="3"/>
  <c r="FZ35" i="3"/>
  <c r="GA35" i="3"/>
  <c r="GB35" i="3"/>
  <c r="GC35" i="3"/>
  <c r="GD35" i="3"/>
  <c r="GE35" i="3"/>
  <c r="GF35" i="3"/>
  <c r="GG35" i="3"/>
  <c r="GH35" i="3"/>
  <c r="GI35" i="3"/>
  <c r="GJ35" i="3"/>
  <c r="GK35" i="3"/>
  <c r="GL35" i="3"/>
  <c r="GM35" i="3"/>
  <c r="GN35" i="3"/>
  <c r="GO35" i="3"/>
  <c r="GP35" i="3"/>
  <c r="GQ35" i="3"/>
  <c r="GR35" i="3"/>
  <c r="GS35" i="3"/>
  <c r="GT35" i="3"/>
  <c r="GU35" i="3"/>
  <c r="GV35" i="3"/>
  <c r="GW35" i="3"/>
  <c r="GX35" i="3"/>
  <c r="GY35" i="3"/>
  <c r="GZ35" i="3"/>
  <c r="HA35" i="3"/>
  <c r="HB35" i="3"/>
  <c r="HC35" i="3"/>
  <c r="HD35" i="3"/>
  <c r="HE35" i="3"/>
  <c r="HF35" i="3"/>
  <c r="HG35" i="3"/>
  <c r="HH35" i="3"/>
  <c r="HI35" i="3"/>
  <c r="HJ35" i="3"/>
  <c r="HK35" i="3"/>
  <c r="HL35" i="3"/>
  <c r="HM35" i="3"/>
  <c r="HN35" i="3"/>
  <c r="HO35" i="3"/>
  <c r="HP35" i="3"/>
  <c r="HQ35" i="3"/>
  <c r="HR35" i="3"/>
  <c r="HS35" i="3"/>
  <c r="HT35" i="3"/>
  <c r="HU35" i="3"/>
  <c r="HV35" i="3"/>
  <c r="HW35" i="3"/>
  <c r="HX35" i="3"/>
  <c r="HY35" i="3"/>
  <c r="HZ35" i="3"/>
  <c r="IA35" i="3"/>
  <c r="IB35" i="3"/>
  <c r="IC35" i="3"/>
  <c r="ID35" i="3"/>
  <c r="IE35" i="3"/>
  <c r="IF35" i="3"/>
  <c r="IG35" i="3"/>
  <c r="IH35" i="3"/>
  <c r="II35" i="3"/>
  <c r="IJ35" i="3"/>
  <c r="IK35" i="3"/>
  <c r="IL35" i="3"/>
  <c r="IM35" i="3"/>
  <c r="IN35" i="3"/>
  <c r="IO35" i="3"/>
  <c r="IP35" i="3"/>
  <c r="IQ35" i="3"/>
  <c r="IR35" i="3"/>
  <c r="IS35" i="3"/>
  <c r="IT35" i="3"/>
  <c r="IU35" i="3"/>
  <c r="IV35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BT36" i="3"/>
  <c r="BU36" i="3"/>
  <c r="BV36" i="3"/>
  <c r="BW36" i="3"/>
  <c r="BX36" i="3"/>
  <c r="BY36" i="3"/>
  <c r="BZ36" i="3"/>
  <c r="CA36" i="3"/>
  <c r="CB36" i="3"/>
  <c r="CC36" i="3"/>
  <c r="CD36" i="3"/>
  <c r="CE36" i="3"/>
  <c r="CF36" i="3"/>
  <c r="CG36" i="3"/>
  <c r="CH36" i="3"/>
  <c r="CI36" i="3"/>
  <c r="CJ36" i="3"/>
  <c r="CK36" i="3"/>
  <c r="CL36" i="3"/>
  <c r="CM36" i="3"/>
  <c r="CN36" i="3"/>
  <c r="CO36" i="3"/>
  <c r="CP36" i="3"/>
  <c r="CQ36" i="3"/>
  <c r="CR36" i="3"/>
  <c r="CS36" i="3"/>
  <c r="CT36" i="3"/>
  <c r="CU36" i="3"/>
  <c r="CV36" i="3"/>
  <c r="CW36" i="3"/>
  <c r="CX36" i="3"/>
  <c r="CY36" i="3"/>
  <c r="CZ36" i="3"/>
  <c r="DA36" i="3"/>
  <c r="DB36" i="3"/>
  <c r="DC36" i="3"/>
  <c r="DD36" i="3"/>
  <c r="DE36" i="3"/>
  <c r="DF36" i="3"/>
  <c r="DG36" i="3"/>
  <c r="DH36" i="3"/>
  <c r="DI36" i="3"/>
  <c r="DJ36" i="3"/>
  <c r="DK36" i="3"/>
  <c r="DL36" i="3"/>
  <c r="DM36" i="3"/>
  <c r="DN36" i="3"/>
  <c r="DO36" i="3"/>
  <c r="DP36" i="3"/>
  <c r="DQ36" i="3"/>
  <c r="DR36" i="3"/>
  <c r="DS36" i="3"/>
  <c r="DT36" i="3"/>
  <c r="DU36" i="3"/>
  <c r="DV36" i="3"/>
  <c r="DW36" i="3"/>
  <c r="DX36" i="3"/>
  <c r="DY36" i="3"/>
  <c r="DZ36" i="3"/>
  <c r="EA36" i="3"/>
  <c r="EB36" i="3"/>
  <c r="EC36" i="3"/>
  <c r="ED36" i="3"/>
  <c r="EE36" i="3"/>
  <c r="EF36" i="3"/>
  <c r="EG36" i="3"/>
  <c r="EH36" i="3"/>
  <c r="EI36" i="3"/>
  <c r="EJ36" i="3"/>
  <c r="EK36" i="3"/>
  <c r="EL36" i="3"/>
  <c r="EM36" i="3"/>
  <c r="EN36" i="3"/>
  <c r="EO36" i="3"/>
  <c r="EP36" i="3"/>
  <c r="EQ36" i="3"/>
  <c r="ER36" i="3"/>
  <c r="ES36" i="3"/>
  <c r="ET36" i="3"/>
  <c r="EU36" i="3"/>
  <c r="EV36" i="3"/>
  <c r="EW36" i="3"/>
  <c r="EX36" i="3"/>
  <c r="EY36" i="3"/>
  <c r="EZ36" i="3"/>
  <c r="FA36" i="3"/>
  <c r="FB36" i="3"/>
  <c r="FC36" i="3"/>
  <c r="FD36" i="3"/>
  <c r="FE36" i="3"/>
  <c r="FF36" i="3"/>
  <c r="FG36" i="3"/>
  <c r="FH36" i="3"/>
  <c r="FI36" i="3"/>
  <c r="FJ36" i="3"/>
  <c r="FK36" i="3"/>
  <c r="FL36" i="3"/>
  <c r="FM36" i="3"/>
  <c r="FN36" i="3"/>
  <c r="FO36" i="3"/>
  <c r="FP36" i="3"/>
  <c r="FQ36" i="3"/>
  <c r="FR36" i="3"/>
  <c r="FS36" i="3"/>
  <c r="FT36" i="3"/>
  <c r="FU36" i="3"/>
  <c r="FV36" i="3"/>
  <c r="FW36" i="3"/>
  <c r="FX36" i="3"/>
  <c r="FY36" i="3"/>
  <c r="FZ36" i="3"/>
  <c r="GA36" i="3"/>
  <c r="GB36" i="3"/>
  <c r="GC36" i="3"/>
  <c r="GD36" i="3"/>
  <c r="GE36" i="3"/>
  <c r="GF36" i="3"/>
  <c r="GG36" i="3"/>
  <c r="GH36" i="3"/>
  <c r="GI36" i="3"/>
  <c r="GJ36" i="3"/>
  <c r="GK36" i="3"/>
  <c r="GL36" i="3"/>
  <c r="GM36" i="3"/>
  <c r="GN36" i="3"/>
  <c r="GO36" i="3"/>
  <c r="GP36" i="3"/>
  <c r="GQ36" i="3"/>
  <c r="GR36" i="3"/>
  <c r="GS36" i="3"/>
  <c r="GT36" i="3"/>
  <c r="GU36" i="3"/>
  <c r="GV36" i="3"/>
  <c r="GW36" i="3"/>
  <c r="GX36" i="3"/>
  <c r="GY36" i="3"/>
  <c r="GZ36" i="3"/>
  <c r="HA36" i="3"/>
  <c r="HB36" i="3"/>
  <c r="HC36" i="3"/>
  <c r="HD36" i="3"/>
  <c r="HE36" i="3"/>
  <c r="HF36" i="3"/>
  <c r="HG36" i="3"/>
  <c r="HH36" i="3"/>
  <c r="HI36" i="3"/>
  <c r="HJ36" i="3"/>
  <c r="HK36" i="3"/>
  <c r="HL36" i="3"/>
  <c r="HM36" i="3"/>
  <c r="HN36" i="3"/>
  <c r="HO36" i="3"/>
  <c r="HP36" i="3"/>
  <c r="HQ36" i="3"/>
  <c r="HR36" i="3"/>
  <c r="HS36" i="3"/>
  <c r="HT36" i="3"/>
  <c r="HU36" i="3"/>
  <c r="HV36" i="3"/>
  <c r="HW36" i="3"/>
  <c r="HX36" i="3"/>
  <c r="HY36" i="3"/>
  <c r="HZ36" i="3"/>
  <c r="IA36" i="3"/>
  <c r="IB36" i="3"/>
  <c r="IC36" i="3"/>
  <c r="ID36" i="3"/>
  <c r="IE36" i="3"/>
  <c r="IF36" i="3"/>
  <c r="IG36" i="3"/>
  <c r="IH36" i="3"/>
  <c r="II36" i="3"/>
  <c r="IJ36" i="3"/>
  <c r="IK36" i="3"/>
  <c r="IL36" i="3"/>
  <c r="IM36" i="3"/>
  <c r="IN36" i="3"/>
  <c r="IO36" i="3"/>
  <c r="IP36" i="3"/>
  <c r="IQ36" i="3"/>
  <c r="IR36" i="3"/>
  <c r="IS36" i="3"/>
  <c r="IT36" i="3"/>
  <c r="IU36" i="3"/>
  <c r="IV36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BS37" i="3"/>
  <c r="BT37" i="3"/>
  <c r="BU37" i="3"/>
  <c r="BV37" i="3"/>
  <c r="BW37" i="3"/>
  <c r="BX37" i="3"/>
  <c r="BY37" i="3"/>
  <c r="BZ37" i="3"/>
  <c r="CA37" i="3"/>
  <c r="CB37" i="3"/>
  <c r="CC37" i="3"/>
  <c r="CD37" i="3"/>
  <c r="CE37" i="3"/>
  <c r="CF37" i="3"/>
  <c r="CG37" i="3"/>
  <c r="CH37" i="3"/>
  <c r="CI37" i="3"/>
  <c r="CJ37" i="3"/>
  <c r="CK37" i="3"/>
  <c r="CL37" i="3"/>
  <c r="CM37" i="3"/>
  <c r="CN37" i="3"/>
  <c r="CO37" i="3"/>
  <c r="CP37" i="3"/>
  <c r="CQ37" i="3"/>
  <c r="CR37" i="3"/>
  <c r="CS37" i="3"/>
  <c r="CT37" i="3"/>
  <c r="CU37" i="3"/>
  <c r="CV37" i="3"/>
  <c r="CW37" i="3"/>
  <c r="CX37" i="3"/>
  <c r="CY37" i="3"/>
  <c r="CZ37" i="3"/>
  <c r="DA37" i="3"/>
  <c r="DB37" i="3"/>
  <c r="DC37" i="3"/>
  <c r="DD37" i="3"/>
  <c r="DE37" i="3"/>
  <c r="DF37" i="3"/>
  <c r="DG37" i="3"/>
  <c r="DH37" i="3"/>
  <c r="DI37" i="3"/>
  <c r="DJ37" i="3"/>
  <c r="DK37" i="3"/>
  <c r="DL37" i="3"/>
  <c r="DM37" i="3"/>
  <c r="DN37" i="3"/>
  <c r="DO37" i="3"/>
  <c r="DP37" i="3"/>
  <c r="DQ37" i="3"/>
  <c r="DR37" i="3"/>
  <c r="DS37" i="3"/>
  <c r="DT37" i="3"/>
  <c r="DU37" i="3"/>
  <c r="DV37" i="3"/>
  <c r="DW37" i="3"/>
  <c r="DX37" i="3"/>
  <c r="DY37" i="3"/>
  <c r="DZ37" i="3"/>
  <c r="EA37" i="3"/>
  <c r="EB37" i="3"/>
  <c r="EC37" i="3"/>
  <c r="ED37" i="3"/>
  <c r="EE37" i="3"/>
  <c r="EF37" i="3"/>
  <c r="EG37" i="3"/>
  <c r="EH37" i="3"/>
  <c r="EI37" i="3"/>
  <c r="EJ37" i="3"/>
  <c r="EK37" i="3"/>
  <c r="EL37" i="3"/>
  <c r="EM37" i="3"/>
  <c r="EN37" i="3"/>
  <c r="EO37" i="3"/>
  <c r="EP37" i="3"/>
  <c r="EQ37" i="3"/>
  <c r="ER37" i="3"/>
  <c r="ES37" i="3"/>
  <c r="ET37" i="3"/>
  <c r="EU37" i="3"/>
  <c r="EV37" i="3"/>
  <c r="EW37" i="3"/>
  <c r="EX37" i="3"/>
  <c r="EY37" i="3"/>
  <c r="EZ37" i="3"/>
  <c r="FA37" i="3"/>
  <c r="FB37" i="3"/>
  <c r="FC37" i="3"/>
  <c r="FD37" i="3"/>
  <c r="FE37" i="3"/>
  <c r="FF37" i="3"/>
  <c r="FG37" i="3"/>
  <c r="FH37" i="3"/>
  <c r="FI37" i="3"/>
  <c r="FJ37" i="3"/>
  <c r="FK37" i="3"/>
  <c r="FL37" i="3"/>
  <c r="FM37" i="3"/>
  <c r="FN37" i="3"/>
  <c r="FO37" i="3"/>
  <c r="FP37" i="3"/>
  <c r="FQ37" i="3"/>
  <c r="FR37" i="3"/>
  <c r="FS37" i="3"/>
  <c r="FT37" i="3"/>
  <c r="FU37" i="3"/>
  <c r="FV37" i="3"/>
  <c r="FW37" i="3"/>
  <c r="FX37" i="3"/>
  <c r="FY37" i="3"/>
  <c r="FZ37" i="3"/>
  <c r="GA37" i="3"/>
  <c r="GB37" i="3"/>
  <c r="GC37" i="3"/>
  <c r="GD37" i="3"/>
  <c r="GE37" i="3"/>
  <c r="GF37" i="3"/>
  <c r="GG37" i="3"/>
  <c r="GH37" i="3"/>
  <c r="GI37" i="3"/>
  <c r="GJ37" i="3"/>
  <c r="GK37" i="3"/>
  <c r="GL37" i="3"/>
  <c r="GM37" i="3"/>
  <c r="GN37" i="3"/>
  <c r="GO37" i="3"/>
  <c r="GP37" i="3"/>
  <c r="GQ37" i="3"/>
  <c r="GR37" i="3"/>
  <c r="GS37" i="3"/>
  <c r="GT37" i="3"/>
  <c r="GU37" i="3"/>
  <c r="GV37" i="3"/>
  <c r="GW37" i="3"/>
  <c r="GX37" i="3"/>
  <c r="GY37" i="3"/>
  <c r="GZ37" i="3"/>
  <c r="HA37" i="3"/>
  <c r="HB37" i="3"/>
  <c r="HC37" i="3"/>
  <c r="HD37" i="3"/>
  <c r="HE37" i="3"/>
  <c r="HF37" i="3"/>
  <c r="HG37" i="3"/>
  <c r="HH37" i="3"/>
  <c r="HI37" i="3"/>
  <c r="HJ37" i="3"/>
  <c r="HK37" i="3"/>
  <c r="HL37" i="3"/>
  <c r="HM37" i="3"/>
  <c r="HN37" i="3"/>
  <c r="HO37" i="3"/>
  <c r="HP37" i="3"/>
  <c r="HQ37" i="3"/>
  <c r="HR37" i="3"/>
  <c r="HS37" i="3"/>
  <c r="HT37" i="3"/>
  <c r="HU37" i="3"/>
  <c r="HV37" i="3"/>
  <c r="HW37" i="3"/>
  <c r="HX37" i="3"/>
  <c r="HY37" i="3"/>
  <c r="HZ37" i="3"/>
  <c r="IA37" i="3"/>
  <c r="IB37" i="3"/>
  <c r="IC37" i="3"/>
  <c r="ID37" i="3"/>
  <c r="IE37" i="3"/>
  <c r="IF37" i="3"/>
  <c r="IG37" i="3"/>
  <c r="IH37" i="3"/>
  <c r="II37" i="3"/>
  <c r="IJ37" i="3"/>
  <c r="IK37" i="3"/>
  <c r="IL37" i="3"/>
  <c r="IM37" i="3"/>
  <c r="IN37" i="3"/>
  <c r="GW38" i="3"/>
  <c r="AT39" i="3"/>
  <c r="AU39" i="3"/>
  <c r="AV39" i="3"/>
  <c r="AW39" i="3"/>
  <c r="AX39" i="3"/>
  <c r="AY39" i="3"/>
  <c r="AZ39" i="3"/>
  <c r="BA39" i="3"/>
  <c r="BB39" i="3"/>
  <c r="BC39" i="3"/>
  <c r="BD39" i="3"/>
  <c r="BE39" i="3"/>
  <c r="BF39" i="3"/>
  <c r="BG39" i="3"/>
  <c r="BH39" i="3"/>
  <c r="BI39" i="3"/>
  <c r="BJ39" i="3"/>
  <c r="BK39" i="3"/>
  <c r="BL39" i="3"/>
  <c r="BM39" i="3"/>
  <c r="BN39" i="3"/>
  <c r="BO39" i="3"/>
  <c r="BP39" i="3"/>
  <c r="BQ39" i="3"/>
  <c r="BR39" i="3"/>
  <c r="BS39" i="3"/>
  <c r="BT39" i="3"/>
  <c r="BU39" i="3"/>
  <c r="BV39" i="3"/>
  <c r="BW39" i="3"/>
  <c r="BX39" i="3"/>
  <c r="BY39" i="3"/>
  <c r="BZ39" i="3"/>
  <c r="CA39" i="3"/>
  <c r="CB39" i="3"/>
  <c r="CC39" i="3"/>
  <c r="CD39" i="3"/>
  <c r="CE39" i="3"/>
  <c r="CF39" i="3"/>
  <c r="CG39" i="3"/>
  <c r="CH39" i="3"/>
  <c r="CI39" i="3"/>
  <c r="CJ39" i="3"/>
  <c r="CK39" i="3"/>
  <c r="CL39" i="3"/>
  <c r="CM39" i="3"/>
  <c r="CN39" i="3"/>
  <c r="CO39" i="3"/>
  <c r="CP39" i="3"/>
  <c r="CQ39" i="3"/>
  <c r="CR39" i="3"/>
  <c r="CS39" i="3"/>
  <c r="CT39" i="3"/>
  <c r="CU39" i="3"/>
  <c r="CV39" i="3"/>
  <c r="CW39" i="3"/>
  <c r="CX39" i="3"/>
  <c r="CY39" i="3"/>
  <c r="CZ39" i="3"/>
  <c r="DA39" i="3"/>
  <c r="DB39" i="3"/>
  <c r="DC39" i="3"/>
  <c r="DD39" i="3"/>
  <c r="DE39" i="3"/>
  <c r="DF39" i="3"/>
  <c r="DG39" i="3"/>
  <c r="DH39" i="3"/>
  <c r="DI39" i="3"/>
  <c r="DJ39" i="3"/>
  <c r="DK39" i="3"/>
  <c r="DL39" i="3"/>
  <c r="DM39" i="3"/>
  <c r="DN39" i="3"/>
  <c r="DO39" i="3"/>
  <c r="DP39" i="3"/>
  <c r="DQ39" i="3"/>
  <c r="DR39" i="3"/>
  <c r="DS39" i="3"/>
  <c r="DT39" i="3"/>
  <c r="DU39" i="3"/>
  <c r="DV39" i="3"/>
  <c r="DW39" i="3"/>
  <c r="DX39" i="3"/>
  <c r="DY39" i="3"/>
  <c r="DZ39" i="3"/>
  <c r="EA39" i="3"/>
  <c r="EB39" i="3"/>
  <c r="EC39" i="3"/>
  <c r="ED39" i="3"/>
  <c r="EE39" i="3"/>
  <c r="EF39" i="3"/>
  <c r="EG39" i="3"/>
  <c r="EH39" i="3"/>
  <c r="EI39" i="3"/>
  <c r="EJ39" i="3"/>
  <c r="EK39" i="3"/>
  <c r="EL39" i="3"/>
  <c r="EM39" i="3"/>
  <c r="EN39" i="3"/>
  <c r="EO39" i="3"/>
  <c r="EP39" i="3"/>
  <c r="EQ39" i="3"/>
  <c r="ER39" i="3"/>
  <c r="ES39" i="3"/>
  <c r="ET39" i="3"/>
  <c r="EU39" i="3"/>
  <c r="EV39" i="3"/>
  <c r="EW39" i="3"/>
  <c r="EX39" i="3"/>
  <c r="EY39" i="3"/>
  <c r="EZ39" i="3"/>
  <c r="FA39" i="3"/>
  <c r="FB39" i="3"/>
  <c r="FC39" i="3"/>
  <c r="FD39" i="3"/>
  <c r="FE39" i="3"/>
  <c r="FF39" i="3"/>
  <c r="FG39" i="3"/>
  <c r="FH39" i="3"/>
  <c r="FI39" i="3"/>
  <c r="FJ39" i="3"/>
  <c r="FK39" i="3"/>
  <c r="FL39" i="3"/>
  <c r="FM39" i="3"/>
  <c r="FN39" i="3"/>
  <c r="FO39" i="3"/>
  <c r="FP39" i="3"/>
  <c r="FQ39" i="3"/>
  <c r="FR39" i="3"/>
  <c r="FS39" i="3"/>
  <c r="FT39" i="3"/>
  <c r="FU39" i="3"/>
  <c r="FV39" i="3"/>
  <c r="FW39" i="3"/>
  <c r="FX39" i="3"/>
  <c r="FY39" i="3"/>
  <c r="FZ39" i="3"/>
  <c r="GA39" i="3"/>
  <c r="GB39" i="3"/>
  <c r="GC39" i="3"/>
  <c r="GD39" i="3"/>
  <c r="GE39" i="3"/>
  <c r="GF39" i="3"/>
  <c r="GG39" i="3"/>
  <c r="GH39" i="3"/>
  <c r="GI39" i="3"/>
  <c r="GJ39" i="3"/>
  <c r="GK39" i="3"/>
  <c r="GL39" i="3"/>
  <c r="GM39" i="3"/>
  <c r="GN39" i="3"/>
  <c r="GO39" i="3"/>
  <c r="GP39" i="3"/>
  <c r="GQ39" i="3"/>
  <c r="GR39" i="3"/>
  <c r="GS39" i="3"/>
  <c r="GT39" i="3"/>
  <c r="GU39" i="3"/>
  <c r="GV39" i="3"/>
  <c r="GW39" i="3"/>
  <c r="GX39" i="3"/>
  <c r="GY39" i="3"/>
  <c r="GZ39" i="3"/>
  <c r="HA39" i="3"/>
  <c r="HB39" i="3"/>
  <c r="HC39" i="3"/>
  <c r="HD39" i="3"/>
  <c r="HE39" i="3"/>
  <c r="HF39" i="3"/>
  <c r="HG39" i="3"/>
  <c r="HH39" i="3"/>
  <c r="HI39" i="3"/>
  <c r="HJ39" i="3"/>
  <c r="HK39" i="3"/>
  <c r="HL39" i="3"/>
  <c r="HM39" i="3"/>
  <c r="HN39" i="3"/>
  <c r="HO39" i="3"/>
  <c r="HP39" i="3"/>
  <c r="HQ39" i="3"/>
  <c r="HR39" i="3"/>
  <c r="HS39" i="3"/>
  <c r="HT39" i="3"/>
  <c r="HU39" i="3"/>
  <c r="HV39" i="3"/>
  <c r="HW39" i="3"/>
  <c r="HX39" i="3"/>
  <c r="HY39" i="3"/>
  <c r="HZ39" i="3"/>
  <c r="IA39" i="3"/>
  <c r="IB39" i="3"/>
  <c r="IC39" i="3"/>
  <c r="ID39" i="3"/>
  <c r="IE39" i="3"/>
  <c r="IF39" i="3"/>
  <c r="IG39" i="3"/>
  <c r="IH39" i="3"/>
  <c r="II39" i="3"/>
  <c r="IJ39" i="3"/>
  <c r="IK39" i="3"/>
  <c r="IL39" i="3"/>
  <c r="IM39" i="3"/>
  <c r="IN39" i="3"/>
  <c r="CP40" i="3"/>
  <c r="CQ40" i="3"/>
  <c r="CR40" i="3"/>
  <c r="CS40" i="3"/>
  <c r="CT40" i="3"/>
  <c r="CU40" i="3"/>
  <c r="CV40" i="3"/>
  <c r="CW40" i="3"/>
  <c r="CX40" i="3"/>
  <c r="CY40" i="3"/>
  <c r="CZ40" i="3"/>
  <c r="DA40" i="3"/>
  <c r="DB40" i="3"/>
  <c r="DC40" i="3"/>
  <c r="DD40" i="3"/>
  <c r="DE40" i="3"/>
  <c r="DF40" i="3"/>
  <c r="DG40" i="3"/>
  <c r="DH40" i="3"/>
  <c r="DI40" i="3"/>
  <c r="DJ40" i="3"/>
  <c r="DK40" i="3"/>
  <c r="DL40" i="3"/>
  <c r="DM40" i="3"/>
  <c r="DN40" i="3"/>
  <c r="DO40" i="3"/>
  <c r="DP40" i="3"/>
  <c r="DQ40" i="3"/>
  <c r="DR40" i="3"/>
  <c r="DS40" i="3"/>
  <c r="DT40" i="3"/>
  <c r="DU40" i="3"/>
  <c r="DV40" i="3"/>
  <c r="DW40" i="3"/>
  <c r="DX40" i="3"/>
  <c r="DY40" i="3"/>
  <c r="DZ40" i="3"/>
  <c r="EA40" i="3"/>
  <c r="EB40" i="3"/>
  <c r="EC40" i="3"/>
  <c r="ED40" i="3"/>
  <c r="EE40" i="3"/>
  <c r="EF40" i="3"/>
  <c r="EG40" i="3"/>
  <c r="EH40" i="3"/>
  <c r="EI40" i="3"/>
  <c r="EJ40" i="3"/>
  <c r="EK40" i="3"/>
  <c r="EL40" i="3"/>
  <c r="EM40" i="3"/>
  <c r="EN40" i="3"/>
  <c r="EO40" i="3"/>
  <c r="EP40" i="3"/>
  <c r="EQ40" i="3"/>
  <c r="ER40" i="3"/>
  <c r="ES40" i="3"/>
  <c r="ET40" i="3"/>
  <c r="EU40" i="3"/>
  <c r="EV40" i="3"/>
  <c r="EW40" i="3"/>
  <c r="EX40" i="3"/>
  <c r="EY40" i="3"/>
  <c r="EZ40" i="3"/>
  <c r="FA40" i="3"/>
  <c r="FB40" i="3"/>
  <c r="FC40" i="3"/>
  <c r="FD40" i="3"/>
  <c r="FE40" i="3"/>
  <c r="FF40" i="3"/>
  <c r="FG40" i="3"/>
  <c r="FH40" i="3"/>
  <c r="FI40" i="3"/>
  <c r="FJ40" i="3"/>
  <c r="FK40" i="3"/>
  <c r="FL40" i="3"/>
  <c r="FM40" i="3"/>
  <c r="FN40" i="3"/>
  <c r="FO40" i="3"/>
  <c r="FP40" i="3"/>
  <c r="FQ40" i="3"/>
  <c r="FR40" i="3"/>
  <c r="FS40" i="3"/>
  <c r="FT40" i="3"/>
  <c r="FU40" i="3"/>
  <c r="FV40" i="3"/>
  <c r="FW40" i="3"/>
  <c r="FX40" i="3"/>
  <c r="FY40" i="3"/>
  <c r="FZ40" i="3"/>
  <c r="GA40" i="3"/>
  <c r="GB40" i="3"/>
  <c r="GC40" i="3"/>
  <c r="GD40" i="3"/>
  <c r="GE40" i="3"/>
  <c r="GF40" i="3"/>
  <c r="GG40" i="3"/>
  <c r="GH40" i="3"/>
  <c r="GI40" i="3"/>
  <c r="GJ40" i="3"/>
  <c r="GK40" i="3"/>
  <c r="GL40" i="3"/>
  <c r="GM40" i="3"/>
  <c r="GN40" i="3"/>
  <c r="GO40" i="3"/>
  <c r="GP40" i="3"/>
  <c r="GQ40" i="3"/>
  <c r="GR40" i="3"/>
  <c r="GS40" i="3"/>
  <c r="GT40" i="3"/>
  <c r="GU40" i="3"/>
  <c r="GV40" i="3"/>
  <c r="GW40" i="3"/>
  <c r="GX40" i="3"/>
  <c r="GY40" i="3"/>
  <c r="GZ40" i="3"/>
  <c r="HA40" i="3"/>
  <c r="HB40" i="3"/>
  <c r="HC40" i="3"/>
  <c r="HD40" i="3"/>
  <c r="HE40" i="3"/>
  <c r="HF40" i="3"/>
  <c r="HG40" i="3"/>
  <c r="HH40" i="3"/>
  <c r="HI40" i="3"/>
  <c r="HJ40" i="3"/>
  <c r="HK40" i="3"/>
  <c r="HL40" i="3"/>
  <c r="HM40" i="3"/>
  <c r="HN40" i="3"/>
  <c r="HO40" i="3"/>
  <c r="HP40" i="3"/>
  <c r="HQ40" i="3"/>
  <c r="HR40" i="3"/>
  <c r="HS40" i="3"/>
  <c r="HT40" i="3"/>
  <c r="HU40" i="3"/>
  <c r="HV40" i="3"/>
  <c r="HW40" i="3"/>
  <c r="HX40" i="3"/>
  <c r="HY40" i="3"/>
  <c r="HZ40" i="3"/>
  <c r="IA40" i="3"/>
  <c r="IB40" i="3"/>
  <c r="IC40" i="3"/>
  <c r="ID40" i="3"/>
  <c r="IE40" i="3"/>
  <c r="IF40" i="3"/>
  <c r="IG40" i="3"/>
  <c r="IH40" i="3"/>
  <c r="II40" i="3"/>
  <c r="IJ40" i="3"/>
  <c r="IK40" i="3"/>
  <c r="IL40" i="3"/>
  <c r="IM40" i="3"/>
  <c r="IN40" i="3"/>
  <c r="FN41" i="3"/>
  <c r="FO41" i="3"/>
  <c r="FP41" i="3"/>
  <c r="FQ41" i="3"/>
  <c r="FR41" i="3"/>
  <c r="FS41" i="3"/>
  <c r="FT41" i="3"/>
  <c r="FU41" i="3"/>
  <c r="FV41" i="3"/>
  <c r="FW41" i="3"/>
  <c r="FX41" i="3"/>
  <c r="FY41" i="3"/>
  <c r="FZ41" i="3"/>
  <c r="GA41" i="3"/>
  <c r="GB41" i="3"/>
  <c r="GC41" i="3"/>
  <c r="GD41" i="3"/>
  <c r="GE41" i="3"/>
  <c r="GF41" i="3"/>
  <c r="GG41" i="3"/>
  <c r="GH41" i="3"/>
  <c r="GI41" i="3"/>
  <c r="GJ41" i="3"/>
  <c r="GK41" i="3"/>
  <c r="GL41" i="3"/>
  <c r="GM41" i="3"/>
  <c r="GN41" i="3"/>
  <c r="GO41" i="3"/>
  <c r="GP41" i="3"/>
  <c r="GQ41" i="3"/>
  <c r="GR41" i="3"/>
  <c r="GS41" i="3"/>
  <c r="GT41" i="3"/>
  <c r="GU41" i="3"/>
  <c r="GV41" i="3"/>
  <c r="GW41" i="3"/>
  <c r="GX41" i="3"/>
  <c r="GY41" i="3"/>
  <c r="GZ41" i="3"/>
  <c r="HA41" i="3"/>
  <c r="HB41" i="3"/>
  <c r="HC41" i="3"/>
  <c r="HD41" i="3"/>
  <c r="HE41" i="3"/>
  <c r="HF41" i="3"/>
  <c r="HG41" i="3"/>
  <c r="HH41" i="3"/>
  <c r="HI41" i="3"/>
  <c r="HJ41" i="3"/>
  <c r="HK41" i="3"/>
  <c r="HL41" i="3"/>
  <c r="HM41" i="3"/>
  <c r="HN41" i="3"/>
  <c r="HO41" i="3"/>
  <c r="HP41" i="3"/>
  <c r="HQ41" i="3"/>
  <c r="HR41" i="3"/>
  <c r="HS41" i="3"/>
  <c r="HT41" i="3"/>
  <c r="HU41" i="3"/>
  <c r="HV41" i="3"/>
  <c r="HW41" i="3"/>
  <c r="HX41" i="3"/>
  <c r="HY41" i="3"/>
  <c r="HZ41" i="3"/>
  <c r="IA41" i="3"/>
  <c r="IB41" i="3"/>
  <c r="IC41" i="3"/>
  <c r="ID41" i="3"/>
  <c r="IE41" i="3"/>
  <c r="IF41" i="3"/>
  <c r="IG41" i="3"/>
  <c r="IH41" i="3"/>
  <c r="II41" i="3"/>
  <c r="IJ41" i="3"/>
  <c r="IK41" i="3"/>
  <c r="IL41" i="3"/>
  <c r="IM41" i="3"/>
  <c r="IN41" i="3"/>
  <c r="FN42" i="3"/>
  <c r="FO42" i="3"/>
  <c r="FP42" i="3"/>
  <c r="FQ42" i="3"/>
  <c r="FR42" i="3"/>
  <c r="FS42" i="3"/>
  <c r="FT42" i="3"/>
  <c r="FU42" i="3"/>
  <c r="FV42" i="3"/>
  <c r="FW42" i="3"/>
  <c r="FX42" i="3"/>
  <c r="FY42" i="3"/>
  <c r="FZ42" i="3"/>
  <c r="GA42" i="3"/>
  <c r="GB42" i="3"/>
  <c r="GC42" i="3"/>
  <c r="GD42" i="3"/>
  <c r="GE42" i="3"/>
  <c r="GF42" i="3"/>
  <c r="GG42" i="3"/>
  <c r="GH42" i="3"/>
  <c r="GI42" i="3"/>
  <c r="GJ42" i="3"/>
  <c r="GK42" i="3"/>
  <c r="GL42" i="3"/>
  <c r="GM42" i="3"/>
  <c r="GN42" i="3"/>
  <c r="GO42" i="3"/>
  <c r="GP42" i="3"/>
  <c r="GQ42" i="3"/>
  <c r="GR42" i="3"/>
  <c r="GS42" i="3"/>
  <c r="GT42" i="3"/>
  <c r="GU42" i="3"/>
  <c r="GV42" i="3"/>
  <c r="GW42" i="3"/>
  <c r="GX42" i="3"/>
  <c r="GY42" i="3"/>
  <c r="GZ42" i="3"/>
  <c r="HA42" i="3"/>
  <c r="HB42" i="3"/>
  <c r="HC42" i="3"/>
  <c r="HD42" i="3"/>
  <c r="HE42" i="3"/>
  <c r="HF42" i="3"/>
  <c r="HG42" i="3"/>
  <c r="HH42" i="3"/>
  <c r="HI42" i="3"/>
  <c r="HJ42" i="3"/>
  <c r="HK42" i="3"/>
  <c r="HL42" i="3"/>
  <c r="HM42" i="3"/>
  <c r="HN42" i="3"/>
  <c r="HO42" i="3"/>
  <c r="HP42" i="3"/>
  <c r="HQ42" i="3"/>
  <c r="HR42" i="3"/>
  <c r="HS42" i="3"/>
  <c r="HT42" i="3"/>
  <c r="HU42" i="3"/>
  <c r="HV42" i="3"/>
  <c r="HW42" i="3"/>
  <c r="HX42" i="3"/>
  <c r="HY42" i="3"/>
  <c r="HZ42" i="3"/>
  <c r="IA42" i="3"/>
  <c r="IB42" i="3"/>
  <c r="IC42" i="3"/>
  <c r="ID42" i="3"/>
  <c r="IE42" i="3"/>
  <c r="IF42" i="3"/>
  <c r="IG42" i="3"/>
  <c r="IH42" i="3"/>
  <c r="II42" i="3"/>
  <c r="IJ42" i="3"/>
  <c r="IK42" i="3"/>
  <c r="IL42" i="3"/>
  <c r="IM42" i="3"/>
  <c r="IN42" i="3"/>
  <c r="BW43" i="3"/>
  <c r="BX43" i="3"/>
  <c r="BY43" i="3"/>
  <c r="BZ43" i="3"/>
  <c r="CA43" i="3"/>
  <c r="CB43" i="3"/>
  <c r="CC43" i="3"/>
  <c r="CD43" i="3"/>
  <c r="CE43" i="3"/>
  <c r="CF43" i="3"/>
  <c r="CG43" i="3"/>
  <c r="CH43" i="3"/>
  <c r="CI43" i="3"/>
  <c r="CJ43" i="3"/>
  <c r="CK43" i="3"/>
  <c r="CL43" i="3"/>
  <c r="CM43" i="3"/>
  <c r="CN43" i="3"/>
  <c r="CO43" i="3"/>
  <c r="CP43" i="3"/>
  <c r="CQ43" i="3"/>
  <c r="CR43" i="3"/>
  <c r="CS43" i="3"/>
  <c r="CT43" i="3"/>
  <c r="CU43" i="3"/>
  <c r="CV43" i="3"/>
  <c r="CW43" i="3"/>
  <c r="CX43" i="3"/>
  <c r="CY43" i="3"/>
  <c r="CZ43" i="3"/>
  <c r="DA43" i="3"/>
  <c r="DB43" i="3"/>
  <c r="DC43" i="3"/>
  <c r="DD43" i="3"/>
  <c r="DE43" i="3"/>
  <c r="DF43" i="3"/>
  <c r="DG43" i="3"/>
  <c r="DH43" i="3"/>
  <c r="DI43" i="3"/>
  <c r="DJ43" i="3"/>
  <c r="DK43" i="3"/>
  <c r="DL43" i="3"/>
  <c r="DM43" i="3"/>
  <c r="DN43" i="3"/>
  <c r="DO43" i="3"/>
  <c r="DP43" i="3"/>
  <c r="DQ43" i="3"/>
  <c r="DR43" i="3"/>
  <c r="DS43" i="3"/>
  <c r="DT43" i="3"/>
  <c r="DU43" i="3"/>
  <c r="DV43" i="3"/>
  <c r="DW43" i="3"/>
  <c r="DX43" i="3"/>
  <c r="DY43" i="3"/>
  <c r="DZ43" i="3"/>
  <c r="EA43" i="3"/>
  <c r="EB43" i="3"/>
  <c r="EC43" i="3"/>
  <c r="ED43" i="3"/>
  <c r="EE43" i="3"/>
  <c r="EF43" i="3"/>
  <c r="EG43" i="3"/>
  <c r="EH43" i="3"/>
  <c r="EI43" i="3"/>
  <c r="EJ43" i="3"/>
  <c r="EK43" i="3"/>
  <c r="EL43" i="3"/>
  <c r="EM43" i="3"/>
  <c r="EN43" i="3"/>
  <c r="EO43" i="3"/>
  <c r="EP43" i="3"/>
  <c r="EQ43" i="3"/>
  <c r="ER43" i="3"/>
  <c r="ES43" i="3"/>
  <c r="ET43" i="3"/>
  <c r="EU43" i="3"/>
  <c r="EV43" i="3"/>
  <c r="EW43" i="3"/>
  <c r="EX43" i="3"/>
  <c r="EY43" i="3"/>
  <c r="EZ43" i="3"/>
  <c r="FA43" i="3"/>
  <c r="FB43" i="3"/>
  <c r="FC43" i="3"/>
  <c r="FD43" i="3"/>
  <c r="FE43" i="3"/>
  <c r="FF43" i="3"/>
  <c r="FG43" i="3"/>
  <c r="FH43" i="3"/>
  <c r="FI43" i="3"/>
  <c r="FJ43" i="3"/>
  <c r="FK43" i="3"/>
  <c r="FL43" i="3"/>
  <c r="FM43" i="3"/>
  <c r="FN43" i="3"/>
  <c r="FO43" i="3"/>
  <c r="FP43" i="3"/>
  <c r="FQ43" i="3"/>
  <c r="FR43" i="3"/>
  <c r="FS43" i="3"/>
  <c r="FT43" i="3"/>
  <c r="FU43" i="3"/>
  <c r="FV43" i="3"/>
  <c r="FW43" i="3"/>
  <c r="FX43" i="3"/>
  <c r="FY43" i="3"/>
  <c r="FZ43" i="3"/>
  <c r="GA43" i="3"/>
  <c r="GB43" i="3"/>
  <c r="GC43" i="3"/>
  <c r="GD43" i="3"/>
  <c r="GE43" i="3"/>
  <c r="GF43" i="3"/>
  <c r="GG43" i="3"/>
  <c r="GH43" i="3"/>
  <c r="GI43" i="3"/>
  <c r="GJ43" i="3"/>
  <c r="GK43" i="3"/>
  <c r="GL43" i="3"/>
  <c r="GM43" i="3"/>
  <c r="GN43" i="3"/>
  <c r="GO43" i="3"/>
  <c r="GP43" i="3"/>
  <c r="GQ43" i="3"/>
  <c r="GR43" i="3"/>
  <c r="GS43" i="3"/>
  <c r="GT43" i="3"/>
  <c r="GU43" i="3"/>
  <c r="GV43" i="3"/>
  <c r="GW43" i="3"/>
  <c r="GX43" i="3"/>
  <c r="GY43" i="3"/>
  <c r="GZ43" i="3"/>
  <c r="HA43" i="3"/>
  <c r="HB43" i="3"/>
  <c r="HC43" i="3"/>
  <c r="HD43" i="3"/>
  <c r="HE43" i="3"/>
  <c r="HF43" i="3"/>
  <c r="HG43" i="3"/>
  <c r="HH43" i="3"/>
  <c r="HI43" i="3"/>
  <c r="HJ43" i="3"/>
  <c r="HK43" i="3"/>
  <c r="HL43" i="3"/>
  <c r="HM43" i="3"/>
  <c r="HN43" i="3"/>
  <c r="HO43" i="3"/>
  <c r="HP43" i="3"/>
  <c r="HQ43" i="3"/>
  <c r="HR43" i="3"/>
  <c r="HS43" i="3"/>
  <c r="HT43" i="3"/>
  <c r="HU43" i="3"/>
  <c r="HV43" i="3"/>
  <c r="HW43" i="3"/>
  <c r="HX43" i="3"/>
  <c r="HY43" i="3"/>
  <c r="HZ43" i="3"/>
  <c r="IA43" i="3"/>
  <c r="IB43" i="3"/>
  <c r="IC43" i="3"/>
  <c r="ID43" i="3"/>
  <c r="IE43" i="3"/>
  <c r="IF43" i="3"/>
  <c r="IG43" i="3"/>
  <c r="IH43" i="3"/>
  <c r="II43" i="3"/>
  <c r="IJ43" i="3"/>
  <c r="IK43" i="3"/>
  <c r="IL43" i="3"/>
  <c r="IM43" i="3"/>
  <c r="IN43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O44" i="3"/>
  <c r="BP44" i="3"/>
  <c r="BQ44" i="3"/>
  <c r="BR44" i="3"/>
  <c r="BS44" i="3"/>
  <c r="BT44" i="3"/>
  <c r="BU44" i="3"/>
  <c r="BV44" i="3"/>
  <c r="BW44" i="3"/>
  <c r="BX44" i="3"/>
  <c r="BY44" i="3"/>
  <c r="BZ44" i="3"/>
  <c r="CA44" i="3"/>
  <c r="CB44" i="3"/>
  <c r="CC44" i="3"/>
  <c r="CD44" i="3"/>
  <c r="CE44" i="3"/>
  <c r="CF44" i="3"/>
  <c r="CG44" i="3"/>
  <c r="CH44" i="3"/>
  <c r="CI44" i="3"/>
  <c r="CJ44" i="3"/>
  <c r="CK44" i="3"/>
  <c r="CL44" i="3"/>
  <c r="CM44" i="3"/>
  <c r="CN44" i="3"/>
  <c r="CO44" i="3"/>
  <c r="CP44" i="3"/>
  <c r="CQ44" i="3"/>
  <c r="CR44" i="3"/>
  <c r="CS44" i="3"/>
  <c r="CT44" i="3"/>
  <c r="CU44" i="3"/>
  <c r="CV44" i="3"/>
  <c r="CW44" i="3"/>
  <c r="CX44" i="3"/>
  <c r="CY44" i="3"/>
  <c r="CZ44" i="3"/>
  <c r="DA44" i="3"/>
  <c r="DB44" i="3"/>
  <c r="DC44" i="3"/>
  <c r="DD44" i="3"/>
  <c r="DE44" i="3"/>
  <c r="DF44" i="3"/>
  <c r="DG44" i="3"/>
  <c r="DH44" i="3"/>
  <c r="DI44" i="3"/>
  <c r="DJ44" i="3"/>
  <c r="DK44" i="3"/>
  <c r="DL44" i="3"/>
  <c r="DM44" i="3"/>
  <c r="DN44" i="3"/>
  <c r="DO44" i="3"/>
  <c r="DP44" i="3"/>
  <c r="DQ44" i="3"/>
  <c r="DR44" i="3"/>
  <c r="DS44" i="3"/>
  <c r="DT44" i="3"/>
  <c r="DU44" i="3"/>
  <c r="DV44" i="3"/>
  <c r="DW44" i="3"/>
  <c r="DX44" i="3"/>
  <c r="DY44" i="3"/>
  <c r="DZ44" i="3"/>
  <c r="EA44" i="3"/>
  <c r="EB44" i="3"/>
  <c r="EC44" i="3"/>
  <c r="ED44" i="3"/>
  <c r="EE44" i="3"/>
  <c r="EF44" i="3"/>
  <c r="EG44" i="3"/>
  <c r="EH44" i="3"/>
  <c r="EI44" i="3"/>
  <c r="EJ44" i="3"/>
  <c r="EK44" i="3"/>
  <c r="EL44" i="3"/>
  <c r="EM44" i="3"/>
  <c r="EN44" i="3"/>
  <c r="EO44" i="3"/>
  <c r="EP44" i="3"/>
  <c r="EQ44" i="3"/>
  <c r="ER44" i="3"/>
  <c r="ES44" i="3"/>
  <c r="ET44" i="3"/>
  <c r="EU44" i="3"/>
  <c r="EV44" i="3"/>
  <c r="EW44" i="3"/>
  <c r="EX44" i="3"/>
  <c r="EY44" i="3"/>
  <c r="EZ44" i="3"/>
  <c r="FA44" i="3"/>
  <c r="FB44" i="3"/>
  <c r="FC44" i="3"/>
  <c r="FD44" i="3"/>
  <c r="FE44" i="3"/>
  <c r="FF44" i="3"/>
  <c r="FG44" i="3"/>
  <c r="FH44" i="3"/>
  <c r="FI44" i="3"/>
  <c r="FJ44" i="3"/>
  <c r="FK44" i="3"/>
  <c r="FL44" i="3"/>
  <c r="FM44" i="3"/>
  <c r="FN44" i="3"/>
  <c r="FO44" i="3"/>
  <c r="FP44" i="3"/>
  <c r="FQ44" i="3"/>
  <c r="FR44" i="3"/>
  <c r="FS44" i="3"/>
  <c r="FT44" i="3"/>
  <c r="FU44" i="3"/>
  <c r="FV44" i="3"/>
  <c r="FW44" i="3"/>
  <c r="FX44" i="3"/>
  <c r="FY44" i="3"/>
  <c r="FZ44" i="3"/>
  <c r="GA44" i="3"/>
  <c r="GB44" i="3"/>
  <c r="GC44" i="3"/>
  <c r="GD44" i="3"/>
  <c r="GE44" i="3"/>
  <c r="GF44" i="3"/>
  <c r="GG44" i="3"/>
  <c r="GH44" i="3"/>
  <c r="GI44" i="3"/>
  <c r="GJ44" i="3"/>
  <c r="GK44" i="3"/>
  <c r="GL44" i="3"/>
  <c r="GM44" i="3"/>
  <c r="GN44" i="3"/>
  <c r="GO44" i="3"/>
  <c r="GP44" i="3"/>
  <c r="GQ44" i="3"/>
  <c r="GR44" i="3"/>
  <c r="GS44" i="3"/>
  <c r="GT44" i="3"/>
  <c r="GU44" i="3"/>
  <c r="GV44" i="3"/>
  <c r="GW44" i="3"/>
  <c r="GX44" i="3"/>
  <c r="GY44" i="3"/>
  <c r="GZ44" i="3"/>
  <c r="HA44" i="3"/>
  <c r="HB44" i="3"/>
  <c r="HC44" i="3"/>
  <c r="HD44" i="3"/>
  <c r="HE44" i="3"/>
  <c r="HF44" i="3"/>
  <c r="HG44" i="3"/>
  <c r="HH44" i="3"/>
  <c r="HI44" i="3"/>
  <c r="HJ44" i="3"/>
  <c r="HK44" i="3"/>
  <c r="HL44" i="3"/>
  <c r="HM44" i="3"/>
  <c r="HN44" i="3"/>
  <c r="HO44" i="3"/>
  <c r="HP44" i="3"/>
  <c r="HQ44" i="3"/>
  <c r="HR44" i="3"/>
  <c r="HS44" i="3"/>
  <c r="HT44" i="3"/>
  <c r="HU44" i="3"/>
  <c r="HV44" i="3"/>
  <c r="HW44" i="3"/>
  <c r="HX44" i="3"/>
  <c r="HY44" i="3"/>
  <c r="HZ44" i="3"/>
  <c r="IA44" i="3"/>
  <c r="IB44" i="3"/>
  <c r="IC44" i="3"/>
  <c r="ID44" i="3"/>
  <c r="IE44" i="3"/>
  <c r="IF44" i="3"/>
  <c r="IG44" i="3"/>
  <c r="IH44" i="3"/>
  <c r="II44" i="3"/>
  <c r="IJ44" i="3"/>
  <c r="IK44" i="3"/>
  <c r="IL44" i="3"/>
  <c r="IM44" i="3"/>
  <c r="IN44" i="3"/>
  <c r="GA45" i="3"/>
  <c r="GB45" i="3"/>
  <c r="GC45" i="3"/>
  <c r="GD45" i="3"/>
  <c r="GE45" i="3"/>
  <c r="GF45" i="3"/>
  <c r="GG45" i="3"/>
  <c r="GH45" i="3"/>
  <c r="GI45" i="3"/>
  <c r="GJ45" i="3"/>
  <c r="GK45" i="3"/>
  <c r="GL45" i="3"/>
  <c r="GM45" i="3"/>
  <c r="GN45" i="3"/>
  <c r="GO45" i="3"/>
  <c r="GP45" i="3"/>
  <c r="GQ45" i="3"/>
  <c r="GR45" i="3"/>
  <c r="GS45" i="3"/>
  <c r="GT45" i="3"/>
  <c r="GU45" i="3"/>
  <c r="GV45" i="3"/>
  <c r="GW45" i="3"/>
  <c r="GX45" i="3"/>
  <c r="GY45" i="3"/>
  <c r="GZ45" i="3"/>
  <c r="HA45" i="3"/>
  <c r="HB45" i="3"/>
  <c r="HC45" i="3"/>
  <c r="HD45" i="3"/>
  <c r="HE45" i="3"/>
  <c r="HF45" i="3"/>
  <c r="HG45" i="3"/>
  <c r="HH45" i="3"/>
  <c r="HI45" i="3"/>
  <c r="HJ45" i="3"/>
  <c r="HK45" i="3"/>
  <c r="HL45" i="3"/>
  <c r="HM45" i="3"/>
  <c r="HN45" i="3"/>
  <c r="HO45" i="3"/>
  <c r="HP45" i="3"/>
  <c r="HQ45" i="3"/>
  <c r="HR45" i="3"/>
  <c r="HS45" i="3"/>
  <c r="HT45" i="3"/>
  <c r="HU45" i="3"/>
  <c r="HV45" i="3"/>
  <c r="HW45" i="3"/>
  <c r="HX45" i="3"/>
  <c r="HY45" i="3"/>
  <c r="HZ45" i="3"/>
  <c r="IA45" i="3"/>
  <c r="IB45" i="3"/>
  <c r="IC45" i="3"/>
  <c r="ID45" i="3"/>
  <c r="IE45" i="3"/>
  <c r="IF45" i="3"/>
  <c r="IG45" i="3"/>
  <c r="IH45" i="3"/>
  <c r="II45" i="3"/>
  <c r="IJ45" i="3"/>
  <c r="IK45" i="3"/>
  <c r="IL45" i="3"/>
  <c r="IM45" i="3"/>
  <c r="IN45" i="3"/>
  <c r="FH46" i="3"/>
  <c r="FI46" i="3"/>
  <c r="FJ46" i="3"/>
  <c r="FK46" i="3"/>
  <c r="FL46" i="3"/>
  <c r="FM46" i="3"/>
  <c r="FN46" i="3"/>
  <c r="FO46" i="3"/>
  <c r="FP46" i="3"/>
  <c r="FQ46" i="3"/>
  <c r="FR46" i="3"/>
  <c r="FS46" i="3"/>
  <c r="FT46" i="3"/>
  <c r="FU46" i="3"/>
  <c r="FV46" i="3"/>
  <c r="FW46" i="3"/>
  <c r="FX46" i="3"/>
  <c r="FY46" i="3"/>
  <c r="FZ46" i="3"/>
  <c r="GA46" i="3"/>
  <c r="GB46" i="3"/>
  <c r="GC46" i="3"/>
  <c r="GD46" i="3"/>
  <c r="GE46" i="3"/>
  <c r="GF46" i="3"/>
  <c r="GG46" i="3"/>
  <c r="GH46" i="3"/>
  <c r="GI46" i="3"/>
  <c r="GJ46" i="3"/>
  <c r="GK46" i="3"/>
  <c r="GL46" i="3"/>
  <c r="GM46" i="3"/>
  <c r="GN46" i="3"/>
  <c r="GO46" i="3"/>
  <c r="GP46" i="3"/>
  <c r="GQ46" i="3"/>
  <c r="GR46" i="3"/>
  <c r="GS46" i="3"/>
  <c r="GT46" i="3"/>
  <c r="GU46" i="3"/>
  <c r="GV46" i="3"/>
  <c r="GW46" i="3"/>
  <c r="GX46" i="3"/>
  <c r="GY46" i="3"/>
  <c r="GZ46" i="3"/>
  <c r="HA46" i="3"/>
  <c r="HB46" i="3"/>
  <c r="HC46" i="3"/>
  <c r="HD46" i="3"/>
  <c r="HE46" i="3"/>
  <c r="HF46" i="3"/>
  <c r="HG46" i="3"/>
  <c r="HH46" i="3"/>
  <c r="HI46" i="3"/>
  <c r="HJ46" i="3"/>
  <c r="HK46" i="3"/>
  <c r="HL46" i="3"/>
  <c r="HM46" i="3"/>
  <c r="HN46" i="3"/>
  <c r="HO46" i="3"/>
  <c r="HP46" i="3"/>
  <c r="HQ46" i="3"/>
  <c r="HR46" i="3"/>
  <c r="HS46" i="3"/>
  <c r="HT46" i="3"/>
  <c r="HU46" i="3"/>
  <c r="HV46" i="3"/>
  <c r="HW46" i="3"/>
  <c r="HX46" i="3"/>
  <c r="HY46" i="3"/>
  <c r="HZ46" i="3"/>
  <c r="IA46" i="3"/>
  <c r="IB46" i="3"/>
  <c r="IC46" i="3"/>
  <c r="ID46" i="3"/>
  <c r="IE46" i="3"/>
  <c r="IF46" i="3"/>
  <c r="IG46" i="3"/>
  <c r="IH46" i="3"/>
  <c r="II46" i="3"/>
  <c r="IJ46" i="3"/>
  <c r="IK46" i="3"/>
  <c r="IL46" i="3"/>
  <c r="IM46" i="3"/>
  <c r="IN46" i="3"/>
  <c r="Q3" i="2"/>
  <c r="S3" i="2"/>
  <c r="AF3" i="2"/>
  <c r="AG3" i="2"/>
  <c r="AH3" i="2"/>
  <c r="AI3" i="2"/>
  <c r="AJ3" i="2"/>
  <c r="Q4" i="2"/>
  <c r="S4" i="2"/>
  <c r="AF4" i="2"/>
  <c r="AG4" i="2"/>
  <c r="AH4" i="2"/>
  <c r="AI4" i="2"/>
  <c r="AJ4" i="2"/>
  <c r="Q5" i="2"/>
  <c r="S5" i="2"/>
  <c r="AF5" i="2"/>
  <c r="AG5" i="2"/>
  <c r="AH5" i="2"/>
  <c r="AI5" i="2"/>
  <c r="AJ5" i="2"/>
  <c r="Q6" i="2"/>
  <c r="S6" i="2"/>
  <c r="AF6" i="2"/>
  <c r="AG6" i="2"/>
  <c r="AH6" i="2"/>
  <c r="AI6" i="2"/>
  <c r="AJ6" i="2"/>
  <c r="Q7" i="2"/>
  <c r="S7" i="2"/>
  <c r="AF7" i="2"/>
  <c r="AG7" i="2"/>
  <c r="AH7" i="2"/>
  <c r="AI7" i="2"/>
  <c r="AJ7" i="2"/>
  <c r="Q8" i="2"/>
  <c r="S8" i="2"/>
  <c r="AF8" i="2"/>
  <c r="AG8" i="2"/>
  <c r="AH8" i="2"/>
  <c r="AI8" i="2"/>
  <c r="AJ8" i="2"/>
  <c r="Q9" i="2"/>
  <c r="S9" i="2"/>
  <c r="AF9" i="2"/>
  <c r="AG9" i="2"/>
  <c r="AH9" i="2"/>
  <c r="AI9" i="2"/>
  <c r="AJ9" i="2"/>
  <c r="Q10" i="2"/>
  <c r="S10" i="2"/>
  <c r="AF10" i="2"/>
  <c r="AG10" i="2"/>
  <c r="AH10" i="2"/>
  <c r="AI10" i="2"/>
  <c r="AJ10" i="2"/>
  <c r="Q11" i="2"/>
  <c r="S11" i="2"/>
  <c r="AF11" i="2"/>
  <c r="AG11" i="2"/>
  <c r="AH11" i="2"/>
  <c r="AI11" i="2"/>
  <c r="AJ11" i="2"/>
  <c r="Q12" i="2"/>
  <c r="S12" i="2"/>
  <c r="AF12" i="2"/>
  <c r="AG12" i="2"/>
  <c r="AH12" i="2"/>
  <c r="AI12" i="2"/>
  <c r="AJ12" i="2"/>
  <c r="Q13" i="2"/>
  <c r="S13" i="2"/>
  <c r="AF13" i="2"/>
  <c r="AG13" i="2"/>
  <c r="AH13" i="2"/>
  <c r="AI13" i="2"/>
  <c r="AJ13" i="2"/>
  <c r="Q14" i="2"/>
  <c r="S14" i="2"/>
  <c r="AF14" i="2"/>
  <c r="AG14" i="2"/>
  <c r="AH14" i="2"/>
  <c r="AI14" i="2"/>
  <c r="AJ14" i="2"/>
  <c r="Q15" i="2"/>
  <c r="S15" i="2"/>
  <c r="AF15" i="2"/>
  <c r="AG15" i="2"/>
  <c r="AH15" i="2"/>
  <c r="AI15" i="2"/>
  <c r="AJ15" i="2"/>
  <c r="Q16" i="2"/>
  <c r="S16" i="2"/>
  <c r="AF16" i="2"/>
  <c r="AG16" i="2"/>
  <c r="AH16" i="2"/>
  <c r="AI16" i="2"/>
  <c r="AJ16" i="2"/>
  <c r="Q17" i="2"/>
  <c r="S17" i="2"/>
  <c r="AF17" i="2"/>
  <c r="AG17" i="2"/>
  <c r="AH17" i="2"/>
  <c r="AI17" i="2"/>
  <c r="AJ17" i="2"/>
  <c r="Q18" i="2"/>
  <c r="S18" i="2"/>
  <c r="AF18" i="2"/>
  <c r="AG18" i="2"/>
  <c r="AH18" i="2"/>
  <c r="AI18" i="2"/>
  <c r="AJ18" i="2"/>
  <c r="Q19" i="2"/>
  <c r="S19" i="2"/>
  <c r="AF19" i="2"/>
  <c r="AG19" i="2"/>
  <c r="AH19" i="2"/>
  <c r="AI19" i="2"/>
  <c r="AJ19" i="2"/>
  <c r="Q20" i="2"/>
  <c r="S20" i="2"/>
  <c r="AF20" i="2"/>
  <c r="AG20" i="2"/>
  <c r="AH20" i="2"/>
  <c r="AI20" i="2"/>
  <c r="AJ20" i="2"/>
  <c r="Q21" i="2"/>
  <c r="S21" i="2"/>
  <c r="AF21" i="2"/>
  <c r="AG21" i="2"/>
  <c r="AH21" i="2"/>
  <c r="AI21" i="2"/>
  <c r="AJ21" i="2"/>
  <c r="Q22" i="2"/>
  <c r="S22" i="2"/>
  <c r="AF22" i="2"/>
  <c r="AG22" i="2"/>
  <c r="AH22" i="2"/>
  <c r="AI22" i="2"/>
  <c r="AJ22" i="2"/>
  <c r="Q23" i="2"/>
  <c r="S23" i="2"/>
  <c r="AF23" i="2"/>
  <c r="AG23" i="2"/>
  <c r="AH23" i="2"/>
  <c r="AI23" i="2"/>
  <c r="AJ23" i="2"/>
  <c r="Q24" i="2"/>
  <c r="S24" i="2"/>
  <c r="AF24" i="2"/>
  <c r="AG24" i="2"/>
  <c r="AH24" i="2"/>
  <c r="AI24" i="2"/>
  <c r="AJ24" i="2"/>
  <c r="Q25" i="2"/>
  <c r="S25" i="2"/>
  <c r="AF25" i="2"/>
  <c r="AG25" i="2"/>
  <c r="AH25" i="2"/>
  <c r="AI25" i="2"/>
  <c r="AJ25" i="2"/>
  <c r="Q26" i="2"/>
  <c r="S26" i="2"/>
  <c r="AF26" i="2"/>
  <c r="AG26" i="2"/>
  <c r="AH26" i="2"/>
  <c r="AI26" i="2"/>
  <c r="AJ26" i="2"/>
  <c r="Q27" i="2"/>
  <c r="S27" i="2"/>
  <c r="AF27" i="2"/>
  <c r="AG27" i="2"/>
  <c r="AH27" i="2"/>
  <c r="AI27" i="2"/>
  <c r="AJ27" i="2"/>
  <c r="Q28" i="2"/>
  <c r="S28" i="2"/>
  <c r="AF28" i="2"/>
  <c r="AG28" i="2"/>
  <c r="AH28" i="2"/>
  <c r="AI28" i="2"/>
  <c r="AJ28" i="2"/>
  <c r="Q29" i="2"/>
  <c r="S29" i="2"/>
  <c r="AF29" i="2"/>
  <c r="AG29" i="2"/>
  <c r="AH29" i="2"/>
  <c r="AI29" i="2"/>
  <c r="AJ29" i="2"/>
  <c r="Q30" i="2"/>
  <c r="S30" i="2"/>
  <c r="AF30" i="2"/>
  <c r="AG30" i="2"/>
  <c r="AH30" i="2"/>
  <c r="AI30" i="2"/>
  <c r="AJ30" i="2"/>
  <c r="Q31" i="2"/>
  <c r="S31" i="2"/>
  <c r="AF31" i="2"/>
  <c r="AG31" i="2"/>
  <c r="AH31" i="2"/>
  <c r="AI31" i="2"/>
  <c r="AJ31" i="2"/>
  <c r="Q32" i="2"/>
  <c r="S32" i="2"/>
  <c r="AF32" i="2"/>
  <c r="AG32" i="2"/>
  <c r="AH32" i="2"/>
  <c r="AI32" i="2"/>
  <c r="AJ32" i="2"/>
  <c r="Q33" i="2"/>
  <c r="S33" i="2"/>
  <c r="AF33" i="2"/>
  <c r="AG33" i="2"/>
  <c r="AH33" i="2"/>
  <c r="AI33" i="2"/>
  <c r="AJ33" i="2"/>
  <c r="Q34" i="2"/>
  <c r="S34" i="2"/>
  <c r="AF34" i="2"/>
  <c r="AG34" i="2"/>
  <c r="AH34" i="2"/>
  <c r="AI34" i="2"/>
  <c r="AJ34" i="2"/>
  <c r="Q35" i="2"/>
  <c r="S35" i="2"/>
  <c r="AF35" i="2"/>
  <c r="AG35" i="2"/>
  <c r="AH35" i="2"/>
  <c r="AI35" i="2"/>
  <c r="AJ35" i="2"/>
  <c r="Q36" i="2"/>
  <c r="S36" i="2"/>
  <c r="AF36" i="2"/>
  <c r="AG36" i="2"/>
  <c r="AH36" i="2"/>
  <c r="AI36" i="2"/>
  <c r="AJ36" i="2"/>
  <c r="Q37" i="2"/>
  <c r="S37" i="2"/>
  <c r="AF37" i="2"/>
  <c r="AG37" i="2"/>
  <c r="AH37" i="2"/>
  <c r="AI37" i="2"/>
  <c r="AJ37" i="2"/>
  <c r="Q38" i="2"/>
  <c r="S38" i="2"/>
  <c r="AF38" i="2"/>
  <c r="AG38" i="2"/>
  <c r="AH38" i="2"/>
  <c r="AI38" i="2"/>
  <c r="AJ38" i="2"/>
  <c r="Q39" i="2"/>
  <c r="S39" i="2"/>
  <c r="AF39" i="2"/>
  <c r="AG39" i="2"/>
  <c r="AH39" i="2"/>
  <c r="AI39" i="2"/>
  <c r="AJ39" i="2"/>
  <c r="Q40" i="2"/>
  <c r="S40" i="2"/>
  <c r="AF40" i="2"/>
  <c r="AG40" i="2"/>
  <c r="AH40" i="2"/>
  <c r="AI40" i="2"/>
  <c r="AJ40" i="2"/>
  <c r="Q41" i="2"/>
  <c r="S41" i="2"/>
  <c r="AC41" i="2"/>
  <c r="AF41" i="2"/>
  <c r="AG41" i="2"/>
  <c r="AH41" i="2"/>
  <c r="AI41" i="2"/>
  <c r="AJ41" i="2"/>
  <c r="Q42" i="2"/>
  <c r="S42" i="2"/>
  <c r="AC42" i="2"/>
  <c r="AF42" i="2"/>
  <c r="AG42" i="2"/>
  <c r="AH42" i="2"/>
  <c r="AI42" i="2"/>
  <c r="AJ42" i="2"/>
  <c r="Q43" i="2"/>
  <c r="S43" i="2"/>
  <c r="AC43" i="2"/>
  <c r="AF43" i="2"/>
  <c r="AG43" i="2"/>
  <c r="AH43" i="2"/>
  <c r="AI43" i="2"/>
  <c r="AJ43" i="2"/>
  <c r="Q44" i="2"/>
  <c r="S44" i="2"/>
  <c r="AC44" i="2"/>
  <c r="AF44" i="2"/>
  <c r="AG44" i="2"/>
  <c r="AH44" i="2"/>
  <c r="AI44" i="2"/>
  <c r="AJ44" i="2"/>
  <c r="Q45" i="2"/>
  <c r="S45" i="2"/>
  <c r="AC45" i="2"/>
  <c r="AF45" i="2"/>
  <c r="AG45" i="2"/>
  <c r="AH45" i="2"/>
  <c r="AI45" i="2"/>
  <c r="AJ45" i="2"/>
  <c r="Q46" i="2"/>
  <c r="S46" i="2"/>
  <c r="AC46" i="2"/>
  <c r="AF46" i="2"/>
  <c r="AG46" i="2"/>
  <c r="AH46" i="2"/>
  <c r="AI46" i="2"/>
  <c r="AJ46" i="2"/>
  <c r="Q47" i="2"/>
  <c r="S47" i="2"/>
  <c r="AC47" i="2"/>
  <c r="AF47" i="2"/>
  <c r="AG47" i="2"/>
  <c r="AH47" i="2"/>
  <c r="AI47" i="2"/>
  <c r="AJ47" i="2"/>
  <c r="Q48" i="2"/>
  <c r="S48" i="2"/>
  <c r="AC48" i="2"/>
  <c r="AF48" i="2"/>
  <c r="AG48" i="2"/>
  <c r="AH48" i="2"/>
  <c r="AI48" i="2"/>
  <c r="AJ48" i="2"/>
  <c r="Q49" i="2"/>
  <c r="S49" i="2"/>
  <c r="AC49" i="2"/>
  <c r="AF49" i="2"/>
  <c r="AG49" i="2"/>
  <c r="AH49" i="2"/>
  <c r="AI49" i="2"/>
  <c r="AJ49" i="2"/>
  <c r="N50" i="2"/>
  <c r="Q50" i="2"/>
  <c r="S50" i="2"/>
  <c r="T50" i="2"/>
  <c r="AB50" i="2"/>
  <c r="AC50" i="2"/>
  <c r="AF50" i="2"/>
  <c r="AG50" i="2"/>
  <c r="AH50" i="2"/>
  <c r="AI50" i="2"/>
  <c r="AJ50" i="2"/>
  <c r="N51" i="2"/>
  <c r="Q51" i="2"/>
  <c r="S51" i="2"/>
  <c r="T51" i="2"/>
  <c r="AB51" i="2"/>
  <c r="AC51" i="2"/>
  <c r="AF51" i="2"/>
  <c r="AG51" i="2"/>
  <c r="AH51" i="2"/>
  <c r="AI51" i="2"/>
  <c r="AJ51" i="2"/>
  <c r="N52" i="2"/>
  <c r="Q52" i="2"/>
  <c r="S52" i="2"/>
  <c r="T52" i="2"/>
  <c r="AB52" i="2"/>
  <c r="AC52" i="2"/>
  <c r="AF52" i="2"/>
  <c r="AG52" i="2"/>
  <c r="AH52" i="2"/>
  <c r="AI52" i="2"/>
  <c r="AJ52" i="2"/>
  <c r="N53" i="2"/>
  <c r="Q53" i="2"/>
  <c r="S53" i="2"/>
  <c r="T53" i="2"/>
  <c r="AB53" i="2"/>
  <c r="AC53" i="2"/>
  <c r="AF53" i="2"/>
  <c r="AG53" i="2"/>
  <c r="AH53" i="2"/>
  <c r="AI53" i="2"/>
  <c r="AJ53" i="2"/>
  <c r="N54" i="2"/>
  <c r="Q54" i="2"/>
  <c r="S54" i="2"/>
  <c r="T54" i="2"/>
  <c r="AB54" i="2"/>
  <c r="AC54" i="2"/>
  <c r="AF54" i="2"/>
  <c r="AG54" i="2"/>
  <c r="AH54" i="2"/>
  <c r="AI54" i="2"/>
  <c r="AJ54" i="2"/>
  <c r="N55" i="2"/>
  <c r="Q55" i="2"/>
  <c r="S55" i="2"/>
  <c r="T55" i="2"/>
  <c r="AB55" i="2"/>
  <c r="AC55" i="2"/>
  <c r="AF55" i="2"/>
  <c r="AG55" i="2"/>
  <c r="AH55" i="2"/>
  <c r="AI55" i="2"/>
  <c r="AJ55" i="2"/>
  <c r="N56" i="2"/>
  <c r="Q56" i="2"/>
  <c r="S56" i="2"/>
  <c r="T56" i="2"/>
  <c r="AB56" i="2"/>
  <c r="AC56" i="2"/>
  <c r="AF56" i="2"/>
  <c r="AG56" i="2"/>
  <c r="AH56" i="2"/>
  <c r="AI56" i="2"/>
  <c r="AJ56" i="2"/>
  <c r="N57" i="2"/>
  <c r="Q57" i="2"/>
  <c r="S57" i="2"/>
  <c r="T57" i="2"/>
  <c r="AB57" i="2"/>
  <c r="AC57" i="2"/>
  <c r="AF57" i="2"/>
  <c r="AG57" i="2"/>
  <c r="AH57" i="2"/>
  <c r="AI57" i="2"/>
  <c r="AJ57" i="2"/>
  <c r="N58" i="2"/>
  <c r="Q58" i="2"/>
  <c r="S58" i="2"/>
  <c r="T58" i="2"/>
  <c r="AB58" i="2"/>
  <c r="AC58" i="2"/>
  <c r="AF58" i="2"/>
  <c r="AG58" i="2"/>
  <c r="AH58" i="2"/>
  <c r="AI58" i="2"/>
  <c r="AJ58" i="2"/>
  <c r="N59" i="2"/>
  <c r="Q59" i="2"/>
  <c r="S59" i="2"/>
  <c r="T59" i="2"/>
  <c r="AB59" i="2"/>
  <c r="AC59" i="2"/>
  <c r="AF59" i="2"/>
  <c r="AG59" i="2"/>
  <c r="AH59" i="2"/>
  <c r="AI59" i="2"/>
  <c r="AJ59" i="2"/>
  <c r="N60" i="2"/>
  <c r="Q60" i="2"/>
  <c r="S60" i="2"/>
  <c r="T60" i="2"/>
  <c r="AB60" i="2"/>
  <c r="AC60" i="2"/>
  <c r="AF60" i="2"/>
  <c r="AG60" i="2"/>
  <c r="AH60" i="2"/>
  <c r="AI60" i="2"/>
  <c r="AJ60" i="2"/>
  <c r="N61" i="2"/>
  <c r="Q61" i="2"/>
  <c r="S61" i="2"/>
  <c r="T61" i="2"/>
  <c r="AB61" i="2"/>
  <c r="AC61" i="2"/>
  <c r="AF61" i="2"/>
  <c r="AG61" i="2"/>
  <c r="AH61" i="2"/>
  <c r="AI61" i="2"/>
  <c r="AJ61" i="2"/>
  <c r="N62" i="2"/>
  <c r="Q62" i="2"/>
  <c r="S62" i="2"/>
  <c r="T62" i="2"/>
  <c r="AB62" i="2"/>
  <c r="AC62" i="2"/>
  <c r="AF62" i="2"/>
  <c r="AG62" i="2"/>
  <c r="AH62" i="2"/>
  <c r="AI62" i="2"/>
  <c r="AJ62" i="2"/>
  <c r="N63" i="2"/>
  <c r="Q63" i="2"/>
  <c r="S63" i="2"/>
  <c r="T63" i="2"/>
  <c r="AB63" i="2"/>
  <c r="AC63" i="2"/>
  <c r="AF63" i="2"/>
  <c r="AG63" i="2"/>
  <c r="AH63" i="2"/>
  <c r="AI63" i="2"/>
  <c r="AJ63" i="2"/>
  <c r="N64" i="2"/>
  <c r="Q64" i="2"/>
  <c r="S64" i="2"/>
  <c r="T64" i="2"/>
  <c r="AB64" i="2"/>
  <c r="AC64" i="2"/>
  <c r="AF64" i="2"/>
  <c r="AG64" i="2"/>
  <c r="AH64" i="2"/>
  <c r="AI64" i="2"/>
  <c r="AJ64" i="2"/>
  <c r="N65" i="2"/>
  <c r="Q65" i="2"/>
  <c r="S65" i="2"/>
  <c r="T65" i="2"/>
  <c r="AB65" i="2"/>
  <c r="AC65" i="2"/>
  <c r="AF65" i="2"/>
  <c r="AG65" i="2"/>
  <c r="AH65" i="2"/>
  <c r="AI65" i="2"/>
  <c r="AJ65" i="2"/>
  <c r="N66" i="2"/>
  <c r="Q66" i="2"/>
  <c r="S66" i="2"/>
  <c r="T66" i="2"/>
  <c r="AB66" i="2"/>
  <c r="AC66" i="2"/>
  <c r="AF66" i="2"/>
  <c r="AG66" i="2"/>
  <c r="AH66" i="2"/>
  <c r="AI66" i="2"/>
  <c r="AJ66" i="2"/>
  <c r="N67" i="2"/>
  <c r="Q67" i="2"/>
  <c r="S67" i="2"/>
  <c r="T67" i="2"/>
  <c r="AB67" i="2"/>
  <c r="AC67" i="2"/>
  <c r="AF67" i="2"/>
  <c r="AG67" i="2"/>
  <c r="AH67" i="2"/>
  <c r="AI67" i="2"/>
  <c r="AJ67" i="2"/>
  <c r="N68" i="2"/>
  <c r="Q68" i="2"/>
  <c r="S68" i="2"/>
  <c r="T68" i="2"/>
  <c r="AB68" i="2"/>
  <c r="AC68" i="2"/>
  <c r="AF68" i="2"/>
  <c r="AG68" i="2"/>
  <c r="AH68" i="2"/>
  <c r="AI68" i="2"/>
  <c r="AJ68" i="2"/>
  <c r="N69" i="2"/>
  <c r="Q69" i="2"/>
  <c r="S69" i="2"/>
  <c r="T69" i="2"/>
  <c r="AB69" i="2"/>
  <c r="AC69" i="2"/>
  <c r="AF69" i="2"/>
  <c r="AG69" i="2"/>
  <c r="AH69" i="2"/>
  <c r="AI69" i="2"/>
  <c r="AJ69" i="2"/>
  <c r="N70" i="2"/>
  <c r="Q70" i="2"/>
  <c r="S70" i="2"/>
  <c r="T70" i="2"/>
  <c r="AB70" i="2"/>
  <c r="AC70" i="2"/>
  <c r="AF70" i="2"/>
  <c r="AG70" i="2"/>
  <c r="AH70" i="2"/>
  <c r="AI70" i="2"/>
  <c r="AJ70" i="2"/>
  <c r="N71" i="2"/>
  <c r="Q71" i="2"/>
  <c r="S71" i="2"/>
  <c r="T71" i="2"/>
  <c r="AB71" i="2"/>
  <c r="AC71" i="2"/>
  <c r="AF71" i="2"/>
  <c r="AG71" i="2"/>
  <c r="AH71" i="2"/>
  <c r="AI71" i="2"/>
  <c r="AJ71" i="2"/>
  <c r="N72" i="2"/>
  <c r="Q72" i="2"/>
  <c r="S72" i="2"/>
  <c r="T72" i="2"/>
  <c r="AB72" i="2"/>
  <c r="AC72" i="2"/>
  <c r="AF72" i="2"/>
  <c r="AG72" i="2"/>
  <c r="AH72" i="2"/>
  <c r="AI72" i="2"/>
  <c r="AJ72" i="2"/>
  <c r="N73" i="2"/>
  <c r="Q73" i="2"/>
  <c r="S73" i="2"/>
  <c r="T73" i="2"/>
  <c r="AB73" i="2"/>
  <c r="AC73" i="2"/>
  <c r="AF73" i="2"/>
  <c r="AG73" i="2"/>
  <c r="AH73" i="2"/>
  <c r="AI73" i="2"/>
  <c r="AJ73" i="2"/>
  <c r="N74" i="2"/>
  <c r="Q74" i="2"/>
  <c r="S74" i="2"/>
  <c r="T74" i="2"/>
  <c r="AB74" i="2"/>
  <c r="AC74" i="2"/>
  <c r="AF74" i="2"/>
  <c r="AG74" i="2"/>
  <c r="AH74" i="2"/>
  <c r="AI74" i="2"/>
  <c r="AJ74" i="2"/>
  <c r="N75" i="2"/>
  <c r="Q75" i="2"/>
  <c r="S75" i="2"/>
  <c r="T75" i="2"/>
  <c r="AB75" i="2"/>
  <c r="AC75" i="2"/>
  <c r="AF75" i="2"/>
  <c r="AG75" i="2"/>
  <c r="AH75" i="2"/>
  <c r="AI75" i="2"/>
  <c r="AJ75" i="2"/>
  <c r="N76" i="2"/>
  <c r="Q76" i="2"/>
  <c r="S76" i="2"/>
  <c r="T76" i="2"/>
  <c r="AB76" i="2"/>
  <c r="AC76" i="2"/>
  <c r="AF76" i="2"/>
  <c r="AG76" i="2"/>
  <c r="AH76" i="2"/>
  <c r="AI76" i="2"/>
  <c r="AJ76" i="2"/>
  <c r="N77" i="2"/>
  <c r="Q77" i="2"/>
  <c r="S77" i="2"/>
  <c r="T77" i="2"/>
  <c r="AB77" i="2"/>
  <c r="AC77" i="2"/>
  <c r="AF77" i="2"/>
  <c r="AG77" i="2"/>
  <c r="AH77" i="2"/>
  <c r="AI77" i="2"/>
  <c r="AJ77" i="2"/>
  <c r="N78" i="2"/>
  <c r="Q78" i="2"/>
  <c r="S78" i="2"/>
  <c r="T78" i="2"/>
  <c r="AB78" i="2"/>
  <c r="AC78" i="2"/>
  <c r="AF78" i="2"/>
  <c r="AG78" i="2"/>
  <c r="AH78" i="2"/>
  <c r="AI78" i="2"/>
  <c r="AJ78" i="2"/>
  <c r="N79" i="2"/>
  <c r="Q79" i="2"/>
  <c r="S79" i="2"/>
  <c r="T79" i="2"/>
  <c r="AB79" i="2"/>
  <c r="AC79" i="2"/>
  <c r="AF79" i="2"/>
  <c r="AG79" i="2"/>
  <c r="AH79" i="2"/>
  <c r="AI79" i="2"/>
  <c r="AJ79" i="2"/>
  <c r="N80" i="2"/>
  <c r="Q80" i="2"/>
  <c r="S80" i="2"/>
  <c r="T80" i="2"/>
  <c r="AB80" i="2"/>
  <c r="AC80" i="2"/>
  <c r="AF80" i="2"/>
  <c r="AG80" i="2"/>
  <c r="AH80" i="2"/>
  <c r="AI80" i="2"/>
  <c r="AJ80" i="2"/>
  <c r="N81" i="2"/>
  <c r="Q81" i="2"/>
  <c r="S81" i="2"/>
  <c r="T81" i="2"/>
  <c r="AB81" i="2"/>
  <c r="AC81" i="2"/>
  <c r="AF81" i="2"/>
  <c r="AG81" i="2"/>
  <c r="AH81" i="2"/>
  <c r="AI81" i="2"/>
  <c r="AJ81" i="2"/>
  <c r="N82" i="2"/>
  <c r="Q82" i="2"/>
  <c r="S82" i="2"/>
  <c r="T82" i="2"/>
  <c r="AB82" i="2"/>
  <c r="AC82" i="2"/>
  <c r="AF82" i="2"/>
  <c r="AG82" i="2"/>
  <c r="AH82" i="2"/>
  <c r="AI82" i="2"/>
  <c r="AJ82" i="2"/>
  <c r="N83" i="2"/>
  <c r="Q83" i="2"/>
  <c r="S83" i="2"/>
  <c r="T83" i="2"/>
  <c r="AB83" i="2"/>
  <c r="AC83" i="2"/>
  <c r="AF83" i="2"/>
  <c r="AG83" i="2"/>
  <c r="AH83" i="2"/>
  <c r="AI83" i="2"/>
  <c r="AJ83" i="2"/>
  <c r="N84" i="2"/>
  <c r="Q84" i="2"/>
  <c r="S84" i="2"/>
  <c r="T84" i="2"/>
  <c r="AB84" i="2"/>
  <c r="AC84" i="2"/>
  <c r="AF84" i="2"/>
  <c r="AG84" i="2"/>
  <c r="AH84" i="2"/>
  <c r="AI84" i="2"/>
  <c r="AJ84" i="2"/>
  <c r="N85" i="2"/>
  <c r="Q85" i="2"/>
  <c r="S85" i="2"/>
  <c r="T85" i="2"/>
  <c r="AB85" i="2"/>
  <c r="AC85" i="2"/>
  <c r="AF85" i="2"/>
  <c r="AG85" i="2"/>
  <c r="AH85" i="2"/>
  <c r="AI85" i="2"/>
  <c r="AJ85" i="2"/>
  <c r="N86" i="2"/>
  <c r="Q86" i="2"/>
  <c r="R86" i="2"/>
  <c r="S86" i="2"/>
  <c r="T86" i="2"/>
  <c r="AB86" i="2"/>
  <c r="AC86" i="2"/>
  <c r="AF86" i="2"/>
  <c r="AG86" i="2"/>
  <c r="AH86" i="2"/>
  <c r="AI86" i="2"/>
  <c r="AJ86" i="2"/>
  <c r="N87" i="2"/>
  <c r="Q87" i="2"/>
  <c r="R87" i="2"/>
  <c r="S87" i="2"/>
  <c r="T87" i="2"/>
  <c r="AB87" i="2"/>
  <c r="AC87" i="2"/>
  <c r="AF87" i="2"/>
  <c r="AG87" i="2"/>
  <c r="AH87" i="2"/>
  <c r="AI87" i="2"/>
  <c r="AJ87" i="2"/>
  <c r="N88" i="2"/>
  <c r="Q88" i="2"/>
  <c r="R88" i="2"/>
  <c r="S88" i="2"/>
  <c r="T88" i="2"/>
  <c r="AB88" i="2"/>
  <c r="AC88" i="2"/>
  <c r="AF88" i="2"/>
  <c r="AG88" i="2"/>
  <c r="AH88" i="2"/>
  <c r="AI88" i="2"/>
  <c r="AJ88" i="2"/>
  <c r="N89" i="2"/>
  <c r="Q89" i="2"/>
  <c r="R89" i="2"/>
  <c r="S89" i="2"/>
  <c r="T89" i="2"/>
  <c r="AB89" i="2"/>
  <c r="AC89" i="2"/>
  <c r="AF89" i="2"/>
  <c r="AG89" i="2"/>
  <c r="AH89" i="2"/>
  <c r="AI89" i="2"/>
  <c r="AJ89" i="2"/>
  <c r="N90" i="2"/>
  <c r="Q90" i="2"/>
  <c r="R90" i="2"/>
  <c r="S90" i="2"/>
  <c r="T90" i="2"/>
  <c r="AB90" i="2"/>
  <c r="AC90" i="2"/>
  <c r="AF90" i="2"/>
  <c r="AG90" i="2"/>
  <c r="AH90" i="2"/>
  <c r="AI90" i="2"/>
  <c r="AJ90" i="2"/>
  <c r="N91" i="2"/>
  <c r="Q91" i="2"/>
  <c r="R91" i="2"/>
  <c r="S91" i="2"/>
  <c r="T91" i="2"/>
  <c r="AB91" i="2"/>
  <c r="AC91" i="2"/>
  <c r="AF91" i="2"/>
  <c r="AG91" i="2"/>
  <c r="AH91" i="2"/>
  <c r="AI91" i="2"/>
  <c r="AJ91" i="2"/>
  <c r="N92" i="2"/>
  <c r="Q92" i="2"/>
  <c r="R92" i="2"/>
  <c r="S92" i="2"/>
  <c r="T92" i="2"/>
  <c r="AB92" i="2"/>
  <c r="AC92" i="2"/>
  <c r="AF92" i="2"/>
  <c r="AG92" i="2"/>
  <c r="AH92" i="2"/>
  <c r="AI92" i="2"/>
  <c r="AJ92" i="2"/>
  <c r="N93" i="2"/>
  <c r="Q93" i="2"/>
  <c r="R93" i="2"/>
  <c r="S93" i="2"/>
  <c r="T93" i="2"/>
  <c r="AB93" i="2"/>
  <c r="AC93" i="2"/>
  <c r="AF93" i="2"/>
  <c r="AG93" i="2"/>
  <c r="AH93" i="2"/>
  <c r="AI93" i="2"/>
  <c r="AJ93" i="2"/>
  <c r="N94" i="2"/>
  <c r="Q94" i="2"/>
  <c r="R94" i="2"/>
  <c r="S94" i="2"/>
  <c r="T94" i="2"/>
  <c r="AB94" i="2"/>
  <c r="AC94" i="2"/>
  <c r="AF94" i="2"/>
  <c r="AG94" i="2"/>
  <c r="AH94" i="2"/>
  <c r="AI94" i="2"/>
  <c r="AJ94" i="2"/>
  <c r="N95" i="2"/>
  <c r="Q95" i="2"/>
  <c r="R95" i="2"/>
  <c r="S95" i="2"/>
  <c r="T95" i="2"/>
  <c r="AB95" i="2"/>
  <c r="AC95" i="2"/>
  <c r="AF95" i="2"/>
  <c r="AG95" i="2"/>
  <c r="AH95" i="2"/>
  <c r="AI95" i="2"/>
  <c r="AJ95" i="2"/>
  <c r="N96" i="2"/>
  <c r="Q96" i="2"/>
  <c r="R96" i="2"/>
  <c r="S96" i="2"/>
  <c r="T96" i="2"/>
  <c r="AB96" i="2"/>
  <c r="AC96" i="2"/>
  <c r="AF96" i="2"/>
  <c r="AG96" i="2"/>
  <c r="AH96" i="2"/>
  <c r="AI96" i="2"/>
  <c r="AJ96" i="2"/>
  <c r="N97" i="2"/>
  <c r="Q97" i="2"/>
  <c r="R97" i="2"/>
  <c r="S97" i="2"/>
  <c r="T97" i="2"/>
  <c r="AB97" i="2"/>
  <c r="AC97" i="2"/>
  <c r="AF97" i="2"/>
  <c r="AG97" i="2"/>
  <c r="AH97" i="2"/>
  <c r="AI97" i="2"/>
  <c r="AJ97" i="2"/>
  <c r="N98" i="2"/>
  <c r="Q98" i="2"/>
  <c r="R98" i="2"/>
  <c r="S98" i="2"/>
  <c r="T98" i="2"/>
  <c r="AB98" i="2"/>
  <c r="AC98" i="2"/>
  <c r="AF98" i="2"/>
  <c r="AG98" i="2"/>
  <c r="AH98" i="2"/>
  <c r="AI98" i="2"/>
  <c r="AJ98" i="2"/>
  <c r="N99" i="2"/>
  <c r="Q99" i="2"/>
  <c r="R99" i="2"/>
  <c r="S99" i="2"/>
  <c r="T99" i="2"/>
  <c r="AB99" i="2"/>
  <c r="AC99" i="2"/>
  <c r="AF99" i="2"/>
  <c r="AG99" i="2"/>
  <c r="AH99" i="2"/>
  <c r="AI99" i="2"/>
  <c r="AJ99" i="2"/>
  <c r="N100" i="2"/>
  <c r="Q100" i="2"/>
  <c r="R100" i="2"/>
  <c r="S100" i="2"/>
  <c r="T100" i="2"/>
  <c r="AB100" i="2"/>
  <c r="AC100" i="2"/>
  <c r="AF100" i="2"/>
  <c r="AG100" i="2"/>
  <c r="AH100" i="2"/>
  <c r="AI100" i="2"/>
  <c r="AJ100" i="2"/>
  <c r="N101" i="2"/>
  <c r="Q101" i="2"/>
  <c r="R101" i="2"/>
  <c r="S101" i="2"/>
  <c r="T101" i="2"/>
  <c r="AB101" i="2"/>
  <c r="AC101" i="2"/>
  <c r="AF101" i="2"/>
  <c r="AG101" i="2"/>
  <c r="AH101" i="2"/>
  <c r="AI101" i="2"/>
  <c r="AJ101" i="2"/>
  <c r="N102" i="2"/>
  <c r="Q102" i="2"/>
  <c r="R102" i="2"/>
  <c r="S102" i="2"/>
  <c r="T102" i="2"/>
  <c r="AB102" i="2"/>
  <c r="AC102" i="2"/>
  <c r="AF102" i="2"/>
  <c r="AG102" i="2"/>
  <c r="AH102" i="2"/>
  <c r="AI102" i="2"/>
  <c r="AJ102" i="2"/>
  <c r="N103" i="2"/>
  <c r="Q103" i="2"/>
  <c r="R103" i="2"/>
  <c r="S103" i="2"/>
  <c r="T103" i="2"/>
  <c r="AB103" i="2"/>
  <c r="AC103" i="2"/>
  <c r="AF103" i="2"/>
  <c r="AG103" i="2"/>
  <c r="AH103" i="2"/>
  <c r="AI103" i="2"/>
  <c r="AJ103" i="2"/>
  <c r="N104" i="2"/>
  <c r="Q104" i="2"/>
  <c r="R104" i="2"/>
  <c r="S104" i="2"/>
  <c r="T104" i="2"/>
  <c r="AB104" i="2"/>
  <c r="AC104" i="2"/>
  <c r="AF104" i="2"/>
  <c r="AG104" i="2"/>
  <c r="AH104" i="2"/>
  <c r="AI104" i="2"/>
  <c r="AJ104" i="2"/>
  <c r="N105" i="2"/>
  <c r="Q105" i="2"/>
  <c r="R105" i="2"/>
  <c r="S105" i="2"/>
  <c r="T105" i="2"/>
  <c r="AB105" i="2"/>
  <c r="AC105" i="2"/>
  <c r="AF105" i="2"/>
  <c r="AG105" i="2"/>
  <c r="AH105" i="2"/>
  <c r="AI105" i="2"/>
  <c r="AJ105" i="2"/>
  <c r="N106" i="2"/>
  <c r="Q106" i="2"/>
  <c r="R106" i="2"/>
  <c r="S106" i="2"/>
  <c r="T106" i="2"/>
  <c r="AB106" i="2"/>
  <c r="AC106" i="2"/>
  <c r="AF106" i="2"/>
  <c r="AG106" i="2"/>
  <c r="AH106" i="2"/>
  <c r="AI106" i="2"/>
  <c r="AJ106" i="2"/>
  <c r="N107" i="2"/>
  <c r="Q107" i="2"/>
  <c r="R107" i="2"/>
  <c r="S107" i="2"/>
  <c r="T107" i="2"/>
  <c r="AB107" i="2"/>
  <c r="AC107" i="2"/>
  <c r="AF107" i="2"/>
  <c r="AG107" i="2"/>
  <c r="AH107" i="2"/>
  <c r="AI107" i="2"/>
  <c r="AJ107" i="2"/>
  <c r="N108" i="2"/>
  <c r="Q108" i="2"/>
  <c r="R108" i="2"/>
  <c r="S108" i="2"/>
  <c r="T108" i="2"/>
  <c r="AB108" i="2"/>
  <c r="AC108" i="2"/>
  <c r="AF108" i="2"/>
  <c r="AG108" i="2"/>
  <c r="AH108" i="2"/>
  <c r="AI108" i="2"/>
  <c r="AJ108" i="2"/>
  <c r="N109" i="2"/>
  <c r="Q109" i="2"/>
  <c r="R109" i="2"/>
  <c r="S109" i="2"/>
  <c r="T109" i="2"/>
  <c r="AB109" i="2"/>
  <c r="AC109" i="2"/>
  <c r="AF109" i="2"/>
  <c r="AG109" i="2"/>
  <c r="AH109" i="2"/>
  <c r="AI109" i="2"/>
  <c r="AJ109" i="2"/>
  <c r="N110" i="2"/>
  <c r="Q110" i="2"/>
  <c r="R110" i="2"/>
  <c r="S110" i="2"/>
  <c r="T110" i="2"/>
  <c r="AB110" i="2"/>
  <c r="AC110" i="2"/>
  <c r="AF110" i="2"/>
  <c r="AG110" i="2"/>
  <c r="AH110" i="2"/>
  <c r="AI110" i="2"/>
  <c r="AJ110" i="2"/>
  <c r="N111" i="2"/>
  <c r="Q111" i="2"/>
  <c r="R111" i="2"/>
  <c r="S111" i="2"/>
  <c r="T111" i="2"/>
  <c r="AB111" i="2"/>
  <c r="AC111" i="2"/>
  <c r="AF111" i="2"/>
  <c r="AG111" i="2"/>
  <c r="AH111" i="2"/>
  <c r="AI111" i="2"/>
  <c r="AJ111" i="2"/>
  <c r="N112" i="2"/>
  <c r="Q112" i="2"/>
  <c r="R112" i="2"/>
  <c r="S112" i="2"/>
  <c r="T112" i="2"/>
  <c r="AB112" i="2"/>
  <c r="AC112" i="2"/>
  <c r="AF112" i="2"/>
  <c r="AG112" i="2"/>
  <c r="AH112" i="2"/>
  <c r="AI112" i="2"/>
  <c r="AJ112" i="2"/>
  <c r="N113" i="2"/>
  <c r="Q113" i="2"/>
  <c r="R113" i="2"/>
  <c r="S113" i="2"/>
  <c r="T113" i="2"/>
  <c r="AB113" i="2"/>
  <c r="AC113" i="2"/>
  <c r="AF113" i="2"/>
  <c r="AG113" i="2"/>
  <c r="AH113" i="2"/>
  <c r="AI113" i="2"/>
  <c r="AJ113" i="2"/>
  <c r="N114" i="2"/>
  <c r="Q114" i="2"/>
  <c r="R114" i="2"/>
  <c r="S114" i="2"/>
  <c r="T114" i="2"/>
  <c r="AB114" i="2"/>
  <c r="AC114" i="2"/>
  <c r="AF114" i="2"/>
  <c r="AG114" i="2"/>
  <c r="AH114" i="2"/>
  <c r="AI114" i="2"/>
  <c r="AJ114" i="2"/>
  <c r="N115" i="2"/>
  <c r="Q115" i="2"/>
  <c r="R115" i="2"/>
  <c r="S115" i="2"/>
  <c r="T115" i="2"/>
  <c r="AB115" i="2"/>
  <c r="AC115" i="2"/>
  <c r="AF115" i="2"/>
  <c r="AG115" i="2"/>
  <c r="AH115" i="2"/>
  <c r="AI115" i="2"/>
  <c r="AJ115" i="2"/>
  <c r="N116" i="2"/>
  <c r="Q116" i="2"/>
  <c r="R116" i="2"/>
  <c r="S116" i="2"/>
  <c r="T116" i="2"/>
  <c r="AB116" i="2"/>
  <c r="AC116" i="2"/>
  <c r="AF116" i="2"/>
  <c r="AG116" i="2"/>
  <c r="AH116" i="2"/>
  <c r="AI116" i="2"/>
  <c r="AJ116" i="2"/>
  <c r="N117" i="2"/>
  <c r="Q117" i="2"/>
  <c r="R117" i="2"/>
  <c r="S117" i="2"/>
  <c r="T117" i="2"/>
  <c r="AB117" i="2"/>
  <c r="AC117" i="2"/>
  <c r="AF117" i="2"/>
  <c r="AG117" i="2"/>
  <c r="AH117" i="2"/>
  <c r="AI117" i="2"/>
  <c r="AJ117" i="2"/>
  <c r="N118" i="2"/>
  <c r="Q118" i="2"/>
  <c r="R118" i="2"/>
  <c r="S118" i="2"/>
  <c r="T118" i="2"/>
  <c r="AB118" i="2"/>
  <c r="AC118" i="2"/>
  <c r="AF118" i="2"/>
  <c r="AG118" i="2"/>
  <c r="AH118" i="2"/>
  <c r="AI118" i="2"/>
  <c r="AJ118" i="2"/>
  <c r="N119" i="2"/>
  <c r="Q119" i="2"/>
  <c r="R119" i="2"/>
  <c r="S119" i="2"/>
  <c r="T119" i="2"/>
  <c r="AB119" i="2"/>
  <c r="AC119" i="2"/>
  <c r="AF119" i="2"/>
  <c r="AG119" i="2"/>
  <c r="AH119" i="2"/>
  <c r="AI119" i="2"/>
  <c r="AJ119" i="2"/>
  <c r="N120" i="2"/>
  <c r="Q120" i="2"/>
  <c r="R120" i="2"/>
  <c r="S120" i="2"/>
  <c r="T120" i="2"/>
  <c r="AB120" i="2"/>
  <c r="AC120" i="2"/>
  <c r="AF120" i="2"/>
  <c r="AG120" i="2"/>
  <c r="AH120" i="2"/>
  <c r="AI120" i="2"/>
  <c r="AJ120" i="2"/>
  <c r="N121" i="2"/>
  <c r="Q121" i="2"/>
  <c r="R121" i="2"/>
  <c r="S121" i="2"/>
  <c r="T121" i="2"/>
  <c r="AB121" i="2"/>
  <c r="AC121" i="2"/>
  <c r="AF121" i="2"/>
  <c r="AG121" i="2"/>
  <c r="AH121" i="2"/>
  <c r="AI121" i="2"/>
  <c r="AJ121" i="2"/>
  <c r="B122" i="2"/>
  <c r="C122" i="2"/>
  <c r="D122" i="2"/>
  <c r="E122" i="2"/>
  <c r="M122" i="2"/>
  <c r="N122" i="2"/>
  <c r="O122" i="2"/>
  <c r="Q122" i="2"/>
  <c r="R122" i="2"/>
  <c r="S122" i="2"/>
  <c r="T122" i="2"/>
  <c r="U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Q122" i="2"/>
  <c r="AR122" i="2"/>
  <c r="AS122" i="2"/>
  <c r="AT122" i="2"/>
  <c r="AU122" i="2"/>
  <c r="B123" i="2"/>
  <c r="C123" i="2"/>
  <c r="D123" i="2"/>
  <c r="E123" i="2"/>
  <c r="M123" i="2"/>
  <c r="N123" i="2"/>
  <c r="O123" i="2"/>
  <c r="Q123" i="2"/>
  <c r="R123" i="2"/>
  <c r="S123" i="2"/>
  <c r="T123" i="2"/>
  <c r="U123" i="2"/>
  <c r="W123" i="2"/>
  <c r="X123" i="2"/>
  <c r="Y123" i="2"/>
  <c r="Z123" i="2"/>
  <c r="AA123" i="2"/>
  <c r="AB123" i="2"/>
  <c r="AC123" i="2"/>
  <c r="AD123" i="2"/>
  <c r="AE123" i="2"/>
  <c r="AF123" i="2"/>
  <c r="AG123" i="2"/>
  <c r="AH123" i="2"/>
  <c r="AI123" i="2"/>
  <c r="AJ123" i="2"/>
  <c r="AK123" i="2"/>
  <c r="AQ123" i="2"/>
  <c r="AR123" i="2"/>
  <c r="AS123" i="2"/>
  <c r="AT123" i="2"/>
  <c r="AU123" i="2"/>
  <c r="B124" i="2"/>
  <c r="C124" i="2"/>
  <c r="D124" i="2"/>
  <c r="E124" i="2"/>
  <c r="M124" i="2"/>
  <c r="N124" i="2"/>
  <c r="O124" i="2"/>
  <c r="Q124" i="2"/>
  <c r="R124" i="2"/>
  <c r="S124" i="2"/>
  <c r="T124" i="2"/>
  <c r="U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Q124" i="2"/>
  <c r="AR124" i="2"/>
  <c r="AS124" i="2"/>
  <c r="AT124" i="2"/>
  <c r="AU124" i="2"/>
  <c r="B125" i="2"/>
  <c r="C125" i="2"/>
  <c r="D125" i="2"/>
  <c r="E125" i="2"/>
  <c r="M125" i="2"/>
  <c r="N125" i="2"/>
  <c r="O125" i="2"/>
  <c r="Q125" i="2"/>
  <c r="R125" i="2"/>
  <c r="S125" i="2"/>
  <c r="T125" i="2"/>
  <c r="U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AK125" i="2"/>
  <c r="AQ125" i="2"/>
  <c r="AR125" i="2"/>
  <c r="AS125" i="2"/>
  <c r="AT125" i="2"/>
  <c r="AU125" i="2"/>
  <c r="B126" i="2"/>
  <c r="C126" i="2"/>
  <c r="D126" i="2"/>
  <c r="E126" i="2"/>
  <c r="M126" i="2"/>
  <c r="N126" i="2"/>
  <c r="O126" i="2"/>
  <c r="Q126" i="2"/>
  <c r="R126" i="2"/>
  <c r="S126" i="2"/>
  <c r="T126" i="2"/>
  <c r="U126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AK126" i="2"/>
  <c r="AQ126" i="2"/>
  <c r="AR126" i="2"/>
  <c r="AS126" i="2"/>
  <c r="AT126" i="2"/>
  <c r="AU126" i="2"/>
  <c r="B127" i="2"/>
  <c r="C127" i="2"/>
  <c r="D127" i="2"/>
  <c r="E127" i="2"/>
  <c r="M127" i="2"/>
  <c r="N127" i="2"/>
  <c r="O127" i="2"/>
  <c r="Q127" i="2"/>
  <c r="R127" i="2"/>
  <c r="S127" i="2"/>
  <c r="T127" i="2"/>
  <c r="U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AJ127" i="2"/>
  <c r="AK127" i="2"/>
  <c r="AQ127" i="2"/>
  <c r="AR127" i="2"/>
  <c r="AS127" i="2"/>
  <c r="AT127" i="2"/>
  <c r="AU127" i="2"/>
  <c r="B128" i="2"/>
  <c r="C128" i="2"/>
  <c r="D128" i="2"/>
  <c r="E128" i="2"/>
  <c r="M128" i="2"/>
  <c r="N128" i="2"/>
  <c r="O128" i="2"/>
  <c r="Q128" i="2"/>
  <c r="R128" i="2"/>
  <c r="S128" i="2"/>
  <c r="T128" i="2"/>
  <c r="U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AQ128" i="2"/>
  <c r="AR128" i="2"/>
  <c r="AS128" i="2"/>
  <c r="AT128" i="2"/>
  <c r="AU128" i="2"/>
  <c r="B129" i="2"/>
  <c r="C129" i="2"/>
  <c r="D129" i="2"/>
  <c r="E129" i="2"/>
  <c r="M129" i="2"/>
  <c r="N129" i="2"/>
  <c r="O129" i="2"/>
  <c r="Q129" i="2"/>
  <c r="R129" i="2"/>
  <c r="S129" i="2"/>
  <c r="T129" i="2"/>
  <c r="U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AK129" i="2"/>
  <c r="AQ129" i="2"/>
  <c r="AR129" i="2"/>
  <c r="AS129" i="2"/>
  <c r="AT129" i="2"/>
  <c r="AU129" i="2"/>
  <c r="B130" i="2"/>
  <c r="C130" i="2"/>
  <c r="D130" i="2"/>
  <c r="E130" i="2"/>
  <c r="M130" i="2"/>
  <c r="N130" i="2"/>
  <c r="O130" i="2"/>
  <c r="Q130" i="2"/>
  <c r="R130" i="2"/>
  <c r="S130" i="2"/>
  <c r="T130" i="2"/>
  <c r="U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AK130" i="2"/>
  <c r="AQ130" i="2"/>
  <c r="AR130" i="2"/>
  <c r="AS130" i="2"/>
  <c r="AT130" i="2"/>
  <c r="AU130" i="2"/>
  <c r="B131" i="2"/>
  <c r="C131" i="2"/>
  <c r="D131" i="2"/>
  <c r="E131" i="2"/>
  <c r="M131" i="2"/>
  <c r="N131" i="2"/>
  <c r="O131" i="2"/>
  <c r="Q131" i="2"/>
  <c r="R131" i="2"/>
  <c r="S131" i="2"/>
  <c r="T131" i="2"/>
  <c r="U131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Q131" i="2"/>
  <c r="AR131" i="2"/>
  <c r="AS131" i="2"/>
  <c r="AT131" i="2"/>
  <c r="AU131" i="2"/>
  <c r="B132" i="2"/>
  <c r="C132" i="2"/>
  <c r="D132" i="2"/>
  <c r="E132" i="2"/>
  <c r="M132" i="2"/>
  <c r="N132" i="2"/>
  <c r="O132" i="2"/>
  <c r="Q132" i="2"/>
  <c r="R132" i="2"/>
  <c r="S132" i="2"/>
  <c r="T132" i="2"/>
  <c r="U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AQ132" i="2"/>
  <c r="AR132" i="2"/>
  <c r="AS132" i="2"/>
  <c r="AT132" i="2"/>
  <c r="AU132" i="2"/>
  <c r="B133" i="2"/>
  <c r="C133" i="2"/>
  <c r="D133" i="2"/>
  <c r="E133" i="2"/>
  <c r="M133" i="2"/>
  <c r="N133" i="2"/>
  <c r="O133" i="2"/>
  <c r="Q133" i="2"/>
  <c r="R133" i="2"/>
  <c r="S133" i="2"/>
  <c r="T133" i="2"/>
  <c r="U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AJ133" i="2"/>
  <c r="AK133" i="2"/>
  <c r="AQ133" i="2"/>
  <c r="AR133" i="2"/>
  <c r="AS133" i="2"/>
  <c r="AT133" i="2"/>
  <c r="AU133" i="2"/>
  <c r="B134" i="2"/>
  <c r="C134" i="2"/>
  <c r="D134" i="2"/>
  <c r="E134" i="2"/>
  <c r="M134" i="2"/>
  <c r="N134" i="2"/>
  <c r="O134" i="2"/>
  <c r="Q134" i="2"/>
  <c r="R134" i="2"/>
  <c r="S134" i="2"/>
  <c r="T134" i="2"/>
  <c r="U134" i="2"/>
  <c r="W134" i="2"/>
  <c r="X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AK134" i="2"/>
  <c r="AQ134" i="2"/>
  <c r="AR134" i="2"/>
  <c r="AS134" i="2"/>
  <c r="AT134" i="2"/>
  <c r="AU134" i="2"/>
  <c r="B135" i="2"/>
  <c r="C135" i="2"/>
  <c r="D135" i="2"/>
  <c r="E135" i="2"/>
  <c r="M135" i="2"/>
  <c r="N135" i="2"/>
  <c r="O135" i="2"/>
  <c r="Q135" i="2"/>
  <c r="R135" i="2"/>
  <c r="S135" i="2"/>
  <c r="T135" i="2"/>
  <c r="U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AJ135" i="2"/>
  <c r="AK135" i="2"/>
  <c r="AQ135" i="2"/>
  <c r="AR135" i="2"/>
  <c r="AS135" i="2"/>
  <c r="AT135" i="2"/>
  <c r="AU135" i="2"/>
  <c r="B136" i="2"/>
  <c r="C136" i="2"/>
  <c r="D136" i="2"/>
  <c r="E136" i="2"/>
  <c r="M136" i="2"/>
  <c r="N136" i="2"/>
  <c r="O136" i="2"/>
  <c r="Q136" i="2"/>
  <c r="R136" i="2"/>
  <c r="S136" i="2"/>
  <c r="T136" i="2"/>
  <c r="U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AK136" i="2"/>
  <c r="AQ136" i="2"/>
  <c r="AR136" i="2"/>
  <c r="AS136" i="2"/>
  <c r="AT136" i="2"/>
  <c r="AU136" i="2"/>
  <c r="B137" i="2"/>
  <c r="C137" i="2"/>
  <c r="D137" i="2"/>
  <c r="E137" i="2"/>
  <c r="M137" i="2"/>
  <c r="N137" i="2"/>
  <c r="O137" i="2"/>
  <c r="Q137" i="2"/>
  <c r="R137" i="2"/>
  <c r="S137" i="2"/>
  <c r="T137" i="2"/>
  <c r="U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AJ137" i="2"/>
  <c r="AK137" i="2"/>
  <c r="AQ137" i="2"/>
  <c r="AR137" i="2"/>
  <c r="AS137" i="2"/>
  <c r="AT137" i="2"/>
  <c r="AU137" i="2"/>
  <c r="B138" i="2"/>
  <c r="C138" i="2"/>
  <c r="D138" i="2"/>
  <c r="E138" i="2"/>
  <c r="M138" i="2"/>
  <c r="N138" i="2"/>
  <c r="O138" i="2"/>
  <c r="Q138" i="2"/>
  <c r="R138" i="2"/>
  <c r="S138" i="2"/>
  <c r="T138" i="2"/>
  <c r="U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AJ138" i="2"/>
  <c r="AK138" i="2"/>
  <c r="AQ138" i="2"/>
  <c r="AR138" i="2"/>
  <c r="AS138" i="2"/>
  <c r="AT138" i="2"/>
  <c r="AU138" i="2"/>
  <c r="B139" i="2"/>
  <c r="C139" i="2"/>
  <c r="D139" i="2"/>
  <c r="E139" i="2"/>
  <c r="M139" i="2"/>
  <c r="N139" i="2"/>
  <c r="O139" i="2"/>
  <c r="Q139" i="2"/>
  <c r="R139" i="2"/>
  <c r="S139" i="2"/>
  <c r="T139" i="2"/>
  <c r="U139" i="2"/>
  <c r="W139" i="2"/>
  <c r="X139" i="2"/>
  <c r="Y139" i="2"/>
  <c r="Z139" i="2"/>
  <c r="AA139" i="2"/>
  <c r="AB139" i="2"/>
  <c r="AC139" i="2"/>
  <c r="AD139" i="2"/>
  <c r="AE139" i="2"/>
  <c r="AF139" i="2"/>
  <c r="AG139" i="2"/>
  <c r="AH139" i="2"/>
  <c r="AI139" i="2"/>
  <c r="AJ139" i="2"/>
  <c r="AK139" i="2"/>
  <c r="AQ139" i="2"/>
  <c r="AR139" i="2"/>
  <c r="AS139" i="2"/>
  <c r="AT139" i="2"/>
  <c r="AU139" i="2"/>
  <c r="B140" i="2"/>
  <c r="C140" i="2"/>
  <c r="D140" i="2"/>
  <c r="E140" i="2"/>
  <c r="M140" i="2"/>
  <c r="N140" i="2"/>
  <c r="O140" i="2"/>
  <c r="Q140" i="2"/>
  <c r="R140" i="2"/>
  <c r="S140" i="2"/>
  <c r="T140" i="2"/>
  <c r="U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AJ140" i="2"/>
  <c r="AK140" i="2"/>
  <c r="AQ140" i="2"/>
  <c r="AR140" i="2"/>
  <c r="AS140" i="2"/>
  <c r="AT140" i="2"/>
  <c r="AU140" i="2"/>
  <c r="B141" i="2"/>
  <c r="C141" i="2"/>
  <c r="D141" i="2"/>
  <c r="E141" i="2"/>
  <c r="M141" i="2"/>
  <c r="N141" i="2"/>
  <c r="O141" i="2"/>
  <c r="Q141" i="2"/>
  <c r="R141" i="2"/>
  <c r="S141" i="2"/>
  <c r="T141" i="2"/>
  <c r="U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AJ141" i="2"/>
  <c r="AK141" i="2"/>
  <c r="AQ141" i="2"/>
  <c r="AR141" i="2"/>
  <c r="AS141" i="2"/>
  <c r="AT141" i="2"/>
  <c r="AU141" i="2"/>
  <c r="B142" i="2"/>
  <c r="C142" i="2"/>
  <c r="D142" i="2"/>
  <c r="E142" i="2"/>
  <c r="M142" i="2"/>
  <c r="N142" i="2"/>
  <c r="O142" i="2"/>
  <c r="Q142" i="2"/>
  <c r="R142" i="2"/>
  <c r="S142" i="2"/>
  <c r="T142" i="2"/>
  <c r="U142" i="2"/>
  <c r="W142" i="2"/>
  <c r="X142" i="2"/>
  <c r="Y142" i="2"/>
  <c r="Z142" i="2"/>
  <c r="AA142" i="2"/>
  <c r="AB142" i="2"/>
  <c r="AC142" i="2"/>
  <c r="AD142" i="2"/>
  <c r="AE142" i="2"/>
  <c r="AF142" i="2"/>
  <c r="AG142" i="2"/>
  <c r="AH142" i="2"/>
  <c r="AI142" i="2"/>
  <c r="AJ142" i="2"/>
  <c r="AK142" i="2"/>
  <c r="AQ142" i="2"/>
  <c r="AR142" i="2"/>
  <c r="AS142" i="2"/>
  <c r="AT142" i="2"/>
  <c r="AU142" i="2"/>
  <c r="B143" i="2"/>
  <c r="C143" i="2"/>
  <c r="D143" i="2"/>
  <c r="E143" i="2"/>
  <c r="M143" i="2"/>
  <c r="N143" i="2"/>
  <c r="O143" i="2"/>
  <c r="Q143" i="2"/>
  <c r="R143" i="2"/>
  <c r="S143" i="2"/>
  <c r="T143" i="2"/>
  <c r="U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AJ143" i="2"/>
  <c r="AK143" i="2"/>
  <c r="AQ143" i="2"/>
  <c r="AR143" i="2"/>
  <c r="AS143" i="2"/>
  <c r="AT143" i="2"/>
  <c r="AU143" i="2"/>
  <c r="B144" i="2"/>
  <c r="C144" i="2"/>
  <c r="D144" i="2"/>
  <c r="E144" i="2"/>
  <c r="M144" i="2"/>
  <c r="N144" i="2"/>
  <c r="O144" i="2"/>
  <c r="Q144" i="2"/>
  <c r="R144" i="2"/>
  <c r="S144" i="2"/>
  <c r="T144" i="2"/>
  <c r="U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AJ144" i="2"/>
  <c r="AK144" i="2"/>
  <c r="AQ144" i="2"/>
  <c r="AR144" i="2"/>
  <c r="AS144" i="2"/>
  <c r="AT144" i="2"/>
  <c r="AU144" i="2"/>
  <c r="B145" i="2"/>
  <c r="C145" i="2"/>
  <c r="D145" i="2"/>
  <c r="E145" i="2"/>
  <c r="M145" i="2"/>
  <c r="N145" i="2"/>
  <c r="O145" i="2"/>
  <c r="Q145" i="2"/>
  <c r="R145" i="2"/>
  <c r="S145" i="2"/>
  <c r="T145" i="2"/>
  <c r="U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AJ145" i="2"/>
  <c r="AK145" i="2"/>
  <c r="AQ145" i="2"/>
  <c r="AR145" i="2"/>
  <c r="AS145" i="2"/>
  <c r="AT145" i="2"/>
  <c r="AU145" i="2"/>
  <c r="B146" i="2"/>
  <c r="C146" i="2"/>
  <c r="D146" i="2"/>
  <c r="E146" i="2"/>
  <c r="M146" i="2"/>
  <c r="N146" i="2"/>
  <c r="O146" i="2"/>
  <c r="Q146" i="2"/>
  <c r="R146" i="2"/>
  <c r="S146" i="2"/>
  <c r="T146" i="2"/>
  <c r="U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AJ146" i="2"/>
  <c r="AK146" i="2"/>
  <c r="AQ146" i="2"/>
  <c r="AR146" i="2"/>
  <c r="AS146" i="2"/>
  <c r="AT146" i="2"/>
  <c r="AU146" i="2"/>
  <c r="B147" i="2"/>
  <c r="C147" i="2"/>
  <c r="D147" i="2"/>
  <c r="E147" i="2"/>
  <c r="M147" i="2"/>
  <c r="N147" i="2"/>
  <c r="O147" i="2"/>
  <c r="Q147" i="2"/>
  <c r="R147" i="2"/>
  <c r="S147" i="2"/>
  <c r="T147" i="2"/>
  <c r="U147" i="2"/>
  <c r="W147" i="2"/>
  <c r="X147" i="2"/>
  <c r="Y147" i="2"/>
  <c r="Z147" i="2"/>
  <c r="AA147" i="2"/>
  <c r="AB147" i="2"/>
  <c r="AC147" i="2"/>
  <c r="AD147" i="2"/>
  <c r="AE147" i="2"/>
  <c r="AF147" i="2"/>
  <c r="AG147" i="2"/>
  <c r="AH147" i="2"/>
  <c r="AI147" i="2"/>
  <c r="AJ147" i="2"/>
  <c r="AK147" i="2"/>
  <c r="AQ147" i="2"/>
  <c r="AR147" i="2"/>
  <c r="AS147" i="2"/>
  <c r="AT147" i="2"/>
  <c r="AU147" i="2"/>
  <c r="B148" i="2"/>
  <c r="C148" i="2"/>
  <c r="D148" i="2"/>
  <c r="E148" i="2"/>
  <c r="M148" i="2"/>
  <c r="N148" i="2"/>
  <c r="O148" i="2"/>
  <c r="Q148" i="2"/>
  <c r="R148" i="2"/>
  <c r="S148" i="2"/>
  <c r="T148" i="2"/>
  <c r="U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AJ148" i="2"/>
  <c r="AK148" i="2"/>
  <c r="AQ148" i="2"/>
  <c r="AR148" i="2"/>
  <c r="AS148" i="2"/>
  <c r="AT148" i="2"/>
  <c r="AU148" i="2"/>
  <c r="B149" i="2"/>
  <c r="C149" i="2"/>
  <c r="D149" i="2"/>
  <c r="E149" i="2"/>
  <c r="M149" i="2"/>
  <c r="N149" i="2"/>
  <c r="O149" i="2"/>
  <c r="Q149" i="2"/>
  <c r="R149" i="2"/>
  <c r="S149" i="2"/>
  <c r="T149" i="2"/>
  <c r="U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AJ149" i="2"/>
  <c r="AK149" i="2"/>
  <c r="AQ149" i="2"/>
  <c r="AR149" i="2"/>
  <c r="AS149" i="2"/>
  <c r="AT149" i="2"/>
  <c r="AU149" i="2"/>
  <c r="B150" i="2"/>
  <c r="C150" i="2"/>
  <c r="D150" i="2"/>
  <c r="E150" i="2"/>
  <c r="M150" i="2"/>
  <c r="N150" i="2"/>
  <c r="O150" i="2"/>
  <c r="Q150" i="2"/>
  <c r="R150" i="2"/>
  <c r="S150" i="2"/>
  <c r="T150" i="2"/>
  <c r="U150" i="2"/>
  <c r="W150" i="2"/>
  <c r="X150" i="2"/>
  <c r="Y150" i="2"/>
  <c r="Z150" i="2"/>
  <c r="AA150" i="2"/>
  <c r="AB150" i="2"/>
  <c r="AC150" i="2"/>
  <c r="AD150" i="2"/>
  <c r="AE150" i="2"/>
  <c r="AF150" i="2"/>
  <c r="AG150" i="2"/>
  <c r="AH150" i="2"/>
  <c r="AI150" i="2"/>
  <c r="AJ150" i="2"/>
  <c r="AK150" i="2"/>
  <c r="AQ150" i="2"/>
  <c r="AR150" i="2"/>
  <c r="AS150" i="2"/>
  <c r="AT150" i="2"/>
  <c r="AU150" i="2"/>
  <c r="B151" i="2"/>
  <c r="C151" i="2"/>
  <c r="D151" i="2"/>
  <c r="E151" i="2"/>
  <c r="M151" i="2"/>
  <c r="N151" i="2"/>
  <c r="O151" i="2"/>
  <c r="Q151" i="2"/>
  <c r="R151" i="2"/>
  <c r="S151" i="2"/>
  <c r="T151" i="2"/>
  <c r="U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AJ151" i="2"/>
  <c r="AK151" i="2"/>
  <c r="AQ151" i="2"/>
  <c r="AR151" i="2"/>
  <c r="AS151" i="2"/>
  <c r="AT151" i="2"/>
  <c r="AU151" i="2"/>
  <c r="B152" i="2"/>
  <c r="C152" i="2"/>
  <c r="D152" i="2"/>
  <c r="E152" i="2"/>
  <c r="M152" i="2"/>
  <c r="N152" i="2"/>
  <c r="O152" i="2"/>
  <c r="Q152" i="2"/>
  <c r="R152" i="2"/>
  <c r="S152" i="2"/>
  <c r="T152" i="2"/>
  <c r="U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AJ152" i="2"/>
  <c r="AK152" i="2"/>
  <c r="AQ152" i="2"/>
  <c r="AR152" i="2"/>
  <c r="AS152" i="2"/>
  <c r="AT152" i="2"/>
  <c r="AU152" i="2"/>
  <c r="B153" i="2"/>
  <c r="C153" i="2"/>
  <c r="D153" i="2"/>
  <c r="E153" i="2"/>
  <c r="M153" i="2"/>
  <c r="N153" i="2"/>
  <c r="O153" i="2"/>
  <c r="Q153" i="2"/>
  <c r="R153" i="2"/>
  <c r="S153" i="2"/>
  <c r="T153" i="2"/>
  <c r="U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AJ153" i="2"/>
  <c r="AK153" i="2"/>
  <c r="AQ153" i="2"/>
  <c r="AR153" i="2"/>
  <c r="AS153" i="2"/>
  <c r="AT153" i="2"/>
  <c r="AU153" i="2"/>
  <c r="B154" i="2"/>
  <c r="C154" i="2"/>
  <c r="D154" i="2"/>
  <c r="E154" i="2"/>
  <c r="M154" i="2"/>
  <c r="N154" i="2"/>
  <c r="O154" i="2"/>
  <c r="Q154" i="2"/>
  <c r="R154" i="2"/>
  <c r="S154" i="2"/>
  <c r="T154" i="2"/>
  <c r="U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J154" i="2"/>
  <c r="AK154" i="2"/>
  <c r="AQ154" i="2"/>
  <c r="AR154" i="2"/>
  <c r="AS154" i="2"/>
  <c r="AT154" i="2"/>
  <c r="AU154" i="2"/>
  <c r="B155" i="2"/>
  <c r="C155" i="2"/>
  <c r="D155" i="2"/>
  <c r="E155" i="2"/>
  <c r="M155" i="2"/>
  <c r="N155" i="2"/>
  <c r="O155" i="2"/>
  <c r="Q155" i="2"/>
  <c r="R155" i="2"/>
  <c r="S155" i="2"/>
  <c r="T155" i="2"/>
  <c r="U155" i="2"/>
  <c r="W155" i="2"/>
  <c r="X155" i="2"/>
  <c r="Y155" i="2"/>
  <c r="Z155" i="2"/>
  <c r="AA155" i="2"/>
  <c r="AB155" i="2"/>
  <c r="AC155" i="2"/>
  <c r="AD155" i="2"/>
  <c r="AE155" i="2"/>
  <c r="AF155" i="2"/>
  <c r="AG155" i="2"/>
  <c r="AH155" i="2"/>
  <c r="AI155" i="2"/>
  <c r="AJ155" i="2"/>
  <c r="AK155" i="2"/>
  <c r="AQ155" i="2"/>
  <c r="AR155" i="2"/>
  <c r="AS155" i="2"/>
  <c r="AT155" i="2"/>
  <c r="AU155" i="2"/>
  <c r="B156" i="2"/>
  <c r="C156" i="2"/>
  <c r="D156" i="2"/>
  <c r="E156" i="2"/>
  <c r="M156" i="2"/>
  <c r="N156" i="2"/>
  <c r="O156" i="2"/>
  <c r="Q156" i="2"/>
  <c r="R156" i="2"/>
  <c r="S156" i="2"/>
  <c r="T156" i="2"/>
  <c r="U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AJ156" i="2"/>
  <c r="AK156" i="2"/>
  <c r="AQ156" i="2"/>
  <c r="AR156" i="2"/>
  <c r="AS156" i="2"/>
  <c r="AT156" i="2"/>
  <c r="AU156" i="2"/>
  <c r="B157" i="2"/>
  <c r="C157" i="2"/>
  <c r="D157" i="2"/>
  <c r="E157" i="2"/>
  <c r="M157" i="2"/>
  <c r="N157" i="2"/>
  <c r="O157" i="2"/>
  <c r="Q157" i="2"/>
  <c r="R157" i="2"/>
  <c r="S157" i="2"/>
  <c r="T157" i="2"/>
  <c r="U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AJ157" i="2"/>
  <c r="AK157" i="2"/>
  <c r="AQ157" i="2"/>
  <c r="AR157" i="2"/>
  <c r="AS157" i="2"/>
  <c r="AT157" i="2"/>
  <c r="AU157" i="2"/>
  <c r="B158" i="2"/>
  <c r="C158" i="2"/>
  <c r="D158" i="2"/>
  <c r="E158" i="2"/>
  <c r="M158" i="2"/>
  <c r="N158" i="2"/>
  <c r="O158" i="2"/>
  <c r="Q158" i="2"/>
  <c r="R158" i="2"/>
  <c r="S158" i="2"/>
  <c r="T158" i="2"/>
  <c r="U158" i="2"/>
  <c r="W158" i="2"/>
  <c r="X158" i="2"/>
  <c r="Y158" i="2"/>
  <c r="Z158" i="2"/>
  <c r="AA158" i="2"/>
  <c r="AB158" i="2"/>
  <c r="AC158" i="2"/>
  <c r="AD158" i="2"/>
  <c r="AE158" i="2"/>
  <c r="AF158" i="2"/>
  <c r="AG158" i="2"/>
  <c r="AH158" i="2"/>
  <c r="AI158" i="2"/>
  <c r="AJ158" i="2"/>
  <c r="AK158" i="2"/>
  <c r="AQ158" i="2"/>
  <c r="AR158" i="2"/>
  <c r="AS158" i="2"/>
  <c r="AT158" i="2"/>
  <c r="AU158" i="2"/>
  <c r="B159" i="2"/>
  <c r="C159" i="2"/>
  <c r="D159" i="2"/>
  <c r="E159" i="2"/>
  <c r="M159" i="2"/>
  <c r="N159" i="2"/>
  <c r="O159" i="2"/>
  <c r="Q159" i="2"/>
  <c r="R159" i="2"/>
  <c r="S159" i="2"/>
  <c r="T159" i="2"/>
  <c r="U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AJ159" i="2"/>
  <c r="AK159" i="2"/>
  <c r="AQ159" i="2"/>
  <c r="AR159" i="2"/>
  <c r="AS159" i="2"/>
  <c r="AT159" i="2"/>
  <c r="AU159" i="2"/>
  <c r="B160" i="2"/>
  <c r="C160" i="2"/>
  <c r="D160" i="2"/>
  <c r="E160" i="2"/>
  <c r="M160" i="2"/>
  <c r="N160" i="2"/>
  <c r="O160" i="2"/>
  <c r="Q160" i="2"/>
  <c r="R160" i="2"/>
  <c r="S160" i="2"/>
  <c r="T160" i="2"/>
  <c r="U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AJ160" i="2"/>
  <c r="AK160" i="2"/>
  <c r="AQ160" i="2"/>
  <c r="AR160" i="2"/>
  <c r="AS160" i="2"/>
  <c r="AT160" i="2"/>
  <c r="AU160" i="2"/>
  <c r="B161" i="2"/>
  <c r="C161" i="2"/>
  <c r="D161" i="2"/>
  <c r="E161" i="2"/>
  <c r="M161" i="2"/>
  <c r="N161" i="2"/>
  <c r="O161" i="2"/>
  <c r="Q161" i="2"/>
  <c r="R161" i="2"/>
  <c r="S161" i="2"/>
  <c r="T161" i="2"/>
  <c r="U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AJ161" i="2"/>
  <c r="AK161" i="2"/>
  <c r="AQ161" i="2"/>
  <c r="AR161" i="2"/>
  <c r="AS161" i="2"/>
  <c r="AT161" i="2"/>
  <c r="AU161" i="2"/>
  <c r="B162" i="2"/>
  <c r="C162" i="2"/>
  <c r="D162" i="2"/>
  <c r="E162" i="2"/>
  <c r="M162" i="2"/>
  <c r="N162" i="2"/>
  <c r="O162" i="2"/>
  <c r="Q162" i="2"/>
  <c r="R162" i="2"/>
  <c r="S162" i="2"/>
  <c r="T162" i="2"/>
  <c r="U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J162" i="2"/>
  <c r="AK162" i="2"/>
  <c r="AQ162" i="2"/>
  <c r="AR162" i="2"/>
  <c r="AS162" i="2"/>
  <c r="AT162" i="2"/>
  <c r="AU162" i="2"/>
  <c r="B163" i="2"/>
  <c r="C163" i="2"/>
  <c r="D163" i="2"/>
  <c r="E163" i="2"/>
  <c r="M163" i="2"/>
  <c r="N163" i="2"/>
  <c r="O163" i="2"/>
  <c r="Q163" i="2"/>
  <c r="R163" i="2"/>
  <c r="S163" i="2"/>
  <c r="T163" i="2"/>
  <c r="U163" i="2"/>
  <c r="W163" i="2"/>
  <c r="X163" i="2"/>
  <c r="Y163" i="2"/>
  <c r="Z163" i="2"/>
  <c r="AA163" i="2"/>
  <c r="AB163" i="2"/>
  <c r="AC163" i="2"/>
  <c r="AD163" i="2"/>
  <c r="AE163" i="2"/>
  <c r="AF163" i="2"/>
  <c r="AG163" i="2"/>
  <c r="AH163" i="2"/>
  <c r="AI163" i="2"/>
  <c r="AJ163" i="2"/>
  <c r="AK163" i="2"/>
  <c r="AQ163" i="2"/>
  <c r="AR163" i="2"/>
  <c r="AS163" i="2"/>
  <c r="AT163" i="2"/>
  <c r="AU163" i="2"/>
  <c r="B164" i="2"/>
  <c r="C164" i="2"/>
  <c r="D164" i="2"/>
  <c r="E164" i="2"/>
  <c r="M164" i="2"/>
  <c r="N164" i="2"/>
  <c r="O164" i="2"/>
  <c r="Q164" i="2"/>
  <c r="R164" i="2"/>
  <c r="S164" i="2"/>
  <c r="T164" i="2"/>
  <c r="U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AJ164" i="2"/>
  <c r="AK164" i="2"/>
  <c r="AQ164" i="2"/>
  <c r="AR164" i="2"/>
  <c r="AS164" i="2"/>
  <c r="AT164" i="2"/>
  <c r="AU164" i="2"/>
  <c r="B165" i="2"/>
  <c r="C165" i="2"/>
  <c r="D165" i="2"/>
  <c r="E165" i="2"/>
  <c r="M165" i="2"/>
  <c r="N165" i="2"/>
  <c r="O165" i="2"/>
  <c r="Q165" i="2"/>
  <c r="R165" i="2"/>
  <c r="S165" i="2"/>
  <c r="T165" i="2"/>
  <c r="U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AJ165" i="2"/>
  <c r="AK165" i="2"/>
  <c r="AQ165" i="2"/>
  <c r="AR165" i="2"/>
  <c r="AS165" i="2"/>
  <c r="AT165" i="2"/>
  <c r="AU165" i="2"/>
  <c r="B166" i="2"/>
  <c r="C166" i="2"/>
  <c r="D166" i="2"/>
  <c r="E166" i="2"/>
  <c r="M166" i="2"/>
  <c r="N166" i="2"/>
  <c r="O166" i="2"/>
  <c r="Q166" i="2"/>
  <c r="R166" i="2"/>
  <c r="S166" i="2"/>
  <c r="T166" i="2"/>
  <c r="U166" i="2"/>
  <c r="W166" i="2"/>
  <c r="X166" i="2"/>
  <c r="Y166" i="2"/>
  <c r="Z166" i="2"/>
  <c r="AA166" i="2"/>
  <c r="AB166" i="2"/>
  <c r="AC166" i="2"/>
  <c r="AD166" i="2"/>
  <c r="AE166" i="2"/>
  <c r="AF166" i="2"/>
  <c r="AG166" i="2"/>
  <c r="AH166" i="2"/>
  <c r="AI166" i="2"/>
  <c r="AJ166" i="2"/>
  <c r="AK166" i="2"/>
  <c r="AQ166" i="2"/>
  <c r="AR166" i="2"/>
  <c r="AS166" i="2"/>
  <c r="AT166" i="2"/>
  <c r="AU166" i="2"/>
  <c r="B167" i="2"/>
  <c r="C167" i="2"/>
  <c r="D167" i="2"/>
  <c r="E167" i="2"/>
  <c r="M167" i="2"/>
  <c r="N167" i="2"/>
  <c r="O167" i="2"/>
  <c r="Q167" i="2"/>
  <c r="R167" i="2"/>
  <c r="S167" i="2"/>
  <c r="T167" i="2"/>
  <c r="U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AJ167" i="2"/>
  <c r="AK167" i="2"/>
  <c r="AQ167" i="2"/>
  <c r="AR167" i="2"/>
  <c r="AS167" i="2"/>
  <c r="AT167" i="2"/>
  <c r="AU167" i="2"/>
  <c r="B168" i="2"/>
  <c r="C168" i="2"/>
  <c r="D168" i="2"/>
  <c r="E168" i="2"/>
  <c r="M168" i="2"/>
  <c r="N168" i="2"/>
  <c r="O168" i="2"/>
  <c r="Q168" i="2"/>
  <c r="R168" i="2"/>
  <c r="S168" i="2"/>
  <c r="T168" i="2"/>
  <c r="U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AJ168" i="2"/>
  <c r="AK168" i="2"/>
  <c r="AQ168" i="2"/>
  <c r="AR168" i="2"/>
  <c r="AS168" i="2"/>
  <c r="AT168" i="2"/>
  <c r="AU168" i="2"/>
  <c r="B169" i="2"/>
  <c r="C169" i="2"/>
  <c r="D169" i="2"/>
  <c r="E169" i="2"/>
  <c r="M169" i="2"/>
  <c r="N169" i="2"/>
  <c r="O169" i="2"/>
  <c r="Q169" i="2"/>
  <c r="R169" i="2"/>
  <c r="S169" i="2"/>
  <c r="T169" i="2"/>
  <c r="U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AJ169" i="2"/>
  <c r="AK169" i="2"/>
  <c r="AQ169" i="2"/>
  <c r="AR169" i="2"/>
  <c r="AS169" i="2"/>
  <c r="AT169" i="2"/>
  <c r="AU169" i="2"/>
  <c r="B170" i="2"/>
  <c r="C170" i="2"/>
  <c r="D170" i="2"/>
  <c r="E170" i="2"/>
  <c r="M170" i="2"/>
  <c r="N170" i="2"/>
  <c r="O170" i="2"/>
  <c r="Q170" i="2"/>
  <c r="R170" i="2"/>
  <c r="S170" i="2"/>
  <c r="T170" i="2"/>
  <c r="U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AJ170" i="2"/>
  <c r="AK170" i="2"/>
  <c r="AQ170" i="2"/>
  <c r="AR170" i="2"/>
  <c r="AS170" i="2"/>
  <c r="AT170" i="2"/>
  <c r="AU170" i="2"/>
  <c r="B171" i="2"/>
  <c r="C171" i="2"/>
  <c r="D171" i="2"/>
  <c r="E171" i="2"/>
  <c r="M171" i="2"/>
  <c r="N171" i="2"/>
  <c r="O171" i="2"/>
  <c r="Q171" i="2"/>
  <c r="R171" i="2"/>
  <c r="S171" i="2"/>
  <c r="T171" i="2"/>
  <c r="U171" i="2"/>
  <c r="W171" i="2"/>
  <c r="X171" i="2"/>
  <c r="Y171" i="2"/>
  <c r="Z171" i="2"/>
  <c r="AA171" i="2"/>
  <c r="AB171" i="2"/>
  <c r="AC171" i="2"/>
  <c r="AD171" i="2"/>
  <c r="AE171" i="2"/>
  <c r="AF171" i="2"/>
  <c r="AG171" i="2"/>
  <c r="AH171" i="2"/>
  <c r="AI171" i="2"/>
  <c r="AJ171" i="2"/>
  <c r="AK171" i="2"/>
  <c r="AQ171" i="2"/>
  <c r="AR171" i="2"/>
  <c r="AS171" i="2"/>
  <c r="AT171" i="2"/>
  <c r="AU171" i="2"/>
  <c r="B172" i="2"/>
  <c r="C172" i="2"/>
  <c r="D172" i="2"/>
  <c r="E172" i="2"/>
  <c r="M172" i="2"/>
  <c r="N172" i="2"/>
  <c r="O172" i="2"/>
  <c r="Q172" i="2"/>
  <c r="R172" i="2"/>
  <c r="S172" i="2"/>
  <c r="T172" i="2"/>
  <c r="U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AJ172" i="2"/>
  <c r="AK172" i="2"/>
  <c r="AQ172" i="2"/>
  <c r="AR172" i="2"/>
  <c r="AS172" i="2"/>
  <c r="AT172" i="2"/>
  <c r="AU172" i="2"/>
  <c r="B173" i="2"/>
  <c r="C173" i="2"/>
  <c r="D173" i="2"/>
  <c r="E173" i="2"/>
  <c r="M173" i="2"/>
  <c r="N173" i="2"/>
  <c r="O173" i="2"/>
  <c r="Q173" i="2"/>
  <c r="R173" i="2"/>
  <c r="S173" i="2"/>
  <c r="T173" i="2"/>
  <c r="U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AJ173" i="2"/>
  <c r="AK173" i="2"/>
  <c r="AQ173" i="2"/>
  <c r="AR173" i="2"/>
  <c r="AS173" i="2"/>
  <c r="AT173" i="2"/>
  <c r="AU173" i="2"/>
  <c r="B174" i="2"/>
  <c r="C174" i="2"/>
  <c r="D174" i="2"/>
  <c r="E174" i="2"/>
  <c r="M174" i="2"/>
  <c r="N174" i="2"/>
  <c r="O174" i="2"/>
  <c r="Q174" i="2"/>
  <c r="R174" i="2"/>
  <c r="S174" i="2"/>
  <c r="T174" i="2"/>
  <c r="U174" i="2"/>
  <c r="W174" i="2"/>
  <c r="X174" i="2"/>
  <c r="Y174" i="2"/>
  <c r="Z174" i="2"/>
  <c r="AA174" i="2"/>
  <c r="AB174" i="2"/>
  <c r="AC174" i="2"/>
  <c r="AD174" i="2"/>
  <c r="AE174" i="2"/>
  <c r="AF174" i="2"/>
  <c r="AG174" i="2"/>
  <c r="AH174" i="2"/>
  <c r="AI174" i="2"/>
  <c r="AJ174" i="2"/>
  <c r="AK174" i="2"/>
  <c r="AQ174" i="2"/>
  <c r="AR174" i="2"/>
  <c r="AS174" i="2"/>
  <c r="AT174" i="2"/>
  <c r="AU174" i="2"/>
  <c r="B175" i="2"/>
  <c r="C175" i="2"/>
  <c r="D175" i="2"/>
  <c r="E175" i="2"/>
  <c r="M175" i="2"/>
  <c r="N175" i="2"/>
  <c r="O175" i="2"/>
  <c r="Q175" i="2"/>
  <c r="R175" i="2"/>
  <c r="S175" i="2"/>
  <c r="T175" i="2"/>
  <c r="U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AJ175" i="2"/>
  <c r="AK175" i="2"/>
  <c r="AQ175" i="2"/>
  <c r="AR175" i="2"/>
  <c r="AS175" i="2"/>
  <c r="AT175" i="2"/>
  <c r="AU175" i="2"/>
  <c r="B176" i="2"/>
  <c r="C176" i="2"/>
  <c r="D176" i="2"/>
  <c r="E176" i="2"/>
  <c r="M176" i="2"/>
  <c r="N176" i="2"/>
  <c r="O176" i="2"/>
  <c r="Q176" i="2"/>
  <c r="R176" i="2"/>
  <c r="S176" i="2"/>
  <c r="T176" i="2"/>
  <c r="U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AJ176" i="2"/>
  <c r="AK176" i="2"/>
  <c r="AQ176" i="2"/>
  <c r="AR176" i="2"/>
  <c r="AS176" i="2"/>
  <c r="AT176" i="2"/>
  <c r="AU176" i="2"/>
  <c r="B177" i="2"/>
  <c r="C177" i="2"/>
  <c r="D177" i="2"/>
  <c r="E177" i="2"/>
  <c r="M177" i="2"/>
  <c r="N177" i="2"/>
  <c r="O177" i="2"/>
  <c r="Q177" i="2"/>
  <c r="R177" i="2"/>
  <c r="S177" i="2"/>
  <c r="T177" i="2"/>
  <c r="U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AJ177" i="2"/>
  <c r="AK177" i="2"/>
  <c r="AQ177" i="2"/>
  <c r="AR177" i="2"/>
  <c r="AS177" i="2"/>
  <c r="AT177" i="2"/>
  <c r="AU177" i="2"/>
  <c r="B178" i="2"/>
  <c r="C178" i="2"/>
  <c r="D178" i="2"/>
  <c r="E178" i="2"/>
  <c r="M178" i="2"/>
  <c r="N178" i="2"/>
  <c r="O178" i="2"/>
  <c r="Q178" i="2"/>
  <c r="R178" i="2"/>
  <c r="S178" i="2"/>
  <c r="T178" i="2"/>
  <c r="U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AJ178" i="2"/>
  <c r="AK178" i="2"/>
  <c r="AQ178" i="2"/>
  <c r="AR178" i="2"/>
  <c r="AS178" i="2"/>
  <c r="AT178" i="2"/>
  <c r="AU178" i="2"/>
  <c r="B179" i="2"/>
  <c r="C179" i="2"/>
  <c r="D179" i="2"/>
  <c r="E179" i="2"/>
  <c r="M179" i="2"/>
  <c r="N179" i="2"/>
  <c r="O179" i="2"/>
  <c r="Q179" i="2"/>
  <c r="R179" i="2"/>
  <c r="S179" i="2"/>
  <c r="T179" i="2"/>
  <c r="U179" i="2"/>
  <c r="W179" i="2"/>
  <c r="X179" i="2"/>
  <c r="Y179" i="2"/>
  <c r="Z179" i="2"/>
  <c r="AA179" i="2"/>
  <c r="AB179" i="2"/>
  <c r="AC179" i="2"/>
  <c r="AD179" i="2"/>
  <c r="AE179" i="2"/>
  <c r="AF179" i="2"/>
  <c r="AG179" i="2"/>
  <c r="AH179" i="2"/>
  <c r="AI179" i="2"/>
  <c r="AJ179" i="2"/>
  <c r="AK179" i="2"/>
  <c r="AQ179" i="2"/>
  <c r="AR179" i="2"/>
  <c r="AS179" i="2"/>
  <c r="AT179" i="2"/>
  <c r="AU179" i="2"/>
  <c r="B180" i="2"/>
  <c r="C180" i="2"/>
  <c r="D180" i="2"/>
  <c r="E180" i="2"/>
  <c r="M180" i="2"/>
  <c r="N180" i="2"/>
  <c r="O180" i="2"/>
  <c r="Q180" i="2"/>
  <c r="R180" i="2"/>
  <c r="S180" i="2"/>
  <c r="T180" i="2"/>
  <c r="U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AJ180" i="2"/>
  <c r="AK180" i="2"/>
  <c r="AQ180" i="2"/>
  <c r="AR180" i="2"/>
  <c r="AS180" i="2"/>
  <c r="AT180" i="2"/>
  <c r="AU180" i="2"/>
  <c r="B181" i="2"/>
  <c r="C181" i="2"/>
  <c r="D181" i="2"/>
  <c r="E181" i="2"/>
  <c r="M181" i="2"/>
  <c r="N181" i="2"/>
  <c r="O181" i="2"/>
  <c r="Q181" i="2"/>
  <c r="R181" i="2"/>
  <c r="S181" i="2"/>
  <c r="T181" i="2"/>
  <c r="U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AJ181" i="2"/>
  <c r="AK181" i="2"/>
  <c r="AQ181" i="2"/>
  <c r="AR181" i="2"/>
  <c r="AS181" i="2"/>
  <c r="AT181" i="2"/>
  <c r="AU181" i="2"/>
  <c r="B182" i="2"/>
  <c r="C182" i="2"/>
  <c r="D182" i="2"/>
  <c r="E182" i="2"/>
  <c r="M182" i="2"/>
  <c r="N182" i="2"/>
  <c r="O182" i="2"/>
  <c r="Q182" i="2"/>
  <c r="R182" i="2"/>
  <c r="S182" i="2"/>
  <c r="T182" i="2"/>
  <c r="U182" i="2"/>
  <c r="W182" i="2"/>
  <c r="X182" i="2"/>
  <c r="Y182" i="2"/>
  <c r="Z182" i="2"/>
  <c r="AA182" i="2"/>
  <c r="AB182" i="2"/>
  <c r="AC182" i="2"/>
  <c r="AD182" i="2"/>
  <c r="AE182" i="2"/>
  <c r="AF182" i="2"/>
  <c r="AG182" i="2"/>
  <c r="AH182" i="2"/>
  <c r="AI182" i="2"/>
  <c r="AJ182" i="2"/>
  <c r="AK182" i="2"/>
  <c r="AQ182" i="2"/>
  <c r="AR182" i="2"/>
  <c r="AS182" i="2"/>
  <c r="AT182" i="2"/>
  <c r="AU182" i="2"/>
  <c r="B183" i="2"/>
  <c r="C183" i="2"/>
  <c r="D183" i="2"/>
  <c r="E183" i="2"/>
  <c r="M183" i="2"/>
  <c r="N183" i="2"/>
  <c r="O183" i="2"/>
  <c r="Q183" i="2"/>
  <c r="R183" i="2"/>
  <c r="S183" i="2"/>
  <c r="T183" i="2"/>
  <c r="U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AJ183" i="2"/>
  <c r="AK183" i="2"/>
  <c r="AQ183" i="2"/>
  <c r="AR183" i="2"/>
  <c r="AS183" i="2"/>
  <c r="AT183" i="2"/>
  <c r="AU183" i="2"/>
  <c r="B184" i="2"/>
  <c r="C184" i="2"/>
  <c r="D184" i="2"/>
  <c r="E184" i="2"/>
  <c r="M184" i="2"/>
  <c r="N184" i="2"/>
  <c r="O184" i="2"/>
  <c r="Q184" i="2"/>
  <c r="R184" i="2"/>
  <c r="S184" i="2"/>
  <c r="T184" i="2"/>
  <c r="U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AJ184" i="2"/>
  <c r="AK184" i="2"/>
  <c r="AQ184" i="2"/>
  <c r="AR184" i="2"/>
  <c r="AS184" i="2"/>
  <c r="AT184" i="2"/>
  <c r="AU184" i="2"/>
  <c r="B185" i="2"/>
  <c r="C185" i="2"/>
  <c r="D185" i="2"/>
  <c r="E185" i="2"/>
  <c r="M185" i="2"/>
  <c r="N185" i="2"/>
  <c r="O185" i="2"/>
  <c r="Q185" i="2"/>
  <c r="R185" i="2"/>
  <c r="S185" i="2"/>
  <c r="T185" i="2"/>
  <c r="U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AJ185" i="2"/>
  <c r="AK185" i="2"/>
  <c r="AQ185" i="2"/>
  <c r="AR185" i="2"/>
  <c r="AS185" i="2"/>
  <c r="AT185" i="2"/>
  <c r="AU185" i="2"/>
  <c r="B186" i="2"/>
  <c r="C186" i="2"/>
  <c r="D186" i="2"/>
  <c r="E186" i="2"/>
  <c r="M186" i="2"/>
  <c r="N186" i="2"/>
  <c r="O186" i="2"/>
  <c r="Q186" i="2"/>
  <c r="R186" i="2"/>
  <c r="S186" i="2"/>
  <c r="T186" i="2"/>
  <c r="U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AJ186" i="2"/>
  <c r="AK186" i="2"/>
  <c r="AQ186" i="2"/>
  <c r="AR186" i="2"/>
  <c r="AS186" i="2"/>
  <c r="AT186" i="2"/>
  <c r="AU186" i="2"/>
  <c r="B187" i="2"/>
  <c r="C187" i="2"/>
  <c r="D187" i="2"/>
  <c r="E187" i="2"/>
  <c r="M187" i="2"/>
  <c r="N187" i="2"/>
  <c r="O187" i="2"/>
  <c r="Q187" i="2"/>
  <c r="R187" i="2"/>
  <c r="S187" i="2"/>
  <c r="T187" i="2"/>
  <c r="U187" i="2"/>
  <c r="W187" i="2"/>
  <c r="X187" i="2"/>
  <c r="Y187" i="2"/>
  <c r="Z187" i="2"/>
  <c r="AA187" i="2"/>
  <c r="AB187" i="2"/>
  <c r="AC187" i="2"/>
  <c r="AD187" i="2"/>
  <c r="AE187" i="2"/>
  <c r="AF187" i="2"/>
  <c r="AG187" i="2"/>
  <c r="AH187" i="2"/>
  <c r="AI187" i="2"/>
  <c r="AJ187" i="2"/>
  <c r="AK187" i="2"/>
  <c r="AQ187" i="2"/>
  <c r="AR187" i="2"/>
  <c r="AS187" i="2"/>
  <c r="AT187" i="2"/>
  <c r="AU187" i="2"/>
  <c r="B188" i="2"/>
  <c r="C188" i="2"/>
  <c r="D188" i="2"/>
  <c r="E188" i="2"/>
  <c r="M188" i="2"/>
  <c r="N188" i="2"/>
  <c r="O188" i="2"/>
  <c r="Q188" i="2"/>
  <c r="R188" i="2"/>
  <c r="S188" i="2"/>
  <c r="T188" i="2"/>
  <c r="U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AJ188" i="2"/>
  <c r="AK188" i="2"/>
  <c r="AQ188" i="2"/>
  <c r="AR188" i="2"/>
  <c r="AS188" i="2"/>
  <c r="AT188" i="2"/>
  <c r="AU188" i="2"/>
  <c r="B189" i="2"/>
  <c r="C189" i="2"/>
  <c r="D189" i="2"/>
  <c r="E189" i="2"/>
  <c r="M189" i="2"/>
  <c r="N189" i="2"/>
  <c r="O189" i="2"/>
  <c r="Q189" i="2"/>
  <c r="R189" i="2"/>
  <c r="S189" i="2"/>
  <c r="T189" i="2"/>
  <c r="U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AJ189" i="2"/>
  <c r="AK189" i="2"/>
  <c r="AQ189" i="2"/>
  <c r="AR189" i="2"/>
  <c r="AS189" i="2"/>
  <c r="AT189" i="2"/>
  <c r="AU189" i="2"/>
  <c r="B190" i="2"/>
  <c r="C190" i="2"/>
  <c r="D190" i="2"/>
  <c r="E190" i="2"/>
  <c r="M190" i="2"/>
  <c r="N190" i="2"/>
  <c r="O190" i="2"/>
  <c r="Q190" i="2"/>
  <c r="R190" i="2"/>
  <c r="S190" i="2"/>
  <c r="T190" i="2"/>
  <c r="U190" i="2"/>
  <c r="W190" i="2"/>
  <c r="X190" i="2"/>
  <c r="Y190" i="2"/>
  <c r="Z190" i="2"/>
  <c r="AA190" i="2"/>
  <c r="AB190" i="2"/>
  <c r="AC190" i="2"/>
  <c r="AD190" i="2"/>
  <c r="AE190" i="2"/>
  <c r="AF190" i="2"/>
  <c r="AG190" i="2"/>
  <c r="AH190" i="2"/>
  <c r="AI190" i="2"/>
  <c r="AJ190" i="2"/>
  <c r="AK190" i="2"/>
  <c r="AQ190" i="2"/>
  <c r="AR190" i="2"/>
  <c r="AS190" i="2"/>
  <c r="AT190" i="2"/>
  <c r="AU190" i="2"/>
  <c r="B191" i="2"/>
  <c r="C191" i="2"/>
  <c r="D191" i="2"/>
  <c r="E191" i="2"/>
  <c r="M191" i="2"/>
  <c r="N191" i="2"/>
  <c r="O191" i="2"/>
  <c r="Q191" i="2"/>
  <c r="R191" i="2"/>
  <c r="S191" i="2"/>
  <c r="T191" i="2"/>
  <c r="U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AJ191" i="2"/>
  <c r="AK191" i="2"/>
  <c r="AQ191" i="2"/>
  <c r="AR191" i="2"/>
  <c r="AS191" i="2"/>
  <c r="AT191" i="2"/>
  <c r="AU191" i="2"/>
  <c r="B192" i="2"/>
  <c r="C192" i="2"/>
  <c r="D192" i="2"/>
  <c r="E192" i="2"/>
  <c r="M192" i="2"/>
  <c r="N192" i="2"/>
  <c r="O192" i="2"/>
  <c r="Q192" i="2"/>
  <c r="R192" i="2"/>
  <c r="S192" i="2"/>
  <c r="T192" i="2"/>
  <c r="U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AJ192" i="2"/>
  <c r="AK192" i="2"/>
  <c r="AQ192" i="2"/>
  <c r="AR192" i="2"/>
  <c r="AS192" i="2"/>
  <c r="AT192" i="2"/>
  <c r="AU192" i="2"/>
  <c r="B193" i="2"/>
  <c r="C193" i="2"/>
  <c r="D193" i="2"/>
  <c r="E193" i="2"/>
  <c r="M193" i="2"/>
  <c r="N193" i="2"/>
  <c r="O193" i="2"/>
  <c r="Q193" i="2"/>
  <c r="R193" i="2"/>
  <c r="S193" i="2"/>
  <c r="T193" i="2"/>
  <c r="U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AJ193" i="2"/>
  <c r="AK193" i="2"/>
  <c r="AQ193" i="2"/>
  <c r="AR193" i="2"/>
  <c r="AS193" i="2"/>
  <c r="AT193" i="2"/>
  <c r="AU193" i="2"/>
  <c r="B194" i="2"/>
  <c r="C194" i="2"/>
  <c r="D194" i="2"/>
  <c r="E194" i="2"/>
  <c r="M194" i="2"/>
  <c r="N194" i="2"/>
  <c r="O194" i="2"/>
  <c r="Q194" i="2"/>
  <c r="R194" i="2"/>
  <c r="S194" i="2"/>
  <c r="T194" i="2"/>
  <c r="U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AJ194" i="2"/>
  <c r="AK194" i="2"/>
  <c r="AQ194" i="2"/>
  <c r="AR194" i="2"/>
  <c r="AS194" i="2"/>
  <c r="AT194" i="2"/>
  <c r="AU194" i="2"/>
  <c r="B195" i="2"/>
  <c r="C195" i="2"/>
  <c r="D195" i="2"/>
  <c r="E195" i="2"/>
  <c r="M195" i="2"/>
  <c r="N195" i="2"/>
  <c r="O195" i="2"/>
  <c r="Q195" i="2"/>
  <c r="R195" i="2"/>
  <c r="S195" i="2"/>
  <c r="T195" i="2"/>
  <c r="U195" i="2"/>
  <c r="W195" i="2"/>
  <c r="X195" i="2"/>
  <c r="Y195" i="2"/>
  <c r="Z195" i="2"/>
  <c r="AA195" i="2"/>
  <c r="AB195" i="2"/>
  <c r="AC195" i="2"/>
  <c r="AD195" i="2"/>
  <c r="AE195" i="2"/>
  <c r="AF195" i="2"/>
  <c r="AG195" i="2"/>
  <c r="AH195" i="2"/>
  <c r="AI195" i="2"/>
  <c r="AJ195" i="2"/>
  <c r="AK195" i="2"/>
  <c r="AQ195" i="2"/>
  <c r="AR195" i="2"/>
  <c r="AS195" i="2"/>
  <c r="AT195" i="2"/>
  <c r="AU195" i="2"/>
  <c r="B196" i="2"/>
  <c r="C196" i="2"/>
  <c r="D196" i="2"/>
  <c r="E196" i="2"/>
  <c r="M196" i="2"/>
  <c r="N196" i="2"/>
  <c r="O196" i="2"/>
  <c r="Q196" i="2"/>
  <c r="R196" i="2"/>
  <c r="S196" i="2"/>
  <c r="T196" i="2"/>
  <c r="U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AJ196" i="2"/>
  <c r="AK196" i="2"/>
  <c r="AQ196" i="2"/>
  <c r="AR196" i="2"/>
  <c r="AS196" i="2"/>
  <c r="AT196" i="2"/>
  <c r="AU196" i="2"/>
  <c r="B197" i="2"/>
  <c r="C197" i="2"/>
  <c r="D197" i="2"/>
  <c r="E197" i="2"/>
  <c r="M197" i="2"/>
  <c r="N197" i="2"/>
  <c r="O197" i="2"/>
  <c r="Q197" i="2"/>
  <c r="R197" i="2"/>
  <c r="S197" i="2"/>
  <c r="T197" i="2"/>
  <c r="U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AJ197" i="2"/>
  <c r="AK197" i="2"/>
  <c r="AQ197" i="2"/>
  <c r="AR197" i="2"/>
  <c r="AS197" i="2"/>
  <c r="AT197" i="2"/>
  <c r="AU197" i="2"/>
  <c r="B198" i="2"/>
  <c r="C198" i="2"/>
  <c r="D198" i="2"/>
  <c r="E198" i="2"/>
  <c r="M198" i="2"/>
  <c r="N198" i="2"/>
  <c r="O198" i="2"/>
  <c r="Q198" i="2"/>
  <c r="R198" i="2"/>
  <c r="S198" i="2"/>
  <c r="T198" i="2"/>
  <c r="U198" i="2"/>
  <c r="W198" i="2"/>
  <c r="X198" i="2"/>
  <c r="Y198" i="2"/>
  <c r="Z198" i="2"/>
  <c r="AA198" i="2"/>
  <c r="AB198" i="2"/>
  <c r="AC198" i="2"/>
  <c r="AD198" i="2"/>
  <c r="AE198" i="2"/>
  <c r="AF198" i="2"/>
  <c r="AG198" i="2"/>
  <c r="AH198" i="2"/>
  <c r="AI198" i="2"/>
  <c r="AJ198" i="2"/>
  <c r="AK198" i="2"/>
  <c r="AQ198" i="2"/>
  <c r="AR198" i="2"/>
  <c r="AS198" i="2"/>
  <c r="AT198" i="2"/>
  <c r="AU198" i="2"/>
  <c r="B199" i="2"/>
  <c r="C199" i="2"/>
  <c r="D199" i="2"/>
  <c r="E199" i="2"/>
  <c r="M199" i="2"/>
  <c r="N199" i="2"/>
  <c r="O199" i="2"/>
  <c r="Q199" i="2"/>
  <c r="R199" i="2"/>
  <c r="S199" i="2"/>
  <c r="T199" i="2"/>
  <c r="U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AJ199" i="2"/>
  <c r="AK199" i="2"/>
  <c r="AQ199" i="2"/>
  <c r="AR199" i="2"/>
  <c r="AS199" i="2"/>
  <c r="AT199" i="2"/>
  <c r="AU199" i="2"/>
  <c r="B200" i="2"/>
  <c r="C200" i="2"/>
  <c r="D200" i="2"/>
  <c r="E200" i="2"/>
  <c r="M200" i="2"/>
  <c r="N200" i="2"/>
  <c r="O200" i="2"/>
  <c r="Q200" i="2"/>
  <c r="R200" i="2"/>
  <c r="S200" i="2"/>
  <c r="T200" i="2"/>
  <c r="U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AJ200" i="2"/>
  <c r="AK200" i="2"/>
  <c r="AQ200" i="2"/>
  <c r="AR200" i="2"/>
  <c r="AS200" i="2"/>
  <c r="AT200" i="2"/>
  <c r="AU200" i="2"/>
  <c r="B201" i="2"/>
  <c r="C201" i="2"/>
  <c r="D201" i="2"/>
  <c r="E201" i="2"/>
  <c r="M201" i="2"/>
  <c r="N201" i="2"/>
  <c r="O201" i="2"/>
  <c r="Q201" i="2"/>
  <c r="R201" i="2"/>
  <c r="S201" i="2"/>
  <c r="T201" i="2"/>
  <c r="U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AJ201" i="2"/>
  <c r="AK201" i="2"/>
  <c r="AQ201" i="2"/>
  <c r="AR201" i="2"/>
  <c r="AS201" i="2"/>
  <c r="AT201" i="2"/>
  <c r="AU201" i="2"/>
  <c r="B202" i="2"/>
  <c r="C202" i="2"/>
  <c r="D202" i="2"/>
  <c r="E202" i="2"/>
  <c r="M202" i="2"/>
  <c r="N202" i="2"/>
  <c r="O202" i="2"/>
  <c r="Q202" i="2"/>
  <c r="R202" i="2"/>
  <c r="S202" i="2"/>
  <c r="T202" i="2"/>
  <c r="U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AJ202" i="2"/>
  <c r="AK202" i="2"/>
  <c r="AQ202" i="2"/>
  <c r="AR202" i="2"/>
  <c r="AS202" i="2"/>
  <c r="AT202" i="2"/>
  <c r="AU202" i="2"/>
  <c r="B203" i="2"/>
  <c r="C203" i="2"/>
  <c r="D203" i="2"/>
  <c r="E203" i="2"/>
  <c r="M203" i="2"/>
  <c r="N203" i="2"/>
  <c r="O203" i="2"/>
  <c r="Q203" i="2"/>
  <c r="R203" i="2"/>
  <c r="S203" i="2"/>
  <c r="T203" i="2"/>
  <c r="U203" i="2"/>
  <c r="W203" i="2"/>
  <c r="X203" i="2"/>
  <c r="Y203" i="2"/>
  <c r="Z203" i="2"/>
  <c r="AA203" i="2"/>
  <c r="AB203" i="2"/>
  <c r="AC203" i="2"/>
  <c r="AD203" i="2"/>
  <c r="AE203" i="2"/>
  <c r="AF203" i="2"/>
  <c r="AG203" i="2"/>
  <c r="AH203" i="2"/>
  <c r="AI203" i="2"/>
  <c r="AJ203" i="2"/>
  <c r="AK203" i="2"/>
  <c r="AQ203" i="2"/>
  <c r="AR203" i="2"/>
  <c r="AS203" i="2"/>
  <c r="AT203" i="2"/>
  <c r="AU203" i="2"/>
  <c r="B204" i="2"/>
  <c r="C204" i="2"/>
  <c r="D204" i="2"/>
  <c r="E204" i="2"/>
  <c r="M204" i="2"/>
  <c r="N204" i="2"/>
  <c r="O204" i="2"/>
  <c r="Q204" i="2"/>
  <c r="R204" i="2"/>
  <c r="S204" i="2"/>
  <c r="T204" i="2"/>
  <c r="U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AJ204" i="2"/>
  <c r="AK204" i="2"/>
  <c r="AQ204" i="2"/>
  <c r="AR204" i="2"/>
  <c r="AS204" i="2"/>
  <c r="AT204" i="2"/>
  <c r="AU204" i="2"/>
  <c r="B205" i="2"/>
  <c r="C205" i="2"/>
  <c r="D205" i="2"/>
  <c r="E205" i="2"/>
  <c r="M205" i="2"/>
  <c r="N205" i="2"/>
  <c r="O205" i="2"/>
  <c r="Q205" i="2"/>
  <c r="R205" i="2"/>
  <c r="S205" i="2"/>
  <c r="T205" i="2"/>
  <c r="U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AJ205" i="2"/>
  <c r="AK205" i="2"/>
  <c r="AQ205" i="2"/>
  <c r="AR205" i="2"/>
  <c r="AS205" i="2"/>
  <c r="AT205" i="2"/>
  <c r="AU205" i="2"/>
  <c r="B206" i="2"/>
  <c r="C206" i="2"/>
  <c r="D206" i="2"/>
  <c r="E206" i="2"/>
  <c r="M206" i="2"/>
  <c r="N206" i="2"/>
  <c r="O206" i="2"/>
  <c r="Q206" i="2"/>
  <c r="R206" i="2"/>
  <c r="S206" i="2"/>
  <c r="T206" i="2"/>
  <c r="U206" i="2"/>
  <c r="W206" i="2"/>
  <c r="X206" i="2"/>
  <c r="Y206" i="2"/>
  <c r="Z206" i="2"/>
  <c r="AA206" i="2"/>
  <c r="AB206" i="2"/>
  <c r="AC206" i="2"/>
  <c r="AD206" i="2"/>
  <c r="AE206" i="2"/>
  <c r="AF206" i="2"/>
  <c r="AG206" i="2"/>
  <c r="AH206" i="2"/>
  <c r="AI206" i="2"/>
  <c r="AJ206" i="2"/>
  <c r="AK206" i="2"/>
  <c r="AQ206" i="2"/>
  <c r="AR206" i="2"/>
  <c r="AS206" i="2"/>
  <c r="AT206" i="2"/>
  <c r="AU206" i="2"/>
  <c r="B207" i="2"/>
  <c r="C207" i="2"/>
  <c r="D207" i="2"/>
  <c r="E207" i="2"/>
  <c r="M207" i="2"/>
  <c r="N207" i="2"/>
  <c r="O207" i="2"/>
  <c r="P207" i="2"/>
  <c r="Q207" i="2"/>
  <c r="R207" i="2"/>
  <c r="S207" i="2"/>
  <c r="T207" i="2"/>
  <c r="U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AJ207" i="2"/>
  <c r="AK207" i="2"/>
  <c r="AQ207" i="2"/>
  <c r="AR207" i="2"/>
  <c r="AS207" i="2"/>
  <c r="AT207" i="2"/>
  <c r="AU207" i="2"/>
  <c r="B208" i="2"/>
  <c r="C208" i="2"/>
  <c r="D208" i="2"/>
  <c r="E208" i="2"/>
  <c r="M208" i="2"/>
  <c r="N208" i="2"/>
  <c r="O208" i="2"/>
  <c r="P208" i="2"/>
  <c r="Q208" i="2"/>
  <c r="R208" i="2"/>
  <c r="S208" i="2"/>
  <c r="T208" i="2"/>
  <c r="U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AJ208" i="2"/>
  <c r="AK208" i="2"/>
  <c r="AQ208" i="2"/>
  <c r="AR208" i="2"/>
  <c r="AS208" i="2"/>
  <c r="AT208" i="2"/>
  <c r="AU208" i="2"/>
  <c r="B209" i="2"/>
  <c r="C209" i="2"/>
  <c r="D209" i="2"/>
  <c r="E209" i="2"/>
  <c r="M209" i="2"/>
  <c r="N209" i="2"/>
  <c r="O209" i="2"/>
  <c r="P209" i="2"/>
  <c r="Q209" i="2"/>
  <c r="R209" i="2"/>
  <c r="S209" i="2"/>
  <c r="T209" i="2"/>
  <c r="U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AJ209" i="2"/>
  <c r="AK209" i="2"/>
  <c r="AQ209" i="2"/>
  <c r="AR209" i="2"/>
  <c r="AS209" i="2"/>
  <c r="AT209" i="2"/>
  <c r="AU209" i="2"/>
  <c r="B210" i="2"/>
  <c r="C210" i="2"/>
  <c r="D210" i="2"/>
  <c r="E210" i="2"/>
  <c r="M210" i="2"/>
  <c r="N210" i="2"/>
  <c r="O210" i="2"/>
  <c r="P210" i="2"/>
  <c r="Q210" i="2"/>
  <c r="R210" i="2"/>
  <c r="S210" i="2"/>
  <c r="T210" i="2"/>
  <c r="U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AJ210" i="2"/>
  <c r="AK210" i="2"/>
  <c r="AQ210" i="2"/>
  <c r="AR210" i="2"/>
  <c r="AS210" i="2"/>
  <c r="AT210" i="2"/>
  <c r="AU210" i="2"/>
  <c r="B211" i="2"/>
  <c r="C211" i="2"/>
  <c r="D211" i="2"/>
  <c r="E211" i="2"/>
  <c r="M211" i="2"/>
  <c r="N211" i="2"/>
  <c r="O211" i="2"/>
  <c r="P211" i="2"/>
  <c r="Q211" i="2"/>
  <c r="R211" i="2"/>
  <c r="S211" i="2"/>
  <c r="T211" i="2"/>
  <c r="U211" i="2"/>
  <c r="W211" i="2"/>
  <c r="X211" i="2"/>
  <c r="Y211" i="2"/>
  <c r="Z211" i="2"/>
  <c r="AA211" i="2"/>
  <c r="AB211" i="2"/>
  <c r="AC211" i="2"/>
  <c r="AD211" i="2"/>
  <c r="AE211" i="2"/>
  <c r="AF211" i="2"/>
  <c r="AG211" i="2"/>
  <c r="AH211" i="2"/>
  <c r="AI211" i="2"/>
  <c r="AJ211" i="2"/>
  <c r="AK211" i="2"/>
  <c r="AQ211" i="2"/>
  <c r="AR211" i="2"/>
  <c r="AS211" i="2"/>
  <c r="AT211" i="2"/>
  <c r="AU211" i="2"/>
  <c r="B212" i="2"/>
  <c r="C212" i="2"/>
  <c r="D212" i="2"/>
  <c r="E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AJ212" i="2"/>
  <c r="AK212" i="2"/>
  <c r="AQ212" i="2"/>
  <c r="AR212" i="2"/>
  <c r="AS212" i="2"/>
  <c r="AT212" i="2"/>
  <c r="AU212" i="2"/>
  <c r="B213" i="2"/>
  <c r="C213" i="2"/>
  <c r="D213" i="2"/>
  <c r="E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AJ213" i="2"/>
  <c r="AK213" i="2"/>
  <c r="AQ213" i="2"/>
  <c r="AR213" i="2"/>
  <c r="AS213" i="2"/>
  <c r="AT213" i="2"/>
  <c r="AU213" i="2"/>
  <c r="B214" i="2"/>
  <c r="C214" i="2"/>
  <c r="D214" i="2"/>
  <c r="E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AA214" i="2"/>
  <c r="AB214" i="2"/>
  <c r="AC214" i="2"/>
  <c r="AD214" i="2"/>
  <c r="AE214" i="2"/>
  <c r="AF214" i="2"/>
  <c r="AG214" i="2"/>
  <c r="AH214" i="2"/>
  <c r="AI214" i="2"/>
  <c r="AJ214" i="2"/>
  <c r="AK214" i="2"/>
  <c r="AQ214" i="2"/>
  <c r="AR214" i="2"/>
  <c r="AS214" i="2"/>
  <c r="AT214" i="2"/>
  <c r="AU214" i="2"/>
  <c r="B215" i="2"/>
  <c r="C215" i="2"/>
  <c r="D215" i="2"/>
  <c r="E215" i="2"/>
  <c r="M215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AJ215" i="2"/>
  <c r="AK215" i="2"/>
  <c r="AQ215" i="2"/>
  <c r="AR215" i="2"/>
  <c r="AS215" i="2"/>
  <c r="AT215" i="2"/>
  <c r="AU215" i="2"/>
  <c r="B216" i="2"/>
  <c r="C216" i="2"/>
  <c r="D216" i="2"/>
  <c r="E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AJ216" i="2"/>
  <c r="AK216" i="2"/>
  <c r="AQ216" i="2"/>
  <c r="AR216" i="2"/>
  <c r="AS216" i="2"/>
  <c r="AT216" i="2"/>
  <c r="AU216" i="2"/>
  <c r="B217" i="2"/>
  <c r="C217" i="2"/>
  <c r="D217" i="2"/>
  <c r="E217" i="2"/>
  <c r="M217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AJ217" i="2"/>
  <c r="AK217" i="2"/>
  <c r="AQ217" i="2"/>
  <c r="AR217" i="2"/>
  <c r="AS217" i="2"/>
  <c r="AT217" i="2"/>
  <c r="AU217" i="2"/>
  <c r="B218" i="2"/>
  <c r="C218" i="2"/>
  <c r="D218" i="2"/>
  <c r="E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AJ218" i="2"/>
  <c r="AK218" i="2"/>
  <c r="AQ218" i="2"/>
  <c r="AR218" i="2"/>
  <c r="AS218" i="2"/>
  <c r="AT218" i="2"/>
  <c r="AU218" i="2"/>
  <c r="B219" i="2"/>
  <c r="C219" i="2"/>
  <c r="D219" i="2"/>
  <c r="E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AE219" i="2"/>
  <c r="AF219" i="2"/>
  <c r="AG219" i="2"/>
  <c r="AH219" i="2"/>
  <c r="AI219" i="2"/>
  <c r="AJ219" i="2"/>
  <c r="AK219" i="2"/>
  <c r="AQ219" i="2"/>
  <c r="AR219" i="2"/>
  <c r="AS219" i="2"/>
  <c r="AT219" i="2"/>
  <c r="AU219" i="2"/>
  <c r="B220" i="2"/>
  <c r="C220" i="2"/>
  <c r="D220" i="2"/>
  <c r="E220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AJ220" i="2"/>
  <c r="AK220" i="2"/>
  <c r="AQ220" i="2"/>
  <c r="AR220" i="2"/>
  <c r="AS220" i="2"/>
  <c r="AT220" i="2"/>
  <c r="AU220" i="2"/>
  <c r="B221" i="2"/>
  <c r="C221" i="2"/>
  <c r="D221" i="2"/>
  <c r="E221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AJ221" i="2"/>
  <c r="AK221" i="2"/>
  <c r="AQ221" i="2"/>
  <c r="AR221" i="2"/>
  <c r="AS221" i="2"/>
  <c r="AT221" i="2"/>
  <c r="AU221" i="2"/>
  <c r="B222" i="2"/>
  <c r="C222" i="2"/>
  <c r="D222" i="2"/>
  <c r="E222" i="2"/>
  <c r="M222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Z222" i="2"/>
  <c r="AA222" i="2"/>
  <c r="AB222" i="2"/>
  <c r="AC222" i="2"/>
  <c r="AD222" i="2"/>
  <c r="AE222" i="2"/>
  <c r="AF222" i="2"/>
  <c r="AG222" i="2"/>
  <c r="AH222" i="2"/>
  <c r="AI222" i="2"/>
  <c r="AJ222" i="2"/>
  <c r="AK222" i="2"/>
  <c r="AQ222" i="2"/>
  <c r="AR222" i="2"/>
  <c r="AS222" i="2"/>
  <c r="AT222" i="2"/>
  <c r="AU222" i="2"/>
  <c r="B223" i="2"/>
  <c r="C223" i="2"/>
  <c r="D223" i="2"/>
  <c r="E223" i="2"/>
  <c r="M223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AJ223" i="2"/>
  <c r="AK223" i="2"/>
  <c r="AQ223" i="2"/>
  <c r="AR223" i="2"/>
  <c r="AS223" i="2"/>
  <c r="AT223" i="2"/>
  <c r="AU223" i="2"/>
  <c r="B224" i="2"/>
  <c r="C224" i="2"/>
  <c r="D224" i="2"/>
  <c r="E224" i="2"/>
  <c r="M224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AJ224" i="2"/>
  <c r="AK224" i="2"/>
  <c r="AQ224" i="2"/>
  <c r="AR224" i="2"/>
  <c r="AS224" i="2"/>
  <c r="AT224" i="2"/>
  <c r="AU224" i="2"/>
  <c r="B225" i="2"/>
  <c r="C225" i="2"/>
  <c r="D225" i="2"/>
  <c r="E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AJ225" i="2"/>
  <c r="AK225" i="2"/>
  <c r="AQ225" i="2"/>
  <c r="AR225" i="2"/>
  <c r="AS225" i="2"/>
  <c r="AT225" i="2"/>
  <c r="AU225" i="2"/>
  <c r="B226" i="2"/>
  <c r="C226" i="2"/>
  <c r="D226" i="2"/>
  <c r="E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AJ226" i="2"/>
  <c r="AK226" i="2"/>
  <c r="AQ226" i="2"/>
  <c r="AR226" i="2"/>
  <c r="AS226" i="2"/>
  <c r="AT226" i="2"/>
  <c r="AU226" i="2"/>
  <c r="B227" i="2"/>
  <c r="C227" i="2"/>
  <c r="D227" i="2"/>
  <c r="E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AE227" i="2"/>
  <c r="AF227" i="2"/>
  <c r="AG227" i="2"/>
  <c r="AH227" i="2"/>
  <c r="AI227" i="2"/>
  <c r="AJ227" i="2"/>
  <c r="AK227" i="2"/>
  <c r="AQ227" i="2"/>
  <c r="AR227" i="2"/>
  <c r="AS227" i="2"/>
  <c r="AT227" i="2"/>
  <c r="AU227" i="2"/>
  <c r="B228" i="2"/>
  <c r="C228" i="2"/>
  <c r="D228" i="2"/>
  <c r="E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AJ228" i="2"/>
  <c r="AK228" i="2"/>
  <c r="AQ228" i="2"/>
  <c r="AR228" i="2"/>
  <c r="AS228" i="2"/>
  <c r="AT228" i="2"/>
  <c r="AU228" i="2"/>
  <c r="B229" i="2"/>
  <c r="C229" i="2"/>
  <c r="D229" i="2"/>
  <c r="E229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AJ229" i="2"/>
  <c r="AK229" i="2"/>
  <c r="AQ229" i="2"/>
  <c r="AR229" i="2"/>
  <c r="AS229" i="2"/>
  <c r="AT229" i="2"/>
  <c r="AU229" i="2"/>
  <c r="B230" i="2"/>
  <c r="C230" i="2"/>
  <c r="D230" i="2"/>
  <c r="E230" i="2"/>
  <c r="M230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Z230" i="2"/>
  <c r="AA230" i="2"/>
  <c r="AB230" i="2"/>
  <c r="AC230" i="2"/>
  <c r="AD230" i="2"/>
  <c r="AE230" i="2"/>
  <c r="AF230" i="2"/>
  <c r="AG230" i="2"/>
  <c r="AH230" i="2"/>
  <c r="AI230" i="2"/>
  <c r="AJ230" i="2"/>
  <c r="AK230" i="2"/>
  <c r="AQ230" i="2"/>
  <c r="AR230" i="2"/>
  <c r="AS230" i="2"/>
  <c r="AT230" i="2"/>
  <c r="AU230" i="2"/>
  <c r="B231" i="2"/>
  <c r="C231" i="2"/>
  <c r="D231" i="2"/>
  <c r="E231" i="2"/>
  <c r="M231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AJ231" i="2"/>
  <c r="AK231" i="2"/>
  <c r="AQ231" i="2"/>
  <c r="AR231" i="2"/>
  <c r="AS231" i="2"/>
  <c r="AT231" i="2"/>
  <c r="AU231" i="2"/>
  <c r="B232" i="2"/>
  <c r="C232" i="2"/>
  <c r="D232" i="2"/>
  <c r="E232" i="2"/>
  <c r="M232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AJ232" i="2"/>
  <c r="AK232" i="2"/>
  <c r="AQ232" i="2"/>
  <c r="AR232" i="2"/>
  <c r="AS232" i="2"/>
  <c r="AT232" i="2"/>
  <c r="AU232" i="2"/>
  <c r="B233" i="2"/>
  <c r="C233" i="2"/>
  <c r="D233" i="2"/>
  <c r="E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AJ233" i="2"/>
  <c r="AK233" i="2"/>
  <c r="AQ233" i="2"/>
  <c r="AR233" i="2"/>
  <c r="AS233" i="2"/>
  <c r="AT233" i="2"/>
  <c r="AU233" i="2"/>
  <c r="B234" i="2"/>
  <c r="C234" i="2"/>
  <c r="D234" i="2"/>
  <c r="E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AJ234" i="2"/>
  <c r="AK234" i="2"/>
  <c r="AQ234" i="2"/>
  <c r="AR234" i="2"/>
  <c r="AS234" i="2"/>
  <c r="AT234" i="2"/>
  <c r="AU234" i="2"/>
  <c r="B235" i="2"/>
  <c r="C235" i="2"/>
  <c r="D235" i="2"/>
  <c r="E235" i="2"/>
  <c r="M235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AA235" i="2"/>
  <c r="AB235" i="2"/>
  <c r="AC235" i="2"/>
  <c r="AD235" i="2"/>
  <c r="AE235" i="2"/>
  <c r="AF235" i="2"/>
  <c r="AG235" i="2"/>
  <c r="AH235" i="2"/>
  <c r="AI235" i="2"/>
  <c r="AJ235" i="2"/>
  <c r="AK235" i="2"/>
  <c r="AQ235" i="2"/>
  <c r="AR235" i="2"/>
  <c r="AS235" i="2"/>
  <c r="AT235" i="2"/>
  <c r="AU235" i="2"/>
  <c r="B236" i="2"/>
  <c r="C236" i="2"/>
  <c r="D236" i="2"/>
  <c r="E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AJ236" i="2"/>
  <c r="AK236" i="2"/>
  <c r="AQ236" i="2"/>
  <c r="AR236" i="2"/>
  <c r="AS236" i="2"/>
  <c r="AT236" i="2"/>
  <c r="AU236" i="2"/>
  <c r="B237" i="2"/>
  <c r="C237" i="2"/>
  <c r="D237" i="2"/>
  <c r="E237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AJ237" i="2"/>
  <c r="AK237" i="2"/>
  <c r="AQ237" i="2"/>
  <c r="AR237" i="2"/>
  <c r="AS237" i="2"/>
  <c r="AT237" i="2"/>
  <c r="AU237" i="2"/>
  <c r="B238" i="2"/>
  <c r="C238" i="2"/>
  <c r="D238" i="2"/>
  <c r="E238" i="2"/>
  <c r="M238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AA238" i="2"/>
  <c r="AB238" i="2"/>
  <c r="AC238" i="2"/>
  <c r="AD238" i="2"/>
  <c r="AE238" i="2"/>
  <c r="AF238" i="2"/>
  <c r="AG238" i="2"/>
  <c r="AH238" i="2"/>
  <c r="AI238" i="2"/>
  <c r="AJ238" i="2"/>
  <c r="AK238" i="2"/>
  <c r="AQ238" i="2"/>
  <c r="AR238" i="2"/>
  <c r="AS238" i="2"/>
  <c r="AT238" i="2"/>
  <c r="AU238" i="2"/>
  <c r="B239" i="2"/>
  <c r="C239" i="2"/>
  <c r="D239" i="2"/>
  <c r="E239" i="2"/>
  <c r="M239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AJ239" i="2"/>
  <c r="AK239" i="2"/>
  <c r="AQ239" i="2"/>
  <c r="AR239" i="2"/>
  <c r="AS239" i="2"/>
  <c r="AT239" i="2"/>
  <c r="AU239" i="2"/>
  <c r="B240" i="2"/>
  <c r="C240" i="2"/>
  <c r="D240" i="2"/>
  <c r="E240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AJ240" i="2"/>
  <c r="AK240" i="2"/>
  <c r="AQ240" i="2"/>
  <c r="AR240" i="2"/>
  <c r="AS240" i="2"/>
  <c r="AT240" i="2"/>
  <c r="AU240" i="2"/>
  <c r="B241" i="2"/>
  <c r="C241" i="2"/>
  <c r="D241" i="2"/>
  <c r="E241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AJ241" i="2"/>
  <c r="AK241" i="2"/>
  <c r="AQ241" i="2"/>
  <c r="AR241" i="2"/>
  <c r="AS241" i="2"/>
  <c r="AT241" i="2"/>
  <c r="AU241" i="2"/>
  <c r="B242" i="2"/>
  <c r="C242" i="2"/>
  <c r="D242" i="2"/>
  <c r="E242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AJ242" i="2"/>
  <c r="AK242" i="2"/>
  <c r="AQ242" i="2"/>
  <c r="AR242" i="2"/>
  <c r="AS242" i="2"/>
  <c r="AT242" i="2"/>
  <c r="AU242" i="2"/>
  <c r="B243" i="2"/>
  <c r="C243" i="2"/>
  <c r="D243" i="2"/>
  <c r="E243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AA243" i="2"/>
  <c r="AB243" i="2"/>
  <c r="AC243" i="2"/>
  <c r="AD243" i="2"/>
  <c r="AE243" i="2"/>
  <c r="AF243" i="2"/>
  <c r="AG243" i="2"/>
  <c r="AH243" i="2"/>
  <c r="AI243" i="2"/>
  <c r="AJ243" i="2"/>
  <c r="AK243" i="2"/>
  <c r="AQ243" i="2"/>
  <c r="AR243" i="2"/>
  <c r="AS243" i="2"/>
  <c r="AT243" i="2"/>
  <c r="AU243" i="2"/>
  <c r="B244" i="2"/>
  <c r="C244" i="2"/>
  <c r="D244" i="2"/>
  <c r="E244" i="2"/>
  <c r="M244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AJ244" i="2"/>
  <c r="AK244" i="2"/>
  <c r="AQ244" i="2"/>
  <c r="AR244" i="2"/>
  <c r="AS244" i="2"/>
  <c r="AT244" i="2"/>
  <c r="AU244" i="2"/>
  <c r="B245" i="2"/>
  <c r="C245" i="2"/>
  <c r="D245" i="2"/>
  <c r="E245" i="2"/>
  <c r="M245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AJ245" i="2"/>
  <c r="AK245" i="2"/>
  <c r="AQ245" i="2"/>
  <c r="AR245" i="2"/>
  <c r="AS245" i="2"/>
  <c r="AT245" i="2"/>
  <c r="AU245" i="2"/>
  <c r="B246" i="2"/>
  <c r="C246" i="2"/>
  <c r="D246" i="2"/>
  <c r="E246" i="2"/>
  <c r="M246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Z246" i="2"/>
  <c r="AA246" i="2"/>
  <c r="AB246" i="2"/>
  <c r="AC246" i="2"/>
  <c r="AD246" i="2"/>
  <c r="AE246" i="2"/>
  <c r="AF246" i="2"/>
  <c r="AG246" i="2"/>
  <c r="AH246" i="2"/>
  <c r="AI246" i="2"/>
  <c r="AJ246" i="2"/>
  <c r="AK246" i="2"/>
  <c r="AQ246" i="2"/>
  <c r="AR246" i="2"/>
  <c r="AS246" i="2"/>
  <c r="AT246" i="2"/>
  <c r="AU246" i="2"/>
  <c r="B247" i="2"/>
  <c r="C247" i="2"/>
  <c r="D247" i="2"/>
  <c r="E247" i="2"/>
  <c r="M247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AJ247" i="2"/>
  <c r="AK247" i="2"/>
  <c r="AQ247" i="2"/>
  <c r="AR247" i="2"/>
  <c r="AS247" i="2"/>
  <c r="AT247" i="2"/>
  <c r="AU247" i="2"/>
  <c r="B248" i="2"/>
  <c r="C248" i="2"/>
  <c r="D248" i="2"/>
  <c r="E248" i="2"/>
  <c r="M248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AJ248" i="2"/>
  <c r="AK248" i="2"/>
  <c r="AQ248" i="2"/>
  <c r="AR248" i="2"/>
  <c r="AS248" i="2"/>
  <c r="AT248" i="2"/>
  <c r="AU248" i="2"/>
  <c r="B249" i="2"/>
  <c r="C249" i="2"/>
  <c r="D249" i="2"/>
  <c r="E249" i="2"/>
  <c r="M249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AJ249" i="2"/>
  <c r="AK249" i="2"/>
  <c r="AQ249" i="2"/>
  <c r="AR249" i="2"/>
  <c r="AS249" i="2"/>
  <c r="AT249" i="2"/>
  <c r="AU249" i="2"/>
  <c r="B250" i="2"/>
  <c r="C250" i="2"/>
  <c r="D250" i="2"/>
  <c r="E250" i="2"/>
  <c r="M250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AJ250" i="2"/>
  <c r="AK250" i="2"/>
  <c r="AQ250" i="2"/>
  <c r="AR250" i="2"/>
  <c r="AS250" i="2"/>
  <c r="AT250" i="2"/>
  <c r="AU250" i="2"/>
  <c r="B251" i="2"/>
  <c r="C251" i="2"/>
  <c r="D251" i="2"/>
  <c r="E251" i="2"/>
  <c r="M251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Z251" i="2"/>
  <c r="AA251" i="2"/>
  <c r="AB251" i="2"/>
  <c r="AC251" i="2"/>
  <c r="AD251" i="2"/>
  <c r="AE251" i="2"/>
  <c r="AF251" i="2"/>
  <c r="AG251" i="2"/>
  <c r="AH251" i="2"/>
  <c r="AI251" i="2"/>
  <c r="AJ251" i="2"/>
  <c r="AK251" i="2"/>
  <c r="AQ251" i="2"/>
  <c r="AR251" i="2"/>
  <c r="AS251" i="2"/>
  <c r="AT251" i="2"/>
  <c r="AU251" i="2"/>
  <c r="B252" i="2"/>
  <c r="C252" i="2"/>
  <c r="D252" i="2"/>
  <c r="E252" i="2"/>
  <c r="M252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AJ252" i="2"/>
  <c r="AK252" i="2"/>
  <c r="AQ252" i="2"/>
  <c r="AR252" i="2"/>
  <c r="AS252" i="2"/>
  <c r="AT252" i="2"/>
  <c r="AU252" i="2"/>
  <c r="B253" i="2"/>
  <c r="C253" i="2"/>
  <c r="D253" i="2"/>
  <c r="E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AJ253" i="2"/>
  <c r="AK253" i="2"/>
  <c r="AQ253" i="2"/>
  <c r="AR253" i="2"/>
  <c r="AS253" i="2"/>
  <c r="AT253" i="2"/>
  <c r="AU253" i="2"/>
  <c r="B254" i="2"/>
  <c r="C254" i="2"/>
  <c r="D254" i="2"/>
  <c r="E254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AE254" i="2"/>
  <c r="AF254" i="2"/>
  <c r="AG254" i="2"/>
  <c r="AH254" i="2"/>
  <c r="AI254" i="2"/>
  <c r="AJ254" i="2"/>
  <c r="AK254" i="2"/>
  <c r="AQ254" i="2"/>
  <c r="AR254" i="2"/>
  <c r="AS254" i="2"/>
  <c r="AT254" i="2"/>
  <c r="AU254" i="2"/>
  <c r="B255" i="2"/>
  <c r="C255" i="2"/>
  <c r="D255" i="2"/>
  <c r="E255" i="2"/>
  <c r="M255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AJ255" i="2"/>
  <c r="AK255" i="2"/>
  <c r="AQ255" i="2"/>
  <c r="AR255" i="2"/>
  <c r="AS255" i="2"/>
  <c r="AT255" i="2"/>
  <c r="AU255" i="2"/>
  <c r="B256" i="2"/>
  <c r="C256" i="2"/>
  <c r="D256" i="2"/>
  <c r="E256" i="2"/>
  <c r="M256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AJ256" i="2"/>
  <c r="AK256" i="2"/>
  <c r="AQ256" i="2"/>
  <c r="AR256" i="2"/>
  <c r="AS256" i="2"/>
  <c r="AT256" i="2"/>
  <c r="AU256" i="2"/>
  <c r="B257" i="2"/>
  <c r="C257" i="2"/>
  <c r="D257" i="2"/>
  <c r="E257" i="2"/>
  <c r="M257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AJ257" i="2"/>
  <c r="AK257" i="2"/>
  <c r="AQ257" i="2"/>
  <c r="AR257" i="2"/>
  <c r="AS257" i="2"/>
  <c r="AT257" i="2"/>
  <c r="AU257" i="2"/>
  <c r="B258" i="2"/>
  <c r="C258" i="2"/>
  <c r="D258" i="2"/>
  <c r="E258" i="2"/>
  <c r="M258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AJ258" i="2"/>
  <c r="AK258" i="2"/>
  <c r="AQ258" i="2"/>
  <c r="AR258" i="2"/>
  <c r="AS258" i="2"/>
  <c r="AT258" i="2"/>
  <c r="AU258" i="2"/>
  <c r="B259" i="2"/>
  <c r="C259" i="2"/>
  <c r="D259" i="2"/>
  <c r="E259" i="2"/>
  <c r="M259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Z259" i="2"/>
  <c r="AA259" i="2"/>
  <c r="AB259" i="2"/>
  <c r="AC259" i="2"/>
  <c r="AD259" i="2"/>
  <c r="AE259" i="2"/>
  <c r="AF259" i="2"/>
  <c r="AG259" i="2"/>
  <c r="AH259" i="2"/>
  <c r="AI259" i="2"/>
  <c r="AJ259" i="2"/>
  <c r="AK259" i="2"/>
  <c r="AQ259" i="2"/>
  <c r="AR259" i="2"/>
  <c r="AS259" i="2"/>
  <c r="AT259" i="2"/>
  <c r="AU259" i="2"/>
  <c r="B260" i="2"/>
  <c r="C260" i="2"/>
  <c r="D260" i="2"/>
  <c r="E260" i="2"/>
  <c r="M260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AJ260" i="2"/>
  <c r="AK260" i="2"/>
  <c r="AQ260" i="2"/>
  <c r="AR260" i="2"/>
  <c r="AS260" i="2"/>
  <c r="AT260" i="2"/>
  <c r="AU260" i="2"/>
  <c r="B261" i="2"/>
  <c r="C261" i="2"/>
  <c r="D261" i="2"/>
  <c r="E261" i="2"/>
  <c r="M261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AJ261" i="2"/>
  <c r="AK261" i="2"/>
  <c r="AQ261" i="2"/>
  <c r="AR261" i="2"/>
  <c r="AS261" i="2"/>
  <c r="AT261" i="2"/>
  <c r="AU261" i="2"/>
  <c r="B262" i="2"/>
  <c r="C262" i="2"/>
  <c r="D262" i="2"/>
  <c r="E262" i="2"/>
  <c r="M262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Z262" i="2"/>
  <c r="AA262" i="2"/>
  <c r="AB262" i="2"/>
  <c r="AC262" i="2"/>
  <c r="AD262" i="2"/>
  <c r="AE262" i="2"/>
  <c r="AF262" i="2"/>
  <c r="AG262" i="2"/>
  <c r="AH262" i="2"/>
  <c r="AI262" i="2"/>
  <c r="AJ262" i="2"/>
  <c r="AK262" i="2"/>
  <c r="AQ262" i="2"/>
  <c r="AR262" i="2"/>
  <c r="AS262" i="2"/>
  <c r="AT262" i="2"/>
  <c r="AU262" i="2"/>
  <c r="B263" i="2"/>
  <c r="C263" i="2"/>
  <c r="D263" i="2"/>
  <c r="E263" i="2"/>
  <c r="M263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AJ263" i="2"/>
  <c r="AK263" i="2"/>
  <c r="AQ263" i="2"/>
  <c r="AR263" i="2"/>
  <c r="AS263" i="2"/>
  <c r="AT263" i="2"/>
  <c r="AU263" i="2"/>
  <c r="B264" i="2"/>
  <c r="C264" i="2"/>
  <c r="D264" i="2"/>
  <c r="E264" i="2"/>
  <c r="M264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AJ264" i="2"/>
  <c r="AK264" i="2"/>
  <c r="AQ264" i="2"/>
  <c r="AR264" i="2"/>
  <c r="AS264" i="2"/>
  <c r="AT264" i="2"/>
  <c r="AU264" i="2"/>
  <c r="B265" i="2"/>
  <c r="C265" i="2"/>
  <c r="D265" i="2"/>
  <c r="E265" i="2"/>
  <c r="M265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AJ265" i="2"/>
  <c r="AK265" i="2"/>
  <c r="AQ265" i="2"/>
  <c r="AR265" i="2"/>
  <c r="AS265" i="2"/>
  <c r="AT265" i="2"/>
  <c r="AU265" i="2"/>
  <c r="B266" i="2"/>
  <c r="C266" i="2"/>
  <c r="D266" i="2"/>
  <c r="E266" i="2"/>
  <c r="M266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AJ266" i="2"/>
  <c r="AK266" i="2"/>
  <c r="AQ266" i="2"/>
  <c r="AR266" i="2"/>
  <c r="AS266" i="2"/>
  <c r="AT266" i="2"/>
  <c r="AU266" i="2"/>
  <c r="B267" i="2"/>
  <c r="C267" i="2"/>
  <c r="D267" i="2"/>
  <c r="E267" i="2"/>
  <c r="M267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Z267" i="2"/>
  <c r="AA267" i="2"/>
  <c r="AB267" i="2"/>
  <c r="AC267" i="2"/>
  <c r="AD267" i="2"/>
  <c r="AE267" i="2"/>
  <c r="AF267" i="2"/>
  <c r="AG267" i="2"/>
  <c r="AH267" i="2"/>
  <c r="AI267" i="2"/>
  <c r="AJ267" i="2"/>
  <c r="AK267" i="2"/>
  <c r="AQ267" i="2"/>
  <c r="AR267" i="2"/>
  <c r="AS267" i="2"/>
  <c r="AT267" i="2"/>
  <c r="AU267" i="2"/>
  <c r="B268" i="2"/>
  <c r="C268" i="2"/>
  <c r="D268" i="2"/>
  <c r="E268" i="2"/>
  <c r="M268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AJ268" i="2"/>
  <c r="AK268" i="2"/>
  <c r="AQ268" i="2"/>
  <c r="AR268" i="2"/>
  <c r="AS268" i="2"/>
  <c r="AT268" i="2"/>
  <c r="AU268" i="2"/>
  <c r="B269" i="2"/>
  <c r="C269" i="2"/>
  <c r="D269" i="2"/>
  <c r="E269" i="2"/>
  <c r="M269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AJ269" i="2"/>
  <c r="AK269" i="2"/>
  <c r="AQ269" i="2"/>
  <c r="AR269" i="2"/>
  <c r="AS269" i="2"/>
  <c r="AT269" i="2"/>
  <c r="AU269" i="2"/>
  <c r="B270" i="2"/>
  <c r="C270" i="2"/>
  <c r="D270" i="2"/>
  <c r="E270" i="2"/>
  <c r="M270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Z270" i="2"/>
  <c r="AA270" i="2"/>
  <c r="AB270" i="2"/>
  <c r="AC270" i="2"/>
  <c r="AD270" i="2"/>
  <c r="AE270" i="2"/>
  <c r="AF270" i="2"/>
  <c r="AG270" i="2"/>
  <c r="AH270" i="2"/>
  <c r="AI270" i="2"/>
  <c r="AJ270" i="2"/>
  <c r="AK270" i="2"/>
  <c r="AQ270" i="2"/>
  <c r="AR270" i="2"/>
  <c r="AS270" i="2"/>
  <c r="AT270" i="2"/>
  <c r="AU270" i="2"/>
  <c r="B271" i="2"/>
  <c r="C271" i="2"/>
  <c r="D271" i="2"/>
  <c r="E271" i="2"/>
  <c r="M271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AJ271" i="2"/>
  <c r="AK271" i="2"/>
  <c r="AQ271" i="2"/>
  <c r="AR271" i="2"/>
  <c r="AS271" i="2"/>
  <c r="AT271" i="2"/>
  <c r="AU271" i="2"/>
  <c r="B272" i="2"/>
  <c r="C272" i="2"/>
  <c r="D272" i="2"/>
  <c r="E272" i="2"/>
  <c r="M272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AJ272" i="2"/>
  <c r="AK272" i="2"/>
  <c r="AQ272" i="2"/>
  <c r="AR272" i="2"/>
  <c r="AS272" i="2"/>
  <c r="AT272" i="2"/>
  <c r="AU272" i="2"/>
  <c r="B273" i="2"/>
  <c r="C273" i="2"/>
  <c r="D273" i="2"/>
  <c r="E273" i="2"/>
  <c r="M273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AJ273" i="2"/>
  <c r="AK273" i="2"/>
  <c r="AQ273" i="2"/>
  <c r="AR273" i="2"/>
  <c r="AS273" i="2"/>
  <c r="AT273" i="2"/>
  <c r="AU273" i="2"/>
  <c r="B274" i="2"/>
  <c r="C274" i="2"/>
  <c r="D274" i="2"/>
  <c r="E274" i="2"/>
  <c r="M274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AJ274" i="2"/>
  <c r="AK274" i="2"/>
  <c r="AQ274" i="2"/>
  <c r="AR274" i="2"/>
  <c r="AS274" i="2"/>
  <c r="AT274" i="2"/>
  <c r="AU274" i="2"/>
  <c r="B275" i="2"/>
  <c r="C275" i="2"/>
  <c r="D275" i="2"/>
  <c r="E275" i="2"/>
  <c r="M275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Z275" i="2"/>
  <c r="AA275" i="2"/>
  <c r="AB275" i="2"/>
  <c r="AC275" i="2"/>
  <c r="AD275" i="2"/>
  <c r="AE275" i="2"/>
  <c r="AF275" i="2"/>
  <c r="AG275" i="2"/>
  <c r="AH275" i="2"/>
  <c r="AI275" i="2"/>
  <c r="AJ275" i="2"/>
  <c r="AK275" i="2"/>
  <c r="AQ275" i="2"/>
  <c r="AR275" i="2"/>
  <c r="AS275" i="2"/>
  <c r="AT275" i="2"/>
  <c r="AU275" i="2"/>
  <c r="B276" i="2"/>
  <c r="C276" i="2"/>
  <c r="D276" i="2"/>
  <c r="E276" i="2"/>
  <c r="M276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AJ276" i="2"/>
  <c r="AK276" i="2"/>
  <c r="AQ276" i="2"/>
  <c r="AR276" i="2"/>
  <c r="AS276" i="2"/>
  <c r="AT276" i="2"/>
  <c r="AU276" i="2"/>
  <c r="B277" i="2"/>
  <c r="C277" i="2"/>
  <c r="D277" i="2"/>
  <c r="E277" i="2"/>
  <c r="M277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AJ277" i="2"/>
  <c r="AK277" i="2"/>
  <c r="AQ277" i="2"/>
  <c r="AR277" i="2"/>
  <c r="AS277" i="2"/>
  <c r="AT277" i="2"/>
  <c r="AU277" i="2"/>
  <c r="B278" i="2"/>
  <c r="C278" i="2"/>
  <c r="D278" i="2"/>
  <c r="E278" i="2"/>
  <c r="M278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Z278" i="2"/>
  <c r="AA278" i="2"/>
  <c r="AB278" i="2"/>
  <c r="AC278" i="2"/>
  <c r="AD278" i="2"/>
  <c r="AE278" i="2"/>
  <c r="AF278" i="2"/>
  <c r="AG278" i="2"/>
  <c r="AH278" i="2"/>
  <c r="AI278" i="2"/>
  <c r="AJ278" i="2"/>
  <c r="AK278" i="2"/>
  <c r="AQ278" i="2"/>
  <c r="AR278" i="2"/>
  <c r="AS278" i="2"/>
  <c r="AT278" i="2"/>
  <c r="AU278" i="2"/>
  <c r="B279" i="2"/>
  <c r="C279" i="2"/>
  <c r="D279" i="2"/>
  <c r="E279" i="2"/>
  <c r="M279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AJ279" i="2"/>
  <c r="AK279" i="2"/>
  <c r="AQ279" i="2"/>
  <c r="AR279" i="2"/>
  <c r="AS279" i="2"/>
  <c r="AT279" i="2"/>
  <c r="AU279" i="2"/>
  <c r="B280" i="2"/>
  <c r="C280" i="2"/>
  <c r="D280" i="2"/>
  <c r="E280" i="2"/>
  <c r="M280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AJ280" i="2"/>
  <c r="AK280" i="2"/>
  <c r="AQ280" i="2"/>
  <c r="AR280" i="2"/>
  <c r="AS280" i="2"/>
  <c r="AT280" i="2"/>
  <c r="AU280" i="2"/>
  <c r="B281" i="2"/>
  <c r="C281" i="2"/>
  <c r="D281" i="2"/>
  <c r="E281" i="2"/>
  <c r="M281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AJ281" i="2"/>
  <c r="AK281" i="2"/>
  <c r="AQ281" i="2"/>
  <c r="AR281" i="2"/>
  <c r="AS281" i="2"/>
  <c r="AT281" i="2"/>
  <c r="AU281" i="2"/>
  <c r="B282" i="2"/>
  <c r="C282" i="2"/>
  <c r="D282" i="2"/>
  <c r="E282" i="2"/>
  <c r="M282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AJ282" i="2"/>
  <c r="AK282" i="2"/>
  <c r="AQ282" i="2"/>
  <c r="AR282" i="2"/>
  <c r="AS282" i="2"/>
  <c r="AT282" i="2"/>
  <c r="AU282" i="2"/>
  <c r="B283" i="2"/>
  <c r="C283" i="2"/>
  <c r="D283" i="2"/>
  <c r="E283" i="2"/>
  <c r="M283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Z283" i="2"/>
  <c r="AA283" i="2"/>
  <c r="AB283" i="2"/>
  <c r="AC283" i="2"/>
  <c r="AD283" i="2"/>
  <c r="AE283" i="2"/>
  <c r="AF283" i="2"/>
  <c r="AG283" i="2"/>
  <c r="AH283" i="2"/>
  <c r="AI283" i="2"/>
  <c r="AJ283" i="2"/>
  <c r="AK283" i="2"/>
  <c r="AQ283" i="2"/>
  <c r="AR283" i="2"/>
  <c r="AS283" i="2"/>
  <c r="AT283" i="2"/>
  <c r="AU283" i="2"/>
  <c r="B284" i="2"/>
  <c r="C284" i="2"/>
  <c r="D284" i="2"/>
  <c r="E284" i="2"/>
  <c r="M284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AJ284" i="2"/>
  <c r="AK284" i="2"/>
  <c r="AQ284" i="2"/>
  <c r="AR284" i="2"/>
  <c r="AS284" i="2"/>
  <c r="AT284" i="2"/>
  <c r="AU284" i="2"/>
  <c r="B285" i="2"/>
  <c r="C285" i="2"/>
  <c r="D285" i="2"/>
  <c r="E285" i="2"/>
  <c r="M285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AJ285" i="2"/>
  <c r="AK285" i="2"/>
  <c r="AQ285" i="2"/>
  <c r="AR285" i="2"/>
  <c r="AS285" i="2"/>
  <c r="AT285" i="2"/>
  <c r="AU285" i="2"/>
  <c r="B286" i="2"/>
  <c r="C286" i="2"/>
  <c r="D286" i="2"/>
  <c r="E286" i="2"/>
  <c r="M286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Z286" i="2"/>
  <c r="AA286" i="2"/>
  <c r="AB286" i="2"/>
  <c r="AC286" i="2"/>
  <c r="AD286" i="2"/>
  <c r="AE286" i="2"/>
  <c r="AF286" i="2"/>
  <c r="AG286" i="2"/>
  <c r="AH286" i="2"/>
  <c r="AI286" i="2"/>
  <c r="AJ286" i="2"/>
  <c r="AK286" i="2"/>
  <c r="AQ286" i="2"/>
  <c r="AR286" i="2"/>
  <c r="AS286" i="2"/>
  <c r="AT286" i="2"/>
  <c r="AU286" i="2"/>
  <c r="B287" i="2"/>
  <c r="C287" i="2"/>
  <c r="D287" i="2"/>
  <c r="E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AJ287" i="2"/>
  <c r="AK287" i="2"/>
  <c r="AQ287" i="2"/>
  <c r="AR287" i="2"/>
  <c r="AS287" i="2"/>
  <c r="AT287" i="2"/>
  <c r="AU287" i="2"/>
  <c r="B288" i="2"/>
  <c r="C288" i="2"/>
  <c r="D288" i="2"/>
  <c r="E288" i="2"/>
  <c r="M288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AJ288" i="2"/>
  <c r="AK288" i="2"/>
  <c r="AQ288" i="2"/>
  <c r="AR288" i="2"/>
  <c r="AS288" i="2"/>
  <c r="AT288" i="2"/>
  <c r="AU288" i="2"/>
  <c r="B289" i="2"/>
  <c r="C289" i="2"/>
  <c r="D289" i="2"/>
  <c r="E289" i="2"/>
  <c r="M289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AJ289" i="2"/>
  <c r="AK289" i="2"/>
  <c r="AQ289" i="2"/>
  <c r="AR289" i="2"/>
  <c r="AS289" i="2"/>
  <c r="AT289" i="2"/>
  <c r="AU289" i="2"/>
  <c r="B290" i="2"/>
  <c r="C290" i="2"/>
  <c r="D290" i="2"/>
  <c r="E290" i="2"/>
  <c r="M290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AJ290" i="2"/>
  <c r="AK290" i="2"/>
  <c r="AQ290" i="2"/>
  <c r="AR290" i="2"/>
  <c r="AS290" i="2"/>
  <c r="AT290" i="2"/>
  <c r="AU290" i="2"/>
  <c r="B291" i="2"/>
  <c r="C291" i="2"/>
  <c r="D291" i="2"/>
  <c r="E291" i="2"/>
  <c r="M291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Z291" i="2"/>
  <c r="AA291" i="2"/>
  <c r="AB291" i="2"/>
  <c r="AC291" i="2"/>
  <c r="AD291" i="2"/>
  <c r="AE291" i="2"/>
  <c r="AF291" i="2"/>
  <c r="AG291" i="2"/>
  <c r="AH291" i="2"/>
  <c r="AI291" i="2"/>
  <c r="AJ291" i="2"/>
  <c r="AK291" i="2"/>
  <c r="AQ291" i="2"/>
  <c r="AR291" i="2"/>
  <c r="AS291" i="2"/>
  <c r="AT291" i="2"/>
  <c r="AU291" i="2"/>
  <c r="B292" i="2"/>
  <c r="C292" i="2"/>
  <c r="D292" i="2"/>
  <c r="E292" i="2"/>
  <c r="M292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AJ292" i="2"/>
  <c r="AK292" i="2"/>
  <c r="AQ292" i="2"/>
  <c r="AR292" i="2"/>
  <c r="AS292" i="2"/>
  <c r="AT292" i="2"/>
  <c r="AU292" i="2"/>
  <c r="B293" i="2"/>
  <c r="C293" i="2"/>
  <c r="D293" i="2"/>
  <c r="E293" i="2"/>
  <c r="M293" i="2"/>
  <c r="N293" i="2"/>
  <c r="O293" i="2"/>
  <c r="P293" i="2"/>
  <c r="Q293" i="2"/>
  <c r="R293" i="2"/>
  <c r="S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AJ293" i="2"/>
  <c r="AK293" i="2"/>
  <c r="AQ293" i="2"/>
  <c r="AR293" i="2"/>
  <c r="AS293" i="2"/>
  <c r="AT293" i="2"/>
  <c r="AU293" i="2"/>
  <c r="B294" i="2"/>
  <c r="C294" i="2"/>
  <c r="D294" i="2"/>
  <c r="E294" i="2"/>
  <c r="M294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AJ294" i="2"/>
  <c r="AK294" i="2"/>
  <c r="AQ294" i="2"/>
  <c r="AR294" i="2"/>
  <c r="AS294" i="2"/>
  <c r="AT294" i="2"/>
  <c r="AU294" i="2"/>
  <c r="B295" i="2"/>
  <c r="C295" i="2"/>
  <c r="D295" i="2"/>
  <c r="E295" i="2"/>
  <c r="M295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AJ295" i="2"/>
  <c r="AK295" i="2"/>
  <c r="AQ295" i="2"/>
  <c r="AR295" i="2"/>
  <c r="AS295" i="2"/>
  <c r="AT295" i="2"/>
  <c r="AU295" i="2"/>
  <c r="B296" i="2"/>
  <c r="C296" i="2"/>
  <c r="D296" i="2"/>
  <c r="E296" i="2"/>
  <c r="M296" i="2"/>
  <c r="N296" i="2"/>
  <c r="O296" i="2"/>
  <c r="P296" i="2"/>
  <c r="Q296" i="2"/>
  <c r="R296" i="2"/>
  <c r="S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AJ296" i="2"/>
  <c r="AK296" i="2"/>
  <c r="AQ296" i="2"/>
  <c r="AR296" i="2"/>
  <c r="AS296" i="2"/>
  <c r="AT296" i="2"/>
  <c r="AU296" i="2"/>
  <c r="B297" i="2"/>
  <c r="C297" i="2"/>
  <c r="D297" i="2"/>
  <c r="E297" i="2"/>
  <c r="M297" i="2"/>
  <c r="N297" i="2"/>
  <c r="O297" i="2"/>
  <c r="P297" i="2"/>
  <c r="Q297" i="2"/>
  <c r="R297" i="2"/>
  <c r="S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AJ297" i="2"/>
  <c r="AK297" i="2"/>
  <c r="AQ297" i="2"/>
  <c r="AR297" i="2"/>
  <c r="AS297" i="2"/>
  <c r="AT297" i="2"/>
  <c r="AU297" i="2"/>
  <c r="B298" i="2"/>
  <c r="C298" i="2"/>
  <c r="D298" i="2"/>
  <c r="E298" i="2"/>
  <c r="M298" i="2"/>
  <c r="N298" i="2"/>
  <c r="O298" i="2"/>
  <c r="P298" i="2"/>
  <c r="Q298" i="2"/>
  <c r="R298" i="2"/>
  <c r="S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AJ298" i="2"/>
  <c r="AK298" i="2"/>
  <c r="AQ298" i="2"/>
  <c r="AR298" i="2"/>
  <c r="AS298" i="2"/>
  <c r="AT298" i="2"/>
  <c r="AU298" i="2"/>
  <c r="B299" i="2"/>
  <c r="C299" i="2"/>
  <c r="D299" i="2"/>
  <c r="E299" i="2"/>
  <c r="M299" i="2"/>
  <c r="N299" i="2"/>
  <c r="O299" i="2"/>
  <c r="P299" i="2"/>
  <c r="Q299" i="2"/>
  <c r="R299" i="2"/>
  <c r="S299" i="2"/>
  <c r="T299" i="2"/>
  <c r="U299" i="2"/>
  <c r="V299" i="2"/>
  <c r="W299" i="2"/>
  <c r="X299" i="2"/>
  <c r="Y299" i="2"/>
  <c r="Z299" i="2"/>
  <c r="AA299" i="2"/>
  <c r="AB299" i="2"/>
  <c r="AC299" i="2"/>
  <c r="AD299" i="2"/>
  <c r="AE299" i="2"/>
  <c r="AF299" i="2"/>
  <c r="AG299" i="2"/>
  <c r="AH299" i="2"/>
  <c r="AI299" i="2"/>
  <c r="AJ299" i="2"/>
  <c r="AK299" i="2"/>
  <c r="AQ299" i="2"/>
  <c r="AR299" i="2"/>
  <c r="AS299" i="2"/>
  <c r="AT299" i="2"/>
  <c r="AU299" i="2"/>
  <c r="B300" i="2"/>
  <c r="C300" i="2"/>
  <c r="D300" i="2"/>
  <c r="E300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AJ300" i="2"/>
  <c r="AK300" i="2"/>
  <c r="AQ300" i="2"/>
  <c r="AR300" i="2"/>
  <c r="AS300" i="2"/>
  <c r="AT300" i="2"/>
  <c r="AU300" i="2"/>
  <c r="B301" i="2"/>
  <c r="C301" i="2"/>
  <c r="D301" i="2"/>
  <c r="E301" i="2"/>
  <c r="M301" i="2"/>
  <c r="N301" i="2"/>
  <c r="O301" i="2"/>
  <c r="P301" i="2"/>
  <c r="Q301" i="2"/>
  <c r="R301" i="2"/>
  <c r="S301" i="2"/>
  <c r="T301" i="2"/>
  <c r="U301" i="2"/>
  <c r="V301" i="2"/>
  <c r="W301" i="2"/>
  <c r="X301" i="2"/>
  <c r="Y301" i="2"/>
  <c r="Z301" i="2"/>
  <c r="AA301" i="2"/>
  <c r="AB301" i="2"/>
  <c r="AC301" i="2"/>
  <c r="AD301" i="2"/>
  <c r="AE301" i="2"/>
  <c r="AF301" i="2"/>
  <c r="AG301" i="2"/>
  <c r="AH301" i="2"/>
  <c r="AI301" i="2"/>
  <c r="AJ301" i="2"/>
  <c r="AK301" i="2"/>
  <c r="AQ301" i="2"/>
  <c r="AR301" i="2"/>
  <c r="AS301" i="2"/>
  <c r="AT301" i="2"/>
  <c r="AU301" i="2"/>
  <c r="B302" i="2"/>
  <c r="C302" i="2"/>
  <c r="D302" i="2"/>
  <c r="E302" i="2"/>
  <c r="M302" i="2"/>
  <c r="N302" i="2"/>
  <c r="O302" i="2"/>
  <c r="P302" i="2"/>
  <c r="Q302" i="2"/>
  <c r="R302" i="2"/>
  <c r="S302" i="2"/>
  <c r="T302" i="2"/>
  <c r="U302" i="2"/>
  <c r="V302" i="2"/>
  <c r="W302" i="2"/>
  <c r="X302" i="2"/>
  <c r="Y302" i="2"/>
  <c r="Z302" i="2"/>
  <c r="AA302" i="2"/>
  <c r="AB302" i="2"/>
  <c r="AC302" i="2"/>
  <c r="AD302" i="2"/>
  <c r="AE302" i="2"/>
  <c r="AF302" i="2"/>
  <c r="AG302" i="2"/>
  <c r="AH302" i="2"/>
  <c r="AI302" i="2"/>
  <c r="AJ302" i="2"/>
  <c r="AK302" i="2"/>
  <c r="AQ302" i="2"/>
  <c r="AR302" i="2"/>
  <c r="AS302" i="2"/>
  <c r="AT302" i="2"/>
  <c r="AU302" i="2"/>
  <c r="B303" i="2"/>
  <c r="C303" i="2"/>
  <c r="D303" i="2"/>
  <c r="E303" i="2"/>
  <c r="M303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Z303" i="2"/>
  <c r="AA303" i="2"/>
  <c r="AB303" i="2"/>
  <c r="AC303" i="2"/>
  <c r="AD303" i="2"/>
  <c r="AE303" i="2"/>
  <c r="AF303" i="2"/>
  <c r="AG303" i="2"/>
  <c r="AH303" i="2"/>
  <c r="AI303" i="2"/>
  <c r="AJ303" i="2"/>
  <c r="AK303" i="2"/>
  <c r="AQ303" i="2"/>
  <c r="AR303" i="2"/>
  <c r="AS303" i="2"/>
  <c r="AT303" i="2"/>
  <c r="AU303" i="2"/>
  <c r="B304" i="2"/>
  <c r="C304" i="2"/>
  <c r="D304" i="2"/>
  <c r="E304" i="2"/>
  <c r="M304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Z304" i="2"/>
  <c r="AA304" i="2"/>
  <c r="AB304" i="2"/>
  <c r="AC304" i="2"/>
  <c r="AD304" i="2"/>
  <c r="AE304" i="2"/>
  <c r="AF304" i="2"/>
  <c r="AG304" i="2"/>
  <c r="AH304" i="2"/>
  <c r="AI304" i="2"/>
  <c r="AJ304" i="2"/>
  <c r="AK304" i="2"/>
  <c r="AQ304" i="2"/>
  <c r="AR304" i="2"/>
  <c r="AS304" i="2"/>
  <c r="AT304" i="2"/>
  <c r="AU304" i="2"/>
  <c r="B305" i="2"/>
  <c r="C305" i="2"/>
  <c r="D305" i="2"/>
  <c r="E305" i="2"/>
  <c r="M305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Z305" i="2"/>
  <c r="AA305" i="2"/>
  <c r="AB305" i="2"/>
  <c r="AC305" i="2"/>
  <c r="AD305" i="2"/>
  <c r="AE305" i="2"/>
  <c r="AF305" i="2"/>
  <c r="AG305" i="2"/>
  <c r="AH305" i="2"/>
  <c r="AI305" i="2"/>
  <c r="AJ305" i="2"/>
  <c r="AK305" i="2"/>
  <c r="AQ305" i="2"/>
  <c r="AR305" i="2"/>
  <c r="AS305" i="2"/>
  <c r="AT305" i="2"/>
  <c r="AU305" i="2"/>
  <c r="B306" i="2"/>
  <c r="C306" i="2"/>
  <c r="D306" i="2"/>
  <c r="E306" i="2"/>
  <c r="M306" i="2"/>
  <c r="N306" i="2"/>
  <c r="O306" i="2"/>
  <c r="P306" i="2"/>
  <c r="Q306" i="2"/>
  <c r="R306" i="2"/>
  <c r="S306" i="2"/>
  <c r="T306" i="2"/>
  <c r="U306" i="2"/>
  <c r="V306" i="2"/>
  <c r="W306" i="2"/>
  <c r="X306" i="2"/>
  <c r="Y306" i="2"/>
  <c r="Z306" i="2"/>
  <c r="AA306" i="2"/>
  <c r="AB306" i="2"/>
  <c r="AC306" i="2"/>
  <c r="AD306" i="2"/>
  <c r="AE306" i="2"/>
  <c r="AF306" i="2"/>
  <c r="AG306" i="2"/>
  <c r="AH306" i="2"/>
  <c r="AI306" i="2"/>
  <c r="AJ306" i="2"/>
  <c r="AK306" i="2"/>
  <c r="AQ306" i="2"/>
  <c r="AR306" i="2"/>
  <c r="AS306" i="2"/>
  <c r="AT306" i="2"/>
  <c r="AU306" i="2"/>
  <c r="B307" i="2"/>
  <c r="C307" i="2"/>
  <c r="D307" i="2"/>
  <c r="E307" i="2"/>
  <c r="M307" i="2"/>
  <c r="N307" i="2"/>
  <c r="O307" i="2"/>
  <c r="P307" i="2"/>
  <c r="Q307" i="2"/>
  <c r="R307" i="2"/>
  <c r="S307" i="2"/>
  <c r="T307" i="2"/>
  <c r="U307" i="2"/>
  <c r="V307" i="2"/>
  <c r="W307" i="2"/>
  <c r="X307" i="2"/>
  <c r="Y307" i="2"/>
  <c r="Z307" i="2"/>
  <c r="AA307" i="2"/>
  <c r="AB307" i="2"/>
  <c r="AC307" i="2"/>
  <c r="AD307" i="2"/>
  <c r="AE307" i="2"/>
  <c r="AF307" i="2"/>
  <c r="AG307" i="2"/>
  <c r="AH307" i="2"/>
  <c r="AI307" i="2"/>
  <c r="AJ307" i="2"/>
  <c r="AK307" i="2"/>
  <c r="AQ307" i="2"/>
  <c r="AR307" i="2"/>
  <c r="AS307" i="2"/>
  <c r="AT307" i="2"/>
  <c r="AU307" i="2"/>
  <c r="B308" i="2"/>
  <c r="C308" i="2"/>
  <c r="D308" i="2"/>
  <c r="E308" i="2"/>
  <c r="M308" i="2"/>
  <c r="N308" i="2"/>
  <c r="O308" i="2"/>
  <c r="P308" i="2"/>
  <c r="Q308" i="2"/>
  <c r="R308" i="2"/>
  <c r="S308" i="2"/>
  <c r="T308" i="2"/>
  <c r="U308" i="2"/>
  <c r="V308" i="2"/>
  <c r="W308" i="2"/>
  <c r="X308" i="2"/>
  <c r="Y308" i="2"/>
  <c r="Z308" i="2"/>
  <c r="AA308" i="2"/>
  <c r="AB308" i="2"/>
  <c r="AC308" i="2"/>
  <c r="AD308" i="2"/>
  <c r="AE308" i="2"/>
  <c r="AF308" i="2"/>
  <c r="AG308" i="2"/>
  <c r="AH308" i="2"/>
  <c r="AI308" i="2"/>
  <c r="AJ308" i="2"/>
  <c r="AK308" i="2"/>
  <c r="AQ308" i="2"/>
  <c r="AR308" i="2"/>
  <c r="AS308" i="2"/>
  <c r="AT308" i="2"/>
  <c r="AU308" i="2"/>
  <c r="B309" i="2"/>
  <c r="C309" i="2"/>
  <c r="D309" i="2"/>
  <c r="E309" i="2"/>
  <c r="M309" i="2"/>
  <c r="N309" i="2"/>
  <c r="O309" i="2"/>
  <c r="P309" i="2"/>
  <c r="Q309" i="2"/>
  <c r="R309" i="2"/>
  <c r="S309" i="2"/>
  <c r="T309" i="2"/>
  <c r="U309" i="2"/>
  <c r="V309" i="2"/>
  <c r="W309" i="2"/>
  <c r="X309" i="2"/>
  <c r="Y309" i="2"/>
  <c r="Z309" i="2"/>
  <c r="AA309" i="2"/>
  <c r="AB309" i="2"/>
  <c r="AC309" i="2"/>
  <c r="AD309" i="2"/>
  <c r="AE309" i="2"/>
  <c r="AF309" i="2"/>
  <c r="AG309" i="2"/>
  <c r="AH309" i="2"/>
  <c r="AI309" i="2"/>
  <c r="AJ309" i="2"/>
  <c r="AK309" i="2"/>
  <c r="AQ309" i="2"/>
  <c r="AR309" i="2"/>
  <c r="AS309" i="2"/>
  <c r="AT309" i="2"/>
  <c r="AU309" i="2"/>
  <c r="B310" i="2"/>
  <c r="C310" i="2"/>
  <c r="D310" i="2"/>
  <c r="E310" i="2"/>
  <c r="M310" i="2"/>
  <c r="N310" i="2"/>
  <c r="O310" i="2"/>
  <c r="P310" i="2"/>
  <c r="Q310" i="2"/>
  <c r="R310" i="2"/>
  <c r="S310" i="2"/>
  <c r="T310" i="2"/>
  <c r="U310" i="2"/>
  <c r="V310" i="2"/>
  <c r="W310" i="2"/>
  <c r="X310" i="2"/>
  <c r="Y310" i="2"/>
  <c r="Z310" i="2"/>
  <c r="AA310" i="2"/>
  <c r="AB310" i="2"/>
  <c r="AC310" i="2"/>
  <c r="AD310" i="2"/>
  <c r="AE310" i="2"/>
  <c r="AF310" i="2"/>
  <c r="AG310" i="2"/>
  <c r="AH310" i="2"/>
  <c r="AI310" i="2"/>
  <c r="AJ310" i="2"/>
  <c r="AK310" i="2"/>
  <c r="AQ310" i="2"/>
  <c r="AR310" i="2"/>
  <c r="AS310" i="2"/>
  <c r="AT310" i="2"/>
  <c r="AU310" i="2"/>
  <c r="B311" i="2"/>
  <c r="C311" i="2"/>
  <c r="D311" i="2"/>
  <c r="E311" i="2"/>
  <c r="M311" i="2"/>
  <c r="N311" i="2"/>
  <c r="O311" i="2"/>
  <c r="P311" i="2"/>
  <c r="Q311" i="2"/>
  <c r="R311" i="2"/>
  <c r="S311" i="2"/>
  <c r="T311" i="2"/>
  <c r="U311" i="2"/>
  <c r="V311" i="2"/>
  <c r="W311" i="2"/>
  <c r="X311" i="2"/>
  <c r="Y311" i="2"/>
  <c r="Z311" i="2"/>
  <c r="AA311" i="2"/>
  <c r="AB311" i="2"/>
  <c r="AC311" i="2"/>
  <c r="AD311" i="2"/>
  <c r="AE311" i="2"/>
  <c r="AF311" i="2"/>
  <c r="AG311" i="2"/>
  <c r="AH311" i="2"/>
  <c r="AI311" i="2"/>
  <c r="AJ311" i="2"/>
  <c r="AK311" i="2"/>
  <c r="AQ311" i="2"/>
  <c r="AR311" i="2"/>
  <c r="AS311" i="2"/>
  <c r="AT311" i="2"/>
  <c r="AU311" i="2"/>
  <c r="B312" i="2"/>
  <c r="C312" i="2"/>
  <c r="D312" i="2"/>
  <c r="E312" i="2"/>
  <c r="M312" i="2"/>
  <c r="N312" i="2"/>
  <c r="O312" i="2"/>
  <c r="P312" i="2"/>
  <c r="Q312" i="2"/>
  <c r="R312" i="2"/>
  <c r="S312" i="2"/>
  <c r="T312" i="2"/>
  <c r="U312" i="2"/>
  <c r="V312" i="2"/>
  <c r="W312" i="2"/>
  <c r="X312" i="2"/>
  <c r="Y312" i="2"/>
  <c r="Z312" i="2"/>
  <c r="AA312" i="2"/>
  <c r="AB312" i="2"/>
  <c r="AC312" i="2"/>
  <c r="AD312" i="2"/>
  <c r="AE312" i="2"/>
  <c r="AF312" i="2"/>
  <c r="AG312" i="2"/>
  <c r="AH312" i="2"/>
  <c r="AI312" i="2"/>
  <c r="AJ312" i="2"/>
  <c r="AK312" i="2"/>
  <c r="AQ312" i="2"/>
  <c r="AR312" i="2"/>
  <c r="AS312" i="2"/>
  <c r="AT312" i="2"/>
  <c r="AU312" i="2"/>
  <c r="B313" i="2"/>
  <c r="C313" i="2"/>
  <c r="D313" i="2"/>
  <c r="E313" i="2"/>
  <c r="M313" i="2"/>
  <c r="N313" i="2"/>
  <c r="O313" i="2"/>
  <c r="P313" i="2"/>
  <c r="Q313" i="2"/>
  <c r="R313" i="2"/>
  <c r="S313" i="2"/>
  <c r="T313" i="2"/>
  <c r="U313" i="2"/>
  <c r="V313" i="2"/>
  <c r="W313" i="2"/>
  <c r="X313" i="2"/>
  <c r="Y313" i="2"/>
  <c r="Z313" i="2"/>
  <c r="AA313" i="2"/>
  <c r="AB313" i="2"/>
  <c r="AC313" i="2"/>
  <c r="AD313" i="2"/>
  <c r="AE313" i="2"/>
  <c r="AF313" i="2"/>
  <c r="AG313" i="2"/>
  <c r="AH313" i="2"/>
  <c r="AI313" i="2"/>
  <c r="AJ313" i="2"/>
  <c r="AK313" i="2"/>
  <c r="AQ313" i="2"/>
  <c r="AR313" i="2"/>
  <c r="AS313" i="2"/>
  <c r="AT313" i="2"/>
  <c r="AU313" i="2"/>
  <c r="B314" i="2"/>
  <c r="C314" i="2"/>
  <c r="D314" i="2"/>
  <c r="E314" i="2"/>
  <c r="L314" i="2"/>
  <c r="M314" i="2"/>
  <c r="N314" i="2"/>
  <c r="O314" i="2"/>
  <c r="P314" i="2"/>
  <c r="Q314" i="2"/>
  <c r="R314" i="2"/>
  <c r="S314" i="2"/>
  <c r="T314" i="2"/>
  <c r="U314" i="2"/>
  <c r="V314" i="2"/>
  <c r="W314" i="2"/>
  <c r="X314" i="2"/>
  <c r="Y314" i="2"/>
  <c r="Z314" i="2"/>
  <c r="AA314" i="2"/>
  <c r="AB314" i="2"/>
  <c r="AC314" i="2"/>
  <c r="AD314" i="2"/>
  <c r="AE314" i="2"/>
  <c r="AF314" i="2"/>
  <c r="AG314" i="2"/>
  <c r="AH314" i="2"/>
  <c r="AI314" i="2"/>
  <c r="AJ314" i="2"/>
  <c r="AK314" i="2"/>
  <c r="AQ314" i="2"/>
  <c r="AR314" i="2"/>
  <c r="AS314" i="2"/>
  <c r="AT314" i="2"/>
  <c r="AU314" i="2"/>
  <c r="B315" i="2"/>
  <c r="C315" i="2"/>
  <c r="D315" i="2"/>
  <c r="E315" i="2"/>
  <c r="L315" i="2"/>
  <c r="M315" i="2"/>
  <c r="N315" i="2"/>
  <c r="O315" i="2"/>
  <c r="P315" i="2"/>
  <c r="Q315" i="2"/>
  <c r="R315" i="2"/>
  <c r="S315" i="2"/>
  <c r="T315" i="2"/>
  <c r="U315" i="2"/>
  <c r="V315" i="2"/>
  <c r="W315" i="2"/>
  <c r="X315" i="2"/>
  <c r="Y315" i="2"/>
  <c r="Z315" i="2"/>
  <c r="AA315" i="2"/>
  <c r="AB315" i="2"/>
  <c r="AC315" i="2"/>
  <c r="AD315" i="2"/>
  <c r="AE315" i="2"/>
  <c r="AF315" i="2"/>
  <c r="AG315" i="2"/>
  <c r="AH315" i="2"/>
  <c r="AI315" i="2"/>
  <c r="AJ315" i="2"/>
  <c r="AK315" i="2"/>
  <c r="AQ315" i="2"/>
  <c r="AR315" i="2"/>
  <c r="AS315" i="2"/>
  <c r="AT315" i="2"/>
  <c r="AU315" i="2"/>
  <c r="B316" i="2"/>
  <c r="C316" i="2"/>
  <c r="D316" i="2"/>
  <c r="E316" i="2"/>
  <c r="L316" i="2"/>
  <c r="M316" i="2"/>
  <c r="N316" i="2"/>
  <c r="O316" i="2"/>
  <c r="P316" i="2"/>
  <c r="Q316" i="2"/>
  <c r="R316" i="2"/>
  <c r="S316" i="2"/>
  <c r="T316" i="2"/>
  <c r="U316" i="2"/>
  <c r="V316" i="2"/>
  <c r="W316" i="2"/>
  <c r="X316" i="2"/>
  <c r="Y316" i="2"/>
  <c r="Z316" i="2"/>
  <c r="AA316" i="2"/>
  <c r="AB316" i="2"/>
  <c r="AC316" i="2"/>
  <c r="AD316" i="2"/>
  <c r="AE316" i="2"/>
  <c r="AF316" i="2"/>
  <c r="AG316" i="2"/>
  <c r="AH316" i="2"/>
  <c r="AI316" i="2"/>
  <c r="AJ316" i="2"/>
  <c r="AK316" i="2"/>
  <c r="AQ316" i="2"/>
  <c r="AR316" i="2"/>
  <c r="AS316" i="2"/>
  <c r="AT316" i="2"/>
  <c r="AU316" i="2"/>
  <c r="B317" i="2"/>
  <c r="C317" i="2"/>
  <c r="D317" i="2"/>
  <c r="E317" i="2"/>
  <c r="L317" i="2"/>
  <c r="M317" i="2"/>
  <c r="N317" i="2"/>
  <c r="O317" i="2"/>
  <c r="P317" i="2"/>
  <c r="Q317" i="2"/>
  <c r="R317" i="2"/>
  <c r="S317" i="2"/>
  <c r="T317" i="2"/>
  <c r="U317" i="2"/>
  <c r="V317" i="2"/>
  <c r="W317" i="2"/>
  <c r="X317" i="2"/>
  <c r="Y317" i="2"/>
  <c r="Z317" i="2"/>
  <c r="AA317" i="2"/>
  <c r="AB317" i="2"/>
  <c r="AC317" i="2"/>
  <c r="AD317" i="2"/>
  <c r="AE317" i="2"/>
  <c r="AF317" i="2"/>
  <c r="AG317" i="2"/>
  <c r="AH317" i="2"/>
  <c r="AI317" i="2"/>
  <c r="AJ317" i="2"/>
  <c r="AK317" i="2"/>
  <c r="AQ317" i="2"/>
  <c r="AR317" i="2"/>
  <c r="AS317" i="2"/>
  <c r="AT317" i="2"/>
  <c r="AU317" i="2"/>
  <c r="B318" i="2"/>
  <c r="C318" i="2"/>
  <c r="D318" i="2"/>
  <c r="E318" i="2"/>
  <c r="L318" i="2"/>
  <c r="M318" i="2"/>
  <c r="N318" i="2"/>
  <c r="O318" i="2"/>
  <c r="P318" i="2"/>
  <c r="Q318" i="2"/>
  <c r="R318" i="2"/>
  <c r="S318" i="2"/>
  <c r="T318" i="2"/>
  <c r="U318" i="2"/>
  <c r="V318" i="2"/>
  <c r="W318" i="2"/>
  <c r="X318" i="2"/>
  <c r="Y318" i="2"/>
  <c r="Z318" i="2"/>
  <c r="AA318" i="2"/>
  <c r="AB318" i="2"/>
  <c r="AC318" i="2"/>
  <c r="AD318" i="2"/>
  <c r="AE318" i="2"/>
  <c r="AF318" i="2"/>
  <c r="AG318" i="2"/>
  <c r="AH318" i="2"/>
  <c r="AI318" i="2"/>
  <c r="AJ318" i="2"/>
  <c r="AK318" i="2"/>
  <c r="AQ318" i="2"/>
  <c r="AR318" i="2"/>
  <c r="AS318" i="2"/>
  <c r="AT318" i="2"/>
  <c r="AU318" i="2"/>
  <c r="B319" i="2"/>
  <c r="C319" i="2"/>
  <c r="D319" i="2"/>
  <c r="E319" i="2"/>
  <c r="L319" i="2"/>
  <c r="M319" i="2"/>
  <c r="N319" i="2"/>
  <c r="O319" i="2"/>
  <c r="P319" i="2"/>
  <c r="Q319" i="2"/>
  <c r="R319" i="2"/>
  <c r="S319" i="2"/>
  <c r="T319" i="2"/>
  <c r="U319" i="2"/>
  <c r="V319" i="2"/>
  <c r="W319" i="2"/>
  <c r="X319" i="2"/>
  <c r="Y319" i="2"/>
  <c r="Z319" i="2"/>
  <c r="AA319" i="2"/>
  <c r="AB319" i="2"/>
  <c r="AC319" i="2"/>
  <c r="AD319" i="2"/>
  <c r="AE319" i="2"/>
  <c r="AF319" i="2"/>
  <c r="AG319" i="2"/>
  <c r="AH319" i="2"/>
  <c r="AI319" i="2"/>
  <c r="AJ319" i="2"/>
  <c r="AK319" i="2"/>
  <c r="AQ319" i="2"/>
  <c r="AR319" i="2"/>
  <c r="AS319" i="2"/>
  <c r="AT319" i="2"/>
  <c r="AU319" i="2"/>
  <c r="B320" i="2"/>
  <c r="C320" i="2"/>
  <c r="D320" i="2"/>
  <c r="E320" i="2"/>
  <c r="L320" i="2"/>
  <c r="M320" i="2"/>
  <c r="N320" i="2"/>
  <c r="O320" i="2"/>
  <c r="P320" i="2"/>
  <c r="Q320" i="2"/>
  <c r="R320" i="2"/>
  <c r="S320" i="2"/>
  <c r="T320" i="2"/>
  <c r="U320" i="2"/>
  <c r="V320" i="2"/>
  <c r="W320" i="2"/>
  <c r="X320" i="2"/>
  <c r="Y320" i="2"/>
  <c r="Z320" i="2"/>
  <c r="AA320" i="2"/>
  <c r="AB320" i="2"/>
  <c r="AC320" i="2"/>
  <c r="AD320" i="2"/>
  <c r="AE320" i="2"/>
  <c r="AF320" i="2"/>
  <c r="AG320" i="2"/>
  <c r="AH320" i="2"/>
  <c r="AI320" i="2"/>
  <c r="AJ320" i="2"/>
  <c r="AK320" i="2"/>
  <c r="AQ320" i="2"/>
  <c r="AR320" i="2"/>
  <c r="AS320" i="2"/>
  <c r="AT320" i="2"/>
  <c r="AU320" i="2"/>
  <c r="B321" i="2"/>
  <c r="C321" i="2"/>
  <c r="D321" i="2"/>
  <c r="E321" i="2"/>
  <c r="L321" i="2"/>
  <c r="M321" i="2"/>
  <c r="N321" i="2"/>
  <c r="O321" i="2"/>
  <c r="P321" i="2"/>
  <c r="Q321" i="2"/>
  <c r="R321" i="2"/>
  <c r="S321" i="2"/>
  <c r="T321" i="2"/>
  <c r="U321" i="2"/>
  <c r="V321" i="2"/>
  <c r="W321" i="2"/>
  <c r="X321" i="2"/>
  <c r="Y321" i="2"/>
  <c r="Z321" i="2"/>
  <c r="AA321" i="2"/>
  <c r="AB321" i="2"/>
  <c r="AC321" i="2"/>
  <c r="AD321" i="2"/>
  <c r="AE321" i="2"/>
  <c r="AF321" i="2"/>
  <c r="AG321" i="2"/>
  <c r="AH321" i="2"/>
  <c r="AI321" i="2"/>
  <c r="AJ321" i="2"/>
  <c r="AK321" i="2"/>
  <c r="AQ321" i="2"/>
  <c r="AR321" i="2"/>
  <c r="AS321" i="2"/>
  <c r="AT321" i="2"/>
  <c r="AU321" i="2"/>
  <c r="B322" i="2"/>
  <c r="C322" i="2"/>
  <c r="D322" i="2"/>
  <c r="E322" i="2"/>
  <c r="L322" i="2"/>
  <c r="M322" i="2"/>
  <c r="N322" i="2"/>
  <c r="O322" i="2"/>
  <c r="P322" i="2"/>
  <c r="Q322" i="2"/>
  <c r="R322" i="2"/>
  <c r="S322" i="2"/>
  <c r="T322" i="2"/>
  <c r="U322" i="2"/>
  <c r="V322" i="2"/>
  <c r="W322" i="2"/>
  <c r="X322" i="2"/>
  <c r="Y322" i="2"/>
  <c r="Z322" i="2"/>
  <c r="AA322" i="2"/>
  <c r="AB322" i="2"/>
  <c r="AC322" i="2"/>
  <c r="AD322" i="2"/>
  <c r="AE322" i="2"/>
  <c r="AF322" i="2"/>
  <c r="AG322" i="2"/>
  <c r="AH322" i="2"/>
  <c r="AI322" i="2"/>
  <c r="AJ322" i="2"/>
  <c r="AK322" i="2"/>
  <c r="AQ322" i="2"/>
  <c r="AR322" i="2"/>
  <c r="AS322" i="2"/>
  <c r="AT322" i="2"/>
  <c r="AU322" i="2"/>
  <c r="B323" i="2"/>
  <c r="C323" i="2"/>
  <c r="D323" i="2"/>
  <c r="E323" i="2"/>
  <c r="L323" i="2"/>
  <c r="M323" i="2"/>
  <c r="N323" i="2"/>
  <c r="O323" i="2"/>
  <c r="P323" i="2"/>
  <c r="Q323" i="2"/>
  <c r="R323" i="2"/>
  <c r="S323" i="2"/>
  <c r="T323" i="2"/>
  <c r="U323" i="2"/>
  <c r="V323" i="2"/>
  <c r="W323" i="2"/>
  <c r="X323" i="2"/>
  <c r="Y323" i="2"/>
  <c r="Z323" i="2"/>
  <c r="AA323" i="2"/>
  <c r="AB323" i="2"/>
  <c r="AC323" i="2"/>
  <c r="AD323" i="2"/>
  <c r="AE323" i="2"/>
  <c r="AF323" i="2"/>
  <c r="AG323" i="2"/>
  <c r="AH323" i="2"/>
  <c r="AI323" i="2"/>
  <c r="AJ323" i="2"/>
  <c r="AK323" i="2"/>
  <c r="AQ323" i="2"/>
  <c r="AR323" i="2"/>
  <c r="AS323" i="2"/>
  <c r="AT323" i="2"/>
  <c r="AU323" i="2"/>
  <c r="B324" i="2"/>
  <c r="C324" i="2"/>
  <c r="D324" i="2"/>
  <c r="E324" i="2"/>
  <c r="L324" i="2"/>
  <c r="M324" i="2"/>
  <c r="N324" i="2"/>
  <c r="O324" i="2"/>
  <c r="P324" i="2"/>
  <c r="Q324" i="2"/>
  <c r="R324" i="2"/>
  <c r="S324" i="2"/>
  <c r="T324" i="2"/>
  <c r="U324" i="2"/>
  <c r="V324" i="2"/>
  <c r="W324" i="2"/>
  <c r="X324" i="2"/>
  <c r="Y324" i="2"/>
  <c r="Z324" i="2"/>
  <c r="AA324" i="2"/>
  <c r="AB324" i="2"/>
  <c r="AC324" i="2"/>
  <c r="AD324" i="2"/>
  <c r="AE324" i="2"/>
  <c r="AF324" i="2"/>
  <c r="AG324" i="2"/>
  <c r="AH324" i="2"/>
  <c r="AI324" i="2"/>
  <c r="AJ324" i="2"/>
  <c r="AK324" i="2"/>
  <c r="AQ324" i="2"/>
  <c r="AR324" i="2"/>
  <c r="AS324" i="2"/>
  <c r="AT324" i="2"/>
  <c r="AU324" i="2"/>
  <c r="B325" i="2"/>
  <c r="C325" i="2"/>
  <c r="D325" i="2"/>
  <c r="E325" i="2"/>
  <c r="L325" i="2"/>
  <c r="M325" i="2"/>
  <c r="N325" i="2"/>
  <c r="O325" i="2"/>
  <c r="P325" i="2"/>
  <c r="Q325" i="2"/>
  <c r="R325" i="2"/>
  <c r="S325" i="2"/>
  <c r="T325" i="2"/>
  <c r="U325" i="2"/>
  <c r="V325" i="2"/>
  <c r="W325" i="2"/>
  <c r="X325" i="2"/>
  <c r="Y325" i="2"/>
  <c r="Z325" i="2"/>
  <c r="AA325" i="2"/>
  <c r="AB325" i="2"/>
  <c r="AC325" i="2"/>
  <c r="AD325" i="2"/>
  <c r="AE325" i="2"/>
  <c r="AF325" i="2"/>
  <c r="AG325" i="2"/>
  <c r="AH325" i="2"/>
  <c r="AI325" i="2"/>
  <c r="AJ325" i="2"/>
  <c r="AK325" i="2"/>
  <c r="AQ325" i="2"/>
  <c r="AR325" i="2"/>
  <c r="AS325" i="2"/>
  <c r="AT325" i="2"/>
  <c r="AU325" i="2"/>
  <c r="B326" i="2"/>
  <c r="C326" i="2"/>
  <c r="D326" i="2"/>
  <c r="E326" i="2"/>
  <c r="L326" i="2"/>
  <c r="M326" i="2"/>
  <c r="N326" i="2"/>
  <c r="O326" i="2"/>
  <c r="P326" i="2"/>
  <c r="Q326" i="2"/>
  <c r="R326" i="2"/>
  <c r="S326" i="2"/>
  <c r="T326" i="2"/>
  <c r="U326" i="2"/>
  <c r="V326" i="2"/>
  <c r="W326" i="2"/>
  <c r="X326" i="2"/>
  <c r="Y326" i="2"/>
  <c r="Z326" i="2"/>
  <c r="AA326" i="2"/>
  <c r="AB326" i="2"/>
  <c r="AC326" i="2"/>
  <c r="AD326" i="2"/>
  <c r="AE326" i="2"/>
  <c r="AF326" i="2"/>
  <c r="AG326" i="2"/>
  <c r="AH326" i="2"/>
  <c r="AI326" i="2"/>
  <c r="AJ326" i="2"/>
  <c r="AK326" i="2"/>
  <c r="AQ326" i="2"/>
  <c r="AR326" i="2"/>
  <c r="AS326" i="2"/>
  <c r="AT326" i="2"/>
  <c r="AU326" i="2"/>
  <c r="B327" i="2"/>
  <c r="C327" i="2"/>
  <c r="D327" i="2"/>
  <c r="E327" i="2"/>
  <c r="L327" i="2"/>
  <c r="M327" i="2"/>
  <c r="N327" i="2"/>
  <c r="O327" i="2"/>
  <c r="P327" i="2"/>
  <c r="Q327" i="2"/>
  <c r="R327" i="2"/>
  <c r="S327" i="2"/>
  <c r="T327" i="2"/>
  <c r="U327" i="2"/>
  <c r="V327" i="2"/>
  <c r="W327" i="2"/>
  <c r="X327" i="2"/>
  <c r="Y327" i="2"/>
  <c r="Z327" i="2"/>
  <c r="AA327" i="2"/>
  <c r="AB327" i="2"/>
  <c r="AC327" i="2"/>
  <c r="AD327" i="2"/>
  <c r="AE327" i="2"/>
  <c r="AF327" i="2"/>
  <c r="AG327" i="2"/>
  <c r="AH327" i="2"/>
  <c r="AI327" i="2"/>
  <c r="AJ327" i="2"/>
  <c r="AK327" i="2"/>
  <c r="AQ327" i="2"/>
  <c r="AR327" i="2"/>
  <c r="AS327" i="2"/>
  <c r="AT327" i="2"/>
  <c r="AU327" i="2"/>
  <c r="B328" i="2"/>
  <c r="C328" i="2"/>
  <c r="D328" i="2"/>
  <c r="E328" i="2"/>
  <c r="L328" i="2"/>
  <c r="M328" i="2"/>
  <c r="N328" i="2"/>
  <c r="O328" i="2"/>
  <c r="P328" i="2"/>
  <c r="Q328" i="2"/>
  <c r="R328" i="2"/>
  <c r="S328" i="2"/>
  <c r="T328" i="2"/>
  <c r="U328" i="2"/>
  <c r="V328" i="2"/>
  <c r="W328" i="2"/>
  <c r="X328" i="2"/>
  <c r="Y328" i="2"/>
  <c r="Z328" i="2"/>
  <c r="AA328" i="2"/>
  <c r="AB328" i="2"/>
  <c r="AC328" i="2"/>
  <c r="AD328" i="2"/>
  <c r="AE328" i="2"/>
  <c r="AF328" i="2"/>
  <c r="AG328" i="2"/>
  <c r="AH328" i="2"/>
  <c r="AI328" i="2"/>
  <c r="AJ328" i="2"/>
  <c r="AK328" i="2"/>
  <c r="AQ328" i="2"/>
  <c r="AR328" i="2"/>
  <c r="AS328" i="2"/>
  <c r="AT328" i="2"/>
  <c r="AU328" i="2"/>
  <c r="B329" i="2"/>
  <c r="C329" i="2"/>
  <c r="D329" i="2"/>
  <c r="E329" i="2"/>
  <c r="L329" i="2"/>
  <c r="M329" i="2"/>
  <c r="N329" i="2"/>
  <c r="O329" i="2"/>
  <c r="P329" i="2"/>
  <c r="Q329" i="2"/>
  <c r="R329" i="2"/>
  <c r="S329" i="2"/>
  <c r="T329" i="2"/>
  <c r="U329" i="2"/>
  <c r="V329" i="2"/>
  <c r="W329" i="2"/>
  <c r="X329" i="2"/>
  <c r="Y329" i="2"/>
  <c r="Z329" i="2"/>
  <c r="AA329" i="2"/>
  <c r="AB329" i="2"/>
  <c r="AC329" i="2"/>
  <c r="AD329" i="2"/>
  <c r="AE329" i="2"/>
  <c r="AF329" i="2"/>
  <c r="AG329" i="2"/>
  <c r="AH329" i="2"/>
  <c r="AI329" i="2"/>
  <c r="AJ329" i="2"/>
  <c r="AK329" i="2"/>
  <c r="AQ329" i="2"/>
  <c r="AR329" i="2"/>
  <c r="AS329" i="2"/>
  <c r="AT329" i="2"/>
  <c r="AU329" i="2"/>
  <c r="B330" i="2"/>
  <c r="C330" i="2"/>
  <c r="D330" i="2"/>
  <c r="E330" i="2"/>
  <c r="L330" i="2"/>
  <c r="M330" i="2"/>
  <c r="N330" i="2"/>
  <c r="O330" i="2"/>
  <c r="P330" i="2"/>
  <c r="Q330" i="2"/>
  <c r="R330" i="2"/>
  <c r="S330" i="2"/>
  <c r="T330" i="2"/>
  <c r="U330" i="2"/>
  <c r="V330" i="2"/>
  <c r="W330" i="2"/>
  <c r="X330" i="2"/>
  <c r="Y330" i="2"/>
  <c r="Z330" i="2"/>
  <c r="AA330" i="2"/>
  <c r="AB330" i="2"/>
  <c r="AC330" i="2"/>
  <c r="AD330" i="2"/>
  <c r="AE330" i="2"/>
  <c r="AF330" i="2"/>
  <c r="AG330" i="2"/>
  <c r="AH330" i="2"/>
  <c r="AI330" i="2"/>
  <c r="AJ330" i="2"/>
  <c r="AK330" i="2"/>
  <c r="AQ330" i="2"/>
  <c r="AR330" i="2"/>
  <c r="AS330" i="2"/>
  <c r="AT330" i="2"/>
  <c r="AU330" i="2"/>
  <c r="B331" i="2"/>
  <c r="C331" i="2"/>
  <c r="D331" i="2"/>
  <c r="E331" i="2"/>
  <c r="L331" i="2"/>
  <c r="M331" i="2"/>
  <c r="N331" i="2"/>
  <c r="O331" i="2"/>
  <c r="P331" i="2"/>
  <c r="Q331" i="2"/>
  <c r="R331" i="2"/>
  <c r="S331" i="2"/>
  <c r="T331" i="2"/>
  <c r="U331" i="2"/>
  <c r="V331" i="2"/>
  <c r="W331" i="2"/>
  <c r="X331" i="2"/>
  <c r="Y331" i="2"/>
  <c r="Z331" i="2"/>
  <c r="AA331" i="2"/>
  <c r="AB331" i="2"/>
  <c r="AC331" i="2"/>
  <c r="AD331" i="2"/>
  <c r="AE331" i="2"/>
  <c r="AF331" i="2"/>
  <c r="AG331" i="2"/>
  <c r="AH331" i="2"/>
  <c r="AI331" i="2"/>
  <c r="AJ331" i="2"/>
  <c r="AK331" i="2"/>
  <c r="AQ331" i="2"/>
  <c r="AR331" i="2"/>
  <c r="AS331" i="2"/>
  <c r="AT331" i="2"/>
  <c r="AU331" i="2"/>
  <c r="B332" i="2"/>
  <c r="C332" i="2"/>
  <c r="D332" i="2"/>
  <c r="E332" i="2"/>
  <c r="L332" i="2"/>
  <c r="M332" i="2"/>
  <c r="N332" i="2"/>
  <c r="O332" i="2"/>
  <c r="P332" i="2"/>
  <c r="Q332" i="2"/>
  <c r="R332" i="2"/>
  <c r="S332" i="2"/>
  <c r="T332" i="2"/>
  <c r="U332" i="2"/>
  <c r="V332" i="2"/>
  <c r="W332" i="2"/>
  <c r="X332" i="2"/>
  <c r="Y332" i="2"/>
  <c r="Z332" i="2"/>
  <c r="AA332" i="2"/>
  <c r="AB332" i="2"/>
  <c r="AC332" i="2"/>
  <c r="AD332" i="2"/>
  <c r="AE332" i="2"/>
  <c r="AF332" i="2"/>
  <c r="AG332" i="2"/>
  <c r="AH332" i="2"/>
  <c r="AI332" i="2"/>
  <c r="AJ332" i="2"/>
  <c r="AK332" i="2"/>
  <c r="AQ332" i="2"/>
  <c r="AR332" i="2"/>
  <c r="AS332" i="2"/>
  <c r="AT332" i="2"/>
  <c r="AU332" i="2"/>
  <c r="B333" i="2"/>
  <c r="C333" i="2"/>
  <c r="D333" i="2"/>
  <c r="E333" i="2"/>
  <c r="L333" i="2"/>
  <c r="M333" i="2"/>
  <c r="N333" i="2"/>
  <c r="O333" i="2"/>
  <c r="P333" i="2"/>
  <c r="Q333" i="2"/>
  <c r="R333" i="2"/>
  <c r="S333" i="2"/>
  <c r="T333" i="2"/>
  <c r="U333" i="2"/>
  <c r="V333" i="2"/>
  <c r="W333" i="2"/>
  <c r="X333" i="2"/>
  <c r="Y333" i="2"/>
  <c r="Z333" i="2"/>
  <c r="AA333" i="2"/>
  <c r="AB333" i="2"/>
  <c r="AC333" i="2"/>
  <c r="AD333" i="2"/>
  <c r="AE333" i="2"/>
  <c r="AF333" i="2"/>
  <c r="AG333" i="2"/>
  <c r="AH333" i="2"/>
  <c r="AI333" i="2"/>
  <c r="AJ333" i="2"/>
  <c r="AK333" i="2"/>
  <c r="AQ333" i="2"/>
  <c r="AR333" i="2"/>
  <c r="AS333" i="2"/>
  <c r="AT333" i="2"/>
  <c r="AU333" i="2"/>
  <c r="B334" i="2"/>
  <c r="C334" i="2"/>
  <c r="D334" i="2"/>
  <c r="E334" i="2"/>
  <c r="L334" i="2"/>
  <c r="M334" i="2"/>
  <c r="N334" i="2"/>
  <c r="O334" i="2"/>
  <c r="P334" i="2"/>
  <c r="Q334" i="2"/>
  <c r="R334" i="2"/>
  <c r="S334" i="2"/>
  <c r="T334" i="2"/>
  <c r="U334" i="2"/>
  <c r="V334" i="2"/>
  <c r="W334" i="2"/>
  <c r="X334" i="2"/>
  <c r="Y334" i="2"/>
  <c r="Z334" i="2"/>
  <c r="AA334" i="2"/>
  <c r="AB334" i="2"/>
  <c r="AC334" i="2"/>
  <c r="AD334" i="2"/>
  <c r="AE334" i="2"/>
  <c r="AF334" i="2"/>
  <c r="AG334" i="2"/>
  <c r="AH334" i="2"/>
  <c r="AI334" i="2"/>
  <c r="AJ334" i="2"/>
  <c r="AK334" i="2"/>
  <c r="AQ334" i="2"/>
  <c r="AR334" i="2"/>
  <c r="AS334" i="2"/>
  <c r="AT334" i="2"/>
  <c r="AU334" i="2"/>
  <c r="B335" i="2"/>
  <c r="C335" i="2"/>
  <c r="D335" i="2"/>
  <c r="E335" i="2"/>
  <c r="L335" i="2"/>
  <c r="M335" i="2"/>
  <c r="N335" i="2"/>
  <c r="O335" i="2"/>
  <c r="P335" i="2"/>
  <c r="Q335" i="2"/>
  <c r="R335" i="2"/>
  <c r="S335" i="2"/>
  <c r="T335" i="2"/>
  <c r="U335" i="2"/>
  <c r="V335" i="2"/>
  <c r="W335" i="2"/>
  <c r="X335" i="2"/>
  <c r="Y335" i="2"/>
  <c r="Z335" i="2"/>
  <c r="AA335" i="2"/>
  <c r="AB335" i="2"/>
  <c r="AC335" i="2"/>
  <c r="AD335" i="2"/>
  <c r="AE335" i="2"/>
  <c r="AF335" i="2"/>
  <c r="AG335" i="2"/>
  <c r="AH335" i="2"/>
  <c r="AI335" i="2"/>
  <c r="AJ335" i="2"/>
  <c r="AK335" i="2"/>
  <c r="AQ335" i="2"/>
  <c r="AR335" i="2"/>
  <c r="AS335" i="2"/>
  <c r="AT335" i="2"/>
  <c r="AU335" i="2"/>
  <c r="B336" i="2"/>
  <c r="C336" i="2"/>
  <c r="D336" i="2"/>
  <c r="E336" i="2"/>
  <c r="L336" i="2"/>
  <c r="M336" i="2"/>
  <c r="N336" i="2"/>
  <c r="O336" i="2"/>
  <c r="P336" i="2"/>
  <c r="Q336" i="2"/>
  <c r="R336" i="2"/>
  <c r="S336" i="2"/>
  <c r="T336" i="2"/>
  <c r="U336" i="2"/>
  <c r="V336" i="2"/>
  <c r="W336" i="2"/>
  <c r="X336" i="2"/>
  <c r="Y336" i="2"/>
  <c r="Z336" i="2"/>
  <c r="AA336" i="2"/>
  <c r="AB336" i="2"/>
  <c r="AC336" i="2"/>
  <c r="AD336" i="2"/>
  <c r="AE336" i="2"/>
  <c r="AF336" i="2"/>
  <c r="AG336" i="2"/>
  <c r="AH336" i="2"/>
  <c r="AI336" i="2"/>
  <c r="AJ336" i="2"/>
  <c r="AK336" i="2"/>
  <c r="AQ336" i="2"/>
  <c r="AR336" i="2"/>
  <c r="AS336" i="2"/>
  <c r="AT336" i="2"/>
  <c r="AU336" i="2"/>
  <c r="B337" i="2"/>
  <c r="C337" i="2"/>
  <c r="D337" i="2"/>
  <c r="E337" i="2"/>
  <c r="L337" i="2"/>
  <c r="M337" i="2"/>
  <c r="N337" i="2"/>
  <c r="O337" i="2"/>
  <c r="P337" i="2"/>
  <c r="Q337" i="2"/>
  <c r="R337" i="2"/>
  <c r="S337" i="2"/>
  <c r="T337" i="2"/>
  <c r="U337" i="2"/>
  <c r="V337" i="2"/>
  <c r="W337" i="2"/>
  <c r="X337" i="2"/>
  <c r="Y337" i="2"/>
  <c r="Z337" i="2"/>
  <c r="AA337" i="2"/>
  <c r="AB337" i="2"/>
  <c r="AC337" i="2"/>
  <c r="AD337" i="2"/>
  <c r="AE337" i="2"/>
  <c r="AF337" i="2"/>
  <c r="AG337" i="2"/>
  <c r="AH337" i="2"/>
  <c r="AI337" i="2"/>
  <c r="AJ337" i="2"/>
  <c r="AK337" i="2"/>
  <c r="AQ337" i="2"/>
  <c r="AR337" i="2"/>
  <c r="AS337" i="2"/>
  <c r="AT337" i="2"/>
  <c r="AU337" i="2"/>
  <c r="B338" i="2"/>
  <c r="C338" i="2"/>
  <c r="D338" i="2"/>
  <c r="E338" i="2"/>
  <c r="L338" i="2"/>
  <c r="M338" i="2"/>
  <c r="N338" i="2"/>
  <c r="O338" i="2"/>
  <c r="P338" i="2"/>
  <c r="Q338" i="2"/>
  <c r="R338" i="2"/>
  <c r="S338" i="2"/>
  <c r="T338" i="2"/>
  <c r="U338" i="2"/>
  <c r="V338" i="2"/>
  <c r="W338" i="2"/>
  <c r="X338" i="2"/>
  <c r="Y338" i="2"/>
  <c r="Z338" i="2"/>
  <c r="AA338" i="2"/>
  <c r="AB338" i="2"/>
  <c r="AC338" i="2"/>
  <c r="AD338" i="2"/>
  <c r="AE338" i="2"/>
  <c r="AF338" i="2"/>
  <c r="AG338" i="2"/>
  <c r="AH338" i="2"/>
  <c r="AI338" i="2"/>
  <c r="AJ338" i="2"/>
  <c r="AK338" i="2"/>
  <c r="AQ338" i="2"/>
  <c r="AR338" i="2"/>
  <c r="AS338" i="2"/>
  <c r="AT338" i="2"/>
  <c r="AU338" i="2"/>
  <c r="B339" i="2"/>
  <c r="C339" i="2"/>
  <c r="D339" i="2"/>
  <c r="E339" i="2"/>
  <c r="L339" i="2"/>
  <c r="M339" i="2"/>
  <c r="N339" i="2"/>
  <c r="O339" i="2"/>
  <c r="P339" i="2"/>
  <c r="Q339" i="2"/>
  <c r="R339" i="2"/>
  <c r="S339" i="2"/>
  <c r="T339" i="2"/>
  <c r="U339" i="2"/>
  <c r="V339" i="2"/>
  <c r="W339" i="2"/>
  <c r="X339" i="2"/>
  <c r="Y339" i="2"/>
  <c r="Z339" i="2"/>
  <c r="AA339" i="2"/>
  <c r="AB339" i="2"/>
  <c r="AC339" i="2"/>
  <c r="AD339" i="2"/>
  <c r="AE339" i="2"/>
  <c r="AF339" i="2"/>
  <c r="AG339" i="2"/>
  <c r="AH339" i="2"/>
  <c r="AI339" i="2"/>
  <c r="AJ339" i="2"/>
  <c r="AK339" i="2"/>
  <c r="AQ339" i="2"/>
  <c r="AR339" i="2"/>
  <c r="AS339" i="2"/>
  <c r="AT339" i="2"/>
  <c r="AU339" i="2"/>
  <c r="B340" i="2"/>
  <c r="C340" i="2"/>
  <c r="D340" i="2"/>
  <c r="E340" i="2"/>
  <c r="L340" i="2"/>
  <c r="M340" i="2"/>
  <c r="N340" i="2"/>
  <c r="O340" i="2"/>
  <c r="P340" i="2"/>
  <c r="Q340" i="2"/>
  <c r="R340" i="2"/>
  <c r="S340" i="2"/>
  <c r="T340" i="2"/>
  <c r="U340" i="2"/>
  <c r="V340" i="2"/>
  <c r="W340" i="2"/>
  <c r="X340" i="2"/>
  <c r="Y340" i="2"/>
  <c r="Z340" i="2"/>
  <c r="AA340" i="2"/>
  <c r="AB340" i="2"/>
  <c r="AC340" i="2"/>
  <c r="AD340" i="2"/>
  <c r="AE340" i="2"/>
  <c r="AF340" i="2"/>
  <c r="AG340" i="2"/>
  <c r="AH340" i="2"/>
  <c r="AI340" i="2"/>
  <c r="AJ340" i="2"/>
  <c r="AK340" i="2"/>
  <c r="AQ340" i="2"/>
  <c r="AR340" i="2"/>
  <c r="AS340" i="2"/>
  <c r="AT340" i="2"/>
  <c r="AU340" i="2"/>
  <c r="B341" i="2"/>
  <c r="C341" i="2"/>
  <c r="D341" i="2"/>
  <c r="E341" i="2"/>
  <c r="L341" i="2"/>
  <c r="M341" i="2"/>
  <c r="N341" i="2"/>
  <c r="O341" i="2"/>
  <c r="P341" i="2"/>
  <c r="Q341" i="2"/>
  <c r="R341" i="2"/>
  <c r="S341" i="2"/>
  <c r="T341" i="2"/>
  <c r="U341" i="2"/>
  <c r="V341" i="2"/>
  <c r="W341" i="2"/>
  <c r="X341" i="2"/>
  <c r="Y341" i="2"/>
  <c r="Z341" i="2"/>
  <c r="AA341" i="2"/>
  <c r="AB341" i="2"/>
  <c r="AC341" i="2"/>
  <c r="AD341" i="2"/>
  <c r="AE341" i="2"/>
  <c r="AF341" i="2"/>
  <c r="AG341" i="2"/>
  <c r="AH341" i="2"/>
  <c r="AI341" i="2"/>
  <c r="AJ341" i="2"/>
  <c r="AK341" i="2"/>
  <c r="AQ341" i="2"/>
  <c r="AR341" i="2"/>
  <c r="AS341" i="2"/>
  <c r="AT341" i="2"/>
  <c r="AU341" i="2"/>
  <c r="B342" i="2"/>
  <c r="C342" i="2"/>
  <c r="D342" i="2"/>
  <c r="E342" i="2"/>
  <c r="L342" i="2"/>
  <c r="M342" i="2"/>
  <c r="N342" i="2"/>
  <c r="O342" i="2"/>
  <c r="P342" i="2"/>
  <c r="Q342" i="2"/>
  <c r="R342" i="2"/>
  <c r="S342" i="2"/>
  <c r="T342" i="2"/>
  <c r="U342" i="2"/>
  <c r="V342" i="2"/>
  <c r="W342" i="2"/>
  <c r="X342" i="2"/>
  <c r="Y342" i="2"/>
  <c r="Z342" i="2"/>
  <c r="AA342" i="2"/>
  <c r="AB342" i="2"/>
  <c r="AC342" i="2"/>
  <c r="AD342" i="2"/>
  <c r="AE342" i="2"/>
  <c r="AF342" i="2"/>
  <c r="AG342" i="2"/>
  <c r="AH342" i="2"/>
  <c r="AI342" i="2"/>
  <c r="AJ342" i="2"/>
  <c r="AK342" i="2"/>
  <c r="AQ342" i="2"/>
  <c r="AR342" i="2"/>
  <c r="AS342" i="2"/>
  <c r="AT342" i="2"/>
  <c r="AU342" i="2"/>
  <c r="B343" i="2"/>
  <c r="C343" i="2"/>
  <c r="D343" i="2"/>
  <c r="E343" i="2"/>
  <c r="L343" i="2"/>
  <c r="M343" i="2"/>
  <c r="N343" i="2"/>
  <c r="O343" i="2"/>
  <c r="P343" i="2"/>
  <c r="Q343" i="2"/>
  <c r="R343" i="2"/>
  <c r="S343" i="2"/>
  <c r="T343" i="2"/>
  <c r="U343" i="2"/>
  <c r="V343" i="2"/>
  <c r="W343" i="2"/>
  <c r="X343" i="2"/>
  <c r="Y343" i="2"/>
  <c r="Z343" i="2"/>
  <c r="AA343" i="2"/>
  <c r="AB343" i="2"/>
  <c r="AC343" i="2"/>
  <c r="AD343" i="2"/>
  <c r="AE343" i="2"/>
  <c r="AF343" i="2"/>
  <c r="AG343" i="2"/>
  <c r="AH343" i="2"/>
  <c r="AI343" i="2"/>
  <c r="AJ343" i="2"/>
  <c r="AK343" i="2"/>
  <c r="AQ343" i="2"/>
  <c r="AR343" i="2"/>
  <c r="AS343" i="2"/>
  <c r="AT343" i="2"/>
  <c r="AU343" i="2"/>
  <c r="B344" i="2"/>
  <c r="C344" i="2"/>
  <c r="D344" i="2"/>
  <c r="E344" i="2"/>
  <c r="L344" i="2"/>
  <c r="M344" i="2"/>
  <c r="N344" i="2"/>
  <c r="O344" i="2"/>
  <c r="P344" i="2"/>
  <c r="Q344" i="2"/>
  <c r="R344" i="2"/>
  <c r="S344" i="2"/>
  <c r="T344" i="2"/>
  <c r="U344" i="2"/>
  <c r="V344" i="2"/>
  <c r="W344" i="2"/>
  <c r="X344" i="2"/>
  <c r="Y344" i="2"/>
  <c r="Z344" i="2"/>
  <c r="AA344" i="2"/>
  <c r="AB344" i="2"/>
  <c r="AC344" i="2"/>
  <c r="AD344" i="2"/>
  <c r="AE344" i="2"/>
  <c r="AF344" i="2"/>
  <c r="AG344" i="2"/>
  <c r="AH344" i="2"/>
  <c r="AI344" i="2"/>
  <c r="AJ344" i="2"/>
  <c r="AK344" i="2"/>
  <c r="AQ344" i="2"/>
  <c r="AR344" i="2"/>
  <c r="AS344" i="2"/>
  <c r="AT344" i="2"/>
  <c r="AU344" i="2"/>
  <c r="B345" i="2"/>
  <c r="C345" i="2"/>
  <c r="D345" i="2"/>
  <c r="E345" i="2"/>
  <c r="L345" i="2"/>
  <c r="M345" i="2"/>
  <c r="N345" i="2"/>
  <c r="O345" i="2"/>
  <c r="P345" i="2"/>
  <c r="Q345" i="2"/>
  <c r="R345" i="2"/>
  <c r="S345" i="2"/>
  <c r="T345" i="2"/>
  <c r="U345" i="2"/>
  <c r="V345" i="2"/>
  <c r="W345" i="2"/>
  <c r="X345" i="2"/>
  <c r="Y345" i="2"/>
  <c r="Z345" i="2"/>
  <c r="AA345" i="2"/>
  <c r="AB345" i="2"/>
  <c r="AC345" i="2"/>
  <c r="AD345" i="2"/>
  <c r="AE345" i="2"/>
  <c r="AF345" i="2"/>
  <c r="AG345" i="2"/>
  <c r="AH345" i="2"/>
  <c r="AI345" i="2"/>
  <c r="AJ345" i="2"/>
  <c r="AK345" i="2"/>
  <c r="AQ345" i="2"/>
  <c r="AR345" i="2"/>
  <c r="AS345" i="2"/>
  <c r="AT345" i="2"/>
  <c r="AU345" i="2"/>
  <c r="B346" i="2"/>
  <c r="C346" i="2"/>
  <c r="D346" i="2"/>
  <c r="E346" i="2"/>
  <c r="L346" i="2"/>
  <c r="M346" i="2"/>
  <c r="N346" i="2"/>
  <c r="O346" i="2"/>
  <c r="P346" i="2"/>
  <c r="Q346" i="2"/>
  <c r="R346" i="2"/>
  <c r="S346" i="2"/>
  <c r="T346" i="2"/>
  <c r="U346" i="2"/>
  <c r="V346" i="2"/>
  <c r="W346" i="2"/>
  <c r="X346" i="2"/>
  <c r="Y346" i="2"/>
  <c r="Z346" i="2"/>
  <c r="AA346" i="2"/>
  <c r="AB346" i="2"/>
  <c r="AC346" i="2"/>
  <c r="AD346" i="2"/>
  <c r="AE346" i="2"/>
  <c r="AF346" i="2"/>
  <c r="AG346" i="2"/>
  <c r="AH346" i="2"/>
  <c r="AI346" i="2"/>
  <c r="AJ346" i="2"/>
  <c r="AK346" i="2"/>
  <c r="AQ346" i="2"/>
  <c r="AR346" i="2"/>
  <c r="AS346" i="2"/>
  <c r="AT346" i="2"/>
  <c r="AU346" i="2"/>
  <c r="B347" i="2"/>
  <c r="C347" i="2"/>
  <c r="D347" i="2"/>
  <c r="E347" i="2"/>
  <c r="L347" i="2"/>
  <c r="M347" i="2"/>
  <c r="N347" i="2"/>
  <c r="O347" i="2"/>
  <c r="P347" i="2"/>
  <c r="Q347" i="2"/>
  <c r="R347" i="2"/>
  <c r="S347" i="2"/>
  <c r="T347" i="2"/>
  <c r="U347" i="2"/>
  <c r="V347" i="2"/>
  <c r="W347" i="2"/>
  <c r="X347" i="2"/>
  <c r="Y347" i="2"/>
  <c r="Z347" i="2"/>
  <c r="AA347" i="2"/>
  <c r="AB347" i="2"/>
  <c r="AC347" i="2"/>
  <c r="AD347" i="2"/>
  <c r="AE347" i="2"/>
  <c r="AF347" i="2"/>
  <c r="AG347" i="2"/>
  <c r="AH347" i="2"/>
  <c r="AI347" i="2"/>
  <c r="AJ347" i="2"/>
  <c r="AK347" i="2"/>
  <c r="AQ347" i="2"/>
  <c r="AR347" i="2"/>
  <c r="AS347" i="2"/>
  <c r="AT347" i="2"/>
  <c r="AU347" i="2"/>
  <c r="B348" i="2"/>
  <c r="C348" i="2"/>
  <c r="D348" i="2"/>
  <c r="E348" i="2"/>
  <c r="L348" i="2"/>
  <c r="M348" i="2"/>
  <c r="N348" i="2"/>
  <c r="O348" i="2"/>
  <c r="P348" i="2"/>
  <c r="Q348" i="2"/>
  <c r="R348" i="2"/>
  <c r="S348" i="2"/>
  <c r="T348" i="2"/>
  <c r="U348" i="2"/>
  <c r="V348" i="2"/>
  <c r="W348" i="2"/>
  <c r="X348" i="2"/>
  <c r="Y348" i="2"/>
  <c r="Z348" i="2"/>
  <c r="AA348" i="2"/>
  <c r="AB348" i="2"/>
  <c r="AC348" i="2"/>
  <c r="AD348" i="2"/>
  <c r="AE348" i="2"/>
  <c r="AF348" i="2"/>
  <c r="AG348" i="2"/>
  <c r="AH348" i="2"/>
  <c r="AI348" i="2"/>
  <c r="AJ348" i="2"/>
  <c r="AK348" i="2"/>
  <c r="AQ348" i="2"/>
  <c r="AR348" i="2"/>
  <c r="AS348" i="2"/>
  <c r="AT348" i="2"/>
  <c r="AU348" i="2"/>
  <c r="B349" i="2"/>
  <c r="C349" i="2"/>
  <c r="D349" i="2"/>
  <c r="E349" i="2"/>
  <c r="L349" i="2"/>
  <c r="M349" i="2"/>
  <c r="N349" i="2"/>
  <c r="O349" i="2"/>
  <c r="P349" i="2"/>
  <c r="Q349" i="2"/>
  <c r="R349" i="2"/>
  <c r="S349" i="2"/>
  <c r="T349" i="2"/>
  <c r="U349" i="2"/>
  <c r="V349" i="2"/>
  <c r="W349" i="2"/>
  <c r="X349" i="2"/>
  <c r="Y349" i="2"/>
  <c r="Z349" i="2"/>
  <c r="AA349" i="2"/>
  <c r="AB349" i="2"/>
  <c r="AC349" i="2"/>
  <c r="AD349" i="2"/>
  <c r="AE349" i="2"/>
  <c r="AF349" i="2"/>
  <c r="AG349" i="2"/>
  <c r="AH349" i="2"/>
  <c r="AI349" i="2"/>
  <c r="AJ349" i="2"/>
  <c r="AK349" i="2"/>
  <c r="AQ349" i="2"/>
  <c r="AR349" i="2"/>
  <c r="AS349" i="2"/>
  <c r="AT349" i="2"/>
  <c r="AU349" i="2"/>
  <c r="B350" i="2"/>
  <c r="C350" i="2"/>
  <c r="D350" i="2"/>
  <c r="E350" i="2"/>
  <c r="L350" i="2"/>
  <c r="M350" i="2"/>
  <c r="N350" i="2"/>
  <c r="O350" i="2"/>
  <c r="P350" i="2"/>
  <c r="Q350" i="2"/>
  <c r="R350" i="2"/>
  <c r="S350" i="2"/>
  <c r="T350" i="2"/>
  <c r="U350" i="2"/>
  <c r="V350" i="2"/>
  <c r="W350" i="2"/>
  <c r="X350" i="2"/>
  <c r="Y350" i="2"/>
  <c r="Z350" i="2"/>
  <c r="AA350" i="2"/>
  <c r="AB350" i="2"/>
  <c r="AC350" i="2"/>
  <c r="AD350" i="2"/>
  <c r="AE350" i="2"/>
  <c r="AF350" i="2"/>
  <c r="AG350" i="2"/>
  <c r="AH350" i="2"/>
  <c r="AI350" i="2"/>
  <c r="AJ350" i="2"/>
  <c r="AK350" i="2"/>
  <c r="AQ350" i="2"/>
  <c r="AR350" i="2"/>
  <c r="AS350" i="2"/>
  <c r="AT350" i="2"/>
  <c r="AU350" i="2"/>
  <c r="B351" i="2"/>
  <c r="C351" i="2"/>
  <c r="D351" i="2"/>
  <c r="E351" i="2"/>
  <c r="L351" i="2"/>
  <c r="M351" i="2"/>
  <c r="N351" i="2"/>
  <c r="O351" i="2"/>
  <c r="P351" i="2"/>
  <c r="Q351" i="2"/>
  <c r="R351" i="2"/>
  <c r="S351" i="2"/>
  <c r="T351" i="2"/>
  <c r="U351" i="2"/>
  <c r="V351" i="2"/>
  <c r="W351" i="2"/>
  <c r="X351" i="2"/>
  <c r="Y351" i="2"/>
  <c r="Z351" i="2"/>
  <c r="AA351" i="2"/>
  <c r="AB351" i="2"/>
  <c r="AC351" i="2"/>
  <c r="AD351" i="2"/>
  <c r="AE351" i="2"/>
  <c r="AF351" i="2"/>
  <c r="AG351" i="2"/>
  <c r="AH351" i="2"/>
  <c r="AI351" i="2"/>
  <c r="AJ351" i="2"/>
  <c r="AK351" i="2"/>
  <c r="AQ351" i="2"/>
  <c r="AR351" i="2"/>
  <c r="AS351" i="2"/>
  <c r="AT351" i="2"/>
  <c r="AU351" i="2"/>
  <c r="B352" i="2"/>
  <c r="C352" i="2"/>
  <c r="D352" i="2"/>
  <c r="E352" i="2"/>
  <c r="L352" i="2"/>
  <c r="M352" i="2"/>
  <c r="N352" i="2"/>
  <c r="O352" i="2"/>
  <c r="P352" i="2"/>
  <c r="Q352" i="2"/>
  <c r="R352" i="2"/>
  <c r="S352" i="2"/>
  <c r="T352" i="2"/>
  <c r="U352" i="2"/>
  <c r="V352" i="2"/>
  <c r="W352" i="2"/>
  <c r="X352" i="2"/>
  <c r="Y352" i="2"/>
  <c r="Z352" i="2"/>
  <c r="AA352" i="2"/>
  <c r="AB352" i="2"/>
  <c r="AC352" i="2"/>
  <c r="AD352" i="2"/>
  <c r="AE352" i="2"/>
  <c r="AF352" i="2"/>
  <c r="AG352" i="2"/>
  <c r="AH352" i="2"/>
  <c r="AI352" i="2"/>
  <c r="AJ352" i="2"/>
  <c r="AK352" i="2"/>
  <c r="AQ352" i="2"/>
  <c r="AR352" i="2"/>
  <c r="AS352" i="2"/>
  <c r="AT352" i="2"/>
  <c r="AU352" i="2"/>
  <c r="B353" i="2"/>
  <c r="C353" i="2"/>
  <c r="D353" i="2"/>
  <c r="E353" i="2"/>
  <c r="L353" i="2"/>
  <c r="M353" i="2"/>
  <c r="N353" i="2"/>
  <c r="O353" i="2"/>
  <c r="P353" i="2"/>
  <c r="Q353" i="2"/>
  <c r="R353" i="2"/>
  <c r="S353" i="2"/>
  <c r="T353" i="2"/>
  <c r="U353" i="2"/>
  <c r="V353" i="2"/>
  <c r="W353" i="2"/>
  <c r="X353" i="2"/>
  <c r="Y353" i="2"/>
  <c r="Z353" i="2"/>
  <c r="AA353" i="2"/>
  <c r="AB353" i="2"/>
  <c r="AC353" i="2"/>
  <c r="AD353" i="2"/>
  <c r="AE353" i="2"/>
  <c r="AF353" i="2"/>
  <c r="AG353" i="2"/>
  <c r="AH353" i="2"/>
  <c r="AI353" i="2"/>
  <c r="AJ353" i="2"/>
  <c r="AK353" i="2"/>
  <c r="AQ353" i="2"/>
  <c r="AR353" i="2"/>
  <c r="AS353" i="2"/>
  <c r="AT353" i="2"/>
  <c r="AU353" i="2"/>
  <c r="B354" i="2"/>
  <c r="C354" i="2"/>
  <c r="D354" i="2"/>
  <c r="E354" i="2"/>
  <c r="L354" i="2"/>
  <c r="M354" i="2"/>
  <c r="N354" i="2"/>
  <c r="O354" i="2"/>
  <c r="P354" i="2"/>
  <c r="Q354" i="2"/>
  <c r="R354" i="2"/>
  <c r="S354" i="2"/>
  <c r="T354" i="2"/>
  <c r="U354" i="2"/>
  <c r="V354" i="2"/>
  <c r="W354" i="2"/>
  <c r="X354" i="2"/>
  <c r="Y354" i="2"/>
  <c r="Z354" i="2"/>
  <c r="AA354" i="2"/>
  <c r="AB354" i="2"/>
  <c r="AC354" i="2"/>
  <c r="AD354" i="2"/>
  <c r="AE354" i="2"/>
  <c r="AF354" i="2"/>
  <c r="AG354" i="2"/>
  <c r="AH354" i="2"/>
  <c r="AI354" i="2"/>
  <c r="AJ354" i="2"/>
  <c r="AK354" i="2"/>
  <c r="AQ354" i="2"/>
  <c r="AR354" i="2"/>
  <c r="AS354" i="2"/>
  <c r="AT354" i="2"/>
  <c r="AU354" i="2"/>
  <c r="B355" i="2"/>
  <c r="C355" i="2"/>
  <c r="D355" i="2"/>
  <c r="E355" i="2"/>
  <c r="L355" i="2"/>
  <c r="M355" i="2"/>
  <c r="N355" i="2"/>
  <c r="O355" i="2"/>
  <c r="P355" i="2"/>
  <c r="Q355" i="2"/>
  <c r="R355" i="2"/>
  <c r="S355" i="2"/>
  <c r="T355" i="2"/>
  <c r="U355" i="2"/>
  <c r="V355" i="2"/>
  <c r="W355" i="2"/>
  <c r="X355" i="2"/>
  <c r="Y355" i="2"/>
  <c r="Z355" i="2"/>
  <c r="AA355" i="2"/>
  <c r="AB355" i="2"/>
  <c r="AC355" i="2"/>
  <c r="AD355" i="2"/>
  <c r="AE355" i="2"/>
  <c r="AF355" i="2"/>
  <c r="AG355" i="2"/>
  <c r="AH355" i="2"/>
  <c r="AI355" i="2"/>
  <c r="AJ355" i="2"/>
  <c r="AK355" i="2"/>
  <c r="AQ355" i="2"/>
  <c r="AR355" i="2"/>
  <c r="AS355" i="2"/>
  <c r="AT355" i="2"/>
  <c r="AU355" i="2"/>
  <c r="B356" i="2"/>
  <c r="C356" i="2"/>
  <c r="D356" i="2"/>
  <c r="E356" i="2"/>
  <c r="L356" i="2"/>
  <c r="M356" i="2"/>
  <c r="N356" i="2"/>
  <c r="O356" i="2"/>
  <c r="P356" i="2"/>
  <c r="Q356" i="2"/>
  <c r="R356" i="2"/>
  <c r="S356" i="2"/>
  <c r="T356" i="2"/>
  <c r="U356" i="2"/>
  <c r="V356" i="2"/>
  <c r="W356" i="2"/>
  <c r="X356" i="2"/>
  <c r="Y356" i="2"/>
  <c r="Z356" i="2"/>
  <c r="AA356" i="2"/>
  <c r="AB356" i="2"/>
  <c r="AC356" i="2"/>
  <c r="AD356" i="2"/>
  <c r="AE356" i="2"/>
  <c r="AF356" i="2"/>
  <c r="AG356" i="2"/>
  <c r="AH356" i="2"/>
  <c r="AI356" i="2"/>
  <c r="AJ356" i="2"/>
  <c r="AK356" i="2"/>
  <c r="AQ356" i="2"/>
  <c r="AR356" i="2"/>
  <c r="AS356" i="2"/>
  <c r="AT356" i="2"/>
  <c r="AU356" i="2"/>
  <c r="B357" i="2"/>
  <c r="C357" i="2"/>
  <c r="D357" i="2"/>
  <c r="E357" i="2"/>
  <c r="L357" i="2"/>
  <c r="M357" i="2"/>
  <c r="N357" i="2"/>
  <c r="O357" i="2"/>
  <c r="P357" i="2"/>
  <c r="Q357" i="2"/>
  <c r="R357" i="2"/>
  <c r="S357" i="2"/>
  <c r="T357" i="2"/>
  <c r="U357" i="2"/>
  <c r="V357" i="2"/>
  <c r="W357" i="2"/>
  <c r="X357" i="2"/>
  <c r="Y357" i="2"/>
  <c r="Z357" i="2"/>
  <c r="AA357" i="2"/>
  <c r="AB357" i="2"/>
  <c r="AC357" i="2"/>
  <c r="AD357" i="2"/>
  <c r="AE357" i="2"/>
  <c r="AF357" i="2"/>
  <c r="AG357" i="2"/>
  <c r="AH357" i="2"/>
  <c r="AI357" i="2"/>
  <c r="AJ357" i="2"/>
  <c r="AK357" i="2"/>
  <c r="AQ357" i="2"/>
  <c r="AR357" i="2"/>
  <c r="AS357" i="2"/>
  <c r="AT357" i="2"/>
  <c r="AU357" i="2"/>
  <c r="B358" i="2"/>
  <c r="C358" i="2"/>
  <c r="D358" i="2"/>
  <c r="E358" i="2"/>
  <c r="L358" i="2"/>
  <c r="M358" i="2"/>
  <c r="N358" i="2"/>
  <c r="O358" i="2"/>
  <c r="P358" i="2"/>
  <c r="Q358" i="2"/>
  <c r="R358" i="2"/>
  <c r="S358" i="2"/>
  <c r="T358" i="2"/>
  <c r="U358" i="2"/>
  <c r="V358" i="2"/>
  <c r="W358" i="2"/>
  <c r="X358" i="2"/>
  <c r="Y358" i="2"/>
  <c r="Z358" i="2"/>
  <c r="AA358" i="2"/>
  <c r="AB358" i="2"/>
  <c r="AC358" i="2"/>
  <c r="AD358" i="2"/>
  <c r="AE358" i="2"/>
  <c r="AF358" i="2"/>
  <c r="AG358" i="2"/>
  <c r="AH358" i="2"/>
  <c r="AI358" i="2"/>
  <c r="AJ358" i="2"/>
  <c r="AK358" i="2"/>
  <c r="AQ358" i="2"/>
  <c r="AR358" i="2"/>
  <c r="AS358" i="2"/>
  <c r="AT358" i="2"/>
  <c r="AU358" i="2"/>
  <c r="B359" i="2"/>
  <c r="C359" i="2"/>
  <c r="D359" i="2"/>
  <c r="E359" i="2"/>
  <c r="L359" i="2"/>
  <c r="M359" i="2"/>
  <c r="N359" i="2"/>
  <c r="O359" i="2"/>
  <c r="P359" i="2"/>
  <c r="Q359" i="2"/>
  <c r="R359" i="2"/>
  <c r="S359" i="2"/>
  <c r="T359" i="2"/>
  <c r="U359" i="2"/>
  <c r="V359" i="2"/>
  <c r="W359" i="2"/>
  <c r="X359" i="2"/>
  <c r="Y359" i="2"/>
  <c r="Z359" i="2"/>
  <c r="AA359" i="2"/>
  <c r="AB359" i="2"/>
  <c r="AC359" i="2"/>
  <c r="AD359" i="2"/>
  <c r="AE359" i="2"/>
  <c r="AF359" i="2"/>
  <c r="AG359" i="2"/>
  <c r="AH359" i="2"/>
  <c r="AI359" i="2"/>
  <c r="AJ359" i="2"/>
  <c r="AK359" i="2"/>
  <c r="AQ359" i="2"/>
  <c r="AR359" i="2"/>
  <c r="AS359" i="2"/>
  <c r="AT359" i="2"/>
  <c r="AU359" i="2"/>
  <c r="B360" i="2"/>
  <c r="C360" i="2"/>
  <c r="D360" i="2"/>
  <c r="E360" i="2"/>
  <c r="L360" i="2"/>
  <c r="M360" i="2"/>
  <c r="N360" i="2"/>
  <c r="O360" i="2"/>
  <c r="P360" i="2"/>
  <c r="Q360" i="2"/>
  <c r="R360" i="2"/>
  <c r="S360" i="2"/>
  <c r="T360" i="2"/>
  <c r="U360" i="2"/>
  <c r="V360" i="2"/>
  <c r="W360" i="2"/>
  <c r="X360" i="2"/>
  <c r="Y360" i="2"/>
  <c r="Z360" i="2"/>
  <c r="AA360" i="2"/>
  <c r="AB360" i="2"/>
  <c r="AC360" i="2"/>
  <c r="AD360" i="2"/>
  <c r="AE360" i="2"/>
  <c r="AF360" i="2"/>
  <c r="AG360" i="2"/>
  <c r="AH360" i="2"/>
  <c r="AI360" i="2"/>
  <c r="AJ360" i="2"/>
  <c r="AK360" i="2"/>
  <c r="AQ360" i="2"/>
  <c r="AR360" i="2"/>
  <c r="AS360" i="2"/>
  <c r="AT360" i="2"/>
  <c r="AU360" i="2"/>
  <c r="B361" i="2"/>
  <c r="C361" i="2"/>
  <c r="D361" i="2"/>
  <c r="E361" i="2"/>
  <c r="L361" i="2"/>
  <c r="M361" i="2"/>
  <c r="N361" i="2"/>
  <c r="O361" i="2"/>
  <c r="P361" i="2"/>
  <c r="Q361" i="2"/>
  <c r="R361" i="2"/>
  <c r="S361" i="2"/>
  <c r="T361" i="2"/>
  <c r="U361" i="2"/>
  <c r="V361" i="2"/>
  <c r="W361" i="2"/>
  <c r="X361" i="2"/>
  <c r="Y361" i="2"/>
  <c r="Z361" i="2"/>
  <c r="AA361" i="2"/>
  <c r="AB361" i="2"/>
  <c r="AC361" i="2"/>
  <c r="AD361" i="2"/>
  <c r="AE361" i="2"/>
  <c r="AF361" i="2"/>
  <c r="AG361" i="2"/>
  <c r="AH361" i="2"/>
  <c r="AI361" i="2"/>
  <c r="AJ361" i="2"/>
  <c r="AK361" i="2"/>
  <c r="AQ361" i="2"/>
  <c r="AR361" i="2"/>
  <c r="AS361" i="2"/>
  <c r="AT361" i="2"/>
  <c r="AU361" i="2"/>
  <c r="B362" i="2"/>
  <c r="C362" i="2"/>
  <c r="D362" i="2"/>
  <c r="E362" i="2"/>
  <c r="L362" i="2"/>
  <c r="M362" i="2"/>
  <c r="N362" i="2"/>
  <c r="O362" i="2"/>
  <c r="P362" i="2"/>
  <c r="Q362" i="2"/>
  <c r="R362" i="2"/>
  <c r="S362" i="2"/>
  <c r="T362" i="2"/>
  <c r="U362" i="2"/>
  <c r="V362" i="2"/>
  <c r="W362" i="2"/>
  <c r="X362" i="2"/>
  <c r="Y362" i="2"/>
  <c r="Z362" i="2"/>
  <c r="AA362" i="2"/>
  <c r="AB362" i="2"/>
  <c r="AC362" i="2"/>
  <c r="AD362" i="2"/>
  <c r="AE362" i="2"/>
  <c r="AF362" i="2"/>
  <c r="AG362" i="2"/>
  <c r="AH362" i="2"/>
  <c r="AI362" i="2"/>
  <c r="AJ362" i="2"/>
  <c r="AK362" i="2"/>
  <c r="AQ362" i="2"/>
  <c r="AR362" i="2"/>
  <c r="AS362" i="2"/>
  <c r="AT362" i="2"/>
  <c r="AU362" i="2"/>
  <c r="B363" i="2"/>
  <c r="C363" i="2"/>
  <c r="D363" i="2"/>
  <c r="E363" i="2"/>
  <c r="L363" i="2"/>
  <c r="M363" i="2"/>
  <c r="N363" i="2"/>
  <c r="O363" i="2"/>
  <c r="P363" i="2"/>
  <c r="Q363" i="2"/>
  <c r="R363" i="2"/>
  <c r="S363" i="2"/>
  <c r="T363" i="2"/>
  <c r="U363" i="2"/>
  <c r="V363" i="2"/>
  <c r="W363" i="2"/>
  <c r="X363" i="2"/>
  <c r="Y363" i="2"/>
  <c r="Z363" i="2"/>
  <c r="AA363" i="2"/>
  <c r="AB363" i="2"/>
  <c r="AC363" i="2"/>
  <c r="AD363" i="2"/>
  <c r="AE363" i="2"/>
  <c r="AF363" i="2"/>
  <c r="AG363" i="2"/>
  <c r="AH363" i="2"/>
  <c r="AI363" i="2"/>
  <c r="AJ363" i="2"/>
  <c r="AK363" i="2"/>
  <c r="AQ363" i="2"/>
  <c r="AR363" i="2"/>
  <c r="AS363" i="2"/>
  <c r="AT363" i="2"/>
  <c r="AU363" i="2"/>
  <c r="B364" i="2"/>
  <c r="C364" i="2"/>
  <c r="D364" i="2"/>
  <c r="E364" i="2"/>
  <c r="L364" i="2"/>
  <c r="M364" i="2"/>
  <c r="N364" i="2"/>
  <c r="O364" i="2"/>
  <c r="P364" i="2"/>
  <c r="Q364" i="2"/>
  <c r="R364" i="2"/>
  <c r="S364" i="2"/>
  <c r="T364" i="2"/>
  <c r="U364" i="2"/>
  <c r="V364" i="2"/>
  <c r="W364" i="2"/>
  <c r="X364" i="2"/>
  <c r="Y364" i="2"/>
  <c r="Z364" i="2"/>
  <c r="AA364" i="2"/>
  <c r="AB364" i="2"/>
  <c r="AC364" i="2"/>
  <c r="AD364" i="2"/>
  <c r="AE364" i="2"/>
  <c r="AF364" i="2"/>
  <c r="AG364" i="2"/>
  <c r="AH364" i="2"/>
  <c r="AI364" i="2"/>
  <c r="AJ364" i="2"/>
  <c r="AK364" i="2"/>
  <c r="AQ364" i="2"/>
  <c r="AR364" i="2"/>
  <c r="AS364" i="2"/>
  <c r="AT364" i="2"/>
  <c r="AU364" i="2"/>
  <c r="B365" i="2"/>
  <c r="C365" i="2"/>
  <c r="D365" i="2"/>
  <c r="E365" i="2"/>
  <c r="L365" i="2"/>
  <c r="M365" i="2"/>
  <c r="N365" i="2"/>
  <c r="O365" i="2"/>
  <c r="P365" i="2"/>
  <c r="Q365" i="2"/>
  <c r="R365" i="2"/>
  <c r="S365" i="2"/>
  <c r="T365" i="2"/>
  <c r="U365" i="2"/>
  <c r="V365" i="2"/>
  <c r="W365" i="2"/>
  <c r="X365" i="2"/>
  <c r="Y365" i="2"/>
  <c r="Z365" i="2"/>
  <c r="AA365" i="2"/>
  <c r="AB365" i="2"/>
  <c r="AC365" i="2"/>
  <c r="AD365" i="2"/>
  <c r="AE365" i="2"/>
  <c r="AF365" i="2"/>
  <c r="AG365" i="2"/>
  <c r="AH365" i="2"/>
  <c r="AI365" i="2"/>
  <c r="AJ365" i="2"/>
  <c r="AK365" i="2"/>
  <c r="AQ365" i="2"/>
  <c r="AR365" i="2"/>
  <c r="AS365" i="2"/>
  <c r="AT365" i="2"/>
  <c r="AU365" i="2"/>
  <c r="B366" i="2"/>
  <c r="C366" i="2"/>
  <c r="D366" i="2"/>
  <c r="E366" i="2"/>
  <c r="L366" i="2"/>
  <c r="M366" i="2"/>
  <c r="N366" i="2"/>
  <c r="O366" i="2"/>
  <c r="P366" i="2"/>
  <c r="Q366" i="2"/>
  <c r="R366" i="2"/>
  <c r="S366" i="2"/>
  <c r="T366" i="2"/>
  <c r="U366" i="2"/>
  <c r="V366" i="2"/>
  <c r="W366" i="2"/>
  <c r="X366" i="2"/>
  <c r="Y366" i="2"/>
  <c r="Z366" i="2"/>
  <c r="AA366" i="2"/>
  <c r="AB366" i="2"/>
  <c r="AC366" i="2"/>
  <c r="AD366" i="2"/>
  <c r="AE366" i="2"/>
  <c r="AF366" i="2"/>
  <c r="AG366" i="2"/>
  <c r="AH366" i="2"/>
  <c r="AI366" i="2"/>
  <c r="AJ366" i="2"/>
  <c r="AK366" i="2"/>
  <c r="AQ366" i="2"/>
  <c r="AR366" i="2"/>
  <c r="AS366" i="2"/>
  <c r="AT366" i="2"/>
  <c r="AU366" i="2"/>
  <c r="B367" i="2"/>
  <c r="C367" i="2"/>
  <c r="D367" i="2"/>
  <c r="E367" i="2"/>
  <c r="L367" i="2"/>
  <c r="M367" i="2"/>
  <c r="N367" i="2"/>
  <c r="O367" i="2"/>
  <c r="P367" i="2"/>
  <c r="Q367" i="2"/>
  <c r="R367" i="2"/>
  <c r="S367" i="2"/>
  <c r="T367" i="2"/>
  <c r="U367" i="2"/>
  <c r="V367" i="2"/>
  <c r="W367" i="2"/>
  <c r="X367" i="2"/>
  <c r="Y367" i="2"/>
  <c r="Z367" i="2"/>
  <c r="AA367" i="2"/>
  <c r="AB367" i="2"/>
  <c r="AC367" i="2"/>
  <c r="AD367" i="2"/>
  <c r="AE367" i="2"/>
  <c r="AF367" i="2"/>
  <c r="AG367" i="2"/>
  <c r="AH367" i="2"/>
  <c r="AI367" i="2"/>
  <c r="AJ367" i="2"/>
  <c r="AK367" i="2"/>
  <c r="AQ367" i="2"/>
  <c r="AR367" i="2"/>
  <c r="AS367" i="2"/>
  <c r="AT367" i="2"/>
  <c r="AU367" i="2"/>
  <c r="B368" i="2"/>
  <c r="C368" i="2"/>
  <c r="D368" i="2"/>
  <c r="E368" i="2"/>
  <c r="L368" i="2"/>
  <c r="M368" i="2"/>
  <c r="N368" i="2"/>
  <c r="O368" i="2"/>
  <c r="P368" i="2"/>
  <c r="Q368" i="2"/>
  <c r="R368" i="2"/>
  <c r="S368" i="2"/>
  <c r="T368" i="2"/>
  <c r="U368" i="2"/>
  <c r="V368" i="2"/>
  <c r="W368" i="2"/>
  <c r="X368" i="2"/>
  <c r="Y368" i="2"/>
  <c r="Z368" i="2"/>
  <c r="AA368" i="2"/>
  <c r="AB368" i="2"/>
  <c r="AC368" i="2"/>
  <c r="AD368" i="2"/>
  <c r="AE368" i="2"/>
  <c r="AF368" i="2"/>
  <c r="AG368" i="2"/>
  <c r="AH368" i="2"/>
  <c r="AI368" i="2"/>
  <c r="AJ368" i="2"/>
  <c r="AK368" i="2"/>
  <c r="AQ368" i="2"/>
  <c r="AR368" i="2"/>
  <c r="AS368" i="2"/>
  <c r="AT368" i="2"/>
  <c r="AU368" i="2"/>
  <c r="B369" i="2"/>
  <c r="C369" i="2"/>
  <c r="D369" i="2"/>
  <c r="E369" i="2"/>
  <c r="L369" i="2"/>
  <c r="M369" i="2"/>
  <c r="N369" i="2"/>
  <c r="O369" i="2"/>
  <c r="P369" i="2"/>
  <c r="Q369" i="2"/>
  <c r="R369" i="2"/>
  <c r="S369" i="2"/>
  <c r="T369" i="2"/>
  <c r="U369" i="2"/>
  <c r="V369" i="2"/>
  <c r="W369" i="2"/>
  <c r="X369" i="2"/>
  <c r="Y369" i="2"/>
  <c r="Z369" i="2"/>
  <c r="AA369" i="2"/>
  <c r="AB369" i="2"/>
  <c r="AC369" i="2"/>
  <c r="AD369" i="2"/>
  <c r="AE369" i="2"/>
  <c r="AF369" i="2"/>
  <c r="AG369" i="2"/>
  <c r="AH369" i="2"/>
  <c r="AI369" i="2"/>
  <c r="AJ369" i="2"/>
  <c r="AK369" i="2"/>
  <c r="AQ369" i="2"/>
  <c r="AR369" i="2"/>
  <c r="AS369" i="2"/>
  <c r="AT369" i="2"/>
  <c r="AU369" i="2"/>
  <c r="B370" i="2"/>
  <c r="C370" i="2"/>
  <c r="D370" i="2"/>
  <c r="E370" i="2"/>
  <c r="L370" i="2"/>
  <c r="M370" i="2"/>
  <c r="N370" i="2"/>
  <c r="O370" i="2"/>
  <c r="P370" i="2"/>
  <c r="Q370" i="2"/>
  <c r="R370" i="2"/>
  <c r="S370" i="2"/>
  <c r="T370" i="2"/>
  <c r="U370" i="2"/>
  <c r="V370" i="2"/>
  <c r="W370" i="2"/>
  <c r="X370" i="2"/>
  <c r="Y370" i="2"/>
  <c r="Z370" i="2"/>
  <c r="AA370" i="2"/>
  <c r="AB370" i="2"/>
  <c r="AC370" i="2"/>
  <c r="AD370" i="2"/>
  <c r="AE370" i="2"/>
  <c r="AF370" i="2"/>
  <c r="AG370" i="2"/>
  <c r="AH370" i="2"/>
  <c r="AI370" i="2"/>
  <c r="AJ370" i="2"/>
  <c r="AK370" i="2"/>
  <c r="AQ370" i="2"/>
  <c r="AR370" i="2"/>
  <c r="AS370" i="2"/>
  <c r="AT370" i="2"/>
  <c r="AU370" i="2"/>
  <c r="B371" i="2"/>
  <c r="C371" i="2"/>
  <c r="D371" i="2"/>
  <c r="E371" i="2"/>
  <c r="L371" i="2"/>
  <c r="M371" i="2"/>
  <c r="N371" i="2"/>
  <c r="O371" i="2"/>
  <c r="P371" i="2"/>
  <c r="Q371" i="2"/>
  <c r="R371" i="2"/>
  <c r="S371" i="2"/>
  <c r="T371" i="2"/>
  <c r="U371" i="2"/>
  <c r="V371" i="2"/>
  <c r="W371" i="2"/>
  <c r="X371" i="2"/>
  <c r="Y371" i="2"/>
  <c r="Z371" i="2"/>
  <c r="AA371" i="2"/>
  <c r="AB371" i="2"/>
  <c r="AC371" i="2"/>
  <c r="AD371" i="2"/>
  <c r="AE371" i="2"/>
  <c r="AF371" i="2"/>
  <c r="AG371" i="2"/>
  <c r="AH371" i="2"/>
  <c r="AI371" i="2"/>
  <c r="AJ371" i="2"/>
  <c r="AK371" i="2"/>
  <c r="AQ371" i="2"/>
  <c r="AR371" i="2"/>
  <c r="AS371" i="2"/>
  <c r="AT371" i="2"/>
  <c r="AU371" i="2"/>
  <c r="B372" i="2"/>
  <c r="C372" i="2"/>
  <c r="D372" i="2"/>
  <c r="E372" i="2"/>
  <c r="L372" i="2"/>
  <c r="M372" i="2"/>
  <c r="N372" i="2"/>
  <c r="O372" i="2"/>
  <c r="P372" i="2"/>
  <c r="Q372" i="2"/>
  <c r="R372" i="2"/>
  <c r="S372" i="2"/>
  <c r="T372" i="2"/>
  <c r="U372" i="2"/>
  <c r="V372" i="2"/>
  <c r="W372" i="2"/>
  <c r="X372" i="2"/>
  <c r="Y372" i="2"/>
  <c r="Z372" i="2"/>
  <c r="AA372" i="2"/>
  <c r="AB372" i="2"/>
  <c r="AC372" i="2"/>
  <c r="AD372" i="2"/>
  <c r="AE372" i="2"/>
  <c r="AF372" i="2"/>
  <c r="AG372" i="2"/>
  <c r="AH372" i="2"/>
  <c r="AI372" i="2"/>
  <c r="AJ372" i="2"/>
  <c r="AK372" i="2"/>
  <c r="AQ372" i="2"/>
  <c r="AR372" i="2"/>
  <c r="AS372" i="2"/>
  <c r="AT372" i="2"/>
  <c r="AU372" i="2"/>
  <c r="B373" i="2"/>
  <c r="C373" i="2"/>
  <c r="D373" i="2"/>
  <c r="E373" i="2"/>
  <c r="L373" i="2"/>
  <c r="M373" i="2"/>
  <c r="N373" i="2"/>
  <c r="O373" i="2"/>
  <c r="P373" i="2"/>
  <c r="Q373" i="2"/>
  <c r="R373" i="2"/>
  <c r="S373" i="2"/>
  <c r="T373" i="2"/>
  <c r="U373" i="2"/>
  <c r="V373" i="2"/>
  <c r="W373" i="2"/>
  <c r="X373" i="2"/>
  <c r="Y373" i="2"/>
  <c r="Z373" i="2"/>
  <c r="AA373" i="2"/>
  <c r="AB373" i="2"/>
  <c r="AC373" i="2"/>
  <c r="AD373" i="2"/>
  <c r="AE373" i="2"/>
  <c r="AF373" i="2"/>
  <c r="AG373" i="2"/>
  <c r="AH373" i="2"/>
  <c r="AI373" i="2"/>
  <c r="AJ373" i="2"/>
  <c r="AK373" i="2"/>
  <c r="AQ373" i="2"/>
  <c r="AR373" i="2"/>
  <c r="AS373" i="2"/>
  <c r="AT373" i="2"/>
  <c r="AU373" i="2"/>
  <c r="B374" i="2"/>
  <c r="C374" i="2"/>
  <c r="D374" i="2"/>
  <c r="E374" i="2"/>
  <c r="L374" i="2"/>
  <c r="M374" i="2"/>
  <c r="N374" i="2"/>
  <c r="O374" i="2"/>
  <c r="P374" i="2"/>
  <c r="Q374" i="2"/>
  <c r="R374" i="2"/>
  <c r="S374" i="2"/>
  <c r="T374" i="2"/>
  <c r="U374" i="2"/>
  <c r="V374" i="2"/>
  <c r="W374" i="2"/>
  <c r="X374" i="2"/>
  <c r="Y374" i="2"/>
  <c r="Z374" i="2"/>
  <c r="AA374" i="2"/>
  <c r="AB374" i="2"/>
  <c r="AC374" i="2"/>
  <c r="AD374" i="2"/>
  <c r="AE374" i="2"/>
  <c r="AF374" i="2"/>
  <c r="AG374" i="2"/>
  <c r="AH374" i="2"/>
  <c r="AI374" i="2"/>
  <c r="AJ374" i="2"/>
  <c r="AK374" i="2"/>
  <c r="AQ374" i="2"/>
  <c r="AR374" i="2"/>
  <c r="AS374" i="2"/>
  <c r="AT374" i="2"/>
  <c r="AU374" i="2"/>
  <c r="B375" i="2"/>
  <c r="C375" i="2"/>
  <c r="D375" i="2"/>
  <c r="E375" i="2"/>
  <c r="L375" i="2"/>
  <c r="M375" i="2"/>
  <c r="N375" i="2"/>
  <c r="O375" i="2"/>
  <c r="P375" i="2"/>
  <c r="Q375" i="2"/>
  <c r="R375" i="2"/>
  <c r="S375" i="2"/>
  <c r="T375" i="2"/>
  <c r="U375" i="2"/>
  <c r="V375" i="2"/>
  <c r="W375" i="2"/>
  <c r="X375" i="2"/>
  <c r="Y375" i="2"/>
  <c r="Z375" i="2"/>
  <c r="AA375" i="2"/>
  <c r="AB375" i="2"/>
  <c r="AC375" i="2"/>
  <c r="AD375" i="2"/>
  <c r="AE375" i="2"/>
  <c r="AF375" i="2"/>
  <c r="AG375" i="2"/>
  <c r="AH375" i="2"/>
  <c r="AI375" i="2"/>
  <c r="AJ375" i="2"/>
  <c r="AK375" i="2"/>
  <c r="AQ375" i="2"/>
  <c r="AR375" i="2"/>
  <c r="AS375" i="2"/>
  <c r="AT375" i="2"/>
  <c r="AU375" i="2"/>
  <c r="B376" i="2"/>
  <c r="C376" i="2"/>
  <c r="D376" i="2"/>
  <c r="E376" i="2"/>
  <c r="L376" i="2"/>
  <c r="M376" i="2"/>
  <c r="N376" i="2"/>
  <c r="O376" i="2"/>
  <c r="P376" i="2"/>
  <c r="Q376" i="2"/>
  <c r="R376" i="2"/>
  <c r="S376" i="2"/>
  <c r="T376" i="2"/>
  <c r="U376" i="2"/>
  <c r="V376" i="2"/>
  <c r="W376" i="2"/>
  <c r="X376" i="2"/>
  <c r="Y376" i="2"/>
  <c r="Z376" i="2"/>
  <c r="AA376" i="2"/>
  <c r="AB376" i="2"/>
  <c r="AC376" i="2"/>
  <c r="AD376" i="2"/>
  <c r="AE376" i="2"/>
  <c r="AF376" i="2"/>
  <c r="AG376" i="2"/>
  <c r="AH376" i="2"/>
  <c r="AI376" i="2"/>
  <c r="AJ376" i="2"/>
  <c r="AK376" i="2"/>
  <c r="AQ376" i="2"/>
  <c r="AR376" i="2"/>
  <c r="AS376" i="2"/>
  <c r="AT376" i="2"/>
  <c r="AU376" i="2"/>
  <c r="B377" i="2"/>
  <c r="C377" i="2"/>
  <c r="D377" i="2"/>
  <c r="E377" i="2"/>
  <c r="L377" i="2"/>
  <c r="M377" i="2"/>
  <c r="N377" i="2"/>
  <c r="O377" i="2"/>
  <c r="P377" i="2"/>
  <c r="Q377" i="2"/>
  <c r="R377" i="2"/>
  <c r="S377" i="2"/>
  <c r="T377" i="2"/>
  <c r="U377" i="2"/>
  <c r="V377" i="2"/>
  <c r="W377" i="2"/>
  <c r="X377" i="2"/>
  <c r="Y377" i="2"/>
  <c r="Z377" i="2"/>
  <c r="AA377" i="2"/>
  <c r="AB377" i="2"/>
  <c r="AC377" i="2"/>
  <c r="AD377" i="2"/>
  <c r="AE377" i="2"/>
  <c r="AF377" i="2"/>
  <c r="AG377" i="2"/>
  <c r="AH377" i="2"/>
  <c r="AI377" i="2"/>
  <c r="AJ377" i="2"/>
  <c r="AK377" i="2"/>
  <c r="AQ377" i="2"/>
  <c r="AR377" i="2"/>
  <c r="AS377" i="2"/>
  <c r="AT377" i="2"/>
  <c r="AU377" i="2"/>
  <c r="B378" i="2"/>
  <c r="C378" i="2"/>
  <c r="D378" i="2"/>
  <c r="E378" i="2"/>
  <c r="L378" i="2"/>
  <c r="M378" i="2"/>
  <c r="N378" i="2"/>
  <c r="O378" i="2"/>
  <c r="P378" i="2"/>
  <c r="Q378" i="2"/>
  <c r="R378" i="2"/>
  <c r="S378" i="2"/>
  <c r="T378" i="2"/>
  <c r="U378" i="2"/>
  <c r="V378" i="2"/>
  <c r="W378" i="2"/>
  <c r="X378" i="2"/>
  <c r="Y378" i="2"/>
  <c r="Z378" i="2"/>
  <c r="AA378" i="2"/>
  <c r="AB378" i="2"/>
  <c r="AC378" i="2"/>
  <c r="AD378" i="2"/>
  <c r="AE378" i="2"/>
  <c r="AF378" i="2"/>
  <c r="AG378" i="2"/>
  <c r="AH378" i="2"/>
  <c r="AI378" i="2"/>
  <c r="AJ378" i="2"/>
  <c r="AK378" i="2"/>
  <c r="AQ378" i="2"/>
  <c r="AR378" i="2"/>
  <c r="AS378" i="2"/>
  <c r="AT378" i="2"/>
  <c r="AU378" i="2"/>
  <c r="B379" i="2"/>
  <c r="C379" i="2"/>
  <c r="D379" i="2"/>
  <c r="E379" i="2"/>
  <c r="L379" i="2"/>
  <c r="M379" i="2"/>
  <c r="N379" i="2"/>
  <c r="O379" i="2"/>
  <c r="P379" i="2"/>
  <c r="Q379" i="2"/>
  <c r="R379" i="2"/>
  <c r="S379" i="2"/>
  <c r="T379" i="2"/>
  <c r="U379" i="2"/>
  <c r="V379" i="2"/>
  <c r="W379" i="2"/>
  <c r="X379" i="2"/>
  <c r="Y379" i="2"/>
  <c r="Z379" i="2"/>
  <c r="AA379" i="2"/>
  <c r="AB379" i="2"/>
  <c r="AC379" i="2"/>
  <c r="AD379" i="2"/>
  <c r="AE379" i="2"/>
  <c r="AF379" i="2"/>
  <c r="AG379" i="2"/>
  <c r="AH379" i="2"/>
  <c r="AI379" i="2"/>
  <c r="AJ379" i="2"/>
  <c r="AK379" i="2"/>
  <c r="AQ379" i="2"/>
  <c r="AR379" i="2"/>
  <c r="AS379" i="2"/>
  <c r="AT379" i="2"/>
  <c r="AU379" i="2"/>
  <c r="B380" i="2"/>
  <c r="C380" i="2"/>
  <c r="D380" i="2"/>
  <c r="E380" i="2"/>
  <c r="L380" i="2"/>
  <c r="M380" i="2"/>
  <c r="N380" i="2"/>
  <c r="O380" i="2"/>
  <c r="P380" i="2"/>
  <c r="Q380" i="2"/>
  <c r="R380" i="2"/>
  <c r="S380" i="2"/>
  <c r="T380" i="2"/>
  <c r="U380" i="2"/>
  <c r="V380" i="2"/>
  <c r="W380" i="2"/>
  <c r="X380" i="2"/>
  <c r="Y380" i="2"/>
  <c r="Z380" i="2"/>
  <c r="AA380" i="2"/>
  <c r="AB380" i="2"/>
  <c r="AC380" i="2"/>
  <c r="AD380" i="2"/>
  <c r="AE380" i="2"/>
  <c r="AF380" i="2"/>
  <c r="AG380" i="2"/>
  <c r="AH380" i="2"/>
  <c r="AI380" i="2"/>
  <c r="AJ380" i="2"/>
  <c r="AK380" i="2"/>
  <c r="AQ380" i="2"/>
  <c r="AR380" i="2"/>
  <c r="AS380" i="2"/>
  <c r="AT380" i="2"/>
  <c r="AU380" i="2"/>
  <c r="B381" i="2"/>
  <c r="C381" i="2"/>
  <c r="D381" i="2"/>
  <c r="E381" i="2"/>
  <c r="L381" i="2"/>
  <c r="M381" i="2"/>
  <c r="N381" i="2"/>
  <c r="O381" i="2"/>
  <c r="P381" i="2"/>
  <c r="Q381" i="2"/>
  <c r="R381" i="2"/>
  <c r="S381" i="2"/>
  <c r="T381" i="2"/>
  <c r="U381" i="2"/>
  <c r="V381" i="2"/>
  <c r="W381" i="2"/>
  <c r="X381" i="2"/>
  <c r="Y381" i="2"/>
  <c r="Z381" i="2"/>
  <c r="AA381" i="2"/>
  <c r="AB381" i="2"/>
  <c r="AC381" i="2"/>
  <c r="AD381" i="2"/>
  <c r="AE381" i="2"/>
  <c r="AF381" i="2"/>
  <c r="AG381" i="2"/>
  <c r="AH381" i="2"/>
  <c r="AI381" i="2"/>
  <c r="AJ381" i="2"/>
  <c r="AK381" i="2"/>
  <c r="AQ381" i="2"/>
  <c r="AR381" i="2"/>
  <c r="AS381" i="2"/>
  <c r="AT381" i="2"/>
  <c r="AU381" i="2"/>
  <c r="B382" i="2"/>
  <c r="C382" i="2"/>
  <c r="D382" i="2"/>
  <c r="E382" i="2"/>
  <c r="L382" i="2"/>
  <c r="M382" i="2"/>
  <c r="N382" i="2"/>
  <c r="O382" i="2"/>
  <c r="P382" i="2"/>
  <c r="Q382" i="2"/>
  <c r="R382" i="2"/>
  <c r="S382" i="2"/>
  <c r="T382" i="2"/>
  <c r="U382" i="2"/>
  <c r="V382" i="2"/>
  <c r="W382" i="2"/>
  <c r="X382" i="2"/>
  <c r="Y382" i="2"/>
  <c r="Z382" i="2"/>
  <c r="AA382" i="2"/>
  <c r="AB382" i="2"/>
  <c r="AC382" i="2"/>
  <c r="AD382" i="2"/>
  <c r="AE382" i="2"/>
  <c r="AF382" i="2"/>
  <c r="AG382" i="2"/>
  <c r="AH382" i="2"/>
  <c r="AI382" i="2"/>
  <c r="AJ382" i="2"/>
  <c r="AK382" i="2"/>
  <c r="AQ382" i="2"/>
  <c r="AR382" i="2"/>
  <c r="AS382" i="2"/>
  <c r="AT382" i="2"/>
  <c r="AU382" i="2"/>
  <c r="B383" i="2"/>
  <c r="C383" i="2"/>
  <c r="D383" i="2"/>
  <c r="E383" i="2"/>
  <c r="L383" i="2"/>
  <c r="M383" i="2"/>
  <c r="N383" i="2"/>
  <c r="O383" i="2"/>
  <c r="P383" i="2"/>
  <c r="Q383" i="2"/>
  <c r="R383" i="2"/>
  <c r="S383" i="2"/>
  <c r="T383" i="2"/>
  <c r="U383" i="2"/>
  <c r="V383" i="2"/>
  <c r="W383" i="2"/>
  <c r="X383" i="2"/>
  <c r="Y383" i="2"/>
  <c r="Z383" i="2"/>
  <c r="AA383" i="2"/>
  <c r="AB383" i="2"/>
  <c r="AC383" i="2"/>
  <c r="AD383" i="2"/>
  <c r="AE383" i="2"/>
  <c r="AF383" i="2"/>
  <c r="AG383" i="2"/>
  <c r="AH383" i="2"/>
  <c r="AI383" i="2"/>
  <c r="AJ383" i="2"/>
  <c r="AK383" i="2"/>
  <c r="AQ383" i="2"/>
  <c r="AR383" i="2"/>
  <c r="AS383" i="2"/>
  <c r="AT383" i="2"/>
  <c r="AU383" i="2"/>
  <c r="B384" i="2"/>
  <c r="C384" i="2"/>
  <c r="D384" i="2"/>
  <c r="E384" i="2"/>
  <c r="L384" i="2"/>
  <c r="M384" i="2"/>
  <c r="N384" i="2"/>
  <c r="O384" i="2"/>
  <c r="P384" i="2"/>
  <c r="Q384" i="2"/>
  <c r="R384" i="2"/>
  <c r="S384" i="2"/>
  <c r="T384" i="2"/>
  <c r="U384" i="2"/>
  <c r="V384" i="2"/>
  <c r="W384" i="2"/>
  <c r="X384" i="2"/>
  <c r="Y384" i="2"/>
  <c r="Z384" i="2"/>
  <c r="AA384" i="2"/>
  <c r="AB384" i="2"/>
  <c r="AC384" i="2"/>
  <c r="AD384" i="2"/>
  <c r="AE384" i="2"/>
  <c r="AF384" i="2"/>
  <c r="AG384" i="2"/>
  <c r="AH384" i="2"/>
  <c r="AI384" i="2"/>
  <c r="AJ384" i="2"/>
  <c r="AK384" i="2"/>
  <c r="AQ384" i="2"/>
  <c r="AR384" i="2"/>
  <c r="AS384" i="2"/>
  <c r="AT384" i="2"/>
  <c r="AU384" i="2"/>
  <c r="B385" i="2"/>
  <c r="C385" i="2"/>
  <c r="D385" i="2"/>
  <c r="E385" i="2"/>
  <c r="L385" i="2"/>
  <c r="M385" i="2"/>
  <c r="N385" i="2"/>
  <c r="O385" i="2"/>
  <c r="P385" i="2"/>
  <c r="Q385" i="2"/>
  <c r="R385" i="2"/>
  <c r="S385" i="2"/>
  <c r="T385" i="2"/>
  <c r="U385" i="2"/>
  <c r="V385" i="2"/>
  <c r="W385" i="2"/>
  <c r="X385" i="2"/>
  <c r="Y385" i="2"/>
  <c r="Z385" i="2"/>
  <c r="AA385" i="2"/>
  <c r="AB385" i="2"/>
  <c r="AC385" i="2"/>
  <c r="AD385" i="2"/>
  <c r="AE385" i="2"/>
  <c r="AF385" i="2"/>
  <c r="AG385" i="2"/>
  <c r="AH385" i="2"/>
  <c r="AI385" i="2"/>
  <c r="AJ385" i="2"/>
  <c r="AK385" i="2"/>
  <c r="AQ385" i="2"/>
  <c r="AR385" i="2"/>
  <c r="AS385" i="2"/>
  <c r="AT385" i="2"/>
  <c r="AU385" i="2"/>
  <c r="B386" i="2"/>
  <c r="C386" i="2"/>
  <c r="D386" i="2"/>
  <c r="E386" i="2"/>
  <c r="L386" i="2"/>
  <c r="M386" i="2"/>
  <c r="N386" i="2"/>
  <c r="O386" i="2"/>
  <c r="P386" i="2"/>
  <c r="Q386" i="2"/>
  <c r="R386" i="2"/>
  <c r="S386" i="2"/>
  <c r="T386" i="2"/>
  <c r="U386" i="2"/>
  <c r="V386" i="2"/>
  <c r="W386" i="2"/>
  <c r="X386" i="2"/>
  <c r="Y386" i="2"/>
  <c r="Z386" i="2"/>
  <c r="AA386" i="2"/>
  <c r="AB386" i="2"/>
  <c r="AC386" i="2"/>
  <c r="AD386" i="2"/>
  <c r="AE386" i="2"/>
  <c r="AF386" i="2"/>
  <c r="AG386" i="2"/>
  <c r="AH386" i="2"/>
  <c r="AI386" i="2"/>
  <c r="AJ386" i="2"/>
  <c r="AK386" i="2"/>
  <c r="AQ386" i="2"/>
  <c r="AR386" i="2"/>
  <c r="AS386" i="2"/>
  <c r="AT386" i="2"/>
  <c r="AU386" i="2"/>
  <c r="B387" i="2"/>
  <c r="C387" i="2"/>
  <c r="D387" i="2"/>
  <c r="E387" i="2"/>
  <c r="L387" i="2"/>
  <c r="M387" i="2"/>
  <c r="N387" i="2"/>
  <c r="O387" i="2"/>
  <c r="P387" i="2"/>
  <c r="Q387" i="2"/>
  <c r="R387" i="2"/>
  <c r="S387" i="2"/>
  <c r="T387" i="2"/>
  <c r="U387" i="2"/>
  <c r="V387" i="2"/>
  <c r="W387" i="2"/>
  <c r="X387" i="2"/>
  <c r="Y387" i="2"/>
  <c r="Z387" i="2"/>
  <c r="AA387" i="2"/>
  <c r="AB387" i="2"/>
  <c r="AC387" i="2"/>
  <c r="AD387" i="2"/>
  <c r="AE387" i="2"/>
  <c r="AF387" i="2"/>
  <c r="AG387" i="2"/>
  <c r="AH387" i="2"/>
  <c r="AI387" i="2"/>
  <c r="AJ387" i="2"/>
  <c r="AK387" i="2"/>
  <c r="AQ387" i="2"/>
  <c r="AR387" i="2"/>
  <c r="AS387" i="2"/>
  <c r="AT387" i="2"/>
  <c r="AU387" i="2"/>
  <c r="B388" i="2"/>
  <c r="C388" i="2"/>
  <c r="D388" i="2"/>
  <c r="E388" i="2"/>
  <c r="L388" i="2"/>
  <c r="M388" i="2"/>
  <c r="N388" i="2"/>
  <c r="O388" i="2"/>
  <c r="P388" i="2"/>
  <c r="Q388" i="2"/>
  <c r="R388" i="2"/>
  <c r="S388" i="2"/>
  <c r="T388" i="2"/>
  <c r="U388" i="2"/>
  <c r="V388" i="2"/>
  <c r="W388" i="2"/>
  <c r="X388" i="2"/>
  <c r="Y388" i="2"/>
  <c r="Z388" i="2"/>
  <c r="AA388" i="2"/>
  <c r="AB388" i="2"/>
  <c r="AC388" i="2"/>
  <c r="AD388" i="2"/>
  <c r="AE388" i="2"/>
  <c r="AF388" i="2"/>
  <c r="AG388" i="2"/>
  <c r="AH388" i="2"/>
  <c r="AI388" i="2"/>
  <c r="AJ388" i="2"/>
  <c r="AK388" i="2"/>
  <c r="AQ388" i="2"/>
  <c r="AR388" i="2"/>
  <c r="AS388" i="2"/>
  <c r="AT388" i="2"/>
  <c r="AU388" i="2"/>
  <c r="B389" i="2"/>
  <c r="C389" i="2"/>
  <c r="D389" i="2"/>
  <c r="E389" i="2"/>
  <c r="L389" i="2"/>
  <c r="M389" i="2"/>
  <c r="N389" i="2"/>
  <c r="O389" i="2"/>
  <c r="P389" i="2"/>
  <c r="Q389" i="2"/>
  <c r="R389" i="2"/>
  <c r="S389" i="2"/>
  <c r="T389" i="2"/>
  <c r="U389" i="2"/>
  <c r="V389" i="2"/>
  <c r="W389" i="2"/>
  <c r="X389" i="2"/>
  <c r="Y389" i="2"/>
  <c r="Z389" i="2"/>
  <c r="AA389" i="2"/>
  <c r="AB389" i="2"/>
  <c r="AC389" i="2"/>
  <c r="AD389" i="2"/>
  <c r="AE389" i="2"/>
  <c r="AF389" i="2"/>
  <c r="AG389" i="2"/>
  <c r="AH389" i="2"/>
  <c r="AI389" i="2"/>
  <c r="AJ389" i="2"/>
  <c r="AK389" i="2"/>
  <c r="AQ389" i="2"/>
  <c r="AR389" i="2"/>
  <c r="AS389" i="2"/>
  <c r="AT389" i="2"/>
  <c r="AU389" i="2"/>
  <c r="B390" i="2"/>
  <c r="C390" i="2"/>
  <c r="D390" i="2"/>
  <c r="E390" i="2"/>
  <c r="L390" i="2"/>
  <c r="M390" i="2"/>
  <c r="N390" i="2"/>
  <c r="O390" i="2"/>
  <c r="P390" i="2"/>
  <c r="Q390" i="2"/>
  <c r="R390" i="2"/>
  <c r="S390" i="2"/>
  <c r="T390" i="2"/>
  <c r="U390" i="2"/>
  <c r="V390" i="2"/>
  <c r="W390" i="2"/>
  <c r="X390" i="2"/>
  <c r="Y390" i="2"/>
  <c r="Z390" i="2"/>
  <c r="AA390" i="2"/>
  <c r="AB390" i="2"/>
  <c r="AC390" i="2"/>
  <c r="AD390" i="2"/>
  <c r="AE390" i="2"/>
  <c r="AF390" i="2"/>
  <c r="AG390" i="2"/>
  <c r="AH390" i="2"/>
  <c r="AI390" i="2"/>
  <c r="AJ390" i="2"/>
  <c r="AK390" i="2"/>
  <c r="AQ390" i="2"/>
  <c r="AR390" i="2"/>
  <c r="AS390" i="2"/>
  <c r="AT390" i="2"/>
  <c r="AU390" i="2"/>
  <c r="B391" i="2"/>
  <c r="C391" i="2"/>
  <c r="D391" i="2"/>
  <c r="E391" i="2"/>
  <c r="L391" i="2"/>
  <c r="M391" i="2"/>
  <c r="N391" i="2"/>
  <c r="O391" i="2"/>
  <c r="P391" i="2"/>
  <c r="Q391" i="2"/>
  <c r="R391" i="2"/>
  <c r="S391" i="2"/>
  <c r="T391" i="2"/>
  <c r="U391" i="2"/>
  <c r="V391" i="2"/>
  <c r="W391" i="2"/>
  <c r="X391" i="2"/>
  <c r="Y391" i="2"/>
  <c r="Z391" i="2"/>
  <c r="AA391" i="2"/>
  <c r="AB391" i="2"/>
  <c r="AC391" i="2"/>
  <c r="AD391" i="2"/>
  <c r="AE391" i="2"/>
  <c r="AF391" i="2"/>
  <c r="AG391" i="2"/>
  <c r="AH391" i="2"/>
  <c r="AI391" i="2"/>
  <c r="AJ391" i="2"/>
  <c r="AK391" i="2"/>
  <c r="AQ391" i="2"/>
  <c r="AR391" i="2"/>
  <c r="AS391" i="2"/>
  <c r="AT391" i="2"/>
  <c r="AU391" i="2"/>
  <c r="B392" i="2"/>
  <c r="C392" i="2"/>
  <c r="D392" i="2"/>
  <c r="E392" i="2"/>
  <c r="L392" i="2"/>
  <c r="M392" i="2"/>
  <c r="N392" i="2"/>
  <c r="O392" i="2"/>
  <c r="P392" i="2"/>
  <c r="Q392" i="2"/>
  <c r="R392" i="2"/>
  <c r="S392" i="2"/>
  <c r="T392" i="2"/>
  <c r="U392" i="2"/>
  <c r="V392" i="2"/>
  <c r="W392" i="2"/>
  <c r="X392" i="2"/>
  <c r="Y392" i="2"/>
  <c r="Z392" i="2"/>
  <c r="AA392" i="2"/>
  <c r="AB392" i="2"/>
  <c r="AC392" i="2"/>
  <c r="AD392" i="2"/>
  <c r="AE392" i="2"/>
  <c r="AF392" i="2"/>
  <c r="AG392" i="2"/>
  <c r="AH392" i="2"/>
  <c r="AI392" i="2"/>
  <c r="AJ392" i="2"/>
  <c r="AK392" i="2"/>
  <c r="AQ392" i="2"/>
  <c r="AR392" i="2"/>
  <c r="AS392" i="2"/>
  <c r="AT392" i="2"/>
  <c r="AU392" i="2"/>
  <c r="B393" i="2"/>
  <c r="C393" i="2"/>
  <c r="D393" i="2"/>
  <c r="E393" i="2"/>
  <c r="L393" i="2"/>
  <c r="M393" i="2"/>
  <c r="N393" i="2"/>
  <c r="O393" i="2"/>
  <c r="P393" i="2"/>
  <c r="Q393" i="2"/>
  <c r="R393" i="2"/>
  <c r="S393" i="2"/>
  <c r="T393" i="2"/>
  <c r="U393" i="2"/>
  <c r="V393" i="2"/>
  <c r="W393" i="2"/>
  <c r="X393" i="2"/>
  <c r="Y393" i="2"/>
  <c r="Z393" i="2"/>
  <c r="AA393" i="2"/>
  <c r="AB393" i="2"/>
  <c r="AC393" i="2"/>
  <c r="AD393" i="2"/>
  <c r="AE393" i="2"/>
  <c r="AF393" i="2"/>
  <c r="AG393" i="2"/>
  <c r="AH393" i="2"/>
  <c r="AI393" i="2"/>
  <c r="AJ393" i="2"/>
  <c r="AK393" i="2"/>
  <c r="AQ393" i="2"/>
  <c r="AR393" i="2"/>
  <c r="AS393" i="2"/>
  <c r="AT393" i="2"/>
  <c r="AU393" i="2"/>
  <c r="B394" i="2"/>
  <c r="C394" i="2"/>
  <c r="D394" i="2"/>
  <c r="E394" i="2"/>
  <c r="L394" i="2"/>
  <c r="M394" i="2"/>
  <c r="N394" i="2"/>
  <c r="O394" i="2"/>
  <c r="P394" i="2"/>
  <c r="Q394" i="2"/>
  <c r="R394" i="2"/>
  <c r="S394" i="2"/>
  <c r="T394" i="2"/>
  <c r="U394" i="2"/>
  <c r="V394" i="2"/>
  <c r="W394" i="2"/>
  <c r="X394" i="2"/>
  <c r="Y394" i="2"/>
  <c r="Z394" i="2"/>
  <c r="AA394" i="2"/>
  <c r="AB394" i="2"/>
  <c r="AC394" i="2"/>
  <c r="AD394" i="2"/>
  <c r="AE394" i="2"/>
  <c r="AF394" i="2"/>
  <c r="AG394" i="2"/>
  <c r="AH394" i="2"/>
  <c r="AI394" i="2"/>
  <c r="AJ394" i="2"/>
  <c r="AK394" i="2"/>
  <c r="AQ394" i="2"/>
  <c r="AR394" i="2"/>
  <c r="AS394" i="2"/>
  <c r="AT394" i="2"/>
  <c r="AU394" i="2"/>
  <c r="B395" i="2"/>
  <c r="C395" i="2"/>
  <c r="D395" i="2"/>
  <c r="E395" i="2"/>
  <c r="L395" i="2"/>
  <c r="M395" i="2"/>
  <c r="N395" i="2"/>
  <c r="O395" i="2"/>
  <c r="P395" i="2"/>
  <c r="Q395" i="2"/>
  <c r="R395" i="2"/>
  <c r="S395" i="2"/>
  <c r="T395" i="2"/>
  <c r="U395" i="2"/>
  <c r="V395" i="2"/>
  <c r="W395" i="2"/>
  <c r="X395" i="2"/>
  <c r="Y395" i="2"/>
  <c r="Z395" i="2"/>
  <c r="AA395" i="2"/>
  <c r="AB395" i="2"/>
  <c r="AC395" i="2"/>
  <c r="AD395" i="2"/>
  <c r="AE395" i="2"/>
  <c r="AF395" i="2"/>
  <c r="AG395" i="2"/>
  <c r="AH395" i="2"/>
  <c r="AI395" i="2"/>
  <c r="AJ395" i="2"/>
  <c r="AK395" i="2"/>
  <c r="AQ395" i="2"/>
  <c r="AR395" i="2"/>
  <c r="AS395" i="2"/>
  <c r="AT395" i="2"/>
  <c r="AU395" i="2"/>
  <c r="B396" i="2"/>
  <c r="C396" i="2"/>
  <c r="D396" i="2"/>
  <c r="E396" i="2"/>
  <c r="L396" i="2"/>
  <c r="M396" i="2"/>
  <c r="N396" i="2"/>
  <c r="O396" i="2"/>
  <c r="P396" i="2"/>
  <c r="Q396" i="2"/>
  <c r="R396" i="2"/>
  <c r="S396" i="2"/>
  <c r="T396" i="2"/>
  <c r="U396" i="2"/>
  <c r="V396" i="2"/>
  <c r="W396" i="2"/>
  <c r="X396" i="2"/>
  <c r="Y396" i="2"/>
  <c r="Z396" i="2"/>
  <c r="AA396" i="2"/>
  <c r="AB396" i="2"/>
  <c r="AC396" i="2"/>
  <c r="AD396" i="2"/>
  <c r="AE396" i="2"/>
  <c r="AF396" i="2"/>
  <c r="AG396" i="2"/>
  <c r="AH396" i="2"/>
  <c r="AI396" i="2"/>
  <c r="AJ396" i="2"/>
  <c r="AK396" i="2"/>
  <c r="AQ396" i="2"/>
  <c r="AR396" i="2"/>
  <c r="AS396" i="2"/>
  <c r="AT396" i="2"/>
  <c r="AU396" i="2"/>
  <c r="B397" i="2"/>
  <c r="C397" i="2"/>
  <c r="D397" i="2"/>
  <c r="E397" i="2"/>
  <c r="L397" i="2"/>
  <c r="M397" i="2"/>
  <c r="N397" i="2"/>
  <c r="O397" i="2"/>
  <c r="P397" i="2"/>
  <c r="Q397" i="2"/>
  <c r="R397" i="2"/>
  <c r="S397" i="2"/>
  <c r="T397" i="2"/>
  <c r="U397" i="2"/>
  <c r="V397" i="2"/>
  <c r="W397" i="2"/>
  <c r="X397" i="2"/>
  <c r="Y397" i="2"/>
  <c r="Z397" i="2"/>
  <c r="AA397" i="2"/>
  <c r="AB397" i="2"/>
  <c r="AC397" i="2"/>
  <c r="AD397" i="2"/>
  <c r="AE397" i="2"/>
  <c r="AF397" i="2"/>
  <c r="AG397" i="2"/>
  <c r="AH397" i="2"/>
  <c r="AI397" i="2"/>
  <c r="AJ397" i="2"/>
  <c r="AK397" i="2"/>
  <c r="AQ397" i="2"/>
  <c r="AR397" i="2"/>
  <c r="AS397" i="2"/>
  <c r="AT397" i="2"/>
  <c r="AU397" i="2"/>
  <c r="B398" i="2"/>
  <c r="C398" i="2"/>
  <c r="D398" i="2"/>
  <c r="E398" i="2"/>
  <c r="L398" i="2"/>
  <c r="M398" i="2"/>
  <c r="N398" i="2"/>
  <c r="O398" i="2"/>
  <c r="P398" i="2"/>
  <c r="Q398" i="2"/>
  <c r="R398" i="2"/>
  <c r="S398" i="2"/>
  <c r="T398" i="2"/>
  <c r="U398" i="2"/>
  <c r="V398" i="2"/>
  <c r="W398" i="2"/>
  <c r="X398" i="2"/>
  <c r="Y398" i="2"/>
  <c r="Z398" i="2"/>
  <c r="AA398" i="2"/>
  <c r="AB398" i="2"/>
  <c r="AC398" i="2"/>
  <c r="AD398" i="2"/>
  <c r="AE398" i="2"/>
  <c r="AF398" i="2"/>
  <c r="AG398" i="2"/>
  <c r="AH398" i="2"/>
  <c r="AI398" i="2"/>
  <c r="AJ398" i="2"/>
  <c r="AK398" i="2"/>
  <c r="AQ398" i="2"/>
  <c r="AR398" i="2"/>
  <c r="AS398" i="2"/>
  <c r="AT398" i="2"/>
  <c r="AU398" i="2"/>
  <c r="B399" i="2"/>
  <c r="C399" i="2"/>
  <c r="D399" i="2"/>
  <c r="E399" i="2"/>
  <c r="L399" i="2"/>
  <c r="M399" i="2"/>
  <c r="N399" i="2"/>
  <c r="O399" i="2"/>
  <c r="P399" i="2"/>
  <c r="Q399" i="2"/>
  <c r="R399" i="2"/>
  <c r="S399" i="2"/>
  <c r="T399" i="2"/>
  <c r="U399" i="2"/>
  <c r="V399" i="2"/>
  <c r="W399" i="2"/>
  <c r="X399" i="2"/>
  <c r="Y399" i="2"/>
  <c r="Z399" i="2"/>
  <c r="AA399" i="2"/>
  <c r="AB399" i="2"/>
  <c r="AC399" i="2"/>
  <c r="AD399" i="2"/>
  <c r="AE399" i="2"/>
  <c r="AF399" i="2"/>
  <c r="AG399" i="2"/>
  <c r="AH399" i="2"/>
  <c r="AI399" i="2"/>
  <c r="AJ399" i="2"/>
  <c r="AK399" i="2"/>
  <c r="AQ399" i="2"/>
  <c r="AR399" i="2"/>
  <c r="AS399" i="2"/>
  <c r="AT399" i="2"/>
  <c r="AU399" i="2"/>
  <c r="B400" i="2"/>
  <c r="C400" i="2"/>
  <c r="D400" i="2"/>
  <c r="E400" i="2"/>
  <c r="L400" i="2"/>
  <c r="M400" i="2"/>
  <c r="N400" i="2"/>
  <c r="O400" i="2"/>
  <c r="P400" i="2"/>
  <c r="Q400" i="2"/>
  <c r="R400" i="2"/>
  <c r="S400" i="2"/>
  <c r="T400" i="2"/>
  <c r="U400" i="2"/>
  <c r="V400" i="2"/>
  <c r="W400" i="2"/>
  <c r="X400" i="2"/>
  <c r="Y400" i="2"/>
  <c r="Z400" i="2"/>
  <c r="AA400" i="2"/>
  <c r="AB400" i="2"/>
  <c r="AC400" i="2"/>
  <c r="AD400" i="2"/>
  <c r="AE400" i="2"/>
  <c r="AF400" i="2"/>
  <c r="AG400" i="2"/>
  <c r="AH400" i="2"/>
  <c r="AI400" i="2"/>
  <c r="AJ400" i="2"/>
  <c r="AK400" i="2"/>
  <c r="AQ400" i="2"/>
  <c r="AR400" i="2"/>
  <c r="AS400" i="2"/>
  <c r="AT400" i="2"/>
  <c r="AU400" i="2"/>
  <c r="B401" i="2"/>
  <c r="C401" i="2"/>
  <c r="D401" i="2"/>
  <c r="E401" i="2"/>
  <c r="L401" i="2"/>
  <c r="M401" i="2"/>
  <c r="N401" i="2"/>
  <c r="O401" i="2"/>
  <c r="P401" i="2"/>
  <c r="Q401" i="2"/>
  <c r="R401" i="2"/>
  <c r="S401" i="2"/>
  <c r="T401" i="2"/>
  <c r="U401" i="2"/>
  <c r="V401" i="2"/>
  <c r="W401" i="2"/>
  <c r="X401" i="2"/>
  <c r="Y401" i="2"/>
  <c r="Z401" i="2"/>
  <c r="AA401" i="2"/>
  <c r="AB401" i="2"/>
  <c r="AC401" i="2"/>
  <c r="AD401" i="2"/>
  <c r="AE401" i="2"/>
  <c r="AF401" i="2"/>
  <c r="AG401" i="2"/>
  <c r="AH401" i="2"/>
  <c r="AI401" i="2"/>
  <c r="AJ401" i="2"/>
  <c r="AK401" i="2"/>
  <c r="AQ401" i="2"/>
  <c r="AR401" i="2"/>
  <c r="AS401" i="2"/>
  <c r="AT401" i="2"/>
  <c r="AU401" i="2"/>
  <c r="B402" i="2"/>
  <c r="C402" i="2"/>
  <c r="D402" i="2"/>
  <c r="E402" i="2"/>
  <c r="L402" i="2"/>
  <c r="M402" i="2"/>
  <c r="N402" i="2"/>
  <c r="O402" i="2"/>
  <c r="P402" i="2"/>
  <c r="Q402" i="2"/>
  <c r="R402" i="2"/>
  <c r="S402" i="2"/>
  <c r="T402" i="2"/>
  <c r="U402" i="2"/>
  <c r="V402" i="2"/>
  <c r="W402" i="2"/>
  <c r="X402" i="2"/>
  <c r="Y402" i="2"/>
  <c r="Z402" i="2"/>
  <c r="AA402" i="2"/>
  <c r="AB402" i="2"/>
  <c r="AC402" i="2"/>
  <c r="AD402" i="2"/>
  <c r="AE402" i="2"/>
  <c r="AF402" i="2"/>
  <c r="AG402" i="2"/>
  <c r="AH402" i="2"/>
  <c r="AI402" i="2"/>
  <c r="AJ402" i="2"/>
  <c r="AK402" i="2"/>
  <c r="AQ402" i="2"/>
  <c r="AR402" i="2"/>
  <c r="AS402" i="2"/>
  <c r="AT402" i="2"/>
  <c r="AU402" i="2"/>
  <c r="B403" i="2"/>
  <c r="C403" i="2"/>
  <c r="D403" i="2"/>
  <c r="E403" i="2"/>
  <c r="L403" i="2"/>
  <c r="M403" i="2"/>
  <c r="N403" i="2"/>
  <c r="O403" i="2"/>
  <c r="P403" i="2"/>
  <c r="Q403" i="2"/>
  <c r="R403" i="2"/>
  <c r="S403" i="2"/>
  <c r="T403" i="2"/>
  <c r="U403" i="2"/>
  <c r="V403" i="2"/>
  <c r="W403" i="2"/>
  <c r="X403" i="2"/>
  <c r="Y403" i="2"/>
  <c r="Z403" i="2"/>
  <c r="AA403" i="2"/>
  <c r="AB403" i="2"/>
  <c r="AC403" i="2"/>
  <c r="AD403" i="2"/>
  <c r="AE403" i="2"/>
  <c r="AF403" i="2"/>
  <c r="AG403" i="2"/>
  <c r="AH403" i="2"/>
  <c r="AI403" i="2"/>
  <c r="AJ403" i="2"/>
  <c r="AK403" i="2"/>
  <c r="AQ403" i="2"/>
  <c r="AR403" i="2"/>
  <c r="AS403" i="2"/>
  <c r="AT403" i="2"/>
  <c r="AU403" i="2"/>
  <c r="B404" i="2"/>
  <c r="C404" i="2"/>
  <c r="D404" i="2"/>
  <c r="E404" i="2"/>
  <c r="L404" i="2"/>
  <c r="M404" i="2"/>
  <c r="N404" i="2"/>
  <c r="O404" i="2"/>
  <c r="P404" i="2"/>
  <c r="Q404" i="2"/>
  <c r="R404" i="2"/>
  <c r="S404" i="2"/>
  <c r="T404" i="2"/>
  <c r="U404" i="2"/>
  <c r="V404" i="2"/>
  <c r="W404" i="2"/>
  <c r="X404" i="2"/>
  <c r="Y404" i="2"/>
  <c r="Z404" i="2"/>
  <c r="AA404" i="2"/>
  <c r="AB404" i="2"/>
  <c r="AC404" i="2"/>
  <c r="AD404" i="2"/>
  <c r="AE404" i="2"/>
  <c r="AF404" i="2"/>
  <c r="AG404" i="2"/>
  <c r="AH404" i="2"/>
  <c r="AI404" i="2"/>
  <c r="AJ404" i="2"/>
  <c r="AK404" i="2"/>
  <c r="AQ404" i="2"/>
  <c r="AR404" i="2"/>
  <c r="AS404" i="2"/>
  <c r="AT404" i="2"/>
  <c r="AU404" i="2"/>
  <c r="B405" i="2"/>
  <c r="C405" i="2"/>
  <c r="D405" i="2"/>
  <c r="E405" i="2"/>
  <c r="L405" i="2"/>
  <c r="M405" i="2"/>
  <c r="N405" i="2"/>
  <c r="O405" i="2"/>
  <c r="P405" i="2"/>
  <c r="Q405" i="2"/>
  <c r="R405" i="2"/>
  <c r="S405" i="2"/>
  <c r="T405" i="2"/>
  <c r="U405" i="2"/>
  <c r="V405" i="2"/>
  <c r="W405" i="2"/>
  <c r="X405" i="2"/>
  <c r="Y405" i="2"/>
  <c r="Z405" i="2"/>
  <c r="AA405" i="2"/>
  <c r="AB405" i="2"/>
  <c r="AC405" i="2"/>
  <c r="AD405" i="2"/>
  <c r="AE405" i="2"/>
  <c r="AF405" i="2"/>
  <c r="AG405" i="2"/>
  <c r="AH405" i="2"/>
  <c r="AI405" i="2"/>
  <c r="AJ405" i="2"/>
  <c r="AK405" i="2"/>
  <c r="AQ405" i="2"/>
  <c r="AR405" i="2"/>
  <c r="AS405" i="2"/>
  <c r="AT405" i="2"/>
  <c r="AU405" i="2"/>
  <c r="B406" i="2"/>
  <c r="C406" i="2"/>
  <c r="D406" i="2"/>
  <c r="E406" i="2"/>
  <c r="L406" i="2"/>
  <c r="M406" i="2"/>
  <c r="N406" i="2"/>
  <c r="O406" i="2"/>
  <c r="P406" i="2"/>
  <c r="Q406" i="2"/>
  <c r="R406" i="2"/>
  <c r="S406" i="2"/>
  <c r="T406" i="2"/>
  <c r="U406" i="2"/>
  <c r="V406" i="2"/>
  <c r="W406" i="2"/>
  <c r="X406" i="2"/>
  <c r="Y406" i="2"/>
  <c r="Z406" i="2"/>
  <c r="AA406" i="2"/>
  <c r="AB406" i="2"/>
  <c r="AC406" i="2"/>
  <c r="AD406" i="2"/>
  <c r="AE406" i="2"/>
  <c r="AF406" i="2"/>
  <c r="AG406" i="2"/>
  <c r="AH406" i="2"/>
  <c r="AI406" i="2"/>
  <c r="AJ406" i="2"/>
  <c r="AK406" i="2"/>
  <c r="AQ406" i="2"/>
  <c r="AR406" i="2"/>
  <c r="AS406" i="2"/>
  <c r="AT406" i="2"/>
  <c r="AU406" i="2"/>
  <c r="B407" i="2"/>
  <c r="C407" i="2"/>
  <c r="D407" i="2"/>
  <c r="E407" i="2"/>
  <c r="L407" i="2"/>
  <c r="M407" i="2"/>
  <c r="N407" i="2"/>
  <c r="O407" i="2"/>
  <c r="P407" i="2"/>
  <c r="Q407" i="2"/>
  <c r="R407" i="2"/>
  <c r="S407" i="2"/>
  <c r="T407" i="2"/>
  <c r="U407" i="2"/>
  <c r="V407" i="2"/>
  <c r="W407" i="2"/>
  <c r="X407" i="2"/>
  <c r="Y407" i="2"/>
  <c r="Z407" i="2"/>
  <c r="AA407" i="2"/>
  <c r="AB407" i="2"/>
  <c r="AC407" i="2"/>
  <c r="AD407" i="2"/>
  <c r="AE407" i="2"/>
  <c r="AF407" i="2"/>
  <c r="AG407" i="2"/>
  <c r="AH407" i="2"/>
  <c r="AI407" i="2"/>
  <c r="AJ407" i="2"/>
  <c r="AK407" i="2"/>
  <c r="AQ407" i="2"/>
  <c r="AR407" i="2"/>
  <c r="AS407" i="2"/>
  <c r="AT407" i="2"/>
  <c r="AU407" i="2"/>
  <c r="B408" i="2"/>
  <c r="C408" i="2"/>
  <c r="D408" i="2"/>
  <c r="E408" i="2"/>
  <c r="L408" i="2"/>
  <c r="M408" i="2"/>
  <c r="N408" i="2"/>
  <c r="O408" i="2"/>
  <c r="P408" i="2"/>
  <c r="Q408" i="2"/>
  <c r="R408" i="2"/>
  <c r="S408" i="2"/>
  <c r="T408" i="2"/>
  <c r="U408" i="2"/>
  <c r="V408" i="2"/>
  <c r="W408" i="2"/>
  <c r="X408" i="2"/>
  <c r="Y408" i="2"/>
  <c r="Z408" i="2"/>
  <c r="AA408" i="2"/>
  <c r="AB408" i="2"/>
  <c r="AC408" i="2"/>
  <c r="AD408" i="2"/>
  <c r="AE408" i="2"/>
  <c r="AF408" i="2"/>
  <c r="AG408" i="2"/>
  <c r="AH408" i="2"/>
  <c r="AI408" i="2"/>
  <c r="AJ408" i="2"/>
  <c r="AK408" i="2"/>
  <c r="AQ408" i="2"/>
  <c r="AR408" i="2"/>
  <c r="AS408" i="2"/>
  <c r="AT408" i="2"/>
  <c r="AU408" i="2"/>
  <c r="B409" i="2"/>
  <c r="C409" i="2"/>
  <c r="D409" i="2"/>
  <c r="E409" i="2"/>
  <c r="L409" i="2"/>
  <c r="M409" i="2"/>
  <c r="N409" i="2"/>
  <c r="O409" i="2"/>
  <c r="P409" i="2"/>
  <c r="Q409" i="2"/>
  <c r="R409" i="2"/>
  <c r="S409" i="2"/>
  <c r="T409" i="2"/>
  <c r="U409" i="2"/>
  <c r="V409" i="2"/>
  <c r="W409" i="2"/>
  <c r="X409" i="2"/>
  <c r="Y409" i="2"/>
  <c r="Z409" i="2"/>
  <c r="AA409" i="2"/>
  <c r="AB409" i="2"/>
  <c r="AC409" i="2"/>
  <c r="AD409" i="2"/>
  <c r="AE409" i="2"/>
  <c r="AF409" i="2"/>
  <c r="AG409" i="2"/>
  <c r="AH409" i="2"/>
  <c r="AI409" i="2"/>
  <c r="AJ409" i="2"/>
  <c r="AK409" i="2"/>
  <c r="AQ409" i="2"/>
  <c r="AR409" i="2"/>
  <c r="AS409" i="2"/>
  <c r="AT409" i="2"/>
  <c r="AU409" i="2"/>
  <c r="B410" i="2"/>
  <c r="C410" i="2"/>
  <c r="D410" i="2"/>
  <c r="E410" i="2"/>
  <c r="L410" i="2"/>
  <c r="M410" i="2"/>
  <c r="N410" i="2"/>
  <c r="O410" i="2"/>
  <c r="P410" i="2"/>
  <c r="Q410" i="2"/>
  <c r="R410" i="2"/>
  <c r="S410" i="2"/>
  <c r="T410" i="2"/>
  <c r="U410" i="2"/>
  <c r="V410" i="2"/>
  <c r="W410" i="2"/>
  <c r="X410" i="2"/>
  <c r="Y410" i="2"/>
  <c r="Z410" i="2"/>
  <c r="AA410" i="2"/>
  <c r="AB410" i="2"/>
  <c r="AC410" i="2"/>
  <c r="AD410" i="2"/>
  <c r="AE410" i="2"/>
  <c r="AF410" i="2"/>
  <c r="AG410" i="2"/>
  <c r="AH410" i="2"/>
  <c r="AI410" i="2"/>
  <c r="AJ410" i="2"/>
  <c r="AK410" i="2"/>
  <c r="AQ410" i="2"/>
  <c r="AR410" i="2"/>
  <c r="AS410" i="2"/>
  <c r="AT410" i="2"/>
  <c r="AU410" i="2"/>
  <c r="B411" i="2"/>
  <c r="C411" i="2"/>
  <c r="D411" i="2"/>
  <c r="E411" i="2"/>
  <c r="L411" i="2"/>
  <c r="M411" i="2"/>
  <c r="N411" i="2"/>
  <c r="O411" i="2"/>
  <c r="P411" i="2"/>
  <c r="Q411" i="2"/>
  <c r="R411" i="2"/>
  <c r="S411" i="2"/>
  <c r="T411" i="2"/>
  <c r="U411" i="2"/>
  <c r="V411" i="2"/>
  <c r="W411" i="2"/>
  <c r="X411" i="2"/>
  <c r="Y411" i="2"/>
  <c r="Z411" i="2"/>
  <c r="AA411" i="2"/>
  <c r="AB411" i="2"/>
  <c r="AC411" i="2"/>
  <c r="AD411" i="2"/>
  <c r="AE411" i="2"/>
  <c r="AF411" i="2"/>
  <c r="AG411" i="2"/>
  <c r="AH411" i="2"/>
  <c r="AI411" i="2"/>
  <c r="AJ411" i="2"/>
  <c r="AK411" i="2"/>
  <c r="AQ411" i="2"/>
  <c r="AR411" i="2"/>
  <c r="AS411" i="2"/>
  <c r="AT411" i="2"/>
  <c r="AU411" i="2"/>
  <c r="B412" i="2"/>
  <c r="C412" i="2"/>
  <c r="D412" i="2"/>
  <c r="E412" i="2"/>
  <c r="L412" i="2"/>
  <c r="M412" i="2"/>
  <c r="N412" i="2"/>
  <c r="O412" i="2"/>
  <c r="P412" i="2"/>
  <c r="Q412" i="2"/>
  <c r="R412" i="2"/>
  <c r="S412" i="2"/>
  <c r="T412" i="2"/>
  <c r="U412" i="2"/>
  <c r="V412" i="2"/>
  <c r="W412" i="2"/>
  <c r="X412" i="2"/>
  <c r="Y412" i="2"/>
  <c r="Z412" i="2"/>
  <c r="AA412" i="2"/>
  <c r="AB412" i="2"/>
  <c r="AC412" i="2"/>
  <c r="AD412" i="2"/>
  <c r="AE412" i="2"/>
  <c r="AF412" i="2"/>
  <c r="AG412" i="2"/>
  <c r="AH412" i="2"/>
  <c r="AI412" i="2"/>
  <c r="AJ412" i="2"/>
  <c r="AK412" i="2"/>
  <c r="AQ412" i="2"/>
  <c r="AR412" i="2"/>
  <c r="AS412" i="2"/>
  <c r="AT412" i="2"/>
  <c r="AU412" i="2"/>
  <c r="B413" i="2"/>
  <c r="C413" i="2"/>
  <c r="D413" i="2"/>
  <c r="E413" i="2"/>
  <c r="L413" i="2"/>
  <c r="M413" i="2"/>
  <c r="N413" i="2"/>
  <c r="O413" i="2"/>
  <c r="P413" i="2"/>
  <c r="Q413" i="2"/>
  <c r="R413" i="2"/>
  <c r="S413" i="2"/>
  <c r="T413" i="2"/>
  <c r="U413" i="2"/>
  <c r="V413" i="2"/>
  <c r="W413" i="2"/>
  <c r="X413" i="2"/>
  <c r="Y413" i="2"/>
  <c r="Z413" i="2"/>
  <c r="AA413" i="2"/>
  <c r="AB413" i="2"/>
  <c r="AC413" i="2"/>
  <c r="AD413" i="2"/>
  <c r="AE413" i="2"/>
  <c r="AF413" i="2"/>
  <c r="AG413" i="2"/>
  <c r="AH413" i="2"/>
  <c r="AI413" i="2"/>
  <c r="AJ413" i="2"/>
  <c r="AK413" i="2"/>
  <c r="AQ413" i="2"/>
  <c r="AR413" i="2"/>
  <c r="AS413" i="2"/>
  <c r="AT413" i="2"/>
  <c r="AU413" i="2"/>
  <c r="B414" i="2"/>
  <c r="C414" i="2"/>
  <c r="D414" i="2"/>
  <c r="E414" i="2"/>
  <c r="L414" i="2"/>
  <c r="M414" i="2"/>
  <c r="N414" i="2"/>
  <c r="O414" i="2"/>
  <c r="P414" i="2"/>
  <c r="Q414" i="2"/>
  <c r="R414" i="2"/>
  <c r="S414" i="2"/>
  <c r="T414" i="2"/>
  <c r="U414" i="2"/>
  <c r="V414" i="2"/>
  <c r="W414" i="2"/>
  <c r="X414" i="2"/>
  <c r="Y414" i="2"/>
  <c r="Z414" i="2"/>
  <c r="AA414" i="2"/>
  <c r="AB414" i="2"/>
  <c r="AC414" i="2"/>
  <c r="AD414" i="2"/>
  <c r="AE414" i="2"/>
  <c r="AF414" i="2"/>
  <c r="AG414" i="2"/>
  <c r="AH414" i="2"/>
  <c r="AI414" i="2"/>
  <c r="AJ414" i="2"/>
  <c r="AK414" i="2"/>
  <c r="AQ414" i="2"/>
  <c r="AR414" i="2"/>
  <c r="AS414" i="2"/>
  <c r="AT414" i="2"/>
  <c r="AU414" i="2"/>
  <c r="B415" i="2"/>
  <c r="C415" i="2"/>
  <c r="D415" i="2"/>
  <c r="E415" i="2"/>
  <c r="L415" i="2"/>
  <c r="M415" i="2"/>
  <c r="N415" i="2"/>
  <c r="O415" i="2"/>
  <c r="P415" i="2"/>
  <c r="Q415" i="2"/>
  <c r="R415" i="2"/>
  <c r="S415" i="2"/>
  <c r="T415" i="2"/>
  <c r="U415" i="2"/>
  <c r="V415" i="2"/>
  <c r="W415" i="2"/>
  <c r="X415" i="2"/>
  <c r="Y415" i="2"/>
  <c r="Z415" i="2"/>
  <c r="AA415" i="2"/>
  <c r="AB415" i="2"/>
  <c r="AC415" i="2"/>
  <c r="AD415" i="2"/>
  <c r="AE415" i="2"/>
  <c r="AF415" i="2"/>
  <c r="AG415" i="2"/>
  <c r="AH415" i="2"/>
  <c r="AI415" i="2"/>
  <c r="AJ415" i="2"/>
  <c r="AK415" i="2"/>
  <c r="AQ415" i="2"/>
  <c r="AR415" i="2"/>
  <c r="AS415" i="2"/>
  <c r="AT415" i="2"/>
  <c r="AU415" i="2"/>
  <c r="B416" i="2"/>
  <c r="C416" i="2"/>
  <c r="D416" i="2"/>
  <c r="E416" i="2"/>
  <c r="L416" i="2"/>
  <c r="M416" i="2"/>
  <c r="N416" i="2"/>
  <c r="O416" i="2"/>
  <c r="P416" i="2"/>
  <c r="Q416" i="2"/>
  <c r="R416" i="2"/>
  <c r="S416" i="2"/>
  <c r="T416" i="2"/>
  <c r="U416" i="2"/>
  <c r="V416" i="2"/>
  <c r="W416" i="2"/>
  <c r="X416" i="2"/>
  <c r="Y416" i="2"/>
  <c r="Z416" i="2"/>
  <c r="AA416" i="2"/>
  <c r="AB416" i="2"/>
  <c r="AC416" i="2"/>
  <c r="AD416" i="2"/>
  <c r="AE416" i="2"/>
  <c r="AF416" i="2"/>
  <c r="AG416" i="2"/>
  <c r="AH416" i="2"/>
  <c r="AI416" i="2"/>
  <c r="AJ416" i="2"/>
  <c r="AK416" i="2"/>
  <c r="AQ416" i="2"/>
  <c r="AR416" i="2"/>
  <c r="AS416" i="2"/>
  <c r="AT416" i="2"/>
  <c r="AU416" i="2"/>
  <c r="B417" i="2"/>
  <c r="C417" i="2"/>
  <c r="D417" i="2"/>
  <c r="E417" i="2"/>
  <c r="L417" i="2"/>
  <c r="M417" i="2"/>
  <c r="N417" i="2"/>
  <c r="O417" i="2"/>
  <c r="P417" i="2"/>
  <c r="Q417" i="2"/>
  <c r="R417" i="2"/>
  <c r="S417" i="2"/>
  <c r="T417" i="2"/>
  <c r="U417" i="2"/>
  <c r="V417" i="2"/>
  <c r="W417" i="2"/>
  <c r="X417" i="2"/>
  <c r="Y417" i="2"/>
  <c r="Z417" i="2"/>
  <c r="AA417" i="2"/>
  <c r="AB417" i="2"/>
  <c r="AC417" i="2"/>
  <c r="AD417" i="2"/>
  <c r="AE417" i="2"/>
  <c r="AF417" i="2"/>
  <c r="AG417" i="2"/>
  <c r="AH417" i="2"/>
  <c r="AI417" i="2"/>
  <c r="AJ417" i="2"/>
  <c r="AK417" i="2"/>
  <c r="AQ417" i="2"/>
  <c r="AR417" i="2"/>
  <c r="AS417" i="2"/>
  <c r="AT417" i="2"/>
  <c r="AU417" i="2"/>
  <c r="B418" i="2"/>
  <c r="C418" i="2"/>
  <c r="D418" i="2"/>
  <c r="E418" i="2"/>
  <c r="L418" i="2"/>
  <c r="M418" i="2"/>
  <c r="N418" i="2"/>
  <c r="O418" i="2"/>
  <c r="P418" i="2"/>
  <c r="Q418" i="2"/>
  <c r="R418" i="2"/>
  <c r="S418" i="2"/>
  <c r="T418" i="2"/>
  <c r="U418" i="2"/>
  <c r="V418" i="2"/>
  <c r="W418" i="2"/>
  <c r="X418" i="2"/>
  <c r="Y418" i="2"/>
  <c r="Z418" i="2"/>
  <c r="AA418" i="2"/>
  <c r="AB418" i="2"/>
  <c r="AC418" i="2"/>
  <c r="AD418" i="2"/>
  <c r="AE418" i="2"/>
  <c r="AF418" i="2"/>
  <c r="AG418" i="2"/>
  <c r="AH418" i="2"/>
  <c r="AI418" i="2"/>
  <c r="AJ418" i="2"/>
  <c r="AK418" i="2"/>
  <c r="AQ418" i="2"/>
  <c r="AR418" i="2"/>
  <c r="AS418" i="2"/>
  <c r="AT418" i="2"/>
  <c r="AU418" i="2"/>
  <c r="B419" i="2"/>
  <c r="C419" i="2"/>
  <c r="D419" i="2"/>
  <c r="E419" i="2"/>
  <c r="L419" i="2"/>
  <c r="M419" i="2"/>
  <c r="N419" i="2"/>
  <c r="O419" i="2"/>
  <c r="P419" i="2"/>
  <c r="Q419" i="2"/>
  <c r="R419" i="2"/>
  <c r="S419" i="2"/>
  <c r="T419" i="2"/>
  <c r="U419" i="2"/>
  <c r="V419" i="2"/>
  <c r="W419" i="2"/>
  <c r="X419" i="2"/>
  <c r="Y419" i="2"/>
  <c r="Z419" i="2"/>
  <c r="AA419" i="2"/>
  <c r="AB419" i="2"/>
  <c r="AC419" i="2"/>
  <c r="AD419" i="2"/>
  <c r="AE419" i="2"/>
  <c r="AF419" i="2"/>
  <c r="AG419" i="2"/>
  <c r="AH419" i="2"/>
  <c r="AI419" i="2"/>
  <c r="AJ419" i="2"/>
  <c r="AK419" i="2"/>
  <c r="AQ419" i="2"/>
  <c r="AR419" i="2"/>
  <c r="AS419" i="2"/>
  <c r="AT419" i="2"/>
  <c r="AU419" i="2"/>
  <c r="B420" i="2"/>
  <c r="C420" i="2"/>
  <c r="D420" i="2"/>
  <c r="E420" i="2"/>
  <c r="L420" i="2"/>
  <c r="M420" i="2"/>
  <c r="N420" i="2"/>
  <c r="O420" i="2"/>
  <c r="P420" i="2"/>
  <c r="Q420" i="2"/>
  <c r="R420" i="2"/>
  <c r="S420" i="2"/>
  <c r="T420" i="2"/>
  <c r="U420" i="2"/>
  <c r="V420" i="2"/>
  <c r="W420" i="2"/>
  <c r="X420" i="2"/>
  <c r="Y420" i="2"/>
  <c r="Z420" i="2"/>
  <c r="AA420" i="2"/>
  <c r="AB420" i="2"/>
  <c r="AC420" i="2"/>
  <c r="AD420" i="2"/>
  <c r="AE420" i="2"/>
  <c r="AF420" i="2"/>
  <c r="AG420" i="2"/>
  <c r="AH420" i="2"/>
  <c r="AI420" i="2"/>
  <c r="AJ420" i="2"/>
  <c r="AK420" i="2"/>
  <c r="AQ420" i="2"/>
  <c r="AR420" i="2"/>
  <c r="AS420" i="2"/>
  <c r="AT420" i="2"/>
  <c r="AU420" i="2"/>
  <c r="B421" i="2"/>
  <c r="C421" i="2"/>
  <c r="D421" i="2"/>
  <c r="E421" i="2"/>
  <c r="L421" i="2"/>
  <c r="M421" i="2"/>
  <c r="N421" i="2"/>
  <c r="O421" i="2"/>
  <c r="P421" i="2"/>
  <c r="Q421" i="2"/>
  <c r="R421" i="2"/>
  <c r="S421" i="2"/>
  <c r="T421" i="2"/>
  <c r="U421" i="2"/>
  <c r="V421" i="2"/>
  <c r="W421" i="2"/>
  <c r="X421" i="2"/>
  <c r="Y421" i="2"/>
  <c r="Z421" i="2"/>
  <c r="AA421" i="2"/>
  <c r="AB421" i="2"/>
  <c r="AC421" i="2"/>
  <c r="AD421" i="2"/>
  <c r="AE421" i="2"/>
  <c r="AF421" i="2"/>
  <c r="AG421" i="2"/>
  <c r="AH421" i="2"/>
  <c r="AI421" i="2"/>
  <c r="AJ421" i="2"/>
  <c r="AK421" i="2"/>
  <c r="AQ421" i="2"/>
  <c r="AR421" i="2"/>
  <c r="AS421" i="2"/>
  <c r="AT421" i="2"/>
  <c r="AU421" i="2"/>
  <c r="B422" i="2"/>
  <c r="C422" i="2"/>
  <c r="D422" i="2"/>
  <c r="E422" i="2"/>
  <c r="L422" i="2"/>
  <c r="M422" i="2"/>
  <c r="N422" i="2"/>
  <c r="O422" i="2"/>
  <c r="P422" i="2"/>
  <c r="Q422" i="2"/>
  <c r="R422" i="2"/>
  <c r="S422" i="2"/>
  <c r="T422" i="2"/>
  <c r="U422" i="2"/>
  <c r="V422" i="2"/>
  <c r="W422" i="2"/>
  <c r="X422" i="2"/>
  <c r="Y422" i="2"/>
  <c r="Z422" i="2"/>
  <c r="AA422" i="2"/>
  <c r="AB422" i="2"/>
  <c r="AC422" i="2"/>
  <c r="AD422" i="2"/>
  <c r="AE422" i="2"/>
  <c r="AF422" i="2"/>
  <c r="AG422" i="2"/>
  <c r="AH422" i="2"/>
  <c r="AI422" i="2"/>
  <c r="AJ422" i="2"/>
  <c r="AK422" i="2"/>
  <c r="AQ422" i="2"/>
  <c r="AR422" i="2"/>
  <c r="AS422" i="2"/>
  <c r="AT422" i="2"/>
  <c r="AU422" i="2"/>
  <c r="B423" i="2"/>
  <c r="C423" i="2"/>
  <c r="D423" i="2"/>
  <c r="E423" i="2"/>
  <c r="L423" i="2"/>
  <c r="M423" i="2"/>
  <c r="N423" i="2"/>
  <c r="O423" i="2"/>
  <c r="P423" i="2"/>
  <c r="Q423" i="2"/>
  <c r="R423" i="2"/>
  <c r="S423" i="2"/>
  <c r="T423" i="2"/>
  <c r="U423" i="2"/>
  <c r="V423" i="2"/>
  <c r="W423" i="2"/>
  <c r="X423" i="2"/>
  <c r="Y423" i="2"/>
  <c r="Z423" i="2"/>
  <c r="AA423" i="2"/>
  <c r="AB423" i="2"/>
  <c r="AC423" i="2"/>
  <c r="AD423" i="2"/>
  <c r="AE423" i="2"/>
  <c r="AF423" i="2"/>
  <c r="AG423" i="2"/>
  <c r="AH423" i="2"/>
  <c r="AI423" i="2"/>
  <c r="AJ423" i="2"/>
  <c r="AK423" i="2"/>
  <c r="AQ423" i="2"/>
  <c r="AR423" i="2"/>
  <c r="AS423" i="2"/>
  <c r="AT423" i="2"/>
  <c r="AU423" i="2"/>
  <c r="B424" i="2"/>
  <c r="C424" i="2"/>
  <c r="D424" i="2"/>
  <c r="E424" i="2"/>
  <c r="L424" i="2"/>
  <c r="M424" i="2"/>
  <c r="N424" i="2"/>
  <c r="O424" i="2"/>
  <c r="P424" i="2"/>
  <c r="Q424" i="2"/>
  <c r="R424" i="2"/>
  <c r="S424" i="2"/>
  <c r="T424" i="2"/>
  <c r="U424" i="2"/>
  <c r="V424" i="2"/>
  <c r="W424" i="2"/>
  <c r="X424" i="2"/>
  <c r="Y424" i="2"/>
  <c r="Z424" i="2"/>
  <c r="AA424" i="2"/>
  <c r="AB424" i="2"/>
  <c r="AC424" i="2"/>
  <c r="AD424" i="2"/>
  <c r="AE424" i="2"/>
  <c r="AF424" i="2"/>
  <c r="AG424" i="2"/>
  <c r="AH424" i="2"/>
  <c r="AI424" i="2"/>
  <c r="AJ424" i="2"/>
  <c r="AK424" i="2"/>
  <c r="AQ424" i="2"/>
  <c r="AR424" i="2"/>
  <c r="AS424" i="2"/>
  <c r="AT424" i="2"/>
  <c r="AU424" i="2"/>
  <c r="B425" i="2"/>
  <c r="C425" i="2"/>
  <c r="D425" i="2"/>
  <c r="E425" i="2"/>
  <c r="L425" i="2"/>
  <c r="M425" i="2"/>
  <c r="N425" i="2"/>
  <c r="O425" i="2"/>
  <c r="P425" i="2"/>
  <c r="Q425" i="2"/>
  <c r="R425" i="2"/>
  <c r="S425" i="2"/>
  <c r="T425" i="2"/>
  <c r="U425" i="2"/>
  <c r="V425" i="2"/>
  <c r="W425" i="2"/>
  <c r="X425" i="2"/>
  <c r="Y425" i="2"/>
  <c r="Z425" i="2"/>
  <c r="AA425" i="2"/>
  <c r="AB425" i="2"/>
  <c r="AC425" i="2"/>
  <c r="AD425" i="2"/>
  <c r="AE425" i="2"/>
  <c r="AF425" i="2"/>
  <c r="AG425" i="2"/>
  <c r="AH425" i="2"/>
  <c r="AI425" i="2"/>
  <c r="AJ425" i="2"/>
  <c r="AK425" i="2"/>
  <c r="AQ425" i="2"/>
  <c r="AR425" i="2"/>
  <c r="AS425" i="2"/>
  <c r="AT425" i="2"/>
  <c r="AU425" i="2"/>
  <c r="B426" i="2"/>
  <c r="C426" i="2"/>
  <c r="D426" i="2"/>
  <c r="E426" i="2"/>
  <c r="L426" i="2"/>
  <c r="M426" i="2"/>
  <c r="N426" i="2"/>
  <c r="O426" i="2"/>
  <c r="P426" i="2"/>
  <c r="Q426" i="2"/>
  <c r="R426" i="2"/>
  <c r="S426" i="2"/>
  <c r="T426" i="2"/>
  <c r="U426" i="2"/>
  <c r="V426" i="2"/>
  <c r="W426" i="2"/>
  <c r="X426" i="2"/>
  <c r="Y426" i="2"/>
  <c r="Z426" i="2"/>
  <c r="AA426" i="2"/>
  <c r="AB426" i="2"/>
  <c r="AC426" i="2"/>
  <c r="AD426" i="2"/>
  <c r="AE426" i="2"/>
  <c r="AF426" i="2"/>
  <c r="AG426" i="2"/>
  <c r="AH426" i="2"/>
  <c r="AI426" i="2"/>
  <c r="AJ426" i="2"/>
  <c r="AK426" i="2"/>
  <c r="AQ426" i="2"/>
  <c r="AR426" i="2"/>
  <c r="AS426" i="2"/>
  <c r="AT426" i="2"/>
  <c r="AU426" i="2"/>
  <c r="B427" i="2"/>
  <c r="C427" i="2"/>
  <c r="D427" i="2"/>
  <c r="E427" i="2"/>
  <c r="L427" i="2"/>
  <c r="M427" i="2"/>
  <c r="N427" i="2"/>
  <c r="O427" i="2"/>
  <c r="P427" i="2"/>
  <c r="Q427" i="2"/>
  <c r="R427" i="2"/>
  <c r="S427" i="2"/>
  <c r="T427" i="2"/>
  <c r="U427" i="2"/>
  <c r="V427" i="2"/>
  <c r="W427" i="2"/>
  <c r="X427" i="2"/>
  <c r="Y427" i="2"/>
  <c r="Z427" i="2"/>
  <c r="AA427" i="2"/>
  <c r="AB427" i="2"/>
  <c r="AC427" i="2"/>
  <c r="AD427" i="2"/>
  <c r="AE427" i="2"/>
  <c r="AF427" i="2"/>
  <c r="AG427" i="2"/>
  <c r="AH427" i="2"/>
  <c r="AI427" i="2"/>
  <c r="AJ427" i="2"/>
  <c r="AK427" i="2"/>
  <c r="AQ427" i="2"/>
  <c r="AR427" i="2"/>
  <c r="AS427" i="2"/>
  <c r="AT427" i="2"/>
  <c r="AU427" i="2"/>
  <c r="B428" i="2"/>
  <c r="C428" i="2"/>
  <c r="D428" i="2"/>
  <c r="E428" i="2"/>
  <c r="L428" i="2"/>
  <c r="M428" i="2"/>
  <c r="N428" i="2"/>
  <c r="O428" i="2"/>
  <c r="P428" i="2"/>
  <c r="Q428" i="2"/>
  <c r="R428" i="2"/>
  <c r="S428" i="2"/>
  <c r="T428" i="2"/>
  <c r="U428" i="2"/>
  <c r="V428" i="2"/>
  <c r="W428" i="2"/>
  <c r="X428" i="2"/>
  <c r="Y428" i="2"/>
  <c r="Z428" i="2"/>
  <c r="AA428" i="2"/>
  <c r="AB428" i="2"/>
  <c r="AC428" i="2"/>
  <c r="AD428" i="2"/>
  <c r="AE428" i="2"/>
  <c r="AF428" i="2"/>
  <c r="AG428" i="2"/>
  <c r="AH428" i="2"/>
  <c r="AI428" i="2"/>
  <c r="AJ428" i="2"/>
  <c r="AK428" i="2"/>
  <c r="AQ428" i="2"/>
  <c r="AR428" i="2"/>
  <c r="AS428" i="2"/>
  <c r="AT428" i="2"/>
  <c r="AU428" i="2"/>
  <c r="B429" i="2"/>
  <c r="C429" i="2"/>
  <c r="D429" i="2"/>
  <c r="E429" i="2"/>
  <c r="L429" i="2"/>
  <c r="M429" i="2"/>
  <c r="N429" i="2"/>
  <c r="O429" i="2"/>
  <c r="P429" i="2"/>
  <c r="Q429" i="2"/>
  <c r="R429" i="2"/>
  <c r="S429" i="2"/>
  <c r="T429" i="2"/>
  <c r="U429" i="2"/>
  <c r="V429" i="2"/>
  <c r="W429" i="2"/>
  <c r="X429" i="2"/>
  <c r="Y429" i="2"/>
  <c r="Z429" i="2"/>
  <c r="AA429" i="2"/>
  <c r="AB429" i="2"/>
  <c r="AC429" i="2"/>
  <c r="AD429" i="2"/>
  <c r="AE429" i="2"/>
  <c r="AF429" i="2"/>
  <c r="AG429" i="2"/>
  <c r="AH429" i="2"/>
  <c r="AI429" i="2"/>
  <c r="AJ429" i="2"/>
  <c r="AK429" i="2"/>
  <c r="AQ429" i="2"/>
  <c r="AR429" i="2"/>
  <c r="AS429" i="2"/>
  <c r="AT429" i="2"/>
  <c r="AU429" i="2"/>
  <c r="B430" i="2"/>
  <c r="C430" i="2"/>
  <c r="D430" i="2"/>
  <c r="E430" i="2"/>
  <c r="L430" i="2"/>
  <c r="M430" i="2"/>
  <c r="N430" i="2"/>
  <c r="O430" i="2"/>
  <c r="P430" i="2"/>
  <c r="Q430" i="2"/>
  <c r="R430" i="2"/>
  <c r="S430" i="2"/>
  <c r="T430" i="2"/>
  <c r="U430" i="2"/>
  <c r="V430" i="2"/>
  <c r="W430" i="2"/>
  <c r="X430" i="2"/>
  <c r="Y430" i="2"/>
  <c r="Z430" i="2"/>
  <c r="AA430" i="2"/>
  <c r="AB430" i="2"/>
  <c r="AC430" i="2"/>
  <c r="AD430" i="2"/>
  <c r="AE430" i="2"/>
  <c r="AF430" i="2"/>
  <c r="AG430" i="2"/>
  <c r="AH430" i="2"/>
  <c r="AI430" i="2"/>
  <c r="AJ430" i="2"/>
  <c r="AK430" i="2"/>
  <c r="AQ430" i="2"/>
  <c r="AR430" i="2"/>
  <c r="AS430" i="2"/>
  <c r="AT430" i="2"/>
  <c r="AU430" i="2"/>
  <c r="B431" i="2"/>
  <c r="C431" i="2"/>
  <c r="D431" i="2"/>
  <c r="E431" i="2"/>
  <c r="L431" i="2"/>
  <c r="M431" i="2"/>
  <c r="N431" i="2"/>
  <c r="O431" i="2"/>
  <c r="P431" i="2"/>
  <c r="Q431" i="2"/>
  <c r="R431" i="2"/>
  <c r="S431" i="2"/>
  <c r="T431" i="2"/>
  <c r="U431" i="2"/>
  <c r="V431" i="2"/>
  <c r="W431" i="2"/>
  <c r="X431" i="2"/>
  <c r="Y431" i="2"/>
  <c r="Z431" i="2"/>
  <c r="AA431" i="2"/>
  <c r="AB431" i="2"/>
  <c r="AC431" i="2"/>
  <c r="AD431" i="2"/>
  <c r="AE431" i="2"/>
  <c r="AF431" i="2"/>
  <c r="AG431" i="2"/>
  <c r="AH431" i="2"/>
  <c r="AI431" i="2"/>
  <c r="AJ431" i="2"/>
  <c r="AK431" i="2"/>
  <c r="AQ431" i="2"/>
  <c r="AR431" i="2"/>
  <c r="AS431" i="2"/>
  <c r="AT431" i="2"/>
  <c r="AU431" i="2"/>
  <c r="B432" i="2"/>
  <c r="C432" i="2"/>
  <c r="D432" i="2"/>
  <c r="E432" i="2"/>
  <c r="L432" i="2"/>
  <c r="M432" i="2"/>
  <c r="N432" i="2"/>
  <c r="O432" i="2"/>
  <c r="P432" i="2"/>
  <c r="Q432" i="2"/>
  <c r="R432" i="2"/>
  <c r="S432" i="2"/>
  <c r="T432" i="2"/>
  <c r="U432" i="2"/>
  <c r="V432" i="2"/>
  <c r="W432" i="2"/>
  <c r="X432" i="2"/>
  <c r="Y432" i="2"/>
  <c r="Z432" i="2"/>
  <c r="AA432" i="2"/>
  <c r="AB432" i="2"/>
  <c r="AC432" i="2"/>
  <c r="AD432" i="2"/>
  <c r="AE432" i="2"/>
  <c r="AF432" i="2"/>
  <c r="AG432" i="2"/>
  <c r="AH432" i="2"/>
  <c r="AI432" i="2"/>
  <c r="AJ432" i="2"/>
  <c r="AK432" i="2"/>
  <c r="AQ432" i="2"/>
  <c r="AR432" i="2"/>
  <c r="AS432" i="2"/>
  <c r="AT432" i="2"/>
  <c r="AU432" i="2"/>
  <c r="B433" i="2"/>
  <c r="C433" i="2"/>
  <c r="D433" i="2"/>
  <c r="E433" i="2"/>
  <c r="L433" i="2"/>
  <c r="M433" i="2"/>
  <c r="N433" i="2"/>
  <c r="O433" i="2"/>
  <c r="P433" i="2"/>
  <c r="Q433" i="2"/>
  <c r="R433" i="2"/>
  <c r="S433" i="2"/>
  <c r="T433" i="2"/>
  <c r="U433" i="2"/>
  <c r="V433" i="2"/>
  <c r="W433" i="2"/>
  <c r="X433" i="2"/>
  <c r="Y433" i="2"/>
  <c r="Z433" i="2"/>
  <c r="AA433" i="2"/>
  <c r="AB433" i="2"/>
  <c r="AC433" i="2"/>
  <c r="AD433" i="2"/>
  <c r="AE433" i="2"/>
  <c r="AF433" i="2"/>
  <c r="AG433" i="2"/>
  <c r="AH433" i="2"/>
  <c r="AI433" i="2"/>
  <c r="AJ433" i="2"/>
  <c r="AK433" i="2"/>
  <c r="AQ433" i="2"/>
  <c r="AR433" i="2"/>
  <c r="AS433" i="2"/>
  <c r="AT433" i="2"/>
  <c r="AU433" i="2"/>
  <c r="B434" i="2"/>
  <c r="C434" i="2"/>
  <c r="D434" i="2"/>
  <c r="E434" i="2"/>
  <c r="L434" i="2"/>
  <c r="M434" i="2"/>
  <c r="N434" i="2"/>
  <c r="O434" i="2"/>
  <c r="P434" i="2"/>
  <c r="Q434" i="2"/>
  <c r="R434" i="2"/>
  <c r="S434" i="2"/>
  <c r="T434" i="2"/>
  <c r="U434" i="2"/>
  <c r="V434" i="2"/>
  <c r="W434" i="2"/>
  <c r="X434" i="2"/>
  <c r="Y434" i="2"/>
  <c r="Z434" i="2"/>
  <c r="AA434" i="2"/>
  <c r="AB434" i="2"/>
  <c r="AC434" i="2"/>
  <c r="AD434" i="2"/>
  <c r="AE434" i="2"/>
  <c r="AF434" i="2"/>
  <c r="AG434" i="2"/>
  <c r="AH434" i="2"/>
  <c r="AI434" i="2"/>
  <c r="AJ434" i="2"/>
  <c r="AK434" i="2"/>
  <c r="AQ434" i="2"/>
  <c r="AR434" i="2"/>
  <c r="AS434" i="2"/>
  <c r="AT434" i="2"/>
  <c r="AU434" i="2"/>
  <c r="B435" i="2"/>
  <c r="C435" i="2"/>
  <c r="D435" i="2"/>
  <c r="E435" i="2"/>
  <c r="L435" i="2"/>
  <c r="M435" i="2"/>
  <c r="N435" i="2"/>
  <c r="O435" i="2"/>
  <c r="P435" i="2"/>
  <c r="Q435" i="2"/>
  <c r="R435" i="2"/>
  <c r="S435" i="2"/>
  <c r="T435" i="2"/>
  <c r="U435" i="2"/>
  <c r="V435" i="2"/>
  <c r="W435" i="2"/>
  <c r="X435" i="2"/>
  <c r="Y435" i="2"/>
  <c r="Z435" i="2"/>
  <c r="AA435" i="2"/>
  <c r="AB435" i="2"/>
  <c r="AC435" i="2"/>
  <c r="AD435" i="2"/>
  <c r="AE435" i="2"/>
  <c r="AF435" i="2"/>
  <c r="AG435" i="2"/>
  <c r="AH435" i="2"/>
  <c r="AI435" i="2"/>
  <c r="AJ435" i="2"/>
  <c r="AK435" i="2"/>
  <c r="AQ435" i="2"/>
  <c r="AR435" i="2"/>
  <c r="AS435" i="2"/>
  <c r="AT435" i="2"/>
  <c r="AU435" i="2"/>
  <c r="B436" i="2"/>
  <c r="C436" i="2"/>
  <c r="D436" i="2"/>
  <c r="E436" i="2"/>
  <c r="L436" i="2"/>
  <c r="M436" i="2"/>
  <c r="N436" i="2"/>
  <c r="O436" i="2"/>
  <c r="P436" i="2"/>
  <c r="Q436" i="2"/>
  <c r="R436" i="2"/>
  <c r="S436" i="2"/>
  <c r="T436" i="2"/>
  <c r="U436" i="2"/>
  <c r="V436" i="2"/>
  <c r="W436" i="2"/>
  <c r="X436" i="2"/>
  <c r="Y436" i="2"/>
  <c r="Z436" i="2"/>
  <c r="AA436" i="2"/>
  <c r="AB436" i="2"/>
  <c r="AC436" i="2"/>
  <c r="AD436" i="2"/>
  <c r="AE436" i="2"/>
  <c r="AF436" i="2"/>
  <c r="AG436" i="2"/>
  <c r="AH436" i="2"/>
  <c r="AI436" i="2"/>
  <c r="AJ436" i="2"/>
  <c r="AK436" i="2"/>
  <c r="AQ436" i="2"/>
  <c r="AR436" i="2"/>
  <c r="AS436" i="2"/>
  <c r="AT436" i="2"/>
  <c r="AU436" i="2"/>
  <c r="B437" i="2"/>
  <c r="C437" i="2"/>
  <c r="D437" i="2"/>
  <c r="E437" i="2"/>
  <c r="L437" i="2"/>
  <c r="M437" i="2"/>
  <c r="N437" i="2"/>
  <c r="O437" i="2"/>
  <c r="P437" i="2"/>
  <c r="Q437" i="2"/>
  <c r="R437" i="2"/>
  <c r="S437" i="2"/>
  <c r="T437" i="2"/>
  <c r="U437" i="2"/>
  <c r="V437" i="2"/>
  <c r="W437" i="2"/>
  <c r="X437" i="2"/>
  <c r="Y437" i="2"/>
  <c r="Z437" i="2"/>
  <c r="AA437" i="2"/>
  <c r="AB437" i="2"/>
  <c r="AC437" i="2"/>
  <c r="AD437" i="2"/>
  <c r="AE437" i="2"/>
  <c r="AF437" i="2"/>
  <c r="AG437" i="2"/>
  <c r="AH437" i="2"/>
  <c r="AI437" i="2"/>
  <c r="AJ437" i="2"/>
  <c r="AK437" i="2"/>
  <c r="AQ437" i="2"/>
  <c r="AR437" i="2"/>
  <c r="AS437" i="2"/>
  <c r="AT437" i="2"/>
  <c r="AU437" i="2"/>
  <c r="B438" i="2"/>
  <c r="C438" i="2"/>
  <c r="D438" i="2"/>
  <c r="E438" i="2"/>
  <c r="L438" i="2"/>
  <c r="M438" i="2"/>
  <c r="N438" i="2"/>
  <c r="O438" i="2"/>
  <c r="P438" i="2"/>
  <c r="Q438" i="2"/>
  <c r="R438" i="2"/>
  <c r="S438" i="2"/>
  <c r="T438" i="2"/>
  <c r="U438" i="2"/>
  <c r="V438" i="2"/>
  <c r="W438" i="2"/>
  <c r="X438" i="2"/>
  <c r="Y438" i="2"/>
  <c r="Z438" i="2"/>
  <c r="AA438" i="2"/>
  <c r="AB438" i="2"/>
  <c r="AC438" i="2"/>
  <c r="AD438" i="2"/>
  <c r="AE438" i="2"/>
  <c r="AF438" i="2"/>
  <c r="AG438" i="2"/>
  <c r="AH438" i="2"/>
  <c r="AI438" i="2"/>
  <c r="AJ438" i="2"/>
  <c r="AK438" i="2"/>
  <c r="AQ438" i="2"/>
  <c r="AR438" i="2"/>
  <c r="AS438" i="2"/>
  <c r="AT438" i="2"/>
  <c r="AU438" i="2"/>
  <c r="B439" i="2"/>
  <c r="C439" i="2"/>
  <c r="D439" i="2"/>
  <c r="E439" i="2"/>
  <c r="L439" i="2"/>
  <c r="M439" i="2"/>
  <c r="N439" i="2"/>
  <c r="O439" i="2"/>
  <c r="P439" i="2"/>
  <c r="Q439" i="2"/>
  <c r="R439" i="2"/>
  <c r="S439" i="2"/>
  <c r="T439" i="2"/>
  <c r="U439" i="2"/>
  <c r="V439" i="2"/>
  <c r="W439" i="2"/>
  <c r="X439" i="2"/>
  <c r="Y439" i="2"/>
  <c r="Z439" i="2"/>
  <c r="AA439" i="2"/>
  <c r="AB439" i="2"/>
  <c r="AC439" i="2"/>
  <c r="AD439" i="2"/>
  <c r="AE439" i="2"/>
  <c r="AF439" i="2"/>
  <c r="AG439" i="2"/>
  <c r="AH439" i="2"/>
  <c r="AI439" i="2"/>
  <c r="AJ439" i="2"/>
  <c r="AK439" i="2"/>
  <c r="AQ439" i="2"/>
  <c r="AR439" i="2"/>
  <c r="AS439" i="2"/>
  <c r="AT439" i="2"/>
  <c r="AU439" i="2"/>
  <c r="B440" i="2"/>
  <c r="C440" i="2"/>
  <c r="D440" i="2"/>
  <c r="E440" i="2"/>
  <c r="L440" i="2"/>
  <c r="M440" i="2"/>
  <c r="N440" i="2"/>
  <c r="O440" i="2"/>
  <c r="P440" i="2"/>
  <c r="Q440" i="2"/>
  <c r="R440" i="2"/>
  <c r="S440" i="2"/>
  <c r="T440" i="2"/>
  <c r="U440" i="2"/>
  <c r="V440" i="2"/>
  <c r="W440" i="2"/>
  <c r="X440" i="2"/>
  <c r="Y440" i="2"/>
  <c r="Z440" i="2"/>
  <c r="AA440" i="2"/>
  <c r="AB440" i="2"/>
  <c r="AC440" i="2"/>
  <c r="AD440" i="2"/>
  <c r="AE440" i="2"/>
  <c r="AF440" i="2"/>
  <c r="AG440" i="2"/>
  <c r="AH440" i="2"/>
  <c r="AI440" i="2"/>
  <c r="AJ440" i="2"/>
  <c r="AK440" i="2"/>
  <c r="AQ440" i="2"/>
  <c r="AR440" i="2"/>
  <c r="AS440" i="2"/>
  <c r="AT440" i="2"/>
  <c r="AU440" i="2"/>
  <c r="B441" i="2"/>
  <c r="C441" i="2"/>
  <c r="D441" i="2"/>
  <c r="E441" i="2"/>
  <c r="L441" i="2"/>
  <c r="M441" i="2"/>
  <c r="N441" i="2"/>
  <c r="O441" i="2"/>
  <c r="P441" i="2"/>
  <c r="Q441" i="2"/>
  <c r="R441" i="2"/>
  <c r="S441" i="2"/>
  <c r="T441" i="2"/>
  <c r="U441" i="2"/>
  <c r="V441" i="2"/>
  <c r="W441" i="2"/>
  <c r="X441" i="2"/>
  <c r="Y441" i="2"/>
  <c r="Z441" i="2"/>
  <c r="AA441" i="2"/>
  <c r="AB441" i="2"/>
  <c r="AC441" i="2"/>
  <c r="AD441" i="2"/>
  <c r="AE441" i="2"/>
  <c r="AF441" i="2"/>
  <c r="AG441" i="2"/>
  <c r="AH441" i="2"/>
  <c r="AI441" i="2"/>
  <c r="AJ441" i="2"/>
  <c r="AK441" i="2"/>
  <c r="AQ441" i="2"/>
  <c r="AR441" i="2"/>
  <c r="AS441" i="2"/>
  <c r="AT441" i="2"/>
  <c r="AU441" i="2"/>
  <c r="B442" i="2"/>
  <c r="C442" i="2"/>
  <c r="D442" i="2"/>
  <c r="E442" i="2"/>
  <c r="L442" i="2"/>
  <c r="M442" i="2"/>
  <c r="N442" i="2"/>
  <c r="O442" i="2"/>
  <c r="P442" i="2"/>
  <c r="Q442" i="2"/>
  <c r="R442" i="2"/>
  <c r="S442" i="2"/>
  <c r="T442" i="2"/>
  <c r="U442" i="2"/>
  <c r="V442" i="2"/>
  <c r="W442" i="2"/>
  <c r="X442" i="2"/>
  <c r="Y442" i="2"/>
  <c r="Z442" i="2"/>
  <c r="AA442" i="2"/>
  <c r="AB442" i="2"/>
  <c r="AC442" i="2"/>
  <c r="AD442" i="2"/>
  <c r="AE442" i="2"/>
  <c r="AF442" i="2"/>
  <c r="AG442" i="2"/>
  <c r="AH442" i="2"/>
  <c r="AI442" i="2"/>
  <c r="AJ442" i="2"/>
  <c r="AK442" i="2"/>
  <c r="AQ442" i="2"/>
  <c r="AR442" i="2"/>
  <c r="AS442" i="2"/>
  <c r="AT442" i="2"/>
  <c r="AU442" i="2"/>
  <c r="B443" i="2"/>
  <c r="C443" i="2"/>
  <c r="D443" i="2"/>
  <c r="E443" i="2"/>
  <c r="L443" i="2"/>
  <c r="M443" i="2"/>
  <c r="N443" i="2"/>
  <c r="O443" i="2"/>
  <c r="P443" i="2"/>
  <c r="Q443" i="2"/>
  <c r="R443" i="2"/>
  <c r="S443" i="2"/>
  <c r="T443" i="2"/>
  <c r="U443" i="2"/>
  <c r="V443" i="2"/>
  <c r="W443" i="2"/>
  <c r="X443" i="2"/>
  <c r="Y443" i="2"/>
  <c r="Z443" i="2"/>
  <c r="AA443" i="2"/>
  <c r="AB443" i="2"/>
  <c r="AC443" i="2"/>
  <c r="AD443" i="2"/>
  <c r="AE443" i="2"/>
  <c r="AF443" i="2"/>
  <c r="AG443" i="2"/>
  <c r="AH443" i="2"/>
  <c r="AI443" i="2"/>
  <c r="AJ443" i="2"/>
  <c r="AK443" i="2"/>
  <c r="AQ443" i="2"/>
  <c r="AR443" i="2"/>
  <c r="AS443" i="2"/>
  <c r="AT443" i="2"/>
  <c r="AU443" i="2"/>
  <c r="B444" i="2"/>
  <c r="C444" i="2"/>
  <c r="D444" i="2"/>
  <c r="E444" i="2"/>
  <c r="L444" i="2"/>
  <c r="M444" i="2"/>
  <c r="N444" i="2"/>
  <c r="O444" i="2"/>
  <c r="P444" i="2"/>
  <c r="Q444" i="2"/>
  <c r="R444" i="2"/>
  <c r="S444" i="2"/>
  <c r="T444" i="2"/>
  <c r="U444" i="2"/>
  <c r="V444" i="2"/>
  <c r="W444" i="2"/>
  <c r="X444" i="2"/>
  <c r="Y444" i="2"/>
  <c r="Z444" i="2"/>
  <c r="AA444" i="2"/>
  <c r="AB444" i="2"/>
  <c r="AC444" i="2"/>
  <c r="AD444" i="2"/>
  <c r="AE444" i="2"/>
  <c r="AF444" i="2"/>
  <c r="AG444" i="2"/>
  <c r="AH444" i="2"/>
  <c r="AI444" i="2"/>
  <c r="AJ444" i="2"/>
  <c r="AK444" i="2"/>
  <c r="AQ444" i="2"/>
  <c r="AR444" i="2"/>
  <c r="AS444" i="2"/>
  <c r="AT444" i="2"/>
  <c r="AU444" i="2"/>
  <c r="B445" i="2"/>
  <c r="C445" i="2"/>
  <c r="D445" i="2"/>
  <c r="E445" i="2"/>
  <c r="L445" i="2"/>
  <c r="M445" i="2"/>
  <c r="N445" i="2"/>
  <c r="O445" i="2"/>
  <c r="P445" i="2"/>
  <c r="Q445" i="2"/>
  <c r="R445" i="2"/>
  <c r="S445" i="2"/>
  <c r="T445" i="2"/>
  <c r="U445" i="2"/>
  <c r="V445" i="2"/>
  <c r="W445" i="2"/>
  <c r="X445" i="2"/>
  <c r="Y445" i="2"/>
  <c r="Z445" i="2"/>
  <c r="AA445" i="2"/>
  <c r="AB445" i="2"/>
  <c r="AC445" i="2"/>
  <c r="AD445" i="2"/>
  <c r="AE445" i="2"/>
  <c r="AF445" i="2"/>
  <c r="AG445" i="2"/>
  <c r="AH445" i="2"/>
  <c r="AI445" i="2"/>
  <c r="AJ445" i="2"/>
  <c r="AK445" i="2"/>
  <c r="AQ445" i="2"/>
  <c r="AR445" i="2"/>
  <c r="AS445" i="2"/>
  <c r="AT445" i="2"/>
  <c r="AU445" i="2"/>
  <c r="B446" i="2"/>
  <c r="C446" i="2"/>
  <c r="D446" i="2"/>
  <c r="E446" i="2"/>
  <c r="L446" i="2"/>
  <c r="M446" i="2"/>
  <c r="N446" i="2"/>
  <c r="O446" i="2"/>
  <c r="P446" i="2"/>
  <c r="Q446" i="2"/>
  <c r="R446" i="2"/>
  <c r="S446" i="2"/>
  <c r="T446" i="2"/>
  <c r="U446" i="2"/>
  <c r="V446" i="2"/>
  <c r="W446" i="2"/>
  <c r="X446" i="2"/>
  <c r="Y446" i="2"/>
  <c r="Z446" i="2"/>
  <c r="AA446" i="2"/>
  <c r="AB446" i="2"/>
  <c r="AC446" i="2"/>
  <c r="AD446" i="2"/>
  <c r="AE446" i="2"/>
  <c r="AF446" i="2"/>
  <c r="AG446" i="2"/>
  <c r="AH446" i="2"/>
  <c r="AI446" i="2"/>
  <c r="AJ446" i="2"/>
  <c r="AK446" i="2"/>
  <c r="AQ446" i="2"/>
  <c r="AR446" i="2"/>
  <c r="AS446" i="2"/>
  <c r="AT446" i="2"/>
  <c r="AU446" i="2"/>
  <c r="AV446" i="2"/>
  <c r="B447" i="2"/>
  <c r="C447" i="2"/>
  <c r="D447" i="2"/>
  <c r="E447" i="2"/>
  <c r="L447" i="2"/>
  <c r="M447" i="2"/>
  <c r="N447" i="2"/>
  <c r="O447" i="2"/>
  <c r="P447" i="2"/>
  <c r="Q447" i="2"/>
  <c r="R447" i="2"/>
  <c r="S447" i="2"/>
  <c r="T447" i="2"/>
  <c r="U447" i="2"/>
  <c r="V447" i="2"/>
  <c r="W447" i="2"/>
  <c r="X447" i="2"/>
  <c r="Y447" i="2"/>
  <c r="Z447" i="2"/>
  <c r="AA447" i="2"/>
  <c r="AB447" i="2"/>
  <c r="AC447" i="2"/>
  <c r="AD447" i="2"/>
  <c r="AE447" i="2"/>
  <c r="AF447" i="2"/>
  <c r="AG447" i="2"/>
  <c r="AH447" i="2"/>
  <c r="AI447" i="2"/>
  <c r="AJ447" i="2"/>
  <c r="AK447" i="2"/>
  <c r="AQ447" i="2"/>
  <c r="AR447" i="2"/>
  <c r="AS447" i="2"/>
  <c r="AT447" i="2"/>
  <c r="AU447" i="2"/>
  <c r="AV447" i="2"/>
  <c r="B448" i="2"/>
  <c r="C448" i="2"/>
  <c r="D448" i="2"/>
  <c r="E448" i="2"/>
  <c r="L448" i="2"/>
  <c r="M448" i="2"/>
  <c r="N448" i="2"/>
  <c r="O448" i="2"/>
  <c r="P448" i="2"/>
  <c r="Q448" i="2"/>
  <c r="R448" i="2"/>
  <c r="S448" i="2"/>
  <c r="T448" i="2"/>
  <c r="U448" i="2"/>
  <c r="V448" i="2"/>
  <c r="W448" i="2"/>
  <c r="X448" i="2"/>
  <c r="Y448" i="2"/>
  <c r="Z448" i="2"/>
  <c r="AA448" i="2"/>
  <c r="AB448" i="2"/>
  <c r="AC448" i="2"/>
  <c r="AD448" i="2"/>
  <c r="AE448" i="2"/>
  <c r="AF448" i="2"/>
  <c r="AG448" i="2"/>
  <c r="AH448" i="2"/>
  <c r="AI448" i="2"/>
  <c r="AJ448" i="2"/>
  <c r="AK448" i="2"/>
  <c r="AQ448" i="2"/>
  <c r="AR448" i="2"/>
  <c r="AS448" i="2"/>
  <c r="AT448" i="2"/>
  <c r="AU448" i="2"/>
  <c r="AV448" i="2"/>
  <c r="B449" i="2"/>
  <c r="C449" i="2"/>
  <c r="D449" i="2"/>
  <c r="E449" i="2"/>
  <c r="L449" i="2"/>
  <c r="M449" i="2"/>
  <c r="N449" i="2"/>
  <c r="O449" i="2"/>
  <c r="P449" i="2"/>
  <c r="Q449" i="2"/>
  <c r="R449" i="2"/>
  <c r="S449" i="2"/>
  <c r="T449" i="2"/>
  <c r="U449" i="2"/>
  <c r="V449" i="2"/>
  <c r="W449" i="2"/>
  <c r="X449" i="2"/>
  <c r="Y449" i="2"/>
  <c r="Z449" i="2"/>
  <c r="AA449" i="2"/>
  <c r="AB449" i="2"/>
  <c r="AC449" i="2"/>
  <c r="AD449" i="2"/>
  <c r="AE449" i="2"/>
  <c r="AF449" i="2"/>
  <c r="AG449" i="2"/>
  <c r="AH449" i="2"/>
  <c r="AI449" i="2"/>
  <c r="AJ449" i="2"/>
  <c r="AK449" i="2"/>
  <c r="AQ449" i="2"/>
  <c r="AR449" i="2"/>
  <c r="AS449" i="2"/>
  <c r="AT449" i="2"/>
  <c r="AU449" i="2"/>
  <c r="AV449" i="2"/>
  <c r="B450" i="2"/>
  <c r="C450" i="2"/>
  <c r="D450" i="2"/>
  <c r="E450" i="2"/>
  <c r="L450" i="2"/>
  <c r="M450" i="2"/>
  <c r="N450" i="2"/>
  <c r="O450" i="2"/>
  <c r="P450" i="2"/>
  <c r="Q450" i="2"/>
  <c r="R450" i="2"/>
  <c r="S450" i="2"/>
  <c r="T450" i="2"/>
  <c r="U450" i="2"/>
  <c r="V450" i="2"/>
  <c r="W450" i="2"/>
  <c r="X450" i="2"/>
  <c r="Y450" i="2"/>
  <c r="Z450" i="2"/>
  <c r="AA450" i="2"/>
  <c r="AB450" i="2"/>
  <c r="AC450" i="2"/>
  <c r="AD450" i="2"/>
  <c r="AE450" i="2"/>
  <c r="AF450" i="2"/>
  <c r="AG450" i="2"/>
  <c r="AH450" i="2"/>
  <c r="AI450" i="2"/>
  <c r="AJ450" i="2"/>
  <c r="AK450" i="2"/>
  <c r="AQ450" i="2"/>
  <c r="AR450" i="2"/>
  <c r="AS450" i="2"/>
  <c r="AT450" i="2"/>
  <c r="AU450" i="2"/>
  <c r="AV450" i="2"/>
  <c r="B451" i="2"/>
  <c r="C451" i="2"/>
  <c r="D451" i="2"/>
  <c r="E451" i="2"/>
  <c r="L451" i="2"/>
  <c r="M451" i="2"/>
  <c r="N451" i="2"/>
  <c r="O451" i="2"/>
  <c r="P451" i="2"/>
  <c r="Q451" i="2"/>
  <c r="R451" i="2"/>
  <c r="S451" i="2"/>
  <c r="T451" i="2"/>
  <c r="U451" i="2"/>
  <c r="V451" i="2"/>
  <c r="W451" i="2"/>
  <c r="X451" i="2"/>
  <c r="Y451" i="2"/>
  <c r="Z451" i="2"/>
  <c r="AA451" i="2"/>
  <c r="AB451" i="2"/>
  <c r="AC451" i="2"/>
  <c r="AD451" i="2"/>
  <c r="AE451" i="2"/>
  <c r="AF451" i="2"/>
  <c r="AG451" i="2"/>
  <c r="AH451" i="2"/>
  <c r="AI451" i="2"/>
  <c r="AJ451" i="2"/>
  <c r="AK451" i="2"/>
  <c r="AQ451" i="2"/>
  <c r="AR451" i="2"/>
  <c r="AS451" i="2"/>
  <c r="AT451" i="2"/>
  <c r="AU451" i="2"/>
  <c r="AV451" i="2"/>
  <c r="B452" i="2"/>
  <c r="C452" i="2"/>
  <c r="D452" i="2"/>
  <c r="E452" i="2"/>
  <c r="L452" i="2"/>
  <c r="M452" i="2"/>
  <c r="N452" i="2"/>
  <c r="O452" i="2"/>
  <c r="P452" i="2"/>
  <c r="Q452" i="2"/>
  <c r="R452" i="2"/>
  <c r="S452" i="2"/>
  <c r="T452" i="2"/>
  <c r="U452" i="2"/>
  <c r="V452" i="2"/>
  <c r="W452" i="2"/>
  <c r="X452" i="2"/>
  <c r="Y452" i="2"/>
  <c r="Z452" i="2"/>
  <c r="AA452" i="2"/>
  <c r="AB452" i="2"/>
  <c r="AC452" i="2"/>
  <c r="AD452" i="2"/>
  <c r="AE452" i="2"/>
  <c r="AF452" i="2"/>
  <c r="AG452" i="2"/>
  <c r="AH452" i="2"/>
  <c r="AI452" i="2"/>
  <c r="AJ452" i="2"/>
  <c r="AK452" i="2"/>
  <c r="AQ452" i="2"/>
  <c r="AR452" i="2"/>
  <c r="AS452" i="2"/>
  <c r="AT452" i="2"/>
  <c r="AU452" i="2"/>
  <c r="AV452" i="2"/>
  <c r="B453" i="2"/>
  <c r="C453" i="2"/>
  <c r="D453" i="2"/>
  <c r="E453" i="2"/>
  <c r="L453" i="2"/>
  <c r="M453" i="2"/>
  <c r="N453" i="2"/>
  <c r="O453" i="2"/>
  <c r="P453" i="2"/>
  <c r="Q453" i="2"/>
  <c r="R453" i="2"/>
  <c r="S453" i="2"/>
  <c r="T453" i="2"/>
  <c r="U453" i="2"/>
  <c r="V453" i="2"/>
  <c r="W453" i="2"/>
  <c r="X453" i="2"/>
  <c r="Y453" i="2"/>
  <c r="Z453" i="2"/>
  <c r="AA453" i="2"/>
  <c r="AB453" i="2"/>
  <c r="AC453" i="2"/>
  <c r="AD453" i="2"/>
  <c r="AE453" i="2"/>
  <c r="AF453" i="2"/>
  <c r="AG453" i="2"/>
  <c r="AH453" i="2"/>
  <c r="AI453" i="2"/>
  <c r="AJ453" i="2"/>
  <c r="AK453" i="2"/>
  <c r="AQ453" i="2"/>
  <c r="AR453" i="2"/>
  <c r="AS453" i="2"/>
  <c r="AT453" i="2"/>
  <c r="AU453" i="2"/>
  <c r="AV453" i="2"/>
  <c r="B454" i="2"/>
  <c r="C454" i="2"/>
  <c r="D454" i="2"/>
  <c r="E454" i="2"/>
  <c r="L454" i="2"/>
  <c r="M454" i="2"/>
  <c r="N454" i="2"/>
  <c r="O454" i="2"/>
  <c r="P454" i="2"/>
  <c r="Q454" i="2"/>
  <c r="R454" i="2"/>
  <c r="S454" i="2"/>
  <c r="T454" i="2"/>
  <c r="U454" i="2"/>
  <c r="V454" i="2"/>
  <c r="W454" i="2"/>
  <c r="X454" i="2"/>
  <c r="Y454" i="2"/>
  <c r="Z454" i="2"/>
  <c r="AA454" i="2"/>
  <c r="AB454" i="2"/>
  <c r="AC454" i="2"/>
  <c r="AD454" i="2"/>
  <c r="AE454" i="2"/>
  <c r="AF454" i="2"/>
  <c r="AG454" i="2"/>
  <c r="AH454" i="2"/>
  <c r="AI454" i="2"/>
  <c r="AJ454" i="2"/>
  <c r="AK454" i="2"/>
  <c r="AQ454" i="2"/>
  <c r="AR454" i="2"/>
  <c r="AS454" i="2"/>
  <c r="AT454" i="2"/>
  <c r="AU454" i="2"/>
  <c r="AV454" i="2"/>
  <c r="B455" i="2"/>
  <c r="C455" i="2"/>
  <c r="D455" i="2"/>
  <c r="E455" i="2"/>
  <c r="L455" i="2"/>
  <c r="M455" i="2"/>
  <c r="N455" i="2"/>
  <c r="O455" i="2"/>
  <c r="P455" i="2"/>
  <c r="Q455" i="2"/>
  <c r="R455" i="2"/>
  <c r="S455" i="2"/>
  <c r="T455" i="2"/>
  <c r="U455" i="2"/>
  <c r="V455" i="2"/>
  <c r="W455" i="2"/>
  <c r="X455" i="2"/>
  <c r="Y455" i="2"/>
  <c r="Z455" i="2"/>
  <c r="AA455" i="2"/>
  <c r="AB455" i="2"/>
  <c r="AC455" i="2"/>
  <c r="AD455" i="2"/>
  <c r="AE455" i="2"/>
  <c r="AF455" i="2"/>
  <c r="AG455" i="2"/>
  <c r="AH455" i="2"/>
  <c r="AI455" i="2"/>
  <c r="AJ455" i="2"/>
  <c r="AK455" i="2"/>
  <c r="AQ455" i="2"/>
  <c r="AR455" i="2"/>
  <c r="AS455" i="2"/>
  <c r="AT455" i="2"/>
  <c r="AU455" i="2"/>
  <c r="AV455" i="2"/>
  <c r="B456" i="2"/>
  <c r="C456" i="2"/>
  <c r="D456" i="2"/>
  <c r="E456" i="2"/>
  <c r="L456" i="2"/>
  <c r="M456" i="2"/>
  <c r="N456" i="2"/>
  <c r="O456" i="2"/>
  <c r="P456" i="2"/>
  <c r="Q456" i="2"/>
  <c r="R456" i="2"/>
  <c r="S456" i="2"/>
  <c r="T456" i="2"/>
  <c r="U456" i="2"/>
  <c r="V456" i="2"/>
  <c r="W456" i="2"/>
  <c r="X456" i="2"/>
  <c r="Y456" i="2"/>
  <c r="Z456" i="2"/>
  <c r="AA456" i="2"/>
  <c r="AB456" i="2"/>
  <c r="AC456" i="2"/>
  <c r="AD456" i="2"/>
  <c r="AE456" i="2"/>
  <c r="AF456" i="2"/>
  <c r="AG456" i="2"/>
  <c r="AH456" i="2"/>
  <c r="AI456" i="2"/>
  <c r="AJ456" i="2"/>
  <c r="AK456" i="2"/>
  <c r="AQ456" i="2"/>
  <c r="AR456" i="2"/>
  <c r="AS456" i="2"/>
  <c r="AT456" i="2"/>
  <c r="AU456" i="2"/>
  <c r="AV456" i="2"/>
  <c r="B457" i="2"/>
  <c r="C457" i="2"/>
  <c r="D457" i="2"/>
  <c r="E457" i="2"/>
  <c r="L457" i="2"/>
  <c r="M457" i="2"/>
  <c r="N457" i="2"/>
  <c r="O457" i="2"/>
  <c r="P457" i="2"/>
  <c r="Q457" i="2"/>
  <c r="R457" i="2"/>
  <c r="S457" i="2"/>
  <c r="T457" i="2"/>
  <c r="U457" i="2"/>
  <c r="V457" i="2"/>
  <c r="W457" i="2"/>
  <c r="X457" i="2"/>
  <c r="Y457" i="2"/>
  <c r="Z457" i="2"/>
  <c r="AA457" i="2"/>
  <c r="AB457" i="2"/>
  <c r="AC457" i="2"/>
  <c r="AD457" i="2"/>
  <c r="AE457" i="2"/>
  <c r="AF457" i="2"/>
  <c r="AG457" i="2"/>
  <c r="AH457" i="2"/>
  <c r="AI457" i="2"/>
  <c r="AJ457" i="2"/>
  <c r="AK457" i="2"/>
  <c r="AQ457" i="2"/>
  <c r="AR457" i="2"/>
  <c r="AS457" i="2"/>
  <c r="AT457" i="2"/>
  <c r="AU457" i="2"/>
  <c r="AV457" i="2"/>
  <c r="B458" i="2"/>
  <c r="C458" i="2"/>
  <c r="D458" i="2"/>
  <c r="E458" i="2"/>
  <c r="L458" i="2"/>
  <c r="M458" i="2"/>
  <c r="N458" i="2"/>
  <c r="O458" i="2"/>
  <c r="P458" i="2"/>
  <c r="Q458" i="2"/>
  <c r="R458" i="2"/>
  <c r="S458" i="2"/>
  <c r="T458" i="2"/>
  <c r="U458" i="2"/>
  <c r="V458" i="2"/>
  <c r="W458" i="2"/>
  <c r="X458" i="2"/>
  <c r="Y458" i="2"/>
  <c r="Z458" i="2"/>
  <c r="AA458" i="2"/>
  <c r="AB458" i="2"/>
  <c r="AC458" i="2"/>
  <c r="AD458" i="2"/>
  <c r="AE458" i="2"/>
  <c r="AF458" i="2"/>
  <c r="AG458" i="2"/>
  <c r="AH458" i="2"/>
  <c r="AI458" i="2"/>
  <c r="AJ458" i="2"/>
  <c r="AK458" i="2"/>
  <c r="AQ458" i="2"/>
  <c r="AR458" i="2"/>
  <c r="AS458" i="2"/>
  <c r="AT458" i="2"/>
  <c r="AU458" i="2"/>
  <c r="AV458" i="2"/>
  <c r="B459" i="2"/>
  <c r="C459" i="2"/>
  <c r="D459" i="2"/>
  <c r="E459" i="2"/>
  <c r="L459" i="2"/>
  <c r="M459" i="2"/>
  <c r="N459" i="2"/>
  <c r="O459" i="2"/>
  <c r="P459" i="2"/>
  <c r="Q459" i="2"/>
  <c r="R459" i="2"/>
  <c r="S459" i="2"/>
  <c r="T459" i="2"/>
  <c r="U459" i="2"/>
  <c r="V459" i="2"/>
  <c r="W459" i="2"/>
  <c r="X459" i="2"/>
  <c r="Y459" i="2"/>
  <c r="Z459" i="2"/>
  <c r="AA459" i="2"/>
  <c r="AB459" i="2"/>
  <c r="AC459" i="2"/>
  <c r="AD459" i="2"/>
  <c r="AE459" i="2"/>
  <c r="AF459" i="2"/>
  <c r="AG459" i="2"/>
  <c r="AH459" i="2"/>
  <c r="AI459" i="2"/>
  <c r="AJ459" i="2"/>
  <c r="AK459" i="2"/>
  <c r="AQ459" i="2"/>
  <c r="AR459" i="2"/>
  <c r="AS459" i="2"/>
  <c r="AT459" i="2"/>
  <c r="AU459" i="2"/>
  <c r="AV459" i="2"/>
  <c r="B460" i="2"/>
  <c r="C460" i="2"/>
  <c r="D460" i="2"/>
  <c r="E460" i="2"/>
  <c r="L460" i="2"/>
  <c r="M460" i="2"/>
  <c r="N460" i="2"/>
  <c r="O460" i="2"/>
  <c r="P460" i="2"/>
  <c r="Q460" i="2"/>
  <c r="R460" i="2"/>
  <c r="S460" i="2"/>
  <c r="T460" i="2"/>
  <c r="U460" i="2"/>
  <c r="V460" i="2"/>
  <c r="W460" i="2"/>
  <c r="X460" i="2"/>
  <c r="Y460" i="2"/>
  <c r="Z460" i="2"/>
  <c r="AA460" i="2"/>
  <c r="AB460" i="2"/>
  <c r="AC460" i="2"/>
  <c r="AD460" i="2"/>
  <c r="AE460" i="2"/>
  <c r="AF460" i="2"/>
  <c r="AG460" i="2"/>
  <c r="AH460" i="2"/>
  <c r="AI460" i="2"/>
  <c r="AJ460" i="2"/>
  <c r="AK460" i="2"/>
  <c r="AQ460" i="2"/>
  <c r="AR460" i="2"/>
  <c r="AS460" i="2"/>
  <c r="AT460" i="2"/>
  <c r="AU460" i="2"/>
  <c r="AV460" i="2"/>
  <c r="B461" i="2"/>
  <c r="C461" i="2"/>
  <c r="D461" i="2"/>
  <c r="E461" i="2"/>
  <c r="L461" i="2"/>
  <c r="M461" i="2"/>
  <c r="N461" i="2"/>
  <c r="O461" i="2"/>
  <c r="P461" i="2"/>
  <c r="Q461" i="2"/>
  <c r="R461" i="2"/>
  <c r="S461" i="2"/>
  <c r="T461" i="2"/>
  <c r="U461" i="2"/>
  <c r="V461" i="2"/>
  <c r="W461" i="2"/>
  <c r="X461" i="2"/>
  <c r="Y461" i="2"/>
  <c r="Z461" i="2"/>
  <c r="AA461" i="2"/>
  <c r="AB461" i="2"/>
  <c r="AC461" i="2"/>
  <c r="AD461" i="2"/>
  <c r="AE461" i="2"/>
  <c r="AF461" i="2"/>
  <c r="AG461" i="2"/>
  <c r="AH461" i="2"/>
  <c r="AI461" i="2"/>
  <c r="AJ461" i="2"/>
  <c r="AK461" i="2"/>
  <c r="AQ461" i="2"/>
  <c r="AR461" i="2"/>
  <c r="AS461" i="2"/>
  <c r="AT461" i="2"/>
  <c r="AU461" i="2"/>
  <c r="AV461" i="2"/>
  <c r="B462" i="2"/>
  <c r="C462" i="2"/>
  <c r="D462" i="2"/>
  <c r="E462" i="2"/>
  <c r="L462" i="2"/>
  <c r="M462" i="2"/>
  <c r="N462" i="2"/>
  <c r="O462" i="2"/>
  <c r="P462" i="2"/>
  <c r="Q462" i="2"/>
  <c r="R462" i="2"/>
  <c r="S462" i="2"/>
  <c r="T462" i="2"/>
  <c r="U462" i="2"/>
  <c r="V462" i="2"/>
  <c r="W462" i="2"/>
  <c r="X462" i="2"/>
  <c r="Y462" i="2"/>
  <c r="Z462" i="2"/>
  <c r="AA462" i="2"/>
  <c r="AB462" i="2"/>
  <c r="AC462" i="2"/>
  <c r="AD462" i="2"/>
  <c r="AE462" i="2"/>
  <c r="AF462" i="2"/>
  <c r="AG462" i="2"/>
  <c r="AH462" i="2"/>
  <c r="AI462" i="2"/>
  <c r="AJ462" i="2"/>
  <c r="AK462" i="2"/>
  <c r="AQ462" i="2"/>
  <c r="AR462" i="2"/>
  <c r="AS462" i="2"/>
  <c r="AT462" i="2"/>
  <c r="AU462" i="2"/>
  <c r="AV462" i="2"/>
  <c r="B463" i="2"/>
  <c r="C463" i="2"/>
  <c r="D463" i="2"/>
  <c r="E463" i="2"/>
  <c r="L463" i="2"/>
  <c r="M463" i="2"/>
  <c r="N463" i="2"/>
  <c r="O463" i="2"/>
  <c r="P463" i="2"/>
  <c r="Q463" i="2"/>
  <c r="R463" i="2"/>
  <c r="S463" i="2"/>
  <c r="T463" i="2"/>
  <c r="U463" i="2"/>
  <c r="V463" i="2"/>
  <c r="W463" i="2"/>
  <c r="X463" i="2"/>
  <c r="Y463" i="2"/>
  <c r="Z463" i="2"/>
  <c r="AA463" i="2"/>
  <c r="AB463" i="2"/>
  <c r="AC463" i="2"/>
  <c r="AD463" i="2"/>
  <c r="AE463" i="2"/>
  <c r="AF463" i="2"/>
  <c r="AG463" i="2"/>
  <c r="AH463" i="2"/>
  <c r="AI463" i="2"/>
  <c r="AJ463" i="2"/>
  <c r="AK463" i="2"/>
  <c r="AQ463" i="2"/>
  <c r="AR463" i="2"/>
  <c r="AS463" i="2"/>
  <c r="AT463" i="2"/>
  <c r="AU463" i="2"/>
  <c r="AV463" i="2"/>
  <c r="B464" i="2"/>
  <c r="C464" i="2"/>
  <c r="D464" i="2"/>
  <c r="E464" i="2"/>
  <c r="L464" i="2"/>
  <c r="M464" i="2"/>
  <c r="N464" i="2"/>
  <c r="O464" i="2"/>
  <c r="P464" i="2"/>
  <c r="Q464" i="2"/>
  <c r="R464" i="2"/>
  <c r="S464" i="2"/>
  <c r="T464" i="2"/>
  <c r="U464" i="2"/>
  <c r="V464" i="2"/>
  <c r="W464" i="2"/>
  <c r="X464" i="2"/>
  <c r="Y464" i="2"/>
  <c r="Z464" i="2"/>
  <c r="AA464" i="2"/>
  <c r="AB464" i="2"/>
  <c r="AC464" i="2"/>
  <c r="AD464" i="2"/>
  <c r="AE464" i="2"/>
  <c r="AF464" i="2"/>
  <c r="AG464" i="2"/>
  <c r="AH464" i="2"/>
  <c r="AI464" i="2"/>
  <c r="AJ464" i="2"/>
  <c r="AK464" i="2"/>
  <c r="AQ464" i="2"/>
  <c r="AR464" i="2"/>
  <c r="AS464" i="2"/>
  <c r="AT464" i="2"/>
  <c r="AU464" i="2"/>
  <c r="AV464" i="2"/>
  <c r="B465" i="2"/>
  <c r="C465" i="2"/>
  <c r="D465" i="2"/>
  <c r="E465" i="2"/>
  <c r="L465" i="2"/>
  <c r="M465" i="2"/>
  <c r="N465" i="2"/>
  <c r="O465" i="2"/>
  <c r="P465" i="2"/>
  <c r="Q465" i="2"/>
  <c r="R465" i="2"/>
  <c r="S465" i="2"/>
  <c r="T465" i="2"/>
  <c r="U465" i="2"/>
  <c r="V465" i="2"/>
  <c r="W465" i="2"/>
  <c r="X465" i="2"/>
  <c r="Y465" i="2"/>
  <c r="Z465" i="2"/>
  <c r="AA465" i="2"/>
  <c r="AB465" i="2"/>
  <c r="AC465" i="2"/>
  <c r="AD465" i="2"/>
  <c r="AE465" i="2"/>
  <c r="AF465" i="2"/>
  <c r="AG465" i="2"/>
  <c r="AH465" i="2"/>
  <c r="AI465" i="2"/>
  <c r="AJ465" i="2"/>
  <c r="AK465" i="2"/>
  <c r="AQ465" i="2"/>
  <c r="AR465" i="2"/>
  <c r="AS465" i="2"/>
  <c r="AT465" i="2"/>
  <c r="AU465" i="2"/>
  <c r="AV465" i="2"/>
  <c r="B466" i="2"/>
  <c r="C466" i="2"/>
  <c r="D466" i="2"/>
  <c r="E466" i="2"/>
  <c r="L466" i="2"/>
  <c r="M466" i="2"/>
  <c r="N466" i="2"/>
  <c r="O466" i="2"/>
  <c r="P466" i="2"/>
  <c r="Q466" i="2"/>
  <c r="R466" i="2"/>
  <c r="S466" i="2"/>
  <c r="T466" i="2"/>
  <c r="U466" i="2"/>
  <c r="V466" i="2"/>
  <c r="W466" i="2"/>
  <c r="X466" i="2"/>
  <c r="Y466" i="2"/>
  <c r="Z466" i="2"/>
  <c r="AA466" i="2"/>
  <c r="AB466" i="2"/>
  <c r="AC466" i="2"/>
  <c r="AD466" i="2"/>
  <c r="AE466" i="2"/>
  <c r="AF466" i="2"/>
  <c r="AG466" i="2"/>
  <c r="AH466" i="2"/>
  <c r="AI466" i="2"/>
  <c r="AJ466" i="2"/>
  <c r="AK466" i="2"/>
  <c r="AQ466" i="2"/>
  <c r="AR466" i="2"/>
  <c r="AS466" i="2"/>
  <c r="AT466" i="2"/>
  <c r="AU466" i="2"/>
  <c r="AV466" i="2"/>
  <c r="B467" i="2"/>
  <c r="C467" i="2"/>
  <c r="D467" i="2"/>
  <c r="E467" i="2"/>
  <c r="L467" i="2"/>
  <c r="M467" i="2"/>
  <c r="N467" i="2"/>
  <c r="O467" i="2"/>
  <c r="P467" i="2"/>
  <c r="Q467" i="2"/>
  <c r="R467" i="2"/>
  <c r="S467" i="2"/>
  <c r="T467" i="2"/>
  <c r="U467" i="2"/>
  <c r="V467" i="2"/>
  <c r="W467" i="2"/>
  <c r="X467" i="2"/>
  <c r="Y467" i="2"/>
  <c r="Z467" i="2"/>
  <c r="AA467" i="2"/>
  <c r="AB467" i="2"/>
  <c r="AC467" i="2"/>
  <c r="AD467" i="2"/>
  <c r="AE467" i="2"/>
  <c r="AF467" i="2"/>
  <c r="AG467" i="2"/>
  <c r="AH467" i="2"/>
  <c r="AI467" i="2"/>
  <c r="AJ467" i="2"/>
  <c r="AK467" i="2"/>
  <c r="AQ467" i="2"/>
  <c r="AR467" i="2"/>
  <c r="AS467" i="2"/>
  <c r="AT467" i="2"/>
  <c r="AU467" i="2"/>
  <c r="AV467" i="2"/>
  <c r="B468" i="2"/>
  <c r="C468" i="2"/>
  <c r="D468" i="2"/>
  <c r="E468" i="2"/>
  <c r="L468" i="2"/>
  <c r="M468" i="2"/>
  <c r="N468" i="2"/>
  <c r="O468" i="2"/>
  <c r="P468" i="2"/>
  <c r="Q468" i="2"/>
  <c r="R468" i="2"/>
  <c r="S468" i="2"/>
  <c r="T468" i="2"/>
  <c r="U468" i="2"/>
  <c r="V468" i="2"/>
  <c r="W468" i="2"/>
  <c r="X468" i="2"/>
  <c r="Y468" i="2"/>
  <c r="Z468" i="2"/>
  <c r="AA468" i="2"/>
  <c r="AB468" i="2"/>
  <c r="AC468" i="2"/>
  <c r="AD468" i="2"/>
  <c r="AE468" i="2"/>
  <c r="AF468" i="2"/>
  <c r="AG468" i="2"/>
  <c r="AH468" i="2"/>
  <c r="AI468" i="2"/>
  <c r="AJ468" i="2"/>
  <c r="AK468" i="2"/>
  <c r="AQ468" i="2"/>
  <c r="AR468" i="2"/>
  <c r="AS468" i="2"/>
  <c r="AT468" i="2"/>
  <c r="AU468" i="2"/>
  <c r="AV468" i="2"/>
  <c r="B469" i="2"/>
  <c r="C469" i="2"/>
  <c r="D469" i="2"/>
  <c r="E469" i="2"/>
  <c r="L469" i="2"/>
  <c r="M469" i="2"/>
  <c r="N469" i="2"/>
  <c r="O469" i="2"/>
  <c r="P469" i="2"/>
  <c r="Q469" i="2"/>
  <c r="R469" i="2"/>
  <c r="S469" i="2"/>
  <c r="T469" i="2"/>
  <c r="U469" i="2"/>
  <c r="V469" i="2"/>
  <c r="W469" i="2"/>
  <c r="X469" i="2"/>
  <c r="Y469" i="2"/>
  <c r="Z469" i="2"/>
  <c r="AA469" i="2"/>
  <c r="AB469" i="2"/>
  <c r="AC469" i="2"/>
  <c r="AD469" i="2"/>
  <c r="AE469" i="2"/>
  <c r="AF469" i="2"/>
  <c r="AG469" i="2"/>
  <c r="AH469" i="2"/>
  <c r="AI469" i="2"/>
  <c r="AJ469" i="2"/>
  <c r="AK469" i="2"/>
  <c r="AQ469" i="2"/>
  <c r="AR469" i="2"/>
  <c r="AS469" i="2"/>
  <c r="AT469" i="2"/>
  <c r="AU469" i="2"/>
  <c r="AV469" i="2"/>
  <c r="B470" i="2"/>
  <c r="C470" i="2"/>
  <c r="D470" i="2"/>
  <c r="E470" i="2"/>
  <c r="L470" i="2"/>
  <c r="M470" i="2"/>
  <c r="N470" i="2"/>
  <c r="O470" i="2"/>
  <c r="P470" i="2"/>
  <c r="Q470" i="2"/>
  <c r="R470" i="2"/>
  <c r="S470" i="2"/>
  <c r="T470" i="2"/>
  <c r="U470" i="2"/>
  <c r="V470" i="2"/>
  <c r="W470" i="2"/>
  <c r="X470" i="2"/>
  <c r="Y470" i="2"/>
  <c r="Z470" i="2"/>
  <c r="AA470" i="2"/>
  <c r="AB470" i="2"/>
  <c r="AC470" i="2"/>
  <c r="AD470" i="2"/>
  <c r="AE470" i="2"/>
  <c r="AF470" i="2"/>
  <c r="AG470" i="2"/>
  <c r="AH470" i="2"/>
  <c r="AI470" i="2"/>
  <c r="AJ470" i="2"/>
  <c r="AK470" i="2"/>
  <c r="AQ470" i="2"/>
  <c r="AR470" i="2"/>
  <c r="AS470" i="2"/>
  <c r="AT470" i="2"/>
  <c r="AU470" i="2"/>
  <c r="AV470" i="2"/>
  <c r="B471" i="2"/>
  <c r="C471" i="2"/>
  <c r="D471" i="2"/>
  <c r="E471" i="2"/>
  <c r="L471" i="2"/>
  <c r="M471" i="2"/>
  <c r="N471" i="2"/>
  <c r="O471" i="2"/>
  <c r="P471" i="2"/>
  <c r="Q471" i="2"/>
  <c r="R471" i="2"/>
  <c r="S471" i="2"/>
  <c r="T471" i="2"/>
  <c r="U471" i="2"/>
  <c r="V471" i="2"/>
  <c r="W471" i="2"/>
  <c r="X471" i="2"/>
  <c r="Y471" i="2"/>
  <c r="Z471" i="2"/>
  <c r="AA471" i="2"/>
  <c r="AB471" i="2"/>
  <c r="AC471" i="2"/>
  <c r="AD471" i="2"/>
  <c r="AE471" i="2"/>
  <c r="AF471" i="2"/>
  <c r="AG471" i="2"/>
  <c r="AH471" i="2"/>
  <c r="AI471" i="2"/>
  <c r="AJ471" i="2"/>
  <c r="AK471" i="2"/>
  <c r="AQ471" i="2"/>
  <c r="AR471" i="2"/>
  <c r="AS471" i="2"/>
  <c r="AT471" i="2"/>
  <c r="AU471" i="2"/>
  <c r="AV471" i="2"/>
  <c r="B472" i="2"/>
  <c r="C472" i="2"/>
  <c r="D472" i="2"/>
  <c r="E472" i="2"/>
  <c r="L472" i="2"/>
  <c r="M472" i="2"/>
  <c r="N472" i="2"/>
  <c r="O472" i="2"/>
  <c r="P472" i="2"/>
  <c r="Q472" i="2"/>
  <c r="R472" i="2"/>
  <c r="S472" i="2"/>
  <c r="T472" i="2"/>
  <c r="U472" i="2"/>
  <c r="V472" i="2"/>
  <c r="W472" i="2"/>
  <c r="X472" i="2"/>
  <c r="Y472" i="2"/>
  <c r="Z472" i="2"/>
  <c r="AA472" i="2"/>
  <c r="AB472" i="2"/>
  <c r="AC472" i="2"/>
  <c r="AD472" i="2"/>
  <c r="AE472" i="2"/>
  <c r="AF472" i="2"/>
  <c r="AG472" i="2"/>
  <c r="AH472" i="2"/>
  <c r="AI472" i="2"/>
  <c r="AJ472" i="2"/>
  <c r="AK472" i="2"/>
  <c r="AQ472" i="2"/>
  <c r="AR472" i="2"/>
  <c r="AS472" i="2"/>
  <c r="AT472" i="2"/>
  <c r="AU472" i="2"/>
  <c r="AV472" i="2"/>
  <c r="B473" i="2"/>
  <c r="C473" i="2"/>
  <c r="D473" i="2"/>
  <c r="E473" i="2"/>
  <c r="L473" i="2"/>
  <c r="M473" i="2"/>
  <c r="N473" i="2"/>
  <c r="O473" i="2"/>
  <c r="P473" i="2"/>
  <c r="Q473" i="2"/>
  <c r="R473" i="2"/>
  <c r="S473" i="2"/>
  <c r="T473" i="2"/>
  <c r="U473" i="2"/>
  <c r="V473" i="2"/>
  <c r="W473" i="2"/>
  <c r="X473" i="2"/>
  <c r="Y473" i="2"/>
  <c r="Z473" i="2"/>
  <c r="AA473" i="2"/>
  <c r="AB473" i="2"/>
  <c r="AC473" i="2"/>
  <c r="AD473" i="2"/>
  <c r="AE473" i="2"/>
  <c r="AF473" i="2"/>
  <c r="AG473" i="2"/>
  <c r="AH473" i="2"/>
  <c r="AI473" i="2"/>
  <c r="AJ473" i="2"/>
  <c r="AK473" i="2"/>
  <c r="AQ473" i="2"/>
  <c r="AR473" i="2"/>
  <c r="AS473" i="2"/>
  <c r="AT473" i="2"/>
  <c r="AU473" i="2"/>
  <c r="AV473" i="2"/>
  <c r="B474" i="2"/>
  <c r="C474" i="2"/>
  <c r="D474" i="2"/>
  <c r="E474" i="2"/>
  <c r="L474" i="2"/>
  <c r="M474" i="2"/>
  <c r="N474" i="2"/>
  <c r="O474" i="2"/>
  <c r="P474" i="2"/>
  <c r="Q474" i="2"/>
  <c r="R474" i="2"/>
  <c r="S474" i="2"/>
  <c r="T474" i="2"/>
  <c r="U474" i="2"/>
  <c r="V474" i="2"/>
  <c r="W474" i="2"/>
  <c r="X474" i="2"/>
  <c r="Y474" i="2"/>
  <c r="Z474" i="2"/>
  <c r="AA474" i="2"/>
  <c r="AB474" i="2"/>
  <c r="AC474" i="2"/>
  <c r="AD474" i="2"/>
  <c r="AE474" i="2"/>
  <c r="AF474" i="2"/>
  <c r="AG474" i="2"/>
  <c r="AH474" i="2"/>
  <c r="AI474" i="2"/>
  <c r="AJ474" i="2"/>
  <c r="AK474" i="2"/>
  <c r="AQ474" i="2"/>
  <c r="AR474" i="2"/>
  <c r="AS474" i="2"/>
  <c r="AT474" i="2"/>
  <c r="AU474" i="2"/>
  <c r="AV474" i="2"/>
  <c r="B475" i="2"/>
  <c r="C475" i="2"/>
  <c r="D475" i="2"/>
  <c r="E475" i="2"/>
  <c r="L475" i="2"/>
  <c r="M475" i="2"/>
  <c r="N475" i="2"/>
  <c r="O475" i="2"/>
  <c r="P475" i="2"/>
  <c r="Q475" i="2"/>
  <c r="R475" i="2"/>
  <c r="S475" i="2"/>
  <c r="T475" i="2"/>
  <c r="U475" i="2"/>
  <c r="V475" i="2"/>
  <c r="W475" i="2"/>
  <c r="X475" i="2"/>
  <c r="Y475" i="2"/>
  <c r="Z475" i="2"/>
  <c r="AA475" i="2"/>
  <c r="AB475" i="2"/>
  <c r="AC475" i="2"/>
  <c r="AD475" i="2"/>
  <c r="AE475" i="2"/>
  <c r="AF475" i="2"/>
  <c r="AG475" i="2"/>
  <c r="AH475" i="2"/>
  <c r="AI475" i="2"/>
  <c r="AJ475" i="2"/>
  <c r="AK475" i="2"/>
  <c r="AQ475" i="2"/>
  <c r="AR475" i="2"/>
  <c r="AS475" i="2"/>
  <c r="AT475" i="2"/>
  <c r="AU475" i="2"/>
  <c r="AV475" i="2"/>
  <c r="B476" i="2"/>
  <c r="C476" i="2"/>
  <c r="D476" i="2"/>
  <c r="E476" i="2"/>
  <c r="L476" i="2"/>
  <c r="M476" i="2"/>
  <c r="N476" i="2"/>
  <c r="O476" i="2"/>
  <c r="P476" i="2"/>
  <c r="Q476" i="2"/>
  <c r="R476" i="2"/>
  <c r="S476" i="2"/>
  <c r="T476" i="2"/>
  <c r="U476" i="2"/>
  <c r="V476" i="2"/>
  <c r="W476" i="2"/>
  <c r="X476" i="2"/>
  <c r="Y476" i="2"/>
  <c r="Z476" i="2"/>
  <c r="AA476" i="2"/>
  <c r="AB476" i="2"/>
  <c r="AC476" i="2"/>
  <c r="AD476" i="2"/>
  <c r="AE476" i="2"/>
  <c r="AF476" i="2"/>
  <c r="AG476" i="2"/>
  <c r="AH476" i="2"/>
  <c r="AI476" i="2"/>
  <c r="AJ476" i="2"/>
  <c r="AK476" i="2"/>
  <c r="AQ476" i="2"/>
  <c r="AR476" i="2"/>
  <c r="AS476" i="2"/>
  <c r="AT476" i="2"/>
  <c r="AU476" i="2"/>
  <c r="AV476" i="2"/>
  <c r="B477" i="2"/>
  <c r="C477" i="2"/>
  <c r="D477" i="2"/>
  <c r="E477" i="2"/>
  <c r="L477" i="2"/>
  <c r="M477" i="2"/>
  <c r="N477" i="2"/>
  <c r="O477" i="2"/>
  <c r="P477" i="2"/>
  <c r="Q477" i="2"/>
  <c r="R477" i="2"/>
  <c r="S477" i="2"/>
  <c r="T477" i="2"/>
  <c r="U477" i="2"/>
  <c r="V477" i="2"/>
  <c r="W477" i="2"/>
  <c r="X477" i="2"/>
  <c r="Y477" i="2"/>
  <c r="Z477" i="2"/>
  <c r="AA477" i="2"/>
  <c r="AB477" i="2"/>
  <c r="AC477" i="2"/>
  <c r="AD477" i="2"/>
  <c r="AE477" i="2"/>
  <c r="AF477" i="2"/>
  <c r="AG477" i="2"/>
  <c r="AH477" i="2"/>
  <c r="AI477" i="2"/>
  <c r="AJ477" i="2"/>
  <c r="AK477" i="2"/>
  <c r="AQ477" i="2"/>
  <c r="AR477" i="2"/>
  <c r="AS477" i="2"/>
  <c r="AT477" i="2"/>
  <c r="AU477" i="2"/>
  <c r="AV477" i="2"/>
  <c r="B478" i="2"/>
  <c r="C478" i="2"/>
  <c r="D478" i="2"/>
  <c r="E478" i="2"/>
  <c r="L478" i="2"/>
  <c r="M478" i="2"/>
  <c r="N478" i="2"/>
  <c r="O478" i="2"/>
  <c r="P478" i="2"/>
  <c r="Q478" i="2"/>
  <c r="R478" i="2"/>
  <c r="S478" i="2"/>
  <c r="T478" i="2"/>
  <c r="U478" i="2"/>
  <c r="V478" i="2"/>
  <c r="W478" i="2"/>
  <c r="X478" i="2"/>
  <c r="Y478" i="2"/>
  <c r="Z478" i="2"/>
  <c r="AA478" i="2"/>
  <c r="AB478" i="2"/>
  <c r="AC478" i="2"/>
  <c r="AD478" i="2"/>
  <c r="AE478" i="2"/>
  <c r="AF478" i="2"/>
  <c r="AG478" i="2"/>
  <c r="AH478" i="2"/>
  <c r="AI478" i="2"/>
  <c r="AJ478" i="2"/>
  <c r="AK478" i="2"/>
  <c r="AQ478" i="2"/>
  <c r="AR478" i="2"/>
  <c r="AS478" i="2"/>
  <c r="AT478" i="2"/>
  <c r="AU478" i="2"/>
  <c r="AV478" i="2"/>
  <c r="B479" i="2"/>
  <c r="C479" i="2"/>
  <c r="D479" i="2"/>
  <c r="E479" i="2"/>
  <c r="L479" i="2"/>
  <c r="M479" i="2"/>
  <c r="N479" i="2"/>
  <c r="O479" i="2"/>
  <c r="P479" i="2"/>
  <c r="Q479" i="2"/>
  <c r="R479" i="2"/>
  <c r="S479" i="2"/>
  <c r="T479" i="2"/>
  <c r="U479" i="2"/>
  <c r="V479" i="2"/>
  <c r="W479" i="2"/>
  <c r="X479" i="2"/>
  <c r="Y479" i="2"/>
  <c r="Z479" i="2"/>
  <c r="AA479" i="2"/>
  <c r="AB479" i="2"/>
  <c r="AC479" i="2"/>
  <c r="AD479" i="2"/>
  <c r="AE479" i="2"/>
  <c r="AF479" i="2"/>
  <c r="AG479" i="2"/>
  <c r="AH479" i="2"/>
  <c r="AI479" i="2"/>
  <c r="AJ479" i="2"/>
  <c r="AK479" i="2"/>
  <c r="AQ479" i="2"/>
  <c r="AR479" i="2"/>
  <c r="AS479" i="2"/>
  <c r="AT479" i="2"/>
  <c r="AU479" i="2"/>
  <c r="AV479" i="2"/>
  <c r="B480" i="2"/>
  <c r="C480" i="2"/>
  <c r="D480" i="2"/>
  <c r="E480" i="2"/>
  <c r="L480" i="2"/>
  <c r="M480" i="2"/>
  <c r="N480" i="2"/>
  <c r="O480" i="2"/>
  <c r="P480" i="2"/>
  <c r="Q480" i="2"/>
  <c r="R480" i="2"/>
  <c r="S480" i="2"/>
  <c r="T480" i="2"/>
  <c r="U480" i="2"/>
  <c r="V480" i="2"/>
  <c r="W480" i="2"/>
  <c r="X480" i="2"/>
  <c r="Y480" i="2"/>
  <c r="Z480" i="2"/>
  <c r="AA480" i="2"/>
  <c r="AB480" i="2"/>
  <c r="AC480" i="2"/>
  <c r="AD480" i="2"/>
  <c r="AE480" i="2"/>
  <c r="AF480" i="2"/>
  <c r="AG480" i="2"/>
  <c r="AH480" i="2"/>
  <c r="AI480" i="2"/>
  <c r="AJ480" i="2"/>
  <c r="AK480" i="2"/>
  <c r="AQ480" i="2"/>
  <c r="AR480" i="2"/>
  <c r="AS480" i="2"/>
  <c r="AT480" i="2"/>
  <c r="AU480" i="2"/>
  <c r="AV480" i="2"/>
  <c r="B481" i="2"/>
  <c r="C481" i="2"/>
  <c r="D481" i="2"/>
  <c r="E481" i="2"/>
  <c r="L481" i="2"/>
  <c r="M481" i="2"/>
  <c r="N481" i="2"/>
  <c r="O481" i="2"/>
  <c r="P481" i="2"/>
  <c r="Q481" i="2"/>
  <c r="R481" i="2"/>
  <c r="S481" i="2"/>
  <c r="T481" i="2"/>
  <c r="U481" i="2"/>
  <c r="V481" i="2"/>
  <c r="W481" i="2"/>
  <c r="X481" i="2"/>
  <c r="Y481" i="2"/>
  <c r="Z481" i="2"/>
  <c r="AA481" i="2"/>
  <c r="AB481" i="2"/>
  <c r="AC481" i="2"/>
  <c r="AD481" i="2"/>
  <c r="AE481" i="2"/>
  <c r="AF481" i="2"/>
  <c r="AG481" i="2"/>
  <c r="AH481" i="2"/>
  <c r="AI481" i="2"/>
  <c r="AJ481" i="2"/>
  <c r="AK481" i="2"/>
  <c r="AQ481" i="2"/>
  <c r="AR481" i="2"/>
  <c r="AS481" i="2"/>
  <c r="AT481" i="2"/>
  <c r="AU481" i="2"/>
  <c r="AV481" i="2"/>
  <c r="B482" i="2"/>
  <c r="C482" i="2"/>
  <c r="D482" i="2"/>
  <c r="E482" i="2"/>
  <c r="L482" i="2"/>
  <c r="M482" i="2"/>
  <c r="N482" i="2"/>
  <c r="O482" i="2"/>
  <c r="P482" i="2"/>
  <c r="Q482" i="2"/>
  <c r="R482" i="2"/>
  <c r="S482" i="2"/>
  <c r="T482" i="2"/>
  <c r="U482" i="2"/>
  <c r="V482" i="2"/>
  <c r="W482" i="2"/>
  <c r="X482" i="2"/>
  <c r="Y482" i="2"/>
  <c r="Z482" i="2"/>
  <c r="AA482" i="2"/>
  <c r="AB482" i="2"/>
  <c r="AC482" i="2"/>
  <c r="AD482" i="2"/>
  <c r="AE482" i="2"/>
  <c r="AF482" i="2"/>
  <c r="AG482" i="2"/>
  <c r="AH482" i="2"/>
  <c r="AI482" i="2"/>
  <c r="AJ482" i="2"/>
  <c r="AK482" i="2"/>
  <c r="AQ482" i="2"/>
  <c r="AR482" i="2"/>
  <c r="AS482" i="2"/>
  <c r="AT482" i="2"/>
  <c r="AU482" i="2"/>
  <c r="AV482" i="2"/>
  <c r="B483" i="2"/>
  <c r="C483" i="2"/>
  <c r="D483" i="2"/>
  <c r="E483" i="2"/>
  <c r="L483" i="2"/>
  <c r="M483" i="2"/>
  <c r="N483" i="2"/>
  <c r="O483" i="2"/>
  <c r="P483" i="2"/>
  <c r="Q483" i="2"/>
  <c r="R483" i="2"/>
  <c r="S483" i="2"/>
  <c r="T483" i="2"/>
  <c r="U483" i="2"/>
  <c r="V483" i="2"/>
  <c r="W483" i="2"/>
  <c r="X483" i="2"/>
  <c r="Y483" i="2"/>
  <c r="Z483" i="2"/>
  <c r="AA483" i="2"/>
  <c r="AB483" i="2"/>
  <c r="AC483" i="2"/>
  <c r="AD483" i="2"/>
  <c r="AE483" i="2"/>
  <c r="AF483" i="2"/>
  <c r="AG483" i="2"/>
  <c r="AH483" i="2"/>
  <c r="AI483" i="2"/>
  <c r="AJ483" i="2"/>
  <c r="AK483" i="2"/>
  <c r="AQ483" i="2"/>
  <c r="AR483" i="2"/>
  <c r="AS483" i="2"/>
  <c r="AT483" i="2"/>
  <c r="AU483" i="2"/>
  <c r="AV483" i="2"/>
  <c r="B484" i="2"/>
  <c r="C484" i="2"/>
  <c r="D484" i="2"/>
  <c r="E484" i="2"/>
  <c r="L484" i="2"/>
  <c r="M484" i="2"/>
  <c r="N484" i="2"/>
  <c r="O484" i="2"/>
  <c r="P484" i="2"/>
  <c r="Q484" i="2"/>
  <c r="R484" i="2"/>
  <c r="S484" i="2"/>
  <c r="T484" i="2"/>
  <c r="U484" i="2"/>
  <c r="V484" i="2"/>
  <c r="W484" i="2"/>
  <c r="X484" i="2"/>
  <c r="Y484" i="2"/>
  <c r="Z484" i="2"/>
  <c r="AA484" i="2"/>
  <c r="AB484" i="2"/>
  <c r="AC484" i="2"/>
  <c r="AD484" i="2"/>
  <c r="AE484" i="2"/>
  <c r="AF484" i="2"/>
  <c r="AG484" i="2"/>
  <c r="AH484" i="2"/>
  <c r="AI484" i="2"/>
  <c r="AJ484" i="2"/>
  <c r="AK484" i="2"/>
  <c r="AQ484" i="2"/>
  <c r="AR484" i="2"/>
  <c r="AS484" i="2"/>
  <c r="AT484" i="2"/>
  <c r="AU484" i="2"/>
  <c r="AV484" i="2"/>
  <c r="B485" i="2"/>
  <c r="C485" i="2"/>
  <c r="D485" i="2"/>
  <c r="E485" i="2"/>
  <c r="L485" i="2"/>
  <c r="M485" i="2"/>
  <c r="N485" i="2"/>
  <c r="O485" i="2"/>
  <c r="P485" i="2"/>
  <c r="Q485" i="2"/>
  <c r="R485" i="2"/>
  <c r="S485" i="2"/>
  <c r="T485" i="2"/>
  <c r="U485" i="2"/>
  <c r="V485" i="2"/>
  <c r="W485" i="2"/>
  <c r="X485" i="2"/>
  <c r="Y485" i="2"/>
  <c r="Z485" i="2"/>
  <c r="AA485" i="2"/>
  <c r="AB485" i="2"/>
  <c r="AC485" i="2"/>
  <c r="AD485" i="2"/>
  <c r="AE485" i="2"/>
  <c r="AF485" i="2"/>
  <c r="AG485" i="2"/>
  <c r="AH485" i="2"/>
  <c r="AI485" i="2"/>
  <c r="AJ485" i="2"/>
  <c r="AK485" i="2"/>
  <c r="AQ485" i="2"/>
  <c r="AR485" i="2"/>
  <c r="AS485" i="2"/>
  <c r="AT485" i="2"/>
  <c r="AU485" i="2"/>
  <c r="AV485" i="2"/>
  <c r="B486" i="2"/>
  <c r="C486" i="2"/>
  <c r="D486" i="2"/>
  <c r="E486" i="2"/>
  <c r="L486" i="2"/>
  <c r="M486" i="2"/>
  <c r="N486" i="2"/>
  <c r="O486" i="2"/>
  <c r="P486" i="2"/>
  <c r="Q486" i="2"/>
  <c r="R486" i="2"/>
  <c r="S486" i="2"/>
  <c r="T486" i="2"/>
  <c r="U486" i="2"/>
  <c r="V486" i="2"/>
  <c r="W486" i="2"/>
  <c r="X486" i="2"/>
  <c r="Y486" i="2"/>
  <c r="Z486" i="2"/>
  <c r="AA486" i="2"/>
  <c r="AB486" i="2"/>
  <c r="AC486" i="2"/>
  <c r="AD486" i="2"/>
  <c r="AE486" i="2"/>
  <c r="AF486" i="2"/>
  <c r="AG486" i="2"/>
  <c r="AH486" i="2"/>
  <c r="AI486" i="2"/>
  <c r="AJ486" i="2"/>
  <c r="AK486" i="2"/>
  <c r="AQ486" i="2"/>
  <c r="AR486" i="2"/>
  <c r="AS486" i="2"/>
  <c r="AT486" i="2"/>
  <c r="AU486" i="2"/>
  <c r="AV486" i="2"/>
  <c r="B487" i="2"/>
  <c r="C487" i="2"/>
  <c r="D487" i="2"/>
  <c r="E487" i="2"/>
  <c r="L487" i="2"/>
  <c r="M487" i="2"/>
  <c r="N487" i="2"/>
  <c r="O487" i="2"/>
  <c r="P487" i="2"/>
  <c r="Q487" i="2"/>
  <c r="R487" i="2"/>
  <c r="S487" i="2"/>
  <c r="T487" i="2"/>
  <c r="U487" i="2"/>
  <c r="V487" i="2"/>
  <c r="W487" i="2"/>
  <c r="X487" i="2"/>
  <c r="Y487" i="2"/>
  <c r="Z487" i="2"/>
  <c r="AA487" i="2"/>
  <c r="AB487" i="2"/>
  <c r="AC487" i="2"/>
  <c r="AD487" i="2"/>
  <c r="AE487" i="2"/>
  <c r="AF487" i="2"/>
  <c r="AG487" i="2"/>
  <c r="AH487" i="2"/>
  <c r="AI487" i="2"/>
  <c r="AJ487" i="2"/>
  <c r="AK487" i="2"/>
  <c r="AQ487" i="2"/>
  <c r="AR487" i="2"/>
  <c r="AS487" i="2"/>
  <c r="AT487" i="2"/>
  <c r="AU487" i="2"/>
  <c r="AV487" i="2"/>
  <c r="B488" i="2"/>
  <c r="C488" i="2"/>
  <c r="D488" i="2"/>
  <c r="E488" i="2"/>
  <c r="L488" i="2"/>
  <c r="M488" i="2"/>
  <c r="N488" i="2"/>
  <c r="O488" i="2"/>
  <c r="P488" i="2"/>
  <c r="Q488" i="2"/>
  <c r="R488" i="2"/>
  <c r="S488" i="2"/>
  <c r="T488" i="2"/>
  <c r="U488" i="2"/>
  <c r="V488" i="2"/>
  <c r="W488" i="2"/>
  <c r="X488" i="2"/>
  <c r="Y488" i="2"/>
  <c r="Z488" i="2"/>
  <c r="AA488" i="2"/>
  <c r="AB488" i="2"/>
  <c r="AC488" i="2"/>
  <c r="AD488" i="2"/>
  <c r="AE488" i="2"/>
  <c r="AF488" i="2"/>
  <c r="AG488" i="2"/>
  <c r="AH488" i="2"/>
  <c r="AI488" i="2"/>
  <c r="AJ488" i="2"/>
  <c r="AK488" i="2"/>
  <c r="AQ488" i="2"/>
  <c r="AR488" i="2"/>
  <c r="AS488" i="2"/>
  <c r="AT488" i="2"/>
  <c r="AU488" i="2"/>
  <c r="AV488" i="2"/>
  <c r="B489" i="2"/>
  <c r="C489" i="2"/>
  <c r="D489" i="2"/>
  <c r="E489" i="2"/>
  <c r="L489" i="2"/>
  <c r="M489" i="2"/>
  <c r="N489" i="2"/>
  <c r="O489" i="2"/>
  <c r="P489" i="2"/>
  <c r="Q489" i="2"/>
  <c r="R489" i="2"/>
  <c r="S489" i="2"/>
  <c r="T489" i="2"/>
  <c r="U489" i="2"/>
  <c r="V489" i="2"/>
  <c r="W489" i="2"/>
  <c r="X489" i="2"/>
  <c r="Y489" i="2"/>
  <c r="Z489" i="2"/>
  <c r="AA489" i="2"/>
  <c r="AB489" i="2"/>
  <c r="AC489" i="2"/>
  <c r="AD489" i="2"/>
  <c r="AE489" i="2"/>
  <c r="AF489" i="2"/>
  <c r="AG489" i="2"/>
  <c r="AH489" i="2"/>
  <c r="AI489" i="2"/>
  <c r="AJ489" i="2"/>
  <c r="AK489" i="2"/>
  <c r="AQ489" i="2"/>
  <c r="AR489" i="2"/>
  <c r="AS489" i="2"/>
  <c r="AT489" i="2"/>
  <c r="AU489" i="2"/>
  <c r="AV489" i="2"/>
  <c r="B490" i="2"/>
  <c r="C490" i="2"/>
  <c r="D490" i="2"/>
  <c r="E490" i="2"/>
  <c r="L490" i="2"/>
  <c r="M490" i="2"/>
  <c r="N490" i="2"/>
  <c r="O490" i="2"/>
  <c r="P490" i="2"/>
  <c r="Q490" i="2"/>
  <c r="R490" i="2"/>
  <c r="S490" i="2"/>
  <c r="T490" i="2"/>
  <c r="U490" i="2"/>
  <c r="V490" i="2"/>
  <c r="W490" i="2"/>
  <c r="X490" i="2"/>
  <c r="Y490" i="2"/>
  <c r="Z490" i="2"/>
  <c r="AA490" i="2"/>
  <c r="AB490" i="2"/>
  <c r="AC490" i="2"/>
  <c r="AD490" i="2"/>
  <c r="AE490" i="2"/>
  <c r="AF490" i="2"/>
  <c r="AG490" i="2"/>
  <c r="AH490" i="2"/>
  <c r="AI490" i="2"/>
  <c r="AJ490" i="2"/>
  <c r="AK490" i="2"/>
  <c r="AQ490" i="2"/>
  <c r="AR490" i="2"/>
  <c r="AS490" i="2"/>
  <c r="AT490" i="2"/>
  <c r="AU490" i="2"/>
  <c r="AV490" i="2"/>
  <c r="B491" i="2"/>
  <c r="C491" i="2"/>
  <c r="D491" i="2"/>
  <c r="E491" i="2"/>
  <c r="L491" i="2"/>
  <c r="M491" i="2"/>
  <c r="N491" i="2"/>
  <c r="O491" i="2"/>
  <c r="P491" i="2"/>
  <c r="Q491" i="2"/>
  <c r="R491" i="2"/>
  <c r="S491" i="2"/>
  <c r="T491" i="2"/>
  <c r="U491" i="2"/>
  <c r="V491" i="2"/>
  <c r="W491" i="2"/>
  <c r="X491" i="2"/>
  <c r="Y491" i="2"/>
  <c r="Z491" i="2"/>
  <c r="AA491" i="2"/>
  <c r="AB491" i="2"/>
  <c r="AC491" i="2"/>
  <c r="AD491" i="2"/>
  <c r="AE491" i="2"/>
  <c r="AF491" i="2"/>
  <c r="AG491" i="2"/>
  <c r="AH491" i="2"/>
  <c r="AI491" i="2"/>
  <c r="AJ491" i="2"/>
  <c r="AK491" i="2"/>
  <c r="AQ491" i="2"/>
  <c r="AR491" i="2"/>
  <c r="AS491" i="2"/>
  <c r="AT491" i="2"/>
  <c r="AU491" i="2"/>
  <c r="AV491" i="2"/>
  <c r="B492" i="2"/>
  <c r="C492" i="2"/>
  <c r="D492" i="2"/>
  <c r="E492" i="2"/>
  <c r="L492" i="2"/>
  <c r="M492" i="2"/>
  <c r="N492" i="2"/>
  <c r="O492" i="2"/>
  <c r="P492" i="2"/>
  <c r="Q492" i="2"/>
  <c r="R492" i="2"/>
  <c r="S492" i="2"/>
  <c r="T492" i="2"/>
  <c r="U492" i="2"/>
  <c r="V492" i="2"/>
  <c r="W492" i="2"/>
  <c r="X492" i="2"/>
  <c r="Y492" i="2"/>
  <c r="Z492" i="2"/>
  <c r="AA492" i="2"/>
  <c r="AB492" i="2"/>
  <c r="AC492" i="2"/>
  <c r="AD492" i="2"/>
  <c r="AE492" i="2"/>
  <c r="AF492" i="2"/>
  <c r="AG492" i="2"/>
  <c r="AH492" i="2"/>
  <c r="AI492" i="2"/>
  <c r="AJ492" i="2"/>
  <c r="AK492" i="2"/>
  <c r="AQ492" i="2"/>
  <c r="AR492" i="2"/>
  <c r="AS492" i="2"/>
  <c r="AT492" i="2"/>
  <c r="AU492" i="2"/>
  <c r="AV492" i="2"/>
  <c r="B493" i="2"/>
  <c r="C493" i="2"/>
  <c r="D493" i="2"/>
  <c r="E493" i="2"/>
  <c r="L493" i="2"/>
  <c r="M493" i="2"/>
  <c r="N493" i="2"/>
  <c r="O493" i="2"/>
  <c r="P493" i="2"/>
  <c r="Q493" i="2"/>
  <c r="R493" i="2"/>
  <c r="S493" i="2"/>
  <c r="T493" i="2"/>
  <c r="U493" i="2"/>
  <c r="V493" i="2"/>
  <c r="W493" i="2"/>
  <c r="X493" i="2"/>
  <c r="Y493" i="2"/>
  <c r="Z493" i="2"/>
  <c r="AA493" i="2"/>
  <c r="AB493" i="2"/>
  <c r="AC493" i="2"/>
  <c r="AD493" i="2"/>
  <c r="AE493" i="2"/>
  <c r="AF493" i="2"/>
  <c r="AG493" i="2"/>
  <c r="AH493" i="2"/>
  <c r="AI493" i="2"/>
  <c r="AJ493" i="2"/>
  <c r="AK493" i="2"/>
  <c r="AQ493" i="2"/>
  <c r="AR493" i="2"/>
  <c r="AS493" i="2"/>
  <c r="AT493" i="2"/>
  <c r="AU493" i="2"/>
  <c r="AV493" i="2"/>
  <c r="B494" i="2"/>
  <c r="C494" i="2"/>
  <c r="D494" i="2"/>
  <c r="E494" i="2"/>
  <c r="L494" i="2"/>
  <c r="M494" i="2"/>
  <c r="N494" i="2"/>
  <c r="O494" i="2"/>
  <c r="P494" i="2"/>
  <c r="Q494" i="2"/>
  <c r="R494" i="2"/>
  <c r="S494" i="2"/>
  <c r="T494" i="2"/>
  <c r="U494" i="2"/>
  <c r="V494" i="2"/>
  <c r="W494" i="2"/>
  <c r="X494" i="2"/>
  <c r="Y494" i="2"/>
  <c r="Z494" i="2"/>
  <c r="AA494" i="2"/>
  <c r="AB494" i="2"/>
  <c r="AC494" i="2"/>
  <c r="AD494" i="2"/>
  <c r="AE494" i="2"/>
  <c r="AF494" i="2"/>
  <c r="AG494" i="2"/>
  <c r="AH494" i="2"/>
  <c r="AI494" i="2"/>
  <c r="AJ494" i="2"/>
  <c r="AK494" i="2"/>
  <c r="AQ494" i="2"/>
  <c r="AR494" i="2"/>
  <c r="AS494" i="2"/>
  <c r="AT494" i="2"/>
  <c r="AU494" i="2"/>
  <c r="AV494" i="2"/>
  <c r="B495" i="2"/>
  <c r="C495" i="2"/>
  <c r="D495" i="2"/>
  <c r="E495" i="2"/>
  <c r="L495" i="2"/>
  <c r="M495" i="2"/>
  <c r="N495" i="2"/>
  <c r="O495" i="2"/>
  <c r="P495" i="2"/>
  <c r="Q495" i="2"/>
  <c r="R495" i="2"/>
  <c r="S495" i="2"/>
  <c r="T495" i="2"/>
  <c r="U495" i="2"/>
  <c r="V495" i="2"/>
  <c r="W495" i="2"/>
  <c r="X495" i="2"/>
  <c r="Y495" i="2"/>
  <c r="Z495" i="2"/>
  <c r="AA495" i="2"/>
  <c r="AB495" i="2"/>
  <c r="AC495" i="2"/>
  <c r="AD495" i="2"/>
  <c r="AE495" i="2"/>
  <c r="AF495" i="2"/>
  <c r="AG495" i="2"/>
  <c r="AH495" i="2"/>
  <c r="AI495" i="2"/>
  <c r="AJ495" i="2"/>
  <c r="AK495" i="2"/>
  <c r="AQ495" i="2"/>
  <c r="AR495" i="2"/>
  <c r="AS495" i="2"/>
  <c r="AT495" i="2"/>
  <c r="AU495" i="2"/>
  <c r="AV495" i="2"/>
  <c r="B496" i="2"/>
  <c r="C496" i="2"/>
  <c r="D496" i="2"/>
  <c r="E496" i="2"/>
  <c r="L496" i="2"/>
  <c r="M496" i="2"/>
  <c r="N496" i="2"/>
  <c r="O496" i="2"/>
  <c r="P496" i="2"/>
  <c r="Q496" i="2"/>
  <c r="R496" i="2"/>
  <c r="S496" i="2"/>
  <c r="T496" i="2"/>
  <c r="U496" i="2"/>
  <c r="V496" i="2"/>
  <c r="W496" i="2"/>
  <c r="X496" i="2"/>
  <c r="Y496" i="2"/>
  <c r="Z496" i="2"/>
  <c r="AA496" i="2"/>
  <c r="AB496" i="2"/>
  <c r="AC496" i="2"/>
  <c r="AD496" i="2"/>
  <c r="AE496" i="2"/>
  <c r="AF496" i="2"/>
  <c r="AG496" i="2"/>
  <c r="AH496" i="2"/>
  <c r="AI496" i="2"/>
  <c r="AJ496" i="2"/>
  <c r="AK496" i="2"/>
  <c r="AQ496" i="2"/>
  <c r="AR496" i="2"/>
  <c r="AS496" i="2"/>
  <c r="AT496" i="2"/>
  <c r="AU496" i="2"/>
  <c r="AV496" i="2"/>
  <c r="B497" i="2"/>
  <c r="C497" i="2"/>
  <c r="D497" i="2"/>
  <c r="E497" i="2"/>
  <c r="L497" i="2"/>
  <c r="M497" i="2"/>
  <c r="N497" i="2"/>
  <c r="O497" i="2"/>
  <c r="P497" i="2"/>
  <c r="Q497" i="2"/>
  <c r="R497" i="2"/>
  <c r="S497" i="2"/>
  <c r="T497" i="2"/>
  <c r="U497" i="2"/>
  <c r="V497" i="2"/>
  <c r="W497" i="2"/>
  <c r="X497" i="2"/>
  <c r="Y497" i="2"/>
  <c r="Z497" i="2"/>
  <c r="AA497" i="2"/>
  <c r="AB497" i="2"/>
  <c r="AC497" i="2"/>
  <c r="AD497" i="2"/>
  <c r="AE497" i="2"/>
  <c r="AF497" i="2"/>
  <c r="AG497" i="2"/>
  <c r="AH497" i="2"/>
  <c r="AI497" i="2"/>
  <c r="AJ497" i="2"/>
  <c r="AK497" i="2"/>
  <c r="AQ497" i="2"/>
  <c r="AR497" i="2"/>
  <c r="AS497" i="2"/>
  <c r="AT497" i="2"/>
  <c r="AU497" i="2"/>
  <c r="AV497" i="2"/>
  <c r="B498" i="2"/>
  <c r="C498" i="2"/>
  <c r="D498" i="2"/>
  <c r="E498" i="2"/>
  <c r="L498" i="2"/>
  <c r="M498" i="2"/>
  <c r="N498" i="2"/>
  <c r="O498" i="2"/>
  <c r="P498" i="2"/>
  <c r="Q498" i="2"/>
  <c r="R498" i="2"/>
  <c r="S498" i="2"/>
  <c r="T498" i="2"/>
  <c r="U498" i="2"/>
  <c r="V498" i="2"/>
  <c r="W498" i="2"/>
  <c r="X498" i="2"/>
  <c r="Y498" i="2"/>
  <c r="Z498" i="2"/>
  <c r="AA498" i="2"/>
  <c r="AB498" i="2"/>
  <c r="AC498" i="2"/>
  <c r="AD498" i="2"/>
  <c r="AE498" i="2"/>
  <c r="AF498" i="2"/>
  <c r="AG498" i="2"/>
  <c r="AH498" i="2"/>
  <c r="AI498" i="2"/>
  <c r="AJ498" i="2"/>
  <c r="AK498" i="2"/>
  <c r="AQ498" i="2"/>
  <c r="AR498" i="2"/>
  <c r="AS498" i="2"/>
  <c r="AT498" i="2"/>
  <c r="AU498" i="2"/>
  <c r="AV498" i="2"/>
  <c r="B499" i="2"/>
  <c r="C499" i="2"/>
  <c r="D499" i="2"/>
  <c r="E499" i="2"/>
  <c r="L499" i="2"/>
  <c r="M499" i="2"/>
  <c r="N499" i="2"/>
  <c r="O499" i="2"/>
  <c r="P499" i="2"/>
  <c r="Q499" i="2"/>
  <c r="R499" i="2"/>
  <c r="S499" i="2"/>
  <c r="T499" i="2"/>
  <c r="U499" i="2"/>
  <c r="V499" i="2"/>
  <c r="W499" i="2"/>
  <c r="X499" i="2"/>
  <c r="Y499" i="2"/>
  <c r="Z499" i="2"/>
  <c r="AA499" i="2"/>
  <c r="AB499" i="2"/>
  <c r="AC499" i="2"/>
  <c r="AD499" i="2"/>
  <c r="AE499" i="2"/>
  <c r="AF499" i="2"/>
  <c r="AG499" i="2"/>
  <c r="AH499" i="2"/>
  <c r="AI499" i="2"/>
  <c r="AJ499" i="2"/>
  <c r="AK499" i="2"/>
  <c r="AQ499" i="2"/>
  <c r="AR499" i="2"/>
  <c r="AS499" i="2"/>
  <c r="AT499" i="2"/>
  <c r="AU499" i="2"/>
  <c r="AV499" i="2"/>
  <c r="B500" i="2"/>
  <c r="C500" i="2"/>
  <c r="D500" i="2"/>
  <c r="E500" i="2"/>
  <c r="L500" i="2"/>
  <c r="M500" i="2"/>
  <c r="N500" i="2"/>
  <c r="O500" i="2"/>
  <c r="P500" i="2"/>
  <c r="Q500" i="2"/>
  <c r="R500" i="2"/>
  <c r="S500" i="2"/>
  <c r="T500" i="2"/>
  <c r="U500" i="2"/>
  <c r="V500" i="2"/>
  <c r="W500" i="2"/>
  <c r="X500" i="2"/>
  <c r="Y500" i="2"/>
  <c r="Z500" i="2"/>
  <c r="AA500" i="2"/>
  <c r="AB500" i="2"/>
  <c r="AC500" i="2"/>
  <c r="AD500" i="2"/>
  <c r="AE500" i="2"/>
  <c r="AF500" i="2"/>
  <c r="AG500" i="2"/>
  <c r="AH500" i="2"/>
  <c r="AI500" i="2"/>
  <c r="AJ500" i="2"/>
  <c r="AK500" i="2"/>
  <c r="AQ500" i="2"/>
  <c r="AR500" i="2"/>
  <c r="AS500" i="2"/>
  <c r="AT500" i="2"/>
  <c r="AU500" i="2"/>
  <c r="AV500" i="2"/>
  <c r="B501" i="2"/>
  <c r="C501" i="2"/>
  <c r="D501" i="2"/>
  <c r="E501" i="2"/>
  <c r="L501" i="2"/>
  <c r="M501" i="2"/>
  <c r="N501" i="2"/>
  <c r="O501" i="2"/>
  <c r="P501" i="2"/>
  <c r="Q501" i="2"/>
  <c r="R501" i="2"/>
  <c r="S501" i="2"/>
  <c r="T501" i="2"/>
  <c r="U501" i="2"/>
  <c r="V501" i="2"/>
  <c r="W501" i="2"/>
  <c r="X501" i="2"/>
  <c r="Y501" i="2"/>
  <c r="Z501" i="2"/>
  <c r="AA501" i="2"/>
  <c r="AB501" i="2"/>
  <c r="AC501" i="2"/>
  <c r="AD501" i="2"/>
  <c r="AE501" i="2"/>
  <c r="AF501" i="2"/>
  <c r="AG501" i="2"/>
  <c r="AH501" i="2"/>
  <c r="AI501" i="2"/>
  <c r="AJ501" i="2"/>
  <c r="AK501" i="2"/>
  <c r="AQ501" i="2"/>
  <c r="AR501" i="2"/>
  <c r="AS501" i="2"/>
  <c r="AT501" i="2"/>
  <c r="AU501" i="2"/>
  <c r="AV501" i="2"/>
  <c r="B502" i="2"/>
  <c r="C502" i="2"/>
  <c r="D502" i="2"/>
  <c r="E502" i="2"/>
  <c r="L502" i="2"/>
  <c r="M502" i="2"/>
  <c r="N502" i="2"/>
  <c r="O502" i="2"/>
  <c r="P502" i="2"/>
  <c r="Q502" i="2"/>
  <c r="R502" i="2"/>
  <c r="S502" i="2"/>
  <c r="T502" i="2"/>
  <c r="U502" i="2"/>
  <c r="V502" i="2"/>
  <c r="W502" i="2"/>
  <c r="X502" i="2"/>
  <c r="Y502" i="2"/>
  <c r="Z502" i="2"/>
  <c r="AA502" i="2"/>
  <c r="AB502" i="2"/>
  <c r="AC502" i="2"/>
  <c r="AD502" i="2"/>
  <c r="AE502" i="2"/>
  <c r="AF502" i="2"/>
  <c r="AG502" i="2"/>
  <c r="AH502" i="2"/>
  <c r="AI502" i="2"/>
  <c r="AJ502" i="2"/>
  <c r="AK502" i="2"/>
  <c r="AQ502" i="2"/>
  <c r="AR502" i="2"/>
  <c r="AS502" i="2"/>
  <c r="AT502" i="2"/>
  <c r="AU502" i="2"/>
  <c r="AV502" i="2"/>
  <c r="B503" i="2"/>
  <c r="C503" i="2"/>
  <c r="D503" i="2"/>
  <c r="E503" i="2"/>
  <c r="L503" i="2"/>
  <c r="M503" i="2"/>
  <c r="N503" i="2"/>
  <c r="O503" i="2"/>
  <c r="P503" i="2"/>
  <c r="Q503" i="2"/>
  <c r="R503" i="2"/>
  <c r="S503" i="2"/>
  <c r="T503" i="2"/>
  <c r="U503" i="2"/>
  <c r="V503" i="2"/>
  <c r="W503" i="2"/>
  <c r="X503" i="2"/>
  <c r="Y503" i="2"/>
  <c r="Z503" i="2"/>
  <c r="AA503" i="2"/>
  <c r="AB503" i="2"/>
  <c r="AC503" i="2"/>
  <c r="AD503" i="2"/>
  <c r="AE503" i="2"/>
  <c r="AF503" i="2"/>
  <c r="AG503" i="2"/>
  <c r="AH503" i="2"/>
  <c r="AI503" i="2"/>
  <c r="AJ503" i="2"/>
  <c r="AK503" i="2"/>
  <c r="AQ503" i="2"/>
  <c r="AR503" i="2"/>
  <c r="AS503" i="2"/>
  <c r="AT503" i="2"/>
  <c r="AU503" i="2"/>
  <c r="AV503" i="2"/>
  <c r="B504" i="2"/>
  <c r="C504" i="2"/>
  <c r="D504" i="2"/>
  <c r="E504" i="2"/>
  <c r="L504" i="2"/>
  <c r="M504" i="2"/>
  <c r="N504" i="2"/>
  <c r="O504" i="2"/>
  <c r="P504" i="2"/>
  <c r="Q504" i="2"/>
  <c r="R504" i="2"/>
  <c r="S504" i="2"/>
  <c r="T504" i="2"/>
  <c r="U504" i="2"/>
  <c r="V504" i="2"/>
  <c r="W504" i="2"/>
  <c r="X504" i="2"/>
  <c r="Y504" i="2"/>
  <c r="Z504" i="2"/>
  <c r="AA504" i="2"/>
  <c r="AB504" i="2"/>
  <c r="AC504" i="2"/>
  <c r="AD504" i="2"/>
  <c r="AE504" i="2"/>
  <c r="AF504" i="2"/>
  <c r="AG504" i="2"/>
  <c r="AH504" i="2"/>
  <c r="AI504" i="2"/>
  <c r="AJ504" i="2"/>
  <c r="AK504" i="2"/>
  <c r="AQ504" i="2"/>
  <c r="AR504" i="2"/>
  <c r="AS504" i="2"/>
  <c r="AT504" i="2"/>
  <c r="AU504" i="2"/>
  <c r="AV504" i="2"/>
  <c r="B505" i="2"/>
  <c r="C505" i="2"/>
  <c r="D505" i="2"/>
  <c r="E505" i="2"/>
  <c r="L505" i="2"/>
  <c r="M505" i="2"/>
  <c r="N505" i="2"/>
  <c r="O505" i="2"/>
  <c r="P505" i="2"/>
  <c r="Q505" i="2"/>
  <c r="R505" i="2"/>
  <c r="S505" i="2"/>
  <c r="T505" i="2"/>
  <c r="U505" i="2"/>
  <c r="V505" i="2"/>
  <c r="W505" i="2"/>
  <c r="X505" i="2"/>
  <c r="Y505" i="2"/>
  <c r="Z505" i="2"/>
  <c r="AA505" i="2"/>
  <c r="AB505" i="2"/>
  <c r="AC505" i="2"/>
  <c r="AD505" i="2"/>
  <c r="AE505" i="2"/>
  <c r="AF505" i="2"/>
  <c r="AG505" i="2"/>
  <c r="AH505" i="2"/>
  <c r="AI505" i="2"/>
  <c r="AJ505" i="2"/>
  <c r="AK505" i="2"/>
  <c r="AQ505" i="2"/>
  <c r="AR505" i="2"/>
  <c r="AS505" i="2"/>
  <c r="AT505" i="2"/>
  <c r="AU505" i="2"/>
  <c r="AV505" i="2"/>
  <c r="B506" i="2"/>
  <c r="C506" i="2"/>
  <c r="D506" i="2"/>
  <c r="E506" i="2"/>
  <c r="J506" i="2"/>
  <c r="K506" i="2"/>
  <c r="L506" i="2"/>
  <c r="M506" i="2"/>
  <c r="N506" i="2"/>
  <c r="O506" i="2"/>
  <c r="P506" i="2"/>
  <c r="Q506" i="2"/>
  <c r="R506" i="2"/>
  <c r="S506" i="2"/>
  <c r="T506" i="2"/>
  <c r="U506" i="2"/>
  <c r="V506" i="2"/>
  <c r="W506" i="2"/>
  <c r="X506" i="2"/>
  <c r="Y506" i="2"/>
  <c r="Z506" i="2"/>
  <c r="AA506" i="2"/>
  <c r="AB506" i="2"/>
  <c r="AC506" i="2"/>
  <c r="AD506" i="2"/>
  <c r="AE506" i="2"/>
  <c r="AF506" i="2"/>
  <c r="AG506" i="2"/>
  <c r="AH506" i="2"/>
  <c r="AI506" i="2"/>
  <c r="AJ506" i="2"/>
  <c r="AK506" i="2"/>
  <c r="AQ506" i="2"/>
  <c r="AR506" i="2"/>
  <c r="AS506" i="2"/>
  <c r="AT506" i="2"/>
  <c r="AU506" i="2"/>
  <c r="AV506" i="2"/>
  <c r="B507" i="2"/>
  <c r="C507" i="2"/>
  <c r="D507" i="2"/>
  <c r="E507" i="2"/>
  <c r="J507" i="2"/>
  <c r="K507" i="2"/>
  <c r="L507" i="2"/>
  <c r="M507" i="2"/>
  <c r="N507" i="2"/>
  <c r="O507" i="2"/>
  <c r="P507" i="2"/>
  <c r="Q507" i="2"/>
  <c r="R507" i="2"/>
  <c r="S507" i="2"/>
  <c r="T507" i="2"/>
  <c r="U507" i="2"/>
  <c r="V507" i="2"/>
  <c r="W507" i="2"/>
  <c r="X507" i="2"/>
  <c r="Y507" i="2"/>
  <c r="Z507" i="2"/>
  <c r="AA507" i="2"/>
  <c r="AB507" i="2"/>
  <c r="AC507" i="2"/>
  <c r="AD507" i="2"/>
  <c r="AE507" i="2"/>
  <c r="AF507" i="2"/>
  <c r="AG507" i="2"/>
  <c r="AH507" i="2"/>
  <c r="AI507" i="2"/>
  <c r="AJ507" i="2"/>
  <c r="AK507" i="2"/>
  <c r="AM507" i="2"/>
  <c r="AQ507" i="2"/>
  <c r="AR507" i="2"/>
  <c r="AS507" i="2"/>
  <c r="AT507" i="2"/>
  <c r="AU507" i="2"/>
  <c r="AV507" i="2"/>
  <c r="B508" i="2"/>
  <c r="C508" i="2"/>
  <c r="D508" i="2"/>
  <c r="E508" i="2"/>
  <c r="J508" i="2"/>
  <c r="K508" i="2"/>
  <c r="L508" i="2"/>
  <c r="M508" i="2"/>
  <c r="N508" i="2"/>
  <c r="O508" i="2"/>
  <c r="P508" i="2"/>
  <c r="Q508" i="2"/>
  <c r="R508" i="2"/>
  <c r="S508" i="2"/>
  <c r="T508" i="2"/>
  <c r="U508" i="2"/>
  <c r="V508" i="2"/>
  <c r="W508" i="2"/>
  <c r="X508" i="2"/>
  <c r="Y508" i="2"/>
  <c r="Z508" i="2"/>
  <c r="AA508" i="2"/>
  <c r="AB508" i="2"/>
  <c r="AC508" i="2"/>
  <c r="AD508" i="2"/>
  <c r="AE508" i="2"/>
  <c r="AF508" i="2"/>
  <c r="AG508" i="2"/>
  <c r="AH508" i="2"/>
  <c r="AI508" i="2"/>
  <c r="AJ508" i="2"/>
  <c r="AK508" i="2"/>
  <c r="AM508" i="2"/>
  <c r="AQ508" i="2"/>
  <c r="AR508" i="2"/>
  <c r="AS508" i="2"/>
  <c r="AT508" i="2"/>
  <c r="AU508" i="2"/>
  <c r="AV508" i="2"/>
  <c r="B509" i="2"/>
  <c r="C509" i="2"/>
  <c r="D509" i="2"/>
  <c r="E509" i="2"/>
  <c r="J509" i="2"/>
  <c r="K509" i="2"/>
  <c r="L509" i="2"/>
  <c r="M509" i="2"/>
  <c r="N509" i="2"/>
  <c r="O509" i="2"/>
  <c r="P509" i="2"/>
  <c r="Q509" i="2"/>
  <c r="R509" i="2"/>
  <c r="S509" i="2"/>
  <c r="T509" i="2"/>
  <c r="U509" i="2"/>
  <c r="V509" i="2"/>
  <c r="W509" i="2"/>
  <c r="X509" i="2"/>
  <c r="Y509" i="2"/>
  <c r="Z509" i="2"/>
  <c r="AA509" i="2"/>
  <c r="AB509" i="2"/>
  <c r="AC509" i="2"/>
  <c r="AD509" i="2"/>
  <c r="AE509" i="2"/>
  <c r="AF509" i="2"/>
  <c r="AG509" i="2"/>
  <c r="AH509" i="2"/>
  <c r="AI509" i="2"/>
  <c r="AJ509" i="2"/>
  <c r="AK509" i="2"/>
  <c r="AM509" i="2"/>
  <c r="FO38" i="3" s="1"/>
  <c r="AQ509" i="2"/>
  <c r="AR509" i="2"/>
  <c r="AS509" i="2"/>
  <c r="AT509" i="2"/>
  <c r="AU509" i="2"/>
  <c r="AV509" i="2"/>
  <c r="B510" i="2"/>
  <c r="C510" i="2"/>
  <c r="D510" i="2"/>
  <c r="E510" i="2"/>
  <c r="J510" i="2"/>
  <c r="K510" i="2"/>
  <c r="L510" i="2"/>
  <c r="M510" i="2"/>
  <c r="N510" i="2"/>
  <c r="O510" i="2"/>
  <c r="P510" i="2"/>
  <c r="Q510" i="2"/>
  <c r="R510" i="2"/>
  <c r="S510" i="2"/>
  <c r="T510" i="2"/>
  <c r="U510" i="2"/>
  <c r="V510" i="2"/>
  <c r="W510" i="2"/>
  <c r="X510" i="2"/>
  <c r="Y510" i="2"/>
  <c r="Z510" i="2"/>
  <c r="AA510" i="2"/>
  <c r="AB510" i="2"/>
  <c r="AC510" i="2"/>
  <c r="AD510" i="2"/>
  <c r="AE510" i="2"/>
  <c r="AF510" i="2"/>
  <c r="AG510" i="2"/>
  <c r="AH510" i="2"/>
  <c r="AI510" i="2"/>
  <c r="AJ510" i="2"/>
  <c r="AK510" i="2"/>
  <c r="AM510" i="2"/>
  <c r="AQ510" i="2"/>
  <c r="AR510" i="2"/>
  <c r="AS510" i="2"/>
  <c r="AT510" i="2"/>
  <c r="AU510" i="2"/>
  <c r="AV510" i="2"/>
  <c r="B511" i="2"/>
  <c r="C511" i="2"/>
  <c r="D511" i="2"/>
  <c r="E511" i="2"/>
  <c r="J511" i="2"/>
  <c r="K511" i="2"/>
  <c r="L511" i="2"/>
  <c r="M511" i="2"/>
  <c r="N511" i="2"/>
  <c r="O511" i="2"/>
  <c r="P511" i="2"/>
  <c r="Q511" i="2"/>
  <c r="R511" i="2"/>
  <c r="S511" i="2"/>
  <c r="T511" i="2"/>
  <c r="U511" i="2"/>
  <c r="V511" i="2"/>
  <c r="W511" i="2"/>
  <c r="X511" i="2"/>
  <c r="Y511" i="2"/>
  <c r="Z511" i="2"/>
  <c r="AA511" i="2"/>
  <c r="AB511" i="2"/>
  <c r="AC511" i="2"/>
  <c r="AD511" i="2"/>
  <c r="AE511" i="2"/>
  <c r="AF511" i="2"/>
  <c r="AG511" i="2"/>
  <c r="AH511" i="2"/>
  <c r="AI511" i="2"/>
  <c r="AJ511" i="2"/>
  <c r="AK511" i="2"/>
  <c r="AM511" i="2"/>
  <c r="AQ511" i="2"/>
  <c r="AR511" i="2"/>
  <c r="AS511" i="2"/>
  <c r="AT511" i="2"/>
  <c r="AU511" i="2"/>
  <c r="AV511" i="2"/>
  <c r="B512" i="2"/>
  <c r="C512" i="2"/>
  <c r="D512" i="2"/>
  <c r="E512" i="2"/>
  <c r="J512" i="2"/>
  <c r="K512" i="2"/>
  <c r="L512" i="2"/>
  <c r="M512" i="2"/>
  <c r="N512" i="2"/>
  <c r="O512" i="2"/>
  <c r="P512" i="2"/>
  <c r="Q512" i="2"/>
  <c r="R512" i="2"/>
  <c r="S512" i="2"/>
  <c r="T512" i="2"/>
  <c r="U512" i="2"/>
  <c r="V512" i="2"/>
  <c r="W512" i="2"/>
  <c r="X512" i="2"/>
  <c r="Y512" i="2"/>
  <c r="Z512" i="2"/>
  <c r="AA512" i="2"/>
  <c r="AB512" i="2"/>
  <c r="AC512" i="2"/>
  <c r="AD512" i="2"/>
  <c r="AE512" i="2"/>
  <c r="AF512" i="2"/>
  <c r="AG512" i="2"/>
  <c r="AH512" i="2"/>
  <c r="AI512" i="2"/>
  <c r="AJ512" i="2"/>
  <c r="AK512" i="2"/>
  <c r="AM512" i="2"/>
  <c r="AQ512" i="2"/>
  <c r="AR512" i="2"/>
  <c r="AS512" i="2"/>
  <c r="AT512" i="2"/>
  <c r="AU512" i="2"/>
  <c r="AV512" i="2"/>
  <c r="B513" i="2"/>
  <c r="C513" i="2"/>
  <c r="D513" i="2"/>
  <c r="E513" i="2"/>
  <c r="J513" i="2"/>
  <c r="K513" i="2"/>
  <c r="L513" i="2"/>
  <c r="M513" i="2"/>
  <c r="N513" i="2"/>
  <c r="O513" i="2"/>
  <c r="P513" i="2"/>
  <c r="Q513" i="2"/>
  <c r="R513" i="2"/>
  <c r="S513" i="2"/>
  <c r="T513" i="2"/>
  <c r="U513" i="2"/>
  <c r="V513" i="2"/>
  <c r="W513" i="2"/>
  <c r="X513" i="2"/>
  <c r="Y513" i="2"/>
  <c r="Z513" i="2"/>
  <c r="AA513" i="2"/>
  <c r="AB513" i="2"/>
  <c r="AC513" i="2"/>
  <c r="AD513" i="2"/>
  <c r="AE513" i="2"/>
  <c r="AF513" i="2"/>
  <c r="AG513" i="2"/>
  <c r="AH513" i="2"/>
  <c r="AI513" i="2"/>
  <c r="AJ513" i="2"/>
  <c r="AK513" i="2"/>
  <c r="AM513" i="2"/>
  <c r="FP38" i="3" s="1"/>
  <c r="AQ513" i="2"/>
  <c r="AR513" i="2"/>
  <c r="AS513" i="2"/>
  <c r="AT513" i="2"/>
  <c r="AU513" i="2"/>
  <c r="AV513" i="2"/>
  <c r="B514" i="2"/>
  <c r="C514" i="2"/>
  <c r="D514" i="2"/>
  <c r="E514" i="2"/>
  <c r="J514" i="2"/>
  <c r="K514" i="2"/>
  <c r="L514" i="2"/>
  <c r="M514" i="2"/>
  <c r="N514" i="2"/>
  <c r="O514" i="2"/>
  <c r="P514" i="2"/>
  <c r="Q514" i="2"/>
  <c r="R514" i="2"/>
  <c r="S514" i="2"/>
  <c r="T514" i="2"/>
  <c r="U514" i="2"/>
  <c r="V514" i="2"/>
  <c r="W514" i="2"/>
  <c r="X514" i="2"/>
  <c r="Y514" i="2"/>
  <c r="Z514" i="2"/>
  <c r="AA514" i="2"/>
  <c r="AB514" i="2"/>
  <c r="AC514" i="2"/>
  <c r="AD514" i="2"/>
  <c r="AE514" i="2"/>
  <c r="AF514" i="2"/>
  <c r="AG514" i="2"/>
  <c r="AH514" i="2"/>
  <c r="AI514" i="2"/>
  <c r="AJ514" i="2"/>
  <c r="AK514" i="2"/>
  <c r="AM514" i="2"/>
  <c r="AQ514" i="2"/>
  <c r="AR514" i="2"/>
  <c r="AS514" i="2"/>
  <c r="AT514" i="2"/>
  <c r="AU514" i="2"/>
  <c r="AV514" i="2"/>
  <c r="B515" i="2"/>
  <c r="C515" i="2"/>
  <c r="D515" i="2"/>
  <c r="E515" i="2"/>
  <c r="J515" i="2"/>
  <c r="K515" i="2"/>
  <c r="L515" i="2"/>
  <c r="M515" i="2"/>
  <c r="N515" i="2"/>
  <c r="O515" i="2"/>
  <c r="P515" i="2"/>
  <c r="Q515" i="2"/>
  <c r="R515" i="2"/>
  <c r="S515" i="2"/>
  <c r="T515" i="2"/>
  <c r="U515" i="2"/>
  <c r="V515" i="2"/>
  <c r="W515" i="2"/>
  <c r="X515" i="2"/>
  <c r="Y515" i="2"/>
  <c r="Z515" i="2"/>
  <c r="AA515" i="2"/>
  <c r="AB515" i="2"/>
  <c r="AC515" i="2"/>
  <c r="AD515" i="2"/>
  <c r="AE515" i="2"/>
  <c r="AF515" i="2"/>
  <c r="AG515" i="2"/>
  <c r="AH515" i="2"/>
  <c r="AI515" i="2"/>
  <c r="AJ515" i="2"/>
  <c r="AK515" i="2"/>
  <c r="AM515" i="2"/>
  <c r="AQ515" i="2"/>
  <c r="AR515" i="2"/>
  <c r="AS515" i="2"/>
  <c r="AT515" i="2"/>
  <c r="AU515" i="2"/>
  <c r="AV515" i="2"/>
  <c r="B516" i="2"/>
  <c r="C516" i="2"/>
  <c r="D516" i="2"/>
  <c r="E516" i="2"/>
  <c r="J516" i="2"/>
  <c r="K516" i="2"/>
  <c r="L516" i="2"/>
  <c r="M516" i="2"/>
  <c r="N516" i="2"/>
  <c r="O516" i="2"/>
  <c r="P516" i="2"/>
  <c r="Q516" i="2"/>
  <c r="R516" i="2"/>
  <c r="S516" i="2"/>
  <c r="T516" i="2"/>
  <c r="U516" i="2"/>
  <c r="V516" i="2"/>
  <c r="W516" i="2"/>
  <c r="X516" i="2"/>
  <c r="Y516" i="2"/>
  <c r="Z516" i="2"/>
  <c r="AA516" i="2"/>
  <c r="AB516" i="2"/>
  <c r="AC516" i="2"/>
  <c r="AD516" i="2"/>
  <c r="AE516" i="2"/>
  <c r="AF516" i="2"/>
  <c r="AG516" i="2"/>
  <c r="AH516" i="2"/>
  <c r="AI516" i="2"/>
  <c r="AJ516" i="2"/>
  <c r="AK516" i="2"/>
  <c r="AM516" i="2"/>
  <c r="AQ516" i="2"/>
  <c r="AR516" i="2"/>
  <c r="AS516" i="2"/>
  <c r="AT516" i="2"/>
  <c r="AU516" i="2"/>
  <c r="AV516" i="2"/>
  <c r="B517" i="2"/>
  <c r="C517" i="2"/>
  <c r="D517" i="2"/>
  <c r="E517" i="2"/>
  <c r="J517" i="2"/>
  <c r="K517" i="2"/>
  <c r="L517" i="2"/>
  <c r="M517" i="2"/>
  <c r="N517" i="2"/>
  <c r="O517" i="2"/>
  <c r="P517" i="2"/>
  <c r="Q517" i="2"/>
  <c r="R517" i="2"/>
  <c r="S517" i="2"/>
  <c r="T517" i="2"/>
  <c r="U517" i="2"/>
  <c r="V517" i="2"/>
  <c r="W517" i="2"/>
  <c r="X517" i="2"/>
  <c r="Y517" i="2"/>
  <c r="Z517" i="2"/>
  <c r="AA517" i="2"/>
  <c r="AB517" i="2"/>
  <c r="AC517" i="2"/>
  <c r="AD517" i="2"/>
  <c r="AE517" i="2"/>
  <c r="AF517" i="2"/>
  <c r="AG517" i="2"/>
  <c r="AH517" i="2"/>
  <c r="AI517" i="2"/>
  <c r="AJ517" i="2"/>
  <c r="AK517" i="2"/>
  <c r="AM517" i="2"/>
  <c r="FQ38" i="3" s="1"/>
  <c r="AQ517" i="2"/>
  <c r="AR517" i="2"/>
  <c r="AS517" i="2"/>
  <c r="AT517" i="2"/>
  <c r="AU517" i="2"/>
  <c r="AV517" i="2"/>
  <c r="B518" i="2"/>
  <c r="C518" i="2"/>
  <c r="D518" i="2"/>
  <c r="E518" i="2"/>
  <c r="J518" i="2"/>
  <c r="K518" i="2"/>
  <c r="L518" i="2"/>
  <c r="M518" i="2"/>
  <c r="N518" i="2"/>
  <c r="O518" i="2"/>
  <c r="P518" i="2"/>
  <c r="Q518" i="2"/>
  <c r="R518" i="2"/>
  <c r="S518" i="2"/>
  <c r="T518" i="2"/>
  <c r="U518" i="2"/>
  <c r="V518" i="2"/>
  <c r="W518" i="2"/>
  <c r="X518" i="2"/>
  <c r="Y518" i="2"/>
  <c r="Z518" i="2"/>
  <c r="AA518" i="2"/>
  <c r="AB518" i="2"/>
  <c r="AC518" i="2"/>
  <c r="AD518" i="2"/>
  <c r="AE518" i="2"/>
  <c r="AF518" i="2"/>
  <c r="AG518" i="2"/>
  <c r="AH518" i="2"/>
  <c r="AI518" i="2"/>
  <c r="AJ518" i="2"/>
  <c r="AK518" i="2"/>
  <c r="AM518" i="2"/>
  <c r="FR38" i="3" s="1"/>
  <c r="AQ518" i="2"/>
  <c r="AR518" i="2"/>
  <c r="AS518" i="2"/>
  <c r="AT518" i="2"/>
  <c r="AU518" i="2"/>
  <c r="AV518" i="2"/>
  <c r="B519" i="2"/>
  <c r="C519" i="2"/>
  <c r="D519" i="2"/>
  <c r="E519" i="2"/>
  <c r="J519" i="2"/>
  <c r="K519" i="2"/>
  <c r="L519" i="2"/>
  <c r="M519" i="2"/>
  <c r="N519" i="2"/>
  <c r="O519" i="2"/>
  <c r="P519" i="2"/>
  <c r="Q519" i="2"/>
  <c r="R519" i="2"/>
  <c r="S519" i="2"/>
  <c r="T519" i="2"/>
  <c r="U519" i="2"/>
  <c r="V519" i="2"/>
  <c r="W519" i="2"/>
  <c r="X519" i="2"/>
  <c r="Y519" i="2"/>
  <c r="Z519" i="2"/>
  <c r="AA519" i="2"/>
  <c r="AB519" i="2"/>
  <c r="AC519" i="2"/>
  <c r="AD519" i="2"/>
  <c r="AE519" i="2"/>
  <c r="AF519" i="2"/>
  <c r="AG519" i="2"/>
  <c r="AH519" i="2"/>
  <c r="AI519" i="2"/>
  <c r="AJ519" i="2"/>
  <c r="AK519" i="2"/>
  <c r="AM519" i="2"/>
  <c r="AQ519" i="2"/>
  <c r="AR519" i="2"/>
  <c r="AS519" i="2"/>
  <c r="AT519" i="2"/>
  <c r="AU519" i="2"/>
  <c r="AV519" i="2"/>
  <c r="B520" i="2"/>
  <c r="C520" i="2"/>
  <c r="D520" i="2"/>
  <c r="E520" i="2"/>
  <c r="J520" i="2"/>
  <c r="K520" i="2"/>
  <c r="L520" i="2"/>
  <c r="M520" i="2"/>
  <c r="N520" i="2"/>
  <c r="O520" i="2"/>
  <c r="P520" i="2"/>
  <c r="Q520" i="2"/>
  <c r="R520" i="2"/>
  <c r="S520" i="2"/>
  <c r="T520" i="2"/>
  <c r="U520" i="2"/>
  <c r="V520" i="2"/>
  <c r="W520" i="2"/>
  <c r="X520" i="2"/>
  <c r="Y520" i="2"/>
  <c r="Z520" i="2"/>
  <c r="AA520" i="2"/>
  <c r="AB520" i="2"/>
  <c r="AC520" i="2"/>
  <c r="AD520" i="2"/>
  <c r="AE520" i="2"/>
  <c r="AF520" i="2"/>
  <c r="AG520" i="2"/>
  <c r="AH520" i="2"/>
  <c r="AI520" i="2"/>
  <c r="AJ520" i="2"/>
  <c r="AK520" i="2"/>
  <c r="AM520" i="2"/>
  <c r="AQ520" i="2"/>
  <c r="AR520" i="2"/>
  <c r="AS520" i="2"/>
  <c r="AT520" i="2"/>
  <c r="AU520" i="2"/>
  <c r="AV520" i="2"/>
  <c r="B521" i="2"/>
  <c r="C521" i="2"/>
  <c r="D521" i="2"/>
  <c r="E521" i="2"/>
  <c r="J521" i="2"/>
  <c r="K521" i="2"/>
  <c r="L521" i="2"/>
  <c r="M521" i="2"/>
  <c r="N521" i="2"/>
  <c r="O521" i="2"/>
  <c r="P521" i="2"/>
  <c r="Q521" i="2"/>
  <c r="R521" i="2"/>
  <c r="S521" i="2"/>
  <c r="T521" i="2"/>
  <c r="U521" i="2"/>
  <c r="V521" i="2"/>
  <c r="W521" i="2"/>
  <c r="X521" i="2"/>
  <c r="Y521" i="2"/>
  <c r="Z521" i="2"/>
  <c r="AA521" i="2"/>
  <c r="AB521" i="2"/>
  <c r="AC521" i="2"/>
  <c r="AD521" i="2"/>
  <c r="AE521" i="2"/>
  <c r="AF521" i="2"/>
  <c r="AG521" i="2"/>
  <c r="AH521" i="2"/>
  <c r="AI521" i="2"/>
  <c r="AJ521" i="2"/>
  <c r="AK521" i="2"/>
  <c r="AM521" i="2"/>
  <c r="FS38" i="3" s="1"/>
  <c r="AQ521" i="2"/>
  <c r="AR521" i="2"/>
  <c r="AS521" i="2"/>
  <c r="AT521" i="2"/>
  <c r="AU521" i="2"/>
  <c r="AV521" i="2"/>
  <c r="B522" i="2"/>
  <c r="C522" i="2"/>
  <c r="D522" i="2"/>
  <c r="E522" i="2"/>
  <c r="J522" i="2"/>
  <c r="K522" i="2"/>
  <c r="L522" i="2"/>
  <c r="M522" i="2"/>
  <c r="N522" i="2"/>
  <c r="O522" i="2"/>
  <c r="P522" i="2"/>
  <c r="Q522" i="2"/>
  <c r="R522" i="2"/>
  <c r="S522" i="2"/>
  <c r="T522" i="2"/>
  <c r="U522" i="2"/>
  <c r="V522" i="2"/>
  <c r="W522" i="2"/>
  <c r="X522" i="2"/>
  <c r="Y522" i="2"/>
  <c r="Z522" i="2"/>
  <c r="AA522" i="2"/>
  <c r="AB522" i="2"/>
  <c r="AC522" i="2"/>
  <c r="AD522" i="2"/>
  <c r="AE522" i="2"/>
  <c r="AF522" i="2"/>
  <c r="AG522" i="2"/>
  <c r="AH522" i="2"/>
  <c r="AI522" i="2"/>
  <c r="AJ522" i="2"/>
  <c r="AK522" i="2"/>
  <c r="AM522" i="2"/>
  <c r="AQ522" i="2"/>
  <c r="AR522" i="2"/>
  <c r="AS522" i="2"/>
  <c r="AT522" i="2"/>
  <c r="AU522" i="2"/>
  <c r="AV522" i="2"/>
  <c r="B523" i="2"/>
  <c r="C523" i="2"/>
  <c r="D523" i="2"/>
  <c r="E523" i="2"/>
  <c r="J523" i="2"/>
  <c r="K523" i="2"/>
  <c r="L523" i="2"/>
  <c r="M523" i="2"/>
  <c r="N523" i="2"/>
  <c r="O523" i="2"/>
  <c r="P523" i="2"/>
  <c r="Q523" i="2"/>
  <c r="R523" i="2"/>
  <c r="S523" i="2"/>
  <c r="T523" i="2"/>
  <c r="U523" i="2"/>
  <c r="V523" i="2"/>
  <c r="W523" i="2"/>
  <c r="X523" i="2"/>
  <c r="Y523" i="2"/>
  <c r="Z523" i="2"/>
  <c r="AA523" i="2"/>
  <c r="AB523" i="2"/>
  <c r="AC523" i="2"/>
  <c r="AD523" i="2"/>
  <c r="AE523" i="2"/>
  <c r="AF523" i="2"/>
  <c r="AG523" i="2"/>
  <c r="AH523" i="2"/>
  <c r="AI523" i="2"/>
  <c r="AJ523" i="2"/>
  <c r="AK523" i="2"/>
  <c r="AM523" i="2"/>
  <c r="AQ523" i="2"/>
  <c r="AR523" i="2"/>
  <c r="AS523" i="2"/>
  <c r="AT523" i="2"/>
  <c r="AU523" i="2"/>
  <c r="AV523" i="2"/>
  <c r="B524" i="2"/>
  <c r="C524" i="2"/>
  <c r="D524" i="2"/>
  <c r="E524" i="2"/>
  <c r="J524" i="2"/>
  <c r="K524" i="2"/>
  <c r="L524" i="2"/>
  <c r="M524" i="2"/>
  <c r="N524" i="2"/>
  <c r="O524" i="2"/>
  <c r="P524" i="2"/>
  <c r="Q524" i="2"/>
  <c r="R524" i="2"/>
  <c r="S524" i="2"/>
  <c r="T524" i="2"/>
  <c r="U524" i="2"/>
  <c r="V524" i="2"/>
  <c r="W524" i="2"/>
  <c r="X524" i="2"/>
  <c r="Y524" i="2"/>
  <c r="Z524" i="2"/>
  <c r="AA524" i="2"/>
  <c r="AB524" i="2"/>
  <c r="AC524" i="2"/>
  <c r="AD524" i="2"/>
  <c r="AE524" i="2"/>
  <c r="AF524" i="2"/>
  <c r="AG524" i="2"/>
  <c r="AH524" i="2"/>
  <c r="AI524" i="2"/>
  <c r="AJ524" i="2"/>
  <c r="AK524" i="2"/>
  <c r="AM524" i="2"/>
  <c r="AQ524" i="2"/>
  <c r="AR524" i="2"/>
  <c r="AS524" i="2"/>
  <c r="AT524" i="2"/>
  <c r="AU524" i="2"/>
  <c r="AV524" i="2"/>
  <c r="B525" i="2"/>
  <c r="C525" i="2"/>
  <c r="D525" i="2"/>
  <c r="E525" i="2"/>
  <c r="J525" i="2"/>
  <c r="K525" i="2"/>
  <c r="L525" i="2"/>
  <c r="M525" i="2"/>
  <c r="N525" i="2"/>
  <c r="O525" i="2"/>
  <c r="P525" i="2"/>
  <c r="Q525" i="2"/>
  <c r="R525" i="2"/>
  <c r="S525" i="2"/>
  <c r="T525" i="2"/>
  <c r="U525" i="2"/>
  <c r="V525" i="2"/>
  <c r="W525" i="2"/>
  <c r="X525" i="2"/>
  <c r="Y525" i="2"/>
  <c r="Z525" i="2"/>
  <c r="AA525" i="2"/>
  <c r="AB525" i="2"/>
  <c r="AC525" i="2"/>
  <c r="AD525" i="2"/>
  <c r="AE525" i="2"/>
  <c r="AF525" i="2"/>
  <c r="AG525" i="2"/>
  <c r="AH525" i="2"/>
  <c r="AI525" i="2"/>
  <c r="AJ525" i="2"/>
  <c r="AK525" i="2"/>
  <c r="AM525" i="2"/>
  <c r="FT38" i="3" s="1"/>
  <c r="AQ525" i="2"/>
  <c r="AR525" i="2"/>
  <c r="AS525" i="2"/>
  <c r="AT525" i="2"/>
  <c r="AU525" i="2"/>
  <c r="AV525" i="2"/>
  <c r="B526" i="2"/>
  <c r="C526" i="2"/>
  <c r="D526" i="2"/>
  <c r="E526" i="2"/>
  <c r="J526" i="2"/>
  <c r="K526" i="2"/>
  <c r="L526" i="2"/>
  <c r="M526" i="2"/>
  <c r="N526" i="2"/>
  <c r="O526" i="2"/>
  <c r="P526" i="2"/>
  <c r="Q526" i="2"/>
  <c r="R526" i="2"/>
  <c r="S526" i="2"/>
  <c r="T526" i="2"/>
  <c r="U526" i="2"/>
  <c r="V526" i="2"/>
  <c r="W526" i="2"/>
  <c r="X526" i="2"/>
  <c r="Y526" i="2"/>
  <c r="Z526" i="2"/>
  <c r="AA526" i="2"/>
  <c r="AB526" i="2"/>
  <c r="AC526" i="2"/>
  <c r="AD526" i="2"/>
  <c r="AE526" i="2"/>
  <c r="AF526" i="2"/>
  <c r="AG526" i="2"/>
  <c r="AH526" i="2"/>
  <c r="AI526" i="2"/>
  <c r="AJ526" i="2"/>
  <c r="AK526" i="2"/>
  <c r="AM526" i="2"/>
  <c r="AQ526" i="2"/>
  <c r="AR526" i="2"/>
  <c r="AS526" i="2"/>
  <c r="AT526" i="2"/>
  <c r="AU526" i="2"/>
  <c r="AV526" i="2"/>
  <c r="B527" i="2"/>
  <c r="C527" i="2"/>
  <c r="D527" i="2"/>
  <c r="E527" i="2"/>
  <c r="J527" i="2"/>
  <c r="K527" i="2"/>
  <c r="L527" i="2"/>
  <c r="M527" i="2"/>
  <c r="N527" i="2"/>
  <c r="O527" i="2"/>
  <c r="P527" i="2"/>
  <c r="Q527" i="2"/>
  <c r="R527" i="2"/>
  <c r="S527" i="2"/>
  <c r="T527" i="2"/>
  <c r="U527" i="2"/>
  <c r="V527" i="2"/>
  <c r="W527" i="2"/>
  <c r="X527" i="2"/>
  <c r="Y527" i="2"/>
  <c r="Z527" i="2"/>
  <c r="AA527" i="2"/>
  <c r="AB527" i="2"/>
  <c r="AC527" i="2"/>
  <c r="AD527" i="2"/>
  <c r="AE527" i="2"/>
  <c r="AF527" i="2"/>
  <c r="AG527" i="2"/>
  <c r="AH527" i="2"/>
  <c r="AI527" i="2"/>
  <c r="AJ527" i="2"/>
  <c r="AK527" i="2"/>
  <c r="AM527" i="2"/>
  <c r="AQ527" i="2"/>
  <c r="AR527" i="2"/>
  <c r="AS527" i="2"/>
  <c r="AT527" i="2"/>
  <c r="AU527" i="2"/>
  <c r="AV527" i="2"/>
  <c r="B528" i="2"/>
  <c r="C528" i="2"/>
  <c r="D528" i="2"/>
  <c r="E528" i="2"/>
  <c r="J528" i="2"/>
  <c r="K528" i="2"/>
  <c r="L528" i="2"/>
  <c r="M528" i="2"/>
  <c r="N528" i="2"/>
  <c r="O528" i="2"/>
  <c r="P528" i="2"/>
  <c r="Q528" i="2"/>
  <c r="R528" i="2"/>
  <c r="S528" i="2"/>
  <c r="T528" i="2"/>
  <c r="U528" i="2"/>
  <c r="V528" i="2"/>
  <c r="W528" i="2"/>
  <c r="X528" i="2"/>
  <c r="Y528" i="2"/>
  <c r="Z528" i="2"/>
  <c r="AA528" i="2"/>
  <c r="AB528" i="2"/>
  <c r="AC528" i="2"/>
  <c r="AD528" i="2"/>
  <c r="AE528" i="2"/>
  <c r="AF528" i="2"/>
  <c r="AG528" i="2"/>
  <c r="AH528" i="2"/>
  <c r="AI528" i="2"/>
  <c r="AJ528" i="2"/>
  <c r="AK528" i="2"/>
  <c r="AM528" i="2"/>
  <c r="AQ528" i="2"/>
  <c r="AR528" i="2"/>
  <c r="AS528" i="2"/>
  <c r="AT528" i="2"/>
  <c r="AU528" i="2"/>
  <c r="AV528" i="2"/>
  <c r="B529" i="2"/>
  <c r="C529" i="2"/>
  <c r="D529" i="2"/>
  <c r="E529" i="2"/>
  <c r="J529" i="2"/>
  <c r="K529" i="2"/>
  <c r="L529" i="2"/>
  <c r="M529" i="2"/>
  <c r="N529" i="2"/>
  <c r="O529" i="2"/>
  <c r="P529" i="2"/>
  <c r="Q529" i="2"/>
  <c r="R529" i="2"/>
  <c r="S529" i="2"/>
  <c r="T529" i="2"/>
  <c r="U529" i="2"/>
  <c r="V529" i="2"/>
  <c r="W529" i="2"/>
  <c r="X529" i="2"/>
  <c r="Y529" i="2"/>
  <c r="Z529" i="2"/>
  <c r="AA529" i="2"/>
  <c r="AB529" i="2"/>
  <c r="AC529" i="2"/>
  <c r="AD529" i="2"/>
  <c r="AE529" i="2"/>
  <c r="AF529" i="2"/>
  <c r="AG529" i="2"/>
  <c r="AH529" i="2"/>
  <c r="AI529" i="2"/>
  <c r="AJ529" i="2"/>
  <c r="AK529" i="2"/>
  <c r="AM529" i="2"/>
  <c r="FU38" i="3" s="1"/>
  <c r="AQ529" i="2"/>
  <c r="AR529" i="2"/>
  <c r="AS529" i="2"/>
  <c r="AT529" i="2"/>
  <c r="AU529" i="2"/>
  <c r="AV529" i="2"/>
  <c r="B530" i="2"/>
  <c r="C530" i="2"/>
  <c r="D530" i="2"/>
  <c r="E530" i="2"/>
  <c r="J530" i="2"/>
  <c r="K530" i="2"/>
  <c r="L530" i="2"/>
  <c r="M530" i="2"/>
  <c r="N530" i="2"/>
  <c r="O530" i="2"/>
  <c r="P530" i="2"/>
  <c r="Q530" i="2"/>
  <c r="R530" i="2"/>
  <c r="S530" i="2"/>
  <c r="T530" i="2"/>
  <c r="U530" i="2"/>
  <c r="V530" i="2"/>
  <c r="W530" i="2"/>
  <c r="X530" i="2"/>
  <c r="Y530" i="2"/>
  <c r="Z530" i="2"/>
  <c r="AA530" i="2"/>
  <c r="AB530" i="2"/>
  <c r="AC530" i="2"/>
  <c r="AD530" i="2"/>
  <c r="AE530" i="2"/>
  <c r="AF530" i="2"/>
  <c r="AG530" i="2"/>
  <c r="AH530" i="2"/>
  <c r="AI530" i="2"/>
  <c r="AJ530" i="2"/>
  <c r="AK530" i="2"/>
  <c r="AM530" i="2"/>
  <c r="FV38" i="3" s="1"/>
  <c r="AO530" i="2"/>
  <c r="AP530" i="2"/>
  <c r="AQ530" i="2"/>
  <c r="AR530" i="2"/>
  <c r="AS530" i="2"/>
  <c r="AT530" i="2"/>
  <c r="AU530" i="2"/>
  <c r="AV530" i="2"/>
  <c r="B531" i="2"/>
  <c r="C531" i="2"/>
  <c r="D531" i="2"/>
  <c r="E531" i="2"/>
  <c r="J531" i="2"/>
  <c r="K531" i="2"/>
  <c r="L531" i="2"/>
  <c r="M531" i="2"/>
  <c r="N531" i="2"/>
  <c r="O531" i="2"/>
  <c r="P531" i="2"/>
  <c r="Q531" i="2"/>
  <c r="R531" i="2"/>
  <c r="S531" i="2"/>
  <c r="T531" i="2"/>
  <c r="U531" i="2"/>
  <c r="V531" i="2"/>
  <c r="W531" i="2"/>
  <c r="X531" i="2"/>
  <c r="Y531" i="2"/>
  <c r="Z531" i="2"/>
  <c r="AA531" i="2"/>
  <c r="AB531" i="2"/>
  <c r="AC531" i="2"/>
  <c r="AD531" i="2"/>
  <c r="AE531" i="2"/>
  <c r="AF531" i="2"/>
  <c r="AG531" i="2"/>
  <c r="AH531" i="2"/>
  <c r="AI531" i="2"/>
  <c r="AJ531" i="2"/>
  <c r="AK531" i="2"/>
  <c r="AM531" i="2"/>
  <c r="AO531" i="2"/>
  <c r="AP531" i="2"/>
  <c r="AQ531" i="2"/>
  <c r="AR531" i="2"/>
  <c r="AS531" i="2"/>
  <c r="AT531" i="2"/>
  <c r="AU531" i="2"/>
  <c r="AV531" i="2"/>
  <c r="B532" i="2"/>
  <c r="C532" i="2"/>
  <c r="D532" i="2"/>
  <c r="E532" i="2"/>
  <c r="J532" i="2"/>
  <c r="K532" i="2"/>
  <c r="L532" i="2"/>
  <c r="M532" i="2"/>
  <c r="N532" i="2"/>
  <c r="O532" i="2"/>
  <c r="P532" i="2"/>
  <c r="Q532" i="2"/>
  <c r="R532" i="2"/>
  <c r="S532" i="2"/>
  <c r="T532" i="2"/>
  <c r="U532" i="2"/>
  <c r="V532" i="2"/>
  <c r="W532" i="2"/>
  <c r="X532" i="2"/>
  <c r="Y532" i="2"/>
  <c r="Z532" i="2"/>
  <c r="AA532" i="2"/>
  <c r="AB532" i="2"/>
  <c r="AC532" i="2"/>
  <c r="AD532" i="2"/>
  <c r="AE532" i="2"/>
  <c r="AF532" i="2"/>
  <c r="AG532" i="2"/>
  <c r="AH532" i="2"/>
  <c r="AI532" i="2"/>
  <c r="AJ532" i="2"/>
  <c r="AK532" i="2"/>
  <c r="AM532" i="2"/>
  <c r="AO532" i="2"/>
  <c r="AP532" i="2"/>
  <c r="AQ532" i="2"/>
  <c r="AR532" i="2"/>
  <c r="AS532" i="2"/>
  <c r="AT532" i="2"/>
  <c r="AU532" i="2"/>
  <c r="AV532" i="2"/>
  <c r="B533" i="2"/>
  <c r="C533" i="2"/>
  <c r="D533" i="2"/>
  <c r="E533" i="2"/>
  <c r="J533" i="2"/>
  <c r="K533" i="2"/>
  <c r="L533" i="2"/>
  <c r="M533" i="2"/>
  <c r="N533" i="2"/>
  <c r="O533" i="2"/>
  <c r="P533" i="2"/>
  <c r="Q533" i="2"/>
  <c r="R533" i="2"/>
  <c r="S533" i="2"/>
  <c r="T533" i="2"/>
  <c r="U533" i="2"/>
  <c r="V533" i="2"/>
  <c r="W533" i="2"/>
  <c r="X533" i="2"/>
  <c r="Y533" i="2"/>
  <c r="Z533" i="2"/>
  <c r="AA533" i="2"/>
  <c r="AB533" i="2"/>
  <c r="AC533" i="2"/>
  <c r="AD533" i="2"/>
  <c r="AE533" i="2"/>
  <c r="AF533" i="2"/>
  <c r="AG533" i="2"/>
  <c r="AH533" i="2"/>
  <c r="AI533" i="2"/>
  <c r="AJ533" i="2"/>
  <c r="AK533" i="2"/>
  <c r="AM533" i="2"/>
  <c r="FW38" i="3" s="1"/>
  <c r="AO533" i="2"/>
  <c r="AP533" i="2"/>
  <c r="AQ533" i="2"/>
  <c r="AR533" i="2"/>
  <c r="AS533" i="2"/>
  <c r="AT533" i="2"/>
  <c r="AU533" i="2"/>
  <c r="AV533" i="2"/>
  <c r="B534" i="2"/>
  <c r="C534" i="2"/>
  <c r="D534" i="2"/>
  <c r="E534" i="2"/>
  <c r="J534" i="2"/>
  <c r="K534" i="2"/>
  <c r="L534" i="2"/>
  <c r="M534" i="2"/>
  <c r="N534" i="2"/>
  <c r="O534" i="2"/>
  <c r="P534" i="2"/>
  <c r="Q534" i="2"/>
  <c r="R534" i="2"/>
  <c r="S534" i="2"/>
  <c r="T534" i="2"/>
  <c r="U534" i="2"/>
  <c r="V534" i="2"/>
  <c r="W534" i="2"/>
  <c r="X534" i="2"/>
  <c r="Y534" i="2"/>
  <c r="Z534" i="2"/>
  <c r="AA534" i="2"/>
  <c r="AB534" i="2"/>
  <c r="AC534" i="2"/>
  <c r="AD534" i="2"/>
  <c r="AE534" i="2"/>
  <c r="AF534" i="2"/>
  <c r="AG534" i="2"/>
  <c r="AH534" i="2"/>
  <c r="AI534" i="2"/>
  <c r="AJ534" i="2"/>
  <c r="AK534" i="2"/>
  <c r="AM534" i="2"/>
  <c r="AO534" i="2"/>
  <c r="AP534" i="2"/>
  <c r="AQ534" i="2"/>
  <c r="AR534" i="2"/>
  <c r="AS534" i="2"/>
  <c r="AT534" i="2"/>
  <c r="AU534" i="2"/>
  <c r="AV534" i="2"/>
  <c r="B535" i="2"/>
  <c r="C535" i="2"/>
  <c r="D535" i="2"/>
  <c r="E535" i="2"/>
  <c r="J535" i="2"/>
  <c r="K535" i="2"/>
  <c r="L535" i="2"/>
  <c r="M535" i="2"/>
  <c r="N535" i="2"/>
  <c r="O535" i="2"/>
  <c r="P535" i="2"/>
  <c r="Q535" i="2"/>
  <c r="R535" i="2"/>
  <c r="S535" i="2"/>
  <c r="T535" i="2"/>
  <c r="U535" i="2"/>
  <c r="V535" i="2"/>
  <c r="W535" i="2"/>
  <c r="X535" i="2"/>
  <c r="Y535" i="2"/>
  <c r="Z535" i="2"/>
  <c r="AA535" i="2"/>
  <c r="AB535" i="2"/>
  <c r="AC535" i="2"/>
  <c r="AD535" i="2"/>
  <c r="AE535" i="2"/>
  <c r="AF535" i="2"/>
  <c r="AG535" i="2"/>
  <c r="AH535" i="2"/>
  <c r="AI535" i="2"/>
  <c r="AJ535" i="2"/>
  <c r="AK535" i="2"/>
  <c r="AM535" i="2"/>
  <c r="AO535" i="2"/>
  <c r="AP535" i="2"/>
  <c r="AQ535" i="2"/>
  <c r="AR535" i="2"/>
  <c r="AS535" i="2"/>
  <c r="AT535" i="2"/>
  <c r="AU535" i="2"/>
  <c r="AV535" i="2"/>
  <c r="B536" i="2"/>
  <c r="C536" i="2"/>
  <c r="D536" i="2"/>
  <c r="E536" i="2"/>
  <c r="J536" i="2"/>
  <c r="K536" i="2"/>
  <c r="L536" i="2"/>
  <c r="M536" i="2"/>
  <c r="N536" i="2"/>
  <c r="O536" i="2"/>
  <c r="P536" i="2"/>
  <c r="Q536" i="2"/>
  <c r="R536" i="2"/>
  <c r="S536" i="2"/>
  <c r="T536" i="2"/>
  <c r="U536" i="2"/>
  <c r="V536" i="2"/>
  <c r="W536" i="2"/>
  <c r="X536" i="2"/>
  <c r="Y536" i="2"/>
  <c r="Z536" i="2"/>
  <c r="AA536" i="2"/>
  <c r="AB536" i="2"/>
  <c r="AC536" i="2"/>
  <c r="AD536" i="2"/>
  <c r="AE536" i="2"/>
  <c r="AF536" i="2"/>
  <c r="AG536" i="2"/>
  <c r="AH536" i="2"/>
  <c r="AI536" i="2"/>
  <c r="AJ536" i="2"/>
  <c r="AK536" i="2"/>
  <c r="AM536" i="2"/>
  <c r="AO536" i="2"/>
  <c r="AP536" i="2"/>
  <c r="AQ536" i="2"/>
  <c r="AR536" i="2"/>
  <c r="AS536" i="2"/>
  <c r="AT536" i="2"/>
  <c r="AU536" i="2"/>
  <c r="AV536" i="2"/>
  <c r="B537" i="2"/>
  <c r="C537" i="2"/>
  <c r="D537" i="2"/>
  <c r="E537" i="2"/>
  <c r="J537" i="2"/>
  <c r="K537" i="2"/>
  <c r="L537" i="2"/>
  <c r="M537" i="2"/>
  <c r="N537" i="2"/>
  <c r="O537" i="2"/>
  <c r="P537" i="2"/>
  <c r="Q537" i="2"/>
  <c r="R537" i="2"/>
  <c r="S537" i="2"/>
  <c r="T537" i="2"/>
  <c r="U537" i="2"/>
  <c r="V537" i="2"/>
  <c r="W537" i="2"/>
  <c r="X537" i="2"/>
  <c r="Y537" i="2"/>
  <c r="Z537" i="2"/>
  <c r="AA537" i="2"/>
  <c r="AB537" i="2"/>
  <c r="AC537" i="2"/>
  <c r="AD537" i="2"/>
  <c r="AE537" i="2"/>
  <c r="AF537" i="2"/>
  <c r="AG537" i="2"/>
  <c r="AH537" i="2"/>
  <c r="AI537" i="2"/>
  <c r="AJ537" i="2"/>
  <c r="AK537" i="2"/>
  <c r="AM537" i="2"/>
  <c r="AO537" i="2"/>
  <c r="AP537" i="2"/>
  <c r="AQ537" i="2"/>
  <c r="AR537" i="2"/>
  <c r="AS537" i="2"/>
  <c r="AT537" i="2"/>
  <c r="AU537" i="2"/>
  <c r="AV537" i="2"/>
  <c r="B538" i="2"/>
  <c r="C538" i="2"/>
  <c r="D538" i="2"/>
  <c r="E538" i="2"/>
  <c r="J538" i="2"/>
  <c r="K538" i="2"/>
  <c r="L538" i="2"/>
  <c r="M538" i="2"/>
  <c r="N538" i="2"/>
  <c r="O538" i="2"/>
  <c r="P538" i="2"/>
  <c r="Q538" i="2"/>
  <c r="R538" i="2"/>
  <c r="S538" i="2"/>
  <c r="T538" i="2"/>
  <c r="U538" i="2"/>
  <c r="V538" i="2"/>
  <c r="W538" i="2"/>
  <c r="X538" i="2"/>
  <c r="Y538" i="2"/>
  <c r="Z538" i="2"/>
  <c r="AA538" i="2"/>
  <c r="AB538" i="2"/>
  <c r="AC538" i="2"/>
  <c r="AD538" i="2"/>
  <c r="AE538" i="2"/>
  <c r="AF538" i="2"/>
  <c r="AG538" i="2"/>
  <c r="AH538" i="2"/>
  <c r="AI538" i="2"/>
  <c r="AJ538" i="2"/>
  <c r="AK538" i="2"/>
  <c r="AM538" i="2"/>
  <c r="FX38" i="3" s="1"/>
  <c r="AO538" i="2"/>
  <c r="AP538" i="2"/>
  <c r="AQ538" i="2"/>
  <c r="AR538" i="2"/>
  <c r="AS538" i="2"/>
  <c r="AT538" i="2"/>
  <c r="AU538" i="2"/>
  <c r="AV538" i="2"/>
  <c r="B539" i="2"/>
  <c r="C539" i="2"/>
  <c r="D539" i="2"/>
  <c r="E539" i="2"/>
  <c r="J539" i="2"/>
  <c r="K539" i="2"/>
  <c r="L539" i="2"/>
  <c r="M539" i="2"/>
  <c r="N539" i="2"/>
  <c r="O539" i="2"/>
  <c r="P539" i="2"/>
  <c r="Q539" i="2"/>
  <c r="R539" i="2"/>
  <c r="S539" i="2"/>
  <c r="T539" i="2"/>
  <c r="U539" i="2"/>
  <c r="V539" i="2"/>
  <c r="W539" i="2"/>
  <c r="X539" i="2"/>
  <c r="Y539" i="2"/>
  <c r="Z539" i="2"/>
  <c r="AA539" i="2"/>
  <c r="AB539" i="2"/>
  <c r="AC539" i="2"/>
  <c r="AD539" i="2"/>
  <c r="AE539" i="2"/>
  <c r="AF539" i="2"/>
  <c r="AG539" i="2"/>
  <c r="AH539" i="2"/>
  <c r="AI539" i="2"/>
  <c r="AJ539" i="2"/>
  <c r="AK539" i="2"/>
  <c r="AM539" i="2"/>
  <c r="FY38" i="3" s="1"/>
  <c r="AO539" i="2"/>
  <c r="AP539" i="2"/>
  <c r="AQ539" i="2"/>
  <c r="AR539" i="2"/>
  <c r="AS539" i="2"/>
  <c r="AT539" i="2"/>
  <c r="AU539" i="2"/>
  <c r="AV539" i="2"/>
  <c r="B540" i="2"/>
  <c r="C540" i="2"/>
  <c r="D540" i="2"/>
  <c r="E540" i="2"/>
  <c r="J540" i="2"/>
  <c r="K540" i="2"/>
  <c r="L540" i="2"/>
  <c r="M540" i="2"/>
  <c r="N540" i="2"/>
  <c r="O540" i="2"/>
  <c r="P540" i="2"/>
  <c r="Q540" i="2"/>
  <c r="R540" i="2"/>
  <c r="S540" i="2"/>
  <c r="T540" i="2"/>
  <c r="U540" i="2"/>
  <c r="V540" i="2"/>
  <c r="W540" i="2"/>
  <c r="X540" i="2"/>
  <c r="Y540" i="2"/>
  <c r="Z540" i="2"/>
  <c r="AA540" i="2"/>
  <c r="AB540" i="2"/>
  <c r="AC540" i="2"/>
  <c r="AD540" i="2"/>
  <c r="AE540" i="2"/>
  <c r="AF540" i="2"/>
  <c r="AG540" i="2"/>
  <c r="AH540" i="2"/>
  <c r="AI540" i="2"/>
  <c r="AJ540" i="2"/>
  <c r="AK540" i="2"/>
  <c r="AM540" i="2"/>
  <c r="AO540" i="2"/>
  <c r="AP540" i="2"/>
  <c r="AQ540" i="2"/>
  <c r="AR540" i="2"/>
  <c r="AS540" i="2"/>
  <c r="AT540" i="2"/>
  <c r="AU540" i="2"/>
  <c r="AV540" i="2"/>
  <c r="B541" i="2"/>
  <c r="C541" i="2"/>
  <c r="D541" i="2"/>
  <c r="E541" i="2"/>
  <c r="J541" i="2"/>
  <c r="K541" i="2"/>
  <c r="L541" i="2"/>
  <c r="M541" i="2"/>
  <c r="N541" i="2"/>
  <c r="O541" i="2"/>
  <c r="P541" i="2"/>
  <c r="Q541" i="2"/>
  <c r="R541" i="2"/>
  <c r="S541" i="2"/>
  <c r="T541" i="2"/>
  <c r="U541" i="2"/>
  <c r="V541" i="2"/>
  <c r="W541" i="2"/>
  <c r="X541" i="2"/>
  <c r="Y541" i="2"/>
  <c r="Z541" i="2"/>
  <c r="AA541" i="2"/>
  <c r="AB541" i="2"/>
  <c r="AC541" i="2"/>
  <c r="AD541" i="2"/>
  <c r="AE541" i="2"/>
  <c r="AF541" i="2"/>
  <c r="AG541" i="2"/>
  <c r="AH541" i="2"/>
  <c r="AI541" i="2"/>
  <c r="AJ541" i="2"/>
  <c r="AK541" i="2"/>
  <c r="AM541" i="2"/>
  <c r="AO541" i="2"/>
  <c r="AP541" i="2"/>
  <c r="AQ541" i="2"/>
  <c r="AR541" i="2"/>
  <c r="AS541" i="2"/>
  <c r="AT541" i="2"/>
  <c r="AU541" i="2"/>
  <c r="AV541" i="2"/>
  <c r="B542" i="2"/>
  <c r="C542" i="2"/>
  <c r="D542" i="2"/>
  <c r="E542" i="2"/>
  <c r="F542" i="2"/>
  <c r="G542" i="2"/>
  <c r="H542" i="2"/>
  <c r="I542" i="2"/>
  <c r="J542" i="2"/>
  <c r="K542" i="2"/>
  <c r="L542" i="2"/>
  <c r="M542" i="2"/>
  <c r="N542" i="2"/>
  <c r="O542" i="2"/>
  <c r="P542" i="2"/>
  <c r="Q542" i="2"/>
  <c r="R542" i="2"/>
  <c r="S542" i="2"/>
  <c r="T542" i="2"/>
  <c r="U542" i="2"/>
  <c r="V542" i="2"/>
  <c r="W542" i="2"/>
  <c r="X542" i="2"/>
  <c r="Y542" i="2"/>
  <c r="Z542" i="2"/>
  <c r="AA542" i="2"/>
  <c r="AB542" i="2"/>
  <c r="AC542" i="2"/>
  <c r="AD542" i="2"/>
  <c r="AE542" i="2"/>
  <c r="AF542" i="2"/>
  <c r="AG542" i="2"/>
  <c r="AH542" i="2"/>
  <c r="AI542" i="2"/>
  <c r="AJ542" i="2"/>
  <c r="AK542" i="2"/>
  <c r="AM542" i="2"/>
  <c r="FZ38" i="3" s="1"/>
  <c r="AO542" i="2"/>
  <c r="AP542" i="2"/>
  <c r="AQ542" i="2"/>
  <c r="AR542" i="2"/>
  <c r="AS542" i="2"/>
  <c r="AT542" i="2"/>
  <c r="AU542" i="2"/>
  <c r="AV542" i="2"/>
  <c r="B543" i="2"/>
  <c r="C543" i="2"/>
  <c r="D543" i="2"/>
  <c r="E543" i="2"/>
  <c r="F543" i="2"/>
  <c r="G543" i="2"/>
  <c r="H543" i="2"/>
  <c r="I543" i="2"/>
  <c r="J543" i="2"/>
  <c r="K543" i="2"/>
  <c r="L543" i="2"/>
  <c r="M543" i="2"/>
  <c r="N543" i="2"/>
  <c r="O543" i="2"/>
  <c r="P543" i="2"/>
  <c r="Q543" i="2"/>
  <c r="R543" i="2"/>
  <c r="S543" i="2"/>
  <c r="T543" i="2"/>
  <c r="U543" i="2"/>
  <c r="V543" i="2"/>
  <c r="W543" i="2"/>
  <c r="X543" i="2"/>
  <c r="Y543" i="2"/>
  <c r="Z543" i="2"/>
  <c r="AA543" i="2"/>
  <c r="AB543" i="2"/>
  <c r="AC543" i="2"/>
  <c r="AD543" i="2"/>
  <c r="AE543" i="2"/>
  <c r="AF543" i="2"/>
  <c r="AG543" i="2"/>
  <c r="AH543" i="2"/>
  <c r="AI543" i="2"/>
  <c r="AJ543" i="2"/>
  <c r="AK543" i="2"/>
  <c r="AM543" i="2"/>
  <c r="AO543" i="2"/>
  <c r="AP543" i="2"/>
  <c r="AQ543" i="2"/>
  <c r="AR543" i="2"/>
  <c r="AS543" i="2"/>
  <c r="AT543" i="2"/>
  <c r="AU543" i="2"/>
  <c r="AV543" i="2"/>
  <c r="B544" i="2"/>
  <c r="C544" i="2"/>
  <c r="D544" i="2"/>
  <c r="E544" i="2"/>
  <c r="F544" i="2"/>
  <c r="G544" i="2"/>
  <c r="H544" i="2"/>
  <c r="I544" i="2"/>
  <c r="J544" i="2"/>
  <c r="K544" i="2"/>
  <c r="L544" i="2"/>
  <c r="M544" i="2"/>
  <c r="N544" i="2"/>
  <c r="O544" i="2"/>
  <c r="P544" i="2"/>
  <c r="Q544" i="2"/>
  <c r="R544" i="2"/>
  <c r="S544" i="2"/>
  <c r="T544" i="2"/>
  <c r="U544" i="2"/>
  <c r="V544" i="2"/>
  <c r="W544" i="2"/>
  <c r="X544" i="2"/>
  <c r="Y544" i="2"/>
  <c r="Z544" i="2"/>
  <c r="AA544" i="2"/>
  <c r="AB544" i="2"/>
  <c r="AC544" i="2"/>
  <c r="AD544" i="2"/>
  <c r="AE544" i="2"/>
  <c r="AF544" i="2"/>
  <c r="AG544" i="2"/>
  <c r="AH544" i="2"/>
  <c r="AI544" i="2"/>
  <c r="AJ544" i="2"/>
  <c r="AK544" i="2"/>
  <c r="AM544" i="2"/>
  <c r="AO544" i="2"/>
  <c r="AP544" i="2"/>
  <c r="AQ544" i="2"/>
  <c r="AR544" i="2"/>
  <c r="AS544" i="2"/>
  <c r="AT544" i="2"/>
  <c r="AU544" i="2"/>
  <c r="AV544" i="2"/>
  <c r="B545" i="2"/>
  <c r="C545" i="2"/>
  <c r="D545" i="2"/>
  <c r="E545" i="2"/>
  <c r="F545" i="2"/>
  <c r="G545" i="2"/>
  <c r="H545" i="2"/>
  <c r="I545" i="2"/>
  <c r="J545" i="2"/>
  <c r="K545" i="2"/>
  <c r="L545" i="2"/>
  <c r="M545" i="2"/>
  <c r="N545" i="2"/>
  <c r="O545" i="2"/>
  <c r="P545" i="2"/>
  <c r="Q545" i="2"/>
  <c r="R545" i="2"/>
  <c r="S545" i="2"/>
  <c r="T545" i="2"/>
  <c r="U545" i="2"/>
  <c r="V545" i="2"/>
  <c r="W545" i="2"/>
  <c r="X545" i="2"/>
  <c r="Y545" i="2"/>
  <c r="Z545" i="2"/>
  <c r="AA545" i="2"/>
  <c r="AB545" i="2"/>
  <c r="AC545" i="2"/>
  <c r="AD545" i="2"/>
  <c r="AE545" i="2"/>
  <c r="AF545" i="2"/>
  <c r="AG545" i="2"/>
  <c r="AH545" i="2"/>
  <c r="AI545" i="2"/>
  <c r="AJ545" i="2"/>
  <c r="AK545" i="2"/>
  <c r="AM545" i="2"/>
  <c r="GA38" i="3" s="1"/>
  <c r="AO545" i="2"/>
  <c r="AP545" i="2"/>
  <c r="AQ545" i="2"/>
  <c r="AR545" i="2"/>
  <c r="AS545" i="2"/>
  <c r="AT545" i="2"/>
  <c r="AU545" i="2"/>
  <c r="AV545" i="2"/>
  <c r="B546" i="2"/>
  <c r="C546" i="2"/>
  <c r="D546" i="2"/>
  <c r="E546" i="2"/>
  <c r="F546" i="2"/>
  <c r="G546" i="2"/>
  <c r="H546" i="2"/>
  <c r="I546" i="2"/>
  <c r="J546" i="2"/>
  <c r="K546" i="2"/>
  <c r="L546" i="2"/>
  <c r="M546" i="2"/>
  <c r="N546" i="2"/>
  <c r="O546" i="2"/>
  <c r="P546" i="2"/>
  <c r="Q546" i="2"/>
  <c r="R546" i="2"/>
  <c r="S546" i="2"/>
  <c r="T546" i="2"/>
  <c r="U546" i="2"/>
  <c r="V546" i="2"/>
  <c r="W546" i="2"/>
  <c r="X546" i="2"/>
  <c r="Y546" i="2"/>
  <c r="Z546" i="2"/>
  <c r="AA546" i="2"/>
  <c r="AB546" i="2"/>
  <c r="AC546" i="2"/>
  <c r="AD546" i="2"/>
  <c r="AE546" i="2"/>
  <c r="AF546" i="2"/>
  <c r="AG546" i="2"/>
  <c r="AH546" i="2"/>
  <c r="AI546" i="2"/>
  <c r="AJ546" i="2"/>
  <c r="AK546" i="2"/>
  <c r="AM546" i="2"/>
  <c r="AO546" i="2"/>
  <c r="AP546" i="2"/>
  <c r="AQ546" i="2"/>
  <c r="AR546" i="2"/>
  <c r="AS546" i="2"/>
  <c r="AT546" i="2"/>
  <c r="AU546" i="2"/>
  <c r="AV546" i="2"/>
  <c r="B547" i="2"/>
  <c r="C547" i="2"/>
  <c r="D547" i="2"/>
  <c r="E547" i="2"/>
  <c r="F547" i="2"/>
  <c r="G547" i="2"/>
  <c r="H547" i="2"/>
  <c r="I547" i="2"/>
  <c r="J547" i="2"/>
  <c r="K547" i="2"/>
  <c r="L547" i="2"/>
  <c r="M547" i="2"/>
  <c r="N547" i="2"/>
  <c r="O547" i="2"/>
  <c r="P547" i="2"/>
  <c r="Q547" i="2"/>
  <c r="R547" i="2"/>
  <c r="S547" i="2"/>
  <c r="T547" i="2"/>
  <c r="U547" i="2"/>
  <c r="V547" i="2"/>
  <c r="W547" i="2"/>
  <c r="X547" i="2"/>
  <c r="Y547" i="2"/>
  <c r="Z547" i="2"/>
  <c r="AA547" i="2"/>
  <c r="AB547" i="2"/>
  <c r="AC547" i="2"/>
  <c r="AD547" i="2"/>
  <c r="AE547" i="2"/>
  <c r="AF547" i="2"/>
  <c r="AG547" i="2"/>
  <c r="AH547" i="2"/>
  <c r="AI547" i="2"/>
  <c r="AJ547" i="2"/>
  <c r="AK547" i="2"/>
  <c r="AM547" i="2"/>
  <c r="AO547" i="2"/>
  <c r="AP547" i="2"/>
  <c r="AQ547" i="2"/>
  <c r="AR547" i="2"/>
  <c r="AS547" i="2"/>
  <c r="AT547" i="2"/>
  <c r="AU547" i="2"/>
  <c r="AV547" i="2"/>
  <c r="B548" i="2"/>
  <c r="C548" i="2"/>
  <c r="D548" i="2"/>
  <c r="E548" i="2"/>
  <c r="F548" i="2"/>
  <c r="G548" i="2"/>
  <c r="H548" i="2"/>
  <c r="I548" i="2"/>
  <c r="J548" i="2"/>
  <c r="K548" i="2"/>
  <c r="L548" i="2"/>
  <c r="M548" i="2"/>
  <c r="N548" i="2"/>
  <c r="O548" i="2"/>
  <c r="P548" i="2"/>
  <c r="Q548" i="2"/>
  <c r="R548" i="2"/>
  <c r="S548" i="2"/>
  <c r="T548" i="2"/>
  <c r="U548" i="2"/>
  <c r="V548" i="2"/>
  <c r="W548" i="2"/>
  <c r="X548" i="2"/>
  <c r="Y548" i="2"/>
  <c r="Z548" i="2"/>
  <c r="AA548" i="2"/>
  <c r="AB548" i="2"/>
  <c r="AC548" i="2"/>
  <c r="AD548" i="2"/>
  <c r="AE548" i="2"/>
  <c r="AF548" i="2"/>
  <c r="AG548" i="2"/>
  <c r="AH548" i="2"/>
  <c r="AI548" i="2"/>
  <c r="AJ548" i="2"/>
  <c r="AK548" i="2"/>
  <c r="AM548" i="2"/>
  <c r="AO548" i="2"/>
  <c r="AP548" i="2"/>
  <c r="AQ548" i="2"/>
  <c r="AR548" i="2"/>
  <c r="AS548" i="2"/>
  <c r="AT548" i="2"/>
  <c r="AU548" i="2"/>
  <c r="AV548" i="2"/>
  <c r="B549" i="2"/>
  <c r="C549" i="2"/>
  <c r="D549" i="2"/>
  <c r="E549" i="2"/>
  <c r="F549" i="2"/>
  <c r="G549" i="2"/>
  <c r="H549" i="2"/>
  <c r="I549" i="2"/>
  <c r="J549" i="2"/>
  <c r="K549" i="2"/>
  <c r="L549" i="2"/>
  <c r="M549" i="2"/>
  <c r="N549" i="2"/>
  <c r="O549" i="2"/>
  <c r="P549" i="2"/>
  <c r="Q549" i="2"/>
  <c r="R549" i="2"/>
  <c r="S549" i="2"/>
  <c r="T549" i="2"/>
  <c r="U549" i="2"/>
  <c r="V549" i="2"/>
  <c r="W549" i="2"/>
  <c r="X549" i="2"/>
  <c r="Y549" i="2"/>
  <c r="Z549" i="2"/>
  <c r="AA549" i="2"/>
  <c r="AB549" i="2"/>
  <c r="AC549" i="2"/>
  <c r="AD549" i="2"/>
  <c r="AE549" i="2"/>
  <c r="AF549" i="2"/>
  <c r="AG549" i="2"/>
  <c r="AH549" i="2"/>
  <c r="AI549" i="2"/>
  <c r="AJ549" i="2"/>
  <c r="AK549" i="2"/>
  <c r="AM549" i="2"/>
  <c r="AO549" i="2"/>
  <c r="AP549" i="2"/>
  <c r="AQ549" i="2"/>
  <c r="AR549" i="2"/>
  <c r="AS549" i="2"/>
  <c r="AT549" i="2"/>
  <c r="AU549" i="2"/>
  <c r="AV549" i="2"/>
  <c r="B550" i="2"/>
  <c r="C550" i="2"/>
  <c r="D550" i="2"/>
  <c r="E550" i="2"/>
  <c r="F550" i="2"/>
  <c r="G550" i="2"/>
  <c r="H550" i="2"/>
  <c r="I550" i="2"/>
  <c r="J550" i="2"/>
  <c r="K550" i="2"/>
  <c r="L550" i="2"/>
  <c r="M550" i="2"/>
  <c r="N550" i="2"/>
  <c r="O550" i="2"/>
  <c r="P550" i="2"/>
  <c r="Q550" i="2"/>
  <c r="R550" i="2"/>
  <c r="S550" i="2"/>
  <c r="T550" i="2"/>
  <c r="U550" i="2"/>
  <c r="V550" i="2"/>
  <c r="W550" i="2"/>
  <c r="X550" i="2"/>
  <c r="Y550" i="2"/>
  <c r="Z550" i="2"/>
  <c r="AA550" i="2"/>
  <c r="AB550" i="2"/>
  <c r="AC550" i="2"/>
  <c r="AD550" i="2"/>
  <c r="AE550" i="2"/>
  <c r="AF550" i="2"/>
  <c r="AG550" i="2"/>
  <c r="AH550" i="2"/>
  <c r="AI550" i="2"/>
  <c r="AJ550" i="2"/>
  <c r="AK550" i="2"/>
  <c r="AM550" i="2"/>
  <c r="GB38" i="3" s="1"/>
  <c r="AO550" i="2"/>
  <c r="AP550" i="2"/>
  <c r="AQ550" i="2"/>
  <c r="AR550" i="2"/>
  <c r="AS550" i="2"/>
  <c r="AT550" i="2"/>
  <c r="AU550" i="2"/>
  <c r="AV550" i="2"/>
  <c r="B551" i="2"/>
  <c r="C551" i="2"/>
  <c r="D551" i="2"/>
  <c r="E551" i="2"/>
  <c r="F551" i="2"/>
  <c r="G551" i="2"/>
  <c r="H551" i="2"/>
  <c r="I551" i="2"/>
  <c r="J551" i="2"/>
  <c r="K551" i="2"/>
  <c r="L551" i="2"/>
  <c r="M551" i="2"/>
  <c r="N551" i="2"/>
  <c r="O551" i="2"/>
  <c r="P551" i="2"/>
  <c r="Q551" i="2"/>
  <c r="R551" i="2"/>
  <c r="S551" i="2"/>
  <c r="T551" i="2"/>
  <c r="U551" i="2"/>
  <c r="V551" i="2"/>
  <c r="W551" i="2"/>
  <c r="X551" i="2"/>
  <c r="Y551" i="2"/>
  <c r="Z551" i="2"/>
  <c r="AA551" i="2"/>
  <c r="AB551" i="2"/>
  <c r="AC551" i="2"/>
  <c r="AD551" i="2"/>
  <c r="AE551" i="2"/>
  <c r="AF551" i="2"/>
  <c r="AG551" i="2"/>
  <c r="AH551" i="2"/>
  <c r="AI551" i="2"/>
  <c r="AJ551" i="2"/>
  <c r="AK551" i="2"/>
  <c r="AM551" i="2"/>
  <c r="GC38" i="3" s="1"/>
  <c r="AO551" i="2"/>
  <c r="AP551" i="2"/>
  <c r="AQ551" i="2"/>
  <c r="AR551" i="2"/>
  <c r="AS551" i="2"/>
  <c r="AT551" i="2"/>
  <c r="AU551" i="2"/>
  <c r="AV551" i="2"/>
  <c r="B552" i="2"/>
  <c r="C552" i="2"/>
  <c r="D552" i="2"/>
  <c r="E552" i="2"/>
  <c r="F552" i="2"/>
  <c r="G552" i="2"/>
  <c r="H552" i="2"/>
  <c r="I552" i="2"/>
  <c r="J552" i="2"/>
  <c r="K552" i="2"/>
  <c r="L552" i="2"/>
  <c r="M552" i="2"/>
  <c r="N552" i="2"/>
  <c r="O552" i="2"/>
  <c r="P552" i="2"/>
  <c r="Q552" i="2"/>
  <c r="R552" i="2"/>
  <c r="S552" i="2"/>
  <c r="T552" i="2"/>
  <c r="U552" i="2"/>
  <c r="V552" i="2"/>
  <c r="W552" i="2"/>
  <c r="X552" i="2"/>
  <c r="Y552" i="2"/>
  <c r="Z552" i="2"/>
  <c r="AA552" i="2"/>
  <c r="AB552" i="2"/>
  <c r="AC552" i="2"/>
  <c r="AD552" i="2"/>
  <c r="AE552" i="2"/>
  <c r="AF552" i="2"/>
  <c r="AG552" i="2"/>
  <c r="AH552" i="2"/>
  <c r="AI552" i="2"/>
  <c r="AJ552" i="2"/>
  <c r="AK552" i="2"/>
  <c r="AM552" i="2"/>
  <c r="AO552" i="2"/>
  <c r="AP552" i="2"/>
  <c r="AQ552" i="2"/>
  <c r="AR552" i="2"/>
  <c r="AS552" i="2"/>
  <c r="AT552" i="2"/>
  <c r="AU552" i="2"/>
  <c r="AV552" i="2"/>
  <c r="B553" i="2"/>
  <c r="C553" i="2"/>
  <c r="D553" i="2"/>
  <c r="E553" i="2"/>
  <c r="F553" i="2"/>
  <c r="G553" i="2"/>
  <c r="H553" i="2"/>
  <c r="I553" i="2"/>
  <c r="J553" i="2"/>
  <c r="K553" i="2"/>
  <c r="L553" i="2"/>
  <c r="M553" i="2"/>
  <c r="N553" i="2"/>
  <c r="O553" i="2"/>
  <c r="P553" i="2"/>
  <c r="Q553" i="2"/>
  <c r="R553" i="2"/>
  <c r="S553" i="2"/>
  <c r="T553" i="2"/>
  <c r="U553" i="2"/>
  <c r="V553" i="2"/>
  <c r="W553" i="2"/>
  <c r="X553" i="2"/>
  <c r="Y553" i="2"/>
  <c r="Z553" i="2"/>
  <c r="AA553" i="2"/>
  <c r="AB553" i="2"/>
  <c r="AC553" i="2"/>
  <c r="AD553" i="2"/>
  <c r="AE553" i="2"/>
  <c r="AF553" i="2"/>
  <c r="AG553" i="2"/>
  <c r="AH553" i="2"/>
  <c r="AI553" i="2"/>
  <c r="AJ553" i="2"/>
  <c r="AK553" i="2"/>
  <c r="AM553" i="2"/>
  <c r="AO553" i="2"/>
  <c r="AP553" i="2"/>
  <c r="AQ553" i="2"/>
  <c r="AR553" i="2"/>
  <c r="AS553" i="2"/>
  <c r="AT553" i="2"/>
  <c r="AU553" i="2"/>
  <c r="AV553" i="2"/>
  <c r="B554" i="2"/>
  <c r="C554" i="2"/>
  <c r="D554" i="2"/>
  <c r="E554" i="2"/>
  <c r="F554" i="2"/>
  <c r="G554" i="2"/>
  <c r="H554" i="2"/>
  <c r="I554" i="2"/>
  <c r="J554" i="2"/>
  <c r="K554" i="2"/>
  <c r="L554" i="2"/>
  <c r="M554" i="2"/>
  <c r="N554" i="2"/>
  <c r="O554" i="2"/>
  <c r="P554" i="2"/>
  <c r="Q554" i="2"/>
  <c r="R554" i="2"/>
  <c r="S554" i="2"/>
  <c r="T554" i="2"/>
  <c r="U554" i="2"/>
  <c r="V554" i="2"/>
  <c r="W554" i="2"/>
  <c r="X554" i="2"/>
  <c r="Y554" i="2"/>
  <c r="Z554" i="2"/>
  <c r="AA554" i="2"/>
  <c r="AB554" i="2"/>
  <c r="AC554" i="2"/>
  <c r="AD554" i="2"/>
  <c r="AE554" i="2"/>
  <c r="AF554" i="2"/>
  <c r="AG554" i="2"/>
  <c r="AH554" i="2"/>
  <c r="AI554" i="2"/>
  <c r="AJ554" i="2"/>
  <c r="AK554" i="2"/>
  <c r="AM554" i="2"/>
  <c r="GD38" i="3" s="1"/>
  <c r="AO554" i="2"/>
  <c r="AP554" i="2"/>
  <c r="AQ554" i="2"/>
  <c r="AR554" i="2"/>
  <c r="AS554" i="2"/>
  <c r="AT554" i="2"/>
  <c r="AU554" i="2"/>
  <c r="AV554" i="2"/>
  <c r="B555" i="2"/>
  <c r="C555" i="2"/>
  <c r="D555" i="2"/>
  <c r="E555" i="2"/>
  <c r="F555" i="2"/>
  <c r="G555" i="2"/>
  <c r="H555" i="2"/>
  <c r="I555" i="2"/>
  <c r="J555" i="2"/>
  <c r="K555" i="2"/>
  <c r="L555" i="2"/>
  <c r="M555" i="2"/>
  <c r="N555" i="2"/>
  <c r="O555" i="2"/>
  <c r="P555" i="2"/>
  <c r="Q555" i="2"/>
  <c r="R555" i="2"/>
  <c r="S555" i="2"/>
  <c r="T555" i="2"/>
  <c r="U555" i="2"/>
  <c r="V555" i="2"/>
  <c r="W555" i="2"/>
  <c r="X555" i="2"/>
  <c r="Y555" i="2"/>
  <c r="Z555" i="2"/>
  <c r="AA555" i="2"/>
  <c r="AB555" i="2"/>
  <c r="AC555" i="2"/>
  <c r="AD555" i="2"/>
  <c r="AE555" i="2"/>
  <c r="AF555" i="2"/>
  <c r="AG555" i="2"/>
  <c r="AH555" i="2"/>
  <c r="AI555" i="2"/>
  <c r="AJ555" i="2"/>
  <c r="AK555" i="2"/>
  <c r="AM555" i="2"/>
  <c r="AO555" i="2"/>
  <c r="AP555" i="2"/>
  <c r="AQ555" i="2"/>
  <c r="AR555" i="2"/>
  <c r="AS555" i="2"/>
  <c r="AT555" i="2"/>
  <c r="AU555" i="2"/>
  <c r="AV555" i="2"/>
  <c r="B556" i="2"/>
  <c r="C556" i="2"/>
  <c r="D556" i="2"/>
  <c r="E556" i="2"/>
  <c r="F556" i="2"/>
  <c r="G556" i="2"/>
  <c r="H556" i="2"/>
  <c r="I556" i="2"/>
  <c r="J556" i="2"/>
  <c r="K556" i="2"/>
  <c r="L556" i="2"/>
  <c r="M556" i="2"/>
  <c r="N556" i="2"/>
  <c r="O556" i="2"/>
  <c r="P556" i="2"/>
  <c r="Q556" i="2"/>
  <c r="R556" i="2"/>
  <c r="S556" i="2"/>
  <c r="T556" i="2"/>
  <c r="U556" i="2"/>
  <c r="V556" i="2"/>
  <c r="W556" i="2"/>
  <c r="X556" i="2"/>
  <c r="Y556" i="2"/>
  <c r="Z556" i="2"/>
  <c r="AA556" i="2"/>
  <c r="AB556" i="2"/>
  <c r="AC556" i="2"/>
  <c r="AD556" i="2"/>
  <c r="AE556" i="2"/>
  <c r="AF556" i="2"/>
  <c r="AG556" i="2"/>
  <c r="AH556" i="2"/>
  <c r="AI556" i="2"/>
  <c r="AJ556" i="2"/>
  <c r="AK556" i="2"/>
  <c r="AM556" i="2"/>
  <c r="AO556" i="2"/>
  <c r="AP556" i="2"/>
  <c r="AQ556" i="2"/>
  <c r="AR556" i="2"/>
  <c r="AS556" i="2"/>
  <c r="AT556" i="2"/>
  <c r="AU556" i="2"/>
  <c r="AV556" i="2"/>
  <c r="B557" i="2"/>
  <c r="C557" i="2"/>
  <c r="D557" i="2"/>
  <c r="E557" i="2"/>
  <c r="F557" i="2"/>
  <c r="G557" i="2"/>
  <c r="H557" i="2"/>
  <c r="I557" i="2"/>
  <c r="J557" i="2"/>
  <c r="K557" i="2"/>
  <c r="L557" i="2"/>
  <c r="M557" i="2"/>
  <c r="N557" i="2"/>
  <c r="O557" i="2"/>
  <c r="P557" i="2"/>
  <c r="Q557" i="2"/>
  <c r="R557" i="2"/>
  <c r="S557" i="2"/>
  <c r="T557" i="2"/>
  <c r="U557" i="2"/>
  <c r="V557" i="2"/>
  <c r="W557" i="2"/>
  <c r="X557" i="2"/>
  <c r="Y557" i="2"/>
  <c r="Z557" i="2"/>
  <c r="AA557" i="2"/>
  <c r="AB557" i="2"/>
  <c r="AC557" i="2"/>
  <c r="AD557" i="2"/>
  <c r="AE557" i="2"/>
  <c r="AF557" i="2"/>
  <c r="AG557" i="2"/>
  <c r="AH557" i="2"/>
  <c r="AI557" i="2"/>
  <c r="AJ557" i="2"/>
  <c r="AK557" i="2"/>
  <c r="AM557" i="2"/>
  <c r="GE38" i="3" s="1"/>
  <c r="AO557" i="2"/>
  <c r="AP557" i="2"/>
  <c r="AQ557" i="2"/>
  <c r="AR557" i="2"/>
  <c r="AS557" i="2"/>
  <c r="AT557" i="2"/>
  <c r="AU557" i="2"/>
  <c r="AV557" i="2"/>
  <c r="B558" i="2"/>
  <c r="C558" i="2"/>
  <c r="D558" i="2"/>
  <c r="E558" i="2"/>
  <c r="F558" i="2"/>
  <c r="G558" i="2"/>
  <c r="H558" i="2"/>
  <c r="I558" i="2"/>
  <c r="J558" i="2"/>
  <c r="K558" i="2"/>
  <c r="L558" i="2"/>
  <c r="M558" i="2"/>
  <c r="N558" i="2"/>
  <c r="O558" i="2"/>
  <c r="P558" i="2"/>
  <c r="Q558" i="2"/>
  <c r="R558" i="2"/>
  <c r="S558" i="2"/>
  <c r="T558" i="2"/>
  <c r="U558" i="2"/>
  <c r="V558" i="2"/>
  <c r="W558" i="2"/>
  <c r="X558" i="2"/>
  <c r="Y558" i="2"/>
  <c r="Z558" i="2"/>
  <c r="AA558" i="2"/>
  <c r="AB558" i="2"/>
  <c r="AC558" i="2"/>
  <c r="AD558" i="2"/>
  <c r="AE558" i="2"/>
  <c r="AF558" i="2"/>
  <c r="AG558" i="2"/>
  <c r="AH558" i="2"/>
  <c r="AI558" i="2"/>
  <c r="AJ558" i="2"/>
  <c r="AK558" i="2"/>
  <c r="AM558" i="2"/>
  <c r="AO558" i="2"/>
  <c r="AP558" i="2"/>
  <c r="AQ558" i="2"/>
  <c r="AR558" i="2"/>
  <c r="AS558" i="2"/>
  <c r="AT558" i="2"/>
  <c r="AU558" i="2"/>
  <c r="AV558" i="2"/>
  <c r="B559" i="2"/>
  <c r="C559" i="2"/>
  <c r="D559" i="2"/>
  <c r="E559" i="2"/>
  <c r="F559" i="2"/>
  <c r="G559" i="2"/>
  <c r="H559" i="2"/>
  <c r="I559" i="2"/>
  <c r="J559" i="2"/>
  <c r="K559" i="2"/>
  <c r="L559" i="2"/>
  <c r="M559" i="2"/>
  <c r="N559" i="2"/>
  <c r="O559" i="2"/>
  <c r="P559" i="2"/>
  <c r="Q559" i="2"/>
  <c r="R559" i="2"/>
  <c r="S559" i="2"/>
  <c r="T559" i="2"/>
  <c r="U559" i="2"/>
  <c r="V559" i="2"/>
  <c r="W559" i="2"/>
  <c r="X559" i="2"/>
  <c r="Y559" i="2"/>
  <c r="Z559" i="2"/>
  <c r="AA559" i="2"/>
  <c r="AB559" i="2"/>
  <c r="AC559" i="2"/>
  <c r="AD559" i="2"/>
  <c r="AE559" i="2"/>
  <c r="AF559" i="2"/>
  <c r="AG559" i="2"/>
  <c r="AH559" i="2"/>
  <c r="AI559" i="2"/>
  <c r="AJ559" i="2"/>
  <c r="AK559" i="2"/>
  <c r="AM559" i="2"/>
  <c r="AO559" i="2"/>
  <c r="AP559" i="2"/>
  <c r="AQ559" i="2"/>
  <c r="AR559" i="2"/>
  <c r="AS559" i="2"/>
  <c r="AT559" i="2"/>
  <c r="AU559" i="2"/>
  <c r="AV559" i="2"/>
  <c r="B560" i="2"/>
  <c r="C560" i="2"/>
  <c r="D560" i="2"/>
  <c r="E560" i="2"/>
  <c r="F560" i="2"/>
  <c r="G560" i="2"/>
  <c r="H560" i="2"/>
  <c r="I560" i="2"/>
  <c r="J560" i="2"/>
  <c r="K560" i="2"/>
  <c r="L560" i="2"/>
  <c r="M560" i="2"/>
  <c r="N560" i="2"/>
  <c r="O560" i="2"/>
  <c r="P560" i="2"/>
  <c r="Q560" i="2"/>
  <c r="R560" i="2"/>
  <c r="S560" i="2"/>
  <c r="T560" i="2"/>
  <c r="U560" i="2"/>
  <c r="V560" i="2"/>
  <c r="W560" i="2"/>
  <c r="X560" i="2"/>
  <c r="Y560" i="2"/>
  <c r="Z560" i="2"/>
  <c r="AA560" i="2"/>
  <c r="AB560" i="2"/>
  <c r="AC560" i="2"/>
  <c r="AD560" i="2"/>
  <c r="AE560" i="2"/>
  <c r="AF560" i="2"/>
  <c r="AG560" i="2"/>
  <c r="AH560" i="2"/>
  <c r="AI560" i="2"/>
  <c r="AJ560" i="2"/>
  <c r="AK560" i="2"/>
  <c r="AM560" i="2"/>
  <c r="AO560" i="2"/>
  <c r="AP560" i="2"/>
  <c r="AQ560" i="2"/>
  <c r="AR560" i="2"/>
  <c r="AS560" i="2"/>
  <c r="AT560" i="2"/>
  <c r="AU560" i="2"/>
  <c r="AV560" i="2"/>
  <c r="B561" i="2"/>
  <c r="C561" i="2"/>
  <c r="D561" i="2"/>
  <c r="E561" i="2"/>
  <c r="F561" i="2"/>
  <c r="G561" i="2"/>
  <c r="H561" i="2"/>
  <c r="I561" i="2"/>
  <c r="J561" i="2"/>
  <c r="K561" i="2"/>
  <c r="L561" i="2"/>
  <c r="M561" i="2"/>
  <c r="N561" i="2"/>
  <c r="O561" i="2"/>
  <c r="P561" i="2"/>
  <c r="Q561" i="2"/>
  <c r="R561" i="2"/>
  <c r="S561" i="2"/>
  <c r="T561" i="2"/>
  <c r="U561" i="2"/>
  <c r="V561" i="2"/>
  <c r="W561" i="2"/>
  <c r="X561" i="2"/>
  <c r="Y561" i="2"/>
  <c r="Z561" i="2"/>
  <c r="AA561" i="2"/>
  <c r="AB561" i="2"/>
  <c r="AC561" i="2"/>
  <c r="AD561" i="2"/>
  <c r="AE561" i="2"/>
  <c r="AF561" i="2"/>
  <c r="AG561" i="2"/>
  <c r="AH561" i="2"/>
  <c r="AI561" i="2"/>
  <c r="AJ561" i="2"/>
  <c r="AK561" i="2"/>
  <c r="AM561" i="2"/>
  <c r="AO561" i="2"/>
  <c r="AP561" i="2"/>
  <c r="AQ561" i="2"/>
  <c r="AR561" i="2"/>
  <c r="AS561" i="2"/>
  <c r="AT561" i="2"/>
  <c r="AU561" i="2"/>
  <c r="AV561" i="2"/>
  <c r="B562" i="2"/>
  <c r="C562" i="2"/>
  <c r="D562" i="2"/>
  <c r="E562" i="2"/>
  <c r="F562" i="2"/>
  <c r="G562" i="2"/>
  <c r="H562" i="2"/>
  <c r="I562" i="2"/>
  <c r="J562" i="2"/>
  <c r="K562" i="2"/>
  <c r="L562" i="2"/>
  <c r="M562" i="2"/>
  <c r="N562" i="2"/>
  <c r="O562" i="2"/>
  <c r="P562" i="2"/>
  <c r="Q562" i="2"/>
  <c r="R562" i="2"/>
  <c r="S562" i="2"/>
  <c r="T562" i="2"/>
  <c r="U562" i="2"/>
  <c r="V562" i="2"/>
  <c r="W562" i="2"/>
  <c r="X562" i="2"/>
  <c r="Y562" i="2"/>
  <c r="Z562" i="2"/>
  <c r="AA562" i="2"/>
  <c r="AB562" i="2"/>
  <c r="AC562" i="2"/>
  <c r="AD562" i="2"/>
  <c r="AE562" i="2"/>
  <c r="AF562" i="2"/>
  <c r="AG562" i="2"/>
  <c r="AH562" i="2"/>
  <c r="AI562" i="2"/>
  <c r="AJ562" i="2"/>
  <c r="AK562" i="2"/>
  <c r="AM562" i="2"/>
  <c r="GF38" i="3" s="1"/>
  <c r="AO562" i="2"/>
  <c r="AP562" i="2"/>
  <c r="AQ562" i="2"/>
  <c r="AR562" i="2"/>
  <c r="AS562" i="2"/>
  <c r="AT562" i="2"/>
  <c r="AU562" i="2"/>
  <c r="AV562" i="2"/>
  <c r="B563" i="2"/>
  <c r="C563" i="2"/>
  <c r="D563" i="2"/>
  <c r="E563" i="2"/>
  <c r="F563" i="2"/>
  <c r="G563" i="2"/>
  <c r="H563" i="2"/>
  <c r="I563" i="2"/>
  <c r="J563" i="2"/>
  <c r="K563" i="2"/>
  <c r="L563" i="2"/>
  <c r="M563" i="2"/>
  <c r="N563" i="2"/>
  <c r="O563" i="2"/>
  <c r="P563" i="2"/>
  <c r="Q563" i="2"/>
  <c r="R563" i="2"/>
  <c r="S563" i="2"/>
  <c r="T563" i="2"/>
  <c r="U563" i="2"/>
  <c r="V563" i="2"/>
  <c r="W563" i="2"/>
  <c r="X563" i="2"/>
  <c r="Y563" i="2"/>
  <c r="Z563" i="2"/>
  <c r="AA563" i="2"/>
  <c r="AB563" i="2"/>
  <c r="AC563" i="2"/>
  <c r="AD563" i="2"/>
  <c r="AE563" i="2"/>
  <c r="AF563" i="2"/>
  <c r="AG563" i="2"/>
  <c r="AH563" i="2"/>
  <c r="AI563" i="2"/>
  <c r="AJ563" i="2"/>
  <c r="AK563" i="2"/>
  <c r="AM563" i="2"/>
  <c r="GG38" i="3" s="1"/>
  <c r="AO563" i="2"/>
  <c r="AP563" i="2"/>
  <c r="AQ563" i="2"/>
  <c r="AR563" i="2"/>
  <c r="AS563" i="2"/>
  <c r="AT563" i="2"/>
  <c r="AU563" i="2"/>
  <c r="AV563" i="2"/>
  <c r="B564" i="2"/>
  <c r="C564" i="2"/>
  <c r="D564" i="2"/>
  <c r="E564" i="2"/>
  <c r="F564" i="2"/>
  <c r="G564" i="2"/>
  <c r="H564" i="2"/>
  <c r="I564" i="2"/>
  <c r="J564" i="2"/>
  <c r="K564" i="2"/>
  <c r="L564" i="2"/>
  <c r="M564" i="2"/>
  <c r="N564" i="2"/>
  <c r="O564" i="2"/>
  <c r="P564" i="2"/>
  <c r="Q564" i="2"/>
  <c r="R564" i="2"/>
  <c r="S564" i="2"/>
  <c r="T564" i="2"/>
  <c r="U564" i="2"/>
  <c r="V564" i="2"/>
  <c r="W564" i="2"/>
  <c r="X564" i="2"/>
  <c r="Y564" i="2"/>
  <c r="Z564" i="2"/>
  <c r="AA564" i="2"/>
  <c r="AB564" i="2"/>
  <c r="AC564" i="2"/>
  <c r="AD564" i="2"/>
  <c r="AE564" i="2"/>
  <c r="AF564" i="2"/>
  <c r="AG564" i="2"/>
  <c r="AH564" i="2"/>
  <c r="AI564" i="2"/>
  <c r="AJ564" i="2"/>
  <c r="AK564" i="2"/>
  <c r="AM564" i="2"/>
  <c r="AO564" i="2"/>
  <c r="AP564" i="2"/>
  <c r="AQ564" i="2"/>
  <c r="AR564" i="2"/>
  <c r="AS564" i="2"/>
  <c r="AT564" i="2"/>
  <c r="AU564" i="2"/>
  <c r="AV564" i="2"/>
  <c r="B565" i="2"/>
  <c r="C565" i="2"/>
  <c r="D565" i="2"/>
  <c r="E565" i="2"/>
  <c r="F565" i="2"/>
  <c r="G565" i="2"/>
  <c r="H565" i="2"/>
  <c r="I565" i="2"/>
  <c r="J565" i="2"/>
  <c r="K565" i="2"/>
  <c r="L565" i="2"/>
  <c r="M565" i="2"/>
  <c r="N565" i="2"/>
  <c r="O565" i="2"/>
  <c r="P565" i="2"/>
  <c r="Q565" i="2"/>
  <c r="R565" i="2"/>
  <c r="S565" i="2"/>
  <c r="T565" i="2"/>
  <c r="U565" i="2"/>
  <c r="V565" i="2"/>
  <c r="W565" i="2"/>
  <c r="X565" i="2"/>
  <c r="Y565" i="2"/>
  <c r="Z565" i="2"/>
  <c r="AA565" i="2"/>
  <c r="AB565" i="2"/>
  <c r="AC565" i="2"/>
  <c r="AD565" i="2"/>
  <c r="AE565" i="2"/>
  <c r="AF565" i="2"/>
  <c r="AG565" i="2"/>
  <c r="AH565" i="2"/>
  <c r="AI565" i="2"/>
  <c r="AJ565" i="2"/>
  <c r="AK565" i="2"/>
  <c r="AM565" i="2"/>
  <c r="AO565" i="2"/>
  <c r="AP565" i="2"/>
  <c r="AQ565" i="2"/>
  <c r="AR565" i="2"/>
  <c r="AS565" i="2"/>
  <c r="AT565" i="2"/>
  <c r="AU565" i="2"/>
  <c r="AV565" i="2"/>
  <c r="B566" i="2"/>
  <c r="C566" i="2"/>
  <c r="D566" i="2"/>
  <c r="E566" i="2"/>
  <c r="F566" i="2"/>
  <c r="G566" i="2"/>
  <c r="H566" i="2"/>
  <c r="I566" i="2"/>
  <c r="J566" i="2"/>
  <c r="K566" i="2"/>
  <c r="L566" i="2"/>
  <c r="M566" i="2"/>
  <c r="N566" i="2"/>
  <c r="O566" i="2"/>
  <c r="P566" i="2"/>
  <c r="Q566" i="2"/>
  <c r="R566" i="2"/>
  <c r="S566" i="2"/>
  <c r="T566" i="2"/>
  <c r="U566" i="2"/>
  <c r="V566" i="2"/>
  <c r="W566" i="2"/>
  <c r="X566" i="2"/>
  <c r="Y566" i="2"/>
  <c r="Z566" i="2"/>
  <c r="AA566" i="2"/>
  <c r="AB566" i="2"/>
  <c r="AC566" i="2"/>
  <c r="AD566" i="2"/>
  <c r="AE566" i="2"/>
  <c r="AF566" i="2"/>
  <c r="AG566" i="2"/>
  <c r="AH566" i="2"/>
  <c r="AI566" i="2"/>
  <c r="AJ566" i="2"/>
  <c r="AK566" i="2"/>
  <c r="AM566" i="2"/>
  <c r="GH38" i="3" s="1"/>
  <c r="AO566" i="2"/>
  <c r="AP566" i="2"/>
  <c r="AQ566" i="2"/>
  <c r="AR566" i="2"/>
  <c r="AS566" i="2"/>
  <c r="AT566" i="2"/>
  <c r="AU566" i="2"/>
  <c r="AV566" i="2"/>
  <c r="B567" i="2"/>
  <c r="C567" i="2"/>
  <c r="D567" i="2"/>
  <c r="E567" i="2"/>
  <c r="F567" i="2"/>
  <c r="G567" i="2"/>
  <c r="H567" i="2"/>
  <c r="I567" i="2"/>
  <c r="J567" i="2"/>
  <c r="K567" i="2"/>
  <c r="L567" i="2"/>
  <c r="M567" i="2"/>
  <c r="N567" i="2"/>
  <c r="O567" i="2"/>
  <c r="P567" i="2"/>
  <c r="Q567" i="2"/>
  <c r="R567" i="2"/>
  <c r="S567" i="2"/>
  <c r="T567" i="2"/>
  <c r="U567" i="2"/>
  <c r="V567" i="2"/>
  <c r="W567" i="2"/>
  <c r="X567" i="2"/>
  <c r="Y567" i="2"/>
  <c r="Z567" i="2"/>
  <c r="AA567" i="2"/>
  <c r="AB567" i="2"/>
  <c r="AC567" i="2"/>
  <c r="AD567" i="2"/>
  <c r="AE567" i="2"/>
  <c r="AF567" i="2"/>
  <c r="AG567" i="2"/>
  <c r="AH567" i="2"/>
  <c r="AI567" i="2"/>
  <c r="AJ567" i="2"/>
  <c r="AK567" i="2"/>
  <c r="AM567" i="2"/>
  <c r="AO567" i="2"/>
  <c r="AP567" i="2"/>
  <c r="AQ567" i="2"/>
  <c r="AR567" i="2"/>
  <c r="AS567" i="2"/>
  <c r="AT567" i="2"/>
  <c r="AU567" i="2"/>
  <c r="AV567" i="2"/>
  <c r="B568" i="2"/>
  <c r="C568" i="2"/>
  <c r="D568" i="2"/>
  <c r="E568" i="2"/>
  <c r="F568" i="2"/>
  <c r="G568" i="2"/>
  <c r="H568" i="2"/>
  <c r="I568" i="2"/>
  <c r="J568" i="2"/>
  <c r="K568" i="2"/>
  <c r="L568" i="2"/>
  <c r="M568" i="2"/>
  <c r="N568" i="2"/>
  <c r="O568" i="2"/>
  <c r="P568" i="2"/>
  <c r="Q568" i="2"/>
  <c r="R568" i="2"/>
  <c r="S568" i="2"/>
  <c r="T568" i="2"/>
  <c r="U568" i="2"/>
  <c r="V568" i="2"/>
  <c r="W568" i="2"/>
  <c r="X568" i="2"/>
  <c r="Y568" i="2"/>
  <c r="Z568" i="2"/>
  <c r="AA568" i="2"/>
  <c r="AB568" i="2"/>
  <c r="AC568" i="2"/>
  <c r="AD568" i="2"/>
  <c r="AE568" i="2"/>
  <c r="AF568" i="2"/>
  <c r="AG568" i="2"/>
  <c r="AH568" i="2"/>
  <c r="AI568" i="2"/>
  <c r="AJ568" i="2"/>
  <c r="AK568" i="2"/>
  <c r="AM568" i="2"/>
  <c r="AO568" i="2"/>
  <c r="AP568" i="2"/>
  <c r="AQ568" i="2"/>
  <c r="AR568" i="2"/>
  <c r="AS568" i="2"/>
  <c r="AT568" i="2"/>
  <c r="AU568" i="2"/>
  <c r="AV568" i="2"/>
  <c r="B569" i="2"/>
  <c r="C569" i="2"/>
  <c r="D569" i="2"/>
  <c r="E569" i="2"/>
  <c r="F569" i="2"/>
  <c r="G569" i="2"/>
  <c r="H569" i="2"/>
  <c r="I569" i="2"/>
  <c r="J569" i="2"/>
  <c r="K569" i="2"/>
  <c r="L569" i="2"/>
  <c r="M569" i="2"/>
  <c r="N569" i="2"/>
  <c r="O569" i="2"/>
  <c r="P569" i="2"/>
  <c r="Q569" i="2"/>
  <c r="R569" i="2"/>
  <c r="S569" i="2"/>
  <c r="T569" i="2"/>
  <c r="U569" i="2"/>
  <c r="V569" i="2"/>
  <c r="W569" i="2"/>
  <c r="X569" i="2"/>
  <c r="Y569" i="2"/>
  <c r="Z569" i="2"/>
  <c r="AA569" i="2"/>
  <c r="AB569" i="2"/>
  <c r="AC569" i="2"/>
  <c r="AD569" i="2"/>
  <c r="AE569" i="2"/>
  <c r="AF569" i="2"/>
  <c r="AG569" i="2"/>
  <c r="AH569" i="2"/>
  <c r="AI569" i="2"/>
  <c r="AJ569" i="2"/>
  <c r="AK569" i="2"/>
  <c r="AM569" i="2"/>
  <c r="GI38" i="3" s="1"/>
  <c r="AO569" i="2"/>
  <c r="AP569" i="2"/>
  <c r="AQ569" i="2"/>
  <c r="AR569" i="2"/>
  <c r="AS569" i="2"/>
  <c r="AT569" i="2"/>
  <c r="AU569" i="2"/>
  <c r="AV569" i="2"/>
  <c r="B570" i="2"/>
  <c r="C570" i="2"/>
  <c r="D570" i="2"/>
  <c r="E570" i="2"/>
  <c r="F570" i="2"/>
  <c r="G570" i="2"/>
  <c r="H570" i="2"/>
  <c r="I570" i="2"/>
  <c r="J570" i="2"/>
  <c r="K570" i="2"/>
  <c r="L570" i="2"/>
  <c r="M570" i="2"/>
  <c r="N570" i="2"/>
  <c r="O570" i="2"/>
  <c r="P570" i="2"/>
  <c r="Q570" i="2"/>
  <c r="R570" i="2"/>
  <c r="S570" i="2"/>
  <c r="T570" i="2"/>
  <c r="U570" i="2"/>
  <c r="V570" i="2"/>
  <c r="W570" i="2"/>
  <c r="X570" i="2"/>
  <c r="Y570" i="2"/>
  <c r="Z570" i="2"/>
  <c r="AA570" i="2"/>
  <c r="AB570" i="2"/>
  <c r="AC570" i="2"/>
  <c r="AD570" i="2"/>
  <c r="AE570" i="2"/>
  <c r="AF570" i="2"/>
  <c r="AG570" i="2"/>
  <c r="AH570" i="2"/>
  <c r="AI570" i="2"/>
  <c r="AJ570" i="2"/>
  <c r="AK570" i="2"/>
  <c r="AM570" i="2"/>
  <c r="AO570" i="2"/>
  <c r="AP570" i="2"/>
  <c r="AQ570" i="2"/>
  <c r="AR570" i="2"/>
  <c r="AS570" i="2"/>
  <c r="AT570" i="2"/>
  <c r="AU570" i="2"/>
  <c r="AV570" i="2"/>
  <c r="B571" i="2"/>
  <c r="C571" i="2"/>
  <c r="D571" i="2"/>
  <c r="E571" i="2"/>
  <c r="F571" i="2"/>
  <c r="G571" i="2"/>
  <c r="H571" i="2"/>
  <c r="I571" i="2"/>
  <c r="J571" i="2"/>
  <c r="K571" i="2"/>
  <c r="L571" i="2"/>
  <c r="M571" i="2"/>
  <c r="N571" i="2"/>
  <c r="O571" i="2"/>
  <c r="P571" i="2"/>
  <c r="Q571" i="2"/>
  <c r="R571" i="2"/>
  <c r="S571" i="2"/>
  <c r="T571" i="2"/>
  <c r="U571" i="2"/>
  <c r="V571" i="2"/>
  <c r="W571" i="2"/>
  <c r="X571" i="2"/>
  <c r="Y571" i="2"/>
  <c r="Z571" i="2"/>
  <c r="AA571" i="2"/>
  <c r="AB571" i="2"/>
  <c r="AC571" i="2"/>
  <c r="AD571" i="2"/>
  <c r="AE571" i="2"/>
  <c r="AF571" i="2"/>
  <c r="AG571" i="2"/>
  <c r="AH571" i="2"/>
  <c r="AI571" i="2"/>
  <c r="AJ571" i="2"/>
  <c r="AK571" i="2"/>
  <c r="AM571" i="2"/>
  <c r="AO571" i="2"/>
  <c r="AP571" i="2"/>
  <c r="AQ571" i="2"/>
  <c r="AR571" i="2"/>
  <c r="AS571" i="2"/>
  <c r="AT571" i="2"/>
  <c r="AU571" i="2"/>
  <c r="AV571" i="2"/>
  <c r="B572" i="2"/>
  <c r="C572" i="2"/>
  <c r="D572" i="2"/>
  <c r="E572" i="2"/>
  <c r="F572" i="2"/>
  <c r="G572" i="2"/>
  <c r="H572" i="2"/>
  <c r="I572" i="2"/>
  <c r="J572" i="2"/>
  <c r="K572" i="2"/>
  <c r="L572" i="2"/>
  <c r="M572" i="2"/>
  <c r="N572" i="2"/>
  <c r="O572" i="2"/>
  <c r="P572" i="2"/>
  <c r="Q572" i="2"/>
  <c r="R572" i="2"/>
  <c r="S572" i="2"/>
  <c r="T572" i="2"/>
  <c r="U572" i="2"/>
  <c r="V572" i="2"/>
  <c r="W572" i="2"/>
  <c r="X572" i="2"/>
  <c r="Y572" i="2"/>
  <c r="Z572" i="2"/>
  <c r="AA572" i="2"/>
  <c r="AB572" i="2"/>
  <c r="AC572" i="2"/>
  <c r="AD572" i="2"/>
  <c r="AE572" i="2"/>
  <c r="AF572" i="2"/>
  <c r="AG572" i="2"/>
  <c r="AH572" i="2"/>
  <c r="AI572" i="2"/>
  <c r="AJ572" i="2"/>
  <c r="AK572" i="2"/>
  <c r="AM572" i="2"/>
  <c r="AO572" i="2"/>
  <c r="AP572" i="2"/>
  <c r="AQ572" i="2"/>
  <c r="AR572" i="2"/>
  <c r="AS572" i="2"/>
  <c r="AT572" i="2"/>
  <c r="AU572" i="2"/>
  <c r="AV572" i="2"/>
  <c r="B573" i="2"/>
  <c r="C573" i="2"/>
  <c r="D573" i="2"/>
  <c r="E573" i="2"/>
  <c r="F573" i="2"/>
  <c r="G573" i="2"/>
  <c r="H573" i="2"/>
  <c r="I573" i="2"/>
  <c r="J573" i="2"/>
  <c r="K573" i="2"/>
  <c r="L573" i="2"/>
  <c r="M573" i="2"/>
  <c r="N573" i="2"/>
  <c r="O573" i="2"/>
  <c r="P573" i="2"/>
  <c r="Q573" i="2"/>
  <c r="R573" i="2"/>
  <c r="S573" i="2"/>
  <c r="T573" i="2"/>
  <c r="U573" i="2"/>
  <c r="V573" i="2"/>
  <c r="W573" i="2"/>
  <c r="X573" i="2"/>
  <c r="Y573" i="2"/>
  <c r="Z573" i="2"/>
  <c r="AA573" i="2"/>
  <c r="AB573" i="2"/>
  <c r="AC573" i="2"/>
  <c r="AD573" i="2"/>
  <c r="AE573" i="2"/>
  <c r="AF573" i="2"/>
  <c r="AG573" i="2"/>
  <c r="AH573" i="2"/>
  <c r="AI573" i="2"/>
  <c r="AJ573" i="2"/>
  <c r="AK573" i="2"/>
  <c r="AM573" i="2"/>
  <c r="AO573" i="2"/>
  <c r="AP573" i="2"/>
  <c r="AQ573" i="2"/>
  <c r="AR573" i="2"/>
  <c r="AS573" i="2"/>
  <c r="AT573" i="2"/>
  <c r="AU573" i="2"/>
  <c r="AV573" i="2"/>
  <c r="B574" i="2"/>
  <c r="C574" i="2"/>
  <c r="D574" i="2"/>
  <c r="E574" i="2"/>
  <c r="F574" i="2"/>
  <c r="G574" i="2"/>
  <c r="H574" i="2"/>
  <c r="I574" i="2"/>
  <c r="J574" i="2"/>
  <c r="K574" i="2"/>
  <c r="L574" i="2"/>
  <c r="M574" i="2"/>
  <c r="N574" i="2"/>
  <c r="O574" i="2"/>
  <c r="P574" i="2"/>
  <c r="Q574" i="2"/>
  <c r="R574" i="2"/>
  <c r="S574" i="2"/>
  <c r="T574" i="2"/>
  <c r="U574" i="2"/>
  <c r="V574" i="2"/>
  <c r="W574" i="2"/>
  <c r="X574" i="2"/>
  <c r="Y574" i="2"/>
  <c r="Z574" i="2"/>
  <c r="AA574" i="2"/>
  <c r="AB574" i="2"/>
  <c r="AC574" i="2"/>
  <c r="AD574" i="2"/>
  <c r="AE574" i="2"/>
  <c r="AF574" i="2"/>
  <c r="AG574" i="2"/>
  <c r="AH574" i="2"/>
  <c r="AI574" i="2"/>
  <c r="AJ574" i="2"/>
  <c r="AK574" i="2"/>
  <c r="AM574" i="2"/>
  <c r="GJ38" i="3" s="1"/>
  <c r="AO574" i="2"/>
  <c r="AP574" i="2"/>
  <c r="AQ574" i="2"/>
  <c r="AR574" i="2"/>
  <c r="AS574" i="2"/>
  <c r="AT574" i="2"/>
  <c r="AU574" i="2"/>
  <c r="AV574" i="2"/>
  <c r="B575" i="2"/>
  <c r="C575" i="2"/>
  <c r="D575" i="2"/>
  <c r="E575" i="2"/>
  <c r="F575" i="2"/>
  <c r="G575" i="2"/>
  <c r="H575" i="2"/>
  <c r="I575" i="2"/>
  <c r="J575" i="2"/>
  <c r="K575" i="2"/>
  <c r="L575" i="2"/>
  <c r="M575" i="2"/>
  <c r="N575" i="2"/>
  <c r="O575" i="2"/>
  <c r="P575" i="2"/>
  <c r="Q575" i="2"/>
  <c r="R575" i="2"/>
  <c r="S575" i="2"/>
  <c r="T575" i="2"/>
  <c r="U575" i="2"/>
  <c r="V575" i="2"/>
  <c r="W575" i="2"/>
  <c r="X575" i="2"/>
  <c r="Y575" i="2"/>
  <c r="Z575" i="2"/>
  <c r="AA575" i="2"/>
  <c r="AB575" i="2"/>
  <c r="AC575" i="2"/>
  <c r="AD575" i="2"/>
  <c r="AE575" i="2"/>
  <c r="AF575" i="2"/>
  <c r="AG575" i="2"/>
  <c r="AH575" i="2"/>
  <c r="AI575" i="2"/>
  <c r="AJ575" i="2"/>
  <c r="AK575" i="2"/>
  <c r="AM575" i="2"/>
  <c r="GK38" i="3" s="1"/>
  <c r="AO575" i="2"/>
  <c r="AP575" i="2"/>
  <c r="AQ575" i="2"/>
  <c r="AR575" i="2"/>
  <c r="AS575" i="2"/>
  <c r="AT575" i="2"/>
  <c r="AU575" i="2"/>
  <c r="AV575" i="2"/>
  <c r="B576" i="2"/>
  <c r="C576" i="2"/>
  <c r="D576" i="2"/>
  <c r="E576" i="2"/>
  <c r="F576" i="2"/>
  <c r="G576" i="2"/>
  <c r="H576" i="2"/>
  <c r="I576" i="2"/>
  <c r="J576" i="2"/>
  <c r="K576" i="2"/>
  <c r="L576" i="2"/>
  <c r="M576" i="2"/>
  <c r="N576" i="2"/>
  <c r="O576" i="2"/>
  <c r="P576" i="2"/>
  <c r="Q576" i="2"/>
  <c r="R576" i="2"/>
  <c r="S576" i="2"/>
  <c r="T576" i="2"/>
  <c r="U576" i="2"/>
  <c r="V576" i="2"/>
  <c r="W576" i="2"/>
  <c r="X576" i="2"/>
  <c r="Y576" i="2"/>
  <c r="Z576" i="2"/>
  <c r="AA576" i="2"/>
  <c r="AB576" i="2"/>
  <c r="AC576" i="2"/>
  <c r="AD576" i="2"/>
  <c r="AE576" i="2"/>
  <c r="AF576" i="2"/>
  <c r="AG576" i="2"/>
  <c r="AH576" i="2"/>
  <c r="AI576" i="2"/>
  <c r="AJ576" i="2"/>
  <c r="AK576" i="2"/>
  <c r="AM576" i="2"/>
  <c r="AO576" i="2"/>
  <c r="AP576" i="2"/>
  <c r="AQ576" i="2"/>
  <c r="AR576" i="2"/>
  <c r="AS576" i="2"/>
  <c r="AT576" i="2"/>
  <c r="AU576" i="2"/>
  <c r="AV576" i="2"/>
  <c r="B577" i="2"/>
  <c r="C577" i="2"/>
  <c r="D577" i="2"/>
  <c r="E577" i="2"/>
  <c r="F577" i="2"/>
  <c r="G577" i="2"/>
  <c r="H577" i="2"/>
  <c r="I577" i="2"/>
  <c r="J577" i="2"/>
  <c r="K577" i="2"/>
  <c r="L577" i="2"/>
  <c r="M577" i="2"/>
  <c r="N577" i="2"/>
  <c r="O577" i="2"/>
  <c r="P577" i="2"/>
  <c r="Q577" i="2"/>
  <c r="R577" i="2"/>
  <c r="S577" i="2"/>
  <c r="T577" i="2"/>
  <c r="U577" i="2"/>
  <c r="V577" i="2"/>
  <c r="W577" i="2"/>
  <c r="X577" i="2"/>
  <c r="Y577" i="2"/>
  <c r="Z577" i="2"/>
  <c r="AA577" i="2"/>
  <c r="AB577" i="2"/>
  <c r="AC577" i="2"/>
  <c r="AD577" i="2"/>
  <c r="AE577" i="2"/>
  <c r="AF577" i="2"/>
  <c r="AG577" i="2"/>
  <c r="AH577" i="2"/>
  <c r="AI577" i="2"/>
  <c r="AJ577" i="2"/>
  <c r="AK577" i="2"/>
  <c r="AM577" i="2"/>
  <c r="AO577" i="2"/>
  <c r="AP577" i="2"/>
  <c r="AQ577" i="2"/>
  <c r="AR577" i="2"/>
  <c r="AS577" i="2"/>
  <c r="AT577" i="2"/>
  <c r="AU577" i="2"/>
  <c r="AV577" i="2"/>
  <c r="B578" i="2"/>
  <c r="C578" i="2"/>
  <c r="D578" i="2"/>
  <c r="E578" i="2"/>
  <c r="F578" i="2"/>
  <c r="G578" i="2"/>
  <c r="H578" i="2"/>
  <c r="I578" i="2"/>
  <c r="J578" i="2"/>
  <c r="K578" i="2"/>
  <c r="L578" i="2"/>
  <c r="M578" i="2"/>
  <c r="N578" i="2"/>
  <c r="O578" i="2"/>
  <c r="P578" i="2"/>
  <c r="Q578" i="2"/>
  <c r="R578" i="2"/>
  <c r="S578" i="2"/>
  <c r="T578" i="2"/>
  <c r="U578" i="2"/>
  <c r="V578" i="2"/>
  <c r="W578" i="2"/>
  <c r="X578" i="2"/>
  <c r="Y578" i="2"/>
  <c r="Z578" i="2"/>
  <c r="AA578" i="2"/>
  <c r="AB578" i="2"/>
  <c r="AC578" i="2"/>
  <c r="AD578" i="2"/>
  <c r="AE578" i="2"/>
  <c r="AF578" i="2"/>
  <c r="AG578" i="2"/>
  <c r="AH578" i="2"/>
  <c r="AI578" i="2"/>
  <c r="AJ578" i="2"/>
  <c r="AK578" i="2"/>
  <c r="AM578" i="2"/>
  <c r="GL38" i="3" s="1"/>
  <c r="AO578" i="2"/>
  <c r="AP578" i="2"/>
  <c r="AQ578" i="2"/>
  <c r="AR578" i="2"/>
  <c r="AS578" i="2"/>
  <c r="AT578" i="2"/>
  <c r="AU578" i="2"/>
  <c r="AV578" i="2"/>
  <c r="B579" i="2"/>
  <c r="C579" i="2"/>
  <c r="D579" i="2"/>
  <c r="E579" i="2"/>
  <c r="F579" i="2"/>
  <c r="G579" i="2"/>
  <c r="H579" i="2"/>
  <c r="I579" i="2"/>
  <c r="J579" i="2"/>
  <c r="K579" i="2"/>
  <c r="L579" i="2"/>
  <c r="M579" i="2"/>
  <c r="N579" i="2"/>
  <c r="O579" i="2"/>
  <c r="P579" i="2"/>
  <c r="Q579" i="2"/>
  <c r="R579" i="2"/>
  <c r="S579" i="2"/>
  <c r="T579" i="2"/>
  <c r="U579" i="2"/>
  <c r="V579" i="2"/>
  <c r="W579" i="2"/>
  <c r="X579" i="2"/>
  <c r="Y579" i="2"/>
  <c r="Z579" i="2"/>
  <c r="AA579" i="2"/>
  <c r="AB579" i="2"/>
  <c r="AC579" i="2"/>
  <c r="AD579" i="2"/>
  <c r="AE579" i="2"/>
  <c r="AF579" i="2"/>
  <c r="AG579" i="2"/>
  <c r="AH579" i="2"/>
  <c r="AI579" i="2"/>
  <c r="AJ579" i="2"/>
  <c r="AK579" i="2"/>
  <c r="AM579" i="2"/>
  <c r="AO579" i="2"/>
  <c r="AP579" i="2"/>
  <c r="AQ579" i="2"/>
  <c r="AR579" i="2"/>
  <c r="AS579" i="2"/>
  <c r="AT579" i="2"/>
  <c r="AU579" i="2"/>
  <c r="AV579" i="2"/>
  <c r="B580" i="2"/>
  <c r="C580" i="2"/>
  <c r="D580" i="2"/>
  <c r="E580" i="2"/>
  <c r="F580" i="2"/>
  <c r="G580" i="2"/>
  <c r="H580" i="2"/>
  <c r="I580" i="2"/>
  <c r="J580" i="2"/>
  <c r="K580" i="2"/>
  <c r="L580" i="2"/>
  <c r="M580" i="2"/>
  <c r="N580" i="2"/>
  <c r="O580" i="2"/>
  <c r="P580" i="2"/>
  <c r="Q580" i="2"/>
  <c r="R580" i="2"/>
  <c r="S580" i="2"/>
  <c r="T580" i="2"/>
  <c r="U580" i="2"/>
  <c r="V580" i="2"/>
  <c r="W580" i="2"/>
  <c r="X580" i="2"/>
  <c r="Y580" i="2"/>
  <c r="Z580" i="2"/>
  <c r="AA580" i="2"/>
  <c r="AB580" i="2"/>
  <c r="AC580" i="2"/>
  <c r="AD580" i="2"/>
  <c r="AE580" i="2"/>
  <c r="AF580" i="2"/>
  <c r="AG580" i="2"/>
  <c r="AH580" i="2"/>
  <c r="AI580" i="2"/>
  <c r="AJ580" i="2"/>
  <c r="AK580" i="2"/>
  <c r="AM580" i="2"/>
  <c r="AO580" i="2"/>
  <c r="AP580" i="2"/>
  <c r="AQ580" i="2"/>
  <c r="AR580" i="2"/>
  <c r="AS580" i="2"/>
  <c r="AT580" i="2"/>
  <c r="AU580" i="2"/>
  <c r="AV580" i="2"/>
  <c r="B581" i="2"/>
  <c r="C581" i="2"/>
  <c r="D581" i="2"/>
  <c r="E581" i="2"/>
  <c r="F581" i="2"/>
  <c r="G581" i="2"/>
  <c r="H581" i="2"/>
  <c r="I581" i="2"/>
  <c r="J581" i="2"/>
  <c r="K581" i="2"/>
  <c r="L581" i="2"/>
  <c r="M581" i="2"/>
  <c r="N581" i="2"/>
  <c r="O581" i="2"/>
  <c r="P581" i="2"/>
  <c r="Q581" i="2"/>
  <c r="R581" i="2"/>
  <c r="S581" i="2"/>
  <c r="T581" i="2"/>
  <c r="U581" i="2"/>
  <c r="V581" i="2"/>
  <c r="W581" i="2"/>
  <c r="X581" i="2"/>
  <c r="Y581" i="2"/>
  <c r="Z581" i="2"/>
  <c r="AA581" i="2"/>
  <c r="AB581" i="2"/>
  <c r="AC581" i="2"/>
  <c r="AD581" i="2"/>
  <c r="AE581" i="2"/>
  <c r="AF581" i="2"/>
  <c r="AG581" i="2"/>
  <c r="AH581" i="2"/>
  <c r="AI581" i="2"/>
  <c r="AJ581" i="2"/>
  <c r="AK581" i="2"/>
  <c r="AM581" i="2"/>
  <c r="GM38" i="3" s="1"/>
  <c r="AO581" i="2"/>
  <c r="AP581" i="2"/>
  <c r="AQ581" i="2"/>
  <c r="AR581" i="2"/>
  <c r="AS581" i="2"/>
  <c r="AT581" i="2"/>
  <c r="AU581" i="2"/>
  <c r="AV581" i="2"/>
  <c r="B582" i="2"/>
  <c r="C582" i="2"/>
  <c r="D582" i="2"/>
  <c r="E582" i="2"/>
  <c r="F582" i="2"/>
  <c r="G582" i="2"/>
  <c r="H582" i="2"/>
  <c r="I582" i="2"/>
  <c r="J582" i="2"/>
  <c r="K582" i="2"/>
  <c r="L582" i="2"/>
  <c r="M582" i="2"/>
  <c r="N582" i="2"/>
  <c r="O582" i="2"/>
  <c r="P582" i="2"/>
  <c r="Q582" i="2"/>
  <c r="R582" i="2"/>
  <c r="S582" i="2"/>
  <c r="T582" i="2"/>
  <c r="U582" i="2"/>
  <c r="V582" i="2"/>
  <c r="W582" i="2"/>
  <c r="X582" i="2"/>
  <c r="Y582" i="2"/>
  <c r="Z582" i="2"/>
  <c r="AA582" i="2"/>
  <c r="AB582" i="2"/>
  <c r="AC582" i="2"/>
  <c r="AD582" i="2"/>
  <c r="AE582" i="2"/>
  <c r="AF582" i="2"/>
  <c r="AG582" i="2"/>
  <c r="AH582" i="2"/>
  <c r="AI582" i="2"/>
  <c r="AJ582" i="2"/>
  <c r="AK582" i="2"/>
  <c r="AM582" i="2"/>
  <c r="AO582" i="2"/>
  <c r="AP582" i="2"/>
  <c r="AQ582" i="2"/>
  <c r="AR582" i="2"/>
  <c r="AS582" i="2"/>
  <c r="AT582" i="2"/>
  <c r="AU582" i="2"/>
  <c r="AV582" i="2"/>
  <c r="B583" i="2"/>
  <c r="C583" i="2"/>
  <c r="D583" i="2"/>
  <c r="E583" i="2"/>
  <c r="F583" i="2"/>
  <c r="G583" i="2"/>
  <c r="H583" i="2"/>
  <c r="I583" i="2"/>
  <c r="J583" i="2"/>
  <c r="K583" i="2"/>
  <c r="L583" i="2"/>
  <c r="M583" i="2"/>
  <c r="N583" i="2"/>
  <c r="O583" i="2"/>
  <c r="P583" i="2"/>
  <c r="Q583" i="2"/>
  <c r="R583" i="2"/>
  <c r="S583" i="2"/>
  <c r="T583" i="2"/>
  <c r="U583" i="2"/>
  <c r="V583" i="2"/>
  <c r="W583" i="2"/>
  <c r="X583" i="2"/>
  <c r="Y583" i="2"/>
  <c r="Z583" i="2"/>
  <c r="AA583" i="2"/>
  <c r="AB583" i="2"/>
  <c r="AC583" i="2"/>
  <c r="AD583" i="2"/>
  <c r="AE583" i="2"/>
  <c r="AF583" i="2"/>
  <c r="AG583" i="2"/>
  <c r="AH583" i="2"/>
  <c r="AI583" i="2"/>
  <c r="AJ583" i="2"/>
  <c r="AK583" i="2"/>
  <c r="AM583" i="2"/>
  <c r="AO583" i="2"/>
  <c r="AP583" i="2"/>
  <c r="AQ583" i="2"/>
  <c r="AR583" i="2"/>
  <c r="AS583" i="2"/>
  <c r="AT583" i="2"/>
  <c r="AU583" i="2"/>
  <c r="AV583" i="2"/>
  <c r="B584" i="2"/>
  <c r="C584" i="2"/>
  <c r="D584" i="2"/>
  <c r="E584" i="2"/>
  <c r="F584" i="2"/>
  <c r="G584" i="2"/>
  <c r="H584" i="2"/>
  <c r="I584" i="2"/>
  <c r="J584" i="2"/>
  <c r="K584" i="2"/>
  <c r="L584" i="2"/>
  <c r="M584" i="2"/>
  <c r="N584" i="2"/>
  <c r="O584" i="2"/>
  <c r="P584" i="2"/>
  <c r="Q584" i="2"/>
  <c r="R584" i="2"/>
  <c r="S584" i="2"/>
  <c r="T584" i="2"/>
  <c r="U584" i="2"/>
  <c r="V584" i="2"/>
  <c r="W584" i="2"/>
  <c r="X584" i="2"/>
  <c r="Y584" i="2"/>
  <c r="Z584" i="2"/>
  <c r="AA584" i="2"/>
  <c r="AB584" i="2"/>
  <c r="AC584" i="2"/>
  <c r="AD584" i="2"/>
  <c r="AE584" i="2"/>
  <c r="AF584" i="2"/>
  <c r="AG584" i="2"/>
  <c r="AH584" i="2"/>
  <c r="AI584" i="2"/>
  <c r="AJ584" i="2"/>
  <c r="AK584" i="2"/>
  <c r="AM584" i="2"/>
  <c r="AO584" i="2"/>
  <c r="AP584" i="2"/>
  <c r="AQ584" i="2"/>
  <c r="AR584" i="2"/>
  <c r="AS584" i="2"/>
  <c r="AT584" i="2"/>
  <c r="AU584" i="2"/>
  <c r="AV584" i="2"/>
  <c r="B585" i="2"/>
  <c r="C585" i="2"/>
  <c r="D585" i="2"/>
  <c r="E585" i="2"/>
  <c r="F585" i="2"/>
  <c r="G585" i="2"/>
  <c r="H585" i="2"/>
  <c r="I585" i="2"/>
  <c r="J585" i="2"/>
  <c r="K585" i="2"/>
  <c r="L585" i="2"/>
  <c r="M585" i="2"/>
  <c r="N585" i="2"/>
  <c r="O585" i="2"/>
  <c r="P585" i="2"/>
  <c r="Q585" i="2"/>
  <c r="R585" i="2"/>
  <c r="S585" i="2"/>
  <c r="T585" i="2"/>
  <c r="U585" i="2"/>
  <c r="V585" i="2"/>
  <c r="W585" i="2"/>
  <c r="X585" i="2"/>
  <c r="Y585" i="2"/>
  <c r="Z585" i="2"/>
  <c r="AA585" i="2"/>
  <c r="AB585" i="2"/>
  <c r="AC585" i="2"/>
  <c r="AD585" i="2"/>
  <c r="AE585" i="2"/>
  <c r="AF585" i="2"/>
  <c r="AG585" i="2"/>
  <c r="AH585" i="2"/>
  <c r="AI585" i="2"/>
  <c r="AJ585" i="2"/>
  <c r="AK585" i="2"/>
  <c r="AM585" i="2"/>
  <c r="AO585" i="2"/>
  <c r="AP585" i="2"/>
  <c r="AQ585" i="2"/>
  <c r="AR585" i="2"/>
  <c r="AS585" i="2"/>
  <c r="AT585" i="2"/>
  <c r="AU585" i="2"/>
  <c r="AV585" i="2"/>
  <c r="B586" i="2"/>
  <c r="C586" i="2"/>
  <c r="D586" i="2"/>
  <c r="E586" i="2"/>
  <c r="F586" i="2"/>
  <c r="G586" i="2"/>
  <c r="H586" i="2"/>
  <c r="I586" i="2"/>
  <c r="J586" i="2"/>
  <c r="K586" i="2"/>
  <c r="L586" i="2"/>
  <c r="M586" i="2"/>
  <c r="N586" i="2"/>
  <c r="O586" i="2"/>
  <c r="P586" i="2"/>
  <c r="Q586" i="2"/>
  <c r="R586" i="2"/>
  <c r="S586" i="2"/>
  <c r="T586" i="2"/>
  <c r="U586" i="2"/>
  <c r="V586" i="2"/>
  <c r="W586" i="2"/>
  <c r="X586" i="2"/>
  <c r="Y586" i="2"/>
  <c r="Z586" i="2"/>
  <c r="AA586" i="2"/>
  <c r="AB586" i="2"/>
  <c r="AC586" i="2"/>
  <c r="AD586" i="2"/>
  <c r="AE586" i="2"/>
  <c r="AF586" i="2"/>
  <c r="AG586" i="2"/>
  <c r="AH586" i="2"/>
  <c r="AI586" i="2"/>
  <c r="AJ586" i="2"/>
  <c r="AK586" i="2"/>
  <c r="AM586" i="2"/>
  <c r="GN38" i="3" s="1"/>
  <c r="AO586" i="2"/>
  <c r="AP586" i="2"/>
  <c r="AQ586" i="2"/>
  <c r="AR586" i="2"/>
  <c r="AS586" i="2"/>
  <c r="AT586" i="2"/>
  <c r="AU586" i="2"/>
  <c r="AV586" i="2"/>
  <c r="B587" i="2"/>
  <c r="C587" i="2"/>
  <c r="D587" i="2"/>
  <c r="E587" i="2"/>
  <c r="F587" i="2"/>
  <c r="G587" i="2"/>
  <c r="H587" i="2"/>
  <c r="I587" i="2"/>
  <c r="J587" i="2"/>
  <c r="K587" i="2"/>
  <c r="L587" i="2"/>
  <c r="M587" i="2"/>
  <c r="N587" i="2"/>
  <c r="O587" i="2"/>
  <c r="P587" i="2"/>
  <c r="Q587" i="2"/>
  <c r="R587" i="2"/>
  <c r="S587" i="2"/>
  <c r="T587" i="2"/>
  <c r="U587" i="2"/>
  <c r="V587" i="2"/>
  <c r="W587" i="2"/>
  <c r="X587" i="2"/>
  <c r="Y587" i="2"/>
  <c r="Z587" i="2"/>
  <c r="AA587" i="2"/>
  <c r="AB587" i="2"/>
  <c r="AC587" i="2"/>
  <c r="AD587" i="2"/>
  <c r="AE587" i="2"/>
  <c r="AF587" i="2"/>
  <c r="AG587" i="2"/>
  <c r="AH587" i="2"/>
  <c r="AI587" i="2"/>
  <c r="AJ587" i="2"/>
  <c r="AK587" i="2"/>
  <c r="AM587" i="2"/>
  <c r="GO38" i="3" s="1"/>
  <c r="AO587" i="2"/>
  <c r="AP587" i="2"/>
  <c r="AQ587" i="2"/>
  <c r="AR587" i="2"/>
  <c r="AS587" i="2"/>
  <c r="AT587" i="2"/>
  <c r="AU587" i="2"/>
  <c r="AV587" i="2"/>
  <c r="B588" i="2"/>
  <c r="C588" i="2"/>
  <c r="D588" i="2"/>
  <c r="E588" i="2"/>
  <c r="F588" i="2"/>
  <c r="G588" i="2"/>
  <c r="H588" i="2"/>
  <c r="I588" i="2"/>
  <c r="J588" i="2"/>
  <c r="K588" i="2"/>
  <c r="L588" i="2"/>
  <c r="M588" i="2"/>
  <c r="N588" i="2"/>
  <c r="O588" i="2"/>
  <c r="P588" i="2"/>
  <c r="Q588" i="2"/>
  <c r="R588" i="2"/>
  <c r="S588" i="2"/>
  <c r="T588" i="2"/>
  <c r="U588" i="2"/>
  <c r="V588" i="2"/>
  <c r="W588" i="2"/>
  <c r="X588" i="2"/>
  <c r="Y588" i="2"/>
  <c r="Z588" i="2"/>
  <c r="AA588" i="2"/>
  <c r="AB588" i="2"/>
  <c r="AC588" i="2"/>
  <c r="AD588" i="2"/>
  <c r="AE588" i="2"/>
  <c r="AF588" i="2"/>
  <c r="AG588" i="2"/>
  <c r="AH588" i="2"/>
  <c r="AI588" i="2"/>
  <c r="AJ588" i="2"/>
  <c r="AK588" i="2"/>
  <c r="AM588" i="2"/>
  <c r="AO588" i="2"/>
  <c r="AP588" i="2"/>
  <c r="AQ588" i="2"/>
  <c r="AR588" i="2"/>
  <c r="AS588" i="2"/>
  <c r="AT588" i="2"/>
  <c r="AU588" i="2"/>
  <c r="AV588" i="2"/>
  <c r="B589" i="2"/>
  <c r="C589" i="2"/>
  <c r="D589" i="2"/>
  <c r="E589" i="2"/>
  <c r="F589" i="2"/>
  <c r="G589" i="2"/>
  <c r="H589" i="2"/>
  <c r="I589" i="2"/>
  <c r="J589" i="2"/>
  <c r="K589" i="2"/>
  <c r="L589" i="2"/>
  <c r="M589" i="2"/>
  <c r="N589" i="2"/>
  <c r="O589" i="2"/>
  <c r="P589" i="2"/>
  <c r="Q589" i="2"/>
  <c r="R589" i="2"/>
  <c r="S589" i="2"/>
  <c r="T589" i="2"/>
  <c r="U589" i="2"/>
  <c r="V589" i="2"/>
  <c r="W589" i="2"/>
  <c r="X589" i="2"/>
  <c r="Y589" i="2"/>
  <c r="Z589" i="2"/>
  <c r="AA589" i="2"/>
  <c r="AB589" i="2"/>
  <c r="AC589" i="2"/>
  <c r="AD589" i="2"/>
  <c r="AE589" i="2"/>
  <c r="AF589" i="2"/>
  <c r="AG589" i="2"/>
  <c r="AH589" i="2"/>
  <c r="AI589" i="2"/>
  <c r="AJ589" i="2"/>
  <c r="AK589" i="2"/>
  <c r="AM589" i="2"/>
  <c r="AO589" i="2"/>
  <c r="AP589" i="2"/>
  <c r="AQ589" i="2"/>
  <c r="AR589" i="2"/>
  <c r="AS589" i="2"/>
  <c r="AT589" i="2"/>
  <c r="AU589" i="2"/>
  <c r="AV589" i="2"/>
  <c r="B590" i="2"/>
  <c r="C590" i="2"/>
  <c r="D590" i="2"/>
  <c r="E590" i="2"/>
  <c r="F590" i="2"/>
  <c r="G590" i="2"/>
  <c r="H590" i="2"/>
  <c r="I590" i="2"/>
  <c r="J590" i="2"/>
  <c r="K590" i="2"/>
  <c r="L590" i="2"/>
  <c r="M590" i="2"/>
  <c r="N590" i="2"/>
  <c r="O590" i="2"/>
  <c r="P590" i="2"/>
  <c r="Q590" i="2"/>
  <c r="R590" i="2"/>
  <c r="S590" i="2"/>
  <c r="T590" i="2"/>
  <c r="U590" i="2"/>
  <c r="V590" i="2"/>
  <c r="W590" i="2"/>
  <c r="X590" i="2"/>
  <c r="Y590" i="2"/>
  <c r="Z590" i="2"/>
  <c r="AA590" i="2"/>
  <c r="AB590" i="2"/>
  <c r="AC590" i="2"/>
  <c r="AD590" i="2"/>
  <c r="AE590" i="2"/>
  <c r="AF590" i="2"/>
  <c r="AG590" i="2"/>
  <c r="AH590" i="2"/>
  <c r="AI590" i="2"/>
  <c r="AJ590" i="2"/>
  <c r="AK590" i="2"/>
  <c r="AM590" i="2"/>
  <c r="GP38" i="3" s="1"/>
  <c r="AO590" i="2"/>
  <c r="AP590" i="2"/>
  <c r="AQ590" i="2"/>
  <c r="AR590" i="2"/>
  <c r="AS590" i="2"/>
  <c r="AT590" i="2"/>
  <c r="AU590" i="2"/>
  <c r="AV590" i="2"/>
  <c r="B591" i="2"/>
  <c r="C591" i="2"/>
  <c r="D591" i="2"/>
  <c r="E591" i="2"/>
  <c r="F591" i="2"/>
  <c r="G591" i="2"/>
  <c r="H591" i="2"/>
  <c r="I591" i="2"/>
  <c r="J591" i="2"/>
  <c r="K591" i="2"/>
  <c r="L591" i="2"/>
  <c r="M591" i="2"/>
  <c r="N591" i="2"/>
  <c r="O591" i="2"/>
  <c r="P591" i="2"/>
  <c r="Q591" i="2"/>
  <c r="R591" i="2"/>
  <c r="S591" i="2"/>
  <c r="T591" i="2"/>
  <c r="U591" i="2"/>
  <c r="V591" i="2"/>
  <c r="W591" i="2"/>
  <c r="X591" i="2"/>
  <c r="Y591" i="2"/>
  <c r="Z591" i="2"/>
  <c r="AA591" i="2"/>
  <c r="AB591" i="2"/>
  <c r="AC591" i="2"/>
  <c r="AD591" i="2"/>
  <c r="AE591" i="2"/>
  <c r="AF591" i="2"/>
  <c r="AG591" i="2"/>
  <c r="AH591" i="2"/>
  <c r="AI591" i="2"/>
  <c r="AJ591" i="2"/>
  <c r="AK591" i="2"/>
  <c r="AM591" i="2"/>
  <c r="AO591" i="2"/>
  <c r="AP591" i="2"/>
  <c r="AQ591" i="2"/>
  <c r="AR591" i="2"/>
  <c r="AS591" i="2"/>
  <c r="AT591" i="2"/>
  <c r="AU591" i="2"/>
  <c r="AV591" i="2"/>
  <c r="B592" i="2"/>
  <c r="C592" i="2"/>
  <c r="D592" i="2"/>
  <c r="E592" i="2"/>
  <c r="F592" i="2"/>
  <c r="G592" i="2"/>
  <c r="H592" i="2"/>
  <c r="I592" i="2"/>
  <c r="J592" i="2"/>
  <c r="K592" i="2"/>
  <c r="L592" i="2"/>
  <c r="M592" i="2"/>
  <c r="N592" i="2"/>
  <c r="O592" i="2"/>
  <c r="P592" i="2"/>
  <c r="Q592" i="2"/>
  <c r="R592" i="2"/>
  <c r="S592" i="2"/>
  <c r="T592" i="2"/>
  <c r="U592" i="2"/>
  <c r="V592" i="2"/>
  <c r="W592" i="2"/>
  <c r="X592" i="2"/>
  <c r="Y592" i="2"/>
  <c r="Z592" i="2"/>
  <c r="AA592" i="2"/>
  <c r="AB592" i="2"/>
  <c r="AC592" i="2"/>
  <c r="AD592" i="2"/>
  <c r="AE592" i="2"/>
  <c r="AF592" i="2"/>
  <c r="AG592" i="2"/>
  <c r="AH592" i="2"/>
  <c r="AI592" i="2"/>
  <c r="AJ592" i="2"/>
  <c r="AK592" i="2"/>
  <c r="AM592" i="2"/>
  <c r="AO592" i="2"/>
  <c r="AP592" i="2"/>
  <c r="AQ592" i="2"/>
  <c r="AR592" i="2"/>
  <c r="AS592" i="2"/>
  <c r="AT592" i="2"/>
  <c r="AU592" i="2"/>
  <c r="AV592" i="2"/>
  <c r="B593" i="2"/>
  <c r="C593" i="2"/>
  <c r="D593" i="2"/>
  <c r="E593" i="2"/>
  <c r="F593" i="2"/>
  <c r="G593" i="2"/>
  <c r="H593" i="2"/>
  <c r="I593" i="2"/>
  <c r="J593" i="2"/>
  <c r="K593" i="2"/>
  <c r="L593" i="2"/>
  <c r="M593" i="2"/>
  <c r="N593" i="2"/>
  <c r="O593" i="2"/>
  <c r="P593" i="2"/>
  <c r="Q593" i="2"/>
  <c r="R593" i="2"/>
  <c r="S593" i="2"/>
  <c r="T593" i="2"/>
  <c r="U593" i="2"/>
  <c r="V593" i="2"/>
  <c r="W593" i="2"/>
  <c r="X593" i="2"/>
  <c r="Y593" i="2"/>
  <c r="Z593" i="2"/>
  <c r="AA593" i="2"/>
  <c r="AB593" i="2"/>
  <c r="AC593" i="2"/>
  <c r="AD593" i="2"/>
  <c r="AE593" i="2"/>
  <c r="AF593" i="2"/>
  <c r="AG593" i="2"/>
  <c r="AH593" i="2"/>
  <c r="AI593" i="2"/>
  <c r="AJ593" i="2"/>
  <c r="AK593" i="2"/>
  <c r="AM593" i="2"/>
  <c r="GQ38" i="3" s="1"/>
  <c r="AO593" i="2"/>
  <c r="AP593" i="2"/>
  <c r="AQ593" i="2"/>
  <c r="AR593" i="2"/>
  <c r="AS593" i="2"/>
  <c r="AT593" i="2"/>
  <c r="AU593" i="2"/>
  <c r="AV593" i="2"/>
  <c r="B594" i="2"/>
  <c r="C594" i="2"/>
  <c r="D594" i="2"/>
  <c r="E594" i="2"/>
  <c r="F594" i="2"/>
  <c r="G594" i="2"/>
  <c r="H594" i="2"/>
  <c r="I594" i="2"/>
  <c r="J594" i="2"/>
  <c r="K594" i="2"/>
  <c r="L594" i="2"/>
  <c r="M594" i="2"/>
  <c r="N594" i="2"/>
  <c r="O594" i="2"/>
  <c r="P594" i="2"/>
  <c r="Q594" i="2"/>
  <c r="R594" i="2"/>
  <c r="S594" i="2"/>
  <c r="T594" i="2"/>
  <c r="U594" i="2"/>
  <c r="V594" i="2"/>
  <c r="W594" i="2"/>
  <c r="X594" i="2"/>
  <c r="Y594" i="2"/>
  <c r="Z594" i="2"/>
  <c r="AA594" i="2"/>
  <c r="AB594" i="2"/>
  <c r="AC594" i="2"/>
  <c r="AD594" i="2"/>
  <c r="AE594" i="2"/>
  <c r="AF594" i="2"/>
  <c r="AG594" i="2"/>
  <c r="AH594" i="2"/>
  <c r="AI594" i="2"/>
  <c r="AJ594" i="2"/>
  <c r="AK594" i="2"/>
  <c r="AM594" i="2"/>
  <c r="AO594" i="2"/>
  <c r="AP594" i="2"/>
  <c r="AQ594" i="2"/>
  <c r="AR594" i="2"/>
  <c r="AS594" i="2"/>
  <c r="AT594" i="2"/>
  <c r="AU594" i="2"/>
  <c r="AV594" i="2"/>
  <c r="B595" i="2"/>
  <c r="C595" i="2"/>
  <c r="D595" i="2"/>
  <c r="E595" i="2"/>
  <c r="F595" i="2"/>
  <c r="G595" i="2"/>
  <c r="H595" i="2"/>
  <c r="I595" i="2"/>
  <c r="J595" i="2"/>
  <c r="K595" i="2"/>
  <c r="L595" i="2"/>
  <c r="M595" i="2"/>
  <c r="N595" i="2"/>
  <c r="O595" i="2"/>
  <c r="P595" i="2"/>
  <c r="Q595" i="2"/>
  <c r="R595" i="2"/>
  <c r="S595" i="2"/>
  <c r="T595" i="2"/>
  <c r="U595" i="2"/>
  <c r="V595" i="2"/>
  <c r="W595" i="2"/>
  <c r="X595" i="2"/>
  <c r="Y595" i="2"/>
  <c r="Z595" i="2"/>
  <c r="AA595" i="2"/>
  <c r="AB595" i="2"/>
  <c r="AC595" i="2"/>
  <c r="AD595" i="2"/>
  <c r="AE595" i="2"/>
  <c r="AF595" i="2"/>
  <c r="AG595" i="2"/>
  <c r="AH595" i="2"/>
  <c r="AI595" i="2"/>
  <c r="AJ595" i="2"/>
  <c r="AK595" i="2"/>
  <c r="AM595" i="2"/>
  <c r="AO595" i="2"/>
  <c r="AP595" i="2"/>
  <c r="AQ595" i="2"/>
  <c r="AR595" i="2"/>
  <c r="AS595" i="2"/>
  <c r="AT595" i="2"/>
  <c r="AU595" i="2"/>
  <c r="AV595" i="2"/>
  <c r="B596" i="2"/>
  <c r="C596" i="2"/>
  <c r="D596" i="2"/>
  <c r="E596" i="2"/>
  <c r="F596" i="2"/>
  <c r="G596" i="2"/>
  <c r="H596" i="2"/>
  <c r="I596" i="2"/>
  <c r="J596" i="2"/>
  <c r="K596" i="2"/>
  <c r="L596" i="2"/>
  <c r="M596" i="2"/>
  <c r="N596" i="2"/>
  <c r="O596" i="2"/>
  <c r="P596" i="2"/>
  <c r="Q596" i="2"/>
  <c r="R596" i="2"/>
  <c r="S596" i="2"/>
  <c r="T596" i="2"/>
  <c r="U596" i="2"/>
  <c r="V596" i="2"/>
  <c r="W596" i="2"/>
  <c r="X596" i="2"/>
  <c r="Y596" i="2"/>
  <c r="Z596" i="2"/>
  <c r="AA596" i="2"/>
  <c r="AB596" i="2"/>
  <c r="AC596" i="2"/>
  <c r="AD596" i="2"/>
  <c r="AE596" i="2"/>
  <c r="AF596" i="2"/>
  <c r="AG596" i="2"/>
  <c r="AH596" i="2"/>
  <c r="AI596" i="2"/>
  <c r="AJ596" i="2"/>
  <c r="AK596" i="2"/>
  <c r="AM596" i="2"/>
  <c r="AO596" i="2"/>
  <c r="AP596" i="2"/>
  <c r="AQ596" i="2"/>
  <c r="AR596" i="2"/>
  <c r="AS596" i="2"/>
  <c r="AT596" i="2"/>
  <c r="AU596" i="2"/>
  <c r="AV596" i="2"/>
  <c r="B597" i="2"/>
  <c r="C597" i="2"/>
  <c r="D597" i="2"/>
  <c r="E597" i="2"/>
  <c r="F597" i="2"/>
  <c r="G597" i="2"/>
  <c r="H597" i="2"/>
  <c r="I597" i="2"/>
  <c r="J597" i="2"/>
  <c r="K597" i="2"/>
  <c r="L597" i="2"/>
  <c r="M597" i="2"/>
  <c r="N597" i="2"/>
  <c r="O597" i="2"/>
  <c r="P597" i="2"/>
  <c r="Q597" i="2"/>
  <c r="R597" i="2"/>
  <c r="S597" i="2"/>
  <c r="T597" i="2"/>
  <c r="U597" i="2"/>
  <c r="V597" i="2"/>
  <c r="W597" i="2"/>
  <c r="X597" i="2"/>
  <c r="Y597" i="2"/>
  <c r="Z597" i="2"/>
  <c r="AA597" i="2"/>
  <c r="AB597" i="2"/>
  <c r="AC597" i="2"/>
  <c r="AD597" i="2"/>
  <c r="AE597" i="2"/>
  <c r="AF597" i="2"/>
  <c r="AG597" i="2"/>
  <c r="AH597" i="2"/>
  <c r="AI597" i="2"/>
  <c r="AJ597" i="2"/>
  <c r="AK597" i="2"/>
  <c r="AM597" i="2"/>
  <c r="AO597" i="2"/>
  <c r="AP597" i="2"/>
  <c r="AQ597" i="2"/>
  <c r="AR597" i="2"/>
  <c r="AS597" i="2"/>
  <c r="AT597" i="2"/>
  <c r="AU597" i="2"/>
  <c r="AV597" i="2"/>
  <c r="B598" i="2"/>
  <c r="C598" i="2"/>
  <c r="D598" i="2"/>
  <c r="E598" i="2"/>
  <c r="F598" i="2"/>
  <c r="G598" i="2"/>
  <c r="H598" i="2"/>
  <c r="I598" i="2"/>
  <c r="J598" i="2"/>
  <c r="K598" i="2"/>
  <c r="L598" i="2"/>
  <c r="M598" i="2"/>
  <c r="N598" i="2"/>
  <c r="O598" i="2"/>
  <c r="P598" i="2"/>
  <c r="Q598" i="2"/>
  <c r="R598" i="2"/>
  <c r="S598" i="2"/>
  <c r="T598" i="2"/>
  <c r="U598" i="2"/>
  <c r="V598" i="2"/>
  <c r="W598" i="2"/>
  <c r="X598" i="2"/>
  <c r="Y598" i="2"/>
  <c r="Z598" i="2"/>
  <c r="AA598" i="2"/>
  <c r="AB598" i="2"/>
  <c r="AC598" i="2"/>
  <c r="AD598" i="2"/>
  <c r="AE598" i="2"/>
  <c r="AF598" i="2"/>
  <c r="AG598" i="2"/>
  <c r="AH598" i="2"/>
  <c r="AI598" i="2"/>
  <c r="AJ598" i="2"/>
  <c r="AK598" i="2"/>
  <c r="AM598" i="2"/>
  <c r="GR38" i="3" s="1"/>
  <c r="AO598" i="2"/>
  <c r="AP598" i="2"/>
  <c r="AQ598" i="2"/>
  <c r="AR598" i="2"/>
  <c r="AS598" i="2"/>
  <c r="AT598" i="2"/>
  <c r="AU598" i="2"/>
  <c r="AV598" i="2"/>
  <c r="B599" i="2"/>
  <c r="C599" i="2"/>
  <c r="D599" i="2"/>
  <c r="E599" i="2"/>
  <c r="F599" i="2"/>
  <c r="G599" i="2"/>
  <c r="H599" i="2"/>
  <c r="I599" i="2"/>
  <c r="J599" i="2"/>
  <c r="K599" i="2"/>
  <c r="L599" i="2"/>
  <c r="M599" i="2"/>
  <c r="N599" i="2"/>
  <c r="O599" i="2"/>
  <c r="P599" i="2"/>
  <c r="Q599" i="2"/>
  <c r="R599" i="2"/>
  <c r="S599" i="2"/>
  <c r="T599" i="2"/>
  <c r="U599" i="2"/>
  <c r="V599" i="2"/>
  <c r="W599" i="2"/>
  <c r="X599" i="2"/>
  <c r="Y599" i="2"/>
  <c r="Z599" i="2"/>
  <c r="AA599" i="2"/>
  <c r="AB599" i="2"/>
  <c r="AC599" i="2"/>
  <c r="AD599" i="2"/>
  <c r="AE599" i="2"/>
  <c r="AF599" i="2"/>
  <c r="AG599" i="2"/>
  <c r="AH599" i="2"/>
  <c r="AI599" i="2"/>
  <c r="AJ599" i="2"/>
  <c r="AK599" i="2"/>
  <c r="AM599" i="2"/>
  <c r="GS38" i="3" s="1"/>
  <c r="AO599" i="2"/>
  <c r="AP599" i="2"/>
  <c r="AQ599" i="2"/>
  <c r="AR599" i="2"/>
  <c r="AS599" i="2"/>
  <c r="AT599" i="2"/>
  <c r="AU599" i="2"/>
  <c r="AV599" i="2"/>
  <c r="B600" i="2"/>
  <c r="C600" i="2"/>
  <c r="D600" i="2"/>
  <c r="E600" i="2"/>
  <c r="F600" i="2"/>
  <c r="G600" i="2"/>
  <c r="H600" i="2"/>
  <c r="I600" i="2"/>
  <c r="J600" i="2"/>
  <c r="K600" i="2"/>
  <c r="L600" i="2"/>
  <c r="M600" i="2"/>
  <c r="N600" i="2"/>
  <c r="O600" i="2"/>
  <c r="P600" i="2"/>
  <c r="Q600" i="2"/>
  <c r="R600" i="2"/>
  <c r="S600" i="2"/>
  <c r="T600" i="2"/>
  <c r="U600" i="2"/>
  <c r="V600" i="2"/>
  <c r="W600" i="2"/>
  <c r="X600" i="2"/>
  <c r="Y600" i="2"/>
  <c r="Z600" i="2"/>
  <c r="AA600" i="2"/>
  <c r="AB600" i="2"/>
  <c r="AC600" i="2"/>
  <c r="AD600" i="2"/>
  <c r="AE600" i="2"/>
  <c r="AF600" i="2"/>
  <c r="AG600" i="2"/>
  <c r="AH600" i="2"/>
  <c r="AI600" i="2"/>
  <c r="AJ600" i="2"/>
  <c r="AK600" i="2"/>
  <c r="AM600" i="2"/>
  <c r="AO600" i="2"/>
  <c r="AP600" i="2"/>
  <c r="AQ600" i="2"/>
  <c r="AR600" i="2"/>
  <c r="AS600" i="2"/>
  <c r="AT600" i="2"/>
  <c r="AU600" i="2"/>
  <c r="AV600" i="2"/>
  <c r="B601" i="2"/>
  <c r="C601" i="2"/>
  <c r="D601" i="2"/>
  <c r="E601" i="2"/>
  <c r="F601" i="2"/>
  <c r="G601" i="2"/>
  <c r="H601" i="2"/>
  <c r="I601" i="2"/>
  <c r="J601" i="2"/>
  <c r="K601" i="2"/>
  <c r="L601" i="2"/>
  <c r="M601" i="2"/>
  <c r="N601" i="2"/>
  <c r="O601" i="2"/>
  <c r="P601" i="2"/>
  <c r="Q601" i="2"/>
  <c r="R601" i="2"/>
  <c r="S601" i="2"/>
  <c r="T601" i="2"/>
  <c r="U601" i="2"/>
  <c r="V601" i="2"/>
  <c r="W601" i="2"/>
  <c r="X601" i="2"/>
  <c r="Y601" i="2"/>
  <c r="Z601" i="2"/>
  <c r="AA601" i="2"/>
  <c r="AB601" i="2"/>
  <c r="AC601" i="2"/>
  <c r="AD601" i="2"/>
  <c r="AE601" i="2"/>
  <c r="AF601" i="2"/>
  <c r="AG601" i="2"/>
  <c r="AH601" i="2"/>
  <c r="AI601" i="2"/>
  <c r="AJ601" i="2"/>
  <c r="AK601" i="2"/>
  <c r="AM601" i="2"/>
  <c r="AO601" i="2"/>
  <c r="AP601" i="2"/>
  <c r="AQ601" i="2"/>
  <c r="AR601" i="2"/>
  <c r="AS601" i="2"/>
  <c r="AT601" i="2"/>
  <c r="AU601" i="2"/>
  <c r="AV601" i="2"/>
  <c r="B602" i="2"/>
  <c r="C602" i="2"/>
  <c r="D602" i="2"/>
  <c r="E602" i="2"/>
  <c r="F602" i="2"/>
  <c r="G602" i="2"/>
  <c r="H602" i="2"/>
  <c r="I602" i="2"/>
  <c r="J602" i="2"/>
  <c r="K602" i="2"/>
  <c r="L602" i="2"/>
  <c r="M602" i="2"/>
  <c r="N602" i="2"/>
  <c r="O602" i="2"/>
  <c r="P602" i="2"/>
  <c r="Q602" i="2"/>
  <c r="R602" i="2"/>
  <c r="S602" i="2"/>
  <c r="T602" i="2"/>
  <c r="U602" i="2"/>
  <c r="V602" i="2"/>
  <c r="W602" i="2"/>
  <c r="X602" i="2"/>
  <c r="Y602" i="2"/>
  <c r="Z602" i="2"/>
  <c r="AA602" i="2"/>
  <c r="AB602" i="2"/>
  <c r="AC602" i="2"/>
  <c r="AD602" i="2"/>
  <c r="AE602" i="2"/>
  <c r="AF602" i="2"/>
  <c r="AG602" i="2"/>
  <c r="AH602" i="2"/>
  <c r="AI602" i="2"/>
  <c r="AJ602" i="2"/>
  <c r="AK602" i="2"/>
  <c r="AL602" i="2"/>
  <c r="AL601" i="2" s="1"/>
  <c r="AL600" i="2" s="1"/>
  <c r="AL599" i="2" s="1"/>
  <c r="AL598" i="2" s="1"/>
  <c r="AL597" i="2" s="1"/>
  <c r="AL596" i="2" s="1"/>
  <c r="AL595" i="2" s="1"/>
  <c r="AL594" i="2" s="1"/>
  <c r="AL593" i="2" s="1"/>
  <c r="AL592" i="2" s="1"/>
  <c r="AL591" i="2" s="1"/>
  <c r="AL590" i="2" s="1"/>
  <c r="AL589" i="2" s="1"/>
  <c r="AL588" i="2" s="1"/>
  <c r="AL587" i="2" s="1"/>
  <c r="AL586" i="2" s="1"/>
  <c r="AL585" i="2" s="1"/>
  <c r="AL584" i="2" s="1"/>
  <c r="AL583" i="2" s="1"/>
  <c r="AL582" i="2" s="1"/>
  <c r="AL581" i="2" s="1"/>
  <c r="AL580" i="2" s="1"/>
  <c r="AL579" i="2" s="1"/>
  <c r="AL578" i="2" s="1"/>
  <c r="AL577" i="2" s="1"/>
  <c r="AL576" i="2" s="1"/>
  <c r="AL575" i="2" s="1"/>
  <c r="AL574" i="2" s="1"/>
  <c r="AL573" i="2" s="1"/>
  <c r="AL572" i="2" s="1"/>
  <c r="AL571" i="2" s="1"/>
  <c r="AL570" i="2" s="1"/>
  <c r="AL569" i="2" s="1"/>
  <c r="AL568" i="2" s="1"/>
  <c r="AL567" i="2" s="1"/>
  <c r="AL566" i="2" s="1"/>
  <c r="AL565" i="2" s="1"/>
  <c r="AL564" i="2" s="1"/>
  <c r="AL563" i="2" s="1"/>
  <c r="AL562" i="2" s="1"/>
  <c r="AL561" i="2" s="1"/>
  <c r="AL560" i="2" s="1"/>
  <c r="AL559" i="2" s="1"/>
  <c r="AL558" i="2" s="1"/>
  <c r="AL557" i="2" s="1"/>
  <c r="AL556" i="2" s="1"/>
  <c r="AL555" i="2" s="1"/>
  <c r="AL554" i="2" s="1"/>
  <c r="AL553" i="2" s="1"/>
  <c r="AL552" i="2" s="1"/>
  <c r="AL551" i="2" s="1"/>
  <c r="AL550" i="2" s="1"/>
  <c r="AL549" i="2" s="1"/>
  <c r="AL548" i="2" s="1"/>
  <c r="AL547" i="2" s="1"/>
  <c r="AL546" i="2" s="1"/>
  <c r="AL545" i="2" s="1"/>
  <c r="AL544" i="2" s="1"/>
  <c r="AL543" i="2" s="1"/>
  <c r="AL542" i="2" s="1"/>
  <c r="AL541" i="2" s="1"/>
  <c r="AL540" i="2" s="1"/>
  <c r="AL539" i="2" s="1"/>
  <c r="AL538" i="2" s="1"/>
  <c r="AL537" i="2" s="1"/>
  <c r="AL536" i="2" s="1"/>
  <c r="AL535" i="2" s="1"/>
  <c r="AL534" i="2" s="1"/>
  <c r="AL533" i="2" s="1"/>
  <c r="AL532" i="2" s="1"/>
  <c r="AL531" i="2" s="1"/>
  <c r="AL530" i="2" s="1"/>
  <c r="AL529" i="2" s="1"/>
  <c r="AL528" i="2" s="1"/>
  <c r="AL527" i="2" s="1"/>
  <c r="AL526" i="2" s="1"/>
  <c r="AL525" i="2" s="1"/>
  <c r="AL524" i="2" s="1"/>
  <c r="AL523" i="2" s="1"/>
  <c r="AL522" i="2" s="1"/>
  <c r="AL521" i="2" s="1"/>
  <c r="AL520" i="2" s="1"/>
  <c r="AL519" i="2" s="1"/>
  <c r="AL518" i="2" s="1"/>
  <c r="AL517" i="2" s="1"/>
  <c r="AL516" i="2" s="1"/>
  <c r="AL515" i="2" s="1"/>
  <c r="AL514" i="2" s="1"/>
  <c r="AL513" i="2" s="1"/>
  <c r="AL512" i="2" s="1"/>
  <c r="AL511" i="2" s="1"/>
  <c r="AL510" i="2" s="1"/>
  <c r="AL509" i="2" s="1"/>
  <c r="AL508" i="2" s="1"/>
  <c r="AL507" i="2" s="1"/>
  <c r="AL506" i="2" s="1"/>
  <c r="AL505" i="2" s="1"/>
  <c r="AL504" i="2" s="1"/>
  <c r="AL503" i="2" s="1"/>
  <c r="AL502" i="2" s="1"/>
  <c r="AL501" i="2" s="1"/>
  <c r="AL500" i="2" s="1"/>
  <c r="AL499" i="2" s="1"/>
  <c r="AL498" i="2" s="1"/>
  <c r="AL497" i="2" s="1"/>
  <c r="AL496" i="2" s="1"/>
  <c r="AL495" i="2" s="1"/>
  <c r="AL494" i="2" s="1"/>
  <c r="AL493" i="2" s="1"/>
  <c r="AL492" i="2" s="1"/>
  <c r="AL491" i="2" s="1"/>
  <c r="AL490" i="2" s="1"/>
  <c r="AL489" i="2" s="1"/>
  <c r="AL488" i="2" s="1"/>
  <c r="AL487" i="2" s="1"/>
  <c r="AL486" i="2" s="1"/>
  <c r="AL485" i="2" s="1"/>
  <c r="AL484" i="2" s="1"/>
  <c r="AL483" i="2" s="1"/>
  <c r="AL482" i="2" s="1"/>
  <c r="AL481" i="2" s="1"/>
  <c r="AL480" i="2" s="1"/>
  <c r="AL479" i="2" s="1"/>
  <c r="AL478" i="2" s="1"/>
  <c r="AL477" i="2" s="1"/>
  <c r="AL476" i="2" s="1"/>
  <c r="AL475" i="2" s="1"/>
  <c r="AL474" i="2" s="1"/>
  <c r="AL473" i="2" s="1"/>
  <c r="AL472" i="2" s="1"/>
  <c r="AL471" i="2" s="1"/>
  <c r="AL470" i="2" s="1"/>
  <c r="AL469" i="2" s="1"/>
  <c r="AL468" i="2" s="1"/>
  <c r="AL467" i="2" s="1"/>
  <c r="AL466" i="2" s="1"/>
  <c r="AL465" i="2" s="1"/>
  <c r="AL464" i="2" s="1"/>
  <c r="AL463" i="2" s="1"/>
  <c r="AL462" i="2" s="1"/>
  <c r="AL461" i="2" s="1"/>
  <c r="AL460" i="2" s="1"/>
  <c r="AL459" i="2" s="1"/>
  <c r="AL458" i="2" s="1"/>
  <c r="AL457" i="2" s="1"/>
  <c r="AL456" i="2" s="1"/>
  <c r="AL455" i="2" s="1"/>
  <c r="AL454" i="2" s="1"/>
  <c r="AL453" i="2" s="1"/>
  <c r="AL452" i="2" s="1"/>
  <c r="AL451" i="2" s="1"/>
  <c r="AL450" i="2" s="1"/>
  <c r="AL449" i="2" s="1"/>
  <c r="AL448" i="2" s="1"/>
  <c r="AL447" i="2" s="1"/>
  <c r="AL446" i="2" s="1"/>
  <c r="AL445" i="2" s="1"/>
  <c r="AL444" i="2" s="1"/>
  <c r="AL443" i="2" s="1"/>
  <c r="AL442" i="2" s="1"/>
  <c r="AL441" i="2" s="1"/>
  <c r="AL440" i="2" s="1"/>
  <c r="AL439" i="2" s="1"/>
  <c r="AL438" i="2" s="1"/>
  <c r="AL437" i="2" s="1"/>
  <c r="AL436" i="2" s="1"/>
  <c r="AL435" i="2" s="1"/>
  <c r="AL434" i="2" s="1"/>
  <c r="AL433" i="2" s="1"/>
  <c r="AL432" i="2" s="1"/>
  <c r="AL431" i="2" s="1"/>
  <c r="AL430" i="2" s="1"/>
  <c r="AL429" i="2" s="1"/>
  <c r="AL428" i="2" s="1"/>
  <c r="AL427" i="2" s="1"/>
  <c r="AL426" i="2" s="1"/>
  <c r="AL425" i="2" s="1"/>
  <c r="AL424" i="2" s="1"/>
  <c r="AL423" i="2" s="1"/>
  <c r="AL422" i="2" s="1"/>
  <c r="AL421" i="2" s="1"/>
  <c r="AL420" i="2" s="1"/>
  <c r="AL419" i="2" s="1"/>
  <c r="AL418" i="2" s="1"/>
  <c r="AL417" i="2" s="1"/>
  <c r="AL416" i="2" s="1"/>
  <c r="AL415" i="2" s="1"/>
  <c r="AL414" i="2" s="1"/>
  <c r="AL413" i="2" s="1"/>
  <c r="AL412" i="2" s="1"/>
  <c r="AL411" i="2" s="1"/>
  <c r="AL410" i="2" s="1"/>
  <c r="AL409" i="2" s="1"/>
  <c r="AL408" i="2" s="1"/>
  <c r="AL407" i="2" s="1"/>
  <c r="AL406" i="2" s="1"/>
  <c r="AL405" i="2" s="1"/>
  <c r="AL404" i="2" s="1"/>
  <c r="AL403" i="2" s="1"/>
  <c r="AL402" i="2" s="1"/>
  <c r="AL401" i="2" s="1"/>
  <c r="AL400" i="2" s="1"/>
  <c r="AL399" i="2" s="1"/>
  <c r="AL398" i="2" s="1"/>
  <c r="AL397" i="2" s="1"/>
  <c r="AL396" i="2" s="1"/>
  <c r="AL395" i="2" s="1"/>
  <c r="AL394" i="2" s="1"/>
  <c r="AL393" i="2" s="1"/>
  <c r="AL392" i="2" s="1"/>
  <c r="AL391" i="2" s="1"/>
  <c r="AL390" i="2" s="1"/>
  <c r="AL389" i="2" s="1"/>
  <c r="AL388" i="2" s="1"/>
  <c r="AL387" i="2" s="1"/>
  <c r="AL386" i="2" s="1"/>
  <c r="AL385" i="2" s="1"/>
  <c r="AL384" i="2" s="1"/>
  <c r="AL383" i="2" s="1"/>
  <c r="AL382" i="2" s="1"/>
  <c r="AL381" i="2" s="1"/>
  <c r="AL380" i="2" s="1"/>
  <c r="AL379" i="2" s="1"/>
  <c r="AL378" i="2" s="1"/>
  <c r="AL377" i="2" s="1"/>
  <c r="AL376" i="2" s="1"/>
  <c r="AL375" i="2" s="1"/>
  <c r="AL374" i="2" s="1"/>
  <c r="AL373" i="2" s="1"/>
  <c r="AL372" i="2" s="1"/>
  <c r="AL371" i="2" s="1"/>
  <c r="AL370" i="2" s="1"/>
  <c r="AL369" i="2" s="1"/>
  <c r="AL368" i="2" s="1"/>
  <c r="AL367" i="2" s="1"/>
  <c r="AL366" i="2" s="1"/>
  <c r="AL365" i="2" s="1"/>
  <c r="AL364" i="2" s="1"/>
  <c r="AL363" i="2" s="1"/>
  <c r="AL362" i="2" s="1"/>
  <c r="AL361" i="2" s="1"/>
  <c r="AL360" i="2" s="1"/>
  <c r="AL359" i="2" s="1"/>
  <c r="AL358" i="2" s="1"/>
  <c r="AL357" i="2" s="1"/>
  <c r="AL356" i="2" s="1"/>
  <c r="AL355" i="2" s="1"/>
  <c r="AL354" i="2" s="1"/>
  <c r="AL353" i="2" s="1"/>
  <c r="AL352" i="2" s="1"/>
  <c r="AL351" i="2" s="1"/>
  <c r="AL350" i="2" s="1"/>
  <c r="AL349" i="2" s="1"/>
  <c r="AL348" i="2" s="1"/>
  <c r="AL347" i="2" s="1"/>
  <c r="AL346" i="2" s="1"/>
  <c r="AL345" i="2" s="1"/>
  <c r="AL344" i="2" s="1"/>
  <c r="AL343" i="2" s="1"/>
  <c r="AL342" i="2" s="1"/>
  <c r="AL341" i="2" s="1"/>
  <c r="AL340" i="2" s="1"/>
  <c r="AL339" i="2" s="1"/>
  <c r="AL338" i="2" s="1"/>
  <c r="AL337" i="2" s="1"/>
  <c r="AL336" i="2" s="1"/>
  <c r="AL335" i="2" s="1"/>
  <c r="AL334" i="2" s="1"/>
  <c r="AL333" i="2" s="1"/>
  <c r="AL332" i="2" s="1"/>
  <c r="AL331" i="2" s="1"/>
  <c r="AL330" i="2" s="1"/>
  <c r="AL329" i="2" s="1"/>
  <c r="AL328" i="2" s="1"/>
  <c r="AL327" i="2" s="1"/>
  <c r="AL326" i="2" s="1"/>
  <c r="AL325" i="2" s="1"/>
  <c r="AL324" i="2" s="1"/>
  <c r="AL323" i="2" s="1"/>
  <c r="AL322" i="2" s="1"/>
  <c r="AL321" i="2" s="1"/>
  <c r="AL320" i="2" s="1"/>
  <c r="AL319" i="2" s="1"/>
  <c r="AL318" i="2" s="1"/>
  <c r="AL317" i="2" s="1"/>
  <c r="AL316" i="2" s="1"/>
  <c r="AL315" i="2" s="1"/>
  <c r="AL314" i="2" s="1"/>
  <c r="AL313" i="2" s="1"/>
  <c r="AL312" i="2" s="1"/>
  <c r="AL311" i="2" s="1"/>
  <c r="AL310" i="2" s="1"/>
  <c r="AL309" i="2" s="1"/>
  <c r="AL308" i="2" s="1"/>
  <c r="AL307" i="2" s="1"/>
  <c r="AL306" i="2" s="1"/>
  <c r="AL305" i="2" s="1"/>
  <c r="AL304" i="2" s="1"/>
  <c r="AL303" i="2" s="1"/>
  <c r="AL302" i="2" s="1"/>
  <c r="AL301" i="2" s="1"/>
  <c r="AL300" i="2" s="1"/>
  <c r="AL299" i="2" s="1"/>
  <c r="AL298" i="2" s="1"/>
  <c r="AL297" i="2" s="1"/>
  <c r="AL296" i="2" s="1"/>
  <c r="AL295" i="2" s="1"/>
  <c r="AL294" i="2" s="1"/>
  <c r="AL293" i="2" s="1"/>
  <c r="AL292" i="2" s="1"/>
  <c r="AL291" i="2" s="1"/>
  <c r="AL290" i="2" s="1"/>
  <c r="AL289" i="2" s="1"/>
  <c r="AL288" i="2" s="1"/>
  <c r="AL287" i="2" s="1"/>
  <c r="AL286" i="2" s="1"/>
  <c r="AL285" i="2" s="1"/>
  <c r="AL284" i="2" s="1"/>
  <c r="AL283" i="2" s="1"/>
  <c r="AL282" i="2" s="1"/>
  <c r="AL281" i="2" s="1"/>
  <c r="AL280" i="2" s="1"/>
  <c r="AL279" i="2" s="1"/>
  <c r="AL278" i="2" s="1"/>
  <c r="AL277" i="2" s="1"/>
  <c r="AL276" i="2" s="1"/>
  <c r="AL275" i="2" s="1"/>
  <c r="AL274" i="2" s="1"/>
  <c r="AL273" i="2" s="1"/>
  <c r="AL272" i="2" s="1"/>
  <c r="AL271" i="2" s="1"/>
  <c r="AL270" i="2" s="1"/>
  <c r="AL269" i="2" s="1"/>
  <c r="AL268" i="2" s="1"/>
  <c r="AL267" i="2" s="1"/>
  <c r="AL266" i="2" s="1"/>
  <c r="AL265" i="2" s="1"/>
  <c r="AL264" i="2" s="1"/>
  <c r="AL263" i="2" s="1"/>
  <c r="AL262" i="2" s="1"/>
  <c r="AL261" i="2" s="1"/>
  <c r="AL260" i="2" s="1"/>
  <c r="AL259" i="2" s="1"/>
  <c r="AL258" i="2" s="1"/>
  <c r="AL257" i="2" s="1"/>
  <c r="AL256" i="2" s="1"/>
  <c r="AL255" i="2" s="1"/>
  <c r="AL254" i="2" s="1"/>
  <c r="AL253" i="2" s="1"/>
  <c r="AL252" i="2" s="1"/>
  <c r="AL251" i="2" s="1"/>
  <c r="AL250" i="2" s="1"/>
  <c r="AL249" i="2" s="1"/>
  <c r="AL248" i="2" s="1"/>
  <c r="AL247" i="2" s="1"/>
  <c r="AL246" i="2" s="1"/>
  <c r="AL245" i="2" s="1"/>
  <c r="AL244" i="2" s="1"/>
  <c r="AL243" i="2" s="1"/>
  <c r="AL242" i="2" s="1"/>
  <c r="AL241" i="2" s="1"/>
  <c r="AL240" i="2" s="1"/>
  <c r="AL239" i="2" s="1"/>
  <c r="AL238" i="2" s="1"/>
  <c r="AL237" i="2" s="1"/>
  <c r="AL236" i="2" s="1"/>
  <c r="AL235" i="2" s="1"/>
  <c r="AL234" i="2" s="1"/>
  <c r="AL233" i="2" s="1"/>
  <c r="AL232" i="2" s="1"/>
  <c r="AL231" i="2" s="1"/>
  <c r="AL230" i="2" s="1"/>
  <c r="AL229" i="2" s="1"/>
  <c r="AL228" i="2" s="1"/>
  <c r="AL227" i="2" s="1"/>
  <c r="AL226" i="2" s="1"/>
  <c r="AL225" i="2" s="1"/>
  <c r="AL224" i="2" s="1"/>
  <c r="AL223" i="2" s="1"/>
  <c r="AL222" i="2" s="1"/>
  <c r="AL221" i="2" s="1"/>
  <c r="AL220" i="2" s="1"/>
  <c r="AL219" i="2" s="1"/>
  <c r="AL218" i="2" s="1"/>
  <c r="AL217" i="2" s="1"/>
  <c r="AL216" i="2" s="1"/>
  <c r="AL215" i="2" s="1"/>
  <c r="AL214" i="2" s="1"/>
  <c r="AL213" i="2" s="1"/>
  <c r="AL212" i="2" s="1"/>
  <c r="AL211" i="2" s="1"/>
  <c r="AL210" i="2" s="1"/>
  <c r="AL209" i="2" s="1"/>
  <c r="AL208" i="2" s="1"/>
  <c r="AL207" i="2" s="1"/>
  <c r="AL206" i="2" s="1"/>
  <c r="AL205" i="2" s="1"/>
  <c r="AL204" i="2" s="1"/>
  <c r="AL203" i="2" s="1"/>
  <c r="AL202" i="2" s="1"/>
  <c r="AL201" i="2" s="1"/>
  <c r="AL200" i="2" s="1"/>
  <c r="AL199" i="2" s="1"/>
  <c r="AL198" i="2" s="1"/>
  <c r="AL197" i="2" s="1"/>
  <c r="AL196" i="2" s="1"/>
  <c r="AL195" i="2" s="1"/>
  <c r="AL194" i="2" s="1"/>
  <c r="AL193" i="2" s="1"/>
  <c r="AL192" i="2" s="1"/>
  <c r="AL191" i="2" s="1"/>
  <c r="AL190" i="2" s="1"/>
  <c r="AL189" i="2" s="1"/>
  <c r="AL188" i="2" s="1"/>
  <c r="AL187" i="2" s="1"/>
  <c r="AL186" i="2" s="1"/>
  <c r="AL185" i="2" s="1"/>
  <c r="AL184" i="2" s="1"/>
  <c r="AL183" i="2" s="1"/>
  <c r="AL182" i="2" s="1"/>
  <c r="AL181" i="2" s="1"/>
  <c r="AL180" i="2" s="1"/>
  <c r="AL179" i="2" s="1"/>
  <c r="AL178" i="2" s="1"/>
  <c r="AL177" i="2" s="1"/>
  <c r="AL176" i="2" s="1"/>
  <c r="AL175" i="2" s="1"/>
  <c r="AL174" i="2" s="1"/>
  <c r="AL173" i="2" s="1"/>
  <c r="AL172" i="2" s="1"/>
  <c r="AL171" i="2" s="1"/>
  <c r="AL170" i="2" s="1"/>
  <c r="AL169" i="2" s="1"/>
  <c r="AL168" i="2" s="1"/>
  <c r="AL167" i="2" s="1"/>
  <c r="AL166" i="2" s="1"/>
  <c r="AL165" i="2" s="1"/>
  <c r="AL164" i="2" s="1"/>
  <c r="AL163" i="2" s="1"/>
  <c r="AL162" i="2" s="1"/>
  <c r="AL161" i="2" s="1"/>
  <c r="AL160" i="2" s="1"/>
  <c r="AL159" i="2" s="1"/>
  <c r="AL158" i="2" s="1"/>
  <c r="AL157" i="2" s="1"/>
  <c r="AL156" i="2" s="1"/>
  <c r="AL155" i="2" s="1"/>
  <c r="AL154" i="2" s="1"/>
  <c r="AL153" i="2" s="1"/>
  <c r="AL152" i="2" s="1"/>
  <c r="AL151" i="2" s="1"/>
  <c r="AL150" i="2" s="1"/>
  <c r="AL149" i="2" s="1"/>
  <c r="AL148" i="2" s="1"/>
  <c r="AL147" i="2" s="1"/>
  <c r="AL146" i="2" s="1"/>
  <c r="AL145" i="2" s="1"/>
  <c r="AL144" i="2" s="1"/>
  <c r="AL143" i="2" s="1"/>
  <c r="AL142" i="2" s="1"/>
  <c r="AL141" i="2" s="1"/>
  <c r="AL140" i="2" s="1"/>
  <c r="AL139" i="2" s="1"/>
  <c r="AL138" i="2" s="1"/>
  <c r="AL137" i="2" s="1"/>
  <c r="AL136" i="2" s="1"/>
  <c r="AL135" i="2" s="1"/>
  <c r="AL134" i="2" s="1"/>
  <c r="AL133" i="2" s="1"/>
  <c r="AL132" i="2" s="1"/>
  <c r="AL131" i="2" s="1"/>
  <c r="AL130" i="2" s="1"/>
  <c r="AL129" i="2" s="1"/>
  <c r="AL128" i="2" s="1"/>
  <c r="AL127" i="2" s="1"/>
  <c r="AL126" i="2" s="1"/>
  <c r="AL125" i="2" s="1"/>
  <c r="AL124" i="2" s="1"/>
  <c r="AL123" i="2" s="1"/>
  <c r="AL122" i="2" s="1"/>
  <c r="AL121" i="2" s="1"/>
  <c r="AL120" i="2" s="1"/>
  <c r="AL119" i="2" s="1"/>
  <c r="AL118" i="2" s="1"/>
  <c r="AL117" i="2" s="1"/>
  <c r="AL116" i="2" s="1"/>
  <c r="AL115" i="2" s="1"/>
  <c r="AL114" i="2" s="1"/>
  <c r="AL113" i="2" s="1"/>
  <c r="AL112" i="2" s="1"/>
  <c r="AL111" i="2" s="1"/>
  <c r="AL110" i="2" s="1"/>
  <c r="AL109" i="2" s="1"/>
  <c r="AL108" i="2" s="1"/>
  <c r="AL107" i="2" s="1"/>
  <c r="AL106" i="2" s="1"/>
  <c r="AL105" i="2" s="1"/>
  <c r="AL104" i="2" s="1"/>
  <c r="AL103" i="2" s="1"/>
  <c r="AL102" i="2" s="1"/>
  <c r="AL101" i="2" s="1"/>
  <c r="AL100" i="2" s="1"/>
  <c r="AL99" i="2" s="1"/>
  <c r="AL98" i="2" s="1"/>
  <c r="AL97" i="2" s="1"/>
  <c r="AL96" i="2" s="1"/>
  <c r="AL95" i="2" s="1"/>
  <c r="AL94" i="2" s="1"/>
  <c r="AL93" i="2" s="1"/>
  <c r="AL92" i="2" s="1"/>
  <c r="AL91" i="2" s="1"/>
  <c r="AL90" i="2" s="1"/>
  <c r="AL89" i="2" s="1"/>
  <c r="AL88" i="2" s="1"/>
  <c r="AL87" i="2" s="1"/>
  <c r="AL86" i="2" s="1"/>
  <c r="AL85" i="2" s="1"/>
  <c r="AL84" i="2" s="1"/>
  <c r="AL83" i="2" s="1"/>
  <c r="AL82" i="2" s="1"/>
  <c r="AL81" i="2" s="1"/>
  <c r="AL80" i="2" s="1"/>
  <c r="AL79" i="2" s="1"/>
  <c r="AL78" i="2" s="1"/>
  <c r="AL77" i="2" s="1"/>
  <c r="AL76" i="2" s="1"/>
  <c r="AL75" i="2" s="1"/>
  <c r="AL74" i="2" s="1"/>
  <c r="AL73" i="2" s="1"/>
  <c r="AL72" i="2" s="1"/>
  <c r="AL71" i="2" s="1"/>
  <c r="AL70" i="2" s="1"/>
  <c r="AL69" i="2" s="1"/>
  <c r="AL68" i="2" s="1"/>
  <c r="AL67" i="2" s="1"/>
  <c r="AL66" i="2" s="1"/>
  <c r="AL65" i="2" s="1"/>
  <c r="AL64" i="2" s="1"/>
  <c r="AL63" i="2" s="1"/>
  <c r="AL62" i="2" s="1"/>
  <c r="AL61" i="2" s="1"/>
  <c r="AL60" i="2" s="1"/>
  <c r="AL59" i="2" s="1"/>
  <c r="AL58" i="2" s="1"/>
  <c r="AL57" i="2" s="1"/>
  <c r="AL56" i="2" s="1"/>
  <c r="AL55" i="2" s="1"/>
  <c r="AL54" i="2" s="1"/>
  <c r="AL53" i="2" s="1"/>
  <c r="AL52" i="2" s="1"/>
  <c r="AL51" i="2" s="1"/>
  <c r="AL50" i="2" s="1"/>
  <c r="AL49" i="2" s="1"/>
  <c r="AL48" i="2" s="1"/>
  <c r="AL47" i="2" s="1"/>
  <c r="AL46" i="2" s="1"/>
  <c r="AL45" i="2" s="1"/>
  <c r="AL44" i="2" s="1"/>
  <c r="AL43" i="2" s="1"/>
  <c r="AL42" i="2" s="1"/>
  <c r="AL41" i="2" s="1"/>
  <c r="AL40" i="2" s="1"/>
  <c r="AL39" i="2" s="1"/>
  <c r="AL38" i="2" s="1"/>
  <c r="AL37" i="2" s="1"/>
  <c r="AL36" i="2" s="1"/>
  <c r="AL35" i="2" s="1"/>
  <c r="AL34" i="2" s="1"/>
  <c r="AL33" i="2" s="1"/>
  <c r="AL32" i="2" s="1"/>
  <c r="AL31" i="2" s="1"/>
  <c r="AL30" i="2" s="1"/>
  <c r="AL29" i="2" s="1"/>
  <c r="AL28" i="2" s="1"/>
  <c r="AL27" i="2" s="1"/>
  <c r="AL26" i="2" s="1"/>
  <c r="AL25" i="2" s="1"/>
  <c r="AL24" i="2" s="1"/>
  <c r="AL23" i="2" s="1"/>
  <c r="AL22" i="2" s="1"/>
  <c r="AL21" i="2" s="1"/>
  <c r="AL20" i="2" s="1"/>
  <c r="AL19" i="2" s="1"/>
  <c r="AL18" i="2" s="1"/>
  <c r="AL17" i="2" s="1"/>
  <c r="AL16" i="2" s="1"/>
  <c r="AL15" i="2" s="1"/>
  <c r="AL14" i="2" s="1"/>
  <c r="AM602" i="2"/>
  <c r="GT38" i="3" s="1"/>
  <c r="AO602" i="2"/>
  <c r="AP602" i="2"/>
  <c r="AQ602" i="2"/>
  <c r="AR602" i="2"/>
  <c r="AS602" i="2"/>
  <c r="AT602" i="2"/>
  <c r="AU602" i="2"/>
  <c r="AV602" i="2"/>
  <c r="B603" i="2"/>
  <c r="C603" i="2"/>
  <c r="D603" i="2"/>
  <c r="E603" i="2"/>
  <c r="F603" i="2"/>
  <c r="G603" i="2"/>
  <c r="H603" i="2"/>
  <c r="I603" i="2"/>
  <c r="J603" i="2"/>
  <c r="K603" i="2"/>
  <c r="L603" i="2"/>
  <c r="M603" i="2"/>
  <c r="N603" i="2"/>
  <c r="O603" i="2"/>
  <c r="P603" i="2"/>
  <c r="Q603" i="2"/>
  <c r="R603" i="2"/>
  <c r="S603" i="2"/>
  <c r="T603" i="2"/>
  <c r="U603" i="2"/>
  <c r="V603" i="2"/>
  <c r="W603" i="2"/>
  <c r="X603" i="2"/>
  <c r="Y603" i="2"/>
  <c r="Z603" i="2"/>
  <c r="AA603" i="2"/>
  <c r="AB603" i="2"/>
  <c r="AC603" i="2"/>
  <c r="AD603" i="2"/>
  <c r="AE603" i="2"/>
  <c r="AF603" i="2"/>
  <c r="AG603" i="2"/>
  <c r="AH603" i="2"/>
  <c r="AI603" i="2"/>
  <c r="AJ603" i="2"/>
  <c r="AK603" i="2"/>
  <c r="AM603" i="2"/>
  <c r="AO603" i="2"/>
  <c r="AP603" i="2"/>
  <c r="AQ603" i="2"/>
  <c r="AR603" i="2"/>
  <c r="AS603" i="2"/>
  <c r="AT603" i="2"/>
  <c r="AU603" i="2"/>
  <c r="AV603" i="2"/>
  <c r="B604" i="2"/>
  <c r="C604" i="2"/>
  <c r="D604" i="2"/>
  <c r="E604" i="2"/>
  <c r="F604" i="2"/>
  <c r="G604" i="2"/>
  <c r="H604" i="2"/>
  <c r="I604" i="2"/>
  <c r="J604" i="2"/>
  <c r="K604" i="2"/>
  <c r="L604" i="2"/>
  <c r="M604" i="2"/>
  <c r="N604" i="2"/>
  <c r="O604" i="2"/>
  <c r="P604" i="2"/>
  <c r="Q604" i="2"/>
  <c r="R604" i="2"/>
  <c r="S604" i="2"/>
  <c r="T604" i="2"/>
  <c r="U604" i="2"/>
  <c r="V604" i="2"/>
  <c r="W604" i="2"/>
  <c r="X604" i="2"/>
  <c r="Y604" i="2"/>
  <c r="Z604" i="2"/>
  <c r="AA604" i="2"/>
  <c r="AB604" i="2"/>
  <c r="AC604" i="2"/>
  <c r="AD604" i="2"/>
  <c r="AE604" i="2"/>
  <c r="AF604" i="2"/>
  <c r="AG604" i="2"/>
  <c r="AH604" i="2"/>
  <c r="AI604" i="2"/>
  <c r="AJ604" i="2"/>
  <c r="AK604" i="2"/>
  <c r="AL604" i="2"/>
  <c r="AL603" i="2" s="1"/>
  <c r="AM604" i="2"/>
  <c r="AO604" i="2"/>
  <c r="AP604" i="2"/>
  <c r="AQ604" i="2"/>
  <c r="AR604" i="2"/>
  <c r="AS604" i="2"/>
  <c r="AT604" i="2"/>
  <c r="AU604" i="2"/>
  <c r="AV604" i="2"/>
  <c r="B605" i="2"/>
  <c r="C605" i="2"/>
  <c r="D605" i="2"/>
  <c r="E605" i="2"/>
  <c r="F605" i="2"/>
  <c r="G605" i="2"/>
  <c r="H605" i="2"/>
  <c r="I605" i="2"/>
  <c r="J605" i="2"/>
  <c r="K605" i="2"/>
  <c r="L605" i="2"/>
  <c r="M605" i="2"/>
  <c r="N605" i="2"/>
  <c r="O605" i="2"/>
  <c r="P605" i="2"/>
  <c r="Q605" i="2"/>
  <c r="R605" i="2"/>
  <c r="S605" i="2"/>
  <c r="T605" i="2"/>
  <c r="U605" i="2"/>
  <c r="V605" i="2"/>
  <c r="W605" i="2"/>
  <c r="X605" i="2"/>
  <c r="Y605" i="2"/>
  <c r="Z605" i="2"/>
  <c r="AA605" i="2"/>
  <c r="AB605" i="2"/>
  <c r="AC605" i="2"/>
  <c r="AD605" i="2"/>
  <c r="AE605" i="2"/>
  <c r="AF605" i="2"/>
  <c r="AG605" i="2"/>
  <c r="AH605" i="2"/>
  <c r="AI605" i="2"/>
  <c r="AJ605" i="2"/>
  <c r="AK605" i="2"/>
  <c r="AM605" i="2"/>
  <c r="GU38" i="3" s="1"/>
  <c r="AO605" i="2"/>
  <c r="AP605" i="2"/>
  <c r="AQ605" i="2"/>
  <c r="AR605" i="2"/>
  <c r="AS605" i="2"/>
  <c r="AT605" i="2"/>
  <c r="AU605" i="2"/>
  <c r="AV605" i="2"/>
  <c r="B606" i="2"/>
  <c r="C606" i="2"/>
  <c r="D606" i="2"/>
  <c r="E606" i="2"/>
  <c r="F606" i="2"/>
  <c r="G606" i="2"/>
  <c r="H606" i="2"/>
  <c r="I606" i="2"/>
  <c r="J606" i="2"/>
  <c r="K606" i="2"/>
  <c r="L606" i="2"/>
  <c r="M606" i="2"/>
  <c r="N606" i="2"/>
  <c r="O606" i="2"/>
  <c r="P606" i="2"/>
  <c r="Q606" i="2"/>
  <c r="R606" i="2"/>
  <c r="S606" i="2"/>
  <c r="T606" i="2"/>
  <c r="U606" i="2"/>
  <c r="V606" i="2"/>
  <c r="W606" i="2"/>
  <c r="X606" i="2"/>
  <c r="Y606" i="2"/>
  <c r="Z606" i="2"/>
  <c r="AA606" i="2"/>
  <c r="AB606" i="2"/>
  <c r="AC606" i="2"/>
  <c r="AD606" i="2"/>
  <c r="AE606" i="2"/>
  <c r="AF606" i="2"/>
  <c r="AG606" i="2"/>
  <c r="AH606" i="2"/>
  <c r="AI606" i="2"/>
  <c r="AJ606" i="2"/>
  <c r="AK606" i="2"/>
  <c r="AM606" i="2"/>
  <c r="AO606" i="2"/>
  <c r="AP606" i="2"/>
  <c r="AQ606" i="2"/>
  <c r="AR606" i="2"/>
  <c r="AS606" i="2"/>
  <c r="AT606" i="2"/>
  <c r="AU606" i="2"/>
  <c r="AV606" i="2"/>
  <c r="B607" i="2"/>
  <c r="C607" i="2"/>
  <c r="D607" i="2"/>
  <c r="E607" i="2"/>
  <c r="F607" i="2"/>
  <c r="G607" i="2"/>
  <c r="H607" i="2"/>
  <c r="I607" i="2"/>
  <c r="J607" i="2"/>
  <c r="K607" i="2"/>
  <c r="L607" i="2"/>
  <c r="M607" i="2"/>
  <c r="N607" i="2"/>
  <c r="O607" i="2"/>
  <c r="P607" i="2"/>
  <c r="Q607" i="2"/>
  <c r="R607" i="2"/>
  <c r="S607" i="2"/>
  <c r="T607" i="2"/>
  <c r="U607" i="2"/>
  <c r="V607" i="2"/>
  <c r="W607" i="2"/>
  <c r="X607" i="2"/>
  <c r="Y607" i="2"/>
  <c r="Z607" i="2"/>
  <c r="AA607" i="2"/>
  <c r="AB607" i="2"/>
  <c r="AC607" i="2"/>
  <c r="AD607" i="2"/>
  <c r="AE607" i="2"/>
  <c r="AF607" i="2"/>
  <c r="AG607" i="2"/>
  <c r="AH607" i="2"/>
  <c r="AI607" i="2"/>
  <c r="AJ607" i="2"/>
  <c r="AK607" i="2"/>
  <c r="AM607" i="2"/>
  <c r="AO607" i="2"/>
  <c r="AP607" i="2"/>
  <c r="AQ607" i="2"/>
  <c r="AR607" i="2"/>
  <c r="AS607" i="2"/>
  <c r="AT607" i="2"/>
  <c r="AU607" i="2"/>
  <c r="AV607" i="2"/>
  <c r="B608" i="2"/>
  <c r="C608" i="2"/>
  <c r="D608" i="2"/>
  <c r="E608" i="2"/>
  <c r="F608" i="2"/>
  <c r="G608" i="2"/>
  <c r="H608" i="2"/>
  <c r="I608" i="2"/>
  <c r="J608" i="2"/>
  <c r="K608" i="2"/>
  <c r="L608" i="2"/>
  <c r="M608" i="2"/>
  <c r="N608" i="2"/>
  <c r="O608" i="2"/>
  <c r="P608" i="2"/>
  <c r="Q608" i="2"/>
  <c r="R608" i="2"/>
  <c r="S608" i="2"/>
  <c r="T608" i="2"/>
  <c r="U608" i="2"/>
  <c r="V608" i="2"/>
  <c r="W608" i="2"/>
  <c r="X608" i="2"/>
  <c r="Y608" i="2"/>
  <c r="Z608" i="2"/>
  <c r="AA608" i="2"/>
  <c r="AB608" i="2"/>
  <c r="AC608" i="2"/>
  <c r="AD608" i="2"/>
  <c r="AE608" i="2"/>
  <c r="AF608" i="2"/>
  <c r="AG608" i="2"/>
  <c r="AH608" i="2"/>
  <c r="AI608" i="2"/>
  <c r="AJ608" i="2"/>
  <c r="AK608" i="2"/>
  <c r="AM608" i="2"/>
  <c r="GV38" i="3" s="1"/>
  <c r="AO608" i="2"/>
  <c r="AP608" i="2"/>
  <c r="AQ608" i="2"/>
  <c r="AR608" i="2"/>
  <c r="AS608" i="2"/>
  <c r="AT608" i="2"/>
  <c r="AU608" i="2"/>
  <c r="AV608" i="2"/>
  <c r="B609" i="2"/>
  <c r="C609" i="2"/>
  <c r="D609" i="2"/>
  <c r="E609" i="2"/>
  <c r="F609" i="2"/>
  <c r="G609" i="2"/>
  <c r="H609" i="2"/>
  <c r="I609" i="2"/>
  <c r="J609" i="2"/>
  <c r="K609" i="2"/>
  <c r="L609" i="2"/>
  <c r="M609" i="2"/>
  <c r="N609" i="2"/>
  <c r="O609" i="2"/>
  <c r="P609" i="2"/>
  <c r="Q609" i="2"/>
  <c r="R609" i="2"/>
  <c r="S609" i="2"/>
  <c r="T609" i="2"/>
  <c r="U609" i="2"/>
  <c r="V609" i="2"/>
  <c r="W609" i="2"/>
  <c r="X609" i="2"/>
  <c r="Y609" i="2"/>
  <c r="Z609" i="2"/>
  <c r="AA609" i="2"/>
  <c r="AB609" i="2"/>
  <c r="AC609" i="2"/>
  <c r="AD609" i="2"/>
  <c r="AE609" i="2"/>
  <c r="AF609" i="2"/>
  <c r="AG609" i="2"/>
  <c r="AH609" i="2"/>
  <c r="AI609" i="2"/>
  <c r="AJ609" i="2"/>
  <c r="AK609" i="2"/>
  <c r="AM609" i="2"/>
  <c r="AO609" i="2"/>
  <c r="AP609" i="2"/>
  <c r="AQ609" i="2"/>
  <c r="AR609" i="2"/>
  <c r="AS609" i="2"/>
  <c r="AT609" i="2"/>
  <c r="AU609" i="2"/>
  <c r="AV609" i="2"/>
  <c r="B610" i="2"/>
  <c r="C610" i="2"/>
  <c r="D610" i="2"/>
  <c r="E610" i="2"/>
  <c r="F610" i="2"/>
  <c r="G610" i="2"/>
  <c r="H610" i="2"/>
  <c r="I610" i="2"/>
  <c r="J610" i="2"/>
  <c r="K610" i="2"/>
  <c r="L610" i="2"/>
  <c r="M610" i="2"/>
  <c r="N610" i="2"/>
  <c r="O610" i="2"/>
  <c r="P610" i="2"/>
  <c r="Q610" i="2"/>
  <c r="R610" i="2"/>
  <c r="S610" i="2"/>
  <c r="T610" i="2"/>
  <c r="U610" i="2"/>
  <c r="V610" i="2"/>
  <c r="W610" i="2"/>
  <c r="X610" i="2"/>
  <c r="Y610" i="2"/>
  <c r="Z610" i="2"/>
  <c r="AA610" i="2"/>
  <c r="AB610" i="2"/>
  <c r="AC610" i="2"/>
  <c r="AD610" i="2"/>
  <c r="AE610" i="2"/>
  <c r="AF610" i="2"/>
  <c r="AG610" i="2"/>
  <c r="AH610" i="2"/>
  <c r="AI610" i="2"/>
  <c r="AJ610" i="2"/>
  <c r="AK610" i="2"/>
  <c r="AL610" i="2"/>
  <c r="AL609" i="2" s="1"/>
  <c r="AL608" i="2" s="1"/>
  <c r="AL607" i="2" s="1"/>
  <c r="AL606" i="2" s="1"/>
  <c r="AL605" i="2" s="1"/>
  <c r="AM610" i="2"/>
  <c r="AO610" i="2"/>
  <c r="AP610" i="2"/>
  <c r="AQ610" i="2"/>
  <c r="AR610" i="2"/>
  <c r="AS610" i="2"/>
  <c r="AT610" i="2"/>
  <c r="AU610" i="2"/>
  <c r="AV610" i="2"/>
  <c r="B611" i="2"/>
  <c r="C611" i="2"/>
  <c r="D611" i="2"/>
  <c r="E611" i="2"/>
  <c r="F611" i="2"/>
  <c r="G611" i="2"/>
  <c r="H611" i="2"/>
  <c r="I611" i="2"/>
  <c r="J611" i="2"/>
  <c r="K611" i="2"/>
  <c r="L611" i="2"/>
  <c r="M611" i="2"/>
  <c r="N611" i="2"/>
  <c r="O611" i="2"/>
  <c r="P611" i="2"/>
  <c r="Q611" i="2"/>
  <c r="R611" i="2"/>
  <c r="S611" i="2"/>
  <c r="T611" i="2"/>
  <c r="U611" i="2"/>
  <c r="V611" i="2"/>
  <c r="W611" i="2"/>
  <c r="X611" i="2"/>
  <c r="Y611" i="2"/>
  <c r="Z611" i="2"/>
  <c r="AA611" i="2"/>
  <c r="AB611" i="2"/>
  <c r="AC611" i="2"/>
  <c r="AD611" i="2"/>
  <c r="AE611" i="2"/>
  <c r="AF611" i="2"/>
  <c r="AG611" i="2"/>
  <c r="AH611" i="2"/>
  <c r="AI611" i="2"/>
  <c r="AJ611" i="2"/>
  <c r="AK611" i="2"/>
  <c r="AM611" i="2"/>
  <c r="AO611" i="2"/>
  <c r="AP611" i="2"/>
  <c r="AQ611" i="2"/>
  <c r="AR611" i="2"/>
  <c r="AS611" i="2"/>
  <c r="AT611" i="2"/>
  <c r="AU611" i="2"/>
  <c r="AV611" i="2"/>
  <c r="B612" i="2"/>
  <c r="C612" i="2"/>
  <c r="D612" i="2"/>
  <c r="E612" i="2"/>
  <c r="F612" i="2"/>
  <c r="G612" i="2"/>
  <c r="H612" i="2"/>
  <c r="I612" i="2"/>
  <c r="J612" i="2"/>
  <c r="K612" i="2"/>
  <c r="L612" i="2"/>
  <c r="M612" i="2"/>
  <c r="N612" i="2"/>
  <c r="O612" i="2"/>
  <c r="P612" i="2"/>
  <c r="Q612" i="2"/>
  <c r="R612" i="2"/>
  <c r="S612" i="2"/>
  <c r="T612" i="2"/>
  <c r="U612" i="2"/>
  <c r="V612" i="2"/>
  <c r="W612" i="2"/>
  <c r="X612" i="2"/>
  <c r="Y612" i="2"/>
  <c r="Z612" i="2"/>
  <c r="AA612" i="2"/>
  <c r="AB612" i="2"/>
  <c r="AC612" i="2"/>
  <c r="AD612" i="2"/>
  <c r="AE612" i="2"/>
  <c r="AF612" i="2"/>
  <c r="AG612" i="2"/>
  <c r="AH612" i="2"/>
  <c r="AI612" i="2"/>
  <c r="AJ612" i="2"/>
  <c r="AK612" i="2"/>
  <c r="AL612" i="2"/>
  <c r="AL611" i="2" s="1"/>
  <c r="AM612" i="2"/>
  <c r="AO612" i="2"/>
  <c r="AP612" i="2"/>
  <c r="AQ612" i="2"/>
  <c r="AR612" i="2"/>
  <c r="AS612" i="2"/>
  <c r="AT612" i="2"/>
  <c r="AU612" i="2"/>
  <c r="AV612" i="2"/>
  <c r="B613" i="2"/>
  <c r="C613" i="2"/>
  <c r="D613" i="2"/>
  <c r="E613" i="2"/>
  <c r="F613" i="2"/>
  <c r="G613" i="2"/>
  <c r="H613" i="2"/>
  <c r="I613" i="2"/>
  <c r="J613" i="2"/>
  <c r="K613" i="2"/>
  <c r="L613" i="2"/>
  <c r="M613" i="2"/>
  <c r="N613" i="2"/>
  <c r="O613" i="2"/>
  <c r="P613" i="2"/>
  <c r="Q613" i="2"/>
  <c r="R613" i="2"/>
  <c r="S613" i="2"/>
  <c r="T613" i="2"/>
  <c r="U613" i="2"/>
  <c r="V613" i="2"/>
  <c r="W613" i="2"/>
  <c r="X613" i="2"/>
  <c r="Y613" i="2"/>
  <c r="Z613" i="2"/>
  <c r="AA613" i="2"/>
  <c r="AB613" i="2"/>
  <c r="AC613" i="2"/>
  <c r="AD613" i="2"/>
  <c r="AE613" i="2"/>
  <c r="AF613" i="2"/>
  <c r="AG613" i="2"/>
  <c r="AH613" i="2"/>
  <c r="AI613" i="2"/>
  <c r="AJ613" i="2"/>
  <c r="AK613" i="2"/>
  <c r="AM613" i="2"/>
  <c r="AO613" i="2"/>
  <c r="AP613" i="2"/>
  <c r="AQ613" i="2"/>
  <c r="AR613" i="2"/>
  <c r="AS613" i="2"/>
  <c r="AT613" i="2"/>
  <c r="AU613" i="2"/>
  <c r="AV613" i="2"/>
  <c r="B614" i="2"/>
  <c r="C614" i="2"/>
  <c r="D614" i="2"/>
  <c r="E614" i="2"/>
  <c r="F614" i="2"/>
  <c r="G614" i="2"/>
  <c r="H614" i="2"/>
  <c r="I614" i="2"/>
  <c r="J614" i="2"/>
  <c r="K614" i="2"/>
  <c r="L614" i="2"/>
  <c r="M614" i="2"/>
  <c r="N614" i="2"/>
  <c r="O614" i="2"/>
  <c r="P614" i="2"/>
  <c r="Q614" i="2"/>
  <c r="R614" i="2"/>
  <c r="S614" i="2"/>
  <c r="T614" i="2"/>
  <c r="U614" i="2"/>
  <c r="V614" i="2"/>
  <c r="W614" i="2"/>
  <c r="X614" i="2"/>
  <c r="Y614" i="2"/>
  <c r="Z614" i="2"/>
  <c r="AA614" i="2"/>
  <c r="AB614" i="2"/>
  <c r="AC614" i="2"/>
  <c r="AD614" i="2"/>
  <c r="AE614" i="2"/>
  <c r="AF614" i="2"/>
  <c r="AG614" i="2"/>
  <c r="AH614" i="2"/>
  <c r="AI614" i="2"/>
  <c r="AJ614" i="2"/>
  <c r="AK614" i="2"/>
  <c r="AM614" i="2"/>
  <c r="GX38" i="3" s="1"/>
  <c r="AO614" i="2"/>
  <c r="AP614" i="2"/>
  <c r="AQ614" i="2"/>
  <c r="AR614" i="2"/>
  <c r="AS614" i="2"/>
  <c r="AT614" i="2"/>
  <c r="AU614" i="2"/>
  <c r="AV614" i="2"/>
  <c r="B615" i="2"/>
  <c r="C615" i="2"/>
  <c r="D615" i="2"/>
  <c r="E615" i="2"/>
  <c r="F615" i="2"/>
  <c r="G615" i="2"/>
  <c r="H615" i="2"/>
  <c r="I615" i="2"/>
  <c r="J615" i="2"/>
  <c r="K615" i="2"/>
  <c r="L615" i="2"/>
  <c r="M615" i="2"/>
  <c r="N615" i="2"/>
  <c r="O615" i="2"/>
  <c r="P615" i="2"/>
  <c r="Q615" i="2"/>
  <c r="R615" i="2"/>
  <c r="S615" i="2"/>
  <c r="T615" i="2"/>
  <c r="U615" i="2"/>
  <c r="V615" i="2"/>
  <c r="W615" i="2"/>
  <c r="X615" i="2"/>
  <c r="Y615" i="2"/>
  <c r="Z615" i="2"/>
  <c r="AA615" i="2"/>
  <c r="AB615" i="2"/>
  <c r="AC615" i="2"/>
  <c r="AD615" i="2"/>
  <c r="AE615" i="2"/>
  <c r="AF615" i="2"/>
  <c r="AG615" i="2"/>
  <c r="AH615" i="2"/>
  <c r="AI615" i="2"/>
  <c r="AJ615" i="2"/>
  <c r="AK615" i="2"/>
  <c r="AM615" i="2"/>
  <c r="AO615" i="2"/>
  <c r="AP615" i="2"/>
  <c r="AQ615" i="2"/>
  <c r="AR615" i="2"/>
  <c r="AS615" i="2"/>
  <c r="AT615" i="2"/>
  <c r="AU615" i="2"/>
  <c r="AV615" i="2"/>
  <c r="B616" i="2"/>
  <c r="C616" i="2"/>
  <c r="D616" i="2"/>
  <c r="E616" i="2"/>
  <c r="F616" i="2"/>
  <c r="G616" i="2"/>
  <c r="H616" i="2"/>
  <c r="I616" i="2"/>
  <c r="J616" i="2"/>
  <c r="K616" i="2"/>
  <c r="L616" i="2"/>
  <c r="M616" i="2"/>
  <c r="N616" i="2"/>
  <c r="O616" i="2"/>
  <c r="P616" i="2"/>
  <c r="Q616" i="2"/>
  <c r="R616" i="2"/>
  <c r="S616" i="2"/>
  <c r="T616" i="2"/>
  <c r="U616" i="2"/>
  <c r="V616" i="2"/>
  <c r="W616" i="2"/>
  <c r="X616" i="2"/>
  <c r="Y616" i="2"/>
  <c r="Z616" i="2"/>
  <c r="AA616" i="2"/>
  <c r="AB616" i="2"/>
  <c r="AC616" i="2"/>
  <c r="AD616" i="2"/>
  <c r="AE616" i="2"/>
  <c r="AF616" i="2"/>
  <c r="AG616" i="2"/>
  <c r="AH616" i="2"/>
  <c r="AI616" i="2"/>
  <c r="AJ616" i="2"/>
  <c r="AK616" i="2"/>
  <c r="AM616" i="2"/>
  <c r="AO616" i="2"/>
  <c r="AP616" i="2"/>
  <c r="AQ616" i="2"/>
  <c r="AR616" i="2"/>
  <c r="AS616" i="2"/>
  <c r="AT616" i="2"/>
  <c r="AU616" i="2"/>
  <c r="AV616" i="2"/>
  <c r="B617" i="2"/>
  <c r="C617" i="2"/>
  <c r="D617" i="2"/>
  <c r="E617" i="2"/>
  <c r="F617" i="2"/>
  <c r="G617" i="2"/>
  <c r="H617" i="2"/>
  <c r="I617" i="2"/>
  <c r="J617" i="2"/>
  <c r="K617" i="2"/>
  <c r="L617" i="2"/>
  <c r="M617" i="2"/>
  <c r="N617" i="2"/>
  <c r="O617" i="2"/>
  <c r="P617" i="2"/>
  <c r="Q617" i="2"/>
  <c r="R617" i="2"/>
  <c r="S617" i="2"/>
  <c r="T617" i="2"/>
  <c r="U617" i="2"/>
  <c r="V617" i="2"/>
  <c r="W617" i="2"/>
  <c r="X617" i="2"/>
  <c r="Y617" i="2"/>
  <c r="Z617" i="2"/>
  <c r="AA617" i="2"/>
  <c r="AB617" i="2"/>
  <c r="AC617" i="2"/>
  <c r="AD617" i="2"/>
  <c r="AE617" i="2"/>
  <c r="AF617" i="2"/>
  <c r="AG617" i="2"/>
  <c r="AH617" i="2"/>
  <c r="AI617" i="2"/>
  <c r="AJ617" i="2"/>
  <c r="AK617" i="2"/>
  <c r="AM617" i="2"/>
  <c r="GY38" i="3" s="1"/>
  <c r="AO617" i="2"/>
  <c r="AP617" i="2"/>
  <c r="AQ617" i="2"/>
  <c r="AR617" i="2"/>
  <c r="AS617" i="2"/>
  <c r="AT617" i="2"/>
  <c r="AU617" i="2"/>
  <c r="AV617" i="2"/>
  <c r="B618" i="2"/>
  <c r="C618" i="2"/>
  <c r="D618" i="2"/>
  <c r="E618" i="2"/>
  <c r="F618" i="2"/>
  <c r="G618" i="2"/>
  <c r="H618" i="2"/>
  <c r="I618" i="2"/>
  <c r="J618" i="2"/>
  <c r="K618" i="2"/>
  <c r="L618" i="2"/>
  <c r="M618" i="2"/>
  <c r="N618" i="2"/>
  <c r="O618" i="2"/>
  <c r="P618" i="2"/>
  <c r="Q618" i="2"/>
  <c r="R618" i="2"/>
  <c r="S618" i="2"/>
  <c r="T618" i="2"/>
  <c r="U618" i="2"/>
  <c r="V618" i="2"/>
  <c r="W618" i="2"/>
  <c r="X618" i="2"/>
  <c r="Y618" i="2"/>
  <c r="Z618" i="2"/>
  <c r="AA618" i="2"/>
  <c r="AB618" i="2"/>
  <c r="AC618" i="2"/>
  <c r="AD618" i="2"/>
  <c r="AE618" i="2"/>
  <c r="AF618" i="2"/>
  <c r="AG618" i="2"/>
  <c r="AH618" i="2"/>
  <c r="AI618" i="2"/>
  <c r="AJ618" i="2"/>
  <c r="AK618" i="2"/>
  <c r="AM618" i="2"/>
  <c r="AO618" i="2"/>
  <c r="AP618" i="2"/>
  <c r="AQ618" i="2"/>
  <c r="AR618" i="2"/>
  <c r="AS618" i="2"/>
  <c r="AT618" i="2"/>
  <c r="AU618" i="2"/>
  <c r="AV618" i="2"/>
  <c r="B619" i="2"/>
  <c r="C619" i="2"/>
  <c r="D619" i="2"/>
  <c r="E619" i="2"/>
  <c r="F619" i="2"/>
  <c r="G619" i="2"/>
  <c r="H619" i="2"/>
  <c r="I619" i="2"/>
  <c r="J619" i="2"/>
  <c r="K619" i="2"/>
  <c r="L619" i="2"/>
  <c r="M619" i="2"/>
  <c r="N619" i="2"/>
  <c r="O619" i="2"/>
  <c r="P619" i="2"/>
  <c r="Q619" i="2"/>
  <c r="R619" i="2"/>
  <c r="S619" i="2"/>
  <c r="T619" i="2"/>
  <c r="U619" i="2"/>
  <c r="V619" i="2"/>
  <c r="W619" i="2"/>
  <c r="X619" i="2"/>
  <c r="Y619" i="2"/>
  <c r="Z619" i="2"/>
  <c r="AA619" i="2"/>
  <c r="AB619" i="2"/>
  <c r="AC619" i="2"/>
  <c r="AD619" i="2"/>
  <c r="AE619" i="2"/>
  <c r="AF619" i="2"/>
  <c r="AG619" i="2"/>
  <c r="AH619" i="2"/>
  <c r="AI619" i="2"/>
  <c r="AJ619" i="2"/>
  <c r="AK619" i="2"/>
  <c r="AM619" i="2"/>
  <c r="AO619" i="2"/>
  <c r="AP619" i="2"/>
  <c r="AQ619" i="2"/>
  <c r="AR619" i="2"/>
  <c r="AS619" i="2"/>
  <c r="AT619" i="2"/>
  <c r="AU619" i="2"/>
  <c r="AV619" i="2"/>
  <c r="B620" i="2"/>
  <c r="C620" i="2"/>
  <c r="D620" i="2"/>
  <c r="E620" i="2"/>
  <c r="F620" i="2"/>
  <c r="G620" i="2"/>
  <c r="H620" i="2"/>
  <c r="I620" i="2"/>
  <c r="J620" i="2"/>
  <c r="K620" i="2"/>
  <c r="L620" i="2"/>
  <c r="M620" i="2"/>
  <c r="N620" i="2"/>
  <c r="O620" i="2"/>
  <c r="P620" i="2"/>
  <c r="Q620" i="2"/>
  <c r="R620" i="2"/>
  <c r="S620" i="2"/>
  <c r="T620" i="2"/>
  <c r="U620" i="2"/>
  <c r="V620" i="2"/>
  <c r="W620" i="2"/>
  <c r="X620" i="2"/>
  <c r="Y620" i="2"/>
  <c r="Z620" i="2"/>
  <c r="AA620" i="2"/>
  <c r="AB620" i="2"/>
  <c r="AC620" i="2"/>
  <c r="AD620" i="2"/>
  <c r="AE620" i="2"/>
  <c r="AF620" i="2"/>
  <c r="AG620" i="2"/>
  <c r="AH620" i="2"/>
  <c r="AI620" i="2"/>
  <c r="AJ620" i="2"/>
  <c r="AK620" i="2"/>
  <c r="AM620" i="2"/>
  <c r="AO620" i="2"/>
  <c r="AP620" i="2"/>
  <c r="AQ620" i="2"/>
  <c r="AR620" i="2"/>
  <c r="AS620" i="2"/>
  <c r="AT620" i="2"/>
  <c r="AU620" i="2"/>
  <c r="AV620" i="2"/>
  <c r="B621" i="2"/>
  <c r="C621" i="2"/>
  <c r="D621" i="2"/>
  <c r="E621" i="2"/>
  <c r="F621" i="2"/>
  <c r="G621" i="2"/>
  <c r="H621" i="2"/>
  <c r="I621" i="2"/>
  <c r="J621" i="2"/>
  <c r="K621" i="2"/>
  <c r="L621" i="2"/>
  <c r="M621" i="2"/>
  <c r="N621" i="2"/>
  <c r="O621" i="2"/>
  <c r="P621" i="2"/>
  <c r="Q621" i="2"/>
  <c r="R621" i="2"/>
  <c r="S621" i="2"/>
  <c r="T621" i="2"/>
  <c r="U621" i="2"/>
  <c r="V621" i="2"/>
  <c r="W621" i="2"/>
  <c r="X621" i="2"/>
  <c r="Y621" i="2"/>
  <c r="Z621" i="2"/>
  <c r="AA621" i="2"/>
  <c r="AB621" i="2"/>
  <c r="AC621" i="2"/>
  <c r="AD621" i="2"/>
  <c r="AE621" i="2"/>
  <c r="AF621" i="2"/>
  <c r="AG621" i="2"/>
  <c r="AH621" i="2"/>
  <c r="AI621" i="2"/>
  <c r="AJ621" i="2"/>
  <c r="AK621" i="2"/>
  <c r="AM621" i="2"/>
  <c r="AO621" i="2"/>
  <c r="AP621" i="2"/>
  <c r="AQ621" i="2"/>
  <c r="AR621" i="2"/>
  <c r="AS621" i="2"/>
  <c r="AT621" i="2"/>
  <c r="AU621" i="2"/>
  <c r="AV621" i="2"/>
  <c r="B622" i="2"/>
  <c r="C622" i="2"/>
  <c r="D622" i="2"/>
  <c r="E622" i="2"/>
  <c r="F622" i="2"/>
  <c r="G622" i="2"/>
  <c r="H622" i="2"/>
  <c r="I622" i="2"/>
  <c r="J622" i="2"/>
  <c r="K622" i="2"/>
  <c r="L622" i="2"/>
  <c r="M622" i="2"/>
  <c r="N622" i="2"/>
  <c r="O622" i="2"/>
  <c r="P622" i="2"/>
  <c r="Q622" i="2"/>
  <c r="R622" i="2"/>
  <c r="S622" i="2"/>
  <c r="T622" i="2"/>
  <c r="U622" i="2"/>
  <c r="V622" i="2"/>
  <c r="W622" i="2"/>
  <c r="X622" i="2"/>
  <c r="Y622" i="2"/>
  <c r="Z622" i="2"/>
  <c r="AA622" i="2"/>
  <c r="AB622" i="2"/>
  <c r="AC622" i="2"/>
  <c r="AD622" i="2"/>
  <c r="AE622" i="2"/>
  <c r="AF622" i="2"/>
  <c r="AG622" i="2"/>
  <c r="AH622" i="2"/>
  <c r="AI622" i="2"/>
  <c r="AJ622" i="2"/>
  <c r="AK622" i="2"/>
  <c r="AM622" i="2"/>
  <c r="GZ38" i="3" s="1"/>
  <c r="AO622" i="2"/>
  <c r="AP622" i="2"/>
  <c r="AQ622" i="2"/>
  <c r="AR622" i="2"/>
  <c r="AS622" i="2"/>
  <c r="AT622" i="2"/>
  <c r="AU622" i="2"/>
  <c r="AV622" i="2"/>
  <c r="B623" i="2"/>
  <c r="C623" i="2"/>
  <c r="D623" i="2"/>
  <c r="E623" i="2"/>
  <c r="F623" i="2"/>
  <c r="G623" i="2"/>
  <c r="H623" i="2"/>
  <c r="I623" i="2"/>
  <c r="J623" i="2"/>
  <c r="K623" i="2"/>
  <c r="L623" i="2"/>
  <c r="M623" i="2"/>
  <c r="N623" i="2"/>
  <c r="O623" i="2"/>
  <c r="P623" i="2"/>
  <c r="Q623" i="2"/>
  <c r="R623" i="2"/>
  <c r="S623" i="2"/>
  <c r="T623" i="2"/>
  <c r="U623" i="2"/>
  <c r="V623" i="2"/>
  <c r="W623" i="2"/>
  <c r="X623" i="2"/>
  <c r="Y623" i="2"/>
  <c r="Z623" i="2"/>
  <c r="AA623" i="2"/>
  <c r="AB623" i="2"/>
  <c r="AC623" i="2"/>
  <c r="AD623" i="2"/>
  <c r="AE623" i="2"/>
  <c r="AF623" i="2"/>
  <c r="AG623" i="2"/>
  <c r="AH623" i="2"/>
  <c r="AI623" i="2"/>
  <c r="AJ623" i="2"/>
  <c r="AK623" i="2"/>
  <c r="AM623" i="2"/>
  <c r="HA38" i="3" s="1"/>
  <c r="AO623" i="2"/>
  <c r="AP623" i="2"/>
  <c r="AQ623" i="2"/>
  <c r="AR623" i="2"/>
  <c r="AS623" i="2"/>
  <c r="AT623" i="2"/>
  <c r="AU623" i="2"/>
  <c r="AV623" i="2"/>
  <c r="B624" i="2"/>
  <c r="C624" i="2"/>
  <c r="D624" i="2"/>
  <c r="E624" i="2"/>
  <c r="F624" i="2"/>
  <c r="G624" i="2"/>
  <c r="H624" i="2"/>
  <c r="I624" i="2"/>
  <c r="J624" i="2"/>
  <c r="K624" i="2"/>
  <c r="L624" i="2"/>
  <c r="M624" i="2"/>
  <c r="N624" i="2"/>
  <c r="O624" i="2"/>
  <c r="P624" i="2"/>
  <c r="Q624" i="2"/>
  <c r="R624" i="2"/>
  <c r="S624" i="2"/>
  <c r="T624" i="2"/>
  <c r="U624" i="2"/>
  <c r="V624" i="2"/>
  <c r="W624" i="2"/>
  <c r="X624" i="2"/>
  <c r="Y624" i="2"/>
  <c r="Z624" i="2"/>
  <c r="AA624" i="2"/>
  <c r="AB624" i="2"/>
  <c r="AC624" i="2"/>
  <c r="AD624" i="2"/>
  <c r="AE624" i="2"/>
  <c r="AF624" i="2"/>
  <c r="AG624" i="2"/>
  <c r="AH624" i="2"/>
  <c r="AI624" i="2"/>
  <c r="AJ624" i="2"/>
  <c r="AK624" i="2"/>
  <c r="AM624" i="2"/>
  <c r="AO624" i="2"/>
  <c r="AP624" i="2"/>
  <c r="AQ624" i="2"/>
  <c r="AR624" i="2"/>
  <c r="AS624" i="2"/>
  <c r="AT624" i="2"/>
  <c r="AU624" i="2"/>
  <c r="AV624" i="2"/>
  <c r="B625" i="2"/>
  <c r="C625" i="2"/>
  <c r="D625" i="2"/>
  <c r="E625" i="2"/>
  <c r="F625" i="2"/>
  <c r="G625" i="2"/>
  <c r="H625" i="2"/>
  <c r="I625" i="2"/>
  <c r="J625" i="2"/>
  <c r="K625" i="2"/>
  <c r="L625" i="2"/>
  <c r="M625" i="2"/>
  <c r="N625" i="2"/>
  <c r="O625" i="2"/>
  <c r="P625" i="2"/>
  <c r="Q625" i="2"/>
  <c r="R625" i="2"/>
  <c r="S625" i="2"/>
  <c r="T625" i="2"/>
  <c r="U625" i="2"/>
  <c r="V625" i="2"/>
  <c r="W625" i="2"/>
  <c r="X625" i="2"/>
  <c r="Y625" i="2"/>
  <c r="Z625" i="2"/>
  <c r="AA625" i="2"/>
  <c r="AB625" i="2"/>
  <c r="AC625" i="2"/>
  <c r="AD625" i="2"/>
  <c r="AE625" i="2"/>
  <c r="AF625" i="2"/>
  <c r="AG625" i="2"/>
  <c r="AH625" i="2"/>
  <c r="AI625" i="2"/>
  <c r="AJ625" i="2"/>
  <c r="AK625" i="2"/>
  <c r="AM625" i="2"/>
  <c r="AO625" i="2"/>
  <c r="AP625" i="2"/>
  <c r="AQ625" i="2"/>
  <c r="AR625" i="2"/>
  <c r="AS625" i="2"/>
  <c r="AT625" i="2"/>
  <c r="AU625" i="2"/>
  <c r="AV625" i="2"/>
  <c r="B626" i="2"/>
  <c r="C626" i="2"/>
  <c r="D626" i="2"/>
  <c r="E626" i="2"/>
  <c r="F626" i="2"/>
  <c r="G626" i="2"/>
  <c r="H626" i="2"/>
  <c r="I626" i="2"/>
  <c r="J626" i="2"/>
  <c r="K626" i="2"/>
  <c r="L626" i="2"/>
  <c r="M626" i="2"/>
  <c r="N626" i="2"/>
  <c r="O626" i="2"/>
  <c r="P626" i="2"/>
  <c r="Q626" i="2"/>
  <c r="R626" i="2"/>
  <c r="S626" i="2"/>
  <c r="T626" i="2"/>
  <c r="U626" i="2"/>
  <c r="V626" i="2"/>
  <c r="W626" i="2"/>
  <c r="X626" i="2"/>
  <c r="Y626" i="2"/>
  <c r="Z626" i="2"/>
  <c r="AA626" i="2"/>
  <c r="AB626" i="2"/>
  <c r="AC626" i="2"/>
  <c r="AD626" i="2"/>
  <c r="AE626" i="2"/>
  <c r="AF626" i="2"/>
  <c r="AG626" i="2"/>
  <c r="AH626" i="2"/>
  <c r="AI626" i="2"/>
  <c r="AJ626" i="2"/>
  <c r="AK626" i="2"/>
  <c r="AM626" i="2"/>
  <c r="HB38" i="3" s="1"/>
  <c r="AO626" i="2"/>
  <c r="AP626" i="2"/>
  <c r="AQ626" i="2"/>
  <c r="AR626" i="2"/>
  <c r="AS626" i="2"/>
  <c r="AT626" i="2"/>
  <c r="AU626" i="2"/>
  <c r="AV626" i="2"/>
  <c r="B627" i="2"/>
  <c r="C627" i="2"/>
  <c r="D627" i="2"/>
  <c r="E627" i="2"/>
  <c r="F627" i="2"/>
  <c r="G627" i="2"/>
  <c r="H627" i="2"/>
  <c r="I627" i="2"/>
  <c r="J627" i="2"/>
  <c r="K627" i="2"/>
  <c r="L627" i="2"/>
  <c r="M627" i="2"/>
  <c r="N627" i="2"/>
  <c r="O627" i="2"/>
  <c r="P627" i="2"/>
  <c r="Q627" i="2"/>
  <c r="R627" i="2"/>
  <c r="S627" i="2"/>
  <c r="T627" i="2"/>
  <c r="U627" i="2"/>
  <c r="V627" i="2"/>
  <c r="W627" i="2"/>
  <c r="X627" i="2"/>
  <c r="Y627" i="2"/>
  <c r="Z627" i="2"/>
  <c r="AA627" i="2"/>
  <c r="AB627" i="2"/>
  <c r="AC627" i="2"/>
  <c r="AD627" i="2"/>
  <c r="AE627" i="2"/>
  <c r="AF627" i="2"/>
  <c r="AG627" i="2"/>
  <c r="AH627" i="2"/>
  <c r="AI627" i="2"/>
  <c r="AJ627" i="2"/>
  <c r="AK627" i="2"/>
  <c r="AM627" i="2"/>
  <c r="AO627" i="2"/>
  <c r="AP627" i="2"/>
  <c r="AQ627" i="2"/>
  <c r="AR627" i="2"/>
  <c r="AS627" i="2"/>
  <c r="AT627" i="2"/>
  <c r="AU627" i="2"/>
  <c r="AV627" i="2"/>
  <c r="B628" i="2"/>
  <c r="C628" i="2"/>
  <c r="D628" i="2"/>
  <c r="E628" i="2"/>
  <c r="F628" i="2"/>
  <c r="G628" i="2"/>
  <c r="H628" i="2"/>
  <c r="I628" i="2"/>
  <c r="J628" i="2"/>
  <c r="K628" i="2"/>
  <c r="L628" i="2"/>
  <c r="M628" i="2"/>
  <c r="N628" i="2"/>
  <c r="O628" i="2"/>
  <c r="P628" i="2"/>
  <c r="Q628" i="2"/>
  <c r="R628" i="2"/>
  <c r="S628" i="2"/>
  <c r="T628" i="2"/>
  <c r="U628" i="2"/>
  <c r="V628" i="2"/>
  <c r="W628" i="2"/>
  <c r="X628" i="2"/>
  <c r="Y628" i="2"/>
  <c r="Z628" i="2"/>
  <c r="AA628" i="2"/>
  <c r="AB628" i="2"/>
  <c r="AC628" i="2"/>
  <c r="AD628" i="2"/>
  <c r="AE628" i="2"/>
  <c r="AF628" i="2"/>
  <c r="AG628" i="2"/>
  <c r="AH628" i="2"/>
  <c r="AI628" i="2"/>
  <c r="AJ628" i="2"/>
  <c r="AK628" i="2"/>
  <c r="AM628" i="2"/>
  <c r="AO628" i="2"/>
  <c r="AP628" i="2"/>
  <c r="AQ628" i="2"/>
  <c r="AR628" i="2"/>
  <c r="AS628" i="2"/>
  <c r="AT628" i="2"/>
  <c r="AU628" i="2"/>
  <c r="AV628" i="2"/>
  <c r="B629" i="2"/>
  <c r="C629" i="2"/>
  <c r="D629" i="2"/>
  <c r="E629" i="2"/>
  <c r="F629" i="2"/>
  <c r="G629" i="2"/>
  <c r="H629" i="2"/>
  <c r="I629" i="2"/>
  <c r="J629" i="2"/>
  <c r="K629" i="2"/>
  <c r="L629" i="2"/>
  <c r="M629" i="2"/>
  <c r="N629" i="2"/>
  <c r="O629" i="2"/>
  <c r="P629" i="2"/>
  <c r="Q629" i="2"/>
  <c r="R629" i="2"/>
  <c r="S629" i="2"/>
  <c r="T629" i="2"/>
  <c r="U629" i="2"/>
  <c r="V629" i="2"/>
  <c r="W629" i="2"/>
  <c r="X629" i="2"/>
  <c r="Y629" i="2"/>
  <c r="Z629" i="2"/>
  <c r="AA629" i="2"/>
  <c r="AB629" i="2"/>
  <c r="AC629" i="2"/>
  <c r="AD629" i="2"/>
  <c r="AE629" i="2"/>
  <c r="AF629" i="2"/>
  <c r="AG629" i="2"/>
  <c r="AH629" i="2"/>
  <c r="AI629" i="2"/>
  <c r="AJ629" i="2"/>
  <c r="AK629" i="2"/>
  <c r="AM629" i="2"/>
  <c r="HC38" i="3" s="1"/>
  <c r="AO629" i="2"/>
  <c r="AP629" i="2"/>
  <c r="AQ629" i="2"/>
  <c r="AR629" i="2"/>
  <c r="AS629" i="2"/>
  <c r="AT629" i="2"/>
  <c r="AU629" i="2"/>
  <c r="AV629" i="2"/>
  <c r="B630" i="2"/>
  <c r="C630" i="2"/>
  <c r="D630" i="2"/>
  <c r="E630" i="2"/>
  <c r="F630" i="2"/>
  <c r="G630" i="2"/>
  <c r="H630" i="2"/>
  <c r="I630" i="2"/>
  <c r="J630" i="2"/>
  <c r="K630" i="2"/>
  <c r="L630" i="2"/>
  <c r="M630" i="2"/>
  <c r="N630" i="2"/>
  <c r="O630" i="2"/>
  <c r="P630" i="2"/>
  <c r="Q630" i="2"/>
  <c r="R630" i="2"/>
  <c r="S630" i="2"/>
  <c r="T630" i="2"/>
  <c r="U630" i="2"/>
  <c r="V630" i="2"/>
  <c r="W630" i="2"/>
  <c r="X630" i="2"/>
  <c r="Y630" i="2"/>
  <c r="Z630" i="2"/>
  <c r="AA630" i="2"/>
  <c r="AB630" i="2"/>
  <c r="AC630" i="2"/>
  <c r="AD630" i="2"/>
  <c r="AE630" i="2"/>
  <c r="AF630" i="2"/>
  <c r="AG630" i="2"/>
  <c r="AH630" i="2"/>
  <c r="AI630" i="2"/>
  <c r="AJ630" i="2"/>
  <c r="AK630" i="2"/>
  <c r="AM630" i="2"/>
  <c r="AO630" i="2"/>
  <c r="AP630" i="2"/>
  <c r="AQ630" i="2"/>
  <c r="AR630" i="2"/>
  <c r="AS630" i="2"/>
  <c r="AT630" i="2"/>
  <c r="AU630" i="2"/>
  <c r="AV630" i="2"/>
  <c r="B631" i="2"/>
  <c r="C631" i="2"/>
  <c r="D631" i="2"/>
  <c r="E631" i="2"/>
  <c r="F631" i="2"/>
  <c r="G631" i="2"/>
  <c r="H631" i="2"/>
  <c r="I631" i="2"/>
  <c r="J631" i="2"/>
  <c r="K631" i="2"/>
  <c r="L631" i="2"/>
  <c r="M631" i="2"/>
  <c r="N631" i="2"/>
  <c r="O631" i="2"/>
  <c r="P631" i="2"/>
  <c r="Q631" i="2"/>
  <c r="R631" i="2"/>
  <c r="S631" i="2"/>
  <c r="T631" i="2"/>
  <c r="U631" i="2"/>
  <c r="V631" i="2"/>
  <c r="W631" i="2"/>
  <c r="X631" i="2"/>
  <c r="Y631" i="2"/>
  <c r="Z631" i="2"/>
  <c r="AA631" i="2"/>
  <c r="AB631" i="2"/>
  <c r="AC631" i="2"/>
  <c r="AD631" i="2"/>
  <c r="AE631" i="2"/>
  <c r="AF631" i="2"/>
  <c r="AG631" i="2"/>
  <c r="AH631" i="2"/>
  <c r="AI631" i="2"/>
  <c r="AJ631" i="2"/>
  <c r="AK631" i="2"/>
  <c r="AM631" i="2"/>
  <c r="AO631" i="2"/>
  <c r="AP631" i="2"/>
  <c r="AQ631" i="2"/>
  <c r="AR631" i="2"/>
  <c r="AS631" i="2"/>
  <c r="AT631" i="2"/>
  <c r="AU631" i="2"/>
  <c r="AV631" i="2"/>
  <c r="B632" i="2"/>
  <c r="C632" i="2"/>
  <c r="D632" i="2"/>
  <c r="E632" i="2"/>
  <c r="F632" i="2"/>
  <c r="G632" i="2"/>
  <c r="H632" i="2"/>
  <c r="I632" i="2"/>
  <c r="J632" i="2"/>
  <c r="K632" i="2"/>
  <c r="L632" i="2"/>
  <c r="M632" i="2"/>
  <c r="N632" i="2"/>
  <c r="O632" i="2"/>
  <c r="P632" i="2"/>
  <c r="Q632" i="2"/>
  <c r="R632" i="2"/>
  <c r="S632" i="2"/>
  <c r="T632" i="2"/>
  <c r="U632" i="2"/>
  <c r="V632" i="2"/>
  <c r="W632" i="2"/>
  <c r="X632" i="2"/>
  <c r="Y632" i="2"/>
  <c r="Z632" i="2"/>
  <c r="AA632" i="2"/>
  <c r="AB632" i="2"/>
  <c r="AC632" i="2"/>
  <c r="AD632" i="2"/>
  <c r="AE632" i="2"/>
  <c r="AF632" i="2"/>
  <c r="AG632" i="2"/>
  <c r="AH632" i="2"/>
  <c r="AI632" i="2"/>
  <c r="AJ632" i="2"/>
  <c r="AK632" i="2"/>
  <c r="AM632" i="2"/>
  <c r="AO632" i="2"/>
  <c r="AP632" i="2"/>
  <c r="AQ632" i="2"/>
  <c r="AR632" i="2"/>
  <c r="AS632" i="2"/>
  <c r="AT632" i="2"/>
  <c r="AU632" i="2"/>
  <c r="AV632" i="2"/>
  <c r="B633" i="2"/>
  <c r="C633" i="2"/>
  <c r="D633" i="2"/>
  <c r="E633" i="2"/>
  <c r="F633" i="2"/>
  <c r="G633" i="2"/>
  <c r="H633" i="2"/>
  <c r="I633" i="2"/>
  <c r="J633" i="2"/>
  <c r="K633" i="2"/>
  <c r="L633" i="2"/>
  <c r="M633" i="2"/>
  <c r="N633" i="2"/>
  <c r="O633" i="2"/>
  <c r="P633" i="2"/>
  <c r="Q633" i="2"/>
  <c r="R633" i="2"/>
  <c r="S633" i="2"/>
  <c r="T633" i="2"/>
  <c r="U633" i="2"/>
  <c r="V633" i="2"/>
  <c r="W633" i="2"/>
  <c r="X633" i="2"/>
  <c r="Y633" i="2"/>
  <c r="Z633" i="2"/>
  <c r="AA633" i="2"/>
  <c r="AB633" i="2"/>
  <c r="AC633" i="2"/>
  <c r="AD633" i="2"/>
  <c r="AE633" i="2"/>
  <c r="AF633" i="2"/>
  <c r="AG633" i="2"/>
  <c r="AH633" i="2"/>
  <c r="AI633" i="2"/>
  <c r="AJ633" i="2"/>
  <c r="AK633" i="2"/>
  <c r="AM633" i="2"/>
  <c r="AO633" i="2"/>
  <c r="AP633" i="2"/>
  <c r="AQ633" i="2"/>
  <c r="AR633" i="2"/>
  <c r="AS633" i="2"/>
  <c r="AT633" i="2"/>
  <c r="AU633" i="2"/>
  <c r="AV633" i="2"/>
  <c r="B634" i="2"/>
  <c r="C634" i="2"/>
  <c r="D634" i="2"/>
  <c r="E634" i="2"/>
  <c r="F634" i="2"/>
  <c r="G634" i="2"/>
  <c r="H634" i="2"/>
  <c r="I634" i="2"/>
  <c r="J634" i="2"/>
  <c r="K634" i="2"/>
  <c r="L634" i="2"/>
  <c r="M634" i="2"/>
  <c r="N634" i="2"/>
  <c r="O634" i="2"/>
  <c r="P634" i="2"/>
  <c r="Q634" i="2"/>
  <c r="R634" i="2"/>
  <c r="S634" i="2"/>
  <c r="T634" i="2"/>
  <c r="U634" i="2"/>
  <c r="V634" i="2"/>
  <c r="W634" i="2"/>
  <c r="X634" i="2"/>
  <c r="Y634" i="2"/>
  <c r="Z634" i="2"/>
  <c r="AA634" i="2"/>
  <c r="AB634" i="2"/>
  <c r="AC634" i="2"/>
  <c r="AD634" i="2"/>
  <c r="AE634" i="2"/>
  <c r="AF634" i="2"/>
  <c r="AG634" i="2"/>
  <c r="AH634" i="2"/>
  <c r="AI634" i="2"/>
  <c r="AJ634" i="2"/>
  <c r="AK634" i="2"/>
  <c r="AM634" i="2"/>
  <c r="HD38" i="3" s="1"/>
  <c r="AO634" i="2"/>
  <c r="AP634" i="2"/>
  <c r="AQ634" i="2"/>
  <c r="AR634" i="2"/>
  <c r="AS634" i="2"/>
  <c r="AT634" i="2"/>
  <c r="AU634" i="2"/>
  <c r="AV634" i="2"/>
  <c r="B635" i="2"/>
  <c r="C635" i="2"/>
  <c r="D635" i="2"/>
  <c r="E635" i="2"/>
  <c r="F635" i="2"/>
  <c r="G635" i="2"/>
  <c r="H635" i="2"/>
  <c r="I635" i="2"/>
  <c r="J635" i="2"/>
  <c r="K635" i="2"/>
  <c r="L635" i="2"/>
  <c r="M635" i="2"/>
  <c r="N635" i="2"/>
  <c r="O635" i="2"/>
  <c r="P635" i="2"/>
  <c r="Q635" i="2"/>
  <c r="R635" i="2"/>
  <c r="S635" i="2"/>
  <c r="T635" i="2"/>
  <c r="U635" i="2"/>
  <c r="V635" i="2"/>
  <c r="W635" i="2"/>
  <c r="X635" i="2"/>
  <c r="Y635" i="2"/>
  <c r="Z635" i="2"/>
  <c r="AA635" i="2"/>
  <c r="AB635" i="2"/>
  <c r="AC635" i="2"/>
  <c r="AD635" i="2"/>
  <c r="AE635" i="2"/>
  <c r="AF635" i="2"/>
  <c r="AG635" i="2"/>
  <c r="AH635" i="2"/>
  <c r="AI635" i="2"/>
  <c r="AJ635" i="2"/>
  <c r="AK635" i="2"/>
  <c r="AM635" i="2"/>
  <c r="HE38" i="3" s="1"/>
  <c r="AO635" i="2"/>
  <c r="AP635" i="2"/>
  <c r="AQ635" i="2"/>
  <c r="AR635" i="2"/>
  <c r="AS635" i="2"/>
  <c r="AT635" i="2"/>
  <c r="AU635" i="2"/>
  <c r="AV635" i="2"/>
  <c r="B636" i="2"/>
  <c r="C636" i="2"/>
  <c r="D636" i="2"/>
  <c r="E636" i="2"/>
  <c r="F636" i="2"/>
  <c r="G636" i="2"/>
  <c r="H636" i="2"/>
  <c r="I636" i="2"/>
  <c r="J636" i="2"/>
  <c r="K636" i="2"/>
  <c r="L636" i="2"/>
  <c r="M636" i="2"/>
  <c r="N636" i="2"/>
  <c r="O636" i="2"/>
  <c r="P636" i="2"/>
  <c r="Q636" i="2"/>
  <c r="R636" i="2"/>
  <c r="S636" i="2"/>
  <c r="T636" i="2"/>
  <c r="U636" i="2"/>
  <c r="V636" i="2"/>
  <c r="W636" i="2"/>
  <c r="X636" i="2"/>
  <c r="Y636" i="2"/>
  <c r="Z636" i="2"/>
  <c r="AA636" i="2"/>
  <c r="AB636" i="2"/>
  <c r="AC636" i="2"/>
  <c r="AD636" i="2"/>
  <c r="AE636" i="2"/>
  <c r="AF636" i="2"/>
  <c r="AG636" i="2"/>
  <c r="AH636" i="2"/>
  <c r="AI636" i="2"/>
  <c r="AJ636" i="2"/>
  <c r="AK636" i="2"/>
  <c r="AM636" i="2"/>
  <c r="AO636" i="2"/>
  <c r="AP636" i="2"/>
  <c r="AQ636" i="2"/>
  <c r="AR636" i="2"/>
  <c r="AS636" i="2"/>
  <c r="AT636" i="2"/>
  <c r="AU636" i="2"/>
  <c r="AV636" i="2"/>
  <c r="B637" i="2"/>
  <c r="C637" i="2"/>
  <c r="D637" i="2"/>
  <c r="E637" i="2"/>
  <c r="F637" i="2"/>
  <c r="G637" i="2"/>
  <c r="H637" i="2"/>
  <c r="I637" i="2"/>
  <c r="J637" i="2"/>
  <c r="K637" i="2"/>
  <c r="L637" i="2"/>
  <c r="M637" i="2"/>
  <c r="N637" i="2"/>
  <c r="O637" i="2"/>
  <c r="P637" i="2"/>
  <c r="Q637" i="2"/>
  <c r="R637" i="2"/>
  <c r="S637" i="2"/>
  <c r="T637" i="2"/>
  <c r="U637" i="2"/>
  <c r="V637" i="2"/>
  <c r="W637" i="2"/>
  <c r="X637" i="2"/>
  <c r="Y637" i="2"/>
  <c r="Z637" i="2"/>
  <c r="AA637" i="2"/>
  <c r="AB637" i="2"/>
  <c r="AC637" i="2"/>
  <c r="AD637" i="2"/>
  <c r="AE637" i="2"/>
  <c r="AF637" i="2"/>
  <c r="AG637" i="2"/>
  <c r="AH637" i="2"/>
  <c r="AI637" i="2"/>
  <c r="AJ637" i="2"/>
  <c r="AK637" i="2"/>
  <c r="AM637" i="2"/>
  <c r="AO637" i="2"/>
  <c r="AP637" i="2"/>
  <c r="AQ637" i="2"/>
  <c r="AR637" i="2"/>
  <c r="AS637" i="2"/>
  <c r="AT637" i="2"/>
  <c r="AU637" i="2"/>
  <c r="AV637" i="2"/>
  <c r="B638" i="2"/>
  <c r="C638" i="2"/>
  <c r="D638" i="2"/>
  <c r="E638" i="2"/>
  <c r="F638" i="2"/>
  <c r="G638" i="2"/>
  <c r="H638" i="2"/>
  <c r="I638" i="2"/>
  <c r="J638" i="2"/>
  <c r="K638" i="2"/>
  <c r="L638" i="2"/>
  <c r="M638" i="2"/>
  <c r="N638" i="2"/>
  <c r="O638" i="2"/>
  <c r="P638" i="2"/>
  <c r="Q638" i="2"/>
  <c r="R638" i="2"/>
  <c r="S638" i="2"/>
  <c r="T638" i="2"/>
  <c r="U638" i="2"/>
  <c r="V638" i="2"/>
  <c r="W638" i="2"/>
  <c r="X638" i="2"/>
  <c r="Y638" i="2"/>
  <c r="Z638" i="2"/>
  <c r="AA638" i="2"/>
  <c r="AB638" i="2"/>
  <c r="AC638" i="2"/>
  <c r="AD638" i="2"/>
  <c r="AE638" i="2"/>
  <c r="AF638" i="2"/>
  <c r="AG638" i="2"/>
  <c r="AH638" i="2"/>
  <c r="AI638" i="2"/>
  <c r="AJ638" i="2"/>
  <c r="AK638" i="2"/>
  <c r="AM638" i="2"/>
  <c r="HF38" i="3" s="1"/>
  <c r="AO638" i="2"/>
  <c r="AP638" i="2"/>
  <c r="AQ638" i="2"/>
  <c r="AR638" i="2"/>
  <c r="AS638" i="2"/>
  <c r="AT638" i="2"/>
  <c r="AU638" i="2"/>
  <c r="AV638" i="2"/>
  <c r="B639" i="2"/>
  <c r="C639" i="2"/>
  <c r="D639" i="2"/>
  <c r="E639" i="2"/>
  <c r="F639" i="2"/>
  <c r="G639" i="2"/>
  <c r="H639" i="2"/>
  <c r="I639" i="2"/>
  <c r="J639" i="2"/>
  <c r="K639" i="2"/>
  <c r="L639" i="2"/>
  <c r="M639" i="2"/>
  <c r="N639" i="2"/>
  <c r="O639" i="2"/>
  <c r="P639" i="2"/>
  <c r="Q639" i="2"/>
  <c r="R639" i="2"/>
  <c r="S639" i="2"/>
  <c r="T639" i="2"/>
  <c r="U639" i="2"/>
  <c r="V639" i="2"/>
  <c r="W639" i="2"/>
  <c r="X639" i="2"/>
  <c r="Y639" i="2"/>
  <c r="Z639" i="2"/>
  <c r="AA639" i="2"/>
  <c r="AB639" i="2"/>
  <c r="AC639" i="2"/>
  <c r="AD639" i="2"/>
  <c r="AE639" i="2"/>
  <c r="AF639" i="2"/>
  <c r="AG639" i="2"/>
  <c r="AH639" i="2"/>
  <c r="AI639" i="2"/>
  <c r="AJ639" i="2"/>
  <c r="AK639" i="2"/>
  <c r="AM639" i="2"/>
  <c r="AO639" i="2"/>
  <c r="AP639" i="2"/>
  <c r="AQ639" i="2"/>
  <c r="AR639" i="2"/>
  <c r="AS639" i="2"/>
  <c r="AT639" i="2"/>
  <c r="AU639" i="2"/>
  <c r="AV639" i="2"/>
  <c r="B640" i="2"/>
  <c r="C640" i="2"/>
  <c r="D640" i="2"/>
  <c r="E640" i="2"/>
  <c r="F640" i="2"/>
  <c r="G640" i="2"/>
  <c r="H640" i="2"/>
  <c r="I640" i="2"/>
  <c r="J640" i="2"/>
  <c r="K640" i="2"/>
  <c r="L640" i="2"/>
  <c r="M640" i="2"/>
  <c r="N640" i="2"/>
  <c r="O640" i="2"/>
  <c r="P640" i="2"/>
  <c r="Q640" i="2"/>
  <c r="R640" i="2"/>
  <c r="S640" i="2"/>
  <c r="T640" i="2"/>
  <c r="U640" i="2"/>
  <c r="V640" i="2"/>
  <c r="W640" i="2"/>
  <c r="X640" i="2"/>
  <c r="Y640" i="2"/>
  <c r="Z640" i="2"/>
  <c r="AA640" i="2"/>
  <c r="AB640" i="2"/>
  <c r="AC640" i="2"/>
  <c r="AD640" i="2"/>
  <c r="AE640" i="2"/>
  <c r="AF640" i="2"/>
  <c r="AG640" i="2"/>
  <c r="AH640" i="2"/>
  <c r="AI640" i="2"/>
  <c r="AJ640" i="2"/>
  <c r="AK640" i="2"/>
  <c r="AM640" i="2"/>
  <c r="AO640" i="2"/>
  <c r="AP640" i="2"/>
  <c r="AQ640" i="2"/>
  <c r="AR640" i="2"/>
  <c r="AS640" i="2"/>
  <c r="AT640" i="2"/>
  <c r="AU640" i="2"/>
  <c r="AV640" i="2"/>
  <c r="B641" i="2"/>
  <c r="C641" i="2"/>
  <c r="D641" i="2"/>
  <c r="E641" i="2"/>
  <c r="F641" i="2"/>
  <c r="G641" i="2"/>
  <c r="H641" i="2"/>
  <c r="I641" i="2"/>
  <c r="J641" i="2"/>
  <c r="K641" i="2"/>
  <c r="L641" i="2"/>
  <c r="M641" i="2"/>
  <c r="N641" i="2"/>
  <c r="O641" i="2"/>
  <c r="P641" i="2"/>
  <c r="Q641" i="2"/>
  <c r="R641" i="2"/>
  <c r="S641" i="2"/>
  <c r="T641" i="2"/>
  <c r="U641" i="2"/>
  <c r="V641" i="2"/>
  <c r="W641" i="2"/>
  <c r="X641" i="2"/>
  <c r="Y641" i="2"/>
  <c r="Z641" i="2"/>
  <c r="AA641" i="2"/>
  <c r="AB641" i="2"/>
  <c r="AC641" i="2"/>
  <c r="AD641" i="2"/>
  <c r="AE641" i="2"/>
  <c r="AF641" i="2"/>
  <c r="AG641" i="2"/>
  <c r="AH641" i="2"/>
  <c r="AI641" i="2"/>
  <c r="AJ641" i="2"/>
  <c r="AK641" i="2"/>
  <c r="AM641" i="2"/>
  <c r="HG38" i="3" s="1"/>
  <c r="AO641" i="2"/>
  <c r="AP641" i="2"/>
  <c r="AQ641" i="2"/>
  <c r="AR641" i="2"/>
  <c r="AS641" i="2"/>
  <c r="AT641" i="2"/>
  <c r="AU641" i="2"/>
  <c r="AV641" i="2"/>
  <c r="B642" i="2"/>
  <c r="C642" i="2"/>
  <c r="D642" i="2"/>
  <c r="E642" i="2"/>
  <c r="F642" i="2"/>
  <c r="G642" i="2"/>
  <c r="H642" i="2"/>
  <c r="I642" i="2"/>
  <c r="J642" i="2"/>
  <c r="K642" i="2"/>
  <c r="L642" i="2"/>
  <c r="M642" i="2"/>
  <c r="N642" i="2"/>
  <c r="O642" i="2"/>
  <c r="P642" i="2"/>
  <c r="Q642" i="2"/>
  <c r="R642" i="2"/>
  <c r="S642" i="2"/>
  <c r="T642" i="2"/>
  <c r="U642" i="2"/>
  <c r="V642" i="2"/>
  <c r="W642" i="2"/>
  <c r="X642" i="2"/>
  <c r="Y642" i="2"/>
  <c r="Z642" i="2"/>
  <c r="AA642" i="2"/>
  <c r="AB642" i="2"/>
  <c r="AC642" i="2"/>
  <c r="AD642" i="2"/>
  <c r="AE642" i="2"/>
  <c r="AF642" i="2"/>
  <c r="AG642" i="2"/>
  <c r="AH642" i="2"/>
  <c r="AI642" i="2"/>
  <c r="AJ642" i="2"/>
  <c r="AK642" i="2"/>
  <c r="AM642" i="2"/>
  <c r="AO642" i="2"/>
  <c r="AP642" i="2"/>
  <c r="AQ642" i="2"/>
  <c r="AR642" i="2"/>
  <c r="AS642" i="2"/>
  <c r="AT642" i="2"/>
  <c r="AU642" i="2"/>
  <c r="AV642" i="2"/>
  <c r="B643" i="2"/>
  <c r="C643" i="2"/>
  <c r="D643" i="2"/>
  <c r="E643" i="2"/>
  <c r="F643" i="2"/>
  <c r="G643" i="2"/>
  <c r="H643" i="2"/>
  <c r="I643" i="2"/>
  <c r="J643" i="2"/>
  <c r="K643" i="2"/>
  <c r="L643" i="2"/>
  <c r="M643" i="2"/>
  <c r="N643" i="2"/>
  <c r="O643" i="2"/>
  <c r="P643" i="2"/>
  <c r="Q643" i="2"/>
  <c r="R643" i="2"/>
  <c r="S643" i="2"/>
  <c r="T643" i="2"/>
  <c r="U643" i="2"/>
  <c r="V643" i="2"/>
  <c r="W643" i="2"/>
  <c r="X643" i="2"/>
  <c r="Y643" i="2"/>
  <c r="Z643" i="2"/>
  <c r="AA643" i="2"/>
  <c r="AB643" i="2"/>
  <c r="AC643" i="2"/>
  <c r="AD643" i="2"/>
  <c r="AE643" i="2"/>
  <c r="AF643" i="2"/>
  <c r="AG643" i="2"/>
  <c r="AH643" i="2"/>
  <c r="AI643" i="2"/>
  <c r="AJ643" i="2"/>
  <c r="AK643" i="2"/>
  <c r="AM643" i="2"/>
  <c r="AO643" i="2"/>
  <c r="AP643" i="2"/>
  <c r="AQ643" i="2"/>
  <c r="AR643" i="2"/>
  <c r="AS643" i="2"/>
  <c r="AT643" i="2"/>
  <c r="AU643" i="2"/>
  <c r="AV643" i="2"/>
  <c r="B644" i="2"/>
  <c r="C644" i="2"/>
  <c r="D644" i="2"/>
  <c r="E644" i="2"/>
  <c r="F644" i="2"/>
  <c r="G644" i="2"/>
  <c r="H644" i="2"/>
  <c r="I644" i="2"/>
  <c r="J644" i="2"/>
  <c r="K644" i="2"/>
  <c r="L644" i="2"/>
  <c r="M644" i="2"/>
  <c r="N644" i="2"/>
  <c r="O644" i="2"/>
  <c r="P644" i="2"/>
  <c r="Q644" i="2"/>
  <c r="R644" i="2"/>
  <c r="S644" i="2"/>
  <c r="T644" i="2"/>
  <c r="U644" i="2"/>
  <c r="V644" i="2"/>
  <c r="W644" i="2"/>
  <c r="X644" i="2"/>
  <c r="Y644" i="2"/>
  <c r="Z644" i="2"/>
  <c r="AA644" i="2"/>
  <c r="AB644" i="2"/>
  <c r="AC644" i="2"/>
  <c r="AD644" i="2"/>
  <c r="AE644" i="2"/>
  <c r="AF644" i="2"/>
  <c r="AG644" i="2"/>
  <c r="AH644" i="2"/>
  <c r="AI644" i="2"/>
  <c r="AJ644" i="2"/>
  <c r="AK644" i="2"/>
  <c r="AM644" i="2"/>
  <c r="AO644" i="2"/>
  <c r="AP644" i="2"/>
  <c r="AQ644" i="2"/>
  <c r="AR644" i="2"/>
  <c r="AS644" i="2"/>
  <c r="AT644" i="2"/>
  <c r="AU644" i="2"/>
  <c r="AV644" i="2"/>
  <c r="B645" i="2"/>
  <c r="C645" i="2"/>
  <c r="D645" i="2"/>
  <c r="E645" i="2"/>
  <c r="F645" i="2"/>
  <c r="G645" i="2"/>
  <c r="H645" i="2"/>
  <c r="I645" i="2"/>
  <c r="J645" i="2"/>
  <c r="K645" i="2"/>
  <c r="L645" i="2"/>
  <c r="M645" i="2"/>
  <c r="N645" i="2"/>
  <c r="O645" i="2"/>
  <c r="P645" i="2"/>
  <c r="Q645" i="2"/>
  <c r="R645" i="2"/>
  <c r="S645" i="2"/>
  <c r="T645" i="2"/>
  <c r="U645" i="2"/>
  <c r="V645" i="2"/>
  <c r="W645" i="2"/>
  <c r="X645" i="2"/>
  <c r="Y645" i="2"/>
  <c r="Z645" i="2"/>
  <c r="AA645" i="2"/>
  <c r="AB645" i="2"/>
  <c r="AC645" i="2"/>
  <c r="AD645" i="2"/>
  <c r="AE645" i="2"/>
  <c r="AF645" i="2"/>
  <c r="AG645" i="2"/>
  <c r="AH645" i="2"/>
  <c r="AI645" i="2"/>
  <c r="AJ645" i="2"/>
  <c r="AK645" i="2"/>
  <c r="AM645" i="2"/>
  <c r="AO645" i="2"/>
  <c r="AP645" i="2"/>
  <c r="AQ645" i="2"/>
  <c r="AR645" i="2"/>
  <c r="AS645" i="2"/>
  <c r="AT645" i="2"/>
  <c r="AU645" i="2"/>
  <c r="AV645" i="2"/>
  <c r="B646" i="2"/>
  <c r="C646" i="2"/>
  <c r="D646" i="2"/>
  <c r="E646" i="2"/>
  <c r="F646" i="2"/>
  <c r="G646" i="2"/>
  <c r="H646" i="2"/>
  <c r="I646" i="2"/>
  <c r="J646" i="2"/>
  <c r="K646" i="2"/>
  <c r="L646" i="2"/>
  <c r="M646" i="2"/>
  <c r="N646" i="2"/>
  <c r="O646" i="2"/>
  <c r="P646" i="2"/>
  <c r="Q646" i="2"/>
  <c r="R646" i="2"/>
  <c r="S646" i="2"/>
  <c r="T646" i="2"/>
  <c r="U646" i="2"/>
  <c r="V646" i="2"/>
  <c r="W646" i="2"/>
  <c r="X646" i="2"/>
  <c r="Y646" i="2"/>
  <c r="Z646" i="2"/>
  <c r="AA646" i="2"/>
  <c r="AB646" i="2"/>
  <c r="AC646" i="2"/>
  <c r="AD646" i="2"/>
  <c r="AE646" i="2"/>
  <c r="AF646" i="2"/>
  <c r="AG646" i="2"/>
  <c r="AH646" i="2"/>
  <c r="AI646" i="2"/>
  <c r="AJ646" i="2"/>
  <c r="AK646" i="2"/>
  <c r="AM646" i="2"/>
  <c r="HH38" i="3" s="1"/>
  <c r="AO646" i="2"/>
  <c r="AP646" i="2"/>
  <c r="AQ646" i="2"/>
  <c r="AR646" i="2"/>
  <c r="AS646" i="2"/>
  <c r="AT646" i="2"/>
  <c r="AU646" i="2"/>
  <c r="AV646" i="2"/>
  <c r="B647" i="2"/>
  <c r="C647" i="2"/>
  <c r="D647" i="2"/>
  <c r="E647" i="2"/>
  <c r="F647" i="2"/>
  <c r="G647" i="2"/>
  <c r="H647" i="2"/>
  <c r="I647" i="2"/>
  <c r="J647" i="2"/>
  <c r="K647" i="2"/>
  <c r="L647" i="2"/>
  <c r="M647" i="2"/>
  <c r="N647" i="2"/>
  <c r="O647" i="2"/>
  <c r="P647" i="2"/>
  <c r="Q647" i="2"/>
  <c r="R647" i="2"/>
  <c r="S647" i="2"/>
  <c r="T647" i="2"/>
  <c r="U647" i="2"/>
  <c r="V647" i="2"/>
  <c r="W647" i="2"/>
  <c r="X647" i="2"/>
  <c r="Y647" i="2"/>
  <c r="Z647" i="2"/>
  <c r="AA647" i="2"/>
  <c r="AB647" i="2"/>
  <c r="AC647" i="2"/>
  <c r="AD647" i="2"/>
  <c r="AE647" i="2"/>
  <c r="AF647" i="2"/>
  <c r="AG647" i="2"/>
  <c r="AH647" i="2"/>
  <c r="AI647" i="2"/>
  <c r="AJ647" i="2"/>
  <c r="AK647" i="2"/>
  <c r="AM647" i="2"/>
  <c r="HI38" i="3" s="1"/>
  <c r="AO647" i="2"/>
  <c r="AP647" i="2"/>
  <c r="AQ647" i="2"/>
  <c r="AR647" i="2"/>
  <c r="AS647" i="2"/>
  <c r="AT647" i="2"/>
  <c r="AU647" i="2"/>
  <c r="AV647" i="2"/>
  <c r="B648" i="2"/>
  <c r="C648" i="2"/>
  <c r="D648" i="2"/>
  <c r="E648" i="2"/>
  <c r="F648" i="2"/>
  <c r="G648" i="2"/>
  <c r="H648" i="2"/>
  <c r="I648" i="2"/>
  <c r="J648" i="2"/>
  <c r="K648" i="2"/>
  <c r="L648" i="2"/>
  <c r="M648" i="2"/>
  <c r="N648" i="2"/>
  <c r="O648" i="2"/>
  <c r="P648" i="2"/>
  <c r="Q648" i="2"/>
  <c r="R648" i="2"/>
  <c r="S648" i="2"/>
  <c r="T648" i="2"/>
  <c r="U648" i="2"/>
  <c r="V648" i="2"/>
  <c r="W648" i="2"/>
  <c r="X648" i="2"/>
  <c r="Y648" i="2"/>
  <c r="Z648" i="2"/>
  <c r="AA648" i="2"/>
  <c r="AB648" i="2"/>
  <c r="AC648" i="2"/>
  <c r="AD648" i="2"/>
  <c r="AE648" i="2"/>
  <c r="AF648" i="2"/>
  <c r="AG648" i="2"/>
  <c r="AH648" i="2"/>
  <c r="AI648" i="2"/>
  <c r="AJ648" i="2"/>
  <c r="AK648" i="2"/>
  <c r="AM648" i="2"/>
  <c r="AO648" i="2"/>
  <c r="AP648" i="2"/>
  <c r="AQ648" i="2"/>
  <c r="AR648" i="2"/>
  <c r="AS648" i="2"/>
  <c r="AT648" i="2"/>
  <c r="AU648" i="2"/>
  <c r="AV648" i="2"/>
  <c r="B649" i="2"/>
  <c r="C649" i="2"/>
  <c r="D649" i="2"/>
  <c r="E649" i="2"/>
  <c r="F649" i="2"/>
  <c r="G649" i="2"/>
  <c r="H649" i="2"/>
  <c r="I649" i="2"/>
  <c r="J649" i="2"/>
  <c r="K649" i="2"/>
  <c r="L649" i="2"/>
  <c r="M649" i="2"/>
  <c r="N649" i="2"/>
  <c r="O649" i="2"/>
  <c r="P649" i="2"/>
  <c r="Q649" i="2"/>
  <c r="R649" i="2"/>
  <c r="S649" i="2"/>
  <c r="T649" i="2"/>
  <c r="U649" i="2"/>
  <c r="V649" i="2"/>
  <c r="W649" i="2"/>
  <c r="X649" i="2"/>
  <c r="Y649" i="2"/>
  <c r="Z649" i="2"/>
  <c r="AA649" i="2"/>
  <c r="AB649" i="2"/>
  <c r="AC649" i="2"/>
  <c r="AD649" i="2"/>
  <c r="AE649" i="2"/>
  <c r="AF649" i="2"/>
  <c r="AG649" i="2"/>
  <c r="AH649" i="2"/>
  <c r="AI649" i="2"/>
  <c r="AJ649" i="2"/>
  <c r="AK649" i="2"/>
  <c r="AM649" i="2"/>
  <c r="AO649" i="2"/>
  <c r="AP649" i="2"/>
  <c r="AQ649" i="2"/>
  <c r="AR649" i="2"/>
  <c r="AS649" i="2"/>
  <c r="AT649" i="2"/>
  <c r="AU649" i="2"/>
  <c r="AV649" i="2"/>
  <c r="B650" i="2"/>
  <c r="C650" i="2"/>
  <c r="D650" i="2"/>
  <c r="E650" i="2"/>
  <c r="F650" i="2"/>
  <c r="G650" i="2"/>
  <c r="H650" i="2"/>
  <c r="I650" i="2"/>
  <c r="J650" i="2"/>
  <c r="K650" i="2"/>
  <c r="L650" i="2"/>
  <c r="M650" i="2"/>
  <c r="N650" i="2"/>
  <c r="O650" i="2"/>
  <c r="P650" i="2"/>
  <c r="Q650" i="2"/>
  <c r="R650" i="2"/>
  <c r="S650" i="2"/>
  <c r="T650" i="2"/>
  <c r="U650" i="2"/>
  <c r="V650" i="2"/>
  <c r="W650" i="2"/>
  <c r="X650" i="2"/>
  <c r="Y650" i="2"/>
  <c r="Z650" i="2"/>
  <c r="AA650" i="2"/>
  <c r="AB650" i="2"/>
  <c r="AC650" i="2"/>
  <c r="AD650" i="2"/>
  <c r="AE650" i="2"/>
  <c r="AF650" i="2"/>
  <c r="AG650" i="2"/>
  <c r="AH650" i="2"/>
  <c r="AI650" i="2"/>
  <c r="AJ650" i="2"/>
  <c r="AK650" i="2"/>
  <c r="AM650" i="2"/>
  <c r="HJ38" i="3" s="1"/>
  <c r="AO650" i="2"/>
  <c r="AP650" i="2"/>
  <c r="AQ650" i="2"/>
  <c r="AR650" i="2"/>
  <c r="AS650" i="2"/>
  <c r="AT650" i="2"/>
  <c r="AU650" i="2"/>
  <c r="AV650" i="2"/>
  <c r="B651" i="2"/>
  <c r="C651" i="2"/>
  <c r="D651" i="2"/>
  <c r="E651" i="2"/>
  <c r="F651" i="2"/>
  <c r="G651" i="2"/>
  <c r="H651" i="2"/>
  <c r="I651" i="2"/>
  <c r="J651" i="2"/>
  <c r="K651" i="2"/>
  <c r="L651" i="2"/>
  <c r="M651" i="2"/>
  <c r="N651" i="2"/>
  <c r="O651" i="2"/>
  <c r="P651" i="2"/>
  <c r="Q651" i="2"/>
  <c r="R651" i="2"/>
  <c r="S651" i="2"/>
  <c r="T651" i="2"/>
  <c r="U651" i="2"/>
  <c r="V651" i="2"/>
  <c r="W651" i="2"/>
  <c r="X651" i="2"/>
  <c r="Y651" i="2"/>
  <c r="Z651" i="2"/>
  <c r="AA651" i="2"/>
  <c r="AB651" i="2"/>
  <c r="AC651" i="2"/>
  <c r="AD651" i="2"/>
  <c r="AE651" i="2"/>
  <c r="AF651" i="2"/>
  <c r="AG651" i="2"/>
  <c r="AH651" i="2"/>
  <c r="AI651" i="2"/>
  <c r="AJ651" i="2"/>
  <c r="AK651" i="2"/>
  <c r="AM651" i="2"/>
  <c r="AO651" i="2"/>
  <c r="AP651" i="2"/>
  <c r="AQ651" i="2"/>
  <c r="AR651" i="2"/>
  <c r="AS651" i="2"/>
  <c r="AT651" i="2"/>
  <c r="AU651" i="2"/>
  <c r="AV651" i="2"/>
  <c r="B652" i="2"/>
  <c r="C652" i="2"/>
  <c r="D652" i="2"/>
  <c r="E652" i="2"/>
  <c r="F652" i="2"/>
  <c r="G652" i="2"/>
  <c r="H652" i="2"/>
  <c r="I652" i="2"/>
  <c r="J652" i="2"/>
  <c r="K652" i="2"/>
  <c r="L652" i="2"/>
  <c r="M652" i="2"/>
  <c r="N652" i="2"/>
  <c r="O652" i="2"/>
  <c r="P652" i="2"/>
  <c r="Q652" i="2"/>
  <c r="R652" i="2"/>
  <c r="S652" i="2"/>
  <c r="T652" i="2"/>
  <c r="U652" i="2"/>
  <c r="V652" i="2"/>
  <c r="W652" i="2"/>
  <c r="X652" i="2"/>
  <c r="Y652" i="2"/>
  <c r="Z652" i="2"/>
  <c r="AA652" i="2"/>
  <c r="AB652" i="2"/>
  <c r="AC652" i="2"/>
  <c r="AD652" i="2"/>
  <c r="AE652" i="2"/>
  <c r="AF652" i="2"/>
  <c r="AG652" i="2"/>
  <c r="AH652" i="2"/>
  <c r="AI652" i="2"/>
  <c r="AJ652" i="2"/>
  <c r="AK652" i="2"/>
  <c r="AM652" i="2"/>
  <c r="AO652" i="2"/>
  <c r="AP652" i="2"/>
  <c r="AQ652" i="2"/>
  <c r="AR652" i="2"/>
  <c r="AS652" i="2"/>
  <c r="AT652" i="2"/>
  <c r="AU652" i="2"/>
  <c r="AV652" i="2"/>
  <c r="B653" i="2"/>
  <c r="C653" i="2"/>
  <c r="D653" i="2"/>
  <c r="E653" i="2"/>
  <c r="F653" i="2"/>
  <c r="G653" i="2"/>
  <c r="H653" i="2"/>
  <c r="I653" i="2"/>
  <c r="J653" i="2"/>
  <c r="K653" i="2"/>
  <c r="L653" i="2"/>
  <c r="M653" i="2"/>
  <c r="N653" i="2"/>
  <c r="O653" i="2"/>
  <c r="P653" i="2"/>
  <c r="Q653" i="2"/>
  <c r="R653" i="2"/>
  <c r="S653" i="2"/>
  <c r="T653" i="2"/>
  <c r="U653" i="2"/>
  <c r="V653" i="2"/>
  <c r="W653" i="2"/>
  <c r="X653" i="2"/>
  <c r="Y653" i="2"/>
  <c r="Z653" i="2"/>
  <c r="AA653" i="2"/>
  <c r="AB653" i="2"/>
  <c r="AC653" i="2"/>
  <c r="AD653" i="2"/>
  <c r="AE653" i="2"/>
  <c r="AF653" i="2"/>
  <c r="AG653" i="2"/>
  <c r="AH653" i="2"/>
  <c r="AI653" i="2"/>
  <c r="AJ653" i="2"/>
  <c r="AK653" i="2"/>
  <c r="AM653" i="2"/>
  <c r="HK38" i="3" s="1"/>
  <c r="AO653" i="2"/>
  <c r="AP653" i="2"/>
  <c r="AQ653" i="2"/>
  <c r="AR653" i="2"/>
  <c r="AS653" i="2"/>
  <c r="AT653" i="2"/>
  <c r="AU653" i="2"/>
  <c r="AV653" i="2"/>
  <c r="B654" i="2"/>
  <c r="C654" i="2"/>
  <c r="D654" i="2"/>
  <c r="E654" i="2"/>
  <c r="F654" i="2"/>
  <c r="G654" i="2"/>
  <c r="H654" i="2"/>
  <c r="I654" i="2"/>
  <c r="J654" i="2"/>
  <c r="K654" i="2"/>
  <c r="L654" i="2"/>
  <c r="M654" i="2"/>
  <c r="N654" i="2"/>
  <c r="O654" i="2"/>
  <c r="P654" i="2"/>
  <c r="Q654" i="2"/>
  <c r="R654" i="2"/>
  <c r="S654" i="2"/>
  <c r="T654" i="2"/>
  <c r="U654" i="2"/>
  <c r="V654" i="2"/>
  <c r="W654" i="2"/>
  <c r="X654" i="2"/>
  <c r="Y654" i="2"/>
  <c r="Z654" i="2"/>
  <c r="AA654" i="2"/>
  <c r="AB654" i="2"/>
  <c r="AC654" i="2"/>
  <c r="AD654" i="2"/>
  <c r="AE654" i="2"/>
  <c r="AF654" i="2"/>
  <c r="AG654" i="2"/>
  <c r="AH654" i="2"/>
  <c r="AI654" i="2"/>
  <c r="AJ654" i="2"/>
  <c r="AK654" i="2"/>
  <c r="AM654" i="2"/>
  <c r="AO654" i="2"/>
  <c r="AP654" i="2"/>
  <c r="AQ654" i="2"/>
  <c r="AR654" i="2"/>
  <c r="AS654" i="2"/>
  <c r="AT654" i="2"/>
  <c r="AU654" i="2"/>
  <c r="AV654" i="2"/>
  <c r="B655" i="2"/>
  <c r="C655" i="2"/>
  <c r="D655" i="2"/>
  <c r="E655" i="2"/>
  <c r="F655" i="2"/>
  <c r="G655" i="2"/>
  <c r="H655" i="2"/>
  <c r="I655" i="2"/>
  <c r="J655" i="2"/>
  <c r="K655" i="2"/>
  <c r="L655" i="2"/>
  <c r="M655" i="2"/>
  <c r="N655" i="2"/>
  <c r="O655" i="2"/>
  <c r="P655" i="2"/>
  <c r="Q655" i="2"/>
  <c r="R655" i="2"/>
  <c r="S655" i="2"/>
  <c r="T655" i="2"/>
  <c r="U655" i="2"/>
  <c r="V655" i="2"/>
  <c r="W655" i="2"/>
  <c r="X655" i="2"/>
  <c r="Y655" i="2"/>
  <c r="Z655" i="2"/>
  <c r="AA655" i="2"/>
  <c r="AB655" i="2"/>
  <c r="AC655" i="2"/>
  <c r="AD655" i="2"/>
  <c r="AE655" i="2"/>
  <c r="AF655" i="2"/>
  <c r="AG655" i="2"/>
  <c r="AH655" i="2"/>
  <c r="AI655" i="2"/>
  <c r="AJ655" i="2"/>
  <c r="AK655" i="2"/>
  <c r="AM655" i="2"/>
  <c r="AO655" i="2"/>
  <c r="AP655" i="2"/>
  <c r="AQ655" i="2"/>
  <c r="AR655" i="2"/>
  <c r="AS655" i="2"/>
  <c r="AT655" i="2"/>
  <c r="AU655" i="2"/>
  <c r="AV655" i="2"/>
  <c r="B656" i="2"/>
  <c r="C656" i="2"/>
  <c r="D656" i="2"/>
  <c r="E656" i="2"/>
  <c r="F656" i="2"/>
  <c r="G656" i="2"/>
  <c r="H656" i="2"/>
  <c r="I656" i="2"/>
  <c r="J656" i="2"/>
  <c r="K656" i="2"/>
  <c r="L656" i="2"/>
  <c r="M656" i="2"/>
  <c r="N656" i="2"/>
  <c r="O656" i="2"/>
  <c r="P656" i="2"/>
  <c r="Q656" i="2"/>
  <c r="R656" i="2"/>
  <c r="S656" i="2"/>
  <c r="T656" i="2"/>
  <c r="U656" i="2"/>
  <c r="V656" i="2"/>
  <c r="W656" i="2"/>
  <c r="X656" i="2"/>
  <c r="Y656" i="2"/>
  <c r="Z656" i="2"/>
  <c r="AA656" i="2"/>
  <c r="AB656" i="2"/>
  <c r="AC656" i="2"/>
  <c r="AD656" i="2"/>
  <c r="AE656" i="2"/>
  <c r="AF656" i="2"/>
  <c r="AG656" i="2"/>
  <c r="AH656" i="2"/>
  <c r="AI656" i="2"/>
  <c r="AJ656" i="2"/>
  <c r="AK656" i="2"/>
  <c r="AM656" i="2"/>
  <c r="AO656" i="2"/>
  <c r="AP656" i="2"/>
  <c r="AQ656" i="2"/>
  <c r="AR656" i="2"/>
  <c r="AS656" i="2"/>
  <c r="AT656" i="2"/>
  <c r="AU656" i="2"/>
  <c r="AV656" i="2"/>
  <c r="B657" i="2"/>
  <c r="C657" i="2"/>
  <c r="D657" i="2"/>
  <c r="E657" i="2"/>
  <c r="F657" i="2"/>
  <c r="G657" i="2"/>
  <c r="H657" i="2"/>
  <c r="I657" i="2"/>
  <c r="J657" i="2"/>
  <c r="K657" i="2"/>
  <c r="L657" i="2"/>
  <c r="M657" i="2"/>
  <c r="N657" i="2"/>
  <c r="O657" i="2"/>
  <c r="P657" i="2"/>
  <c r="Q657" i="2"/>
  <c r="R657" i="2"/>
  <c r="S657" i="2"/>
  <c r="T657" i="2"/>
  <c r="U657" i="2"/>
  <c r="V657" i="2"/>
  <c r="W657" i="2"/>
  <c r="X657" i="2"/>
  <c r="Y657" i="2"/>
  <c r="Z657" i="2"/>
  <c r="AA657" i="2"/>
  <c r="AB657" i="2"/>
  <c r="AC657" i="2"/>
  <c r="AD657" i="2"/>
  <c r="AE657" i="2"/>
  <c r="AF657" i="2"/>
  <c r="AG657" i="2"/>
  <c r="AH657" i="2"/>
  <c r="AI657" i="2"/>
  <c r="AJ657" i="2"/>
  <c r="AK657" i="2"/>
  <c r="AM657" i="2"/>
  <c r="AO657" i="2"/>
  <c r="AP657" i="2"/>
  <c r="AQ657" i="2"/>
  <c r="AR657" i="2"/>
  <c r="AS657" i="2"/>
  <c r="AT657" i="2"/>
  <c r="AU657" i="2"/>
  <c r="AV657" i="2"/>
  <c r="B658" i="2"/>
  <c r="C658" i="2"/>
  <c r="D658" i="2"/>
  <c r="E658" i="2"/>
  <c r="F658" i="2"/>
  <c r="G658" i="2"/>
  <c r="H658" i="2"/>
  <c r="I658" i="2"/>
  <c r="J658" i="2"/>
  <c r="K658" i="2"/>
  <c r="L658" i="2"/>
  <c r="M658" i="2"/>
  <c r="N658" i="2"/>
  <c r="O658" i="2"/>
  <c r="P658" i="2"/>
  <c r="Q658" i="2"/>
  <c r="R658" i="2"/>
  <c r="S658" i="2"/>
  <c r="T658" i="2"/>
  <c r="U658" i="2"/>
  <c r="V658" i="2"/>
  <c r="W658" i="2"/>
  <c r="X658" i="2"/>
  <c r="Y658" i="2"/>
  <c r="Z658" i="2"/>
  <c r="AA658" i="2"/>
  <c r="AB658" i="2"/>
  <c r="AC658" i="2"/>
  <c r="AD658" i="2"/>
  <c r="AE658" i="2"/>
  <c r="AF658" i="2"/>
  <c r="AG658" i="2"/>
  <c r="AH658" i="2"/>
  <c r="AI658" i="2"/>
  <c r="AJ658" i="2"/>
  <c r="AK658" i="2"/>
  <c r="AM658" i="2"/>
  <c r="HL38" i="3" s="1"/>
  <c r="AO658" i="2"/>
  <c r="AP658" i="2"/>
  <c r="AQ658" i="2"/>
  <c r="AR658" i="2"/>
  <c r="AS658" i="2"/>
  <c r="AT658" i="2"/>
  <c r="AU658" i="2"/>
  <c r="AV658" i="2"/>
  <c r="B659" i="2"/>
  <c r="C659" i="2"/>
  <c r="D659" i="2"/>
  <c r="E659" i="2"/>
  <c r="F659" i="2"/>
  <c r="G659" i="2"/>
  <c r="H659" i="2"/>
  <c r="I659" i="2"/>
  <c r="J659" i="2"/>
  <c r="K659" i="2"/>
  <c r="L659" i="2"/>
  <c r="M659" i="2"/>
  <c r="N659" i="2"/>
  <c r="O659" i="2"/>
  <c r="P659" i="2"/>
  <c r="Q659" i="2"/>
  <c r="R659" i="2"/>
  <c r="S659" i="2"/>
  <c r="T659" i="2"/>
  <c r="U659" i="2"/>
  <c r="V659" i="2"/>
  <c r="W659" i="2"/>
  <c r="X659" i="2"/>
  <c r="Y659" i="2"/>
  <c r="Z659" i="2"/>
  <c r="AA659" i="2"/>
  <c r="AB659" i="2"/>
  <c r="AC659" i="2"/>
  <c r="AD659" i="2"/>
  <c r="AE659" i="2"/>
  <c r="AF659" i="2"/>
  <c r="AG659" i="2"/>
  <c r="AH659" i="2"/>
  <c r="AI659" i="2"/>
  <c r="AJ659" i="2"/>
  <c r="AK659" i="2"/>
  <c r="AM659" i="2"/>
  <c r="HM38" i="3" s="1"/>
  <c r="AO659" i="2"/>
  <c r="AP659" i="2"/>
  <c r="AQ659" i="2"/>
  <c r="AR659" i="2"/>
  <c r="AS659" i="2"/>
  <c r="AT659" i="2"/>
  <c r="AU659" i="2"/>
  <c r="AV659" i="2"/>
  <c r="B660" i="2"/>
  <c r="C660" i="2"/>
  <c r="D660" i="2"/>
  <c r="E660" i="2"/>
  <c r="F660" i="2"/>
  <c r="G660" i="2"/>
  <c r="H660" i="2"/>
  <c r="I660" i="2"/>
  <c r="J660" i="2"/>
  <c r="K660" i="2"/>
  <c r="L660" i="2"/>
  <c r="M660" i="2"/>
  <c r="N660" i="2"/>
  <c r="O660" i="2"/>
  <c r="P660" i="2"/>
  <c r="Q660" i="2"/>
  <c r="R660" i="2"/>
  <c r="S660" i="2"/>
  <c r="T660" i="2"/>
  <c r="U660" i="2"/>
  <c r="V660" i="2"/>
  <c r="W660" i="2"/>
  <c r="X660" i="2"/>
  <c r="Y660" i="2"/>
  <c r="Z660" i="2"/>
  <c r="AA660" i="2"/>
  <c r="AB660" i="2"/>
  <c r="AC660" i="2"/>
  <c r="AD660" i="2"/>
  <c r="AE660" i="2"/>
  <c r="AF660" i="2"/>
  <c r="AG660" i="2"/>
  <c r="AH660" i="2"/>
  <c r="AI660" i="2"/>
  <c r="AJ660" i="2"/>
  <c r="AK660" i="2"/>
  <c r="AM660" i="2"/>
  <c r="AO660" i="2"/>
  <c r="AP660" i="2"/>
  <c r="AQ660" i="2"/>
  <c r="AR660" i="2"/>
  <c r="AS660" i="2"/>
  <c r="AT660" i="2"/>
  <c r="AU660" i="2"/>
  <c r="AV660" i="2"/>
  <c r="B661" i="2"/>
  <c r="C661" i="2"/>
  <c r="D661" i="2"/>
  <c r="E661" i="2"/>
  <c r="F661" i="2"/>
  <c r="G661" i="2"/>
  <c r="H661" i="2"/>
  <c r="I661" i="2"/>
  <c r="J661" i="2"/>
  <c r="K661" i="2"/>
  <c r="L661" i="2"/>
  <c r="M661" i="2"/>
  <c r="N661" i="2"/>
  <c r="O661" i="2"/>
  <c r="P661" i="2"/>
  <c r="Q661" i="2"/>
  <c r="R661" i="2"/>
  <c r="S661" i="2"/>
  <c r="T661" i="2"/>
  <c r="U661" i="2"/>
  <c r="V661" i="2"/>
  <c r="W661" i="2"/>
  <c r="X661" i="2"/>
  <c r="Y661" i="2"/>
  <c r="Z661" i="2"/>
  <c r="AA661" i="2"/>
  <c r="AB661" i="2"/>
  <c r="AC661" i="2"/>
  <c r="AD661" i="2"/>
  <c r="AE661" i="2"/>
  <c r="AF661" i="2"/>
  <c r="AG661" i="2"/>
  <c r="AH661" i="2"/>
  <c r="AI661" i="2"/>
  <c r="AJ661" i="2"/>
  <c r="AK661" i="2"/>
  <c r="AM661" i="2"/>
  <c r="AO661" i="2"/>
  <c r="AP661" i="2"/>
  <c r="AQ661" i="2"/>
  <c r="AR661" i="2"/>
  <c r="AS661" i="2"/>
  <c r="AT661" i="2"/>
  <c r="AU661" i="2"/>
  <c r="AV661" i="2"/>
  <c r="B662" i="2"/>
  <c r="C662" i="2"/>
  <c r="D662" i="2"/>
  <c r="E662" i="2"/>
  <c r="F662" i="2"/>
  <c r="G662" i="2"/>
  <c r="H662" i="2"/>
  <c r="I662" i="2"/>
  <c r="J662" i="2"/>
  <c r="K662" i="2"/>
  <c r="L662" i="2"/>
  <c r="M662" i="2"/>
  <c r="N662" i="2"/>
  <c r="O662" i="2"/>
  <c r="P662" i="2"/>
  <c r="Q662" i="2"/>
  <c r="R662" i="2"/>
  <c r="S662" i="2"/>
  <c r="T662" i="2"/>
  <c r="U662" i="2"/>
  <c r="V662" i="2"/>
  <c r="W662" i="2"/>
  <c r="X662" i="2"/>
  <c r="Y662" i="2"/>
  <c r="Z662" i="2"/>
  <c r="AA662" i="2"/>
  <c r="AB662" i="2"/>
  <c r="AC662" i="2"/>
  <c r="AD662" i="2"/>
  <c r="AE662" i="2"/>
  <c r="AF662" i="2"/>
  <c r="AG662" i="2"/>
  <c r="AH662" i="2"/>
  <c r="AI662" i="2"/>
  <c r="AJ662" i="2"/>
  <c r="AK662" i="2"/>
  <c r="AM662" i="2"/>
  <c r="HN38" i="3" s="1"/>
  <c r="AO662" i="2"/>
  <c r="AP662" i="2"/>
  <c r="AQ662" i="2"/>
  <c r="AR662" i="2"/>
  <c r="AS662" i="2"/>
  <c r="AT662" i="2"/>
  <c r="AU662" i="2"/>
  <c r="AV662" i="2"/>
  <c r="B663" i="2"/>
  <c r="C663" i="2"/>
  <c r="D663" i="2"/>
  <c r="E663" i="2"/>
  <c r="F663" i="2"/>
  <c r="G663" i="2"/>
  <c r="H663" i="2"/>
  <c r="I663" i="2"/>
  <c r="J663" i="2"/>
  <c r="K663" i="2"/>
  <c r="L663" i="2"/>
  <c r="M663" i="2"/>
  <c r="N663" i="2"/>
  <c r="O663" i="2"/>
  <c r="P663" i="2"/>
  <c r="Q663" i="2"/>
  <c r="R663" i="2"/>
  <c r="S663" i="2"/>
  <c r="T663" i="2"/>
  <c r="U663" i="2"/>
  <c r="V663" i="2"/>
  <c r="W663" i="2"/>
  <c r="X663" i="2"/>
  <c r="Y663" i="2"/>
  <c r="Z663" i="2"/>
  <c r="AA663" i="2"/>
  <c r="AB663" i="2"/>
  <c r="AC663" i="2"/>
  <c r="AD663" i="2"/>
  <c r="AE663" i="2"/>
  <c r="AF663" i="2"/>
  <c r="AG663" i="2"/>
  <c r="AH663" i="2"/>
  <c r="AI663" i="2"/>
  <c r="AJ663" i="2"/>
  <c r="AK663" i="2"/>
  <c r="AM663" i="2"/>
  <c r="AO663" i="2"/>
  <c r="AP663" i="2"/>
  <c r="AQ663" i="2"/>
  <c r="AR663" i="2"/>
  <c r="AS663" i="2"/>
  <c r="AT663" i="2"/>
  <c r="AU663" i="2"/>
  <c r="AV663" i="2"/>
  <c r="B664" i="2"/>
  <c r="C664" i="2"/>
  <c r="D664" i="2"/>
  <c r="E664" i="2"/>
  <c r="F664" i="2"/>
  <c r="G664" i="2"/>
  <c r="H664" i="2"/>
  <c r="I664" i="2"/>
  <c r="J664" i="2"/>
  <c r="K664" i="2"/>
  <c r="L664" i="2"/>
  <c r="M664" i="2"/>
  <c r="N664" i="2"/>
  <c r="O664" i="2"/>
  <c r="P664" i="2"/>
  <c r="Q664" i="2"/>
  <c r="R664" i="2"/>
  <c r="S664" i="2"/>
  <c r="T664" i="2"/>
  <c r="U664" i="2"/>
  <c r="V664" i="2"/>
  <c r="W664" i="2"/>
  <c r="X664" i="2"/>
  <c r="Y664" i="2"/>
  <c r="Z664" i="2"/>
  <c r="AA664" i="2"/>
  <c r="AB664" i="2"/>
  <c r="AC664" i="2"/>
  <c r="AD664" i="2"/>
  <c r="AE664" i="2"/>
  <c r="AF664" i="2"/>
  <c r="AG664" i="2"/>
  <c r="AH664" i="2"/>
  <c r="AI664" i="2"/>
  <c r="AJ664" i="2"/>
  <c r="AK664" i="2"/>
  <c r="AM664" i="2"/>
  <c r="AO664" i="2"/>
  <c r="AP664" i="2"/>
  <c r="AQ664" i="2"/>
  <c r="AR664" i="2"/>
  <c r="AS664" i="2"/>
  <c r="AT664" i="2"/>
  <c r="AU664" i="2"/>
  <c r="AV664" i="2"/>
  <c r="B665" i="2"/>
  <c r="C665" i="2"/>
  <c r="D665" i="2"/>
  <c r="E665" i="2"/>
  <c r="F665" i="2"/>
  <c r="G665" i="2"/>
  <c r="H665" i="2"/>
  <c r="I665" i="2"/>
  <c r="J665" i="2"/>
  <c r="K665" i="2"/>
  <c r="L665" i="2"/>
  <c r="M665" i="2"/>
  <c r="N665" i="2"/>
  <c r="O665" i="2"/>
  <c r="P665" i="2"/>
  <c r="Q665" i="2"/>
  <c r="R665" i="2"/>
  <c r="S665" i="2"/>
  <c r="T665" i="2"/>
  <c r="U665" i="2"/>
  <c r="V665" i="2"/>
  <c r="W665" i="2"/>
  <c r="X665" i="2"/>
  <c r="Y665" i="2"/>
  <c r="Z665" i="2"/>
  <c r="AA665" i="2"/>
  <c r="AB665" i="2"/>
  <c r="AC665" i="2"/>
  <c r="AD665" i="2"/>
  <c r="AE665" i="2"/>
  <c r="AF665" i="2"/>
  <c r="AG665" i="2"/>
  <c r="AH665" i="2"/>
  <c r="AI665" i="2"/>
  <c r="AJ665" i="2"/>
  <c r="AK665" i="2"/>
  <c r="AM665" i="2"/>
  <c r="HO38" i="3" s="1"/>
  <c r="AO665" i="2"/>
  <c r="AP665" i="2"/>
  <c r="AQ665" i="2"/>
  <c r="AR665" i="2"/>
  <c r="AS665" i="2"/>
  <c r="AT665" i="2"/>
  <c r="AU665" i="2"/>
  <c r="AV665" i="2"/>
  <c r="B666" i="2"/>
  <c r="C666" i="2"/>
  <c r="D666" i="2"/>
  <c r="E666" i="2"/>
  <c r="F666" i="2"/>
  <c r="G666" i="2"/>
  <c r="H666" i="2"/>
  <c r="I666" i="2"/>
  <c r="J666" i="2"/>
  <c r="K666" i="2"/>
  <c r="L666" i="2"/>
  <c r="M666" i="2"/>
  <c r="N666" i="2"/>
  <c r="O666" i="2"/>
  <c r="P666" i="2"/>
  <c r="Q666" i="2"/>
  <c r="R666" i="2"/>
  <c r="S666" i="2"/>
  <c r="T666" i="2"/>
  <c r="U666" i="2"/>
  <c r="V666" i="2"/>
  <c r="W666" i="2"/>
  <c r="X666" i="2"/>
  <c r="Y666" i="2"/>
  <c r="Z666" i="2"/>
  <c r="AA666" i="2"/>
  <c r="AB666" i="2"/>
  <c r="AC666" i="2"/>
  <c r="AD666" i="2"/>
  <c r="AE666" i="2"/>
  <c r="AF666" i="2"/>
  <c r="AG666" i="2"/>
  <c r="AH666" i="2"/>
  <c r="AI666" i="2"/>
  <c r="AJ666" i="2"/>
  <c r="AK666" i="2"/>
  <c r="AM666" i="2"/>
  <c r="AO666" i="2"/>
  <c r="AP666" i="2"/>
  <c r="AQ666" i="2"/>
  <c r="AR666" i="2"/>
  <c r="AS666" i="2"/>
  <c r="AT666" i="2"/>
  <c r="AU666" i="2"/>
  <c r="AV666" i="2"/>
  <c r="B667" i="2"/>
  <c r="C667" i="2"/>
  <c r="D667" i="2"/>
  <c r="E667" i="2"/>
  <c r="F667" i="2"/>
  <c r="G667" i="2"/>
  <c r="H667" i="2"/>
  <c r="I667" i="2"/>
  <c r="J667" i="2"/>
  <c r="K667" i="2"/>
  <c r="L667" i="2"/>
  <c r="M667" i="2"/>
  <c r="N667" i="2"/>
  <c r="O667" i="2"/>
  <c r="P667" i="2"/>
  <c r="Q667" i="2"/>
  <c r="R667" i="2"/>
  <c r="S667" i="2"/>
  <c r="T667" i="2"/>
  <c r="U667" i="2"/>
  <c r="V667" i="2"/>
  <c r="W667" i="2"/>
  <c r="X667" i="2"/>
  <c r="Y667" i="2"/>
  <c r="Z667" i="2"/>
  <c r="AA667" i="2"/>
  <c r="AB667" i="2"/>
  <c r="AC667" i="2"/>
  <c r="AD667" i="2"/>
  <c r="AE667" i="2"/>
  <c r="AF667" i="2"/>
  <c r="AG667" i="2"/>
  <c r="AH667" i="2"/>
  <c r="AI667" i="2"/>
  <c r="AJ667" i="2"/>
  <c r="AK667" i="2"/>
  <c r="AM667" i="2"/>
  <c r="AO667" i="2"/>
  <c r="AP667" i="2"/>
  <c r="AQ667" i="2"/>
  <c r="AR667" i="2"/>
  <c r="AS667" i="2"/>
  <c r="AT667" i="2"/>
  <c r="AU667" i="2"/>
  <c r="AV667" i="2"/>
  <c r="B668" i="2"/>
  <c r="C668" i="2"/>
  <c r="D668" i="2"/>
  <c r="E668" i="2"/>
  <c r="F668" i="2"/>
  <c r="G668" i="2"/>
  <c r="H668" i="2"/>
  <c r="I668" i="2"/>
  <c r="J668" i="2"/>
  <c r="K668" i="2"/>
  <c r="L668" i="2"/>
  <c r="M668" i="2"/>
  <c r="N668" i="2"/>
  <c r="O668" i="2"/>
  <c r="P668" i="2"/>
  <c r="Q668" i="2"/>
  <c r="R668" i="2"/>
  <c r="S668" i="2"/>
  <c r="T668" i="2"/>
  <c r="U668" i="2"/>
  <c r="V668" i="2"/>
  <c r="W668" i="2"/>
  <c r="X668" i="2"/>
  <c r="Y668" i="2"/>
  <c r="Z668" i="2"/>
  <c r="AA668" i="2"/>
  <c r="AB668" i="2"/>
  <c r="AC668" i="2"/>
  <c r="AD668" i="2"/>
  <c r="AE668" i="2"/>
  <c r="AF668" i="2"/>
  <c r="AG668" i="2"/>
  <c r="AH668" i="2"/>
  <c r="AI668" i="2"/>
  <c r="AJ668" i="2"/>
  <c r="AK668" i="2"/>
  <c r="AM668" i="2"/>
  <c r="AO668" i="2"/>
  <c r="AP668" i="2"/>
  <c r="AQ668" i="2"/>
  <c r="AR668" i="2"/>
  <c r="AS668" i="2"/>
  <c r="AT668" i="2"/>
  <c r="AU668" i="2"/>
  <c r="AV668" i="2"/>
  <c r="B669" i="2"/>
  <c r="C669" i="2"/>
  <c r="D669" i="2"/>
  <c r="E669" i="2"/>
  <c r="F669" i="2"/>
  <c r="G669" i="2"/>
  <c r="H669" i="2"/>
  <c r="I669" i="2"/>
  <c r="J669" i="2"/>
  <c r="K669" i="2"/>
  <c r="L669" i="2"/>
  <c r="M669" i="2"/>
  <c r="N669" i="2"/>
  <c r="O669" i="2"/>
  <c r="P669" i="2"/>
  <c r="Q669" i="2"/>
  <c r="R669" i="2"/>
  <c r="S669" i="2"/>
  <c r="T669" i="2"/>
  <c r="U669" i="2"/>
  <c r="V669" i="2"/>
  <c r="W669" i="2"/>
  <c r="X669" i="2"/>
  <c r="Y669" i="2"/>
  <c r="Z669" i="2"/>
  <c r="AA669" i="2"/>
  <c r="AB669" i="2"/>
  <c r="AC669" i="2"/>
  <c r="AD669" i="2"/>
  <c r="AE669" i="2"/>
  <c r="AF669" i="2"/>
  <c r="AG669" i="2"/>
  <c r="AH669" i="2"/>
  <c r="AI669" i="2"/>
  <c r="AJ669" i="2"/>
  <c r="AK669" i="2"/>
  <c r="AM669" i="2"/>
  <c r="AO669" i="2"/>
  <c r="AP669" i="2"/>
  <c r="AQ669" i="2"/>
  <c r="AR669" i="2"/>
  <c r="AS669" i="2"/>
  <c r="AT669" i="2"/>
  <c r="AU669" i="2"/>
  <c r="AV669" i="2"/>
  <c r="B670" i="2"/>
  <c r="C670" i="2"/>
  <c r="D670" i="2"/>
  <c r="E670" i="2"/>
  <c r="F670" i="2"/>
  <c r="G670" i="2"/>
  <c r="H670" i="2"/>
  <c r="I670" i="2"/>
  <c r="J670" i="2"/>
  <c r="K670" i="2"/>
  <c r="L670" i="2"/>
  <c r="M670" i="2"/>
  <c r="N670" i="2"/>
  <c r="O670" i="2"/>
  <c r="P670" i="2"/>
  <c r="Q670" i="2"/>
  <c r="R670" i="2"/>
  <c r="S670" i="2"/>
  <c r="T670" i="2"/>
  <c r="U670" i="2"/>
  <c r="V670" i="2"/>
  <c r="W670" i="2"/>
  <c r="X670" i="2"/>
  <c r="Y670" i="2"/>
  <c r="Z670" i="2"/>
  <c r="AA670" i="2"/>
  <c r="AB670" i="2"/>
  <c r="AC670" i="2"/>
  <c r="AD670" i="2"/>
  <c r="AE670" i="2"/>
  <c r="AF670" i="2"/>
  <c r="AG670" i="2"/>
  <c r="AH670" i="2"/>
  <c r="AI670" i="2"/>
  <c r="AJ670" i="2"/>
  <c r="AK670" i="2"/>
  <c r="AM670" i="2"/>
  <c r="HP38" i="3" s="1"/>
  <c r="AO670" i="2"/>
  <c r="AP670" i="2"/>
  <c r="AQ670" i="2"/>
  <c r="AR670" i="2"/>
  <c r="AS670" i="2"/>
  <c r="AT670" i="2"/>
  <c r="AU670" i="2"/>
  <c r="AV670" i="2"/>
  <c r="B671" i="2"/>
  <c r="C671" i="2"/>
  <c r="D671" i="2"/>
  <c r="E671" i="2"/>
  <c r="F671" i="2"/>
  <c r="G671" i="2"/>
  <c r="H671" i="2"/>
  <c r="I671" i="2"/>
  <c r="J671" i="2"/>
  <c r="K671" i="2"/>
  <c r="L671" i="2"/>
  <c r="M671" i="2"/>
  <c r="N671" i="2"/>
  <c r="O671" i="2"/>
  <c r="P671" i="2"/>
  <c r="Q671" i="2"/>
  <c r="R671" i="2"/>
  <c r="S671" i="2"/>
  <c r="T671" i="2"/>
  <c r="U671" i="2"/>
  <c r="V671" i="2"/>
  <c r="W671" i="2"/>
  <c r="X671" i="2"/>
  <c r="Y671" i="2"/>
  <c r="Z671" i="2"/>
  <c r="AA671" i="2"/>
  <c r="AB671" i="2"/>
  <c r="AC671" i="2"/>
  <c r="AD671" i="2"/>
  <c r="AE671" i="2"/>
  <c r="AF671" i="2"/>
  <c r="AG671" i="2"/>
  <c r="AH671" i="2"/>
  <c r="AI671" i="2"/>
  <c r="AJ671" i="2"/>
  <c r="AK671" i="2"/>
  <c r="AM671" i="2"/>
  <c r="HQ38" i="3" s="1"/>
  <c r="AO671" i="2"/>
  <c r="AP671" i="2"/>
  <c r="AQ671" i="2"/>
  <c r="AR671" i="2"/>
  <c r="AS671" i="2"/>
  <c r="AT671" i="2"/>
  <c r="AU671" i="2"/>
  <c r="AV671" i="2"/>
  <c r="B672" i="2"/>
  <c r="C672" i="2"/>
  <c r="D672" i="2"/>
  <c r="E672" i="2"/>
  <c r="F672" i="2"/>
  <c r="G672" i="2"/>
  <c r="H672" i="2"/>
  <c r="I672" i="2"/>
  <c r="J672" i="2"/>
  <c r="K672" i="2"/>
  <c r="L672" i="2"/>
  <c r="M672" i="2"/>
  <c r="N672" i="2"/>
  <c r="O672" i="2"/>
  <c r="P672" i="2"/>
  <c r="Q672" i="2"/>
  <c r="R672" i="2"/>
  <c r="S672" i="2"/>
  <c r="T672" i="2"/>
  <c r="U672" i="2"/>
  <c r="V672" i="2"/>
  <c r="W672" i="2"/>
  <c r="X672" i="2"/>
  <c r="Y672" i="2"/>
  <c r="Z672" i="2"/>
  <c r="AA672" i="2"/>
  <c r="AB672" i="2"/>
  <c r="AC672" i="2"/>
  <c r="AD672" i="2"/>
  <c r="AE672" i="2"/>
  <c r="AF672" i="2"/>
  <c r="AG672" i="2"/>
  <c r="AH672" i="2"/>
  <c r="AI672" i="2"/>
  <c r="AJ672" i="2"/>
  <c r="AK672" i="2"/>
  <c r="AM672" i="2"/>
  <c r="AO672" i="2"/>
  <c r="AP672" i="2"/>
  <c r="AQ672" i="2"/>
  <c r="AR672" i="2"/>
  <c r="AS672" i="2"/>
  <c r="AT672" i="2"/>
  <c r="AU672" i="2"/>
  <c r="AV672" i="2"/>
  <c r="B673" i="2"/>
  <c r="C673" i="2"/>
  <c r="D673" i="2"/>
  <c r="E673" i="2"/>
  <c r="F673" i="2"/>
  <c r="G673" i="2"/>
  <c r="H673" i="2"/>
  <c r="I673" i="2"/>
  <c r="J673" i="2"/>
  <c r="K673" i="2"/>
  <c r="L673" i="2"/>
  <c r="M673" i="2"/>
  <c r="N673" i="2"/>
  <c r="O673" i="2"/>
  <c r="P673" i="2"/>
  <c r="Q673" i="2"/>
  <c r="R673" i="2"/>
  <c r="S673" i="2"/>
  <c r="T673" i="2"/>
  <c r="U673" i="2"/>
  <c r="V673" i="2"/>
  <c r="W673" i="2"/>
  <c r="X673" i="2"/>
  <c r="Y673" i="2"/>
  <c r="Z673" i="2"/>
  <c r="AA673" i="2"/>
  <c r="AB673" i="2"/>
  <c r="AC673" i="2"/>
  <c r="AD673" i="2"/>
  <c r="AE673" i="2"/>
  <c r="AF673" i="2"/>
  <c r="AG673" i="2"/>
  <c r="AH673" i="2"/>
  <c r="AI673" i="2"/>
  <c r="AJ673" i="2"/>
  <c r="AK673" i="2"/>
  <c r="AM673" i="2"/>
  <c r="AO673" i="2"/>
  <c r="AP673" i="2"/>
  <c r="AQ673" i="2"/>
  <c r="AR673" i="2"/>
  <c r="AS673" i="2"/>
  <c r="AT673" i="2"/>
  <c r="AU673" i="2"/>
  <c r="AV673" i="2"/>
  <c r="B674" i="2"/>
  <c r="C674" i="2"/>
  <c r="D674" i="2"/>
  <c r="E674" i="2"/>
  <c r="F674" i="2"/>
  <c r="G674" i="2"/>
  <c r="H674" i="2"/>
  <c r="I674" i="2"/>
  <c r="J674" i="2"/>
  <c r="K674" i="2"/>
  <c r="L674" i="2"/>
  <c r="M674" i="2"/>
  <c r="N674" i="2"/>
  <c r="O674" i="2"/>
  <c r="P674" i="2"/>
  <c r="Q674" i="2"/>
  <c r="R674" i="2"/>
  <c r="S674" i="2"/>
  <c r="T674" i="2"/>
  <c r="U674" i="2"/>
  <c r="V674" i="2"/>
  <c r="W674" i="2"/>
  <c r="X674" i="2"/>
  <c r="Y674" i="2"/>
  <c r="Z674" i="2"/>
  <c r="AA674" i="2"/>
  <c r="AB674" i="2"/>
  <c r="AC674" i="2"/>
  <c r="AD674" i="2"/>
  <c r="AE674" i="2"/>
  <c r="AF674" i="2"/>
  <c r="AG674" i="2"/>
  <c r="AH674" i="2"/>
  <c r="AI674" i="2"/>
  <c r="AJ674" i="2"/>
  <c r="AK674" i="2"/>
  <c r="AM674" i="2"/>
  <c r="HR38" i="3" s="1"/>
  <c r="AO674" i="2"/>
  <c r="AP674" i="2"/>
  <c r="AQ674" i="2"/>
  <c r="AR674" i="2"/>
  <c r="AS674" i="2"/>
  <c r="AT674" i="2"/>
  <c r="AU674" i="2"/>
  <c r="AV674" i="2"/>
  <c r="B675" i="2"/>
  <c r="C675" i="2"/>
  <c r="D675" i="2"/>
  <c r="E675" i="2"/>
  <c r="F675" i="2"/>
  <c r="G675" i="2"/>
  <c r="H675" i="2"/>
  <c r="I675" i="2"/>
  <c r="J675" i="2"/>
  <c r="K675" i="2"/>
  <c r="L675" i="2"/>
  <c r="M675" i="2"/>
  <c r="N675" i="2"/>
  <c r="O675" i="2"/>
  <c r="P675" i="2"/>
  <c r="Q675" i="2"/>
  <c r="R675" i="2"/>
  <c r="S675" i="2"/>
  <c r="T675" i="2"/>
  <c r="U675" i="2"/>
  <c r="V675" i="2"/>
  <c r="W675" i="2"/>
  <c r="X675" i="2"/>
  <c r="Y675" i="2"/>
  <c r="Z675" i="2"/>
  <c r="AA675" i="2"/>
  <c r="AB675" i="2"/>
  <c r="AC675" i="2"/>
  <c r="AD675" i="2"/>
  <c r="AE675" i="2"/>
  <c r="AF675" i="2"/>
  <c r="AG675" i="2"/>
  <c r="AH675" i="2"/>
  <c r="AI675" i="2"/>
  <c r="AJ675" i="2"/>
  <c r="AK675" i="2"/>
  <c r="AM675" i="2"/>
  <c r="AO675" i="2"/>
  <c r="AP675" i="2"/>
  <c r="AQ675" i="2"/>
  <c r="AR675" i="2"/>
  <c r="AS675" i="2"/>
  <c r="AT675" i="2"/>
  <c r="AU675" i="2"/>
  <c r="AV675" i="2"/>
  <c r="B676" i="2"/>
  <c r="C676" i="2"/>
  <c r="D676" i="2"/>
  <c r="E676" i="2"/>
  <c r="F676" i="2"/>
  <c r="G676" i="2"/>
  <c r="H676" i="2"/>
  <c r="I676" i="2"/>
  <c r="J676" i="2"/>
  <c r="K676" i="2"/>
  <c r="L676" i="2"/>
  <c r="M676" i="2"/>
  <c r="N676" i="2"/>
  <c r="O676" i="2"/>
  <c r="P676" i="2"/>
  <c r="Q676" i="2"/>
  <c r="R676" i="2"/>
  <c r="S676" i="2"/>
  <c r="T676" i="2"/>
  <c r="U676" i="2"/>
  <c r="V676" i="2"/>
  <c r="W676" i="2"/>
  <c r="X676" i="2"/>
  <c r="Y676" i="2"/>
  <c r="Z676" i="2"/>
  <c r="AA676" i="2"/>
  <c r="AB676" i="2"/>
  <c r="AC676" i="2"/>
  <c r="AD676" i="2"/>
  <c r="AE676" i="2"/>
  <c r="AF676" i="2"/>
  <c r="AG676" i="2"/>
  <c r="AH676" i="2"/>
  <c r="AI676" i="2"/>
  <c r="AJ676" i="2"/>
  <c r="AK676" i="2"/>
  <c r="AM676" i="2"/>
  <c r="AO676" i="2"/>
  <c r="AP676" i="2"/>
  <c r="AQ676" i="2"/>
  <c r="AR676" i="2"/>
  <c r="AS676" i="2"/>
  <c r="AT676" i="2"/>
  <c r="AU676" i="2"/>
  <c r="AV676" i="2"/>
  <c r="B677" i="2"/>
  <c r="C677" i="2"/>
  <c r="D677" i="2"/>
  <c r="E677" i="2"/>
  <c r="F677" i="2"/>
  <c r="G677" i="2"/>
  <c r="H677" i="2"/>
  <c r="I677" i="2"/>
  <c r="J677" i="2"/>
  <c r="K677" i="2"/>
  <c r="L677" i="2"/>
  <c r="M677" i="2"/>
  <c r="N677" i="2"/>
  <c r="O677" i="2"/>
  <c r="P677" i="2"/>
  <c r="Q677" i="2"/>
  <c r="R677" i="2"/>
  <c r="S677" i="2"/>
  <c r="T677" i="2"/>
  <c r="U677" i="2"/>
  <c r="V677" i="2"/>
  <c r="W677" i="2"/>
  <c r="X677" i="2"/>
  <c r="Y677" i="2"/>
  <c r="Z677" i="2"/>
  <c r="AA677" i="2"/>
  <c r="AB677" i="2"/>
  <c r="AC677" i="2"/>
  <c r="AD677" i="2"/>
  <c r="AE677" i="2"/>
  <c r="AF677" i="2"/>
  <c r="AG677" i="2"/>
  <c r="AH677" i="2"/>
  <c r="AI677" i="2"/>
  <c r="AJ677" i="2"/>
  <c r="AK677" i="2"/>
  <c r="AM677" i="2"/>
  <c r="HS38" i="3" s="1"/>
  <c r="AO677" i="2"/>
  <c r="AP677" i="2"/>
  <c r="AQ677" i="2"/>
  <c r="AR677" i="2"/>
  <c r="AS677" i="2"/>
  <c r="AT677" i="2"/>
  <c r="AU677" i="2"/>
  <c r="AV677" i="2"/>
  <c r="B678" i="2"/>
  <c r="C678" i="2"/>
  <c r="D678" i="2"/>
  <c r="E678" i="2"/>
  <c r="F678" i="2"/>
  <c r="G678" i="2"/>
  <c r="H678" i="2"/>
  <c r="I678" i="2"/>
  <c r="J678" i="2"/>
  <c r="K678" i="2"/>
  <c r="L678" i="2"/>
  <c r="M678" i="2"/>
  <c r="N678" i="2"/>
  <c r="O678" i="2"/>
  <c r="P678" i="2"/>
  <c r="Q678" i="2"/>
  <c r="R678" i="2"/>
  <c r="S678" i="2"/>
  <c r="T678" i="2"/>
  <c r="U678" i="2"/>
  <c r="V678" i="2"/>
  <c r="W678" i="2"/>
  <c r="X678" i="2"/>
  <c r="Y678" i="2"/>
  <c r="Z678" i="2"/>
  <c r="AA678" i="2"/>
  <c r="AB678" i="2"/>
  <c r="AC678" i="2"/>
  <c r="AD678" i="2"/>
  <c r="AE678" i="2"/>
  <c r="AF678" i="2"/>
  <c r="AG678" i="2"/>
  <c r="AH678" i="2"/>
  <c r="AI678" i="2"/>
  <c r="AJ678" i="2"/>
  <c r="AK678" i="2"/>
  <c r="AM678" i="2"/>
  <c r="AO678" i="2"/>
  <c r="AP678" i="2"/>
  <c r="AQ678" i="2"/>
  <c r="AR678" i="2"/>
  <c r="AS678" i="2"/>
  <c r="AT678" i="2"/>
  <c r="AU678" i="2"/>
  <c r="AV678" i="2"/>
  <c r="B679" i="2"/>
  <c r="C679" i="2"/>
  <c r="D679" i="2"/>
  <c r="E679" i="2"/>
  <c r="F679" i="2"/>
  <c r="G679" i="2"/>
  <c r="H679" i="2"/>
  <c r="I679" i="2"/>
  <c r="J679" i="2"/>
  <c r="K679" i="2"/>
  <c r="L679" i="2"/>
  <c r="M679" i="2"/>
  <c r="N679" i="2"/>
  <c r="O679" i="2"/>
  <c r="P679" i="2"/>
  <c r="Q679" i="2"/>
  <c r="R679" i="2"/>
  <c r="S679" i="2"/>
  <c r="T679" i="2"/>
  <c r="U679" i="2"/>
  <c r="V679" i="2"/>
  <c r="W679" i="2"/>
  <c r="X679" i="2"/>
  <c r="Y679" i="2"/>
  <c r="Z679" i="2"/>
  <c r="AA679" i="2"/>
  <c r="AB679" i="2"/>
  <c r="AC679" i="2"/>
  <c r="AD679" i="2"/>
  <c r="AE679" i="2"/>
  <c r="AF679" i="2"/>
  <c r="AG679" i="2"/>
  <c r="AH679" i="2"/>
  <c r="AI679" i="2"/>
  <c r="AJ679" i="2"/>
  <c r="AK679" i="2"/>
  <c r="AM679" i="2"/>
  <c r="AO679" i="2"/>
  <c r="AP679" i="2"/>
  <c r="AQ679" i="2"/>
  <c r="AR679" i="2"/>
  <c r="AS679" i="2"/>
  <c r="AT679" i="2"/>
  <c r="AU679" i="2"/>
  <c r="AV679" i="2"/>
  <c r="B680" i="2"/>
  <c r="C680" i="2"/>
  <c r="D680" i="2"/>
  <c r="E680" i="2"/>
  <c r="F680" i="2"/>
  <c r="G680" i="2"/>
  <c r="H680" i="2"/>
  <c r="I680" i="2"/>
  <c r="J680" i="2"/>
  <c r="K680" i="2"/>
  <c r="L680" i="2"/>
  <c r="M680" i="2"/>
  <c r="N680" i="2"/>
  <c r="O680" i="2"/>
  <c r="P680" i="2"/>
  <c r="Q680" i="2"/>
  <c r="R680" i="2"/>
  <c r="S680" i="2"/>
  <c r="T680" i="2"/>
  <c r="U680" i="2"/>
  <c r="V680" i="2"/>
  <c r="W680" i="2"/>
  <c r="X680" i="2"/>
  <c r="Y680" i="2"/>
  <c r="Z680" i="2"/>
  <c r="AA680" i="2"/>
  <c r="AB680" i="2"/>
  <c r="AC680" i="2"/>
  <c r="AD680" i="2"/>
  <c r="AE680" i="2"/>
  <c r="AF680" i="2"/>
  <c r="AG680" i="2"/>
  <c r="AH680" i="2"/>
  <c r="AI680" i="2"/>
  <c r="AJ680" i="2"/>
  <c r="AK680" i="2"/>
  <c r="AM680" i="2"/>
  <c r="AO680" i="2"/>
  <c r="AP680" i="2"/>
  <c r="AQ680" i="2"/>
  <c r="AR680" i="2"/>
  <c r="AS680" i="2"/>
  <c r="AT680" i="2"/>
  <c r="AU680" i="2"/>
  <c r="AV680" i="2"/>
  <c r="B681" i="2"/>
  <c r="C681" i="2"/>
  <c r="D681" i="2"/>
  <c r="E681" i="2"/>
  <c r="F681" i="2"/>
  <c r="G681" i="2"/>
  <c r="H681" i="2"/>
  <c r="I681" i="2"/>
  <c r="J681" i="2"/>
  <c r="K681" i="2"/>
  <c r="L681" i="2"/>
  <c r="M681" i="2"/>
  <c r="N681" i="2"/>
  <c r="O681" i="2"/>
  <c r="P681" i="2"/>
  <c r="Q681" i="2"/>
  <c r="R681" i="2"/>
  <c r="S681" i="2"/>
  <c r="T681" i="2"/>
  <c r="U681" i="2"/>
  <c r="V681" i="2"/>
  <c r="W681" i="2"/>
  <c r="X681" i="2"/>
  <c r="Y681" i="2"/>
  <c r="Z681" i="2"/>
  <c r="AA681" i="2"/>
  <c r="AB681" i="2"/>
  <c r="AC681" i="2"/>
  <c r="AD681" i="2"/>
  <c r="AE681" i="2"/>
  <c r="AF681" i="2"/>
  <c r="AG681" i="2"/>
  <c r="AH681" i="2"/>
  <c r="AI681" i="2"/>
  <c r="AJ681" i="2"/>
  <c r="AK681" i="2"/>
  <c r="AM681" i="2"/>
  <c r="AO681" i="2"/>
  <c r="AP681" i="2"/>
  <c r="AQ681" i="2"/>
  <c r="AR681" i="2"/>
  <c r="AS681" i="2"/>
  <c r="AT681" i="2"/>
  <c r="AU681" i="2"/>
  <c r="AV681" i="2"/>
  <c r="B682" i="2"/>
  <c r="C682" i="2"/>
  <c r="D682" i="2"/>
  <c r="E682" i="2"/>
  <c r="F682" i="2"/>
  <c r="G682" i="2"/>
  <c r="H682" i="2"/>
  <c r="I682" i="2"/>
  <c r="J682" i="2"/>
  <c r="K682" i="2"/>
  <c r="L682" i="2"/>
  <c r="M682" i="2"/>
  <c r="N682" i="2"/>
  <c r="O682" i="2"/>
  <c r="P682" i="2"/>
  <c r="Q682" i="2"/>
  <c r="R682" i="2"/>
  <c r="S682" i="2"/>
  <c r="T682" i="2"/>
  <c r="U682" i="2"/>
  <c r="V682" i="2"/>
  <c r="W682" i="2"/>
  <c r="X682" i="2"/>
  <c r="Y682" i="2"/>
  <c r="Z682" i="2"/>
  <c r="AA682" i="2"/>
  <c r="AB682" i="2"/>
  <c r="AC682" i="2"/>
  <c r="AD682" i="2"/>
  <c r="AE682" i="2"/>
  <c r="AF682" i="2"/>
  <c r="AG682" i="2"/>
  <c r="AH682" i="2"/>
  <c r="AI682" i="2"/>
  <c r="AJ682" i="2"/>
  <c r="AK682" i="2"/>
  <c r="AM682" i="2"/>
  <c r="HT38" i="3" s="1"/>
  <c r="AO682" i="2"/>
  <c r="AP682" i="2"/>
  <c r="AQ682" i="2"/>
  <c r="AR682" i="2"/>
  <c r="AS682" i="2"/>
  <c r="AT682" i="2"/>
  <c r="AU682" i="2"/>
  <c r="AV682" i="2"/>
  <c r="B683" i="2"/>
  <c r="C683" i="2"/>
  <c r="D683" i="2"/>
  <c r="E683" i="2"/>
  <c r="F683" i="2"/>
  <c r="G683" i="2"/>
  <c r="H683" i="2"/>
  <c r="I683" i="2"/>
  <c r="J683" i="2"/>
  <c r="K683" i="2"/>
  <c r="L683" i="2"/>
  <c r="M683" i="2"/>
  <c r="N683" i="2"/>
  <c r="O683" i="2"/>
  <c r="P683" i="2"/>
  <c r="Q683" i="2"/>
  <c r="R683" i="2"/>
  <c r="S683" i="2"/>
  <c r="T683" i="2"/>
  <c r="U683" i="2"/>
  <c r="V683" i="2"/>
  <c r="W683" i="2"/>
  <c r="X683" i="2"/>
  <c r="Y683" i="2"/>
  <c r="Z683" i="2"/>
  <c r="AA683" i="2"/>
  <c r="AB683" i="2"/>
  <c r="AC683" i="2"/>
  <c r="AD683" i="2"/>
  <c r="AE683" i="2"/>
  <c r="AF683" i="2"/>
  <c r="AG683" i="2"/>
  <c r="AH683" i="2"/>
  <c r="AI683" i="2"/>
  <c r="AJ683" i="2"/>
  <c r="AK683" i="2"/>
  <c r="AM683" i="2"/>
  <c r="HU38" i="3" s="1"/>
  <c r="AO683" i="2"/>
  <c r="AP683" i="2"/>
  <c r="AQ683" i="2"/>
  <c r="AR683" i="2"/>
  <c r="AS683" i="2"/>
  <c r="AT683" i="2"/>
  <c r="AU683" i="2"/>
  <c r="AV683" i="2"/>
  <c r="B684" i="2"/>
  <c r="C684" i="2"/>
  <c r="D684" i="2"/>
  <c r="E684" i="2"/>
  <c r="F684" i="2"/>
  <c r="G684" i="2"/>
  <c r="H684" i="2"/>
  <c r="I684" i="2"/>
  <c r="J684" i="2"/>
  <c r="K684" i="2"/>
  <c r="L684" i="2"/>
  <c r="M684" i="2"/>
  <c r="N684" i="2"/>
  <c r="O684" i="2"/>
  <c r="P684" i="2"/>
  <c r="Q684" i="2"/>
  <c r="R684" i="2"/>
  <c r="S684" i="2"/>
  <c r="T684" i="2"/>
  <c r="U684" i="2"/>
  <c r="V684" i="2"/>
  <c r="W684" i="2"/>
  <c r="X684" i="2"/>
  <c r="Y684" i="2"/>
  <c r="Z684" i="2"/>
  <c r="AA684" i="2"/>
  <c r="AB684" i="2"/>
  <c r="AC684" i="2"/>
  <c r="AD684" i="2"/>
  <c r="AE684" i="2"/>
  <c r="AF684" i="2"/>
  <c r="AG684" i="2"/>
  <c r="AH684" i="2"/>
  <c r="AI684" i="2"/>
  <c r="AJ684" i="2"/>
  <c r="AK684" i="2"/>
  <c r="AM684" i="2"/>
  <c r="AO684" i="2"/>
  <c r="AP684" i="2"/>
  <c r="AQ684" i="2"/>
  <c r="AR684" i="2"/>
  <c r="AS684" i="2"/>
  <c r="AT684" i="2"/>
  <c r="AU684" i="2"/>
  <c r="AV684" i="2"/>
  <c r="B685" i="2"/>
  <c r="C685" i="2"/>
  <c r="D685" i="2"/>
  <c r="E685" i="2"/>
  <c r="F685" i="2"/>
  <c r="G685" i="2"/>
  <c r="H685" i="2"/>
  <c r="I685" i="2"/>
  <c r="J685" i="2"/>
  <c r="K685" i="2"/>
  <c r="L685" i="2"/>
  <c r="M685" i="2"/>
  <c r="N685" i="2"/>
  <c r="O685" i="2"/>
  <c r="P685" i="2"/>
  <c r="Q685" i="2"/>
  <c r="R685" i="2"/>
  <c r="S685" i="2"/>
  <c r="T685" i="2"/>
  <c r="U685" i="2"/>
  <c r="V685" i="2"/>
  <c r="W685" i="2"/>
  <c r="X685" i="2"/>
  <c r="Y685" i="2"/>
  <c r="Z685" i="2"/>
  <c r="AA685" i="2"/>
  <c r="AB685" i="2"/>
  <c r="AC685" i="2"/>
  <c r="AD685" i="2"/>
  <c r="AE685" i="2"/>
  <c r="AF685" i="2"/>
  <c r="AG685" i="2"/>
  <c r="AH685" i="2"/>
  <c r="AI685" i="2"/>
  <c r="AJ685" i="2"/>
  <c r="AK685" i="2"/>
  <c r="AM685" i="2"/>
  <c r="AO685" i="2"/>
  <c r="AP685" i="2"/>
  <c r="AQ685" i="2"/>
  <c r="AR685" i="2"/>
  <c r="AS685" i="2"/>
  <c r="AT685" i="2"/>
  <c r="AU685" i="2"/>
  <c r="AV685" i="2"/>
  <c r="B686" i="2"/>
  <c r="C686" i="2"/>
  <c r="D686" i="2"/>
  <c r="E686" i="2"/>
  <c r="F686" i="2"/>
  <c r="G686" i="2"/>
  <c r="H686" i="2"/>
  <c r="I686" i="2"/>
  <c r="J686" i="2"/>
  <c r="K686" i="2"/>
  <c r="L686" i="2"/>
  <c r="M686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AE686" i="2"/>
  <c r="AF686" i="2"/>
  <c r="AG686" i="2"/>
  <c r="AH686" i="2"/>
  <c r="AI686" i="2"/>
  <c r="AJ686" i="2"/>
  <c r="AK686" i="2"/>
  <c r="AM686" i="2"/>
  <c r="HV38" i="3" s="1"/>
  <c r="AO686" i="2"/>
  <c r="AP686" i="2"/>
  <c r="AQ686" i="2"/>
  <c r="AR686" i="2"/>
  <c r="AS686" i="2"/>
  <c r="AT686" i="2"/>
  <c r="AU686" i="2"/>
  <c r="AV686" i="2"/>
  <c r="B687" i="2"/>
  <c r="C687" i="2"/>
  <c r="D687" i="2"/>
  <c r="E687" i="2"/>
  <c r="F687" i="2"/>
  <c r="G687" i="2"/>
  <c r="H687" i="2"/>
  <c r="I687" i="2"/>
  <c r="J687" i="2"/>
  <c r="K687" i="2"/>
  <c r="L687" i="2"/>
  <c r="M687" i="2"/>
  <c r="N687" i="2"/>
  <c r="O687" i="2"/>
  <c r="P687" i="2"/>
  <c r="Q687" i="2"/>
  <c r="R687" i="2"/>
  <c r="S687" i="2"/>
  <c r="T687" i="2"/>
  <c r="U687" i="2"/>
  <c r="V687" i="2"/>
  <c r="W687" i="2"/>
  <c r="X687" i="2"/>
  <c r="Y687" i="2"/>
  <c r="Z687" i="2"/>
  <c r="AA687" i="2"/>
  <c r="AB687" i="2"/>
  <c r="AC687" i="2"/>
  <c r="AD687" i="2"/>
  <c r="AE687" i="2"/>
  <c r="AF687" i="2"/>
  <c r="AG687" i="2"/>
  <c r="AH687" i="2"/>
  <c r="AI687" i="2"/>
  <c r="AJ687" i="2"/>
  <c r="AK687" i="2"/>
  <c r="AM687" i="2"/>
  <c r="AO687" i="2"/>
  <c r="AP687" i="2"/>
  <c r="AQ687" i="2"/>
  <c r="AR687" i="2"/>
  <c r="AS687" i="2"/>
  <c r="AT687" i="2"/>
  <c r="AU687" i="2"/>
  <c r="AV687" i="2"/>
  <c r="B688" i="2"/>
  <c r="C688" i="2"/>
  <c r="D688" i="2"/>
  <c r="E688" i="2"/>
  <c r="F688" i="2"/>
  <c r="G688" i="2"/>
  <c r="H688" i="2"/>
  <c r="I688" i="2"/>
  <c r="J688" i="2"/>
  <c r="K688" i="2"/>
  <c r="L688" i="2"/>
  <c r="M688" i="2"/>
  <c r="N688" i="2"/>
  <c r="O688" i="2"/>
  <c r="P688" i="2"/>
  <c r="Q688" i="2"/>
  <c r="R688" i="2"/>
  <c r="S688" i="2"/>
  <c r="T688" i="2"/>
  <c r="U688" i="2"/>
  <c r="V688" i="2"/>
  <c r="W688" i="2"/>
  <c r="X688" i="2"/>
  <c r="Y688" i="2"/>
  <c r="Z688" i="2"/>
  <c r="AA688" i="2"/>
  <c r="AB688" i="2"/>
  <c r="AC688" i="2"/>
  <c r="AD688" i="2"/>
  <c r="AE688" i="2"/>
  <c r="AF688" i="2"/>
  <c r="AG688" i="2"/>
  <c r="AH688" i="2"/>
  <c r="AI688" i="2"/>
  <c r="AJ688" i="2"/>
  <c r="AK688" i="2"/>
  <c r="AM688" i="2"/>
  <c r="AO688" i="2"/>
  <c r="AP688" i="2"/>
  <c r="AQ688" i="2"/>
  <c r="AR688" i="2"/>
  <c r="AS688" i="2"/>
  <c r="AT688" i="2"/>
  <c r="AU688" i="2"/>
  <c r="AV688" i="2"/>
  <c r="B689" i="2"/>
  <c r="C689" i="2"/>
  <c r="D689" i="2"/>
  <c r="E689" i="2"/>
  <c r="F689" i="2"/>
  <c r="G689" i="2"/>
  <c r="H689" i="2"/>
  <c r="I689" i="2"/>
  <c r="J689" i="2"/>
  <c r="K689" i="2"/>
  <c r="L689" i="2"/>
  <c r="M689" i="2"/>
  <c r="N689" i="2"/>
  <c r="O689" i="2"/>
  <c r="P689" i="2"/>
  <c r="Q689" i="2"/>
  <c r="R689" i="2"/>
  <c r="S689" i="2"/>
  <c r="T689" i="2"/>
  <c r="U689" i="2"/>
  <c r="V689" i="2"/>
  <c r="W689" i="2"/>
  <c r="X689" i="2"/>
  <c r="Y689" i="2"/>
  <c r="Z689" i="2"/>
  <c r="AA689" i="2"/>
  <c r="AB689" i="2"/>
  <c r="AC689" i="2"/>
  <c r="AD689" i="2"/>
  <c r="AE689" i="2"/>
  <c r="AF689" i="2"/>
  <c r="AG689" i="2"/>
  <c r="AH689" i="2"/>
  <c r="AI689" i="2"/>
  <c r="AJ689" i="2"/>
  <c r="AK689" i="2"/>
  <c r="AM689" i="2"/>
  <c r="HW38" i="3" s="1"/>
  <c r="AO689" i="2"/>
  <c r="AP689" i="2"/>
  <c r="AQ689" i="2"/>
  <c r="AR689" i="2"/>
  <c r="AS689" i="2"/>
  <c r="AT689" i="2"/>
  <c r="AU689" i="2"/>
  <c r="AV689" i="2"/>
  <c r="B690" i="2"/>
  <c r="C690" i="2"/>
  <c r="D690" i="2"/>
  <c r="E690" i="2"/>
  <c r="F690" i="2"/>
  <c r="G690" i="2"/>
  <c r="H690" i="2"/>
  <c r="I690" i="2"/>
  <c r="J690" i="2"/>
  <c r="K690" i="2"/>
  <c r="L690" i="2"/>
  <c r="M690" i="2"/>
  <c r="N690" i="2"/>
  <c r="O690" i="2"/>
  <c r="P690" i="2"/>
  <c r="Q690" i="2"/>
  <c r="R690" i="2"/>
  <c r="S690" i="2"/>
  <c r="T690" i="2"/>
  <c r="U690" i="2"/>
  <c r="V690" i="2"/>
  <c r="W690" i="2"/>
  <c r="X690" i="2"/>
  <c r="Y690" i="2"/>
  <c r="Z690" i="2"/>
  <c r="AA690" i="2"/>
  <c r="AB690" i="2"/>
  <c r="AC690" i="2"/>
  <c r="AD690" i="2"/>
  <c r="AE690" i="2"/>
  <c r="AF690" i="2"/>
  <c r="AG690" i="2"/>
  <c r="AH690" i="2"/>
  <c r="AI690" i="2"/>
  <c r="AJ690" i="2"/>
  <c r="AK690" i="2"/>
  <c r="AM690" i="2"/>
  <c r="AO690" i="2"/>
  <c r="AP690" i="2"/>
  <c r="AQ690" i="2"/>
  <c r="AR690" i="2"/>
  <c r="AS690" i="2"/>
  <c r="AT690" i="2"/>
  <c r="AU690" i="2"/>
  <c r="AV690" i="2"/>
  <c r="B691" i="2"/>
  <c r="C691" i="2"/>
  <c r="D691" i="2"/>
  <c r="E691" i="2"/>
  <c r="F691" i="2"/>
  <c r="G691" i="2"/>
  <c r="H691" i="2"/>
  <c r="I691" i="2"/>
  <c r="J691" i="2"/>
  <c r="K691" i="2"/>
  <c r="L691" i="2"/>
  <c r="M691" i="2"/>
  <c r="N691" i="2"/>
  <c r="O691" i="2"/>
  <c r="P691" i="2"/>
  <c r="Q691" i="2"/>
  <c r="R691" i="2"/>
  <c r="S691" i="2"/>
  <c r="T691" i="2"/>
  <c r="U691" i="2"/>
  <c r="V691" i="2"/>
  <c r="W691" i="2"/>
  <c r="X691" i="2"/>
  <c r="Y691" i="2"/>
  <c r="Z691" i="2"/>
  <c r="AA691" i="2"/>
  <c r="AB691" i="2"/>
  <c r="AC691" i="2"/>
  <c r="AD691" i="2"/>
  <c r="AE691" i="2"/>
  <c r="AF691" i="2"/>
  <c r="AG691" i="2"/>
  <c r="AH691" i="2"/>
  <c r="AI691" i="2"/>
  <c r="AJ691" i="2"/>
  <c r="AK691" i="2"/>
  <c r="AM691" i="2"/>
  <c r="AO691" i="2"/>
  <c r="AP691" i="2"/>
  <c r="AQ691" i="2"/>
  <c r="AR691" i="2"/>
  <c r="AS691" i="2"/>
  <c r="AT691" i="2"/>
  <c r="AU691" i="2"/>
  <c r="AV691" i="2"/>
  <c r="B692" i="2"/>
  <c r="C692" i="2"/>
  <c r="D692" i="2"/>
  <c r="E692" i="2"/>
  <c r="F692" i="2"/>
  <c r="G692" i="2"/>
  <c r="H692" i="2"/>
  <c r="I692" i="2"/>
  <c r="J692" i="2"/>
  <c r="K692" i="2"/>
  <c r="L692" i="2"/>
  <c r="M692" i="2"/>
  <c r="N692" i="2"/>
  <c r="O692" i="2"/>
  <c r="P692" i="2"/>
  <c r="Q692" i="2"/>
  <c r="R692" i="2"/>
  <c r="S692" i="2"/>
  <c r="T692" i="2"/>
  <c r="U692" i="2"/>
  <c r="V692" i="2"/>
  <c r="W692" i="2"/>
  <c r="X692" i="2"/>
  <c r="Y692" i="2"/>
  <c r="Z692" i="2"/>
  <c r="AA692" i="2"/>
  <c r="AB692" i="2"/>
  <c r="AC692" i="2"/>
  <c r="AD692" i="2"/>
  <c r="AE692" i="2"/>
  <c r="AF692" i="2"/>
  <c r="AG692" i="2"/>
  <c r="AH692" i="2"/>
  <c r="AI692" i="2"/>
  <c r="AJ692" i="2"/>
  <c r="AK692" i="2"/>
  <c r="AM692" i="2"/>
  <c r="AO692" i="2"/>
  <c r="AP692" i="2"/>
  <c r="AQ692" i="2"/>
  <c r="AR692" i="2"/>
  <c r="AS692" i="2"/>
  <c r="AT692" i="2"/>
  <c r="AU692" i="2"/>
  <c r="AV692" i="2"/>
  <c r="B693" i="2"/>
  <c r="C693" i="2"/>
  <c r="D693" i="2"/>
  <c r="E693" i="2"/>
  <c r="F693" i="2"/>
  <c r="G693" i="2"/>
  <c r="H693" i="2"/>
  <c r="I693" i="2"/>
  <c r="J693" i="2"/>
  <c r="K693" i="2"/>
  <c r="L693" i="2"/>
  <c r="M693" i="2"/>
  <c r="N693" i="2"/>
  <c r="O693" i="2"/>
  <c r="P693" i="2"/>
  <c r="Q693" i="2"/>
  <c r="R693" i="2"/>
  <c r="S693" i="2"/>
  <c r="T693" i="2"/>
  <c r="U693" i="2"/>
  <c r="V693" i="2"/>
  <c r="W693" i="2"/>
  <c r="X693" i="2"/>
  <c r="Y693" i="2"/>
  <c r="Z693" i="2"/>
  <c r="AA693" i="2"/>
  <c r="AB693" i="2"/>
  <c r="AC693" i="2"/>
  <c r="AD693" i="2"/>
  <c r="AE693" i="2"/>
  <c r="AF693" i="2"/>
  <c r="AG693" i="2"/>
  <c r="AH693" i="2"/>
  <c r="AI693" i="2"/>
  <c r="AJ693" i="2"/>
  <c r="AK693" i="2"/>
  <c r="AM693" i="2"/>
  <c r="AO693" i="2"/>
  <c r="AP693" i="2"/>
  <c r="AQ693" i="2"/>
  <c r="AR693" i="2"/>
  <c r="AS693" i="2"/>
  <c r="AT693" i="2"/>
  <c r="AU693" i="2"/>
  <c r="AV693" i="2"/>
  <c r="B694" i="2"/>
  <c r="C694" i="2"/>
  <c r="D694" i="2"/>
  <c r="E694" i="2"/>
  <c r="F694" i="2"/>
  <c r="G694" i="2"/>
  <c r="H694" i="2"/>
  <c r="I694" i="2"/>
  <c r="J694" i="2"/>
  <c r="K694" i="2"/>
  <c r="L694" i="2"/>
  <c r="M694" i="2"/>
  <c r="N694" i="2"/>
  <c r="O694" i="2"/>
  <c r="P694" i="2"/>
  <c r="Q694" i="2"/>
  <c r="R694" i="2"/>
  <c r="S694" i="2"/>
  <c r="T694" i="2"/>
  <c r="U694" i="2"/>
  <c r="V694" i="2"/>
  <c r="W694" i="2"/>
  <c r="X694" i="2"/>
  <c r="Y694" i="2"/>
  <c r="Z694" i="2"/>
  <c r="AA694" i="2"/>
  <c r="AB694" i="2"/>
  <c r="AC694" i="2"/>
  <c r="AD694" i="2"/>
  <c r="AE694" i="2"/>
  <c r="AF694" i="2"/>
  <c r="AG694" i="2"/>
  <c r="AH694" i="2"/>
  <c r="AI694" i="2"/>
  <c r="AJ694" i="2"/>
  <c r="AK694" i="2"/>
  <c r="AM694" i="2"/>
  <c r="HX38" i="3" s="1"/>
  <c r="AO694" i="2"/>
  <c r="AP694" i="2"/>
  <c r="AQ694" i="2"/>
  <c r="AR694" i="2"/>
  <c r="AS694" i="2"/>
  <c r="AT694" i="2"/>
  <c r="AU694" i="2"/>
  <c r="AV694" i="2"/>
  <c r="B695" i="2"/>
  <c r="C695" i="2"/>
  <c r="D695" i="2"/>
  <c r="E695" i="2"/>
  <c r="F695" i="2"/>
  <c r="G695" i="2"/>
  <c r="H695" i="2"/>
  <c r="I695" i="2"/>
  <c r="J695" i="2"/>
  <c r="K695" i="2"/>
  <c r="L695" i="2"/>
  <c r="M695" i="2"/>
  <c r="N695" i="2"/>
  <c r="O695" i="2"/>
  <c r="P695" i="2"/>
  <c r="Q695" i="2"/>
  <c r="R695" i="2"/>
  <c r="S695" i="2"/>
  <c r="T695" i="2"/>
  <c r="U695" i="2"/>
  <c r="V695" i="2"/>
  <c r="W695" i="2"/>
  <c r="X695" i="2"/>
  <c r="Y695" i="2"/>
  <c r="Z695" i="2"/>
  <c r="AA695" i="2"/>
  <c r="AB695" i="2"/>
  <c r="AC695" i="2"/>
  <c r="AD695" i="2"/>
  <c r="AE695" i="2"/>
  <c r="AF695" i="2"/>
  <c r="AG695" i="2"/>
  <c r="AH695" i="2"/>
  <c r="AI695" i="2"/>
  <c r="AJ695" i="2"/>
  <c r="AK695" i="2"/>
  <c r="AM695" i="2"/>
  <c r="HY38" i="3" s="1"/>
  <c r="AO695" i="2"/>
  <c r="AP695" i="2"/>
  <c r="AQ695" i="2"/>
  <c r="AR695" i="2"/>
  <c r="AS695" i="2"/>
  <c r="AT695" i="2"/>
  <c r="AU695" i="2"/>
  <c r="AV695" i="2"/>
  <c r="B696" i="2"/>
  <c r="C696" i="2"/>
  <c r="D696" i="2"/>
  <c r="E696" i="2"/>
  <c r="F696" i="2"/>
  <c r="G696" i="2"/>
  <c r="H696" i="2"/>
  <c r="I696" i="2"/>
  <c r="J696" i="2"/>
  <c r="K696" i="2"/>
  <c r="L696" i="2"/>
  <c r="M696" i="2"/>
  <c r="N696" i="2"/>
  <c r="O696" i="2"/>
  <c r="P696" i="2"/>
  <c r="Q696" i="2"/>
  <c r="R696" i="2"/>
  <c r="S696" i="2"/>
  <c r="T696" i="2"/>
  <c r="U696" i="2"/>
  <c r="V696" i="2"/>
  <c r="W696" i="2"/>
  <c r="X696" i="2"/>
  <c r="Y696" i="2"/>
  <c r="Z696" i="2"/>
  <c r="AA696" i="2"/>
  <c r="AB696" i="2"/>
  <c r="AC696" i="2"/>
  <c r="AD696" i="2"/>
  <c r="AE696" i="2"/>
  <c r="AF696" i="2"/>
  <c r="AG696" i="2"/>
  <c r="AH696" i="2"/>
  <c r="AI696" i="2"/>
  <c r="AJ696" i="2"/>
  <c r="AK696" i="2"/>
  <c r="AM696" i="2"/>
  <c r="AO696" i="2"/>
  <c r="AP696" i="2"/>
  <c r="AQ696" i="2"/>
  <c r="AR696" i="2"/>
  <c r="AS696" i="2"/>
  <c r="AT696" i="2"/>
  <c r="AU696" i="2"/>
  <c r="AV696" i="2"/>
  <c r="B697" i="2"/>
  <c r="C697" i="2"/>
  <c r="D697" i="2"/>
  <c r="E697" i="2"/>
  <c r="F697" i="2"/>
  <c r="G697" i="2"/>
  <c r="H697" i="2"/>
  <c r="I697" i="2"/>
  <c r="J697" i="2"/>
  <c r="K697" i="2"/>
  <c r="L697" i="2"/>
  <c r="M697" i="2"/>
  <c r="N697" i="2"/>
  <c r="O697" i="2"/>
  <c r="P697" i="2"/>
  <c r="Q697" i="2"/>
  <c r="R697" i="2"/>
  <c r="S697" i="2"/>
  <c r="T697" i="2"/>
  <c r="U697" i="2"/>
  <c r="V697" i="2"/>
  <c r="W697" i="2"/>
  <c r="X697" i="2"/>
  <c r="Y697" i="2"/>
  <c r="Z697" i="2"/>
  <c r="AA697" i="2"/>
  <c r="AB697" i="2"/>
  <c r="AC697" i="2"/>
  <c r="AD697" i="2"/>
  <c r="AE697" i="2"/>
  <c r="AF697" i="2"/>
  <c r="AG697" i="2"/>
  <c r="AH697" i="2"/>
  <c r="AI697" i="2"/>
  <c r="AJ697" i="2"/>
  <c r="AK697" i="2"/>
  <c r="AM697" i="2"/>
  <c r="AO697" i="2"/>
  <c r="AP697" i="2"/>
  <c r="AQ697" i="2"/>
  <c r="AR697" i="2"/>
  <c r="AS697" i="2"/>
  <c r="AT697" i="2"/>
  <c r="AU697" i="2"/>
  <c r="AV697" i="2"/>
  <c r="B698" i="2"/>
  <c r="C698" i="2"/>
  <c r="D698" i="2"/>
  <c r="E698" i="2"/>
  <c r="F698" i="2"/>
  <c r="G698" i="2"/>
  <c r="H698" i="2"/>
  <c r="I698" i="2"/>
  <c r="J698" i="2"/>
  <c r="K698" i="2"/>
  <c r="L698" i="2"/>
  <c r="M698" i="2"/>
  <c r="N698" i="2"/>
  <c r="O698" i="2"/>
  <c r="P698" i="2"/>
  <c r="Q698" i="2"/>
  <c r="R698" i="2"/>
  <c r="S698" i="2"/>
  <c r="T698" i="2"/>
  <c r="U698" i="2"/>
  <c r="V698" i="2"/>
  <c r="W698" i="2"/>
  <c r="X698" i="2"/>
  <c r="Y698" i="2"/>
  <c r="Z698" i="2"/>
  <c r="AA698" i="2"/>
  <c r="AB698" i="2"/>
  <c r="AC698" i="2"/>
  <c r="AD698" i="2"/>
  <c r="AE698" i="2"/>
  <c r="AF698" i="2"/>
  <c r="AG698" i="2"/>
  <c r="AH698" i="2"/>
  <c r="AI698" i="2"/>
  <c r="AJ698" i="2"/>
  <c r="AK698" i="2"/>
  <c r="AL698" i="2"/>
  <c r="AM698" i="2"/>
  <c r="HZ38" i="3" s="1"/>
  <c r="AO698" i="2"/>
  <c r="AP698" i="2"/>
  <c r="AQ698" i="2"/>
  <c r="AR698" i="2"/>
  <c r="AS698" i="2"/>
  <c r="AT698" i="2"/>
  <c r="AU698" i="2"/>
  <c r="AV698" i="2"/>
  <c r="B699" i="2"/>
  <c r="C699" i="2"/>
  <c r="D699" i="2"/>
  <c r="E699" i="2"/>
  <c r="F699" i="2"/>
  <c r="G699" i="2"/>
  <c r="H699" i="2"/>
  <c r="I699" i="2"/>
  <c r="J699" i="2"/>
  <c r="K699" i="2"/>
  <c r="L699" i="2"/>
  <c r="M699" i="2"/>
  <c r="N699" i="2"/>
  <c r="O699" i="2"/>
  <c r="P699" i="2"/>
  <c r="Q699" i="2"/>
  <c r="R699" i="2"/>
  <c r="S699" i="2"/>
  <c r="T699" i="2"/>
  <c r="U699" i="2"/>
  <c r="V699" i="2"/>
  <c r="W699" i="2"/>
  <c r="X699" i="2"/>
  <c r="Y699" i="2"/>
  <c r="Z699" i="2"/>
  <c r="AA699" i="2"/>
  <c r="AB699" i="2"/>
  <c r="AC699" i="2"/>
  <c r="AD699" i="2"/>
  <c r="AE699" i="2"/>
  <c r="AF699" i="2"/>
  <c r="AG699" i="2"/>
  <c r="AH699" i="2"/>
  <c r="AI699" i="2"/>
  <c r="AJ699" i="2"/>
  <c r="AK699" i="2"/>
  <c r="AL699" i="2"/>
  <c r="AM699" i="2"/>
  <c r="AO699" i="2"/>
  <c r="AP699" i="2"/>
  <c r="AQ699" i="2"/>
  <c r="AR699" i="2"/>
  <c r="AS699" i="2"/>
  <c r="AT699" i="2"/>
  <c r="AU699" i="2"/>
  <c r="AV699" i="2"/>
  <c r="B700" i="2"/>
  <c r="C700" i="2"/>
  <c r="D700" i="2"/>
  <c r="E700" i="2"/>
  <c r="F700" i="2"/>
  <c r="G700" i="2"/>
  <c r="H700" i="2"/>
  <c r="I700" i="2"/>
  <c r="J700" i="2"/>
  <c r="K700" i="2"/>
  <c r="L700" i="2"/>
  <c r="M700" i="2"/>
  <c r="N700" i="2"/>
  <c r="O700" i="2"/>
  <c r="P700" i="2"/>
  <c r="Q700" i="2"/>
  <c r="R700" i="2"/>
  <c r="S700" i="2"/>
  <c r="T700" i="2"/>
  <c r="U700" i="2"/>
  <c r="V700" i="2"/>
  <c r="W700" i="2"/>
  <c r="X700" i="2"/>
  <c r="Y700" i="2"/>
  <c r="Z700" i="2"/>
  <c r="AA700" i="2"/>
  <c r="AB700" i="2"/>
  <c r="AC700" i="2"/>
  <c r="AD700" i="2"/>
  <c r="AE700" i="2"/>
  <c r="AF700" i="2"/>
  <c r="AG700" i="2"/>
  <c r="AH700" i="2"/>
  <c r="AI700" i="2"/>
  <c r="AJ700" i="2"/>
  <c r="AK700" i="2"/>
  <c r="AL700" i="2"/>
  <c r="AM700" i="2"/>
  <c r="AO700" i="2"/>
  <c r="AP700" i="2"/>
  <c r="AQ700" i="2"/>
  <c r="AR700" i="2"/>
  <c r="AS700" i="2"/>
  <c r="AT700" i="2"/>
  <c r="AU700" i="2"/>
  <c r="AV700" i="2"/>
  <c r="B701" i="2"/>
  <c r="C701" i="2"/>
  <c r="D701" i="2"/>
  <c r="E701" i="2"/>
  <c r="F701" i="2"/>
  <c r="G701" i="2"/>
  <c r="H701" i="2"/>
  <c r="I701" i="2"/>
  <c r="J701" i="2"/>
  <c r="K701" i="2"/>
  <c r="L701" i="2"/>
  <c r="M701" i="2"/>
  <c r="N701" i="2"/>
  <c r="O701" i="2"/>
  <c r="P701" i="2"/>
  <c r="Q701" i="2"/>
  <c r="R701" i="2"/>
  <c r="S701" i="2"/>
  <c r="T701" i="2"/>
  <c r="U701" i="2"/>
  <c r="V701" i="2"/>
  <c r="W701" i="2"/>
  <c r="X701" i="2"/>
  <c r="Y701" i="2"/>
  <c r="Z701" i="2"/>
  <c r="AA701" i="2"/>
  <c r="AB701" i="2"/>
  <c r="AC701" i="2"/>
  <c r="AD701" i="2"/>
  <c r="AE701" i="2"/>
  <c r="AF701" i="2"/>
  <c r="AG701" i="2"/>
  <c r="AH701" i="2"/>
  <c r="AI701" i="2"/>
  <c r="AJ701" i="2"/>
  <c r="AK701" i="2"/>
  <c r="AL701" i="2"/>
  <c r="AM701" i="2"/>
  <c r="IA38" i="3" s="1"/>
  <c r="AO701" i="2"/>
  <c r="AP701" i="2"/>
  <c r="AQ701" i="2"/>
  <c r="AR701" i="2"/>
  <c r="AS701" i="2"/>
  <c r="AT701" i="2"/>
  <c r="AU701" i="2"/>
  <c r="AV701" i="2"/>
  <c r="B702" i="2"/>
  <c r="C702" i="2"/>
  <c r="D702" i="2"/>
  <c r="E702" i="2"/>
  <c r="F702" i="2"/>
  <c r="G702" i="2"/>
  <c r="H702" i="2"/>
  <c r="I702" i="2"/>
  <c r="J702" i="2"/>
  <c r="K702" i="2"/>
  <c r="L702" i="2"/>
  <c r="M702" i="2"/>
  <c r="N702" i="2"/>
  <c r="O702" i="2"/>
  <c r="P702" i="2"/>
  <c r="Q702" i="2"/>
  <c r="R702" i="2"/>
  <c r="S702" i="2"/>
  <c r="T702" i="2"/>
  <c r="U702" i="2"/>
  <c r="V702" i="2"/>
  <c r="W702" i="2"/>
  <c r="X702" i="2"/>
  <c r="Y702" i="2"/>
  <c r="Z702" i="2"/>
  <c r="AA702" i="2"/>
  <c r="AB702" i="2"/>
  <c r="AC702" i="2"/>
  <c r="AD702" i="2"/>
  <c r="AE702" i="2"/>
  <c r="AF702" i="2"/>
  <c r="AG702" i="2"/>
  <c r="AH702" i="2"/>
  <c r="AI702" i="2"/>
  <c r="AJ702" i="2"/>
  <c r="AK702" i="2"/>
  <c r="AL702" i="2"/>
  <c r="AM702" i="2"/>
  <c r="AO702" i="2"/>
  <c r="AP702" i="2"/>
  <c r="AQ702" i="2"/>
  <c r="AR702" i="2"/>
  <c r="AS702" i="2"/>
  <c r="AT702" i="2"/>
  <c r="AU702" i="2"/>
  <c r="AV702" i="2"/>
  <c r="B703" i="2"/>
  <c r="C703" i="2"/>
  <c r="D703" i="2"/>
  <c r="E703" i="2"/>
  <c r="F703" i="2"/>
  <c r="G703" i="2"/>
  <c r="H703" i="2"/>
  <c r="I703" i="2"/>
  <c r="J703" i="2"/>
  <c r="K703" i="2"/>
  <c r="L703" i="2"/>
  <c r="M703" i="2"/>
  <c r="N703" i="2"/>
  <c r="O703" i="2"/>
  <c r="P703" i="2"/>
  <c r="Q703" i="2"/>
  <c r="R703" i="2"/>
  <c r="S703" i="2"/>
  <c r="T703" i="2"/>
  <c r="U703" i="2"/>
  <c r="V703" i="2"/>
  <c r="W703" i="2"/>
  <c r="X703" i="2"/>
  <c r="Y703" i="2"/>
  <c r="Z703" i="2"/>
  <c r="AA703" i="2"/>
  <c r="AB703" i="2"/>
  <c r="AC703" i="2"/>
  <c r="AD703" i="2"/>
  <c r="AE703" i="2"/>
  <c r="AF703" i="2"/>
  <c r="AG703" i="2"/>
  <c r="AH703" i="2"/>
  <c r="AI703" i="2"/>
  <c r="AJ703" i="2"/>
  <c r="AK703" i="2"/>
  <c r="AL703" i="2"/>
  <c r="AM703" i="2"/>
  <c r="AO703" i="2"/>
  <c r="AP703" i="2"/>
  <c r="AQ703" i="2"/>
  <c r="AR703" i="2"/>
  <c r="AS703" i="2"/>
  <c r="AT703" i="2"/>
  <c r="AU703" i="2"/>
  <c r="AV703" i="2"/>
  <c r="B704" i="2"/>
  <c r="C704" i="2"/>
  <c r="D704" i="2"/>
  <c r="E704" i="2"/>
  <c r="F704" i="2"/>
  <c r="G704" i="2"/>
  <c r="H704" i="2"/>
  <c r="I704" i="2"/>
  <c r="J704" i="2"/>
  <c r="K704" i="2"/>
  <c r="L704" i="2"/>
  <c r="M704" i="2"/>
  <c r="N704" i="2"/>
  <c r="O704" i="2"/>
  <c r="P704" i="2"/>
  <c r="Q704" i="2"/>
  <c r="R704" i="2"/>
  <c r="S704" i="2"/>
  <c r="T704" i="2"/>
  <c r="U704" i="2"/>
  <c r="V704" i="2"/>
  <c r="W704" i="2"/>
  <c r="X704" i="2"/>
  <c r="Y704" i="2"/>
  <c r="Z704" i="2"/>
  <c r="AA704" i="2"/>
  <c r="AB704" i="2"/>
  <c r="AC704" i="2"/>
  <c r="AD704" i="2"/>
  <c r="AE704" i="2"/>
  <c r="AF704" i="2"/>
  <c r="AG704" i="2"/>
  <c r="AH704" i="2"/>
  <c r="AI704" i="2"/>
  <c r="AJ704" i="2"/>
  <c r="AK704" i="2"/>
  <c r="AL704" i="2"/>
  <c r="AM704" i="2"/>
  <c r="IB38" i="3" s="1"/>
  <c r="AO704" i="2"/>
  <c r="AP704" i="2"/>
  <c r="AQ704" i="2"/>
  <c r="AR704" i="2"/>
  <c r="AS704" i="2"/>
  <c r="AT704" i="2"/>
  <c r="AU704" i="2"/>
  <c r="AV704" i="2"/>
  <c r="B705" i="2"/>
  <c r="C705" i="2"/>
  <c r="D705" i="2"/>
  <c r="E705" i="2"/>
  <c r="F705" i="2"/>
  <c r="G705" i="2"/>
  <c r="H705" i="2"/>
  <c r="I705" i="2"/>
  <c r="J705" i="2"/>
  <c r="K705" i="2"/>
  <c r="L705" i="2"/>
  <c r="M705" i="2"/>
  <c r="N705" i="2"/>
  <c r="O705" i="2"/>
  <c r="P705" i="2"/>
  <c r="Q705" i="2"/>
  <c r="R705" i="2"/>
  <c r="S705" i="2"/>
  <c r="T705" i="2"/>
  <c r="U705" i="2"/>
  <c r="V705" i="2"/>
  <c r="W705" i="2"/>
  <c r="X705" i="2"/>
  <c r="Y705" i="2"/>
  <c r="Z705" i="2"/>
  <c r="AA705" i="2"/>
  <c r="AB705" i="2"/>
  <c r="AC705" i="2"/>
  <c r="AD705" i="2"/>
  <c r="AE705" i="2"/>
  <c r="AF705" i="2"/>
  <c r="AG705" i="2"/>
  <c r="AH705" i="2"/>
  <c r="AI705" i="2"/>
  <c r="AJ705" i="2"/>
  <c r="AK705" i="2"/>
  <c r="AL705" i="2"/>
  <c r="AM705" i="2"/>
  <c r="AO705" i="2"/>
  <c r="AP705" i="2"/>
  <c r="AQ705" i="2"/>
  <c r="AR705" i="2"/>
  <c r="AS705" i="2"/>
  <c r="AT705" i="2"/>
  <c r="AU705" i="2"/>
  <c r="AV705" i="2"/>
  <c r="B706" i="2"/>
  <c r="C706" i="2"/>
  <c r="D706" i="2"/>
  <c r="E706" i="2"/>
  <c r="F706" i="2"/>
  <c r="G706" i="2"/>
  <c r="H706" i="2"/>
  <c r="I706" i="2"/>
  <c r="J706" i="2"/>
  <c r="K706" i="2"/>
  <c r="L706" i="2"/>
  <c r="M706" i="2"/>
  <c r="N706" i="2"/>
  <c r="O706" i="2"/>
  <c r="P706" i="2"/>
  <c r="Q706" i="2"/>
  <c r="R706" i="2"/>
  <c r="S706" i="2"/>
  <c r="T706" i="2"/>
  <c r="U706" i="2"/>
  <c r="V706" i="2"/>
  <c r="W706" i="2"/>
  <c r="X706" i="2"/>
  <c r="Y706" i="2"/>
  <c r="Z706" i="2"/>
  <c r="AA706" i="2"/>
  <c r="AB706" i="2"/>
  <c r="AC706" i="2"/>
  <c r="AD706" i="2"/>
  <c r="AE706" i="2"/>
  <c r="AF706" i="2"/>
  <c r="AG706" i="2"/>
  <c r="AH706" i="2"/>
  <c r="AI706" i="2"/>
  <c r="AJ706" i="2"/>
  <c r="AK706" i="2"/>
  <c r="AL706" i="2"/>
  <c r="AM706" i="2"/>
  <c r="AO706" i="2"/>
  <c r="AP706" i="2"/>
  <c r="AQ706" i="2"/>
  <c r="AR706" i="2"/>
  <c r="AS706" i="2"/>
  <c r="AT706" i="2"/>
  <c r="AU706" i="2"/>
  <c r="AV706" i="2"/>
  <c r="B707" i="2"/>
  <c r="C707" i="2"/>
  <c r="D707" i="2"/>
  <c r="E707" i="2"/>
  <c r="F707" i="2"/>
  <c r="G707" i="2"/>
  <c r="H707" i="2"/>
  <c r="I707" i="2"/>
  <c r="J707" i="2"/>
  <c r="K707" i="2"/>
  <c r="L707" i="2"/>
  <c r="M707" i="2"/>
  <c r="N707" i="2"/>
  <c r="O707" i="2"/>
  <c r="P707" i="2"/>
  <c r="Q707" i="2"/>
  <c r="R707" i="2"/>
  <c r="S707" i="2"/>
  <c r="T707" i="2"/>
  <c r="U707" i="2"/>
  <c r="V707" i="2"/>
  <c r="W707" i="2"/>
  <c r="X707" i="2"/>
  <c r="Y707" i="2"/>
  <c r="Z707" i="2"/>
  <c r="AA707" i="2"/>
  <c r="AB707" i="2"/>
  <c r="AC707" i="2"/>
  <c r="AD707" i="2"/>
  <c r="AE707" i="2"/>
  <c r="AF707" i="2"/>
  <c r="AG707" i="2"/>
  <c r="AH707" i="2"/>
  <c r="AI707" i="2"/>
  <c r="AJ707" i="2"/>
  <c r="AK707" i="2"/>
  <c r="AL707" i="2"/>
  <c r="AM707" i="2"/>
  <c r="AO707" i="2"/>
  <c r="AP707" i="2"/>
  <c r="AQ707" i="2"/>
  <c r="AR707" i="2"/>
  <c r="AS707" i="2"/>
  <c r="AT707" i="2"/>
  <c r="AU707" i="2"/>
  <c r="AV707" i="2"/>
  <c r="B708" i="2"/>
  <c r="C708" i="2"/>
  <c r="D708" i="2"/>
  <c r="E708" i="2"/>
  <c r="F708" i="2"/>
  <c r="G708" i="2"/>
  <c r="H708" i="2"/>
  <c r="I708" i="2"/>
  <c r="J708" i="2"/>
  <c r="K708" i="2"/>
  <c r="L708" i="2"/>
  <c r="M708" i="2"/>
  <c r="N708" i="2"/>
  <c r="O708" i="2"/>
  <c r="P708" i="2"/>
  <c r="Q708" i="2"/>
  <c r="R708" i="2"/>
  <c r="S708" i="2"/>
  <c r="T708" i="2"/>
  <c r="U708" i="2"/>
  <c r="V708" i="2"/>
  <c r="W708" i="2"/>
  <c r="X708" i="2"/>
  <c r="Y708" i="2"/>
  <c r="Z708" i="2"/>
  <c r="AA708" i="2"/>
  <c r="AB708" i="2"/>
  <c r="AC708" i="2"/>
  <c r="AD708" i="2"/>
  <c r="AE708" i="2"/>
  <c r="AF708" i="2"/>
  <c r="AG708" i="2"/>
  <c r="AH708" i="2"/>
  <c r="AI708" i="2"/>
  <c r="AJ708" i="2"/>
  <c r="AK708" i="2"/>
  <c r="AL708" i="2"/>
  <c r="AM708" i="2"/>
  <c r="IC38" i="3" s="1"/>
  <c r="AO708" i="2"/>
  <c r="AP708" i="2"/>
  <c r="AQ708" i="2"/>
  <c r="AR708" i="2"/>
  <c r="AS708" i="2"/>
  <c r="AT708" i="2"/>
  <c r="AU708" i="2"/>
  <c r="AV708" i="2"/>
  <c r="B709" i="2"/>
  <c r="C709" i="2"/>
  <c r="D709" i="2"/>
  <c r="E709" i="2"/>
  <c r="F709" i="2"/>
  <c r="G709" i="2"/>
  <c r="H709" i="2"/>
  <c r="I709" i="2"/>
  <c r="J709" i="2"/>
  <c r="K709" i="2"/>
  <c r="L709" i="2"/>
  <c r="M709" i="2"/>
  <c r="N709" i="2"/>
  <c r="O709" i="2"/>
  <c r="P709" i="2"/>
  <c r="Q709" i="2"/>
  <c r="R709" i="2"/>
  <c r="S709" i="2"/>
  <c r="T709" i="2"/>
  <c r="U709" i="2"/>
  <c r="V709" i="2"/>
  <c r="W709" i="2"/>
  <c r="X709" i="2"/>
  <c r="Y709" i="2"/>
  <c r="Z709" i="2"/>
  <c r="AA709" i="2"/>
  <c r="AB709" i="2"/>
  <c r="AC709" i="2"/>
  <c r="AD709" i="2"/>
  <c r="AE709" i="2"/>
  <c r="AF709" i="2"/>
  <c r="AG709" i="2"/>
  <c r="AH709" i="2"/>
  <c r="AI709" i="2"/>
  <c r="AJ709" i="2"/>
  <c r="AK709" i="2"/>
  <c r="AL709" i="2"/>
  <c r="AM709" i="2"/>
  <c r="AO709" i="2"/>
  <c r="AP709" i="2"/>
  <c r="AQ709" i="2"/>
  <c r="AR709" i="2"/>
  <c r="AS709" i="2"/>
  <c r="AT709" i="2"/>
  <c r="AU709" i="2"/>
  <c r="AV709" i="2"/>
  <c r="B710" i="2"/>
  <c r="C710" i="2"/>
  <c r="D710" i="2"/>
  <c r="E710" i="2"/>
  <c r="F710" i="2"/>
  <c r="G710" i="2"/>
  <c r="H710" i="2"/>
  <c r="I710" i="2"/>
  <c r="J710" i="2"/>
  <c r="K710" i="2"/>
  <c r="L710" i="2"/>
  <c r="M710" i="2"/>
  <c r="N710" i="2"/>
  <c r="O710" i="2"/>
  <c r="P710" i="2"/>
  <c r="Q710" i="2"/>
  <c r="R710" i="2"/>
  <c r="S710" i="2"/>
  <c r="T710" i="2"/>
  <c r="U710" i="2"/>
  <c r="V710" i="2"/>
  <c r="W710" i="2"/>
  <c r="X710" i="2"/>
  <c r="Y710" i="2"/>
  <c r="Z710" i="2"/>
  <c r="AA710" i="2"/>
  <c r="AB710" i="2"/>
  <c r="AC710" i="2"/>
  <c r="AD710" i="2"/>
  <c r="AE710" i="2"/>
  <c r="AF710" i="2"/>
  <c r="AG710" i="2"/>
  <c r="AH710" i="2"/>
  <c r="AI710" i="2"/>
  <c r="AJ710" i="2"/>
  <c r="AK710" i="2"/>
  <c r="AL710" i="2"/>
  <c r="AM710" i="2"/>
  <c r="ID38" i="3" s="1"/>
  <c r="AO710" i="2"/>
  <c r="AP710" i="2"/>
  <c r="AQ710" i="2"/>
  <c r="AR710" i="2"/>
  <c r="AS710" i="2"/>
  <c r="AT710" i="2"/>
  <c r="AU710" i="2"/>
  <c r="AV710" i="2"/>
  <c r="B711" i="2"/>
  <c r="C711" i="2"/>
  <c r="D711" i="2"/>
  <c r="E711" i="2"/>
  <c r="F711" i="2"/>
  <c r="G711" i="2"/>
  <c r="H711" i="2"/>
  <c r="I711" i="2"/>
  <c r="J711" i="2"/>
  <c r="K711" i="2"/>
  <c r="L711" i="2"/>
  <c r="M711" i="2"/>
  <c r="N711" i="2"/>
  <c r="O711" i="2"/>
  <c r="P711" i="2"/>
  <c r="Q711" i="2"/>
  <c r="R711" i="2"/>
  <c r="S711" i="2"/>
  <c r="T711" i="2"/>
  <c r="U711" i="2"/>
  <c r="V711" i="2"/>
  <c r="W711" i="2"/>
  <c r="X711" i="2"/>
  <c r="Y711" i="2"/>
  <c r="Z711" i="2"/>
  <c r="AA711" i="2"/>
  <c r="AB711" i="2"/>
  <c r="AC711" i="2"/>
  <c r="AD711" i="2"/>
  <c r="AE711" i="2"/>
  <c r="AF711" i="2"/>
  <c r="AG711" i="2"/>
  <c r="AH711" i="2"/>
  <c r="AI711" i="2"/>
  <c r="AJ711" i="2"/>
  <c r="AK711" i="2"/>
  <c r="AL711" i="2"/>
  <c r="AM711" i="2"/>
  <c r="AO711" i="2"/>
  <c r="AP711" i="2"/>
  <c r="AQ711" i="2"/>
  <c r="AR711" i="2"/>
  <c r="AS711" i="2"/>
  <c r="AT711" i="2"/>
  <c r="AU711" i="2"/>
  <c r="AV711" i="2"/>
  <c r="B712" i="2"/>
  <c r="C712" i="2"/>
  <c r="D712" i="2"/>
  <c r="E712" i="2"/>
  <c r="F712" i="2"/>
  <c r="G712" i="2"/>
  <c r="H712" i="2"/>
  <c r="I712" i="2"/>
  <c r="J712" i="2"/>
  <c r="K712" i="2"/>
  <c r="L712" i="2"/>
  <c r="M712" i="2"/>
  <c r="N712" i="2"/>
  <c r="O712" i="2"/>
  <c r="P712" i="2"/>
  <c r="Q712" i="2"/>
  <c r="R712" i="2"/>
  <c r="S712" i="2"/>
  <c r="T712" i="2"/>
  <c r="U712" i="2"/>
  <c r="V712" i="2"/>
  <c r="W712" i="2"/>
  <c r="X712" i="2"/>
  <c r="Y712" i="2"/>
  <c r="Z712" i="2"/>
  <c r="AA712" i="2"/>
  <c r="AB712" i="2"/>
  <c r="AC712" i="2"/>
  <c r="AD712" i="2"/>
  <c r="AE712" i="2"/>
  <c r="AF712" i="2"/>
  <c r="AG712" i="2"/>
  <c r="AH712" i="2"/>
  <c r="AI712" i="2"/>
  <c r="AJ712" i="2"/>
  <c r="AK712" i="2"/>
  <c r="AL712" i="2"/>
  <c r="AM712" i="2"/>
  <c r="AO712" i="2"/>
  <c r="AP712" i="2"/>
  <c r="AQ712" i="2"/>
  <c r="AR712" i="2"/>
  <c r="AS712" i="2"/>
  <c r="AT712" i="2"/>
  <c r="AU712" i="2"/>
  <c r="AV712" i="2"/>
  <c r="B713" i="2"/>
  <c r="C713" i="2"/>
  <c r="D713" i="2"/>
  <c r="E713" i="2"/>
  <c r="F713" i="2"/>
  <c r="G713" i="2"/>
  <c r="H713" i="2"/>
  <c r="I713" i="2"/>
  <c r="J713" i="2"/>
  <c r="K713" i="2"/>
  <c r="L713" i="2"/>
  <c r="M713" i="2"/>
  <c r="N713" i="2"/>
  <c r="O713" i="2"/>
  <c r="P713" i="2"/>
  <c r="Q713" i="2"/>
  <c r="R713" i="2"/>
  <c r="S713" i="2"/>
  <c r="T713" i="2"/>
  <c r="U713" i="2"/>
  <c r="V713" i="2"/>
  <c r="W713" i="2"/>
  <c r="X713" i="2"/>
  <c r="Y713" i="2"/>
  <c r="Z713" i="2"/>
  <c r="AA713" i="2"/>
  <c r="AB713" i="2"/>
  <c r="AC713" i="2"/>
  <c r="AD713" i="2"/>
  <c r="AE713" i="2"/>
  <c r="AF713" i="2"/>
  <c r="AG713" i="2"/>
  <c r="AH713" i="2"/>
  <c r="AI713" i="2"/>
  <c r="AJ713" i="2"/>
  <c r="AK713" i="2"/>
  <c r="AL713" i="2"/>
  <c r="AM713" i="2"/>
  <c r="IE38" i="3" s="1"/>
  <c r="AO713" i="2"/>
  <c r="AP713" i="2"/>
  <c r="AQ713" i="2"/>
  <c r="AR713" i="2"/>
  <c r="AS713" i="2"/>
  <c r="AT713" i="2"/>
  <c r="AU713" i="2"/>
  <c r="AV713" i="2"/>
  <c r="B714" i="2"/>
  <c r="C714" i="2"/>
  <c r="D714" i="2"/>
  <c r="E714" i="2"/>
  <c r="F714" i="2"/>
  <c r="G714" i="2"/>
  <c r="H714" i="2"/>
  <c r="I714" i="2"/>
  <c r="J714" i="2"/>
  <c r="K714" i="2"/>
  <c r="L714" i="2"/>
  <c r="M714" i="2"/>
  <c r="N714" i="2"/>
  <c r="O714" i="2"/>
  <c r="P714" i="2"/>
  <c r="Q714" i="2"/>
  <c r="R714" i="2"/>
  <c r="S714" i="2"/>
  <c r="T714" i="2"/>
  <c r="U714" i="2"/>
  <c r="V714" i="2"/>
  <c r="W714" i="2"/>
  <c r="X714" i="2"/>
  <c r="Y714" i="2"/>
  <c r="Z714" i="2"/>
  <c r="AA714" i="2"/>
  <c r="AB714" i="2"/>
  <c r="AC714" i="2"/>
  <c r="AD714" i="2"/>
  <c r="AE714" i="2"/>
  <c r="AF714" i="2"/>
  <c r="AG714" i="2"/>
  <c r="AH714" i="2"/>
  <c r="AI714" i="2"/>
  <c r="AJ714" i="2"/>
  <c r="AK714" i="2"/>
  <c r="AL714" i="2"/>
  <c r="AM714" i="2"/>
  <c r="AO714" i="2"/>
  <c r="AP714" i="2"/>
  <c r="AQ714" i="2"/>
  <c r="AR714" i="2"/>
  <c r="AS714" i="2"/>
  <c r="AT714" i="2"/>
  <c r="AU714" i="2"/>
  <c r="AV714" i="2"/>
  <c r="B715" i="2"/>
  <c r="C715" i="2"/>
  <c r="D715" i="2"/>
  <c r="E715" i="2"/>
  <c r="F715" i="2"/>
  <c r="G715" i="2"/>
  <c r="H715" i="2"/>
  <c r="I715" i="2"/>
  <c r="J715" i="2"/>
  <c r="K715" i="2"/>
  <c r="L715" i="2"/>
  <c r="M715" i="2"/>
  <c r="N715" i="2"/>
  <c r="O715" i="2"/>
  <c r="P715" i="2"/>
  <c r="Q715" i="2"/>
  <c r="R715" i="2"/>
  <c r="S715" i="2"/>
  <c r="T715" i="2"/>
  <c r="U715" i="2"/>
  <c r="V715" i="2"/>
  <c r="W715" i="2"/>
  <c r="X715" i="2"/>
  <c r="Y715" i="2"/>
  <c r="Z715" i="2"/>
  <c r="AA715" i="2"/>
  <c r="AB715" i="2"/>
  <c r="AC715" i="2"/>
  <c r="AD715" i="2"/>
  <c r="AE715" i="2"/>
  <c r="AF715" i="2"/>
  <c r="AG715" i="2"/>
  <c r="AH715" i="2"/>
  <c r="AI715" i="2"/>
  <c r="AJ715" i="2"/>
  <c r="AK715" i="2"/>
  <c r="AL715" i="2"/>
  <c r="AM715" i="2"/>
  <c r="AO715" i="2"/>
  <c r="AP715" i="2"/>
  <c r="AQ715" i="2"/>
  <c r="AR715" i="2"/>
  <c r="AS715" i="2"/>
  <c r="AT715" i="2"/>
  <c r="AU715" i="2"/>
  <c r="AV715" i="2"/>
  <c r="B716" i="2"/>
  <c r="C716" i="2"/>
  <c r="D716" i="2"/>
  <c r="E716" i="2"/>
  <c r="F716" i="2"/>
  <c r="G716" i="2"/>
  <c r="H716" i="2"/>
  <c r="I716" i="2"/>
  <c r="J716" i="2"/>
  <c r="K716" i="2"/>
  <c r="L716" i="2"/>
  <c r="M716" i="2"/>
  <c r="N716" i="2"/>
  <c r="O716" i="2"/>
  <c r="P716" i="2"/>
  <c r="Q716" i="2"/>
  <c r="R716" i="2"/>
  <c r="S716" i="2"/>
  <c r="T716" i="2"/>
  <c r="U716" i="2"/>
  <c r="V716" i="2"/>
  <c r="W716" i="2"/>
  <c r="X716" i="2"/>
  <c r="Y716" i="2"/>
  <c r="Z716" i="2"/>
  <c r="AA716" i="2"/>
  <c r="AB716" i="2"/>
  <c r="AC716" i="2"/>
  <c r="AD716" i="2"/>
  <c r="AE716" i="2"/>
  <c r="AF716" i="2"/>
  <c r="AG716" i="2"/>
  <c r="AH716" i="2"/>
  <c r="AI716" i="2"/>
  <c r="AJ716" i="2"/>
  <c r="AK716" i="2"/>
  <c r="AL716" i="2"/>
  <c r="AM716" i="2"/>
  <c r="IF38" i="3" s="1"/>
  <c r="AO716" i="2"/>
  <c r="AP716" i="2"/>
  <c r="AQ716" i="2"/>
  <c r="AR716" i="2"/>
  <c r="AS716" i="2"/>
  <c r="AT716" i="2"/>
  <c r="AU716" i="2"/>
  <c r="AV716" i="2"/>
  <c r="B717" i="2"/>
  <c r="C717" i="2"/>
  <c r="D717" i="2"/>
  <c r="E717" i="2"/>
  <c r="F717" i="2"/>
  <c r="G717" i="2"/>
  <c r="H717" i="2"/>
  <c r="I717" i="2"/>
  <c r="J717" i="2"/>
  <c r="K717" i="2"/>
  <c r="L717" i="2"/>
  <c r="M717" i="2"/>
  <c r="N717" i="2"/>
  <c r="O717" i="2"/>
  <c r="P717" i="2"/>
  <c r="Q717" i="2"/>
  <c r="R717" i="2"/>
  <c r="S717" i="2"/>
  <c r="T717" i="2"/>
  <c r="U717" i="2"/>
  <c r="V717" i="2"/>
  <c r="W717" i="2"/>
  <c r="X717" i="2"/>
  <c r="Y717" i="2"/>
  <c r="Z717" i="2"/>
  <c r="AA717" i="2"/>
  <c r="AB717" i="2"/>
  <c r="AC717" i="2"/>
  <c r="AD717" i="2"/>
  <c r="AE717" i="2"/>
  <c r="AF717" i="2"/>
  <c r="AG717" i="2"/>
  <c r="AH717" i="2"/>
  <c r="AI717" i="2"/>
  <c r="AJ717" i="2"/>
  <c r="AK717" i="2"/>
  <c r="AL717" i="2"/>
  <c r="AM717" i="2"/>
  <c r="AO717" i="2"/>
  <c r="AP717" i="2"/>
  <c r="AQ717" i="2"/>
  <c r="AR717" i="2"/>
  <c r="AS717" i="2"/>
  <c r="AT717" i="2"/>
  <c r="AU717" i="2"/>
  <c r="AV717" i="2"/>
  <c r="B718" i="2"/>
  <c r="C718" i="2"/>
  <c r="D718" i="2"/>
  <c r="E718" i="2"/>
  <c r="F718" i="2"/>
  <c r="G718" i="2"/>
  <c r="H718" i="2"/>
  <c r="I718" i="2"/>
  <c r="J718" i="2"/>
  <c r="K718" i="2"/>
  <c r="L718" i="2"/>
  <c r="M718" i="2"/>
  <c r="N718" i="2"/>
  <c r="O718" i="2"/>
  <c r="P718" i="2"/>
  <c r="Q718" i="2"/>
  <c r="R718" i="2"/>
  <c r="S718" i="2"/>
  <c r="T718" i="2"/>
  <c r="U718" i="2"/>
  <c r="V718" i="2"/>
  <c r="W718" i="2"/>
  <c r="X718" i="2"/>
  <c r="Y718" i="2"/>
  <c r="Z718" i="2"/>
  <c r="AA718" i="2"/>
  <c r="AB718" i="2"/>
  <c r="AC718" i="2"/>
  <c r="AD718" i="2"/>
  <c r="AE718" i="2"/>
  <c r="AF718" i="2"/>
  <c r="AG718" i="2"/>
  <c r="AH718" i="2"/>
  <c r="AI718" i="2"/>
  <c r="AJ718" i="2"/>
  <c r="AK718" i="2"/>
  <c r="AL718" i="2"/>
  <c r="AM718" i="2"/>
  <c r="AO718" i="2"/>
  <c r="AP718" i="2"/>
  <c r="AQ718" i="2"/>
  <c r="AR718" i="2"/>
  <c r="AS718" i="2"/>
  <c r="AT718" i="2"/>
  <c r="AU718" i="2"/>
  <c r="AV718" i="2"/>
  <c r="B719" i="2"/>
  <c r="C719" i="2"/>
  <c r="D719" i="2"/>
  <c r="E719" i="2"/>
  <c r="F719" i="2"/>
  <c r="G719" i="2"/>
  <c r="H719" i="2"/>
  <c r="I719" i="2"/>
  <c r="J719" i="2"/>
  <c r="K719" i="2"/>
  <c r="L719" i="2"/>
  <c r="M719" i="2"/>
  <c r="N719" i="2"/>
  <c r="O719" i="2"/>
  <c r="P719" i="2"/>
  <c r="Q719" i="2"/>
  <c r="R719" i="2"/>
  <c r="S719" i="2"/>
  <c r="T719" i="2"/>
  <c r="U719" i="2"/>
  <c r="V719" i="2"/>
  <c r="W719" i="2"/>
  <c r="X719" i="2"/>
  <c r="Y719" i="2"/>
  <c r="Z719" i="2"/>
  <c r="AA719" i="2"/>
  <c r="AB719" i="2"/>
  <c r="AC719" i="2"/>
  <c r="AD719" i="2"/>
  <c r="AE719" i="2"/>
  <c r="AF719" i="2"/>
  <c r="AG719" i="2"/>
  <c r="AH719" i="2"/>
  <c r="AI719" i="2"/>
  <c r="AJ719" i="2"/>
  <c r="AK719" i="2"/>
  <c r="AL719" i="2"/>
  <c r="AM719" i="2"/>
  <c r="AO719" i="2"/>
  <c r="AP719" i="2"/>
  <c r="AQ719" i="2"/>
  <c r="AR719" i="2"/>
  <c r="AS719" i="2"/>
  <c r="AT719" i="2"/>
  <c r="AU719" i="2"/>
  <c r="AV719" i="2"/>
  <c r="B720" i="2"/>
  <c r="C720" i="2"/>
  <c r="D720" i="2"/>
  <c r="E720" i="2"/>
  <c r="F720" i="2"/>
  <c r="G720" i="2"/>
  <c r="H720" i="2"/>
  <c r="I720" i="2"/>
  <c r="J720" i="2"/>
  <c r="K720" i="2"/>
  <c r="L720" i="2"/>
  <c r="M720" i="2"/>
  <c r="N720" i="2"/>
  <c r="O720" i="2"/>
  <c r="P720" i="2"/>
  <c r="Q720" i="2"/>
  <c r="R720" i="2"/>
  <c r="S720" i="2"/>
  <c r="T720" i="2"/>
  <c r="U720" i="2"/>
  <c r="V720" i="2"/>
  <c r="W720" i="2"/>
  <c r="X720" i="2"/>
  <c r="Y720" i="2"/>
  <c r="Z720" i="2"/>
  <c r="AA720" i="2"/>
  <c r="AB720" i="2"/>
  <c r="AC720" i="2"/>
  <c r="AD720" i="2"/>
  <c r="AE720" i="2"/>
  <c r="AF720" i="2"/>
  <c r="AG720" i="2"/>
  <c r="AH720" i="2"/>
  <c r="AI720" i="2"/>
  <c r="AJ720" i="2"/>
  <c r="AK720" i="2"/>
  <c r="AL720" i="2"/>
  <c r="AM720" i="2"/>
  <c r="IG38" i="3" s="1"/>
  <c r="AO720" i="2"/>
  <c r="AP720" i="2"/>
  <c r="AQ720" i="2"/>
  <c r="AR720" i="2"/>
  <c r="AS720" i="2"/>
  <c r="AT720" i="2"/>
  <c r="AU720" i="2"/>
  <c r="AV720" i="2"/>
  <c r="B721" i="2"/>
  <c r="C721" i="2"/>
  <c r="D721" i="2"/>
  <c r="E721" i="2"/>
  <c r="F721" i="2"/>
  <c r="G721" i="2"/>
  <c r="H721" i="2"/>
  <c r="I721" i="2"/>
  <c r="J721" i="2"/>
  <c r="K721" i="2"/>
  <c r="L721" i="2"/>
  <c r="M721" i="2"/>
  <c r="N721" i="2"/>
  <c r="O721" i="2"/>
  <c r="P721" i="2"/>
  <c r="Q721" i="2"/>
  <c r="R721" i="2"/>
  <c r="S721" i="2"/>
  <c r="T721" i="2"/>
  <c r="U721" i="2"/>
  <c r="V721" i="2"/>
  <c r="W721" i="2"/>
  <c r="X721" i="2"/>
  <c r="Y721" i="2"/>
  <c r="Z721" i="2"/>
  <c r="AA721" i="2"/>
  <c r="AB721" i="2"/>
  <c r="AC721" i="2"/>
  <c r="AD721" i="2"/>
  <c r="AE721" i="2"/>
  <c r="AF721" i="2"/>
  <c r="AG721" i="2"/>
  <c r="AH721" i="2"/>
  <c r="AI721" i="2"/>
  <c r="AJ721" i="2"/>
  <c r="AK721" i="2"/>
  <c r="AL721" i="2"/>
  <c r="AM721" i="2"/>
  <c r="AO721" i="2"/>
  <c r="AP721" i="2"/>
  <c r="AQ721" i="2"/>
  <c r="AR721" i="2"/>
  <c r="AS721" i="2"/>
  <c r="AT721" i="2"/>
  <c r="AU721" i="2"/>
  <c r="AV721" i="2"/>
  <c r="B722" i="2"/>
  <c r="C722" i="2"/>
  <c r="D722" i="2"/>
  <c r="E722" i="2"/>
  <c r="F722" i="2"/>
  <c r="G722" i="2"/>
  <c r="H722" i="2"/>
  <c r="I722" i="2"/>
  <c r="J722" i="2"/>
  <c r="K722" i="2"/>
  <c r="L722" i="2"/>
  <c r="M722" i="2"/>
  <c r="N722" i="2"/>
  <c r="O722" i="2"/>
  <c r="P722" i="2"/>
  <c r="Q722" i="2"/>
  <c r="R722" i="2"/>
  <c r="S722" i="2"/>
  <c r="T722" i="2"/>
  <c r="U722" i="2"/>
  <c r="V722" i="2"/>
  <c r="W722" i="2"/>
  <c r="X722" i="2"/>
  <c r="Y722" i="2"/>
  <c r="Z722" i="2"/>
  <c r="AA722" i="2"/>
  <c r="AB722" i="2"/>
  <c r="AC722" i="2"/>
  <c r="AD722" i="2"/>
  <c r="AE722" i="2"/>
  <c r="AF722" i="2"/>
  <c r="AG722" i="2"/>
  <c r="AH722" i="2"/>
  <c r="AI722" i="2"/>
  <c r="AJ722" i="2"/>
  <c r="AK722" i="2"/>
  <c r="AL722" i="2"/>
  <c r="AM722" i="2"/>
  <c r="IH38" i="3" s="1"/>
  <c r="AO722" i="2"/>
  <c r="AP722" i="2"/>
  <c r="AQ722" i="2"/>
  <c r="AR722" i="2"/>
  <c r="AS722" i="2"/>
  <c r="AT722" i="2"/>
  <c r="AU722" i="2"/>
  <c r="AV722" i="2"/>
  <c r="B723" i="2"/>
  <c r="C723" i="2"/>
  <c r="D723" i="2"/>
  <c r="E723" i="2"/>
  <c r="F723" i="2"/>
  <c r="G723" i="2"/>
  <c r="H723" i="2"/>
  <c r="I723" i="2"/>
  <c r="J723" i="2"/>
  <c r="K723" i="2"/>
  <c r="L723" i="2"/>
  <c r="M723" i="2"/>
  <c r="N723" i="2"/>
  <c r="O723" i="2"/>
  <c r="P723" i="2"/>
  <c r="Q723" i="2"/>
  <c r="R723" i="2"/>
  <c r="S723" i="2"/>
  <c r="T723" i="2"/>
  <c r="U723" i="2"/>
  <c r="V723" i="2"/>
  <c r="W723" i="2"/>
  <c r="X723" i="2"/>
  <c r="Y723" i="2"/>
  <c r="Z723" i="2"/>
  <c r="AA723" i="2"/>
  <c r="AB723" i="2"/>
  <c r="AC723" i="2"/>
  <c r="AD723" i="2"/>
  <c r="AE723" i="2"/>
  <c r="AF723" i="2"/>
  <c r="AG723" i="2"/>
  <c r="AH723" i="2"/>
  <c r="AI723" i="2"/>
  <c r="AJ723" i="2"/>
  <c r="AK723" i="2"/>
  <c r="AL723" i="2"/>
  <c r="AM723" i="2"/>
  <c r="AO723" i="2"/>
  <c r="AP723" i="2"/>
  <c r="AQ723" i="2"/>
  <c r="AR723" i="2"/>
  <c r="AS723" i="2"/>
  <c r="AT723" i="2"/>
  <c r="AU723" i="2"/>
  <c r="AV723" i="2"/>
  <c r="B724" i="2"/>
  <c r="C724" i="2"/>
  <c r="D724" i="2"/>
  <c r="E724" i="2"/>
  <c r="F724" i="2"/>
  <c r="G724" i="2"/>
  <c r="H724" i="2"/>
  <c r="I724" i="2"/>
  <c r="J724" i="2"/>
  <c r="K724" i="2"/>
  <c r="L724" i="2"/>
  <c r="M724" i="2"/>
  <c r="N724" i="2"/>
  <c r="O724" i="2"/>
  <c r="P724" i="2"/>
  <c r="Q724" i="2"/>
  <c r="R724" i="2"/>
  <c r="S724" i="2"/>
  <c r="T724" i="2"/>
  <c r="U724" i="2"/>
  <c r="V724" i="2"/>
  <c r="W724" i="2"/>
  <c r="X724" i="2"/>
  <c r="Y724" i="2"/>
  <c r="Z724" i="2"/>
  <c r="AA724" i="2"/>
  <c r="AB724" i="2"/>
  <c r="AC724" i="2"/>
  <c r="AD724" i="2"/>
  <c r="AE724" i="2"/>
  <c r="AF724" i="2"/>
  <c r="AG724" i="2"/>
  <c r="AH724" i="2"/>
  <c r="AI724" i="2"/>
  <c r="AJ724" i="2"/>
  <c r="AK724" i="2"/>
  <c r="AL724" i="2"/>
  <c r="AM724" i="2"/>
  <c r="AO724" i="2"/>
  <c r="AP724" i="2"/>
  <c r="AQ724" i="2"/>
  <c r="AR724" i="2"/>
  <c r="AS724" i="2"/>
  <c r="AT724" i="2"/>
  <c r="AU724" i="2"/>
  <c r="AV724" i="2"/>
  <c r="B725" i="2"/>
  <c r="C725" i="2"/>
  <c r="D725" i="2"/>
  <c r="E725" i="2"/>
  <c r="F725" i="2"/>
  <c r="G725" i="2"/>
  <c r="H725" i="2"/>
  <c r="I725" i="2"/>
  <c r="J725" i="2"/>
  <c r="K725" i="2"/>
  <c r="L725" i="2"/>
  <c r="M725" i="2"/>
  <c r="N725" i="2"/>
  <c r="O725" i="2"/>
  <c r="P725" i="2"/>
  <c r="Q725" i="2"/>
  <c r="R725" i="2"/>
  <c r="S725" i="2"/>
  <c r="T725" i="2"/>
  <c r="U725" i="2"/>
  <c r="V725" i="2"/>
  <c r="W725" i="2"/>
  <c r="X725" i="2"/>
  <c r="Y725" i="2"/>
  <c r="Z725" i="2"/>
  <c r="AA725" i="2"/>
  <c r="AB725" i="2"/>
  <c r="AC725" i="2"/>
  <c r="AD725" i="2"/>
  <c r="AE725" i="2"/>
  <c r="AF725" i="2"/>
  <c r="AG725" i="2"/>
  <c r="AH725" i="2"/>
  <c r="AI725" i="2"/>
  <c r="AJ725" i="2"/>
  <c r="AK725" i="2"/>
  <c r="AL725" i="2"/>
  <c r="AM725" i="2"/>
  <c r="II38" i="3" s="1"/>
  <c r="AO725" i="2"/>
  <c r="AP725" i="2"/>
  <c r="AQ725" i="2"/>
  <c r="AR725" i="2"/>
  <c r="AS725" i="2"/>
  <c r="AT725" i="2"/>
  <c r="AU725" i="2"/>
  <c r="AV725" i="2"/>
  <c r="B726" i="2"/>
  <c r="C726" i="2"/>
  <c r="D726" i="2"/>
  <c r="E726" i="2"/>
  <c r="F726" i="2"/>
  <c r="G726" i="2"/>
  <c r="H726" i="2"/>
  <c r="I726" i="2"/>
  <c r="J726" i="2"/>
  <c r="K726" i="2"/>
  <c r="L726" i="2"/>
  <c r="M726" i="2"/>
  <c r="N726" i="2"/>
  <c r="O726" i="2"/>
  <c r="P726" i="2"/>
  <c r="Q726" i="2"/>
  <c r="R726" i="2"/>
  <c r="S726" i="2"/>
  <c r="T726" i="2"/>
  <c r="U726" i="2"/>
  <c r="V726" i="2"/>
  <c r="W726" i="2"/>
  <c r="X726" i="2"/>
  <c r="Y726" i="2"/>
  <c r="Z726" i="2"/>
  <c r="AA726" i="2"/>
  <c r="AB726" i="2"/>
  <c r="AC726" i="2"/>
  <c r="AD726" i="2"/>
  <c r="AE726" i="2"/>
  <c r="AF726" i="2"/>
  <c r="AG726" i="2"/>
  <c r="AH726" i="2"/>
  <c r="AI726" i="2"/>
  <c r="AJ726" i="2"/>
  <c r="AK726" i="2"/>
  <c r="AL726" i="2"/>
  <c r="AM726" i="2"/>
  <c r="AO726" i="2"/>
  <c r="AP726" i="2"/>
  <c r="AQ726" i="2"/>
  <c r="AR726" i="2"/>
  <c r="AS726" i="2"/>
  <c r="AT726" i="2"/>
  <c r="AU726" i="2"/>
  <c r="AV726" i="2"/>
  <c r="B727" i="2"/>
  <c r="C727" i="2"/>
  <c r="D727" i="2"/>
  <c r="E727" i="2"/>
  <c r="F727" i="2"/>
  <c r="G727" i="2"/>
  <c r="H727" i="2"/>
  <c r="I727" i="2"/>
  <c r="J727" i="2"/>
  <c r="K727" i="2"/>
  <c r="L727" i="2"/>
  <c r="M727" i="2"/>
  <c r="N727" i="2"/>
  <c r="O727" i="2"/>
  <c r="P727" i="2"/>
  <c r="Q727" i="2"/>
  <c r="R727" i="2"/>
  <c r="S727" i="2"/>
  <c r="T727" i="2"/>
  <c r="U727" i="2"/>
  <c r="V727" i="2"/>
  <c r="W727" i="2"/>
  <c r="X727" i="2"/>
  <c r="Y727" i="2"/>
  <c r="Z727" i="2"/>
  <c r="AA727" i="2"/>
  <c r="AB727" i="2"/>
  <c r="AC727" i="2"/>
  <c r="AD727" i="2"/>
  <c r="AE727" i="2"/>
  <c r="AF727" i="2"/>
  <c r="AG727" i="2"/>
  <c r="AH727" i="2"/>
  <c r="AI727" i="2"/>
  <c r="AJ727" i="2"/>
  <c r="AK727" i="2"/>
  <c r="AL727" i="2"/>
  <c r="AM727" i="2"/>
  <c r="AO727" i="2"/>
  <c r="AP727" i="2"/>
  <c r="AQ727" i="2"/>
  <c r="AR727" i="2"/>
  <c r="AS727" i="2"/>
  <c r="AT727" i="2"/>
  <c r="AU727" i="2"/>
  <c r="AV727" i="2"/>
  <c r="B728" i="2"/>
  <c r="C728" i="2"/>
  <c r="D728" i="2"/>
  <c r="E728" i="2"/>
  <c r="F728" i="2"/>
  <c r="G728" i="2"/>
  <c r="H728" i="2"/>
  <c r="I728" i="2"/>
  <c r="J728" i="2"/>
  <c r="K728" i="2"/>
  <c r="L728" i="2"/>
  <c r="M728" i="2"/>
  <c r="N728" i="2"/>
  <c r="O728" i="2"/>
  <c r="P728" i="2"/>
  <c r="Q728" i="2"/>
  <c r="R728" i="2"/>
  <c r="S728" i="2"/>
  <c r="T728" i="2"/>
  <c r="U728" i="2"/>
  <c r="V728" i="2"/>
  <c r="W728" i="2"/>
  <c r="X728" i="2"/>
  <c r="Y728" i="2"/>
  <c r="Z728" i="2"/>
  <c r="AA728" i="2"/>
  <c r="AB728" i="2"/>
  <c r="AC728" i="2"/>
  <c r="AD728" i="2"/>
  <c r="AE728" i="2"/>
  <c r="AF728" i="2"/>
  <c r="AG728" i="2"/>
  <c r="AH728" i="2"/>
  <c r="AI728" i="2"/>
  <c r="AJ728" i="2"/>
  <c r="AK728" i="2"/>
  <c r="AL728" i="2"/>
  <c r="AM728" i="2"/>
  <c r="IJ38" i="3" s="1"/>
  <c r="AO728" i="2"/>
  <c r="AP728" i="2"/>
  <c r="AQ728" i="2"/>
  <c r="AR728" i="2"/>
  <c r="AS728" i="2"/>
  <c r="AT728" i="2"/>
  <c r="AU728" i="2"/>
  <c r="AV728" i="2"/>
  <c r="B729" i="2"/>
  <c r="C729" i="2"/>
  <c r="D729" i="2"/>
  <c r="E729" i="2"/>
  <c r="F729" i="2"/>
  <c r="G729" i="2"/>
  <c r="H729" i="2"/>
  <c r="I729" i="2"/>
  <c r="J729" i="2"/>
  <c r="K729" i="2"/>
  <c r="L729" i="2"/>
  <c r="M729" i="2"/>
  <c r="N729" i="2"/>
  <c r="O729" i="2"/>
  <c r="P729" i="2"/>
  <c r="Q729" i="2"/>
  <c r="R729" i="2"/>
  <c r="S729" i="2"/>
  <c r="T729" i="2"/>
  <c r="U729" i="2"/>
  <c r="V729" i="2"/>
  <c r="W729" i="2"/>
  <c r="X729" i="2"/>
  <c r="Y729" i="2"/>
  <c r="Z729" i="2"/>
  <c r="AA729" i="2"/>
  <c r="AB729" i="2"/>
  <c r="AC729" i="2"/>
  <c r="AD729" i="2"/>
  <c r="AE729" i="2"/>
  <c r="AF729" i="2"/>
  <c r="AG729" i="2"/>
  <c r="AH729" i="2"/>
  <c r="AI729" i="2"/>
  <c r="AJ729" i="2"/>
  <c r="AK729" i="2"/>
  <c r="AL729" i="2"/>
  <c r="AM729" i="2"/>
  <c r="AO729" i="2"/>
  <c r="AP729" i="2"/>
  <c r="AQ729" i="2"/>
  <c r="AR729" i="2"/>
  <c r="AS729" i="2"/>
  <c r="AT729" i="2"/>
  <c r="AU729" i="2"/>
  <c r="AV729" i="2"/>
  <c r="B730" i="2"/>
  <c r="C730" i="2"/>
  <c r="D730" i="2"/>
  <c r="E730" i="2"/>
  <c r="F730" i="2"/>
  <c r="G730" i="2"/>
  <c r="H730" i="2"/>
  <c r="I730" i="2"/>
  <c r="J730" i="2"/>
  <c r="K730" i="2"/>
  <c r="L730" i="2"/>
  <c r="M730" i="2"/>
  <c r="N730" i="2"/>
  <c r="O730" i="2"/>
  <c r="P730" i="2"/>
  <c r="Q730" i="2"/>
  <c r="R730" i="2"/>
  <c r="S730" i="2"/>
  <c r="T730" i="2"/>
  <c r="U730" i="2"/>
  <c r="V730" i="2"/>
  <c r="W730" i="2"/>
  <c r="X730" i="2"/>
  <c r="Y730" i="2"/>
  <c r="Z730" i="2"/>
  <c r="AA730" i="2"/>
  <c r="AB730" i="2"/>
  <c r="AC730" i="2"/>
  <c r="AD730" i="2"/>
  <c r="AE730" i="2"/>
  <c r="AF730" i="2"/>
  <c r="AG730" i="2"/>
  <c r="AH730" i="2"/>
  <c r="AI730" i="2"/>
  <c r="AJ730" i="2"/>
  <c r="AK730" i="2"/>
  <c r="AL730" i="2"/>
  <c r="AM730" i="2"/>
  <c r="AO730" i="2"/>
  <c r="AP730" i="2"/>
  <c r="AQ730" i="2"/>
  <c r="AR730" i="2"/>
  <c r="AS730" i="2"/>
  <c r="AT730" i="2"/>
  <c r="AU730" i="2"/>
  <c r="AV730" i="2"/>
  <c r="B731" i="2"/>
  <c r="C731" i="2"/>
  <c r="D731" i="2"/>
  <c r="E731" i="2"/>
  <c r="F731" i="2"/>
  <c r="G731" i="2"/>
  <c r="H731" i="2"/>
  <c r="I731" i="2"/>
  <c r="J731" i="2"/>
  <c r="K731" i="2"/>
  <c r="L731" i="2"/>
  <c r="M731" i="2"/>
  <c r="N731" i="2"/>
  <c r="O731" i="2"/>
  <c r="P731" i="2"/>
  <c r="Q731" i="2"/>
  <c r="R731" i="2"/>
  <c r="S731" i="2"/>
  <c r="T731" i="2"/>
  <c r="U731" i="2"/>
  <c r="V731" i="2"/>
  <c r="W731" i="2"/>
  <c r="X731" i="2"/>
  <c r="Y731" i="2"/>
  <c r="Z731" i="2"/>
  <c r="AA731" i="2"/>
  <c r="AB731" i="2"/>
  <c r="AC731" i="2"/>
  <c r="AD731" i="2"/>
  <c r="AE731" i="2"/>
  <c r="AF731" i="2"/>
  <c r="AG731" i="2"/>
  <c r="AH731" i="2"/>
  <c r="AI731" i="2"/>
  <c r="AJ731" i="2"/>
  <c r="AK731" i="2"/>
  <c r="AL731" i="2"/>
  <c r="AM731" i="2"/>
  <c r="AO731" i="2"/>
  <c r="AP731" i="2"/>
  <c r="AQ731" i="2"/>
  <c r="AR731" i="2"/>
  <c r="AS731" i="2"/>
  <c r="AT731" i="2"/>
  <c r="AU731" i="2"/>
  <c r="AV731" i="2"/>
  <c r="B732" i="2"/>
  <c r="C732" i="2"/>
  <c r="D732" i="2"/>
  <c r="E732" i="2"/>
  <c r="F732" i="2"/>
  <c r="G732" i="2"/>
  <c r="H732" i="2"/>
  <c r="I732" i="2"/>
  <c r="J732" i="2"/>
  <c r="K732" i="2"/>
  <c r="L732" i="2"/>
  <c r="M732" i="2"/>
  <c r="N732" i="2"/>
  <c r="O732" i="2"/>
  <c r="P732" i="2"/>
  <c r="Q732" i="2"/>
  <c r="R732" i="2"/>
  <c r="S732" i="2"/>
  <c r="T732" i="2"/>
  <c r="U732" i="2"/>
  <c r="V732" i="2"/>
  <c r="W732" i="2"/>
  <c r="X732" i="2"/>
  <c r="Y732" i="2"/>
  <c r="Z732" i="2"/>
  <c r="AA732" i="2"/>
  <c r="AB732" i="2"/>
  <c r="AC732" i="2"/>
  <c r="AD732" i="2"/>
  <c r="AE732" i="2"/>
  <c r="AF732" i="2"/>
  <c r="AG732" i="2"/>
  <c r="AH732" i="2"/>
  <c r="AI732" i="2"/>
  <c r="AJ732" i="2"/>
  <c r="AK732" i="2"/>
  <c r="AL732" i="2"/>
  <c r="AM732" i="2"/>
  <c r="IK38" i="3" s="1"/>
  <c r="AO732" i="2"/>
  <c r="AP732" i="2"/>
  <c r="AQ732" i="2"/>
  <c r="AR732" i="2"/>
  <c r="AS732" i="2"/>
  <c r="AT732" i="2"/>
  <c r="AU732" i="2"/>
  <c r="AV732" i="2"/>
  <c r="B733" i="2"/>
  <c r="C733" i="2"/>
  <c r="D733" i="2"/>
  <c r="E733" i="2"/>
  <c r="F733" i="2"/>
  <c r="G733" i="2"/>
  <c r="H733" i="2"/>
  <c r="I733" i="2"/>
  <c r="J733" i="2"/>
  <c r="K733" i="2"/>
  <c r="L733" i="2"/>
  <c r="M733" i="2"/>
  <c r="N733" i="2"/>
  <c r="O733" i="2"/>
  <c r="P733" i="2"/>
  <c r="Q733" i="2"/>
  <c r="R733" i="2"/>
  <c r="S733" i="2"/>
  <c r="T733" i="2"/>
  <c r="U733" i="2"/>
  <c r="V733" i="2"/>
  <c r="W733" i="2"/>
  <c r="X733" i="2"/>
  <c r="Y733" i="2"/>
  <c r="Z733" i="2"/>
  <c r="AA733" i="2"/>
  <c r="AB733" i="2"/>
  <c r="AC733" i="2"/>
  <c r="AD733" i="2"/>
  <c r="AE733" i="2"/>
  <c r="AF733" i="2"/>
  <c r="AG733" i="2"/>
  <c r="AH733" i="2"/>
  <c r="AI733" i="2"/>
  <c r="AJ733" i="2"/>
  <c r="AK733" i="2"/>
  <c r="AL733" i="2"/>
  <c r="AM733" i="2"/>
  <c r="AO733" i="2"/>
  <c r="AP733" i="2"/>
  <c r="AQ733" i="2"/>
  <c r="AR733" i="2"/>
  <c r="AS733" i="2"/>
  <c r="AT733" i="2"/>
  <c r="AU733" i="2"/>
  <c r="AV733" i="2"/>
  <c r="B734" i="2"/>
  <c r="C734" i="2"/>
  <c r="D734" i="2"/>
  <c r="E734" i="2"/>
  <c r="F734" i="2"/>
  <c r="G734" i="2"/>
  <c r="H734" i="2"/>
  <c r="I734" i="2"/>
  <c r="J734" i="2"/>
  <c r="K734" i="2"/>
  <c r="L734" i="2"/>
  <c r="M734" i="2"/>
  <c r="N734" i="2"/>
  <c r="O734" i="2"/>
  <c r="P734" i="2"/>
  <c r="Q734" i="2"/>
  <c r="R734" i="2"/>
  <c r="S734" i="2"/>
  <c r="T734" i="2"/>
  <c r="U734" i="2"/>
  <c r="V734" i="2"/>
  <c r="W734" i="2"/>
  <c r="X734" i="2"/>
  <c r="Y734" i="2"/>
  <c r="Z734" i="2"/>
  <c r="AA734" i="2"/>
  <c r="AB734" i="2"/>
  <c r="AC734" i="2"/>
  <c r="AD734" i="2"/>
  <c r="AE734" i="2"/>
  <c r="AF734" i="2"/>
  <c r="AG734" i="2"/>
  <c r="AH734" i="2"/>
  <c r="AI734" i="2"/>
  <c r="AJ734" i="2"/>
  <c r="AK734" i="2"/>
  <c r="AL734" i="2"/>
  <c r="AM734" i="2"/>
  <c r="IL38" i="3" s="1"/>
  <c r="AO734" i="2"/>
  <c r="AP734" i="2"/>
  <c r="AQ734" i="2"/>
  <c r="AR734" i="2"/>
  <c r="AS734" i="2"/>
  <c r="AT734" i="2"/>
  <c r="AU734" i="2"/>
  <c r="AV734" i="2"/>
  <c r="B735" i="2"/>
  <c r="C735" i="2"/>
  <c r="D735" i="2"/>
  <c r="E735" i="2"/>
  <c r="F735" i="2"/>
  <c r="G735" i="2"/>
  <c r="H735" i="2"/>
  <c r="I735" i="2"/>
  <c r="J735" i="2"/>
  <c r="K735" i="2"/>
  <c r="L735" i="2"/>
  <c r="M735" i="2"/>
  <c r="N735" i="2"/>
  <c r="O735" i="2"/>
  <c r="P735" i="2"/>
  <c r="Q735" i="2"/>
  <c r="R735" i="2"/>
  <c r="S735" i="2"/>
  <c r="T735" i="2"/>
  <c r="U735" i="2"/>
  <c r="V735" i="2"/>
  <c r="W735" i="2"/>
  <c r="X735" i="2"/>
  <c r="Y735" i="2"/>
  <c r="Z735" i="2"/>
  <c r="AA735" i="2"/>
  <c r="AB735" i="2"/>
  <c r="AC735" i="2"/>
  <c r="AD735" i="2"/>
  <c r="AE735" i="2"/>
  <c r="AF735" i="2"/>
  <c r="AG735" i="2"/>
  <c r="AH735" i="2"/>
  <c r="AI735" i="2"/>
  <c r="AJ735" i="2"/>
  <c r="AK735" i="2"/>
  <c r="AL735" i="2"/>
  <c r="AM735" i="2"/>
  <c r="AO735" i="2"/>
  <c r="AP735" i="2"/>
  <c r="AQ735" i="2"/>
  <c r="AR735" i="2"/>
  <c r="AS735" i="2"/>
  <c r="AT735" i="2"/>
  <c r="AU735" i="2"/>
  <c r="AV735" i="2"/>
  <c r="B736" i="2"/>
  <c r="C736" i="2"/>
  <c r="D736" i="2"/>
  <c r="E736" i="2"/>
  <c r="F736" i="2"/>
  <c r="G736" i="2"/>
  <c r="H736" i="2"/>
  <c r="I736" i="2"/>
  <c r="J736" i="2"/>
  <c r="K736" i="2"/>
  <c r="L736" i="2"/>
  <c r="M736" i="2"/>
  <c r="N736" i="2"/>
  <c r="O736" i="2"/>
  <c r="P736" i="2"/>
  <c r="Q736" i="2"/>
  <c r="R736" i="2"/>
  <c r="S736" i="2"/>
  <c r="T736" i="2"/>
  <c r="U736" i="2"/>
  <c r="V736" i="2"/>
  <c r="W736" i="2"/>
  <c r="X736" i="2"/>
  <c r="Y736" i="2"/>
  <c r="Z736" i="2"/>
  <c r="AA736" i="2"/>
  <c r="AB736" i="2"/>
  <c r="AC736" i="2"/>
  <c r="AD736" i="2"/>
  <c r="AE736" i="2"/>
  <c r="AF736" i="2"/>
  <c r="AG736" i="2"/>
  <c r="AH736" i="2"/>
  <c r="AI736" i="2"/>
  <c r="AJ736" i="2"/>
  <c r="AK736" i="2"/>
  <c r="AL736" i="2"/>
  <c r="AM736" i="2"/>
  <c r="AO736" i="2"/>
  <c r="AP736" i="2"/>
  <c r="AQ736" i="2"/>
  <c r="AR736" i="2"/>
  <c r="AS736" i="2"/>
  <c r="AT736" i="2"/>
  <c r="AU736" i="2"/>
  <c r="AV736" i="2"/>
  <c r="B737" i="2"/>
  <c r="C737" i="2"/>
  <c r="D737" i="2"/>
  <c r="E737" i="2"/>
  <c r="F737" i="2"/>
  <c r="G737" i="2"/>
  <c r="H737" i="2"/>
  <c r="I737" i="2"/>
  <c r="J737" i="2"/>
  <c r="K737" i="2"/>
  <c r="L737" i="2"/>
  <c r="M737" i="2"/>
  <c r="N737" i="2"/>
  <c r="O737" i="2"/>
  <c r="P737" i="2"/>
  <c r="Q737" i="2"/>
  <c r="R737" i="2"/>
  <c r="S737" i="2"/>
  <c r="T737" i="2"/>
  <c r="U737" i="2"/>
  <c r="V737" i="2"/>
  <c r="W737" i="2"/>
  <c r="X737" i="2"/>
  <c r="Y737" i="2"/>
  <c r="Z737" i="2"/>
  <c r="AA737" i="2"/>
  <c r="AB737" i="2"/>
  <c r="AC737" i="2"/>
  <c r="AD737" i="2"/>
  <c r="AE737" i="2"/>
  <c r="AF737" i="2"/>
  <c r="AG737" i="2"/>
  <c r="AH737" i="2"/>
  <c r="AI737" i="2"/>
  <c r="AJ737" i="2"/>
  <c r="AK737" i="2"/>
  <c r="AL737" i="2"/>
  <c r="AM737" i="2"/>
  <c r="IM38" i="3" s="1"/>
  <c r="AO737" i="2"/>
  <c r="AP737" i="2"/>
  <c r="AQ737" i="2"/>
  <c r="AR737" i="2"/>
  <c r="AS737" i="2"/>
  <c r="AT737" i="2"/>
  <c r="AU737" i="2"/>
  <c r="AV737" i="2"/>
  <c r="B738" i="2"/>
  <c r="C738" i="2"/>
  <c r="D738" i="2"/>
  <c r="E738" i="2"/>
  <c r="F738" i="2"/>
  <c r="G738" i="2"/>
  <c r="H738" i="2"/>
  <c r="I738" i="2"/>
  <c r="J738" i="2"/>
  <c r="K738" i="2"/>
  <c r="L738" i="2"/>
  <c r="M738" i="2"/>
  <c r="N738" i="2"/>
  <c r="O738" i="2"/>
  <c r="P738" i="2"/>
  <c r="Q738" i="2"/>
  <c r="R738" i="2"/>
  <c r="S738" i="2"/>
  <c r="T738" i="2"/>
  <c r="U738" i="2"/>
  <c r="V738" i="2"/>
  <c r="W738" i="2"/>
  <c r="X738" i="2"/>
  <c r="Y738" i="2"/>
  <c r="Z738" i="2"/>
  <c r="AA738" i="2"/>
  <c r="AB738" i="2"/>
  <c r="AC738" i="2"/>
  <c r="AD738" i="2"/>
  <c r="AE738" i="2"/>
  <c r="AF738" i="2"/>
  <c r="AG738" i="2"/>
  <c r="AH738" i="2"/>
  <c r="AI738" i="2"/>
  <c r="AJ738" i="2"/>
  <c r="AK738" i="2"/>
  <c r="AL738" i="2"/>
  <c r="AM738" i="2"/>
  <c r="AO738" i="2"/>
  <c r="AP738" i="2"/>
  <c r="AQ738" i="2"/>
  <c r="AR738" i="2"/>
  <c r="AS738" i="2"/>
  <c r="AT738" i="2"/>
  <c r="AU738" i="2"/>
  <c r="AV738" i="2"/>
  <c r="B739" i="2"/>
  <c r="C739" i="2"/>
  <c r="D739" i="2"/>
  <c r="E739" i="2"/>
  <c r="F739" i="2"/>
  <c r="G739" i="2"/>
  <c r="H739" i="2"/>
  <c r="I739" i="2"/>
  <c r="J739" i="2"/>
  <c r="K739" i="2"/>
  <c r="L739" i="2"/>
  <c r="M739" i="2"/>
  <c r="N739" i="2"/>
  <c r="O739" i="2"/>
  <c r="P739" i="2"/>
  <c r="Q739" i="2"/>
  <c r="R739" i="2"/>
  <c r="S739" i="2"/>
  <c r="T739" i="2"/>
  <c r="U739" i="2"/>
  <c r="V739" i="2"/>
  <c r="W739" i="2"/>
  <c r="X739" i="2"/>
  <c r="Y739" i="2"/>
  <c r="Z739" i="2"/>
  <c r="AA739" i="2"/>
  <c r="AB739" i="2"/>
  <c r="AC739" i="2"/>
  <c r="AD739" i="2"/>
  <c r="AE739" i="2"/>
  <c r="AF739" i="2"/>
  <c r="AG739" i="2"/>
  <c r="AH739" i="2"/>
  <c r="AI739" i="2"/>
  <c r="AJ739" i="2"/>
  <c r="AK739" i="2"/>
  <c r="AL739" i="2"/>
  <c r="AM739" i="2"/>
  <c r="AO739" i="2"/>
  <c r="AP739" i="2"/>
  <c r="AQ739" i="2"/>
  <c r="AR739" i="2"/>
  <c r="AS739" i="2"/>
  <c r="AT739" i="2"/>
  <c r="AU739" i="2"/>
  <c r="AV739" i="2"/>
  <c r="B740" i="2"/>
  <c r="C740" i="2"/>
  <c r="D740" i="2"/>
  <c r="E740" i="2"/>
  <c r="F740" i="2"/>
  <c r="G740" i="2"/>
  <c r="H740" i="2"/>
  <c r="I740" i="2"/>
  <c r="J740" i="2"/>
  <c r="K740" i="2"/>
  <c r="L740" i="2"/>
  <c r="M740" i="2"/>
  <c r="N740" i="2"/>
  <c r="O740" i="2"/>
  <c r="P740" i="2"/>
  <c r="Q740" i="2"/>
  <c r="R740" i="2"/>
  <c r="S740" i="2"/>
  <c r="T740" i="2"/>
  <c r="U740" i="2"/>
  <c r="V740" i="2"/>
  <c r="W740" i="2"/>
  <c r="X740" i="2"/>
  <c r="Y740" i="2"/>
  <c r="Z740" i="2"/>
  <c r="AA740" i="2"/>
  <c r="AB740" i="2"/>
  <c r="AC740" i="2"/>
  <c r="AD740" i="2"/>
  <c r="AE740" i="2"/>
  <c r="AF740" i="2"/>
  <c r="AG740" i="2"/>
  <c r="AH740" i="2"/>
  <c r="AI740" i="2"/>
  <c r="AJ740" i="2"/>
  <c r="AK740" i="2"/>
  <c r="AL740" i="2"/>
  <c r="AM740" i="2"/>
  <c r="IN38" i="3" s="1"/>
  <c r="AO740" i="2"/>
  <c r="AP740" i="2"/>
  <c r="AQ740" i="2"/>
  <c r="AR740" i="2"/>
  <c r="AS740" i="2"/>
  <c r="AT740" i="2"/>
  <c r="AU740" i="2"/>
  <c r="AV740" i="2"/>
  <c r="B741" i="2"/>
  <c r="C741" i="2"/>
  <c r="D741" i="2"/>
  <c r="E741" i="2"/>
  <c r="F741" i="2"/>
  <c r="G741" i="2"/>
  <c r="H741" i="2"/>
  <c r="I741" i="2"/>
  <c r="J741" i="2"/>
  <c r="K741" i="2"/>
  <c r="L741" i="2"/>
  <c r="M741" i="2"/>
  <c r="N741" i="2"/>
  <c r="O741" i="2"/>
  <c r="P741" i="2"/>
  <c r="Q741" i="2"/>
  <c r="R741" i="2"/>
  <c r="S741" i="2"/>
  <c r="T741" i="2"/>
  <c r="U741" i="2"/>
  <c r="V741" i="2"/>
  <c r="W741" i="2"/>
  <c r="X741" i="2"/>
  <c r="Y741" i="2"/>
  <c r="Z741" i="2"/>
  <c r="AA741" i="2"/>
  <c r="AB741" i="2"/>
  <c r="AC741" i="2"/>
  <c r="AD741" i="2"/>
  <c r="AE741" i="2"/>
  <c r="AF741" i="2"/>
  <c r="AG741" i="2"/>
  <c r="AH741" i="2"/>
  <c r="AI741" i="2"/>
  <c r="AJ741" i="2"/>
  <c r="AK741" i="2"/>
  <c r="AL741" i="2"/>
  <c r="AM741" i="2"/>
  <c r="AO741" i="2"/>
  <c r="AP741" i="2"/>
  <c r="AQ741" i="2"/>
  <c r="AR741" i="2"/>
  <c r="AS741" i="2"/>
  <c r="AT741" i="2"/>
  <c r="AU741" i="2"/>
  <c r="AV741" i="2"/>
  <c r="B742" i="2"/>
  <c r="C742" i="2"/>
  <c r="D742" i="2"/>
  <c r="E742" i="2"/>
  <c r="F742" i="2"/>
  <c r="G742" i="2"/>
  <c r="H742" i="2"/>
  <c r="I742" i="2"/>
  <c r="J742" i="2"/>
  <c r="K742" i="2"/>
  <c r="L742" i="2"/>
  <c r="M742" i="2"/>
  <c r="N742" i="2"/>
  <c r="O742" i="2"/>
  <c r="P742" i="2"/>
  <c r="Q742" i="2"/>
  <c r="R742" i="2"/>
  <c r="S742" i="2"/>
  <c r="T742" i="2"/>
  <c r="U742" i="2"/>
  <c r="V742" i="2"/>
  <c r="W742" i="2"/>
  <c r="X742" i="2"/>
  <c r="Y742" i="2"/>
  <c r="Z742" i="2"/>
  <c r="AA742" i="2"/>
  <c r="AB742" i="2"/>
  <c r="AC742" i="2"/>
  <c r="AD742" i="2"/>
  <c r="AE742" i="2"/>
  <c r="AF742" i="2"/>
  <c r="AG742" i="2"/>
  <c r="AH742" i="2"/>
  <c r="AI742" i="2"/>
  <c r="AJ742" i="2"/>
  <c r="AK742" i="2"/>
  <c r="AL742" i="2"/>
  <c r="AM742" i="2"/>
  <c r="AO742" i="2"/>
  <c r="AP742" i="2"/>
  <c r="AQ742" i="2"/>
  <c r="AR742" i="2"/>
  <c r="AS742" i="2"/>
  <c r="AT742" i="2"/>
  <c r="AU742" i="2"/>
  <c r="AV742" i="2"/>
  <c r="B743" i="2"/>
  <c r="C743" i="2"/>
  <c r="D743" i="2"/>
  <c r="E743" i="2"/>
  <c r="F743" i="2"/>
  <c r="G743" i="2"/>
  <c r="H743" i="2"/>
  <c r="I743" i="2"/>
  <c r="J743" i="2"/>
  <c r="K743" i="2"/>
  <c r="L743" i="2"/>
  <c r="M743" i="2"/>
  <c r="N743" i="2"/>
  <c r="O743" i="2"/>
  <c r="P743" i="2"/>
  <c r="Q743" i="2"/>
  <c r="R743" i="2"/>
  <c r="S743" i="2"/>
  <c r="T743" i="2"/>
  <c r="U743" i="2"/>
  <c r="V743" i="2"/>
  <c r="W743" i="2"/>
  <c r="X743" i="2"/>
  <c r="Y743" i="2"/>
  <c r="Z743" i="2"/>
  <c r="AA743" i="2"/>
  <c r="AB743" i="2"/>
  <c r="AC743" i="2"/>
  <c r="AD743" i="2"/>
  <c r="AE743" i="2"/>
  <c r="AF743" i="2"/>
  <c r="AG743" i="2"/>
  <c r="AH743" i="2"/>
  <c r="AI743" i="2"/>
  <c r="AJ743" i="2"/>
  <c r="AK743" i="2"/>
  <c r="AL743" i="2"/>
  <c r="AM743" i="2"/>
  <c r="AO743" i="2"/>
  <c r="AP743" i="2"/>
  <c r="AQ743" i="2"/>
  <c r="AR743" i="2"/>
  <c r="AS743" i="2"/>
  <c r="AT743" i="2"/>
  <c r="AU743" i="2"/>
  <c r="AV743" i="2"/>
  <c r="B744" i="2"/>
  <c r="C744" i="2"/>
  <c r="D744" i="2"/>
  <c r="E744" i="2"/>
  <c r="B745" i="2"/>
  <c r="C745" i="2"/>
  <c r="D745" i="2"/>
  <c r="E745" i="2"/>
  <c r="B746" i="2"/>
  <c r="C746" i="2"/>
  <c r="D746" i="2"/>
  <c r="E746" i="2"/>
  <c r="B747" i="2"/>
  <c r="C747" i="2"/>
  <c r="D747" i="2"/>
  <c r="E747" i="2"/>
  <c r="B748" i="2"/>
  <c r="B749" i="2"/>
</calcChain>
</file>

<file path=xl/comments1.xml><?xml version="1.0" encoding="utf-8"?>
<comments xmlns="http://schemas.openxmlformats.org/spreadsheetml/2006/main">
  <authors>
    <author>Jonas Dovern</author>
  </authors>
  <commentList>
    <comment ref="AL14" authorId="0">
      <text>
        <r>
          <rPr>
            <b/>
            <sz val="9"/>
            <color indexed="81"/>
            <rFont val="Tahoma"/>
            <family val="2"/>
          </rPr>
          <t>Jonas Dovern:</t>
        </r>
        <r>
          <rPr>
            <sz val="9"/>
            <color indexed="81"/>
            <rFont val="Tahoma"/>
            <family val="2"/>
          </rPr>
          <t xml:space="preserve">
Von hier bis 1994 basierend auf Daten des "Help-Wanted Index" des Conference Boards.</t>
        </r>
      </text>
    </comment>
    <comment ref="AL542" authorId="0">
      <text>
        <r>
          <rPr>
            <b/>
            <sz val="9"/>
            <color indexed="81"/>
            <rFont val="Tahoma"/>
            <family val="2"/>
          </rPr>
          <t>Jonas Dovern:</t>
        </r>
        <r>
          <rPr>
            <sz val="9"/>
            <color indexed="81"/>
            <rFont val="Tahoma"/>
            <family val="2"/>
          </rPr>
          <t xml:space="preserve">
Data on HWI from Barnichon(2009) from here on to Nov. 2000.</t>
        </r>
      </text>
    </comment>
  </commentList>
</comments>
</file>

<file path=xl/sharedStrings.xml><?xml version="1.0" encoding="utf-8"?>
<sst xmlns="http://schemas.openxmlformats.org/spreadsheetml/2006/main" count="94" uniqueCount="85">
  <si>
    <t>hprices</t>
  </si>
  <si>
    <t>OECDLI2</t>
  </si>
  <si>
    <t>OECDLI1</t>
  </si>
  <si>
    <t>CBLI</t>
  </si>
  <si>
    <t>claims</t>
  </si>
  <si>
    <t>labforce</t>
  </si>
  <si>
    <t>notdiscouraged</t>
  </si>
  <si>
    <t>discouraged</t>
  </si>
  <si>
    <t>HWI</t>
  </si>
  <si>
    <t>o_mfexcldef</t>
  </si>
  <si>
    <t>vacancies</t>
  </si>
  <si>
    <t>ISM</t>
  </si>
  <si>
    <t>Imports</t>
  </si>
  <si>
    <t>Exports</t>
  </si>
  <si>
    <t>CBBAA</t>
  </si>
  <si>
    <t>CBAAA</t>
  </si>
  <si>
    <t>ccred</t>
  </si>
  <si>
    <t>iprod</t>
  </si>
  <si>
    <t>nfe</t>
  </si>
  <si>
    <t>T10Y</t>
  </si>
  <si>
    <t>T3M</t>
  </si>
  <si>
    <t>unemp_27w</t>
  </si>
  <si>
    <t>unemp_15w</t>
  </si>
  <si>
    <t>unemp_5w</t>
  </si>
  <si>
    <t>unemp_0w</t>
  </si>
  <si>
    <t>unemp</t>
  </si>
  <si>
    <t>Med_Uduration</t>
  </si>
  <si>
    <t>Mean_Uduration</t>
  </si>
  <si>
    <t>Budgetsaldo</t>
  </si>
  <si>
    <t>PPI</t>
  </si>
  <si>
    <t>CPI_CORE</t>
  </si>
  <si>
    <t>CPI</t>
  </si>
  <si>
    <t>ICS</t>
  </si>
  <si>
    <t>ALQ</t>
  </si>
  <si>
    <t>FFR</t>
  </si>
  <si>
    <t>IPROD</t>
  </si>
  <si>
    <t>cars</t>
  </si>
  <si>
    <t>RETAILr</t>
  </si>
  <si>
    <t>RETAILn</t>
  </si>
  <si>
    <t>PSERVr_m</t>
  </si>
  <si>
    <t>PNDURr_m</t>
  </si>
  <si>
    <t>PDURr_m</t>
  </si>
  <si>
    <t>PCONr_m</t>
  </si>
  <si>
    <t>PSERVn_m</t>
  </si>
  <si>
    <t>PNDURn_m</t>
  </si>
  <si>
    <t>PDURn_m</t>
  </si>
  <si>
    <t>PCONn_m</t>
  </si>
  <si>
    <t>Month</t>
  </si>
  <si>
    <t>BLS_commre_cs</t>
  </si>
  <si>
    <t>BLS_commre_dem</t>
  </si>
  <si>
    <t>Gcinventory</t>
  </si>
  <si>
    <t>Welthandel</t>
  </si>
  <si>
    <t>export_ser</t>
  </si>
  <si>
    <t>export_goods</t>
  </si>
  <si>
    <t>REXRATE</t>
  </si>
  <si>
    <t>BIPOECD</t>
  </si>
  <si>
    <t>O_mfexcldef</t>
  </si>
  <si>
    <t>EMP_NA</t>
  </si>
  <si>
    <t>BUDGETSALDO</t>
  </si>
  <si>
    <t>GDPN</t>
  </si>
  <si>
    <t>LSK</t>
  </si>
  <si>
    <t>POEL</t>
  </si>
  <si>
    <t>INFL_EXP_1</t>
  </si>
  <si>
    <t>GDPDEFL</t>
  </si>
  <si>
    <t>HHLoanSvy</t>
  </si>
  <si>
    <t>LOSURV_LM_Demand</t>
  </si>
  <si>
    <t>LOSURV_LM_Standards</t>
  </si>
  <si>
    <t>TCBCEO_P</t>
  </si>
  <si>
    <t>TCBCEO_F</t>
  </si>
  <si>
    <t>SRATIO</t>
  </si>
  <si>
    <t>DISPINCOME</t>
  </si>
  <si>
    <t>GOV</t>
  </si>
  <si>
    <t>IMPORT</t>
  </si>
  <si>
    <t>EXPORT</t>
  </si>
  <si>
    <t>RESINV</t>
  </si>
  <si>
    <t>Equipment</t>
  </si>
  <si>
    <t>Structures</t>
  </si>
  <si>
    <t>NRESINV</t>
  </si>
  <si>
    <t>FINV</t>
  </si>
  <si>
    <t>PNDUR</t>
  </si>
  <si>
    <t>PDUR</t>
  </si>
  <si>
    <t>PCON</t>
  </si>
  <si>
    <t>GDP</t>
  </si>
  <si>
    <t>Index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</si>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</sst>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_-* #,##0.00\ [$€]_-;\-* #,##0.00\ [$€]_-;_-* &quot;-&quot;??\ [$€]_-;_-@_-"/>
  </numFmts>
  <fonts count="4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164" fontId="0" fillId="2" borderId="0" xfId="0" applyNumberFormat="1" applyFill="1"/>
    <xf numFmtId="2" fontId="0" fillId="0" borderId="0" xfId="0" applyNumberFormat="1"/>
    <xf numFmtId="0" fontId="0" fillId="0" borderId="0" xfId="0" applyFill="1"/>
    <xf numFmtId="164" fontId="0" fillId="0" borderId="0" xfId="0" applyNumberFormat="1" applyFill="1"/>
    <xf numFmtId="14" fontId="0" fillId="0" borderId="0" xfId="0" applyNumberFormat="1" applyFill="1"/>
  </cellXfs>
  <cellStyles count="4">
    <cellStyle name="Euro" xfId="1"/>
    <cellStyle name="Standard" xfId="0" builtinId="0"/>
    <cellStyle name="Standard 2" xfId="2"/>
    <cellStyle name="Standard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VGR_REQUE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ndikatoren_REQUE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US-Daten&#252;bersic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ortschreibung%20von%20Monatswerte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Preise_REQUE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Staat_REQUE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u&#223;enhandel_REQUES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Geld-%20und%20Finanzm&#228;rkte_REQUES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Arbeitsmarkt_REQU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"/>
      <sheetName val="y"/>
    </sheetNames>
    <sheetDataSet>
      <sheetData sheetId="0">
        <row r="3">
          <cell r="B3">
            <v>1913</v>
          </cell>
          <cell r="C3">
            <v>1971.2</v>
          </cell>
          <cell r="D3">
            <v>2048.4</v>
          </cell>
          <cell r="E3">
            <v>2084.4</v>
          </cell>
          <cell r="F3">
            <v>2110.7000000000003</v>
          </cell>
          <cell r="G3">
            <v>2145.7000000000003</v>
          </cell>
          <cell r="H3">
            <v>2188.5</v>
          </cell>
          <cell r="I3">
            <v>2192.2000000000003</v>
          </cell>
          <cell r="J3">
            <v>2214.3000000000002</v>
          </cell>
          <cell r="K3">
            <v>2216.7000000000003</v>
          </cell>
          <cell r="L3">
            <v>2231.6</v>
          </cell>
          <cell r="M3">
            <v>2305.3000000000002</v>
          </cell>
          <cell r="N3">
            <v>2348.4</v>
          </cell>
          <cell r="O3">
            <v>2366.2000000000003</v>
          </cell>
          <cell r="P3">
            <v>2351.8000000000002</v>
          </cell>
          <cell r="Q3">
            <v>2314.6</v>
          </cell>
          <cell r="R3">
            <v>2303.5</v>
          </cell>
          <cell r="S3">
            <v>2306.4</v>
          </cell>
          <cell r="T3">
            <v>2332.4</v>
          </cell>
          <cell r="U3">
            <v>2379.1</v>
          </cell>
          <cell r="V3">
            <v>2447.7000000000003</v>
          </cell>
          <cell r="W3">
            <v>2488.1000000000004</v>
          </cell>
          <cell r="X3">
            <v>2521.4</v>
          </cell>
          <cell r="Y3">
            <v>2535.5</v>
          </cell>
          <cell r="Z3">
            <v>2523.9</v>
          </cell>
          <cell r="AA3">
            <v>2543.8000000000002</v>
          </cell>
          <cell r="AB3">
            <v>2540.6000000000004</v>
          </cell>
          <cell r="AC3">
            <v>2582.1000000000004</v>
          </cell>
          <cell r="AD3">
            <v>2597.9</v>
          </cell>
          <cell r="AE3">
            <v>2591.7000000000003</v>
          </cell>
          <cell r="AF3">
            <v>2616.6000000000004</v>
          </cell>
          <cell r="AG3">
            <v>2589.1000000000004</v>
          </cell>
          <cell r="AH3">
            <v>2519</v>
          </cell>
          <cell r="AI3">
            <v>2534.5</v>
          </cell>
          <cell r="AJ3">
            <v>2593.9</v>
          </cell>
          <cell r="AK3">
            <v>2654.3</v>
          </cell>
          <cell r="AL3">
            <v>2708</v>
          </cell>
          <cell r="AM3">
            <v>2776.4</v>
          </cell>
          <cell r="AN3">
            <v>2773.1000000000004</v>
          </cell>
          <cell r="AO3">
            <v>2782.8</v>
          </cell>
          <cell r="AP3">
            <v>2845.3</v>
          </cell>
          <cell r="AQ3">
            <v>2832</v>
          </cell>
          <cell r="AR3">
            <v>2836.6000000000004</v>
          </cell>
          <cell r="AS3">
            <v>2800.2000000000003</v>
          </cell>
          <cell r="AT3">
            <v>2816.9</v>
          </cell>
          <cell r="AU3">
            <v>2869.6000000000004</v>
          </cell>
          <cell r="AV3">
            <v>2915.9</v>
          </cell>
          <cell r="AW3">
            <v>2975.3</v>
          </cell>
          <cell r="AX3">
            <v>3028.7000000000003</v>
          </cell>
          <cell r="AY3">
            <v>3062.1000000000004</v>
          </cell>
          <cell r="AZ3">
            <v>3090.4</v>
          </cell>
          <cell r="BA3">
            <v>3097.9</v>
          </cell>
          <cell r="BB3">
            <v>3138.4</v>
          </cell>
          <cell r="BC3">
            <v>3177.7000000000003</v>
          </cell>
          <cell r="BD3">
            <v>3237.6000000000004</v>
          </cell>
          <cell r="BE3">
            <v>3262.2000000000003</v>
          </cell>
          <cell r="BF3">
            <v>3335.4</v>
          </cell>
          <cell r="BG3">
            <v>3373.7000000000003</v>
          </cell>
          <cell r="BH3">
            <v>3419.5</v>
          </cell>
          <cell r="BI3">
            <v>3429</v>
          </cell>
          <cell r="BJ3">
            <v>3513.3</v>
          </cell>
          <cell r="BK3">
            <v>3560.9</v>
          </cell>
          <cell r="BL3">
            <v>3633.2000000000003</v>
          </cell>
          <cell r="BM3">
            <v>3720.8</v>
          </cell>
          <cell r="BN3">
            <v>3812.2000000000003</v>
          </cell>
          <cell r="BO3">
            <v>3824.9</v>
          </cell>
          <cell r="BP3">
            <v>3850</v>
          </cell>
          <cell r="BQ3">
            <v>3881.2000000000003</v>
          </cell>
          <cell r="BR3">
            <v>3915.4</v>
          </cell>
          <cell r="BS3">
            <v>3916.2000000000003</v>
          </cell>
          <cell r="BT3">
            <v>3947.5</v>
          </cell>
          <cell r="BU3">
            <v>3977.6000000000004</v>
          </cell>
          <cell r="BV3">
            <v>4059.5</v>
          </cell>
          <cell r="BW3">
            <v>4128.5</v>
          </cell>
          <cell r="BX3">
            <v>4156.7</v>
          </cell>
          <cell r="BY3">
            <v>4174.7</v>
          </cell>
          <cell r="BZ3">
            <v>4240.5</v>
          </cell>
          <cell r="CA3">
            <v>4252.8</v>
          </cell>
          <cell r="CB3">
            <v>4279.7</v>
          </cell>
          <cell r="CC3">
            <v>4259.6000000000004</v>
          </cell>
          <cell r="CD3">
            <v>4252.9000000000005</v>
          </cell>
          <cell r="CE3">
            <v>4260.7</v>
          </cell>
          <cell r="CF3">
            <v>4298.6000000000004</v>
          </cell>
          <cell r="CG3">
            <v>4253</v>
          </cell>
          <cell r="CH3">
            <v>4370.3</v>
          </cell>
          <cell r="CI3">
            <v>4395.1000000000004</v>
          </cell>
          <cell r="CJ3">
            <v>4430.2</v>
          </cell>
          <cell r="CK3">
            <v>4442.5</v>
          </cell>
          <cell r="CL3">
            <v>4521.9000000000005</v>
          </cell>
          <cell r="CM3">
            <v>4629.1000000000004</v>
          </cell>
          <cell r="CN3">
            <v>4673.5</v>
          </cell>
          <cell r="CO3">
            <v>4750.5</v>
          </cell>
          <cell r="CP3">
            <v>4872</v>
          </cell>
          <cell r="CQ3">
            <v>4928.4000000000005</v>
          </cell>
          <cell r="CR3">
            <v>4902.1000000000004</v>
          </cell>
          <cell r="CS3">
            <v>4948.8</v>
          </cell>
          <cell r="CT3">
            <v>4905.4000000000005</v>
          </cell>
          <cell r="CU3">
            <v>4918</v>
          </cell>
          <cell r="CV3">
            <v>4869.4000000000005</v>
          </cell>
          <cell r="CW3">
            <v>4850.2</v>
          </cell>
          <cell r="CX3">
            <v>4791.2</v>
          </cell>
          <cell r="CY3">
            <v>4827.8</v>
          </cell>
          <cell r="CZ3">
            <v>4909.1000000000004</v>
          </cell>
          <cell r="DA3">
            <v>4973.3</v>
          </cell>
          <cell r="DB3">
            <v>5086.3</v>
          </cell>
          <cell r="DC3">
            <v>5124.6000000000004</v>
          </cell>
          <cell r="DD3">
            <v>5149.7000000000007</v>
          </cell>
          <cell r="DE3">
            <v>5187.1000000000004</v>
          </cell>
          <cell r="DF3">
            <v>5247.3</v>
          </cell>
          <cell r="DG3">
            <v>5351.6</v>
          </cell>
          <cell r="DH3">
            <v>5447.3</v>
          </cell>
          <cell r="DI3">
            <v>5446.1</v>
          </cell>
          <cell r="DJ3">
            <v>5464.7000000000007</v>
          </cell>
          <cell r="DK3">
            <v>5679.7000000000007</v>
          </cell>
          <cell r="DL3">
            <v>5735.4000000000005</v>
          </cell>
          <cell r="DM3">
            <v>5811.3</v>
          </cell>
          <cell r="DN3">
            <v>5821</v>
          </cell>
          <cell r="DO3">
            <v>5826.4000000000005</v>
          </cell>
          <cell r="DP3">
            <v>5868.3</v>
          </cell>
          <cell r="DQ3">
            <v>5884.5</v>
          </cell>
          <cell r="DR3">
            <v>5903.4000000000005</v>
          </cell>
          <cell r="DS3">
            <v>5782.4000000000005</v>
          </cell>
          <cell r="DT3">
            <v>5771.7000000000007</v>
          </cell>
          <cell r="DU3">
            <v>5878.4000000000005</v>
          </cell>
          <cell r="DV3">
            <v>6000.6</v>
          </cell>
          <cell r="DW3">
            <v>5952.7000000000007</v>
          </cell>
          <cell r="DX3">
            <v>6025</v>
          </cell>
          <cell r="DY3">
            <v>5950</v>
          </cell>
          <cell r="DZ3">
            <v>5852.3</v>
          </cell>
          <cell r="EA3">
            <v>5884</v>
          </cell>
          <cell r="EB3">
            <v>5861.4000000000005</v>
          </cell>
          <cell r="EC3">
            <v>5866</v>
          </cell>
          <cell r="ED3">
            <v>5938.9000000000005</v>
          </cell>
          <cell r="EE3">
            <v>6072.4000000000005</v>
          </cell>
          <cell r="EF3">
            <v>6192.2000000000007</v>
          </cell>
          <cell r="EG3">
            <v>6320.2000000000007</v>
          </cell>
          <cell r="EH3">
            <v>6442.8</v>
          </cell>
          <cell r="EI3">
            <v>6554</v>
          </cell>
          <cell r="EJ3">
            <v>6617.7000000000007</v>
          </cell>
          <cell r="EK3">
            <v>6671.6</v>
          </cell>
          <cell r="EL3">
            <v>6734.5</v>
          </cell>
          <cell r="EM3">
            <v>6791.5</v>
          </cell>
          <cell r="EN3">
            <v>6897.6</v>
          </cell>
          <cell r="EO3">
            <v>6950</v>
          </cell>
          <cell r="EP3">
            <v>7016.8</v>
          </cell>
          <cell r="EQ3">
            <v>7045</v>
          </cell>
          <cell r="ER3">
            <v>7112.9000000000005</v>
          </cell>
          <cell r="ES3">
            <v>7147.3</v>
          </cell>
          <cell r="ET3">
            <v>7186.9000000000005</v>
          </cell>
          <cell r="EU3">
            <v>7263.3</v>
          </cell>
          <cell r="EV3">
            <v>7326.3</v>
          </cell>
          <cell r="EW3">
            <v>7451.7000000000007</v>
          </cell>
          <cell r="EX3">
            <v>7490.2000000000007</v>
          </cell>
          <cell r="EY3">
            <v>7586.4000000000005</v>
          </cell>
          <cell r="EZ3">
            <v>7625.6</v>
          </cell>
          <cell r="FA3">
            <v>7727.4000000000005</v>
          </cell>
          <cell r="FB3">
            <v>7799.9000000000005</v>
          </cell>
          <cell r="FC3">
            <v>7858.3</v>
          </cell>
          <cell r="FD3">
            <v>7920.6</v>
          </cell>
          <cell r="FE3">
            <v>7937.9000000000005</v>
          </cell>
          <cell r="FF3">
            <v>8020.8</v>
          </cell>
          <cell r="FG3">
            <v>8052.7000000000007</v>
          </cell>
          <cell r="FH3">
            <v>8052.6</v>
          </cell>
          <cell r="FI3">
            <v>7982</v>
          </cell>
          <cell r="FJ3">
            <v>7943.4000000000005</v>
          </cell>
          <cell r="FK3">
            <v>7997</v>
          </cell>
          <cell r="FL3">
            <v>8030.7000000000007</v>
          </cell>
          <cell r="FM3">
            <v>8062.2000000000007</v>
          </cell>
          <cell r="FN3">
            <v>8150.7000000000007</v>
          </cell>
          <cell r="FO3">
            <v>8237.3000000000011</v>
          </cell>
          <cell r="FP3">
            <v>8322.3000000000011</v>
          </cell>
          <cell r="FQ3">
            <v>8409.8000000000011</v>
          </cell>
          <cell r="FR3">
            <v>8425.3000000000011</v>
          </cell>
          <cell r="FS3">
            <v>8479.2000000000007</v>
          </cell>
          <cell r="FT3">
            <v>8523.8000000000011</v>
          </cell>
          <cell r="FU3">
            <v>8636.4</v>
          </cell>
          <cell r="FV3">
            <v>8720.5</v>
          </cell>
          <cell r="FW3">
            <v>8839.8000000000011</v>
          </cell>
          <cell r="FX3">
            <v>8896.7000000000007</v>
          </cell>
          <cell r="FY3">
            <v>8995.5</v>
          </cell>
          <cell r="FZ3">
            <v>9017.6</v>
          </cell>
          <cell r="GA3">
            <v>9037</v>
          </cell>
          <cell r="GB3">
            <v>9112.9</v>
          </cell>
          <cell r="GC3">
            <v>9176.4</v>
          </cell>
          <cell r="GD3">
            <v>9239.3000000000011</v>
          </cell>
          <cell r="GE3">
            <v>9399</v>
          </cell>
          <cell r="GF3">
            <v>9480.8000000000011</v>
          </cell>
          <cell r="GG3">
            <v>9584.3000000000011</v>
          </cell>
          <cell r="GH3">
            <v>9658</v>
          </cell>
          <cell r="GI3">
            <v>9801.2000000000007</v>
          </cell>
          <cell r="GJ3">
            <v>9924.2000000000007</v>
          </cell>
          <cell r="GK3">
            <v>10000.300000000001</v>
          </cell>
          <cell r="GL3">
            <v>10094.800000000001</v>
          </cell>
          <cell r="GM3">
            <v>10185.6</v>
          </cell>
          <cell r="GN3">
            <v>10320</v>
          </cell>
          <cell r="GO3">
            <v>10498.6</v>
          </cell>
          <cell r="GP3">
            <v>10592.1</v>
          </cell>
          <cell r="GQ3">
            <v>10674.900000000001</v>
          </cell>
          <cell r="GR3">
            <v>10810.7</v>
          </cell>
          <cell r="GS3">
            <v>11004.800000000001</v>
          </cell>
          <cell r="GT3">
            <v>11033.6</v>
          </cell>
          <cell r="GU3">
            <v>11248.800000000001</v>
          </cell>
          <cell r="GV3">
            <v>11258.300000000001</v>
          </cell>
          <cell r="GW3">
            <v>11325</v>
          </cell>
          <cell r="GX3">
            <v>11287.800000000001</v>
          </cell>
          <cell r="GY3">
            <v>11361.7</v>
          </cell>
          <cell r="GZ3">
            <v>11330.400000000001</v>
          </cell>
          <cell r="HA3">
            <v>11370</v>
          </cell>
          <cell r="HB3">
            <v>11467.1</v>
          </cell>
          <cell r="HC3">
            <v>11528.1</v>
          </cell>
          <cell r="HD3">
            <v>11586.6</v>
          </cell>
          <cell r="HE3">
            <v>11590.6</v>
          </cell>
          <cell r="HF3">
            <v>11638.900000000001</v>
          </cell>
          <cell r="HG3">
            <v>11737.5</v>
          </cell>
          <cell r="HH3">
            <v>11930.7</v>
          </cell>
          <cell r="HI3">
            <v>12038.6</v>
          </cell>
          <cell r="HJ3">
            <v>12117.900000000001</v>
          </cell>
          <cell r="HK3">
            <v>12195.900000000001</v>
          </cell>
          <cell r="HL3">
            <v>12286.7</v>
          </cell>
          <cell r="HM3">
            <v>12387.2</v>
          </cell>
          <cell r="HN3">
            <v>12515</v>
          </cell>
          <cell r="HO3">
            <v>12570.7</v>
          </cell>
          <cell r="HP3">
            <v>12670.5</v>
          </cell>
          <cell r="HQ3">
            <v>12735.6</v>
          </cell>
          <cell r="HR3">
            <v>12896.400000000001</v>
          </cell>
          <cell r="HS3">
            <v>12948.7</v>
          </cell>
          <cell r="HT3">
            <v>12950.400000000001</v>
          </cell>
          <cell r="HU3">
            <v>13038.400000000001</v>
          </cell>
          <cell r="HV3">
            <v>13056.1</v>
          </cell>
          <cell r="HW3">
            <v>13173.6</v>
          </cell>
          <cell r="HX3">
            <v>13269.800000000001</v>
          </cell>
          <cell r="HY3">
            <v>13326</v>
          </cell>
          <cell r="HZ3">
            <v>13266.800000000001</v>
          </cell>
          <cell r="IA3">
            <v>13310.5</v>
          </cell>
          <cell r="IB3">
            <v>13186.900000000001</v>
          </cell>
          <cell r="IC3">
            <v>12883.5</v>
          </cell>
          <cell r="ID3">
            <v>12663.2</v>
          </cell>
          <cell r="IE3">
            <v>12641.300000000001</v>
          </cell>
          <cell r="IF3">
            <v>12694.5</v>
          </cell>
          <cell r="IG3">
            <v>12813.5</v>
          </cell>
          <cell r="IH3">
            <v>12937.7</v>
          </cell>
          <cell r="II3">
            <v>13058.5</v>
          </cell>
          <cell r="IJ3">
            <v>13139.6</v>
          </cell>
          <cell r="IK3">
            <v>13216.1</v>
          </cell>
          <cell r="IL3">
            <v>13227.900000000001</v>
          </cell>
          <cell r="IM3">
            <v>13271.800000000001</v>
          </cell>
          <cell r="IN3">
            <v>13352.800000000001</v>
          </cell>
        </row>
        <row r="4">
          <cell r="B4">
            <v>1244.9000000000001</v>
          </cell>
          <cell r="C4">
            <v>1265.4000000000001</v>
          </cell>
          <cell r="D4">
            <v>1330.3000000000002</v>
          </cell>
          <cell r="E4">
            <v>1290.2</v>
          </cell>
          <cell r="F4">
            <v>1321.4</v>
          </cell>
          <cell r="G4">
            <v>1284.1000000000001</v>
          </cell>
          <cell r="H4">
            <v>1299.1000000000001</v>
          </cell>
          <cell r="I4">
            <v>1306.7</v>
          </cell>
          <cell r="J4">
            <v>1309.6000000000001</v>
          </cell>
          <cell r="K4">
            <v>1335.3000000000002</v>
          </cell>
          <cell r="L4">
            <v>1341.8000000000002</v>
          </cell>
          <cell r="M4">
            <v>1389.2</v>
          </cell>
          <cell r="N4">
            <v>1405.7</v>
          </cell>
          <cell r="O4">
            <v>1414.2</v>
          </cell>
          <cell r="P4">
            <v>1411</v>
          </cell>
          <cell r="Q4">
            <v>1401.6000000000001</v>
          </cell>
          <cell r="R4">
            <v>1406.7</v>
          </cell>
          <cell r="S4">
            <v>1425</v>
          </cell>
          <cell r="T4">
            <v>1444.4</v>
          </cell>
          <cell r="U4">
            <v>1474.7</v>
          </cell>
          <cell r="V4">
            <v>1507.8000000000002</v>
          </cell>
          <cell r="W4">
            <v>1536.6000000000001</v>
          </cell>
          <cell r="X4">
            <v>1555.6000000000001</v>
          </cell>
          <cell r="Y4">
            <v>1575.2</v>
          </cell>
          <cell r="Z4">
            <v>1577.8000000000002</v>
          </cell>
          <cell r="AA4">
            <v>1583</v>
          </cell>
          <cell r="AB4">
            <v>1586.6000000000001</v>
          </cell>
          <cell r="AC4">
            <v>1608.4</v>
          </cell>
          <cell r="AD4">
            <v>1619.5</v>
          </cell>
          <cell r="AE4">
            <v>1622.4</v>
          </cell>
          <cell r="AF4">
            <v>1635.3000000000002</v>
          </cell>
          <cell r="AG4">
            <v>1636.1000000000001</v>
          </cell>
          <cell r="AH4">
            <v>1613.9</v>
          </cell>
          <cell r="AI4">
            <v>1627.1000000000001</v>
          </cell>
          <cell r="AJ4">
            <v>1653.8000000000002</v>
          </cell>
          <cell r="AK4">
            <v>1675.6000000000001</v>
          </cell>
          <cell r="AL4">
            <v>1706.7</v>
          </cell>
          <cell r="AM4">
            <v>1732.9</v>
          </cell>
          <cell r="AN4">
            <v>1751</v>
          </cell>
          <cell r="AO4">
            <v>1752.9</v>
          </cell>
          <cell r="AP4">
            <v>1769.7</v>
          </cell>
          <cell r="AQ4">
            <v>1792.1000000000001</v>
          </cell>
          <cell r="AR4">
            <v>1785</v>
          </cell>
          <cell r="AS4">
            <v>1787.4</v>
          </cell>
          <cell r="AT4">
            <v>1786.9</v>
          </cell>
          <cell r="AU4">
            <v>1813.4</v>
          </cell>
          <cell r="AV4">
            <v>1822.2</v>
          </cell>
          <cell r="AW4">
            <v>1858.7</v>
          </cell>
          <cell r="AX4">
            <v>1878.5</v>
          </cell>
          <cell r="AY4">
            <v>1901.6000000000001</v>
          </cell>
          <cell r="AZ4">
            <v>1917</v>
          </cell>
          <cell r="BA4">
            <v>1944.2</v>
          </cell>
          <cell r="BB4">
            <v>1957.3000000000002</v>
          </cell>
          <cell r="BC4">
            <v>1976</v>
          </cell>
          <cell r="BD4">
            <v>2002.9</v>
          </cell>
          <cell r="BE4">
            <v>2019.6000000000001</v>
          </cell>
          <cell r="BF4">
            <v>2059.5</v>
          </cell>
          <cell r="BG4">
            <v>2095.8000000000002</v>
          </cell>
          <cell r="BH4">
            <v>2134.3000000000002</v>
          </cell>
          <cell r="BI4">
            <v>2140.2000000000003</v>
          </cell>
          <cell r="BJ4">
            <v>2187.8000000000002</v>
          </cell>
          <cell r="BK4">
            <v>2212</v>
          </cell>
          <cell r="BL4">
            <v>2250</v>
          </cell>
          <cell r="BM4">
            <v>2313.2000000000003</v>
          </cell>
          <cell r="BN4">
            <v>2347.4</v>
          </cell>
          <cell r="BO4">
            <v>2353.5</v>
          </cell>
          <cell r="BP4">
            <v>2380.4</v>
          </cell>
          <cell r="BQ4">
            <v>2390.3000000000002</v>
          </cell>
          <cell r="BR4">
            <v>2404.2000000000003</v>
          </cell>
          <cell r="BS4">
            <v>2437</v>
          </cell>
          <cell r="BT4">
            <v>2449.5</v>
          </cell>
          <cell r="BU4">
            <v>2464.6000000000004</v>
          </cell>
          <cell r="BV4">
            <v>2523.4</v>
          </cell>
          <cell r="BW4">
            <v>2562.1000000000004</v>
          </cell>
          <cell r="BX4">
            <v>2610.3000000000002</v>
          </cell>
          <cell r="BY4">
            <v>2622.3</v>
          </cell>
          <cell r="BZ4">
            <v>2651.7000000000003</v>
          </cell>
          <cell r="CA4">
            <v>2668.6000000000004</v>
          </cell>
          <cell r="CB4">
            <v>2681.5</v>
          </cell>
          <cell r="CC4">
            <v>2702.9</v>
          </cell>
          <cell r="CD4">
            <v>2719.5</v>
          </cell>
          <cell r="CE4">
            <v>2731.9</v>
          </cell>
          <cell r="CF4">
            <v>2755.9</v>
          </cell>
          <cell r="CG4">
            <v>2748.4</v>
          </cell>
          <cell r="CH4">
            <v>2800.9</v>
          </cell>
          <cell r="CI4">
            <v>2826.6000000000004</v>
          </cell>
          <cell r="CJ4">
            <v>2849.1000000000004</v>
          </cell>
          <cell r="CK4">
            <v>2896.5</v>
          </cell>
          <cell r="CL4">
            <v>2935.2000000000003</v>
          </cell>
          <cell r="CM4">
            <v>2991.2000000000003</v>
          </cell>
          <cell r="CN4">
            <v>3037.4</v>
          </cell>
          <cell r="CO4">
            <v>3108.6000000000004</v>
          </cell>
          <cell r="CP4">
            <v>3165.5</v>
          </cell>
          <cell r="CQ4">
            <v>3163.9</v>
          </cell>
          <cell r="CR4">
            <v>3175.3</v>
          </cell>
          <cell r="CS4">
            <v>3166</v>
          </cell>
          <cell r="CT4">
            <v>3138.3</v>
          </cell>
          <cell r="CU4">
            <v>3149.2000000000003</v>
          </cell>
          <cell r="CV4">
            <v>3162.2000000000003</v>
          </cell>
          <cell r="CW4">
            <v>3115.8</v>
          </cell>
          <cell r="CX4">
            <v>3142</v>
          </cell>
          <cell r="CY4">
            <v>3194.4</v>
          </cell>
          <cell r="CZ4">
            <v>3239.9</v>
          </cell>
          <cell r="DA4">
            <v>3274.2000000000003</v>
          </cell>
          <cell r="DB4">
            <v>3339.6000000000004</v>
          </cell>
          <cell r="DC4">
            <v>3370.3</v>
          </cell>
          <cell r="DD4">
            <v>3405.9</v>
          </cell>
          <cell r="DE4">
            <v>3450.3</v>
          </cell>
          <cell r="DF4">
            <v>3489.7000000000003</v>
          </cell>
          <cell r="DG4">
            <v>3509</v>
          </cell>
          <cell r="DH4">
            <v>3542.5</v>
          </cell>
          <cell r="DI4">
            <v>3595.9</v>
          </cell>
          <cell r="DJ4">
            <v>3616.9</v>
          </cell>
          <cell r="DK4">
            <v>3694.2000000000003</v>
          </cell>
          <cell r="DL4">
            <v>3709.7000000000003</v>
          </cell>
          <cell r="DM4">
            <v>3739.6000000000004</v>
          </cell>
          <cell r="DN4">
            <v>3758.5</v>
          </cell>
          <cell r="DO4">
            <v>3756.3</v>
          </cell>
          <cell r="DP4">
            <v>3793.2000000000003</v>
          </cell>
          <cell r="DQ4">
            <v>3803.3</v>
          </cell>
          <cell r="DR4">
            <v>3796.7000000000003</v>
          </cell>
          <cell r="DS4">
            <v>3710.5</v>
          </cell>
          <cell r="DT4">
            <v>3750.3</v>
          </cell>
          <cell r="DU4">
            <v>3800.3</v>
          </cell>
          <cell r="DV4">
            <v>3821.1000000000004</v>
          </cell>
          <cell r="DW4">
            <v>3821.1000000000004</v>
          </cell>
          <cell r="DX4">
            <v>3836.6000000000004</v>
          </cell>
          <cell r="DY4">
            <v>3807.6000000000004</v>
          </cell>
          <cell r="DZ4">
            <v>3832.2000000000003</v>
          </cell>
          <cell r="EA4">
            <v>3845.9</v>
          </cell>
          <cell r="EB4">
            <v>3875.4</v>
          </cell>
          <cell r="EC4">
            <v>3946.1000000000004</v>
          </cell>
          <cell r="ED4">
            <v>3984.8</v>
          </cell>
          <cell r="EE4">
            <v>4063.9</v>
          </cell>
          <cell r="EF4">
            <v>4135.7</v>
          </cell>
          <cell r="EG4">
            <v>4201.3</v>
          </cell>
          <cell r="EH4">
            <v>4237.3</v>
          </cell>
          <cell r="EI4">
            <v>4297.9000000000005</v>
          </cell>
          <cell r="EJ4">
            <v>4331.1000000000004</v>
          </cell>
          <cell r="EK4">
            <v>4388.1000000000004</v>
          </cell>
          <cell r="EL4">
            <v>4462.5</v>
          </cell>
          <cell r="EM4">
            <v>4503.2</v>
          </cell>
          <cell r="EN4">
            <v>4588.7</v>
          </cell>
          <cell r="EO4">
            <v>4598.8</v>
          </cell>
          <cell r="EP4">
            <v>4637.2</v>
          </cell>
          <cell r="EQ4">
            <v>4686.6000000000004</v>
          </cell>
          <cell r="ER4">
            <v>4768.5</v>
          </cell>
          <cell r="ES4">
            <v>4797.2</v>
          </cell>
          <cell r="ET4">
            <v>4789.9000000000005</v>
          </cell>
          <cell r="EU4">
            <v>4854</v>
          </cell>
          <cell r="EV4">
            <v>4908.2</v>
          </cell>
          <cell r="EW4">
            <v>4920</v>
          </cell>
          <cell r="EX4">
            <v>5002.2000000000007</v>
          </cell>
          <cell r="EY4">
            <v>5038.5</v>
          </cell>
          <cell r="EZ4">
            <v>5078.3</v>
          </cell>
          <cell r="FA4">
            <v>5138.1000000000004</v>
          </cell>
          <cell r="FB4">
            <v>5156.9000000000005</v>
          </cell>
          <cell r="FC4">
            <v>5180</v>
          </cell>
          <cell r="FD4">
            <v>5233.7000000000007</v>
          </cell>
          <cell r="FE4">
            <v>5259.3</v>
          </cell>
          <cell r="FF4">
            <v>5300.9000000000005</v>
          </cell>
          <cell r="FG4">
            <v>5318.4000000000005</v>
          </cell>
          <cell r="FH4">
            <v>5338.6</v>
          </cell>
          <cell r="FI4">
            <v>5297</v>
          </cell>
          <cell r="FJ4">
            <v>5282</v>
          </cell>
          <cell r="FK4">
            <v>5322.2000000000007</v>
          </cell>
          <cell r="FL4">
            <v>5342.6</v>
          </cell>
          <cell r="FM4">
            <v>5340.2000000000007</v>
          </cell>
          <cell r="FN4">
            <v>5432</v>
          </cell>
          <cell r="FO4">
            <v>5464.2000000000007</v>
          </cell>
          <cell r="FP4">
            <v>5524.6</v>
          </cell>
          <cell r="FQ4">
            <v>5592</v>
          </cell>
          <cell r="FR4">
            <v>5614.7000000000007</v>
          </cell>
          <cell r="FS4">
            <v>5668.6</v>
          </cell>
          <cell r="FT4">
            <v>5730.1</v>
          </cell>
          <cell r="FU4">
            <v>5781.1</v>
          </cell>
          <cell r="FV4">
            <v>5845.5</v>
          </cell>
          <cell r="FW4">
            <v>5888.8</v>
          </cell>
          <cell r="FX4">
            <v>5936</v>
          </cell>
          <cell r="FY4">
            <v>5994.6</v>
          </cell>
          <cell r="FZ4">
            <v>6001.6</v>
          </cell>
          <cell r="GA4">
            <v>6050.8</v>
          </cell>
          <cell r="GB4">
            <v>6104.9000000000005</v>
          </cell>
          <cell r="GC4">
            <v>6147.8</v>
          </cell>
          <cell r="GD4">
            <v>6204</v>
          </cell>
          <cell r="GE4">
            <v>6274.2000000000007</v>
          </cell>
          <cell r="GF4">
            <v>6311.8</v>
          </cell>
          <cell r="GG4">
            <v>6363.2000000000007</v>
          </cell>
          <cell r="GH4">
            <v>6427.3</v>
          </cell>
          <cell r="GI4">
            <v>6453.3</v>
          </cell>
          <cell r="GJ4">
            <v>6563</v>
          </cell>
          <cell r="GK4">
            <v>6638.1</v>
          </cell>
          <cell r="GL4">
            <v>6704.1</v>
          </cell>
          <cell r="GM4">
            <v>6819.5</v>
          </cell>
          <cell r="GN4">
            <v>6909.9000000000005</v>
          </cell>
          <cell r="GO4">
            <v>7015.9000000000005</v>
          </cell>
          <cell r="GP4">
            <v>7085.1</v>
          </cell>
          <cell r="GQ4">
            <v>7196.6</v>
          </cell>
          <cell r="GR4">
            <v>7283.1</v>
          </cell>
          <cell r="GS4">
            <v>7385.8</v>
          </cell>
          <cell r="GT4">
            <v>7497.8</v>
          </cell>
          <cell r="GU4">
            <v>7568.3</v>
          </cell>
          <cell r="GV4">
            <v>7642.4000000000005</v>
          </cell>
          <cell r="GW4">
            <v>7710</v>
          </cell>
          <cell r="GX4">
            <v>7740.8</v>
          </cell>
          <cell r="GY4">
            <v>7770</v>
          </cell>
          <cell r="GZ4">
            <v>7804.2000000000007</v>
          </cell>
          <cell r="HA4">
            <v>7926.4000000000005</v>
          </cell>
          <cell r="HB4">
            <v>7953.7000000000007</v>
          </cell>
          <cell r="HC4">
            <v>7994.1</v>
          </cell>
          <cell r="HD4">
            <v>8048.3</v>
          </cell>
          <cell r="HE4">
            <v>8076.9000000000005</v>
          </cell>
          <cell r="HF4">
            <v>8117.7000000000007</v>
          </cell>
          <cell r="HG4">
            <v>8198.1</v>
          </cell>
          <cell r="HH4">
            <v>8308.5</v>
          </cell>
          <cell r="HI4">
            <v>8353.7000000000007</v>
          </cell>
          <cell r="HJ4">
            <v>8427.6</v>
          </cell>
          <cell r="HK4">
            <v>8465.1</v>
          </cell>
          <cell r="HL4">
            <v>8539.1</v>
          </cell>
          <cell r="HM4">
            <v>8631.3000000000011</v>
          </cell>
          <cell r="HN4">
            <v>8700.1</v>
          </cell>
          <cell r="HO4">
            <v>8786.2000000000007</v>
          </cell>
          <cell r="HP4">
            <v>8852.9</v>
          </cell>
          <cell r="HQ4">
            <v>8874.9</v>
          </cell>
          <cell r="HR4">
            <v>8965.8000000000011</v>
          </cell>
          <cell r="HS4">
            <v>9019.8000000000011</v>
          </cell>
          <cell r="HT4">
            <v>9073.9</v>
          </cell>
          <cell r="HU4">
            <v>9158.3000000000011</v>
          </cell>
          <cell r="HV4">
            <v>9209.2000000000007</v>
          </cell>
          <cell r="HW4">
            <v>9244.5</v>
          </cell>
          <cell r="HX4">
            <v>9285.2000000000007</v>
          </cell>
          <cell r="HY4">
            <v>9312.6</v>
          </cell>
          <cell r="HZ4">
            <v>9289.1</v>
          </cell>
          <cell r="IA4">
            <v>9285.8000000000011</v>
          </cell>
          <cell r="IB4">
            <v>9196</v>
          </cell>
          <cell r="IC4">
            <v>9076</v>
          </cell>
          <cell r="ID4">
            <v>9040.9</v>
          </cell>
          <cell r="IE4">
            <v>8998.5</v>
          </cell>
          <cell r="IF4">
            <v>9050.3000000000011</v>
          </cell>
          <cell r="IG4">
            <v>9060.2000000000007</v>
          </cell>
          <cell r="IH4">
            <v>9121.2000000000007</v>
          </cell>
          <cell r="II4">
            <v>9186.9</v>
          </cell>
          <cell r="IJ4">
            <v>9247.1</v>
          </cell>
          <cell r="IK4">
            <v>9328.4</v>
          </cell>
          <cell r="IL4">
            <v>9376.7000000000007</v>
          </cell>
          <cell r="IM4">
            <v>9392.7000000000007</v>
          </cell>
          <cell r="IN4">
            <v>9449.5</v>
          </cell>
        </row>
        <row r="5">
          <cell r="FZ5">
            <v>497.3</v>
          </cell>
          <cell r="GA5">
            <v>502.40000000000003</v>
          </cell>
          <cell r="GB5">
            <v>516.6</v>
          </cell>
          <cell r="GC5">
            <v>525.5</v>
          </cell>
          <cell r="GD5">
            <v>531.20000000000005</v>
          </cell>
          <cell r="GE5">
            <v>548.1</v>
          </cell>
          <cell r="GF5">
            <v>552</v>
          </cell>
          <cell r="GG5">
            <v>562.80000000000007</v>
          </cell>
          <cell r="GH5">
            <v>578.1</v>
          </cell>
          <cell r="GI5">
            <v>576.20000000000005</v>
          </cell>
          <cell r="GJ5">
            <v>601.9</v>
          </cell>
          <cell r="GK5">
            <v>617.20000000000005</v>
          </cell>
          <cell r="GL5">
            <v>622.40000000000009</v>
          </cell>
          <cell r="GM5">
            <v>654.1</v>
          </cell>
          <cell r="GN5">
            <v>673</v>
          </cell>
          <cell r="GO5">
            <v>713</v>
          </cell>
          <cell r="GP5">
            <v>714.7</v>
          </cell>
          <cell r="GQ5">
            <v>749.1</v>
          </cell>
          <cell r="GR5">
            <v>767.40000000000009</v>
          </cell>
          <cell r="GS5">
            <v>776.90000000000009</v>
          </cell>
          <cell r="GT5">
            <v>820.6</v>
          </cell>
          <cell r="GU5">
            <v>805.80000000000007</v>
          </cell>
          <cell r="GV5">
            <v>819.80000000000007</v>
          </cell>
          <cell r="GW5">
            <v>825.80000000000007</v>
          </cell>
          <cell r="GX5">
            <v>839.80000000000007</v>
          </cell>
          <cell r="GY5">
            <v>839.40000000000009</v>
          </cell>
          <cell r="GZ5">
            <v>849.5</v>
          </cell>
          <cell r="HA5">
            <v>920.90000000000009</v>
          </cell>
          <cell r="HB5">
            <v>910.40000000000009</v>
          </cell>
          <cell r="HC5">
            <v>919.90000000000009</v>
          </cell>
          <cell r="HD5">
            <v>946.90000000000009</v>
          </cell>
          <cell r="HE5">
            <v>934.40000000000009</v>
          </cell>
          <cell r="HF5">
            <v>937.2</v>
          </cell>
          <cell r="HG5">
            <v>975.90000000000009</v>
          </cell>
          <cell r="HH5">
            <v>1016.9000000000001</v>
          </cell>
          <cell r="HI5">
            <v>1026.5</v>
          </cell>
          <cell r="HJ5">
            <v>1040.9000000000001</v>
          </cell>
          <cell r="HK5">
            <v>1047.5</v>
          </cell>
          <cell r="HL5">
            <v>1068.2</v>
          </cell>
          <cell r="HM5">
            <v>1087.2</v>
          </cell>
          <cell r="HN5">
            <v>1098.7</v>
          </cell>
          <cell r="HO5">
            <v>1130.6000000000001</v>
          </cell>
          <cell r="HP5">
            <v>1146.6000000000001</v>
          </cell>
          <cell r="HQ5">
            <v>1117.5</v>
          </cell>
          <cell r="HR5">
            <v>1160.9000000000001</v>
          </cell>
          <cell r="HS5">
            <v>1161.8</v>
          </cell>
          <cell r="HT5">
            <v>1179</v>
          </cell>
          <cell r="HU5">
            <v>1195.2</v>
          </cell>
          <cell r="HV5">
            <v>1210.1000000000001</v>
          </cell>
          <cell r="HW5">
            <v>1227</v>
          </cell>
          <cell r="HX5">
            <v>1242.7</v>
          </cell>
          <cell r="HY5">
            <v>1249.9000000000001</v>
          </cell>
          <cell r="HZ5">
            <v>1218.7</v>
          </cell>
          <cell r="IA5">
            <v>1209.8</v>
          </cell>
          <cell r="IB5">
            <v>1170.8</v>
          </cell>
          <cell r="IC5">
            <v>1088</v>
          </cell>
          <cell r="ID5">
            <v>1094.6000000000001</v>
          </cell>
          <cell r="IE5">
            <v>1083.4000000000001</v>
          </cell>
          <cell r="IF5">
            <v>1134.5</v>
          </cell>
          <cell r="IG5">
            <v>1120.8</v>
          </cell>
          <cell r="IH5">
            <v>1147.5</v>
          </cell>
          <cell r="II5">
            <v>1169.3</v>
          </cell>
          <cell r="IJ5">
            <v>1194.1000000000001</v>
          </cell>
          <cell r="IK5">
            <v>1242.4000000000001</v>
          </cell>
          <cell r="IL5">
            <v>1277.4000000000001</v>
          </cell>
          <cell r="IM5">
            <v>1260.2</v>
          </cell>
          <cell r="IN5">
            <v>1273</v>
          </cell>
        </row>
        <row r="9">
          <cell r="FZ9">
            <v>1428</v>
          </cell>
          <cell r="GA9">
            <v>1435</v>
          </cell>
          <cell r="GB9">
            <v>1440.1000000000001</v>
          </cell>
          <cell r="GC9">
            <v>1447.5</v>
          </cell>
          <cell r="GD9">
            <v>1456.9</v>
          </cell>
          <cell r="GE9">
            <v>1475.6000000000001</v>
          </cell>
          <cell r="GF9">
            <v>1486.1000000000001</v>
          </cell>
          <cell r="GG9">
            <v>1498.2</v>
          </cell>
          <cell r="GH9">
            <v>1507.3000000000002</v>
          </cell>
          <cell r="GI9">
            <v>1508.1000000000001</v>
          </cell>
          <cell r="GJ9">
            <v>1532.4</v>
          </cell>
          <cell r="GK9">
            <v>1543.1000000000001</v>
          </cell>
          <cell r="GL9">
            <v>1554.6000000000001</v>
          </cell>
          <cell r="GM9">
            <v>1573.8000000000002</v>
          </cell>
          <cell r="GN9">
            <v>1585.4</v>
          </cell>
          <cell r="GO9">
            <v>1607</v>
          </cell>
          <cell r="GP9">
            <v>1636.7</v>
          </cell>
          <cell r="GQ9">
            <v>1652.1000000000001</v>
          </cell>
          <cell r="GR9">
            <v>1660</v>
          </cell>
          <cell r="GS9">
            <v>1694</v>
          </cell>
          <cell r="GT9">
            <v>1679.3000000000002</v>
          </cell>
          <cell r="GU9">
            <v>1712.9</v>
          </cell>
          <cell r="GV9">
            <v>1724.5</v>
          </cell>
          <cell r="GW9">
            <v>1741.4</v>
          </cell>
          <cell r="GX9">
            <v>1731.2</v>
          </cell>
          <cell r="GY9">
            <v>1739.5</v>
          </cell>
          <cell r="GZ9">
            <v>1747.9</v>
          </cell>
          <cell r="HA9">
            <v>1763</v>
          </cell>
          <cell r="HB9">
            <v>1770.2</v>
          </cell>
          <cell r="HC9">
            <v>1772.5</v>
          </cell>
          <cell r="HD9">
            <v>1777.5</v>
          </cell>
          <cell r="HE9">
            <v>1800</v>
          </cell>
          <cell r="HF9">
            <v>1816</v>
          </cell>
          <cell r="HG9">
            <v>1825.2</v>
          </cell>
          <cell r="HH9">
            <v>1856.9</v>
          </cell>
          <cell r="HI9">
            <v>1864.8000000000002</v>
          </cell>
          <cell r="HJ9">
            <v>1880.4</v>
          </cell>
          <cell r="HK9">
            <v>1880.3000000000002</v>
          </cell>
          <cell r="HL9">
            <v>1895.1000000000001</v>
          </cell>
          <cell r="HM9">
            <v>1915.4</v>
          </cell>
          <cell r="HN9">
            <v>1937</v>
          </cell>
          <cell r="HO9">
            <v>1946.7</v>
          </cell>
          <cell r="HP9">
            <v>1954.4</v>
          </cell>
          <cell r="HQ9">
            <v>1975.4</v>
          </cell>
          <cell r="HR9">
            <v>1986.1000000000001</v>
          </cell>
          <cell r="HS9">
            <v>1996.1000000000001</v>
          </cell>
          <cell r="HT9">
            <v>2005.9</v>
          </cell>
          <cell r="HU9">
            <v>2031.9</v>
          </cell>
          <cell r="HV9">
            <v>2038.2</v>
          </cell>
          <cell r="HW9">
            <v>2037.5</v>
          </cell>
          <cell r="HX9">
            <v>2046.9</v>
          </cell>
          <cell r="HY9">
            <v>2049</v>
          </cell>
          <cell r="HZ9">
            <v>2032.1000000000001</v>
          </cell>
          <cell r="IA9">
            <v>2043.5</v>
          </cell>
          <cell r="IB9">
            <v>2015.4</v>
          </cell>
          <cell r="IC9">
            <v>1985.3000000000002</v>
          </cell>
          <cell r="ID9">
            <v>1980.3000000000002</v>
          </cell>
          <cell r="IE9">
            <v>1972.8000000000002</v>
          </cell>
          <cell r="IF9">
            <v>1982.7</v>
          </cell>
          <cell r="IG9">
            <v>1997.7</v>
          </cell>
          <cell r="IH9">
            <v>2021.1000000000001</v>
          </cell>
          <cell r="II9">
            <v>2030.8000000000002</v>
          </cell>
          <cell r="IJ9">
            <v>2045.8000000000002</v>
          </cell>
          <cell r="IK9">
            <v>2067.4</v>
          </cell>
          <cell r="IL9">
            <v>2075.4</v>
          </cell>
          <cell r="IM9">
            <v>2076.6</v>
          </cell>
          <cell r="IN9">
            <v>2077.7000000000003</v>
          </cell>
        </row>
        <row r="21">
          <cell r="B21">
            <v>214.9</v>
          </cell>
          <cell r="C21">
            <v>238.9</v>
          </cell>
          <cell r="D21">
            <v>260.40000000000003</v>
          </cell>
          <cell r="E21">
            <v>295</v>
          </cell>
          <cell r="F21">
            <v>263.90000000000003</v>
          </cell>
          <cell r="G21">
            <v>270.40000000000003</v>
          </cell>
          <cell r="H21">
            <v>249.5</v>
          </cell>
          <cell r="I21">
            <v>228.3</v>
          </cell>
          <cell r="J21">
            <v>233.60000000000002</v>
          </cell>
          <cell r="K21">
            <v>214.20000000000002</v>
          </cell>
          <cell r="L21">
            <v>225.60000000000002</v>
          </cell>
          <cell r="M21">
            <v>241.8</v>
          </cell>
          <cell r="N21">
            <v>246.60000000000002</v>
          </cell>
          <cell r="O21">
            <v>247.5</v>
          </cell>
          <cell r="P21">
            <v>241.70000000000002</v>
          </cell>
          <cell r="Q21">
            <v>222.60000000000002</v>
          </cell>
          <cell r="R21">
            <v>220.70000000000002</v>
          </cell>
          <cell r="S21">
            <v>220</v>
          </cell>
          <cell r="T21">
            <v>231.20000000000002</v>
          </cell>
          <cell r="U21">
            <v>241.9</v>
          </cell>
          <cell r="V21">
            <v>267.7</v>
          </cell>
          <cell r="W21">
            <v>284.60000000000002</v>
          </cell>
          <cell r="X21">
            <v>288.7</v>
          </cell>
          <cell r="Y21">
            <v>294.90000000000003</v>
          </cell>
          <cell r="Z21">
            <v>285</v>
          </cell>
          <cell r="AA21">
            <v>281.8</v>
          </cell>
          <cell r="AB21">
            <v>278.5</v>
          </cell>
          <cell r="AC21">
            <v>275.2</v>
          </cell>
          <cell r="AD21">
            <v>270.7</v>
          </cell>
          <cell r="AE21">
            <v>270.40000000000003</v>
          </cell>
          <cell r="AF21">
            <v>276.8</v>
          </cell>
          <cell r="AG21">
            <v>253.70000000000002</v>
          </cell>
          <cell r="AH21">
            <v>234.8</v>
          </cell>
          <cell r="AI21">
            <v>229.3</v>
          </cell>
          <cell r="AJ21">
            <v>248.20000000000002</v>
          </cell>
          <cell r="AK21">
            <v>270.60000000000002</v>
          </cell>
          <cell r="AL21">
            <v>285.90000000000003</v>
          </cell>
          <cell r="AM21">
            <v>309.70000000000005</v>
          </cell>
          <cell r="AN21">
            <v>288.2</v>
          </cell>
          <cell r="AO21">
            <v>298.3</v>
          </cell>
          <cell r="AP21">
            <v>330.5</v>
          </cell>
          <cell r="AQ21">
            <v>297.10000000000002</v>
          </cell>
          <cell r="AR21">
            <v>295.3</v>
          </cell>
          <cell r="AS21">
            <v>258.8</v>
          </cell>
          <cell r="AT21">
            <v>265.40000000000003</v>
          </cell>
          <cell r="AU21">
            <v>285.2</v>
          </cell>
          <cell r="AV21">
            <v>309.10000000000002</v>
          </cell>
          <cell r="AW21">
            <v>314.3</v>
          </cell>
          <cell r="AX21">
            <v>333.1</v>
          </cell>
          <cell r="AY21">
            <v>329.8</v>
          </cell>
          <cell r="AZ21">
            <v>335.70000000000005</v>
          </cell>
          <cell r="BA21">
            <v>324.5</v>
          </cell>
          <cell r="BB21">
            <v>342.5</v>
          </cell>
          <cell r="BC21">
            <v>347.5</v>
          </cell>
          <cell r="BD21">
            <v>358.8</v>
          </cell>
          <cell r="BE21">
            <v>363.20000000000005</v>
          </cell>
          <cell r="BF21">
            <v>378.1</v>
          </cell>
          <cell r="BG21">
            <v>376.40000000000003</v>
          </cell>
          <cell r="BH21">
            <v>385.3</v>
          </cell>
          <cell r="BI21">
            <v>388.5</v>
          </cell>
          <cell r="BJ21">
            <v>427.6</v>
          </cell>
          <cell r="BK21">
            <v>427.6</v>
          </cell>
          <cell r="BL21">
            <v>442.8</v>
          </cell>
          <cell r="BM21">
            <v>444.90000000000003</v>
          </cell>
          <cell r="BN21">
            <v>482.5</v>
          </cell>
          <cell r="BO21">
            <v>473.70000000000005</v>
          </cell>
          <cell r="BP21">
            <v>469</v>
          </cell>
          <cell r="BQ21">
            <v>471.20000000000005</v>
          </cell>
          <cell r="BR21">
            <v>458.3</v>
          </cell>
          <cell r="BS21">
            <v>438.8</v>
          </cell>
          <cell r="BT21">
            <v>451.40000000000003</v>
          </cell>
          <cell r="BU21">
            <v>461.1</v>
          </cell>
          <cell r="BV21">
            <v>471.20000000000005</v>
          </cell>
          <cell r="BW21">
            <v>490.20000000000005</v>
          </cell>
          <cell r="BX21">
            <v>474.3</v>
          </cell>
          <cell r="BY21">
            <v>479.20000000000005</v>
          </cell>
          <cell r="BZ21">
            <v>510.8</v>
          </cell>
          <cell r="CA21">
            <v>506.70000000000005</v>
          </cell>
          <cell r="CB21">
            <v>518.5</v>
          </cell>
          <cell r="CC21">
            <v>490.5</v>
          </cell>
          <cell r="CD21">
            <v>475.20000000000005</v>
          </cell>
          <cell r="CE21">
            <v>476.70000000000005</v>
          </cell>
          <cell r="CF21">
            <v>484.8</v>
          </cell>
          <cell r="CG21">
            <v>456.70000000000005</v>
          </cell>
          <cell r="CH21">
            <v>516</v>
          </cell>
          <cell r="CI21">
            <v>532</v>
          </cell>
          <cell r="CJ21">
            <v>539</v>
          </cell>
          <cell r="CK21">
            <v>522.20000000000005</v>
          </cell>
          <cell r="CL21">
            <v>559.1</v>
          </cell>
          <cell r="CM21">
            <v>593.30000000000007</v>
          </cell>
          <cell r="CN21">
            <v>601.80000000000007</v>
          </cell>
          <cell r="CO21">
            <v>604.9</v>
          </cell>
          <cell r="CP21">
            <v>643.30000000000007</v>
          </cell>
          <cell r="CQ21">
            <v>673.40000000000009</v>
          </cell>
          <cell r="CR21">
            <v>647</v>
          </cell>
          <cell r="CS21">
            <v>671.80000000000007</v>
          </cell>
          <cell r="CT21">
            <v>628.90000000000009</v>
          </cell>
          <cell r="CU21">
            <v>625.80000000000007</v>
          </cell>
          <cell r="CV21">
            <v>590.5</v>
          </cell>
          <cell r="CW21">
            <v>596.1</v>
          </cell>
          <cell r="CX21">
            <v>491.40000000000003</v>
          </cell>
          <cell r="CY21">
            <v>474.40000000000003</v>
          </cell>
          <cell r="CZ21">
            <v>514.5</v>
          </cell>
          <cell r="DA21">
            <v>528.70000000000005</v>
          </cell>
          <cell r="DB21">
            <v>583.4</v>
          </cell>
          <cell r="DC21">
            <v>608.30000000000007</v>
          </cell>
          <cell r="DD21">
            <v>609.4</v>
          </cell>
          <cell r="DE21">
            <v>613.70000000000005</v>
          </cell>
          <cell r="DF21">
            <v>643.80000000000007</v>
          </cell>
          <cell r="DG21">
            <v>693.6</v>
          </cell>
          <cell r="DH21">
            <v>731.40000000000009</v>
          </cell>
          <cell r="DI21">
            <v>710.80000000000007</v>
          </cell>
          <cell r="DJ21">
            <v>724.90000000000009</v>
          </cell>
          <cell r="DK21">
            <v>774.6</v>
          </cell>
          <cell r="DL21">
            <v>798.5</v>
          </cell>
          <cell r="DM21">
            <v>816.7</v>
          </cell>
          <cell r="DN21">
            <v>816.6</v>
          </cell>
          <cell r="DO21">
            <v>814.7</v>
          </cell>
          <cell r="DP21">
            <v>798.80000000000007</v>
          </cell>
          <cell r="DQ21">
            <v>783.90000000000009</v>
          </cell>
          <cell r="DR21">
            <v>778.30000000000007</v>
          </cell>
          <cell r="DS21">
            <v>708.1</v>
          </cell>
          <cell r="DT21">
            <v>654.1</v>
          </cell>
          <cell r="DU21">
            <v>720.6</v>
          </cell>
          <cell r="DV21">
            <v>792.2</v>
          </cell>
          <cell r="DW21">
            <v>754.5</v>
          </cell>
          <cell r="DX21">
            <v>801.30000000000007</v>
          </cell>
          <cell r="DY21">
            <v>770.2</v>
          </cell>
          <cell r="DZ21">
            <v>690</v>
          </cell>
          <cell r="EA21">
            <v>689.40000000000009</v>
          </cell>
          <cell r="EB21">
            <v>681.30000000000007</v>
          </cell>
          <cell r="EC21">
            <v>620.70000000000005</v>
          </cell>
          <cell r="ED21">
            <v>642.80000000000007</v>
          </cell>
          <cell r="EE21">
            <v>704.80000000000007</v>
          </cell>
          <cell r="EF21">
            <v>752.2</v>
          </cell>
          <cell r="EG21">
            <v>831.40000000000009</v>
          </cell>
          <cell r="EH21">
            <v>918.40000000000009</v>
          </cell>
          <cell r="EI21">
            <v>949.40000000000009</v>
          </cell>
          <cell r="EJ21">
            <v>971.40000000000009</v>
          </cell>
          <cell r="EK21">
            <v>955.5</v>
          </cell>
          <cell r="EL21">
            <v>924</v>
          </cell>
          <cell r="EM21">
            <v>939.90000000000009</v>
          </cell>
          <cell r="EN21">
            <v>929.6</v>
          </cell>
          <cell r="EO21">
            <v>965.90000000000009</v>
          </cell>
          <cell r="EP21">
            <v>963.90000000000009</v>
          </cell>
          <cell r="EQ21">
            <v>942.5</v>
          </cell>
          <cell r="ER21">
            <v>913</v>
          </cell>
          <cell r="ES21">
            <v>914.40000000000009</v>
          </cell>
          <cell r="ET21">
            <v>942.30000000000007</v>
          </cell>
          <cell r="EU21">
            <v>943.6</v>
          </cell>
          <cell r="EV21">
            <v>944.6</v>
          </cell>
          <cell r="EW21">
            <v>1018.3000000000001</v>
          </cell>
          <cell r="EX21">
            <v>960.90000000000009</v>
          </cell>
          <cell r="EY21">
            <v>984.30000000000007</v>
          </cell>
          <cell r="EZ21">
            <v>990.6</v>
          </cell>
          <cell r="FA21">
            <v>1003.7</v>
          </cell>
          <cell r="FB21">
            <v>1042.2</v>
          </cell>
          <cell r="FC21">
            <v>1030</v>
          </cell>
          <cell r="FD21">
            <v>1017.9000000000001</v>
          </cell>
          <cell r="FE21">
            <v>1007.4000000000001</v>
          </cell>
          <cell r="FF21">
            <v>1017.3000000000001</v>
          </cell>
          <cell r="FG21">
            <v>1017.6</v>
          </cell>
          <cell r="FH21">
            <v>993.7</v>
          </cell>
          <cell r="FI21">
            <v>930.80000000000007</v>
          </cell>
          <cell r="FJ21">
            <v>892.90000000000009</v>
          </cell>
          <cell r="FK21">
            <v>888.5</v>
          </cell>
          <cell r="FL21">
            <v>910.6</v>
          </cell>
          <cell r="FM21">
            <v>945.40000000000009</v>
          </cell>
          <cell r="FN21">
            <v>924.40000000000009</v>
          </cell>
          <cell r="FO21">
            <v>985.30000000000007</v>
          </cell>
          <cell r="FP21">
            <v>995.5</v>
          </cell>
          <cell r="FQ21">
            <v>1027</v>
          </cell>
          <cell r="FR21">
            <v>1051.1000000000001</v>
          </cell>
          <cell r="FS21">
            <v>1059.4000000000001</v>
          </cell>
          <cell r="FT21">
            <v>1058.6000000000001</v>
          </cell>
          <cell r="FU21">
            <v>1114.5</v>
          </cell>
          <cell r="FV21">
            <v>1162.6000000000001</v>
          </cell>
          <cell r="FW21">
            <v>1230.4000000000001</v>
          </cell>
          <cell r="FX21">
            <v>1208.2</v>
          </cell>
          <cell r="FY21">
            <v>1264.6000000000001</v>
          </cell>
          <cell r="FZ21">
            <v>1277.4000000000001</v>
          </cell>
          <cell r="GA21">
            <v>1243.1000000000001</v>
          </cell>
          <cell r="GB21">
            <v>1231.1000000000001</v>
          </cell>
          <cell r="GC21">
            <v>1265.8000000000002</v>
          </cell>
          <cell r="GD21">
            <v>1282.4000000000001</v>
          </cell>
          <cell r="GE21">
            <v>1348.9</v>
          </cell>
          <cell r="GF21">
            <v>1416.9</v>
          </cell>
          <cell r="GG21">
            <v>1413</v>
          </cell>
          <cell r="GH21">
            <v>1446</v>
          </cell>
          <cell r="GI21">
            <v>1538.3000000000002</v>
          </cell>
          <cell r="GJ21">
            <v>1565.7</v>
          </cell>
          <cell r="GK21">
            <v>1590.7</v>
          </cell>
          <cell r="GL21">
            <v>1666.6000000000001</v>
          </cell>
          <cell r="GM21">
            <v>1646.7</v>
          </cell>
          <cell r="GN21">
            <v>1693.9</v>
          </cell>
          <cell r="GO21">
            <v>1748.4</v>
          </cell>
          <cell r="GP21">
            <v>1803.4</v>
          </cell>
          <cell r="GQ21">
            <v>1797.1000000000001</v>
          </cell>
          <cell r="GR21">
            <v>1842.2</v>
          </cell>
          <cell r="GS21">
            <v>1907.6000000000001</v>
          </cell>
          <cell r="GT21">
            <v>1880.9</v>
          </cell>
          <cell r="GU21">
            <v>2011.1000000000001</v>
          </cell>
          <cell r="GV21">
            <v>1979.7</v>
          </cell>
          <cell r="GW21">
            <v>1980.7</v>
          </cell>
          <cell r="GX21">
            <v>1876.1000000000001</v>
          </cell>
          <cell r="GY21">
            <v>1870</v>
          </cell>
          <cell r="GZ21">
            <v>1830.3000000000002</v>
          </cell>
          <cell r="HA21">
            <v>1724.5</v>
          </cell>
          <cell r="HB21">
            <v>1781.9</v>
          </cell>
          <cell r="HC21">
            <v>1803.4</v>
          </cell>
          <cell r="HD21">
            <v>1808</v>
          </cell>
          <cell r="HE21">
            <v>1808.3000000000002</v>
          </cell>
          <cell r="HF21">
            <v>1810.4</v>
          </cell>
          <cell r="HG21">
            <v>1821.8000000000002</v>
          </cell>
          <cell r="HH21">
            <v>1888.4</v>
          </cell>
          <cell r="HI21">
            <v>1959.9</v>
          </cell>
          <cell r="HJ21">
            <v>1970.1000000000001</v>
          </cell>
          <cell r="HK21">
            <v>2055.7000000000003</v>
          </cell>
          <cell r="HL21">
            <v>2082.1</v>
          </cell>
          <cell r="HM21">
            <v>2124.9</v>
          </cell>
          <cell r="HN21">
            <v>2170</v>
          </cell>
          <cell r="HO21">
            <v>2131.3000000000002</v>
          </cell>
          <cell r="HP21">
            <v>2155.1</v>
          </cell>
          <cell r="HQ21">
            <v>2232.8000000000002</v>
          </cell>
          <cell r="HR21">
            <v>2266.3000000000002</v>
          </cell>
          <cell r="HS21">
            <v>2263.1</v>
          </cell>
          <cell r="HT21">
            <v>2231.2000000000003</v>
          </cell>
          <cell r="HU21">
            <v>2166.7000000000003</v>
          </cell>
          <cell r="HV21">
            <v>2145.1</v>
          </cell>
          <cell r="HW21">
            <v>2193</v>
          </cell>
          <cell r="HX21">
            <v>2176.3000000000002</v>
          </cell>
          <cell r="HY21">
            <v>2123.6</v>
          </cell>
          <cell r="HZ21">
            <v>2055.7000000000003</v>
          </cell>
          <cell r="IA21">
            <v>2024</v>
          </cell>
          <cell r="IB21">
            <v>1934.7</v>
          </cell>
          <cell r="IC21">
            <v>1744.6000000000001</v>
          </cell>
          <cell r="ID21">
            <v>1490.4</v>
          </cell>
          <cell r="IE21">
            <v>1397.2</v>
          </cell>
          <cell r="IF21">
            <v>1407.3000000000002</v>
          </cell>
          <cell r="IG21">
            <v>1522</v>
          </cell>
          <cell r="IH21">
            <v>1630</v>
          </cell>
          <cell r="II21">
            <v>1728.3000000000002</v>
          </cell>
          <cell r="IJ21">
            <v>1766.8000000000002</v>
          </cell>
          <cell r="IK21">
            <v>1734.5</v>
          </cell>
          <cell r="IL21">
            <v>1750.9</v>
          </cell>
          <cell r="IM21">
            <v>1778.4</v>
          </cell>
          <cell r="IN21">
            <v>1796.6000000000001</v>
          </cell>
        </row>
        <row r="22">
          <cell r="FZ22">
            <v>777.30000000000007</v>
          </cell>
          <cell r="GA22">
            <v>782.6</v>
          </cell>
          <cell r="GB22">
            <v>787.90000000000009</v>
          </cell>
          <cell r="GC22">
            <v>803.80000000000007</v>
          </cell>
          <cell r="GD22">
            <v>823.7</v>
          </cell>
          <cell r="GE22">
            <v>847.40000000000009</v>
          </cell>
          <cell r="GF22">
            <v>875.6</v>
          </cell>
          <cell r="GG22">
            <v>899.30000000000007</v>
          </cell>
          <cell r="GH22">
            <v>922.2</v>
          </cell>
          <cell r="GI22">
            <v>945.1</v>
          </cell>
          <cell r="GJ22">
            <v>993.30000000000007</v>
          </cell>
          <cell r="GK22">
            <v>1001.3000000000001</v>
          </cell>
          <cell r="GL22">
            <v>1035.9000000000001</v>
          </cell>
          <cell r="GM22">
            <v>1073.8</v>
          </cell>
          <cell r="GN22">
            <v>1090</v>
          </cell>
          <cell r="GO22">
            <v>1126</v>
          </cell>
          <cell r="GP22">
            <v>1152.1000000000001</v>
          </cell>
          <cell r="GQ22">
            <v>1184.4000000000001</v>
          </cell>
          <cell r="GR22">
            <v>1218.4000000000001</v>
          </cell>
          <cell r="GS22">
            <v>1222.2</v>
          </cell>
          <cell r="GT22">
            <v>1267.6000000000001</v>
          </cell>
          <cell r="GU22">
            <v>1314.4</v>
          </cell>
          <cell r="GV22">
            <v>1329</v>
          </cell>
          <cell r="GW22">
            <v>1334.2</v>
          </cell>
          <cell r="GX22">
            <v>1321.7</v>
          </cell>
          <cell r="GY22">
            <v>1286.9000000000001</v>
          </cell>
          <cell r="GZ22">
            <v>1265.5</v>
          </cell>
          <cell r="HA22">
            <v>1225</v>
          </cell>
          <cell r="HB22">
            <v>1195.8</v>
          </cell>
          <cell r="HC22">
            <v>1176.6000000000001</v>
          </cell>
          <cell r="HD22">
            <v>1171.4000000000001</v>
          </cell>
          <cell r="HE22">
            <v>1150.9000000000001</v>
          </cell>
          <cell r="HF22">
            <v>1147.8</v>
          </cell>
          <cell r="HG22">
            <v>1179.5</v>
          </cell>
          <cell r="HH22">
            <v>1206.8</v>
          </cell>
          <cell r="HI22">
            <v>1224.1000000000001</v>
          </cell>
          <cell r="HJ22">
            <v>1214.3</v>
          </cell>
          <cell r="HK22">
            <v>1247.1000000000001</v>
          </cell>
          <cell r="HL22">
            <v>1281.2</v>
          </cell>
          <cell r="HM22">
            <v>1309.3000000000002</v>
          </cell>
          <cell r="HN22">
            <v>1321.1000000000001</v>
          </cell>
          <cell r="HO22">
            <v>1340.6000000000001</v>
          </cell>
          <cell r="HP22">
            <v>1359.7</v>
          </cell>
          <cell r="HQ22">
            <v>1367.9</v>
          </cell>
          <cell r="HR22">
            <v>1426.6000000000001</v>
          </cell>
          <cell r="HS22">
            <v>1452.4</v>
          </cell>
          <cell r="HT22">
            <v>1467.7</v>
          </cell>
          <cell r="HU22">
            <v>1475.2</v>
          </cell>
          <cell r="HV22">
            <v>1498.5</v>
          </cell>
          <cell r="HW22">
            <v>1537.5</v>
          </cell>
          <cell r="HX22">
            <v>1571.4</v>
          </cell>
          <cell r="HY22">
            <v>1592.3000000000002</v>
          </cell>
          <cell r="HZ22">
            <v>1589.1000000000001</v>
          </cell>
          <cell r="IA22">
            <v>1580</v>
          </cell>
          <cell r="IB22">
            <v>1539.2</v>
          </cell>
          <cell r="IC22">
            <v>1442.3000000000002</v>
          </cell>
          <cell r="ID22">
            <v>1312.9</v>
          </cell>
          <cell r="IE22">
            <v>1257.6000000000001</v>
          </cell>
          <cell r="IF22">
            <v>1247</v>
          </cell>
          <cell r="IG22">
            <v>1235.2</v>
          </cell>
          <cell r="IH22">
            <v>1253.3000000000002</v>
          </cell>
          <cell r="II22">
            <v>1308</v>
          </cell>
          <cell r="IJ22">
            <v>1343.6000000000001</v>
          </cell>
          <cell r="IK22">
            <v>1371.9</v>
          </cell>
          <cell r="IL22">
            <v>1378.9</v>
          </cell>
          <cell r="IM22">
            <v>1413.2</v>
          </cell>
          <cell r="IN22">
            <v>1467.5</v>
          </cell>
        </row>
        <row r="23">
          <cell r="FZ23">
            <v>336.5</v>
          </cell>
          <cell r="GA23">
            <v>343.20000000000005</v>
          </cell>
          <cell r="GB23">
            <v>345.70000000000005</v>
          </cell>
          <cell r="GC23">
            <v>342.8</v>
          </cell>
          <cell r="GD23">
            <v>348.90000000000003</v>
          </cell>
          <cell r="GE23">
            <v>356.5</v>
          </cell>
          <cell r="GF23">
            <v>360.90000000000003</v>
          </cell>
          <cell r="GG23">
            <v>379.3</v>
          </cell>
          <cell r="GH23">
            <v>382.6</v>
          </cell>
          <cell r="GI23">
            <v>379.20000000000005</v>
          </cell>
          <cell r="GJ23">
            <v>393.5</v>
          </cell>
          <cell r="GK23">
            <v>396.20000000000005</v>
          </cell>
          <cell r="GL23">
            <v>392</v>
          </cell>
          <cell r="GM23">
            <v>413.1</v>
          </cell>
          <cell r="GN23">
            <v>413.20000000000005</v>
          </cell>
          <cell r="GO23">
            <v>412.6</v>
          </cell>
          <cell r="GP23">
            <v>410.90000000000003</v>
          </cell>
          <cell r="GQ23">
            <v>405.90000000000003</v>
          </cell>
          <cell r="GR23">
            <v>405.6</v>
          </cell>
          <cell r="GS23">
            <v>410.40000000000003</v>
          </cell>
          <cell r="GT23">
            <v>418.40000000000003</v>
          </cell>
          <cell r="GU23">
            <v>435.70000000000005</v>
          </cell>
          <cell r="GV23">
            <v>452.1</v>
          </cell>
          <cell r="GW23">
            <v>454</v>
          </cell>
          <cell r="GX23">
            <v>441.5</v>
          </cell>
          <cell r="GY23">
            <v>443</v>
          </cell>
          <cell r="GZ23">
            <v>445.5</v>
          </cell>
          <cell r="HA23">
            <v>403.20000000000005</v>
          </cell>
          <cell r="HB23">
            <v>381.40000000000003</v>
          </cell>
          <cell r="HC23">
            <v>360.70000000000005</v>
          </cell>
          <cell r="HD23">
            <v>344.70000000000005</v>
          </cell>
          <cell r="HE23">
            <v>339.6</v>
          </cell>
          <cell r="HF23">
            <v>336.20000000000005</v>
          </cell>
          <cell r="HG23">
            <v>346.3</v>
          </cell>
          <cell r="HH23">
            <v>345.6</v>
          </cell>
          <cell r="HI23">
            <v>343.90000000000003</v>
          </cell>
          <cell r="HJ23">
            <v>341.90000000000003</v>
          </cell>
          <cell r="HK23">
            <v>345.90000000000003</v>
          </cell>
          <cell r="HL23">
            <v>349.40000000000003</v>
          </cell>
          <cell r="HM23">
            <v>349.70000000000005</v>
          </cell>
          <cell r="HN23">
            <v>356</v>
          </cell>
          <cell r="HO23">
            <v>354.6</v>
          </cell>
          <cell r="HP23">
            <v>347.20000000000005</v>
          </cell>
          <cell r="HQ23">
            <v>349.3</v>
          </cell>
          <cell r="HR23">
            <v>364.8</v>
          </cell>
          <cell r="HS23">
            <v>383.70000000000005</v>
          </cell>
          <cell r="HT23">
            <v>393.20000000000005</v>
          </cell>
          <cell r="HU23">
            <v>394.6</v>
          </cell>
          <cell r="HV23">
            <v>404.8</v>
          </cell>
          <cell r="HW23">
            <v>430.6</v>
          </cell>
          <cell r="HX23">
            <v>454.6</v>
          </cell>
          <cell r="HY23">
            <v>462.90000000000003</v>
          </cell>
          <cell r="HZ23">
            <v>463.8</v>
          </cell>
          <cell r="IA23">
            <v>474.40000000000003</v>
          </cell>
          <cell r="IB23">
            <v>469.90000000000003</v>
          </cell>
          <cell r="IC23">
            <v>457.5</v>
          </cell>
          <cell r="ID23">
            <v>415.3</v>
          </cell>
          <cell r="IE23">
            <v>375.40000000000003</v>
          </cell>
          <cell r="IF23">
            <v>354.90000000000003</v>
          </cell>
          <cell r="IG23">
            <v>323.70000000000005</v>
          </cell>
          <cell r="IH23">
            <v>301.5</v>
          </cell>
          <cell r="II23">
            <v>306.90000000000003</v>
          </cell>
          <cell r="IJ23">
            <v>310.10000000000002</v>
          </cell>
          <cell r="IK23">
            <v>318</v>
          </cell>
          <cell r="IL23">
            <v>305.90000000000003</v>
          </cell>
          <cell r="IM23">
            <v>321.90000000000003</v>
          </cell>
          <cell r="IN23">
            <v>332.1</v>
          </cell>
        </row>
        <row r="24">
          <cell r="FZ24">
            <v>483.20000000000005</v>
          </cell>
          <cell r="GA24">
            <v>484.40000000000003</v>
          </cell>
          <cell r="GB24">
            <v>487.6</v>
          </cell>
          <cell r="GC24">
            <v>502.3</v>
          </cell>
          <cell r="GD24">
            <v>516</v>
          </cell>
          <cell r="GE24">
            <v>532.1</v>
          </cell>
          <cell r="GF24">
            <v>553.6</v>
          </cell>
          <cell r="GG24">
            <v>564</v>
          </cell>
          <cell r="GH24">
            <v>581.70000000000005</v>
          </cell>
          <cell r="GI24">
            <v>603.1</v>
          </cell>
          <cell r="GJ24">
            <v>636.6</v>
          </cell>
          <cell r="GK24">
            <v>642</v>
          </cell>
          <cell r="GL24">
            <v>674.6</v>
          </cell>
          <cell r="GM24">
            <v>695.30000000000007</v>
          </cell>
          <cell r="GN24">
            <v>709.40000000000009</v>
          </cell>
          <cell r="GO24">
            <v>741.6</v>
          </cell>
          <cell r="GP24">
            <v>765.7</v>
          </cell>
          <cell r="GQ24">
            <v>797.6</v>
          </cell>
          <cell r="GR24">
            <v>828.2</v>
          </cell>
          <cell r="GS24">
            <v>828.5</v>
          </cell>
          <cell r="GT24">
            <v>864.30000000000007</v>
          </cell>
          <cell r="GU24">
            <v>895</v>
          </cell>
          <cell r="GV24">
            <v>897.1</v>
          </cell>
          <cell r="GW24">
            <v>900.6</v>
          </cell>
          <cell r="GX24">
            <v>897.80000000000007</v>
          </cell>
          <cell r="GY24">
            <v>864.7</v>
          </cell>
          <cell r="GZ24">
            <v>843</v>
          </cell>
          <cell r="HA24">
            <v>836.80000000000007</v>
          </cell>
          <cell r="HB24">
            <v>826</v>
          </cell>
          <cell r="HC24">
            <v>823.7</v>
          </cell>
          <cell r="HD24">
            <v>831.30000000000007</v>
          </cell>
          <cell r="HE24">
            <v>815.90000000000009</v>
          </cell>
          <cell r="HF24">
            <v>815.80000000000007</v>
          </cell>
          <cell r="HG24">
            <v>837.7</v>
          </cell>
          <cell r="HH24">
            <v>864.30000000000007</v>
          </cell>
          <cell r="HI24">
            <v>882.1</v>
          </cell>
          <cell r="HJ24">
            <v>874.5</v>
          </cell>
          <cell r="HK24">
            <v>902.6</v>
          </cell>
          <cell r="HL24">
            <v>932.5</v>
          </cell>
          <cell r="HM24">
            <v>959.6</v>
          </cell>
          <cell r="HN24">
            <v>965.2</v>
          </cell>
          <cell r="HO24">
            <v>985.80000000000007</v>
          </cell>
          <cell r="HP24">
            <v>1012.5</v>
          </cell>
          <cell r="HQ24">
            <v>1018.8000000000001</v>
          </cell>
          <cell r="HR24">
            <v>1062.5</v>
          </cell>
          <cell r="HS24">
            <v>1068.4000000000001</v>
          </cell>
          <cell r="HT24">
            <v>1073.8</v>
          </cell>
          <cell r="HU24">
            <v>1079.9000000000001</v>
          </cell>
          <cell r="HV24">
            <v>1092.4000000000001</v>
          </cell>
          <cell r="HW24">
            <v>1102.9000000000001</v>
          </cell>
          <cell r="HX24">
            <v>1109.8</v>
          </cell>
          <cell r="HY24">
            <v>1121.9000000000001</v>
          </cell>
          <cell r="HZ24">
            <v>1117.2</v>
          </cell>
          <cell r="IA24">
            <v>1094.6000000000001</v>
          </cell>
          <cell r="IB24">
            <v>1056.8</v>
          </cell>
          <cell r="IC24">
            <v>969</v>
          </cell>
          <cell r="ID24">
            <v>883.7</v>
          </cell>
          <cell r="IE24">
            <v>874.2</v>
          </cell>
          <cell r="IF24">
            <v>888</v>
          </cell>
          <cell r="IG24">
            <v>912.90000000000009</v>
          </cell>
          <cell r="IH24">
            <v>958.80000000000007</v>
          </cell>
          <cell r="II24">
            <v>1010.1</v>
          </cell>
          <cell r="IJ24">
            <v>1044.1000000000001</v>
          </cell>
          <cell r="IK24">
            <v>1064.5</v>
          </cell>
          <cell r="IL24">
            <v>1086.9000000000001</v>
          </cell>
          <cell r="IM24">
            <v>1103.5</v>
          </cell>
          <cell r="IN24">
            <v>1148.7</v>
          </cell>
        </row>
        <row r="25">
          <cell r="FZ25">
            <v>457.70000000000005</v>
          </cell>
          <cell r="GA25">
            <v>443</v>
          </cell>
          <cell r="GB25">
            <v>456.70000000000005</v>
          </cell>
          <cell r="GC25">
            <v>467</v>
          </cell>
          <cell r="GD25">
            <v>479.3</v>
          </cell>
          <cell r="GE25">
            <v>499.5</v>
          </cell>
          <cell r="GF25">
            <v>498.20000000000005</v>
          </cell>
          <cell r="GG25">
            <v>493</v>
          </cell>
          <cell r="GH25">
            <v>494.70000000000005</v>
          </cell>
          <cell r="GI25">
            <v>500.90000000000003</v>
          </cell>
          <cell r="GJ25">
            <v>503.20000000000005</v>
          </cell>
          <cell r="GK25">
            <v>508.40000000000003</v>
          </cell>
          <cell r="GL25">
            <v>517.5</v>
          </cell>
          <cell r="GM25">
            <v>533</v>
          </cell>
          <cell r="GN25">
            <v>549</v>
          </cell>
          <cell r="GO25">
            <v>562.20000000000005</v>
          </cell>
          <cell r="GP25">
            <v>565.5</v>
          </cell>
          <cell r="GQ25">
            <v>571.6</v>
          </cell>
          <cell r="GR25">
            <v>576.4</v>
          </cell>
          <cell r="GS25">
            <v>583.4</v>
          </cell>
          <cell r="GT25">
            <v>588</v>
          </cell>
          <cell r="GU25">
            <v>584</v>
          </cell>
          <cell r="GV25">
            <v>573.70000000000005</v>
          </cell>
          <cell r="GW25">
            <v>574.20000000000005</v>
          </cell>
          <cell r="GX25">
            <v>576.80000000000007</v>
          </cell>
          <cell r="GY25">
            <v>584.9</v>
          </cell>
          <cell r="GZ25">
            <v>588.1</v>
          </cell>
          <cell r="HA25">
            <v>583.1</v>
          </cell>
          <cell r="HB25">
            <v>598.70000000000005</v>
          </cell>
          <cell r="HC25">
            <v>613.4</v>
          </cell>
          <cell r="HD25">
            <v>616.90000000000009</v>
          </cell>
          <cell r="HE25">
            <v>626.40000000000009</v>
          </cell>
          <cell r="HF25">
            <v>632.40000000000009</v>
          </cell>
          <cell r="HG25">
            <v>646.80000000000007</v>
          </cell>
          <cell r="HH25">
            <v>679.7</v>
          </cell>
          <cell r="HI25">
            <v>698.2</v>
          </cell>
          <cell r="HJ25">
            <v>704.5</v>
          </cell>
          <cell r="HK25">
            <v>731</v>
          </cell>
          <cell r="HL25">
            <v>738.40000000000009</v>
          </cell>
          <cell r="HM25">
            <v>744.2</v>
          </cell>
          <cell r="HN25">
            <v>757.80000000000007</v>
          </cell>
          <cell r="HO25">
            <v>775.40000000000009</v>
          </cell>
          <cell r="HP25">
            <v>783.30000000000007</v>
          </cell>
          <cell r="HQ25">
            <v>783.5</v>
          </cell>
          <cell r="HR25">
            <v>775.2</v>
          </cell>
          <cell r="HS25">
            <v>740</v>
          </cell>
          <cell r="HT25">
            <v>697.30000000000007</v>
          </cell>
          <cell r="HU25">
            <v>660.2</v>
          </cell>
          <cell r="HV25">
            <v>631.30000000000007</v>
          </cell>
          <cell r="HW25">
            <v>611.4</v>
          </cell>
          <cell r="HX25">
            <v>570.70000000000005</v>
          </cell>
          <cell r="HY25">
            <v>523.4</v>
          </cell>
          <cell r="HZ25">
            <v>481.3</v>
          </cell>
          <cell r="IA25">
            <v>462.8</v>
          </cell>
          <cell r="IB25">
            <v>437.8</v>
          </cell>
          <cell r="IC25">
            <v>395.8</v>
          </cell>
          <cell r="ID25">
            <v>354.90000000000003</v>
          </cell>
          <cell r="IE25">
            <v>334.3</v>
          </cell>
          <cell r="IF25">
            <v>348.20000000000005</v>
          </cell>
          <cell r="IG25">
            <v>344.8</v>
          </cell>
          <cell r="IH25">
            <v>330.8</v>
          </cell>
          <cell r="II25">
            <v>348.20000000000005</v>
          </cell>
          <cell r="IJ25">
            <v>321.10000000000002</v>
          </cell>
          <cell r="IK25">
            <v>323.10000000000002</v>
          </cell>
          <cell r="IL25">
            <v>321.10000000000002</v>
          </cell>
          <cell r="IM25">
            <v>324.40000000000003</v>
          </cell>
          <cell r="IN25">
            <v>326.3</v>
          </cell>
        </row>
        <row r="30">
          <cell r="B30">
            <v>52.400000000000006</v>
          </cell>
          <cell r="C30">
            <v>53.1</v>
          </cell>
          <cell r="D30">
            <v>54.400000000000006</v>
          </cell>
          <cell r="E30">
            <v>58.800000000000004</v>
          </cell>
          <cell r="F30">
            <v>61.800000000000004</v>
          </cell>
          <cell r="G30">
            <v>67.900000000000006</v>
          </cell>
          <cell r="H30">
            <v>69.5</v>
          </cell>
          <cell r="I30">
            <v>68.900000000000006</v>
          </cell>
          <cell r="J30">
            <v>72.5</v>
          </cell>
          <cell r="K30">
            <v>64.600000000000009</v>
          </cell>
          <cell r="L30">
            <v>59.5</v>
          </cell>
          <cell r="M30">
            <v>59.900000000000006</v>
          </cell>
          <cell r="N30">
            <v>58.900000000000006</v>
          </cell>
          <cell r="O30">
            <v>59.2</v>
          </cell>
          <cell r="P30">
            <v>61.6</v>
          </cell>
          <cell r="Q30">
            <v>59.6</v>
          </cell>
          <cell r="R30">
            <v>56.900000000000006</v>
          </cell>
          <cell r="S30">
            <v>65.100000000000009</v>
          </cell>
          <cell r="T30">
            <v>63</v>
          </cell>
          <cell r="U30">
            <v>65.900000000000006</v>
          </cell>
          <cell r="V30">
            <v>68.3</v>
          </cell>
          <cell r="W30">
            <v>66.7</v>
          </cell>
          <cell r="X30">
            <v>71.100000000000009</v>
          </cell>
          <cell r="Y30">
            <v>71.400000000000006</v>
          </cell>
          <cell r="Z30">
            <v>74.8</v>
          </cell>
          <cell r="AA30">
            <v>79.900000000000006</v>
          </cell>
          <cell r="AB30">
            <v>82.5</v>
          </cell>
          <cell r="AC30">
            <v>86.2</v>
          </cell>
          <cell r="AD30">
            <v>91.9</v>
          </cell>
          <cell r="AE30">
            <v>89.100000000000009</v>
          </cell>
          <cell r="AF30">
            <v>86.600000000000009</v>
          </cell>
          <cell r="AG30">
            <v>84.100000000000009</v>
          </cell>
          <cell r="AH30">
            <v>75.7</v>
          </cell>
          <cell r="AI30">
            <v>76.100000000000009</v>
          </cell>
          <cell r="AJ30">
            <v>76.3</v>
          </cell>
          <cell r="AK30">
            <v>76.100000000000009</v>
          </cell>
          <cell r="AL30">
            <v>81.100000000000009</v>
          </cell>
          <cell r="AM30">
            <v>83.800000000000011</v>
          </cell>
          <cell r="AN30">
            <v>86.5</v>
          </cell>
          <cell r="AO30">
            <v>84.100000000000009</v>
          </cell>
          <cell r="AP30">
            <v>94.7</v>
          </cell>
          <cell r="AQ30">
            <v>100.7</v>
          </cell>
          <cell r="AR30">
            <v>98.2</v>
          </cell>
          <cell r="AS30">
            <v>100.2</v>
          </cell>
          <cell r="AT30">
            <v>99.5</v>
          </cell>
          <cell r="AU30">
            <v>98.100000000000009</v>
          </cell>
          <cell r="AV30">
            <v>97.600000000000009</v>
          </cell>
          <cell r="AW30">
            <v>100.60000000000001</v>
          </cell>
          <cell r="AX30">
            <v>100.4</v>
          </cell>
          <cell r="AY30">
            <v>110</v>
          </cell>
          <cell r="AZ30">
            <v>103.80000000000001</v>
          </cell>
          <cell r="BA30">
            <v>101.60000000000001</v>
          </cell>
          <cell r="BB30">
            <v>104</v>
          </cell>
          <cell r="BC30">
            <v>116.10000000000001</v>
          </cell>
          <cell r="BD30">
            <v>109.9</v>
          </cell>
          <cell r="BE30">
            <v>115.5</v>
          </cell>
          <cell r="BF30">
            <v>122.5</v>
          </cell>
          <cell r="BG30">
            <v>124.60000000000001</v>
          </cell>
          <cell r="BH30">
            <v>123.60000000000001</v>
          </cell>
          <cell r="BI30">
            <v>127.30000000000001</v>
          </cell>
          <cell r="BJ30">
            <v>113.60000000000001</v>
          </cell>
          <cell r="BK30">
            <v>134.9</v>
          </cell>
          <cell r="BL30">
            <v>127.2</v>
          </cell>
          <cell r="BM30">
            <v>136.4</v>
          </cell>
          <cell r="BN30">
            <v>134</v>
          </cell>
          <cell r="BO30">
            <v>139.80000000000001</v>
          </cell>
          <cell r="BP30">
            <v>134.6</v>
          </cell>
          <cell r="BQ30">
            <v>139</v>
          </cell>
          <cell r="BR30">
            <v>141.70000000000002</v>
          </cell>
          <cell r="BS30">
            <v>140.4</v>
          </cell>
          <cell r="BT30">
            <v>137</v>
          </cell>
          <cell r="BU30">
            <v>140.9</v>
          </cell>
          <cell r="BV30">
            <v>145</v>
          </cell>
          <cell r="BW30">
            <v>147.9</v>
          </cell>
          <cell r="BX30">
            <v>156.60000000000002</v>
          </cell>
          <cell r="BY30">
            <v>154.60000000000002</v>
          </cell>
          <cell r="BZ30">
            <v>136</v>
          </cell>
          <cell r="CA30">
            <v>166.5</v>
          </cell>
          <cell r="CB30">
            <v>162.5</v>
          </cell>
          <cell r="CC30">
            <v>168.20000000000002</v>
          </cell>
          <cell r="CD30">
            <v>169.60000000000002</v>
          </cell>
          <cell r="CE30">
            <v>177.10000000000002</v>
          </cell>
          <cell r="CF30">
            <v>176.5</v>
          </cell>
          <cell r="CG30">
            <v>178.10000000000002</v>
          </cell>
          <cell r="CH30">
            <v>178.8</v>
          </cell>
          <cell r="CI30">
            <v>178.5</v>
          </cell>
          <cell r="CJ30">
            <v>185.8</v>
          </cell>
          <cell r="CK30">
            <v>170.20000000000002</v>
          </cell>
          <cell r="CL30">
            <v>188.20000000000002</v>
          </cell>
          <cell r="CM30">
            <v>182.8</v>
          </cell>
          <cell r="CN30">
            <v>193.8</v>
          </cell>
          <cell r="CO30">
            <v>202</v>
          </cell>
          <cell r="CP30">
            <v>216.8</v>
          </cell>
          <cell r="CQ30">
            <v>227.3</v>
          </cell>
          <cell r="CR30">
            <v>228</v>
          </cell>
          <cell r="CS30">
            <v>239.20000000000002</v>
          </cell>
          <cell r="CT30">
            <v>242.3</v>
          </cell>
          <cell r="CU30">
            <v>254.10000000000002</v>
          </cell>
          <cell r="CV30">
            <v>240.4</v>
          </cell>
          <cell r="CW30">
            <v>246.60000000000002</v>
          </cell>
          <cell r="CX30">
            <v>248.4</v>
          </cell>
          <cell r="CY30">
            <v>241.20000000000002</v>
          </cell>
          <cell r="CZ30">
            <v>237.10000000000002</v>
          </cell>
          <cell r="DA30">
            <v>250.5</v>
          </cell>
          <cell r="DB30">
            <v>248.8</v>
          </cell>
          <cell r="DC30">
            <v>251.3</v>
          </cell>
          <cell r="DD30">
            <v>258.60000000000002</v>
          </cell>
          <cell r="DE30">
            <v>261.2</v>
          </cell>
          <cell r="DF30">
            <v>257</v>
          </cell>
          <cell r="DG30">
            <v>263.90000000000003</v>
          </cell>
          <cell r="DH30">
            <v>266</v>
          </cell>
          <cell r="DI30">
            <v>257.40000000000003</v>
          </cell>
          <cell r="DJ30">
            <v>263.5</v>
          </cell>
          <cell r="DK30">
            <v>291</v>
          </cell>
          <cell r="DL30">
            <v>294.2</v>
          </cell>
          <cell r="DM30">
            <v>305.8</v>
          </cell>
          <cell r="DN30">
            <v>306.10000000000002</v>
          </cell>
          <cell r="DO30">
            <v>306.90000000000003</v>
          </cell>
          <cell r="DP30">
            <v>317.90000000000003</v>
          </cell>
          <cell r="DQ30">
            <v>338</v>
          </cell>
          <cell r="DR30">
            <v>347.40000000000003</v>
          </cell>
          <cell r="DS30">
            <v>353.90000000000003</v>
          </cell>
          <cell r="DT30">
            <v>353.20000000000005</v>
          </cell>
          <cell r="DU30">
            <v>351</v>
          </cell>
          <cell r="DV30">
            <v>357.70000000000005</v>
          </cell>
          <cell r="DW30">
            <v>359.6</v>
          </cell>
          <cell r="DX30">
            <v>352</v>
          </cell>
          <cell r="DY30">
            <v>353.6</v>
          </cell>
          <cell r="DZ30">
            <v>338.3</v>
          </cell>
          <cell r="EA30">
            <v>340.3</v>
          </cell>
          <cell r="EB30">
            <v>325.20000000000005</v>
          </cell>
          <cell r="EC30">
            <v>310.3</v>
          </cell>
          <cell r="ED30">
            <v>315.3</v>
          </cell>
          <cell r="EE30">
            <v>316.3</v>
          </cell>
          <cell r="EF30">
            <v>321.10000000000002</v>
          </cell>
          <cell r="EG30">
            <v>327.5</v>
          </cell>
          <cell r="EH30">
            <v>334.40000000000003</v>
          </cell>
          <cell r="EI30">
            <v>342.70000000000005</v>
          </cell>
          <cell r="EJ30">
            <v>350.3</v>
          </cell>
          <cell r="EK30">
            <v>357.40000000000003</v>
          </cell>
          <cell r="EL30">
            <v>357.6</v>
          </cell>
          <cell r="EM30">
            <v>356.3</v>
          </cell>
          <cell r="EN30">
            <v>351.1</v>
          </cell>
          <cell r="EO30">
            <v>361.70000000000005</v>
          </cell>
          <cell r="EP30">
            <v>373.1</v>
          </cell>
          <cell r="EQ30">
            <v>377.20000000000005</v>
          </cell>
          <cell r="ER30">
            <v>385.8</v>
          </cell>
          <cell r="ES30">
            <v>400.20000000000005</v>
          </cell>
          <cell r="ET30">
            <v>400.5</v>
          </cell>
          <cell r="EU30">
            <v>416.40000000000003</v>
          </cell>
          <cell r="EV30">
            <v>434.3</v>
          </cell>
          <cell r="EW30">
            <v>450.40000000000003</v>
          </cell>
          <cell r="EX30">
            <v>475.3</v>
          </cell>
          <cell r="EY30">
            <v>488.5</v>
          </cell>
          <cell r="EZ30">
            <v>497.5</v>
          </cell>
          <cell r="FA30">
            <v>512.70000000000005</v>
          </cell>
          <cell r="FB30">
            <v>527.80000000000007</v>
          </cell>
          <cell r="FC30">
            <v>550.80000000000007</v>
          </cell>
          <cell r="FD30">
            <v>556.80000000000007</v>
          </cell>
          <cell r="FE30">
            <v>565.6</v>
          </cell>
          <cell r="FF30">
            <v>590.30000000000007</v>
          </cell>
          <cell r="FG30">
            <v>598.30000000000007</v>
          </cell>
          <cell r="FH30">
            <v>602.70000000000005</v>
          </cell>
          <cell r="FI30">
            <v>607.70000000000005</v>
          </cell>
          <cell r="FJ30">
            <v>612.1</v>
          </cell>
          <cell r="FK30">
            <v>634.1</v>
          </cell>
          <cell r="FL30">
            <v>648.6</v>
          </cell>
          <cell r="FM30">
            <v>663.40000000000009</v>
          </cell>
          <cell r="FN30">
            <v>675.2</v>
          </cell>
          <cell r="FO30">
            <v>675.30000000000007</v>
          </cell>
          <cell r="FP30">
            <v>689.90000000000009</v>
          </cell>
          <cell r="FQ30">
            <v>693.40000000000009</v>
          </cell>
          <cell r="FR30">
            <v>695</v>
          </cell>
          <cell r="FS30">
            <v>703.5</v>
          </cell>
          <cell r="FT30">
            <v>701.2</v>
          </cell>
          <cell r="FU30">
            <v>723.7</v>
          </cell>
          <cell r="FV30">
            <v>730.6</v>
          </cell>
          <cell r="FW30">
            <v>754.7</v>
          </cell>
          <cell r="FX30">
            <v>783.5</v>
          </cell>
          <cell r="FY30">
            <v>800.90000000000009</v>
          </cell>
          <cell r="FZ30">
            <v>815.6</v>
          </cell>
          <cell r="GA30">
            <v>826.80000000000007</v>
          </cell>
          <cell r="GB30">
            <v>862.80000000000007</v>
          </cell>
          <cell r="GC30">
            <v>875.2</v>
          </cell>
          <cell r="GD30">
            <v>886.2</v>
          </cell>
          <cell r="GE30">
            <v>901.1</v>
          </cell>
          <cell r="GF30">
            <v>908.40000000000009</v>
          </cell>
          <cell r="GG30">
            <v>965.30000000000007</v>
          </cell>
          <cell r="GH30">
            <v>983.7</v>
          </cell>
          <cell r="GI30">
            <v>1022.7</v>
          </cell>
          <cell r="GJ30">
            <v>1046.4000000000001</v>
          </cell>
          <cell r="GK30">
            <v>1044.5</v>
          </cell>
          <cell r="GL30">
            <v>1049.5</v>
          </cell>
          <cell r="GM30">
            <v>1037.4000000000001</v>
          </cell>
          <cell r="GN30">
            <v>1032.6000000000001</v>
          </cell>
          <cell r="GO30">
            <v>1071.5</v>
          </cell>
          <cell r="GP30">
            <v>1063.3</v>
          </cell>
          <cell r="GQ30">
            <v>1075.5</v>
          </cell>
          <cell r="GR30">
            <v>1103.7</v>
          </cell>
          <cell r="GS30">
            <v>1131.3</v>
          </cell>
          <cell r="GT30">
            <v>1150.8</v>
          </cell>
          <cell r="GU30">
            <v>1183.5</v>
          </cell>
          <cell r="GV30">
            <v>1212.4000000000001</v>
          </cell>
          <cell r="GW30">
            <v>1202.9000000000001</v>
          </cell>
          <cell r="GX30">
            <v>1187.1000000000001</v>
          </cell>
          <cell r="GY30">
            <v>1148.3</v>
          </cell>
          <cell r="GZ30">
            <v>1089.2</v>
          </cell>
          <cell r="HA30">
            <v>1058.5</v>
          </cell>
          <cell r="HB30">
            <v>1075.4000000000001</v>
          </cell>
          <cell r="HC30">
            <v>1104.6000000000001</v>
          </cell>
          <cell r="HD30">
            <v>1112.3</v>
          </cell>
          <cell r="HE30">
            <v>1101</v>
          </cell>
          <cell r="HF30">
            <v>1090.8</v>
          </cell>
          <cell r="HG30">
            <v>1087.3</v>
          </cell>
          <cell r="HH30">
            <v>1116.8</v>
          </cell>
          <cell r="HI30">
            <v>1169.1000000000001</v>
          </cell>
          <cell r="HJ30">
            <v>1197</v>
          </cell>
          <cell r="HK30">
            <v>1215.7</v>
          </cell>
          <cell r="HL30">
            <v>1224.7</v>
          </cell>
          <cell r="HM30">
            <v>1252.8000000000002</v>
          </cell>
          <cell r="HN30">
            <v>1276.2</v>
          </cell>
          <cell r="HO30">
            <v>1303.6000000000001</v>
          </cell>
          <cell r="HP30">
            <v>1303.9000000000001</v>
          </cell>
          <cell r="HQ30">
            <v>1336.6000000000001</v>
          </cell>
          <cell r="HR30">
            <v>1388.7</v>
          </cell>
          <cell r="HS30">
            <v>1412.1000000000001</v>
          </cell>
          <cell r="HT30">
            <v>1414.2</v>
          </cell>
          <cell r="HU30">
            <v>1473.5</v>
          </cell>
          <cell r="HV30">
            <v>1496.5</v>
          </cell>
          <cell r="HW30">
            <v>1521.3000000000002</v>
          </cell>
          <cell r="HX30">
            <v>1578</v>
          </cell>
          <cell r="HY30">
            <v>1621.9</v>
          </cell>
          <cell r="HZ30">
            <v>1643.9</v>
          </cell>
          <cell r="IA30">
            <v>1693.9</v>
          </cell>
          <cell r="IB30">
            <v>1678.7</v>
          </cell>
          <cell r="IC30">
            <v>1580.6000000000001</v>
          </cell>
          <cell r="ID30">
            <v>1451.1000000000001</v>
          </cell>
          <cell r="IE30">
            <v>1449.4</v>
          </cell>
          <cell r="IF30">
            <v>1497.3000000000002</v>
          </cell>
          <cell r="IG30">
            <v>1578.3000000000002</v>
          </cell>
          <cell r="IH30">
            <v>1606.2</v>
          </cell>
          <cell r="II30">
            <v>1645</v>
          </cell>
          <cell r="IJ30">
            <v>1684.8000000000002</v>
          </cell>
          <cell r="IK30">
            <v>1716.8000000000002</v>
          </cell>
          <cell r="IL30">
            <v>1749.6000000000001</v>
          </cell>
          <cell r="IM30">
            <v>1765</v>
          </cell>
          <cell r="IN30">
            <v>1782.4</v>
          </cell>
        </row>
        <row r="33">
          <cell r="B33">
            <v>56.400000000000006</v>
          </cell>
          <cell r="C33">
            <v>59.5</v>
          </cell>
          <cell r="D33">
            <v>73.400000000000006</v>
          </cell>
          <cell r="E33">
            <v>73.600000000000009</v>
          </cell>
          <cell r="F33">
            <v>73.600000000000009</v>
          </cell>
          <cell r="G33">
            <v>71.100000000000009</v>
          </cell>
          <cell r="H33">
            <v>65.100000000000009</v>
          </cell>
          <cell r="I33">
            <v>63.400000000000006</v>
          </cell>
          <cell r="J33">
            <v>70.8</v>
          </cell>
          <cell r="K33">
            <v>70.400000000000006</v>
          </cell>
          <cell r="L33">
            <v>74.7</v>
          </cell>
          <cell r="M33">
            <v>81.400000000000006</v>
          </cell>
          <cell r="N33">
            <v>79.400000000000006</v>
          </cell>
          <cell r="O33">
            <v>83.5</v>
          </cell>
          <cell r="P33">
            <v>83.2</v>
          </cell>
          <cell r="Q33">
            <v>79.100000000000009</v>
          </cell>
          <cell r="R33">
            <v>74.5</v>
          </cell>
          <cell r="S33">
            <v>81.2</v>
          </cell>
          <cell r="T33">
            <v>76.3</v>
          </cell>
          <cell r="U33">
            <v>77.100000000000009</v>
          </cell>
          <cell r="V33">
            <v>81.600000000000009</v>
          </cell>
          <cell r="W33">
            <v>86.2</v>
          </cell>
          <cell r="X33">
            <v>87.7</v>
          </cell>
          <cell r="Y33">
            <v>90.9</v>
          </cell>
          <cell r="Z33">
            <v>94.7</v>
          </cell>
          <cell r="AA33">
            <v>94.2</v>
          </cell>
          <cell r="AB33">
            <v>95</v>
          </cell>
          <cell r="AC33">
            <v>90.7</v>
          </cell>
          <cell r="AD33">
            <v>97.9</v>
          </cell>
          <cell r="AE33">
            <v>98.600000000000009</v>
          </cell>
          <cell r="AF33">
            <v>96.7</v>
          </cell>
          <cell r="AG33">
            <v>97.100000000000009</v>
          </cell>
          <cell r="AH33">
            <v>98.5</v>
          </cell>
          <cell r="AI33">
            <v>102.7</v>
          </cell>
          <cell r="AJ33">
            <v>101.2</v>
          </cell>
          <cell r="AK33">
            <v>106.5</v>
          </cell>
          <cell r="AL33">
            <v>109.2</v>
          </cell>
          <cell r="AM33">
            <v>114.5</v>
          </cell>
          <cell r="AN33">
            <v>115.60000000000001</v>
          </cell>
          <cell r="AO33">
            <v>112.60000000000001</v>
          </cell>
          <cell r="AP33">
            <v>116.9</v>
          </cell>
          <cell r="AQ33">
            <v>117.80000000000001</v>
          </cell>
          <cell r="AR33">
            <v>114.30000000000001</v>
          </cell>
          <cell r="AS33">
            <v>108.9</v>
          </cell>
          <cell r="AT33">
            <v>108.4</v>
          </cell>
          <cell r="AU33">
            <v>109.7</v>
          </cell>
          <cell r="AV33">
            <v>117</v>
          </cell>
          <cell r="AW33">
            <v>119.7</v>
          </cell>
          <cell r="AX33">
            <v>123.4</v>
          </cell>
          <cell r="AY33">
            <v>126.10000000000001</v>
          </cell>
          <cell r="AZ33">
            <v>127.7</v>
          </cell>
          <cell r="BA33">
            <v>129.20000000000002</v>
          </cell>
          <cell r="BB33">
            <v>126.30000000000001</v>
          </cell>
          <cell r="BC33">
            <v>129.20000000000002</v>
          </cell>
          <cell r="BD33">
            <v>132.5</v>
          </cell>
          <cell r="BE33">
            <v>132.1</v>
          </cell>
          <cell r="BF33">
            <v>131.9</v>
          </cell>
          <cell r="BG33">
            <v>134.9</v>
          </cell>
          <cell r="BH33">
            <v>138.5</v>
          </cell>
          <cell r="BI33">
            <v>142.30000000000001</v>
          </cell>
          <cell r="BJ33">
            <v>137.20000000000002</v>
          </cell>
          <cell r="BK33">
            <v>153.30000000000001</v>
          </cell>
          <cell r="BL33">
            <v>154</v>
          </cell>
          <cell r="BM33">
            <v>161.5</v>
          </cell>
          <cell r="BN33">
            <v>165.70000000000002</v>
          </cell>
          <cell r="BO33">
            <v>169.8</v>
          </cell>
          <cell r="BP33">
            <v>179.3</v>
          </cell>
          <cell r="BQ33">
            <v>181.3</v>
          </cell>
          <cell r="BR33">
            <v>184.20000000000002</v>
          </cell>
          <cell r="BS33">
            <v>182.70000000000002</v>
          </cell>
          <cell r="BT33">
            <v>185.10000000000002</v>
          </cell>
          <cell r="BU33">
            <v>194.8</v>
          </cell>
          <cell r="BV33">
            <v>206.3</v>
          </cell>
          <cell r="BW33">
            <v>209.5</v>
          </cell>
          <cell r="BX33">
            <v>222.10000000000002</v>
          </cell>
          <cell r="BY33">
            <v>220.20000000000002</v>
          </cell>
          <cell r="BZ33">
            <v>199.4</v>
          </cell>
          <cell r="CA33">
            <v>238.8</v>
          </cell>
          <cell r="CB33">
            <v>235.70000000000002</v>
          </cell>
          <cell r="CC33">
            <v>233.10000000000002</v>
          </cell>
          <cell r="CD33">
            <v>232.3</v>
          </cell>
          <cell r="CE33">
            <v>236.9</v>
          </cell>
          <cell r="CF33">
            <v>236.4</v>
          </cell>
          <cell r="CG33">
            <v>240</v>
          </cell>
          <cell r="CH33">
            <v>237.20000000000002</v>
          </cell>
          <cell r="CI33">
            <v>255.10000000000002</v>
          </cell>
          <cell r="CJ33">
            <v>260.7</v>
          </cell>
          <cell r="CK33">
            <v>243.10000000000002</v>
          </cell>
          <cell r="CL33">
            <v>278.60000000000002</v>
          </cell>
          <cell r="CM33">
            <v>268.7</v>
          </cell>
          <cell r="CN33">
            <v>274.3</v>
          </cell>
          <cell r="CO33">
            <v>286.60000000000002</v>
          </cell>
          <cell r="CP33">
            <v>299.90000000000003</v>
          </cell>
          <cell r="CQ33">
            <v>291.2</v>
          </cell>
          <cell r="CR33">
            <v>283.2</v>
          </cell>
          <cell r="CS33">
            <v>285.3</v>
          </cell>
          <cell r="CT33">
            <v>275.60000000000002</v>
          </cell>
          <cell r="CU33">
            <v>290.2</v>
          </cell>
          <cell r="CV33">
            <v>285.10000000000002</v>
          </cell>
          <cell r="CW33">
            <v>282.3</v>
          </cell>
          <cell r="CX33">
            <v>254</v>
          </cell>
          <cell r="CY33">
            <v>233.70000000000002</v>
          </cell>
          <cell r="CZ33">
            <v>253.10000000000002</v>
          </cell>
          <cell r="DA33">
            <v>266.60000000000002</v>
          </cell>
          <cell r="DB33">
            <v>283.3</v>
          </cell>
          <cell r="DC33">
            <v>295.60000000000002</v>
          </cell>
          <cell r="DD33">
            <v>307.60000000000002</v>
          </cell>
          <cell r="DE33">
            <v>317.8</v>
          </cell>
          <cell r="DF33">
            <v>332.90000000000003</v>
          </cell>
          <cell r="DG33">
            <v>335.90000000000003</v>
          </cell>
          <cell r="DH33">
            <v>331.20000000000005</v>
          </cell>
          <cell r="DI33">
            <v>335.90000000000003</v>
          </cell>
          <cell r="DJ33">
            <v>358.5</v>
          </cell>
          <cell r="DK33">
            <v>359.6</v>
          </cell>
          <cell r="DL33">
            <v>364.3</v>
          </cell>
          <cell r="DM33">
            <v>369.3</v>
          </cell>
          <cell r="DN33">
            <v>368.3</v>
          </cell>
          <cell r="DO33">
            <v>370.3</v>
          </cell>
          <cell r="DP33">
            <v>364.6</v>
          </cell>
          <cell r="DQ33">
            <v>372.6</v>
          </cell>
          <cell r="DR33">
            <v>372.90000000000003</v>
          </cell>
          <cell r="DS33">
            <v>345.8</v>
          </cell>
          <cell r="DT33">
            <v>321</v>
          </cell>
          <cell r="DU33">
            <v>338.20000000000005</v>
          </cell>
          <cell r="DV33">
            <v>352.6</v>
          </cell>
          <cell r="DW33">
            <v>353.20000000000005</v>
          </cell>
          <cell r="DX33">
            <v>349.1</v>
          </cell>
          <cell r="DY33">
            <v>359.1</v>
          </cell>
          <cell r="DZ33">
            <v>348.90000000000003</v>
          </cell>
          <cell r="EA33">
            <v>343.20000000000005</v>
          </cell>
          <cell r="EB33">
            <v>359.1</v>
          </cell>
          <cell r="EC33">
            <v>345</v>
          </cell>
          <cell r="ED33">
            <v>352.90000000000003</v>
          </cell>
          <cell r="EE33">
            <v>380.1</v>
          </cell>
          <cell r="EF33">
            <v>409.70000000000005</v>
          </cell>
          <cell r="EG33">
            <v>429.8</v>
          </cell>
          <cell r="EH33">
            <v>464.3</v>
          </cell>
          <cell r="EI33">
            <v>483.8</v>
          </cell>
          <cell r="EJ33">
            <v>496.3</v>
          </cell>
          <cell r="EK33">
            <v>510.8</v>
          </cell>
          <cell r="EL33">
            <v>499.6</v>
          </cell>
          <cell r="EM33">
            <v>524.1</v>
          </cell>
          <cell r="EN33">
            <v>519</v>
          </cell>
          <cell r="EO33">
            <v>539.4</v>
          </cell>
          <cell r="EP33">
            <v>538.9</v>
          </cell>
          <cell r="EQ33">
            <v>561.80000000000007</v>
          </cell>
          <cell r="ER33">
            <v>577.4</v>
          </cell>
          <cell r="ES33">
            <v>581.9</v>
          </cell>
          <cell r="ET33">
            <v>578.4</v>
          </cell>
          <cell r="EU33">
            <v>592.80000000000007</v>
          </cell>
          <cell r="EV33">
            <v>604.30000000000007</v>
          </cell>
          <cell r="EW33">
            <v>618.20000000000005</v>
          </cell>
          <cell r="EX33">
            <v>615.30000000000007</v>
          </cell>
          <cell r="EY33">
            <v>608.30000000000007</v>
          </cell>
          <cell r="EZ33">
            <v>622.6</v>
          </cell>
          <cell r="FA33">
            <v>641.6</v>
          </cell>
          <cell r="FB33">
            <v>644.6</v>
          </cell>
          <cell r="FC33">
            <v>647.6</v>
          </cell>
          <cell r="FD33">
            <v>646.70000000000005</v>
          </cell>
          <cell r="FE33">
            <v>658.40000000000009</v>
          </cell>
          <cell r="FF33">
            <v>679.30000000000007</v>
          </cell>
          <cell r="FG33">
            <v>678.2</v>
          </cell>
          <cell r="FH33">
            <v>675.40000000000009</v>
          </cell>
          <cell r="FI33">
            <v>657.30000000000007</v>
          </cell>
          <cell r="FJ33">
            <v>649.80000000000007</v>
          </cell>
          <cell r="FK33">
            <v>661.40000000000009</v>
          </cell>
          <cell r="FL33">
            <v>680</v>
          </cell>
          <cell r="FM33">
            <v>695</v>
          </cell>
          <cell r="FN33">
            <v>700.1</v>
          </cell>
          <cell r="FO33">
            <v>711.6</v>
          </cell>
          <cell r="FP33">
            <v>722.80000000000007</v>
          </cell>
          <cell r="FQ33">
            <v>740.1</v>
          </cell>
          <cell r="FR33">
            <v>756.1</v>
          </cell>
          <cell r="FS33">
            <v>771.80000000000007</v>
          </cell>
          <cell r="FT33">
            <v>781.90000000000009</v>
          </cell>
          <cell r="FU33">
            <v>813.40000000000009</v>
          </cell>
          <cell r="FV33">
            <v>832.30000000000007</v>
          </cell>
          <cell r="FW33">
            <v>863.30000000000007</v>
          </cell>
          <cell r="FX33">
            <v>887.6</v>
          </cell>
          <cell r="FY33">
            <v>912.6</v>
          </cell>
          <cell r="FZ33">
            <v>932.6</v>
          </cell>
          <cell r="GA33">
            <v>941.5</v>
          </cell>
          <cell r="GB33">
            <v>944.7</v>
          </cell>
          <cell r="GC33">
            <v>956.80000000000007</v>
          </cell>
          <cell r="GD33">
            <v>987.90000000000009</v>
          </cell>
          <cell r="GE33">
            <v>1010</v>
          </cell>
          <cell r="GF33">
            <v>1042.7</v>
          </cell>
          <cell r="GG33">
            <v>1063.3</v>
          </cell>
          <cell r="GH33">
            <v>1108.7</v>
          </cell>
          <cell r="GI33">
            <v>1145.9000000000001</v>
          </cell>
          <cell r="GJ33">
            <v>1188.1000000000001</v>
          </cell>
          <cell r="GK33">
            <v>1213.8</v>
          </cell>
          <cell r="GL33">
            <v>1259.3000000000002</v>
          </cell>
          <cell r="GM33">
            <v>1288.2</v>
          </cell>
          <cell r="GN33">
            <v>1305.5</v>
          </cell>
          <cell r="GO33">
            <v>1347.8000000000002</v>
          </cell>
          <cell r="GP33">
            <v>1382.1000000000001</v>
          </cell>
          <cell r="GQ33">
            <v>1426.1000000000001</v>
          </cell>
          <cell r="GR33">
            <v>1477.9</v>
          </cell>
          <cell r="GS33">
            <v>1513.3000000000002</v>
          </cell>
          <cell r="GT33">
            <v>1574.7</v>
          </cell>
          <cell r="GU33">
            <v>1622.7</v>
          </cell>
          <cell r="GV33">
            <v>1679.4</v>
          </cell>
          <cell r="GW33">
            <v>1678.1000000000001</v>
          </cell>
          <cell r="GX33">
            <v>1653.7</v>
          </cell>
          <cell r="GY33">
            <v>1604.4</v>
          </cell>
          <cell r="GZ33">
            <v>1565.6000000000001</v>
          </cell>
          <cell r="HA33">
            <v>1546.9</v>
          </cell>
          <cell r="HB33">
            <v>1585.7</v>
          </cell>
          <cell r="HC33">
            <v>1639.2</v>
          </cell>
          <cell r="HD33">
            <v>1666.2</v>
          </cell>
          <cell r="HE33">
            <v>1696.2</v>
          </cell>
          <cell r="HF33">
            <v>1675.7</v>
          </cell>
          <cell r="HG33">
            <v>1699.6000000000001</v>
          </cell>
          <cell r="HH33">
            <v>1719.6000000000001</v>
          </cell>
          <cell r="HI33">
            <v>1783.8000000000002</v>
          </cell>
          <cell r="HJ33">
            <v>1829.2</v>
          </cell>
          <cell r="HK33">
            <v>1902.6000000000001</v>
          </cell>
          <cell r="HL33">
            <v>1930.4</v>
          </cell>
          <cell r="HM33">
            <v>1979.4</v>
          </cell>
          <cell r="HN33">
            <v>1990.9</v>
          </cell>
          <cell r="HO33">
            <v>2012.9</v>
          </cell>
          <cell r="HP33">
            <v>2025.3000000000002</v>
          </cell>
          <cell r="HQ33">
            <v>2082.1</v>
          </cell>
          <cell r="HR33">
            <v>2121.5</v>
          </cell>
          <cell r="HS33">
            <v>2145.2000000000003</v>
          </cell>
          <cell r="HT33">
            <v>2170.9</v>
          </cell>
          <cell r="HU33">
            <v>2168.2000000000003</v>
          </cell>
          <cell r="HV33">
            <v>2199.8000000000002</v>
          </cell>
          <cell r="HW33">
            <v>2210.7000000000003</v>
          </cell>
          <cell r="HX33">
            <v>2216</v>
          </cell>
          <cell r="HY33">
            <v>2186.5</v>
          </cell>
          <cell r="HZ33">
            <v>2194.1</v>
          </cell>
          <cell r="IA33">
            <v>2180.1</v>
          </cell>
          <cell r="IB33">
            <v>2143.3000000000002</v>
          </cell>
          <cell r="IC33">
            <v>2058.6</v>
          </cell>
          <cell r="ID33">
            <v>1855.3000000000002</v>
          </cell>
          <cell r="IE33">
            <v>1781.2</v>
          </cell>
          <cell r="IF33">
            <v>1849.7</v>
          </cell>
          <cell r="IG33">
            <v>1925.2</v>
          </cell>
          <cell r="IH33">
            <v>1983</v>
          </cell>
          <cell r="II33">
            <v>2082.4</v>
          </cell>
          <cell r="IJ33">
            <v>2143.5</v>
          </cell>
          <cell r="IK33">
            <v>2131</v>
          </cell>
          <cell r="IL33">
            <v>2173.9</v>
          </cell>
          <cell r="IM33">
            <v>2181.4</v>
          </cell>
          <cell r="IN33">
            <v>2191.8000000000002</v>
          </cell>
        </row>
        <row r="36">
          <cell r="B36">
            <v>483.5</v>
          </cell>
          <cell r="C36">
            <v>491.40000000000003</v>
          </cell>
          <cell r="D36">
            <v>482</v>
          </cell>
          <cell r="E36">
            <v>512.70000000000005</v>
          </cell>
          <cell r="F36">
            <v>567.5</v>
          </cell>
          <cell r="G36">
            <v>645.6</v>
          </cell>
          <cell r="H36">
            <v>718.80000000000007</v>
          </cell>
          <cell r="I36">
            <v>758.90000000000009</v>
          </cell>
          <cell r="J36">
            <v>782.40000000000009</v>
          </cell>
          <cell r="K36">
            <v>808.90000000000009</v>
          </cell>
          <cell r="L36">
            <v>817</v>
          </cell>
          <cell r="M36">
            <v>831.6</v>
          </cell>
          <cell r="N36">
            <v>859.80000000000007</v>
          </cell>
          <cell r="O36">
            <v>878.7</v>
          </cell>
          <cell r="P36">
            <v>868.1</v>
          </cell>
          <cell r="Q36">
            <v>865.40000000000009</v>
          </cell>
          <cell r="R36">
            <v>842.2</v>
          </cell>
          <cell r="S36">
            <v>812.5</v>
          </cell>
          <cell r="T36">
            <v>792.90000000000009</v>
          </cell>
          <cell r="U36">
            <v>788</v>
          </cell>
          <cell r="V36">
            <v>787.1</v>
          </cell>
          <cell r="W36">
            <v>779.30000000000007</v>
          </cell>
          <cell r="X36">
            <v>784</v>
          </cell>
          <cell r="Y36">
            <v>767</v>
          </cell>
          <cell r="Z36">
            <v>766.6</v>
          </cell>
          <cell r="AA36">
            <v>782.7</v>
          </cell>
          <cell r="AB36">
            <v>775.30000000000007</v>
          </cell>
          <cell r="AC36">
            <v>795.40000000000009</v>
          </cell>
          <cell r="AD36">
            <v>811.7</v>
          </cell>
          <cell r="AE36">
            <v>806.7</v>
          </cell>
          <cell r="AF36">
            <v>812.90000000000009</v>
          </cell>
          <cell r="AG36">
            <v>827.7</v>
          </cell>
          <cell r="AH36">
            <v>818.40000000000009</v>
          </cell>
          <cell r="AI36">
            <v>838.90000000000009</v>
          </cell>
          <cell r="AJ36">
            <v>844.2</v>
          </cell>
          <cell r="AK36">
            <v>862.2</v>
          </cell>
          <cell r="AL36">
            <v>856.6</v>
          </cell>
          <cell r="AM36">
            <v>869.7</v>
          </cell>
          <cell r="AN36">
            <v>880.6</v>
          </cell>
          <cell r="AO36">
            <v>871</v>
          </cell>
          <cell r="AP36">
            <v>853.90000000000009</v>
          </cell>
          <cell r="AQ36">
            <v>860.80000000000007</v>
          </cell>
          <cell r="AR36">
            <v>881.5</v>
          </cell>
          <cell r="AS36">
            <v>887.7</v>
          </cell>
          <cell r="AT36">
            <v>899.30000000000007</v>
          </cell>
          <cell r="AU36">
            <v>901.40000000000009</v>
          </cell>
          <cell r="AV36">
            <v>919.1</v>
          </cell>
          <cell r="AW36">
            <v>939.30000000000007</v>
          </cell>
          <cell r="AX36">
            <v>955.90000000000009</v>
          </cell>
          <cell r="AY36">
            <v>961.1</v>
          </cell>
          <cell r="AZ36">
            <v>983</v>
          </cell>
          <cell r="BA36">
            <v>984.40000000000009</v>
          </cell>
          <cell r="BB36">
            <v>978.40000000000009</v>
          </cell>
          <cell r="BC36">
            <v>977.2</v>
          </cell>
          <cell r="BD36">
            <v>1019.1</v>
          </cell>
          <cell r="BE36">
            <v>1009.8000000000001</v>
          </cell>
          <cell r="BF36">
            <v>1013.5</v>
          </cell>
          <cell r="BG36">
            <v>1020.1</v>
          </cell>
          <cell r="BH36">
            <v>1020.7</v>
          </cell>
          <cell r="BI36">
            <v>1017.8000000000001</v>
          </cell>
          <cell r="BJ36">
            <v>1015.3000000000001</v>
          </cell>
          <cell r="BK36">
            <v>1028.4000000000001</v>
          </cell>
          <cell r="BL36">
            <v>1064</v>
          </cell>
          <cell r="BM36">
            <v>1086.9000000000001</v>
          </cell>
          <cell r="BN36">
            <v>1106.4000000000001</v>
          </cell>
          <cell r="BO36">
            <v>1126</v>
          </cell>
          <cell r="BP36">
            <v>1156.5</v>
          </cell>
          <cell r="BQ36">
            <v>1175.3</v>
          </cell>
          <cell r="BR36">
            <v>1225.2</v>
          </cell>
          <cell r="BS36">
            <v>1218.5</v>
          </cell>
          <cell r="BT36">
            <v>1231.2</v>
          </cell>
          <cell r="BU36">
            <v>1239.6000000000001</v>
          </cell>
          <cell r="BV36">
            <v>1261.3000000000002</v>
          </cell>
          <cell r="BW36">
            <v>1267.1000000000001</v>
          </cell>
          <cell r="BX36">
            <v>1269.7</v>
          </cell>
          <cell r="BY36">
            <v>1270.8000000000002</v>
          </cell>
          <cell r="BZ36">
            <v>1272</v>
          </cell>
          <cell r="CA36">
            <v>1266.7</v>
          </cell>
          <cell r="CB36">
            <v>1268.5</v>
          </cell>
          <cell r="CC36">
            <v>1249.8000000000002</v>
          </cell>
          <cell r="CD36">
            <v>1243.1000000000001</v>
          </cell>
          <cell r="CE36">
            <v>1227.1000000000001</v>
          </cell>
          <cell r="CF36">
            <v>1232.4000000000001</v>
          </cell>
          <cell r="CG36">
            <v>1232.4000000000001</v>
          </cell>
          <cell r="CH36">
            <v>1212.4000000000001</v>
          </cell>
          <cell r="CI36">
            <v>1208.5</v>
          </cell>
          <cell r="CJ36">
            <v>1207.8</v>
          </cell>
          <cell r="CK36">
            <v>1198.8</v>
          </cell>
          <cell r="CL36">
            <v>1203.1000000000001</v>
          </cell>
          <cell r="CM36">
            <v>1210.6000000000001</v>
          </cell>
          <cell r="CN36">
            <v>1185.6000000000001</v>
          </cell>
          <cell r="CO36">
            <v>1193.1000000000001</v>
          </cell>
          <cell r="CP36">
            <v>1204.8</v>
          </cell>
          <cell r="CQ36">
            <v>1197.6000000000001</v>
          </cell>
          <cell r="CR36">
            <v>1182.3</v>
          </cell>
          <cell r="CS36">
            <v>1191</v>
          </cell>
          <cell r="CT36">
            <v>1215.9000000000001</v>
          </cell>
          <cell r="CU36">
            <v>1224.1000000000001</v>
          </cell>
          <cell r="CV36">
            <v>1225.9000000000001</v>
          </cell>
          <cell r="CW36">
            <v>1230.2</v>
          </cell>
          <cell r="CX36">
            <v>1245.2</v>
          </cell>
          <cell r="CY36">
            <v>1235.7</v>
          </cell>
          <cell r="CZ36">
            <v>1257.4000000000001</v>
          </cell>
          <cell r="DA36">
            <v>1268</v>
          </cell>
          <cell r="DB36">
            <v>1271.2</v>
          </cell>
          <cell r="DC36">
            <v>1257.3000000000002</v>
          </cell>
          <cell r="DD36">
            <v>1250.7</v>
          </cell>
          <cell r="DE36">
            <v>1249.7</v>
          </cell>
          <cell r="DF36">
            <v>1261</v>
          </cell>
          <cell r="DG36">
            <v>1274.1000000000001</v>
          </cell>
          <cell r="DH36">
            <v>1276.5</v>
          </cell>
          <cell r="DI36">
            <v>1272.3000000000002</v>
          </cell>
          <cell r="DJ36">
            <v>1274.4000000000001</v>
          </cell>
          <cell r="DK36">
            <v>1308.8000000000002</v>
          </cell>
          <cell r="DL36">
            <v>1319.3000000000002</v>
          </cell>
          <cell r="DM36">
            <v>1331.2</v>
          </cell>
          <cell r="DN36">
            <v>1319.2</v>
          </cell>
          <cell r="DO36">
            <v>1333.2</v>
          </cell>
          <cell r="DP36">
            <v>1335.1000000000001</v>
          </cell>
          <cell r="DQ36">
            <v>1343.8000000000002</v>
          </cell>
          <cell r="DR36">
            <v>1365.4</v>
          </cell>
          <cell r="DS36">
            <v>1369.7</v>
          </cell>
          <cell r="DT36">
            <v>1350.8000000000002</v>
          </cell>
          <cell r="DU36">
            <v>1349.4</v>
          </cell>
          <cell r="DV36">
            <v>1367.3000000000002</v>
          </cell>
          <cell r="DW36">
            <v>1370.4</v>
          </cell>
          <cell r="DX36">
            <v>1367.3000000000002</v>
          </cell>
          <cell r="DY36">
            <v>1379.9</v>
          </cell>
          <cell r="DZ36">
            <v>1378.5</v>
          </cell>
          <cell r="EA36">
            <v>1386.5</v>
          </cell>
          <cell r="EB36">
            <v>1396</v>
          </cell>
          <cell r="EC36">
            <v>1420.1000000000001</v>
          </cell>
          <cell r="ED36">
            <v>1430.8000000000002</v>
          </cell>
          <cell r="EE36">
            <v>1443</v>
          </cell>
          <cell r="EF36">
            <v>1468</v>
          </cell>
          <cell r="EG36">
            <v>1443.2</v>
          </cell>
          <cell r="EH36">
            <v>1457.8000000000002</v>
          </cell>
          <cell r="EI36">
            <v>1489.2</v>
          </cell>
          <cell r="EJ36">
            <v>1500.2</v>
          </cell>
          <cell r="EK36">
            <v>1532.3000000000002</v>
          </cell>
          <cell r="EL36">
            <v>1549.9</v>
          </cell>
          <cell r="EM36">
            <v>1584.7</v>
          </cell>
          <cell r="EN36">
            <v>1625.8000000000002</v>
          </cell>
          <cell r="EO36">
            <v>1635.5</v>
          </cell>
          <cell r="EP36">
            <v>1653.2</v>
          </cell>
          <cell r="EQ36">
            <v>1688.3000000000002</v>
          </cell>
          <cell r="ER36">
            <v>1726.6000000000001</v>
          </cell>
          <cell r="ES36">
            <v>1716.6000000000001</v>
          </cell>
          <cell r="ET36">
            <v>1723.7</v>
          </cell>
          <cell r="EU36">
            <v>1734.6000000000001</v>
          </cell>
          <cell r="EV36">
            <v>1734.6000000000001</v>
          </cell>
          <cell r="EW36">
            <v>1755.6000000000001</v>
          </cell>
          <cell r="EX36">
            <v>1747.1000000000001</v>
          </cell>
          <cell r="EY36">
            <v>1751.7</v>
          </cell>
          <cell r="EZ36">
            <v>1750.7</v>
          </cell>
          <cell r="FA36">
            <v>1786.2</v>
          </cell>
          <cell r="FB36">
            <v>1775.2</v>
          </cell>
          <cell r="FC36">
            <v>1802.8000000000002</v>
          </cell>
          <cell r="FD36">
            <v>1819.7</v>
          </cell>
          <cell r="FE36">
            <v>1829.4</v>
          </cell>
          <cell r="FF36">
            <v>1857.6000000000001</v>
          </cell>
          <cell r="FG36">
            <v>1860.4</v>
          </cell>
          <cell r="FH36">
            <v>1859.8000000000002</v>
          </cell>
          <cell r="FI36">
            <v>1878.3000000000002</v>
          </cell>
          <cell r="FJ36">
            <v>1885.9</v>
          </cell>
          <cell r="FK36">
            <v>1892.5</v>
          </cell>
          <cell r="FL36">
            <v>1883.5</v>
          </cell>
          <cell r="FM36">
            <v>1875.6000000000001</v>
          </cell>
          <cell r="FN36">
            <v>1889.9</v>
          </cell>
          <cell r="FO36">
            <v>1887.6000000000001</v>
          </cell>
          <cell r="FP36">
            <v>1897.3000000000002</v>
          </cell>
          <cell r="FQ36">
            <v>1897.9</v>
          </cell>
          <cell r="FR36">
            <v>1877.9</v>
          </cell>
          <cell r="FS36">
            <v>1876.5</v>
          </cell>
          <cell r="FT36">
            <v>1874.6000000000001</v>
          </cell>
          <cell r="FU36">
            <v>1883.9</v>
          </cell>
          <cell r="FV36">
            <v>1859.9</v>
          </cell>
          <cell r="FW36">
            <v>1867.7</v>
          </cell>
          <cell r="FX36">
            <v>1900.5</v>
          </cell>
          <cell r="FY36">
            <v>1884.1000000000001</v>
          </cell>
          <cell r="FZ36">
            <v>1891.6000000000001</v>
          </cell>
          <cell r="GA36">
            <v>1897.9</v>
          </cell>
          <cell r="GB36">
            <v>1893.7</v>
          </cell>
          <cell r="GC36">
            <v>1872.5</v>
          </cell>
          <cell r="GD36">
            <v>1884.5</v>
          </cell>
          <cell r="GE36">
            <v>1911.6000000000001</v>
          </cell>
          <cell r="GF36">
            <v>1909.7</v>
          </cell>
          <cell r="GG36">
            <v>1925.9</v>
          </cell>
          <cell r="GH36">
            <v>1929.4</v>
          </cell>
          <cell r="GI36">
            <v>1946</v>
          </cell>
          <cell r="GJ36">
            <v>1948.2</v>
          </cell>
          <cell r="GK36">
            <v>1951.5</v>
          </cell>
          <cell r="GL36">
            <v>1939.7</v>
          </cell>
          <cell r="GM36">
            <v>1981.9</v>
          </cell>
          <cell r="GN36">
            <v>2000.2</v>
          </cell>
          <cell r="GO36">
            <v>2018.1000000000001</v>
          </cell>
          <cell r="GP36">
            <v>2028.4</v>
          </cell>
          <cell r="GQ36">
            <v>2036.9</v>
          </cell>
          <cell r="GR36">
            <v>2063.3000000000002</v>
          </cell>
          <cell r="GS36">
            <v>2095.9</v>
          </cell>
          <cell r="GT36">
            <v>2078.7000000000003</v>
          </cell>
          <cell r="GU36">
            <v>2106.4</v>
          </cell>
          <cell r="GV36">
            <v>2099.8000000000002</v>
          </cell>
          <cell r="GW36">
            <v>2106.2000000000003</v>
          </cell>
          <cell r="GX36">
            <v>2137.3000000000002</v>
          </cell>
          <cell r="GY36">
            <v>2181.7000000000003</v>
          </cell>
          <cell r="GZ36">
            <v>2177.8000000000002</v>
          </cell>
          <cell r="HA36">
            <v>2216.4</v>
          </cell>
          <cell r="HB36">
            <v>2250.4</v>
          </cell>
          <cell r="HC36">
            <v>2272</v>
          </cell>
          <cell r="HD36">
            <v>2290.4</v>
          </cell>
          <cell r="HE36">
            <v>2305.7000000000003</v>
          </cell>
          <cell r="HF36">
            <v>2300.9</v>
          </cell>
          <cell r="HG36">
            <v>2335.1</v>
          </cell>
          <cell r="HH36">
            <v>2342</v>
          </cell>
          <cell r="HI36">
            <v>2343.7000000000003</v>
          </cell>
          <cell r="HJ36">
            <v>2354.9</v>
          </cell>
          <cell r="HK36">
            <v>2363.5</v>
          </cell>
          <cell r="HL36">
            <v>2372.1</v>
          </cell>
          <cell r="HM36">
            <v>2357.6</v>
          </cell>
          <cell r="HN36">
            <v>2359.9</v>
          </cell>
          <cell r="HO36">
            <v>2362.4</v>
          </cell>
          <cell r="HP36">
            <v>2383.9</v>
          </cell>
          <cell r="HQ36">
            <v>2373.4</v>
          </cell>
          <cell r="HR36">
            <v>2397.1</v>
          </cell>
          <cell r="HS36">
            <v>2399.1</v>
          </cell>
          <cell r="HT36">
            <v>2402.7000000000003</v>
          </cell>
          <cell r="HU36">
            <v>2409.4</v>
          </cell>
          <cell r="HV36">
            <v>2406.7000000000003</v>
          </cell>
          <cell r="HW36">
            <v>2426.8000000000002</v>
          </cell>
          <cell r="HX36">
            <v>2447.9</v>
          </cell>
          <cell r="HY36">
            <v>2455.3000000000002</v>
          </cell>
          <cell r="HZ36">
            <v>2473.9</v>
          </cell>
          <cell r="IA36">
            <v>2484.5</v>
          </cell>
          <cell r="IB36">
            <v>2510.7000000000003</v>
          </cell>
          <cell r="IC36">
            <v>2520.5</v>
          </cell>
          <cell r="ID36">
            <v>2509.6000000000004</v>
          </cell>
          <cell r="IE36">
            <v>2546</v>
          </cell>
          <cell r="IF36">
            <v>2554.2000000000003</v>
          </cell>
          <cell r="IG36">
            <v>2548.5</v>
          </cell>
          <cell r="IH36">
            <v>2540.6000000000004</v>
          </cell>
          <cell r="II36">
            <v>2564</v>
          </cell>
          <cell r="IJ36">
            <v>2570.3000000000002</v>
          </cell>
          <cell r="IK36">
            <v>2552.1000000000004</v>
          </cell>
          <cell r="IL36">
            <v>2513.9</v>
          </cell>
          <cell r="IM36">
            <v>2508.2000000000003</v>
          </cell>
          <cell r="IN36">
            <v>2508.2000000000003</v>
          </cell>
        </row>
        <row r="72">
          <cell r="B72">
            <v>275.2</v>
          </cell>
          <cell r="C72">
            <v>284.5</v>
          </cell>
          <cell r="D72">
            <v>301.90000000000003</v>
          </cell>
          <cell r="E72">
            <v>313.3</v>
          </cell>
          <cell r="F72">
            <v>329</v>
          </cell>
          <cell r="G72">
            <v>336.6</v>
          </cell>
          <cell r="H72">
            <v>343.5</v>
          </cell>
          <cell r="I72">
            <v>347.90000000000003</v>
          </cell>
          <cell r="J72">
            <v>351.20000000000005</v>
          </cell>
          <cell r="K72">
            <v>352.1</v>
          </cell>
          <cell r="L72">
            <v>358.5</v>
          </cell>
          <cell r="M72">
            <v>371.40000000000003</v>
          </cell>
          <cell r="N72">
            <v>378.40000000000003</v>
          </cell>
          <cell r="O72">
            <v>382</v>
          </cell>
          <cell r="P72">
            <v>381.1</v>
          </cell>
          <cell r="Q72">
            <v>375.90000000000003</v>
          </cell>
          <cell r="R72">
            <v>375.20000000000005</v>
          </cell>
          <cell r="S72">
            <v>376</v>
          </cell>
          <cell r="T72">
            <v>380.8</v>
          </cell>
          <cell r="U72">
            <v>389.40000000000003</v>
          </cell>
          <cell r="V72">
            <v>402.6</v>
          </cell>
          <cell r="W72">
            <v>410.90000000000003</v>
          </cell>
          <cell r="X72">
            <v>419.40000000000003</v>
          </cell>
          <cell r="Y72">
            <v>426</v>
          </cell>
          <cell r="Z72">
            <v>428.3</v>
          </cell>
          <cell r="AA72">
            <v>434.20000000000005</v>
          </cell>
          <cell r="AB72">
            <v>439.20000000000005</v>
          </cell>
          <cell r="AC72">
            <v>448.1</v>
          </cell>
          <cell r="AD72">
            <v>457.20000000000005</v>
          </cell>
          <cell r="AE72">
            <v>459.20000000000005</v>
          </cell>
          <cell r="AF72">
            <v>466.40000000000003</v>
          </cell>
          <cell r="AG72">
            <v>461.5</v>
          </cell>
          <cell r="AH72">
            <v>453.90000000000003</v>
          </cell>
          <cell r="AI72">
            <v>458</v>
          </cell>
          <cell r="AJ72">
            <v>471.70000000000005</v>
          </cell>
          <cell r="AK72">
            <v>485</v>
          </cell>
          <cell r="AL72">
            <v>495.5</v>
          </cell>
          <cell r="AM72">
            <v>508.5</v>
          </cell>
          <cell r="AN72">
            <v>509.3</v>
          </cell>
          <cell r="AO72">
            <v>513.20000000000005</v>
          </cell>
          <cell r="AP72">
            <v>527</v>
          </cell>
          <cell r="AQ72">
            <v>526.20000000000005</v>
          </cell>
          <cell r="AR72">
            <v>529</v>
          </cell>
          <cell r="AS72">
            <v>523.70000000000005</v>
          </cell>
          <cell r="AT72">
            <v>528</v>
          </cell>
          <cell r="AU72">
            <v>539</v>
          </cell>
          <cell r="AV72">
            <v>549.5</v>
          </cell>
          <cell r="AW72">
            <v>562.6</v>
          </cell>
          <cell r="AX72">
            <v>576.1</v>
          </cell>
          <cell r="AY72">
            <v>583.20000000000005</v>
          </cell>
          <cell r="AZ72">
            <v>590</v>
          </cell>
          <cell r="BA72">
            <v>593.30000000000007</v>
          </cell>
          <cell r="BB72">
            <v>602.5</v>
          </cell>
          <cell r="BC72">
            <v>611.20000000000005</v>
          </cell>
          <cell r="BD72">
            <v>623.90000000000009</v>
          </cell>
          <cell r="BE72">
            <v>633.5</v>
          </cell>
          <cell r="BF72">
            <v>649.6</v>
          </cell>
          <cell r="BG72">
            <v>658.90000000000009</v>
          </cell>
          <cell r="BH72">
            <v>670.5</v>
          </cell>
          <cell r="BI72">
            <v>675.6</v>
          </cell>
          <cell r="BJ72">
            <v>695.7</v>
          </cell>
          <cell r="BK72">
            <v>708.1</v>
          </cell>
          <cell r="BL72">
            <v>725.2</v>
          </cell>
          <cell r="BM72">
            <v>747.5</v>
          </cell>
          <cell r="BN72">
            <v>770.80000000000007</v>
          </cell>
          <cell r="BO72">
            <v>779.90000000000009</v>
          </cell>
          <cell r="BP72">
            <v>793.1</v>
          </cell>
          <cell r="BQ72">
            <v>806.90000000000009</v>
          </cell>
          <cell r="BR72">
            <v>817.80000000000007</v>
          </cell>
          <cell r="BS72">
            <v>822.30000000000007</v>
          </cell>
          <cell r="BT72">
            <v>837</v>
          </cell>
          <cell r="BU72">
            <v>852.7</v>
          </cell>
          <cell r="BV72">
            <v>879.80000000000007</v>
          </cell>
          <cell r="BW72">
            <v>904.1</v>
          </cell>
          <cell r="BX72">
            <v>919.30000000000007</v>
          </cell>
          <cell r="BY72">
            <v>936.2</v>
          </cell>
          <cell r="BZ72">
            <v>960.90000000000009</v>
          </cell>
          <cell r="CA72">
            <v>976.1</v>
          </cell>
          <cell r="CB72">
            <v>996.30000000000007</v>
          </cell>
          <cell r="CC72">
            <v>1004.5</v>
          </cell>
          <cell r="CD72">
            <v>1017.1</v>
          </cell>
          <cell r="CE72">
            <v>1033.1000000000001</v>
          </cell>
          <cell r="CF72">
            <v>1050.5</v>
          </cell>
          <cell r="CG72">
            <v>1052.7</v>
          </cell>
          <cell r="CH72">
            <v>1098.1000000000001</v>
          </cell>
          <cell r="CI72">
            <v>1118.8</v>
          </cell>
          <cell r="CJ72">
            <v>1139.1000000000001</v>
          </cell>
          <cell r="CK72">
            <v>1151.4000000000001</v>
          </cell>
          <cell r="CL72">
            <v>1190.1000000000001</v>
          </cell>
          <cell r="CM72">
            <v>1225.6000000000001</v>
          </cell>
          <cell r="CN72">
            <v>1249.3000000000002</v>
          </cell>
          <cell r="CO72">
            <v>1286.6000000000001</v>
          </cell>
          <cell r="CP72">
            <v>1335.1000000000001</v>
          </cell>
          <cell r="CQ72">
            <v>1371.5</v>
          </cell>
          <cell r="CR72">
            <v>1390.7</v>
          </cell>
          <cell r="CS72">
            <v>1431.8000000000002</v>
          </cell>
          <cell r="CT72">
            <v>1446.5</v>
          </cell>
          <cell r="CU72">
            <v>1484.8000000000002</v>
          </cell>
          <cell r="CV72">
            <v>1513.7</v>
          </cell>
          <cell r="CW72">
            <v>1552.8000000000002</v>
          </cell>
          <cell r="CX72">
            <v>1569.4</v>
          </cell>
          <cell r="CY72">
            <v>1605</v>
          </cell>
          <cell r="CZ72">
            <v>1662.4</v>
          </cell>
          <cell r="DA72">
            <v>1713.9</v>
          </cell>
          <cell r="DB72">
            <v>1771.9</v>
          </cell>
          <cell r="DC72">
            <v>1804.2</v>
          </cell>
          <cell r="DD72">
            <v>1837.7</v>
          </cell>
          <cell r="DE72">
            <v>1884.5</v>
          </cell>
          <cell r="DF72">
            <v>1938.5</v>
          </cell>
          <cell r="DG72">
            <v>2005.2</v>
          </cell>
          <cell r="DH72">
            <v>2066</v>
          </cell>
          <cell r="DI72">
            <v>2110.8000000000002</v>
          </cell>
          <cell r="DJ72">
            <v>2149.1</v>
          </cell>
          <cell r="DK72">
            <v>2274.7000000000003</v>
          </cell>
          <cell r="DL72">
            <v>2335.2000000000003</v>
          </cell>
          <cell r="DM72">
            <v>2416</v>
          </cell>
          <cell r="DN72">
            <v>2463.3000000000002</v>
          </cell>
          <cell r="DO72">
            <v>2526.4</v>
          </cell>
          <cell r="DP72">
            <v>2599.7000000000003</v>
          </cell>
          <cell r="DQ72">
            <v>2659.4</v>
          </cell>
          <cell r="DR72">
            <v>2724.1000000000004</v>
          </cell>
          <cell r="DS72">
            <v>2728</v>
          </cell>
          <cell r="DT72">
            <v>2785.2000000000003</v>
          </cell>
          <cell r="DU72">
            <v>2915.3</v>
          </cell>
          <cell r="DV72">
            <v>3051.4</v>
          </cell>
          <cell r="DW72">
            <v>3084.3</v>
          </cell>
          <cell r="DX72">
            <v>3177</v>
          </cell>
          <cell r="DY72">
            <v>3194.7000000000003</v>
          </cell>
          <cell r="DZ72">
            <v>3184.9</v>
          </cell>
          <cell r="EA72">
            <v>3240.9</v>
          </cell>
          <cell r="EB72">
            <v>3274.4</v>
          </cell>
          <cell r="EC72">
            <v>3312.5</v>
          </cell>
          <cell r="ED72">
            <v>3381</v>
          </cell>
          <cell r="EE72">
            <v>3482.2000000000003</v>
          </cell>
          <cell r="EF72">
            <v>3587.1000000000004</v>
          </cell>
          <cell r="EG72">
            <v>3688.1000000000004</v>
          </cell>
          <cell r="EH72">
            <v>3807.4</v>
          </cell>
          <cell r="EI72">
            <v>3906.3</v>
          </cell>
          <cell r="EJ72">
            <v>3976</v>
          </cell>
          <cell r="EK72">
            <v>4034</v>
          </cell>
          <cell r="EL72">
            <v>4117.2</v>
          </cell>
          <cell r="EM72">
            <v>4175.7</v>
          </cell>
          <cell r="EN72">
            <v>4258.3</v>
          </cell>
          <cell r="EO72">
            <v>4318.7</v>
          </cell>
          <cell r="EP72">
            <v>4382.4000000000005</v>
          </cell>
          <cell r="EQ72">
            <v>4423.2</v>
          </cell>
          <cell r="ER72">
            <v>4491.3</v>
          </cell>
          <cell r="ES72">
            <v>4543.3</v>
          </cell>
          <cell r="ET72">
            <v>4611.1000000000004</v>
          </cell>
          <cell r="EU72">
            <v>4686.7</v>
          </cell>
          <cell r="EV72">
            <v>4764.5</v>
          </cell>
          <cell r="EW72">
            <v>4883.1000000000004</v>
          </cell>
          <cell r="EX72">
            <v>4948.6000000000004</v>
          </cell>
          <cell r="EY72">
            <v>5059.3</v>
          </cell>
          <cell r="EZ72">
            <v>5142.8</v>
          </cell>
          <cell r="FA72">
            <v>5251</v>
          </cell>
          <cell r="FB72">
            <v>5360.3</v>
          </cell>
          <cell r="FC72">
            <v>5453.6</v>
          </cell>
          <cell r="FD72">
            <v>5532.9000000000005</v>
          </cell>
          <cell r="FE72">
            <v>5581.7000000000007</v>
          </cell>
          <cell r="FF72">
            <v>5708.1</v>
          </cell>
          <cell r="FG72">
            <v>5797.4000000000005</v>
          </cell>
          <cell r="FH72">
            <v>5850.6</v>
          </cell>
          <cell r="FI72">
            <v>5846</v>
          </cell>
          <cell r="FJ72">
            <v>5880.2000000000007</v>
          </cell>
          <cell r="FK72">
            <v>5962</v>
          </cell>
          <cell r="FL72">
            <v>6033.7000000000007</v>
          </cell>
          <cell r="FM72">
            <v>6092.5</v>
          </cell>
          <cell r="FN72">
            <v>6190.7000000000007</v>
          </cell>
          <cell r="FO72">
            <v>6295.2000000000007</v>
          </cell>
          <cell r="FP72">
            <v>6389.7000000000007</v>
          </cell>
          <cell r="FQ72">
            <v>6493.6</v>
          </cell>
          <cell r="FR72">
            <v>6544.5</v>
          </cell>
          <cell r="FS72">
            <v>6622.7000000000007</v>
          </cell>
          <cell r="FT72">
            <v>6688.3</v>
          </cell>
          <cell r="FU72">
            <v>6813.8</v>
          </cell>
          <cell r="FV72">
            <v>6916.3</v>
          </cell>
          <cell r="FW72">
            <v>7044.3</v>
          </cell>
          <cell r="FX72">
            <v>7131.8</v>
          </cell>
          <cell r="FY72">
            <v>7248.2000000000007</v>
          </cell>
          <cell r="FZ72">
            <v>7307.7000000000007</v>
          </cell>
          <cell r="GA72">
            <v>7355.8</v>
          </cell>
          <cell r="GB72">
            <v>7452.5</v>
          </cell>
          <cell r="GC72">
            <v>7542.5</v>
          </cell>
          <cell r="GD72">
            <v>7638.2000000000007</v>
          </cell>
          <cell r="GE72">
            <v>7800</v>
          </cell>
          <cell r="GF72">
            <v>7892.7000000000007</v>
          </cell>
          <cell r="GG72">
            <v>8023</v>
          </cell>
          <cell r="GH72">
            <v>8137</v>
          </cell>
          <cell r="GI72">
            <v>8276.8000000000011</v>
          </cell>
          <cell r="GJ72">
            <v>8409.9</v>
          </cell>
          <cell r="GK72">
            <v>8505.7000000000007</v>
          </cell>
          <cell r="GL72">
            <v>8600.6</v>
          </cell>
          <cell r="GM72">
            <v>8698.6</v>
          </cell>
          <cell r="GN72">
            <v>8847.2000000000007</v>
          </cell>
          <cell r="GO72">
            <v>9027.5</v>
          </cell>
          <cell r="GP72">
            <v>9148.6</v>
          </cell>
          <cell r="GQ72">
            <v>9252.6</v>
          </cell>
          <cell r="GR72">
            <v>9405.1</v>
          </cell>
          <cell r="GS72">
            <v>9607.7000000000007</v>
          </cell>
          <cell r="GT72">
            <v>9709.5</v>
          </cell>
          <cell r="GU72">
            <v>9949.1</v>
          </cell>
          <cell r="GV72">
            <v>10017.5</v>
          </cell>
          <cell r="GW72">
            <v>10129.800000000001</v>
          </cell>
          <cell r="GX72">
            <v>10165.1</v>
          </cell>
          <cell r="GY72">
            <v>10301.300000000001</v>
          </cell>
          <cell r="GZ72">
            <v>10305.200000000001</v>
          </cell>
          <cell r="HA72">
            <v>10373.1</v>
          </cell>
          <cell r="HB72">
            <v>10498.7</v>
          </cell>
          <cell r="HC72">
            <v>10601.900000000001</v>
          </cell>
          <cell r="HD72">
            <v>10701.7</v>
          </cell>
          <cell r="HE72">
            <v>10766.900000000001</v>
          </cell>
          <cell r="HF72">
            <v>10887.400000000001</v>
          </cell>
          <cell r="HG72">
            <v>11011.6</v>
          </cell>
          <cell r="HH72">
            <v>11255.1</v>
          </cell>
          <cell r="HI72">
            <v>11414.800000000001</v>
          </cell>
          <cell r="HJ72">
            <v>11589.900000000001</v>
          </cell>
          <cell r="HK72">
            <v>11762.900000000001</v>
          </cell>
          <cell r="HL72">
            <v>11936.300000000001</v>
          </cell>
          <cell r="HM72">
            <v>12123.900000000001</v>
          </cell>
          <cell r="HN72">
            <v>12361.800000000001</v>
          </cell>
          <cell r="HO72">
            <v>12500</v>
          </cell>
          <cell r="HP72">
            <v>12728.6</v>
          </cell>
          <cell r="HQ72">
            <v>12901.400000000001</v>
          </cell>
          <cell r="HR72">
            <v>13161.400000000001</v>
          </cell>
          <cell r="HS72">
            <v>13330.400000000001</v>
          </cell>
          <cell r="HT72">
            <v>13432.800000000001</v>
          </cell>
          <cell r="HU72">
            <v>13584.2</v>
          </cell>
          <cell r="HV72">
            <v>13758.5</v>
          </cell>
          <cell r="HW72">
            <v>13976.800000000001</v>
          </cell>
          <cell r="HX72">
            <v>14126.2</v>
          </cell>
          <cell r="HY72">
            <v>14253.2</v>
          </cell>
          <cell r="HZ72">
            <v>14273.900000000001</v>
          </cell>
          <cell r="IA72">
            <v>14415.5</v>
          </cell>
          <cell r="IB72">
            <v>14395.1</v>
          </cell>
          <cell r="IC72">
            <v>14081.7</v>
          </cell>
          <cell r="ID72">
            <v>13893.7</v>
          </cell>
          <cell r="IE72">
            <v>13854.1</v>
          </cell>
          <cell r="IF72">
            <v>13920.5</v>
          </cell>
          <cell r="IG72">
            <v>14087.400000000001</v>
          </cell>
          <cell r="IH72">
            <v>14277.900000000001</v>
          </cell>
          <cell r="II72">
            <v>14467.800000000001</v>
          </cell>
          <cell r="IJ72">
            <v>14605.5</v>
          </cell>
          <cell r="IK72">
            <v>14755</v>
          </cell>
          <cell r="IL72">
            <v>14867.800000000001</v>
          </cell>
          <cell r="IM72">
            <v>15012.800000000001</v>
          </cell>
          <cell r="IN72">
            <v>15198.6</v>
          </cell>
        </row>
        <row r="147">
          <cell r="B147">
            <v>204.9</v>
          </cell>
          <cell r="C147">
            <v>204.70000000000002</v>
          </cell>
          <cell r="D147">
            <v>212.20000000000002</v>
          </cell>
          <cell r="E147">
            <v>218</v>
          </cell>
          <cell r="F147">
            <v>225.10000000000002</v>
          </cell>
          <cell r="G147">
            <v>230.4</v>
          </cell>
          <cell r="H147">
            <v>232.20000000000002</v>
          </cell>
          <cell r="I147">
            <v>235.70000000000002</v>
          </cell>
          <cell r="J147">
            <v>236.5</v>
          </cell>
          <cell r="K147">
            <v>239.4</v>
          </cell>
          <cell r="L147">
            <v>245.8</v>
          </cell>
          <cell r="M147">
            <v>251.10000000000002</v>
          </cell>
          <cell r="N147">
            <v>255.4</v>
          </cell>
          <cell r="O147">
            <v>259.3</v>
          </cell>
          <cell r="P147">
            <v>259.7</v>
          </cell>
          <cell r="Q147">
            <v>259.2</v>
          </cell>
          <cell r="R147">
            <v>262</v>
          </cell>
          <cell r="S147">
            <v>261.8</v>
          </cell>
          <cell r="T147">
            <v>263.90000000000003</v>
          </cell>
          <cell r="U147">
            <v>268.90000000000003</v>
          </cell>
          <cell r="V147">
            <v>273.7</v>
          </cell>
          <cell r="W147">
            <v>280.60000000000002</v>
          </cell>
          <cell r="X147">
            <v>287</v>
          </cell>
          <cell r="Y147">
            <v>291.2</v>
          </cell>
          <cell r="Z147">
            <v>295.40000000000003</v>
          </cell>
          <cell r="AA147">
            <v>300.3</v>
          </cell>
          <cell r="AB147">
            <v>304.60000000000002</v>
          </cell>
          <cell r="AC147">
            <v>311.20000000000005</v>
          </cell>
          <cell r="AD147">
            <v>314.60000000000002</v>
          </cell>
          <cell r="AE147">
            <v>318.70000000000005</v>
          </cell>
          <cell r="AF147">
            <v>322.8</v>
          </cell>
          <cell r="AG147">
            <v>322.60000000000002</v>
          </cell>
          <cell r="AH147">
            <v>323.8</v>
          </cell>
          <cell r="AI147">
            <v>326.5</v>
          </cell>
          <cell r="AJ147">
            <v>333.5</v>
          </cell>
          <cell r="AK147">
            <v>337.6</v>
          </cell>
          <cell r="AL147">
            <v>342.6</v>
          </cell>
          <cell r="AM147">
            <v>350</v>
          </cell>
          <cell r="AN147">
            <v>351.5</v>
          </cell>
          <cell r="AO147">
            <v>356.1</v>
          </cell>
          <cell r="AP147">
            <v>361.1</v>
          </cell>
          <cell r="AQ147">
            <v>364.90000000000003</v>
          </cell>
          <cell r="AR147">
            <v>366.70000000000005</v>
          </cell>
          <cell r="AS147">
            <v>368.1</v>
          </cell>
          <cell r="AT147">
            <v>372.1</v>
          </cell>
          <cell r="AU147">
            <v>377.70000000000005</v>
          </cell>
          <cell r="AV147">
            <v>384.20000000000005</v>
          </cell>
          <cell r="AW147">
            <v>392.20000000000005</v>
          </cell>
          <cell r="AX147">
            <v>397.70000000000005</v>
          </cell>
          <cell r="AY147">
            <v>403.5</v>
          </cell>
          <cell r="AZ147">
            <v>406.8</v>
          </cell>
          <cell r="BA147">
            <v>411.40000000000003</v>
          </cell>
          <cell r="BB147">
            <v>416</v>
          </cell>
          <cell r="BC147">
            <v>420.5</v>
          </cell>
          <cell r="BD147">
            <v>427.3</v>
          </cell>
          <cell r="BE147">
            <v>436</v>
          </cell>
          <cell r="BF147">
            <v>446.8</v>
          </cell>
          <cell r="BG147">
            <v>460</v>
          </cell>
          <cell r="BH147">
            <v>467.6</v>
          </cell>
          <cell r="BI147">
            <v>474.6</v>
          </cell>
          <cell r="BJ147">
            <v>481.40000000000003</v>
          </cell>
          <cell r="BK147">
            <v>489.20000000000005</v>
          </cell>
          <cell r="BL147">
            <v>504.5</v>
          </cell>
          <cell r="BM147">
            <v>516.30000000000007</v>
          </cell>
          <cell r="BN147">
            <v>525.20000000000005</v>
          </cell>
          <cell r="BO147">
            <v>530.80000000000007</v>
          </cell>
          <cell r="BP147">
            <v>541.6</v>
          </cell>
          <cell r="BQ147">
            <v>552.1</v>
          </cell>
          <cell r="BR147">
            <v>562</v>
          </cell>
          <cell r="BS147">
            <v>569.20000000000005</v>
          </cell>
          <cell r="BT147">
            <v>580</v>
          </cell>
          <cell r="BU147">
            <v>589.20000000000005</v>
          </cell>
          <cell r="BV147">
            <v>605.80000000000007</v>
          </cell>
          <cell r="BW147">
            <v>622.1</v>
          </cell>
          <cell r="BX147">
            <v>629.80000000000007</v>
          </cell>
          <cell r="BY147">
            <v>641</v>
          </cell>
          <cell r="BZ147">
            <v>648.40000000000009</v>
          </cell>
          <cell r="CA147">
            <v>663.40000000000009</v>
          </cell>
          <cell r="CB147">
            <v>685.2</v>
          </cell>
          <cell r="CC147">
            <v>698.2</v>
          </cell>
          <cell r="CD147">
            <v>709.80000000000007</v>
          </cell>
          <cell r="CE147">
            <v>730.30000000000007</v>
          </cell>
          <cell r="CF147">
            <v>747.40000000000009</v>
          </cell>
          <cell r="CG147">
            <v>754.6</v>
          </cell>
          <cell r="CH147">
            <v>776.80000000000007</v>
          </cell>
          <cell r="CI147">
            <v>797.40000000000009</v>
          </cell>
          <cell r="CJ147">
            <v>808.80000000000007</v>
          </cell>
          <cell r="CK147">
            <v>822.5</v>
          </cell>
          <cell r="CL147">
            <v>836.40000000000009</v>
          </cell>
          <cell r="CM147">
            <v>849.1</v>
          </cell>
          <cell r="CN147">
            <v>874.1</v>
          </cell>
          <cell r="CO147">
            <v>916.40000000000009</v>
          </cell>
          <cell r="CP147">
            <v>938</v>
          </cell>
          <cell r="CQ147">
            <v>965.6</v>
          </cell>
          <cell r="CR147">
            <v>988.2</v>
          </cell>
          <cell r="CS147">
            <v>1020.8000000000001</v>
          </cell>
          <cell r="CT147">
            <v>1035</v>
          </cell>
          <cell r="CU147">
            <v>1055.2</v>
          </cell>
          <cell r="CV147">
            <v>1087</v>
          </cell>
          <cell r="CW147">
            <v>1109.6000000000001</v>
          </cell>
          <cell r="CX147">
            <v>1125.9000000000001</v>
          </cell>
          <cell r="CY147">
            <v>1193</v>
          </cell>
          <cell r="CZ147">
            <v>1198.8</v>
          </cell>
          <cell r="DA147">
            <v>1231.3000000000002</v>
          </cell>
          <cell r="DB147">
            <v>1263.3000000000002</v>
          </cell>
          <cell r="DC147">
            <v>1284.4000000000001</v>
          </cell>
          <cell r="DD147">
            <v>1315.7</v>
          </cell>
          <cell r="DE147">
            <v>1346.1000000000001</v>
          </cell>
          <cell r="DF147">
            <v>1371.4</v>
          </cell>
          <cell r="DG147">
            <v>1410.8000000000002</v>
          </cell>
          <cell r="DH147">
            <v>1453.6000000000001</v>
          </cell>
          <cell r="DI147">
            <v>1504.1000000000001</v>
          </cell>
          <cell r="DJ147">
            <v>1538.6000000000001</v>
          </cell>
          <cell r="DK147">
            <v>1588.2</v>
          </cell>
          <cell r="DL147">
            <v>1629.3000000000002</v>
          </cell>
          <cell r="DM147">
            <v>1673.2</v>
          </cell>
          <cell r="DN147">
            <v>1723.3000000000002</v>
          </cell>
          <cell r="DO147">
            <v>1757.9</v>
          </cell>
          <cell r="DP147">
            <v>1811.8000000000002</v>
          </cell>
          <cell r="DQ147">
            <v>1870.4</v>
          </cell>
          <cell r="DR147">
            <v>1931.8000000000002</v>
          </cell>
          <cell r="DS147">
            <v>1951.4</v>
          </cell>
          <cell r="DT147">
            <v>2017.5</v>
          </cell>
          <cell r="DU147">
            <v>2110</v>
          </cell>
          <cell r="DV147">
            <v>2157.4</v>
          </cell>
          <cell r="DW147">
            <v>2193.6</v>
          </cell>
          <cell r="DX147">
            <v>2279.1</v>
          </cell>
          <cell r="DY147">
            <v>2318.4</v>
          </cell>
          <cell r="DZ147">
            <v>2350.4</v>
          </cell>
          <cell r="EA147">
            <v>2389.4</v>
          </cell>
          <cell r="EB147">
            <v>2437.6</v>
          </cell>
          <cell r="EC147">
            <v>2473.3000000000002</v>
          </cell>
          <cell r="ED147">
            <v>2514.3000000000002</v>
          </cell>
          <cell r="EE147">
            <v>2555.9</v>
          </cell>
          <cell r="EF147">
            <v>2628.5</v>
          </cell>
          <cell r="EG147">
            <v>2700.6000000000004</v>
          </cell>
          <cell r="EH147">
            <v>2789.5</v>
          </cell>
          <cell r="EI147">
            <v>2865.1000000000004</v>
          </cell>
          <cell r="EJ147">
            <v>2932.4</v>
          </cell>
          <cell r="EK147">
            <v>2978.8</v>
          </cell>
          <cell r="EL147">
            <v>3003.1000000000004</v>
          </cell>
          <cell r="EM147">
            <v>3085.6000000000004</v>
          </cell>
          <cell r="EN147">
            <v>3086</v>
          </cell>
          <cell r="EO147">
            <v>3142.6000000000004</v>
          </cell>
          <cell r="EP147">
            <v>3202.9</v>
          </cell>
          <cell r="EQ147">
            <v>3241.4</v>
          </cell>
          <cell r="ER147">
            <v>3282.4</v>
          </cell>
          <cell r="ES147">
            <v>3308.5</v>
          </cell>
          <cell r="ET147">
            <v>3373</v>
          </cell>
          <cell r="EU147">
            <v>3365.9</v>
          </cell>
          <cell r="EV147">
            <v>3461.5</v>
          </cell>
          <cell r="EW147">
            <v>3540.9</v>
          </cell>
          <cell r="EX147">
            <v>3616.1000000000004</v>
          </cell>
          <cell r="EY147">
            <v>3690</v>
          </cell>
          <cell r="EZ147">
            <v>3764.3</v>
          </cell>
          <cell r="FA147">
            <v>3834.9</v>
          </cell>
          <cell r="FB147">
            <v>3925.3</v>
          </cell>
          <cell r="FC147">
            <v>3960.8</v>
          </cell>
          <cell r="FD147">
            <v>4008.3</v>
          </cell>
          <cell r="FE147">
            <v>4071.1000000000004</v>
          </cell>
          <cell r="FF147">
            <v>4164</v>
          </cell>
          <cell r="FG147">
            <v>4236.7</v>
          </cell>
          <cell r="FH147">
            <v>4293.9000000000005</v>
          </cell>
          <cell r="FI147">
            <v>4321.5</v>
          </cell>
          <cell r="FJ147">
            <v>4362.5</v>
          </cell>
          <cell r="FK147">
            <v>4422.1000000000004</v>
          </cell>
          <cell r="FL147">
            <v>4465.1000000000004</v>
          </cell>
          <cell r="FM147">
            <v>4529.8</v>
          </cell>
          <cell r="FN147">
            <v>4634.1000000000004</v>
          </cell>
          <cell r="FO147">
            <v>4701.9000000000005</v>
          </cell>
          <cell r="FP147">
            <v>4756.8</v>
          </cell>
          <cell r="FQ147">
            <v>4854.1000000000004</v>
          </cell>
          <cell r="FR147">
            <v>4805.9000000000005</v>
          </cell>
          <cell r="FS147">
            <v>4908.4000000000005</v>
          </cell>
          <cell r="FT147">
            <v>4936.2000000000007</v>
          </cell>
          <cell r="FU147">
            <v>5036</v>
          </cell>
          <cell r="FV147">
            <v>5035.7000000000007</v>
          </cell>
          <cell r="FW147">
            <v>5148.8</v>
          </cell>
          <cell r="FX147">
            <v>5229</v>
          </cell>
          <cell r="FY147">
            <v>5323.7000000000007</v>
          </cell>
          <cell r="FZ147">
            <v>5387.2000000000007</v>
          </cell>
          <cell r="GA147">
            <v>5419.1</v>
          </cell>
          <cell r="GB147">
            <v>5482.7000000000007</v>
          </cell>
          <cell r="GC147">
            <v>5539</v>
          </cell>
          <cell r="GD147">
            <v>5630.8</v>
          </cell>
          <cell r="GE147">
            <v>5728.3</v>
          </cell>
          <cell r="GF147">
            <v>5803.6</v>
          </cell>
          <cell r="GG147">
            <v>5875.9000000000005</v>
          </cell>
          <cell r="GH147">
            <v>5959.1</v>
          </cell>
          <cell r="GI147">
            <v>6019.9000000000005</v>
          </cell>
          <cell r="GJ147">
            <v>6106.1</v>
          </cell>
          <cell r="GK147">
            <v>6213.2000000000007</v>
          </cell>
          <cell r="GL147">
            <v>6357.6</v>
          </cell>
          <cell r="GM147">
            <v>6463.4000000000005</v>
          </cell>
          <cell r="GN147">
            <v>6553.2000000000007</v>
          </cell>
          <cell r="GO147">
            <v>6621.6</v>
          </cell>
          <cell r="GP147">
            <v>6687.4000000000005</v>
          </cell>
          <cell r="GQ147">
            <v>6740.8</v>
          </cell>
          <cell r="GR147">
            <v>6819.9000000000005</v>
          </cell>
          <cell r="GS147">
            <v>6965.1</v>
          </cell>
          <cell r="GT147">
            <v>7174.9000000000005</v>
          </cell>
          <cell r="GU147">
            <v>7280.5</v>
          </cell>
          <cell r="GV147">
            <v>7400.6</v>
          </cell>
          <cell r="GW147">
            <v>7452.7000000000007</v>
          </cell>
          <cell r="GX147">
            <v>7561.4000000000005</v>
          </cell>
          <cell r="GY147">
            <v>7576.8</v>
          </cell>
          <cell r="GZ147">
            <v>7771.1</v>
          </cell>
          <cell r="HA147">
            <v>7684.6</v>
          </cell>
          <cell r="HB147">
            <v>7909.9000000000005</v>
          </cell>
          <cell r="HC147">
            <v>8015.4000000000005</v>
          </cell>
          <cell r="HD147">
            <v>8028.3</v>
          </cell>
          <cell r="HE147">
            <v>8085.1</v>
          </cell>
          <cell r="HF147">
            <v>8173.2000000000007</v>
          </cell>
          <cell r="HG147">
            <v>8303</v>
          </cell>
          <cell r="HH147">
            <v>8473.5</v>
          </cell>
          <cell r="HI147">
            <v>8561.5</v>
          </cell>
          <cell r="HJ147">
            <v>8670.5</v>
          </cell>
          <cell r="HK147">
            <v>8820.7000000000007</v>
          </cell>
          <cell r="HL147">
            <v>8934.4</v>
          </cell>
          <cell r="HM147">
            <v>9132.1</v>
          </cell>
          <cell r="HN147">
            <v>9074.3000000000011</v>
          </cell>
          <cell r="HO147">
            <v>9194.4</v>
          </cell>
          <cell r="HP147">
            <v>9353.5</v>
          </cell>
          <cell r="HQ147">
            <v>9487.1</v>
          </cell>
          <cell r="HR147">
            <v>9705.2000000000007</v>
          </cell>
          <cell r="HS147">
            <v>9863.8000000000011</v>
          </cell>
          <cell r="HT147">
            <v>9982.5</v>
          </cell>
          <cell r="HU147">
            <v>10111.200000000001</v>
          </cell>
          <cell r="HV147">
            <v>10255.5</v>
          </cell>
          <cell r="HW147">
            <v>10358.6</v>
          </cell>
          <cell r="HX147">
            <v>10456.900000000001</v>
          </cell>
          <cell r="HY147">
            <v>10623.400000000001</v>
          </cell>
          <cell r="HZ147">
            <v>10879.6</v>
          </cell>
          <cell r="IA147">
            <v>11220</v>
          </cell>
          <cell r="IB147">
            <v>11081.2</v>
          </cell>
          <cell r="IC147">
            <v>10917.300000000001</v>
          </cell>
          <cell r="ID147">
            <v>10766.300000000001</v>
          </cell>
          <cell r="IE147">
            <v>10823.800000000001</v>
          </cell>
          <cell r="IF147">
            <v>10753.5</v>
          </cell>
          <cell r="IG147">
            <v>10811.7</v>
          </cell>
          <cell r="IH147">
            <v>10991.300000000001</v>
          </cell>
          <cell r="II147">
            <v>11150.2</v>
          </cell>
          <cell r="IJ147">
            <v>11240.400000000001</v>
          </cell>
          <cell r="IK147">
            <v>11336.7</v>
          </cell>
          <cell r="IL147">
            <v>11481</v>
          </cell>
          <cell r="IM147">
            <v>11591.5</v>
          </cell>
          <cell r="IN147">
            <v>11608.5</v>
          </cell>
        </row>
        <row r="155">
          <cell r="B155">
            <v>9.3000000000000007</v>
          </cell>
          <cell r="C155">
            <v>7.3000000000000007</v>
          </cell>
          <cell r="D155">
            <v>4.1000000000000005</v>
          </cell>
          <cell r="E155">
            <v>7.8000000000000007</v>
          </cell>
          <cell r="F155">
            <v>5.6000000000000005</v>
          </cell>
          <cell r="G155">
            <v>9.7000000000000011</v>
          </cell>
          <cell r="H155">
            <v>9.2000000000000011</v>
          </cell>
          <cell r="I155">
            <v>8.9</v>
          </cell>
          <cell r="J155">
            <v>8.6</v>
          </cell>
          <cell r="K155">
            <v>7.9</v>
          </cell>
          <cell r="L155">
            <v>9.2000000000000011</v>
          </cell>
          <cell r="M155">
            <v>7.8000000000000007</v>
          </cell>
          <cell r="N155">
            <v>7.9</v>
          </cell>
          <cell r="O155">
            <v>8.5</v>
          </cell>
          <cell r="P155">
            <v>8.3000000000000007</v>
          </cell>
          <cell r="Q155">
            <v>8.3000000000000007</v>
          </cell>
          <cell r="R155">
            <v>8.5</v>
          </cell>
          <cell r="S155">
            <v>7.4</v>
          </cell>
          <cell r="T155">
            <v>7.1000000000000005</v>
          </cell>
          <cell r="U155">
            <v>7.1000000000000005</v>
          </cell>
          <cell r="V155">
            <v>6.4</v>
          </cell>
          <cell r="W155">
            <v>6.8000000000000007</v>
          </cell>
          <cell r="X155">
            <v>7.3000000000000007</v>
          </cell>
          <cell r="Y155">
            <v>7.2</v>
          </cell>
          <cell r="Z155">
            <v>7.9</v>
          </cell>
          <cell r="AA155">
            <v>8.5</v>
          </cell>
          <cell r="AB155">
            <v>8.6</v>
          </cell>
          <cell r="AC155">
            <v>8.9</v>
          </cell>
          <cell r="AD155">
            <v>8.4</v>
          </cell>
          <cell r="AE155">
            <v>8.8000000000000007</v>
          </cell>
          <cell r="AF155">
            <v>8.5</v>
          </cell>
          <cell r="AG155">
            <v>7.9</v>
          </cell>
          <cell r="AH155">
            <v>8.4</v>
          </cell>
          <cell r="AI155">
            <v>8.3000000000000007</v>
          </cell>
          <cell r="AJ155">
            <v>8.7000000000000011</v>
          </cell>
          <cell r="AK155">
            <v>8.7000000000000011</v>
          </cell>
          <cell r="AL155">
            <v>7.8000000000000007</v>
          </cell>
          <cell r="AM155">
            <v>7.9</v>
          </cell>
          <cell r="AN155">
            <v>6.8000000000000007</v>
          </cell>
          <cell r="AO155">
            <v>7.3000000000000007</v>
          </cell>
          <cell r="AP155">
            <v>7.6000000000000005</v>
          </cell>
          <cell r="AQ155">
            <v>6.9</v>
          </cell>
          <cell r="AR155">
            <v>7.3000000000000007</v>
          </cell>
          <cell r="AS155">
            <v>7.1000000000000005</v>
          </cell>
          <cell r="AT155">
            <v>7.9</v>
          </cell>
          <cell r="AU155">
            <v>8</v>
          </cell>
          <cell r="AV155">
            <v>8.8000000000000007</v>
          </cell>
          <cell r="AW155">
            <v>8.7000000000000011</v>
          </cell>
          <cell r="AX155">
            <v>8.6</v>
          </cell>
          <cell r="AY155">
            <v>8.5</v>
          </cell>
          <cell r="AZ155">
            <v>8.2000000000000011</v>
          </cell>
          <cell r="BA155">
            <v>7.7</v>
          </cell>
          <cell r="BB155">
            <v>7.8000000000000007</v>
          </cell>
          <cell r="BC155">
            <v>7.7</v>
          </cell>
          <cell r="BD155">
            <v>7.5</v>
          </cell>
          <cell r="BE155">
            <v>8.2000000000000011</v>
          </cell>
          <cell r="BF155">
            <v>8.2000000000000011</v>
          </cell>
          <cell r="BG155">
            <v>9</v>
          </cell>
          <cell r="BH155">
            <v>8.5</v>
          </cell>
          <cell r="BI155">
            <v>9.3000000000000007</v>
          </cell>
          <cell r="BJ155">
            <v>8.3000000000000007</v>
          </cell>
          <cell r="BK155">
            <v>8.3000000000000007</v>
          </cell>
          <cell r="BL155">
            <v>9.2000000000000011</v>
          </cell>
          <cell r="BM155">
            <v>8.5</v>
          </cell>
          <cell r="BN155">
            <v>8.1</v>
          </cell>
          <cell r="BO155">
            <v>8</v>
          </cell>
          <cell r="BP155">
            <v>8.1</v>
          </cell>
          <cell r="BQ155">
            <v>8.8000000000000007</v>
          </cell>
          <cell r="BR155">
            <v>9.6000000000000014</v>
          </cell>
          <cell r="BS155">
            <v>9</v>
          </cell>
          <cell r="BT155">
            <v>9.5</v>
          </cell>
          <cell r="BU155">
            <v>9.6000000000000014</v>
          </cell>
          <cell r="BV155">
            <v>9.1</v>
          </cell>
          <cell r="BW155">
            <v>9.2000000000000011</v>
          </cell>
          <cell r="BX155">
            <v>7.6000000000000005</v>
          </cell>
          <cell r="BY155">
            <v>7.8000000000000007</v>
          </cell>
          <cell r="BZ155">
            <v>6.9</v>
          </cell>
          <cell r="CA155">
            <v>7.2</v>
          </cell>
          <cell r="CB155">
            <v>8.6</v>
          </cell>
          <cell r="CC155">
            <v>8.5</v>
          </cell>
          <cell r="CD155">
            <v>8.4</v>
          </cell>
          <cell r="CE155">
            <v>9.5</v>
          </cell>
          <cell r="CF155">
            <v>9.9</v>
          </cell>
          <cell r="CG155">
            <v>9.9</v>
          </cell>
          <cell r="CH155">
            <v>10</v>
          </cell>
          <cell r="CI155">
            <v>10.5</v>
          </cell>
          <cell r="CJ155">
            <v>10.100000000000001</v>
          </cell>
          <cell r="CK155">
            <v>9.6000000000000014</v>
          </cell>
          <cell r="CL155">
            <v>9</v>
          </cell>
          <cell r="CM155">
            <v>8.1</v>
          </cell>
          <cell r="CN155">
            <v>8.5</v>
          </cell>
          <cell r="CO155">
            <v>10</v>
          </cell>
          <cell r="CP155">
            <v>9.4</v>
          </cell>
          <cell r="CQ155">
            <v>10.4</v>
          </cell>
          <cell r="CR155">
            <v>10.5</v>
          </cell>
          <cell r="CS155">
            <v>11.700000000000001</v>
          </cell>
          <cell r="CT155">
            <v>11.3</v>
          </cell>
          <cell r="CU155">
            <v>10.200000000000001</v>
          </cell>
          <cell r="CV155">
            <v>10.100000000000001</v>
          </cell>
          <cell r="CW155">
            <v>11</v>
          </cell>
          <cell r="CX155">
            <v>9.8000000000000007</v>
          </cell>
          <cell r="CY155">
            <v>12.5</v>
          </cell>
          <cell r="CZ155">
            <v>10</v>
          </cell>
          <cell r="DA155">
            <v>10</v>
          </cell>
          <cell r="DB155">
            <v>9.7000000000000011</v>
          </cell>
          <cell r="DC155">
            <v>9.6000000000000014</v>
          </cell>
          <cell r="DD155">
            <v>9.5</v>
          </cell>
          <cell r="DE155">
            <v>9</v>
          </cell>
          <cell r="DF155">
            <v>8</v>
          </cell>
          <cell r="DG155">
            <v>8.5</v>
          </cell>
          <cell r="DH155">
            <v>9</v>
          </cell>
          <cell r="DI155">
            <v>9.4</v>
          </cell>
          <cell r="DJ155">
            <v>9.4</v>
          </cell>
          <cell r="DK155">
            <v>8.5</v>
          </cell>
          <cell r="DL155">
            <v>8.8000000000000007</v>
          </cell>
          <cell r="DM155">
            <v>8.8000000000000007</v>
          </cell>
          <cell r="DN155">
            <v>9.3000000000000007</v>
          </cell>
          <cell r="DO155">
            <v>8.7000000000000011</v>
          </cell>
          <cell r="DP155">
            <v>8.4</v>
          </cell>
          <cell r="DQ155">
            <v>8.8000000000000007</v>
          </cell>
          <cell r="DR155">
            <v>9</v>
          </cell>
          <cell r="DS155">
            <v>9.8000000000000007</v>
          </cell>
          <cell r="DT155">
            <v>9.9</v>
          </cell>
          <cell r="DU155">
            <v>10.5</v>
          </cell>
          <cell r="DV155">
            <v>9.7000000000000011</v>
          </cell>
          <cell r="DW155">
            <v>9.6000000000000014</v>
          </cell>
          <cell r="DX155">
            <v>11.100000000000001</v>
          </cell>
          <cell r="DY155">
            <v>11.9</v>
          </cell>
          <cell r="DZ155">
            <v>11.3</v>
          </cell>
          <cell r="EA155">
            <v>11.5</v>
          </cell>
          <cell r="EB155">
            <v>11.200000000000001</v>
          </cell>
          <cell r="EC155">
            <v>9.8000000000000007</v>
          </cell>
          <cell r="ED155">
            <v>9.6000000000000014</v>
          </cell>
          <cell r="EE155">
            <v>8.5</v>
          </cell>
          <cell r="EF155">
            <v>8.2000000000000011</v>
          </cell>
          <cell r="EG155">
            <v>8.6</v>
          </cell>
          <cell r="EH155">
            <v>9.8000000000000007</v>
          </cell>
          <cell r="EI155">
            <v>10.100000000000001</v>
          </cell>
          <cell r="EJ155">
            <v>10.700000000000001</v>
          </cell>
          <cell r="EK155">
            <v>10.4</v>
          </cell>
          <cell r="EL155">
            <v>8.6</v>
          </cell>
          <cell r="EM155">
            <v>9.4</v>
          </cell>
          <cell r="EN155">
            <v>7.1000000000000005</v>
          </cell>
          <cell r="EO155">
            <v>7.8000000000000007</v>
          </cell>
          <cell r="EP155">
            <v>8.2000000000000011</v>
          </cell>
          <cell r="EQ155">
            <v>8.2000000000000011</v>
          </cell>
          <cell r="ER155">
            <v>7.2</v>
          </cell>
          <cell r="ES155">
            <v>6.7</v>
          </cell>
          <cell r="ET155">
            <v>7.5</v>
          </cell>
          <cell r="EU155">
            <v>5.3000000000000007</v>
          </cell>
          <cell r="EV155">
            <v>6</v>
          </cell>
          <cell r="EW155">
            <v>7.1000000000000005</v>
          </cell>
          <cell r="EX155">
            <v>6.8000000000000007</v>
          </cell>
          <cell r="EY155">
            <v>7</v>
          </cell>
          <cell r="EZ155">
            <v>7</v>
          </cell>
          <cell r="FA155">
            <v>6.8000000000000007</v>
          </cell>
          <cell r="FB155">
            <v>7.4</v>
          </cell>
          <cell r="FC155">
            <v>6.6000000000000005</v>
          </cell>
          <cell r="FD155">
            <v>6.2</v>
          </cell>
          <cell r="FE155">
            <v>6.4</v>
          </cell>
          <cell r="FF155">
            <v>6.4</v>
          </cell>
          <cell r="FG155">
            <v>6.7</v>
          </cell>
          <cell r="FH155">
            <v>6.4</v>
          </cell>
          <cell r="FI155">
            <v>6.5</v>
          </cell>
          <cell r="FJ155">
            <v>7</v>
          </cell>
          <cell r="FK155">
            <v>7</v>
          </cell>
          <cell r="FL155">
            <v>6.8000000000000007</v>
          </cell>
          <cell r="FM155">
            <v>7.4</v>
          </cell>
          <cell r="FN155">
            <v>7.4</v>
          </cell>
          <cell r="FO155">
            <v>7.6000000000000005</v>
          </cell>
          <cell r="FP155">
            <v>7</v>
          </cell>
          <cell r="FQ155">
            <v>7.4</v>
          </cell>
          <cell r="FR155">
            <v>5.6000000000000005</v>
          </cell>
          <cell r="FS155">
            <v>6.2</v>
          </cell>
          <cell r="FT155">
            <v>5.4</v>
          </cell>
          <cell r="FU155">
            <v>6</v>
          </cell>
          <cell r="FV155">
            <v>4.6000000000000005</v>
          </cell>
          <cell r="FW155">
            <v>5.4</v>
          </cell>
          <cell r="FX155">
            <v>5.3000000000000007</v>
          </cell>
          <cell r="FY155">
            <v>5.6000000000000005</v>
          </cell>
          <cell r="FZ155">
            <v>6.1000000000000005</v>
          </cell>
          <cell r="GA155">
            <v>5.2</v>
          </cell>
          <cell r="GB155">
            <v>5</v>
          </cell>
          <cell r="GC155">
            <v>4.8000000000000007</v>
          </cell>
          <cell r="GD155">
            <v>4.9000000000000004</v>
          </cell>
          <cell r="GE155">
            <v>4.8000000000000007</v>
          </cell>
          <cell r="GF155">
            <v>5</v>
          </cell>
          <cell r="GG155">
            <v>4.7</v>
          </cell>
          <cell r="GH155">
            <v>4.6000000000000005</v>
          </cell>
          <cell r="GI155">
            <v>4.9000000000000004</v>
          </cell>
          <cell r="GJ155">
            <v>4.4000000000000004</v>
          </cell>
          <cell r="GK155">
            <v>4.6000000000000005</v>
          </cell>
          <cell r="GL155">
            <v>5.8000000000000007</v>
          </cell>
          <cell r="GM155">
            <v>5.5</v>
          </cell>
          <cell r="GN155">
            <v>5.2</v>
          </cell>
          <cell r="GO155">
            <v>4.5</v>
          </cell>
          <cell r="GP155">
            <v>4.3</v>
          </cell>
          <cell r="GQ155">
            <v>3</v>
          </cell>
          <cell r="GR155">
            <v>2.4000000000000004</v>
          </cell>
          <cell r="GS155">
            <v>2.6</v>
          </cell>
          <cell r="GT155">
            <v>3.1</v>
          </cell>
          <cell r="GU155">
            <v>3.1</v>
          </cell>
          <cell r="GV155">
            <v>3.1</v>
          </cell>
          <cell r="GW155">
            <v>2.4000000000000004</v>
          </cell>
          <cell r="GX155">
            <v>2.8000000000000003</v>
          </cell>
          <cell r="GY155">
            <v>2.1</v>
          </cell>
          <cell r="GZ155">
            <v>4.2</v>
          </cell>
          <cell r="HA155">
            <v>1.6</v>
          </cell>
          <cell r="HB155">
            <v>4</v>
          </cell>
          <cell r="HC155">
            <v>4</v>
          </cell>
          <cell r="HD155">
            <v>3.1</v>
          </cell>
          <cell r="HE155">
            <v>3.1</v>
          </cell>
          <cell r="HF155">
            <v>3.1</v>
          </cell>
          <cell r="HG155">
            <v>3.5</v>
          </cell>
          <cell r="HH155">
            <v>3.6</v>
          </cell>
          <cell r="HI155">
            <v>3.6</v>
          </cell>
          <cell r="HJ155">
            <v>3.3000000000000003</v>
          </cell>
          <cell r="HK155">
            <v>3.8000000000000003</v>
          </cell>
          <cell r="HL155">
            <v>3.5</v>
          </cell>
          <cell r="HM155">
            <v>3.8000000000000003</v>
          </cell>
          <cell r="HN155">
            <v>1.8</v>
          </cell>
          <cell r="HO155">
            <v>1.5</v>
          </cell>
          <cell r="HP155">
            <v>1.3</v>
          </cell>
          <cell r="HQ155">
            <v>1.6</v>
          </cell>
          <cell r="HR155">
            <v>2.4000000000000004</v>
          </cell>
          <cell r="HS155">
            <v>2.7</v>
          </cell>
          <cell r="HT155">
            <v>2.5</v>
          </cell>
          <cell r="HU155">
            <v>2.8000000000000003</v>
          </cell>
          <cell r="HV155">
            <v>2.6</v>
          </cell>
          <cell r="HW155">
            <v>2.3000000000000003</v>
          </cell>
          <cell r="HX155">
            <v>2.1</v>
          </cell>
          <cell r="HY155">
            <v>2.5</v>
          </cell>
          <cell r="HZ155">
            <v>4.2</v>
          </cell>
          <cell r="IA155">
            <v>6.2</v>
          </cell>
          <cell r="IB155">
            <v>4.9000000000000004</v>
          </cell>
          <cell r="IC155">
            <v>6.2</v>
          </cell>
          <cell r="ID155">
            <v>5.7</v>
          </cell>
          <cell r="IE155">
            <v>6.2</v>
          </cell>
          <cell r="IF155">
            <v>4.4000000000000004</v>
          </cell>
          <cell r="IG155">
            <v>4.3</v>
          </cell>
          <cell r="IH155">
            <v>4.9000000000000004</v>
          </cell>
          <cell r="II155">
            <v>5.6000000000000005</v>
          </cell>
          <cell r="IJ155">
            <v>5.6000000000000005</v>
          </cell>
          <cell r="IK155">
            <v>5.2</v>
          </cell>
          <cell r="IL155">
            <v>5</v>
          </cell>
          <cell r="IM155">
            <v>5.1000000000000005</v>
          </cell>
          <cell r="IN155">
            <v>4.1000000000000005</v>
          </cell>
        </row>
        <row r="171">
          <cell r="B171">
            <v>14.374000000000001</v>
          </cell>
          <cell r="C171">
            <v>14.433</v>
          </cell>
          <cell r="D171">
            <v>14.727</v>
          </cell>
          <cell r="E171">
            <v>14.977</v>
          </cell>
          <cell r="F171">
            <v>15.493</v>
          </cell>
          <cell r="G171">
            <v>15.582000000000001</v>
          </cell>
          <cell r="H171">
            <v>15.632</v>
          </cell>
          <cell r="I171">
            <v>15.834</v>
          </cell>
          <cell r="J171">
            <v>15.851000000000001</v>
          </cell>
          <cell r="K171">
            <v>15.919</v>
          </cell>
          <cell r="L171">
            <v>16.039000000000001</v>
          </cell>
          <cell r="M171">
            <v>16.094999999999999</v>
          </cell>
          <cell r="N171">
            <v>16.109000000000002</v>
          </cell>
          <cell r="O171">
            <v>16.147000000000002</v>
          </cell>
          <cell r="P171">
            <v>16.201000000000001</v>
          </cell>
          <cell r="Q171">
            <v>16.254999999999999</v>
          </cell>
          <cell r="R171">
            <v>16.323</v>
          </cell>
          <cell r="S171">
            <v>16.347999999999999</v>
          </cell>
          <cell r="T171">
            <v>16.338000000000001</v>
          </cell>
          <cell r="U171">
            <v>16.356999999999999</v>
          </cell>
          <cell r="V171">
            <v>16.420999999999999</v>
          </cell>
          <cell r="W171">
            <v>16.510999999999999</v>
          </cell>
          <cell r="X171">
            <v>16.631</v>
          </cell>
          <cell r="Y171">
            <v>16.741</v>
          </cell>
          <cell r="Z171">
            <v>16.905999999999999</v>
          </cell>
          <cell r="AA171">
            <v>17.065000000000001</v>
          </cell>
          <cell r="AB171">
            <v>17.257999999999999</v>
          </cell>
          <cell r="AC171">
            <v>17.362000000000002</v>
          </cell>
          <cell r="AD171">
            <v>17.565000000000001</v>
          </cell>
          <cell r="AE171">
            <v>17.686</v>
          </cell>
          <cell r="AF171">
            <v>17.824000000000002</v>
          </cell>
          <cell r="AG171">
            <v>17.920000000000002</v>
          </cell>
          <cell r="AH171">
            <v>18.071000000000002</v>
          </cell>
          <cell r="AI171">
            <v>18.149000000000001</v>
          </cell>
          <cell r="AJ171">
            <v>18.193999999999999</v>
          </cell>
          <cell r="AK171">
            <v>18.213999999999999</v>
          </cell>
          <cell r="AL171">
            <v>18.283000000000001</v>
          </cell>
          <cell r="AM171">
            <v>18.324999999999999</v>
          </cell>
          <cell r="AN171">
            <v>18.385000000000002</v>
          </cell>
          <cell r="AO171">
            <v>18.461000000000002</v>
          </cell>
          <cell r="AP171">
            <v>18.498999999999999</v>
          </cell>
          <cell r="AQ171">
            <v>18.577000000000002</v>
          </cell>
          <cell r="AR171">
            <v>18.661999999999999</v>
          </cell>
          <cell r="AS171">
            <v>18.742000000000001</v>
          </cell>
          <cell r="AT171">
            <v>18.766000000000002</v>
          </cell>
          <cell r="AU171">
            <v>18.802</v>
          </cell>
          <cell r="AV171">
            <v>18.850999999999999</v>
          </cell>
          <cell r="AW171">
            <v>18.900000000000002</v>
          </cell>
          <cell r="AX171">
            <v>19.009</v>
          </cell>
          <cell r="AY171">
            <v>19.057000000000002</v>
          </cell>
          <cell r="AZ171">
            <v>19.108000000000001</v>
          </cell>
          <cell r="BA171">
            <v>19.175000000000001</v>
          </cell>
          <cell r="BB171">
            <v>19.228999999999999</v>
          </cell>
          <cell r="BC171">
            <v>19.248000000000001</v>
          </cell>
          <cell r="BD171">
            <v>19.283000000000001</v>
          </cell>
          <cell r="BE171">
            <v>19.399000000000001</v>
          </cell>
          <cell r="BF171">
            <v>19.469000000000001</v>
          </cell>
          <cell r="BG171">
            <v>19.533999999999999</v>
          </cell>
          <cell r="BH171">
            <v>19.631</v>
          </cell>
          <cell r="BI171">
            <v>19.721</v>
          </cell>
          <cell r="BJ171">
            <v>19.805</v>
          </cell>
          <cell r="BK171">
            <v>19.893000000000001</v>
          </cell>
          <cell r="BL171">
            <v>19.98</v>
          </cell>
          <cell r="BM171">
            <v>20.103000000000002</v>
          </cell>
          <cell r="BN171">
            <v>20.227</v>
          </cell>
          <cell r="BO171">
            <v>20.417999999999999</v>
          </cell>
          <cell r="BP171">
            <v>20.608000000000001</v>
          </cell>
          <cell r="BQ171">
            <v>20.79</v>
          </cell>
          <cell r="BR171">
            <v>20.891999999999999</v>
          </cell>
          <cell r="BS171">
            <v>21.02</v>
          </cell>
          <cell r="BT171">
            <v>21.212</v>
          </cell>
          <cell r="BU171">
            <v>21.445</v>
          </cell>
          <cell r="BV171">
            <v>21.676000000000002</v>
          </cell>
          <cell r="BW171">
            <v>21.917999999999999</v>
          </cell>
          <cell r="BX171">
            <v>22.13</v>
          </cell>
          <cell r="BY171">
            <v>22.437000000000001</v>
          </cell>
          <cell r="BZ171">
            <v>22.663</v>
          </cell>
          <cell r="CA171">
            <v>22.966000000000001</v>
          </cell>
          <cell r="CB171">
            <v>23.298999999999999</v>
          </cell>
          <cell r="CC171">
            <v>23.591000000000001</v>
          </cell>
          <cell r="CD171">
            <v>23.917999999999999</v>
          </cell>
          <cell r="CE171">
            <v>24.260999999999999</v>
          </cell>
          <cell r="CF171">
            <v>24.452999999999999</v>
          </cell>
          <cell r="CG171">
            <v>24.763000000000002</v>
          </cell>
          <cell r="CH171">
            <v>25.135999999999999</v>
          </cell>
          <cell r="CI171">
            <v>25.472999999999999</v>
          </cell>
          <cell r="CJ171">
            <v>25.727</v>
          </cell>
          <cell r="CK171">
            <v>25.932000000000002</v>
          </cell>
          <cell r="CL171">
            <v>26.356000000000002</v>
          </cell>
          <cell r="CM171">
            <v>26.507999999999999</v>
          </cell>
          <cell r="CN171">
            <v>26.751000000000001</v>
          </cell>
          <cell r="CO171">
            <v>27.064</v>
          </cell>
          <cell r="CP171">
            <v>27.417999999999999</v>
          </cell>
          <cell r="CQ171">
            <v>27.875</v>
          </cell>
          <cell r="CR171">
            <v>28.407</v>
          </cell>
          <cell r="CS171">
            <v>28.894000000000002</v>
          </cell>
          <cell r="CT171">
            <v>29.491</v>
          </cell>
          <cell r="CU171">
            <v>30.151</v>
          </cell>
          <cell r="CV171">
            <v>31.09</v>
          </cell>
          <cell r="CW171">
            <v>32.049999999999997</v>
          </cell>
          <cell r="CX171">
            <v>32.788000000000004</v>
          </cell>
          <cell r="CY171">
            <v>33.265000000000001</v>
          </cell>
          <cell r="CZ171">
            <v>33.886000000000003</v>
          </cell>
          <cell r="DA171">
            <v>34.484000000000002</v>
          </cell>
          <cell r="DB171">
            <v>34.871000000000002</v>
          </cell>
          <cell r="DC171">
            <v>35.238</v>
          </cell>
          <cell r="DD171">
            <v>35.71</v>
          </cell>
          <cell r="DE171">
            <v>36.322000000000003</v>
          </cell>
          <cell r="DF171">
            <v>36.933</v>
          </cell>
          <cell r="DG171">
            <v>37.523000000000003</v>
          </cell>
          <cell r="DH171">
            <v>38.042000000000002</v>
          </cell>
          <cell r="DI171">
            <v>38.685000000000002</v>
          </cell>
          <cell r="DJ171">
            <v>39.323999999999998</v>
          </cell>
          <cell r="DK171">
            <v>40.082000000000001</v>
          </cell>
          <cell r="DL171">
            <v>40.776000000000003</v>
          </cell>
          <cell r="DM171">
            <v>41.606999999999999</v>
          </cell>
          <cell r="DN171">
            <v>42.37</v>
          </cell>
          <cell r="DO171">
            <v>43.401000000000003</v>
          </cell>
          <cell r="DP171">
            <v>44.298000000000002</v>
          </cell>
          <cell r="DQ171">
            <v>45.175000000000004</v>
          </cell>
          <cell r="DR171">
            <v>46.164999999999999</v>
          </cell>
          <cell r="DS171">
            <v>47.195999999999998</v>
          </cell>
          <cell r="DT171">
            <v>48.273000000000003</v>
          </cell>
          <cell r="DU171">
            <v>49.633000000000003</v>
          </cell>
          <cell r="DV171">
            <v>50.936999999999998</v>
          </cell>
          <cell r="DW171">
            <v>51.847000000000001</v>
          </cell>
          <cell r="DX171">
            <v>52.798999999999999</v>
          </cell>
          <cell r="DY171">
            <v>53.72</v>
          </cell>
          <cell r="DZ171">
            <v>54.477000000000004</v>
          </cell>
          <cell r="EA171">
            <v>55.152000000000001</v>
          </cell>
          <cell r="EB171">
            <v>55.917999999999999</v>
          </cell>
          <cell r="EC171">
            <v>56.511000000000003</v>
          </cell>
          <cell r="ED171">
            <v>56.995000000000005</v>
          </cell>
          <cell r="EE171">
            <v>57.411000000000001</v>
          </cell>
          <cell r="EF171">
            <v>57.997</v>
          </cell>
          <cell r="EG171">
            <v>58.416000000000004</v>
          </cell>
          <cell r="EH171">
            <v>59.140999999999998</v>
          </cell>
          <cell r="EI171">
            <v>59.675000000000004</v>
          </cell>
          <cell r="EJ171">
            <v>60.163000000000004</v>
          </cell>
          <cell r="EK171">
            <v>60.517000000000003</v>
          </cell>
          <cell r="EL171">
            <v>61.209000000000003</v>
          </cell>
          <cell r="EM171">
            <v>61.524000000000001</v>
          </cell>
          <cell r="EN171">
            <v>61.816000000000003</v>
          </cell>
          <cell r="EO171">
            <v>62.195</v>
          </cell>
          <cell r="EP171">
            <v>62.511000000000003</v>
          </cell>
          <cell r="EQ171">
            <v>62.823</v>
          </cell>
          <cell r="ER171">
            <v>63.219000000000001</v>
          </cell>
          <cell r="ES171">
            <v>63.676000000000002</v>
          </cell>
          <cell r="ET171">
            <v>64.177000000000007</v>
          </cell>
          <cell r="EU171">
            <v>64.537000000000006</v>
          </cell>
          <cell r="EV171">
            <v>65.046000000000006</v>
          </cell>
          <cell r="EW171">
            <v>65.512</v>
          </cell>
          <cell r="EX171">
            <v>66.039000000000001</v>
          </cell>
          <cell r="EY171">
            <v>66.674999999999997</v>
          </cell>
          <cell r="EZ171">
            <v>67.466000000000008</v>
          </cell>
          <cell r="FA171">
            <v>68.010000000000005</v>
          </cell>
          <cell r="FB171">
            <v>68.72</v>
          </cell>
          <cell r="FC171">
            <v>69.405000000000001</v>
          </cell>
          <cell r="FD171">
            <v>69.876000000000005</v>
          </cell>
          <cell r="FE171">
            <v>70.316000000000003</v>
          </cell>
          <cell r="FF171">
            <v>71.17</v>
          </cell>
          <cell r="FG171">
            <v>71.997</v>
          </cell>
          <cell r="FH171">
            <v>72.665999999999997</v>
          </cell>
          <cell r="FI171">
            <v>73.265000000000001</v>
          </cell>
          <cell r="FJ171">
            <v>74.049000000000007</v>
          </cell>
          <cell r="FK171">
            <v>74.567000000000007</v>
          </cell>
          <cell r="FL171">
            <v>75.131</v>
          </cell>
          <cell r="FM171">
            <v>75.557000000000002</v>
          </cell>
          <cell r="FN171">
            <v>75.983999999999995</v>
          </cell>
          <cell r="FO171">
            <v>76.436000000000007</v>
          </cell>
          <cell r="FP171">
            <v>76.775999999999996</v>
          </cell>
          <cell r="FQ171">
            <v>77.212000000000003</v>
          </cell>
          <cell r="FR171">
            <v>77.686999999999998</v>
          </cell>
          <cell r="FS171">
            <v>78.108999999999995</v>
          </cell>
          <cell r="FT171">
            <v>78.475999999999999</v>
          </cell>
          <cell r="FU171">
            <v>78.882999999999996</v>
          </cell>
          <cell r="FV171">
            <v>79.317999999999998</v>
          </cell>
          <cell r="FW171">
            <v>79.701000000000008</v>
          </cell>
          <cell r="FX171">
            <v>80.149000000000001</v>
          </cell>
          <cell r="FY171">
            <v>80.572000000000003</v>
          </cell>
          <cell r="FZ171">
            <v>81.054000000000002</v>
          </cell>
          <cell r="GA171">
            <v>81.415999999999997</v>
          </cell>
          <cell r="GB171">
            <v>81.760000000000005</v>
          </cell>
          <cell r="GC171">
            <v>82.18</v>
          </cell>
          <cell r="GD171">
            <v>82.625</v>
          </cell>
          <cell r="GE171">
            <v>82.929000000000002</v>
          </cell>
          <cell r="GF171">
            <v>83.34</v>
          </cell>
          <cell r="GG171">
            <v>83.721000000000004</v>
          </cell>
          <cell r="GH171">
            <v>84.147000000000006</v>
          </cell>
          <cell r="GI171">
            <v>84.522000000000006</v>
          </cell>
          <cell r="GJ171">
            <v>84.757999999999996</v>
          </cell>
          <cell r="GK171">
            <v>85.08</v>
          </cell>
          <cell r="GL171">
            <v>85.207000000000008</v>
          </cell>
          <cell r="GM171">
            <v>85.417000000000002</v>
          </cell>
          <cell r="GN171">
            <v>85.736000000000004</v>
          </cell>
          <cell r="GO171">
            <v>85.962000000000003</v>
          </cell>
          <cell r="GP171">
            <v>86.326000000000008</v>
          </cell>
          <cell r="GQ171">
            <v>86.689000000000007</v>
          </cell>
          <cell r="GR171">
            <v>86.992999999999995</v>
          </cell>
          <cell r="GS171">
            <v>87.350000000000009</v>
          </cell>
          <cell r="GT171">
            <v>88.015000000000001</v>
          </cell>
          <cell r="GU171">
            <v>88.462000000000003</v>
          </cell>
          <cell r="GV171">
            <v>88.984000000000009</v>
          </cell>
          <cell r="GW171">
            <v>89.435000000000002</v>
          </cell>
          <cell r="GX171">
            <v>90.052000000000007</v>
          </cell>
          <cell r="GY171">
            <v>90.679000000000002</v>
          </cell>
          <cell r="GZ171">
            <v>90.969000000000008</v>
          </cell>
          <cell r="HA171">
            <v>91.225000000000009</v>
          </cell>
          <cell r="HB171">
            <v>91.555000000000007</v>
          </cell>
          <cell r="HC171">
            <v>91.957999999999998</v>
          </cell>
          <cell r="HD171">
            <v>92.361000000000004</v>
          </cell>
          <cell r="HE171">
            <v>92.894000000000005</v>
          </cell>
          <cell r="HF171">
            <v>93.548000000000002</v>
          </cell>
          <cell r="HG171">
            <v>93.819000000000003</v>
          </cell>
          <cell r="HH171">
            <v>94.337000000000003</v>
          </cell>
          <cell r="HI171">
            <v>94.832999999999998</v>
          </cell>
          <cell r="HJ171">
            <v>95.64</v>
          </cell>
          <cell r="HK171">
            <v>96.454999999999998</v>
          </cell>
          <cell r="HL171">
            <v>97.162999999999997</v>
          </cell>
          <cell r="HM171">
            <v>97.876000000000005</v>
          </cell>
          <cell r="HN171">
            <v>98.784000000000006</v>
          </cell>
          <cell r="HO171">
            <v>99.444000000000003</v>
          </cell>
          <cell r="HP171">
            <v>100.467</v>
          </cell>
          <cell r="HQ171">
            <v>101.30500000000001</v>
          </cell>
          <cell r="HR171">
            <v>102.05500000000001</v>
          </cell>
          <cell r="HS171">
            <v>102.955</v>
          </cell>
          <cell r="HT171">
            <v>103.73100000000001</v>
          </cell>
          <cell r="HU171">
            <v>104.206</v>
          </cell>
          <cell r="HV171">
            <v>105.396</v>
          </cell>
          <cell r="HW171">
            <v>106.116</v>
          </cell>
          <cell r="HX171">
            <v>106.45700000000001</v>
          </cell>
          <cell r="HY171">
            <v>106.956</v>
          </cell>
          <cell r="HZ171">
            <v>107.623</v>
          </cell>
          <cell r="IA171">
            <v>108.282</v>
          </cell>
          <cell r="IB171">
            <v>109.107</v>
          </cell>
          <cell r="IC171">
            <v>109.247</v>
          </cell>
          <cell r="ID171">
            <v>109.709</v>
          </cell>
          <cell r="IE171">
            <v>109.589</v>
          </cell>
          <cell r="IF171">
            <v>109.66200000000001</v>
          </cell>
          <cell r="IG171">
            <v>109.96900000000001</v>
          </cell>
          <cell r="IH171">
            <v>110.37</v>
          </cell>
          <cell r="II171">
            <v>110.77</v>
          </cell>
          <cell r="IJ171">
            <v>111.16200000000001</v>
          </cell>
          <cell r="IK171">
            <v>111.699</v>
          </cell>
          <cell r="IL171">
            <v>112.39</v>
          </cell>
          <cell r="IM171">
            <v>113.09100000000001</v>
          </cell>
          <cell r="IN171">
            <v>113.797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rveys_m"/>
      <sheetName val="Surveys_q"/>
      <sheetName val="Indicators"/>
      <sheetName val="Tabelle1"/>
    </sheetNames>
    <sheetDataSet>
      <sheetData sheetId="0">
        <row r="4">
          <cell r="AB4">
            <v>61.5</v>
          </cell>
        </row>
        <row r="5">
          <cell r="AB5">
            <v>52.300000000000004</v>
          </cell>
        </row>
        <row r="6">
          <cell r="AB6">
            <v>47.800000000000004</v>
          </cell>
        </row>
        <row r="7">
          <cell r="AB7">
            <v>45.300000000000004</v>
          </cell>
        </row>
        <row r="8">
          <cell r="AB8">
            <v>42.6</v>
          </cell>
        </row>
        <row r="9">
          <cell r="AB9">
            <v>44.400000000000006</v>
          </cell>
        </row>
        <row r="10">
          <cell r="AB10">
            <v>43.7</v>
          </cell>
        </row>
        <row r="11">
          <cell r="AB11">
            <v>47.6</v>
          </cell>
        </row>
        <row r="12">
          <cell r="AB12">
            <v>45.400000000000006</v>
          </cell>
        </row>
        <row r="13">
          <cell r="AB13">
            <v>46</v>
          </cell>
        </row>
        <row r="14">
          <cell r="AB14">
            <v>44.300000000000004</v>
          </cell>
        </row>
        <row r="15">
          <cell r="AB15">
            <v>44.300000000000004</v>
          </cell>
        </row>
        <row r="16">
          <cell r="AB16">
            <v>43.900000000000006</v>
          </cell>
        </row>
        <row r="17">
          <cell r="AB17">
            <v>43.6</v>
          </cell>
        </row>
        <row r="18">
          <cell r="AB18">
            <v>49.1</v>
          </cell>
        </row>
        <row r="19">
          <cell r="AB19">
            <v>57.6</v>
          </cell>
        </row>
        <row r="20">
          <cell r="AB20">
            <v>58.900000000000006</v>
          </cell>
        </row>
        <row r="21">
          <cell r="AB21">
            <v>58.1</v>
          </cell>
        </row>
        <row r="22">
          <cell r="AB22">
            <v>58.2</v>
          </cell>
        </row>
        <row r="23">
          <cell r="AB23">
            <v>60.7</v>
          </cell>
        </row>
        <row r="24">
          <cell r="AB24">
            <v>63</v>
          </cell>
        </row>
        <row r="25">
          <cell r="AB25">
            <v>62.2</v>
          </cell>
        </row>
        <row r="26">
          <cell r="AB26">
            <v>59</v>
          </cell>
        </row>
        <row r="27">
          <cell r="AB27">
            <v>64.2</v>
          </cell>
        </row>
        <row r="28">
          <cell r="AB28">
            <v>60.900000000000006</v>
          </cell>
        </row>
        <row r="29">
          <cell r="AB29">
            <v>61.1</v>
          </cell>
        </row>
        <row r="30">
          <cell r="AB30">
            <v>60.6</v>
          </cell>
        </row>
        <row r="31">
          <cell r="AB31">
            <v>55.1</v>
          </cell>
        </row>
        <row r="32">
          <cell r="AB32">
            <v>52.2</v>
          </cell>
        </row>
        <row r="33">
          <cell r="AB33">
            <v>50.800000000000004</v>
          </cell>
        </row>
        <row r="34">
          <cell r="AB34">
            <v>51</v>
          </cell>
        </row>
        <row r="35">
          <cell r="AB35">
            <v>49.5</v>
          </cell>
        </row>
        <row r="36">
          <cell r="AB36">
            <v>50</v>
          </cell>
        </row>
        <row r="37">
          <cell r="AB37">
            <v>51.2</v>
          </cell>
        </row>
        <row r="38">
          <cell r="AB38">
            <v>53.800000000000004</v>
          </cell>
        </row>
        <row r="39">
          <cell r="AB39">
            <v>57.2</v>
          </cell>
        </row>
        <row r="40">
          <cell r="AB40">
            <v>55.2</v>
          </cell>
        </row>
        <row r="41">
          <cell r="AB41">
            <v>55.1</v>
          </cell>
        </row>
        <row r="42">
          <cell r="AB42">
            <v>54.7</v>
          </cell>
        </row>
        <row r="43">
          <cell r="AB43">
            <v>57.6</v>
          </cell>
        </row>
        <row r="44">
          <cell r="AB44">
            <v>59.800000000000004</v>
          </cell>
        </row>
        <row r="45">
          <cell r="AB45">
            <v>58.2</v>
          </cell>
        </row>
        <row r="46">
          <cell r="AB46">
            <v>55.5</v>
          </cell>
        </row>
        <row r="47">
          <cell r="AB47">
            <v>55.1</v>
          </cell>
        </row>
        <row r="48">
          <cell r="AB48">
            <v>56.900000000000006</v>
          </cell>
        </row>
        <row r="49">
          <cell r="AB49">
            <v>57.7</v>
          </cell>
        </row>
        <row r="50">
          <cell r="AB50">
            <v>57.5</v>
          </cell>
        </row>
        <row r="51">
          <cell r="AB51">
            <v>54</v>
          </cell>
        </row>
        <row r="52">
          <cell r="AB52">
            <v>57.1</v>
          </cell>
        </row>
        <row r="53">
          <cell r="AB53">
            <v>57.900000000000006</v>
          </cell>
        </row>
        <row r="54">
          <cell r="AB54">
            <v>60.2</v>
          </cell>
        </row>
        <row r="55">
          <cell r="AB55">
            <v>59.2</v>
          </cell>
        </row>
        <row r="56">
          <cell r="AB56">
            <v>58.7</v>
          </cell>
        </row>
        <row r="57">
          <cell r="AB57">
            <v>60.1</v>
          </cell>
        </row>
        <row r="58">
          <cell r="AB58">
            <v>62.900000000000006</v>
          </cell>
        </row>
        <row r="59">
          <cell r="AB59">
            <v>63.300000000000004</v>
          </cell>
        </row>
        <row r="60">
          <cell r="AB60">
            <v>63.300000000000004</v>
          </cell>
        </row>
        <row r="61">
          <cell r="AB61">
            <v>60.7</v>
          </cell>
        </row>
        <row r="62">
          <cell r="AB62">
            <v>61.800000000000004</v>
          </cell>
        </row>
        <row r="63">
          <cell r="AB63">
            <v>62.400000000000006</v>
          </cell>
        </row>
        <row r="64">
          <cell r="AB64">
            <v>61</v>
          </cell>
        </row>
        <row r="65">
          <cell r="AB65">
            <v>62.1</v>
          </cell>
        </row>
        <row r="66">
          <cell r="AB66">
            <v>64.900000000000006</v>
          </cell>
        </row>
        <row r="67">
          <cell r="AB67">
            <v>62</v>
          </cell>
        </row>
        <row r="68">
          <cell r="AB68">
            <v>61.300000000000004</v>
          </cell>
        </row>
        <row r="69">
          <cell r="AB69">
            <v>58.7</v>
          </cell>
        </row>
        <row r="70">
          <cell r="AB70">
            <v>58.1</v>
          </cell>
        </row>
        <row r="71">
          <cell r="AB71">
            <v>58.1</v>
          </cell>
        </row>
        <row r="72">
          <cell r="AB72">
            <v>61</v>
          </cell>
        </row>
        <row r="73">
          <cell r="AB73">
            <v>58.6</v>
          </cell>
        </row>
        <row r="74">
          <cell r="AB74">
            <v>59.400000000000006</v>
          </cell>
        </row>
        <row r="75">
          <cell r="AB75">
            <v>62.800000000000004</v>
          </cell>
        </row>
        <row r="76">
          <cell r="AB76">
            <v>65.8</v>
          </cell>
        </row>
        <row r="77">
          <cell r="AB77">
            <v>65.5</v>
          </cell>
        </row>
        <row r="78">
          <cell r="AB78">
            <v>65.7</v>
          </cell>
        </row>
        <row r="79">
          <cell r="AB79">
            <v>64.2</v>
          </cell>
        </row>
        <row r="80">
          <cell r="AB80">
            <v>57.7</v>
          </cell>
        </row>
        <row r="81">
          <cell r="AB81">
            <v>59</v>
          </cell>
        </row>
        <row r="82">
          <cell r="AB82">
            <v>60.300000000000004</v>
          </cell>
        </row>
        <row r="83">
          <cell r="AB83">
            <v>58.5</v>
          </cell>
        </row>
        <row r="84">
          <cell r="AB84">
            <v>58.7</v>
          </cell>
        </row>
        <row r="85">
          <cell r="AB85">
            <v>57.2</v>
          </cell>
        </row>
        <row r="86">
          <cell r="AB86">
            <v>53.7</v>
          </cell>
        </row>
        <row r="87">
          <cell r="AB87">
            <v>52.400000000000006</v>
          </cell>
        </row>
        <row r="88">
          <cell r="AB88">
            <v>49.1</v>
          </cell>
        </row>
        <row r="89">
          <cell r="B89">
            <v>134.30000000000001</v>
          </cell>
          <cell r="AB89">
            <v>47.6</v>
          </cell>
        </row>
        <row r="90">
          <cell r="B90">
            <v>134.30000000000001</v>
          </cell>
          <cell r="AB90">
            <v>45.300000000000004</v>
          </cell>
        </row>
        <row r="91">
          <cell r="B91">
            <v>140.70000000000002</v>
          </cell>
          <cell r="AB91">
            <v>42.800000000000004</v>
          </cell>
        </row>
        <row r="92">
          <cell r="B92">
            <v>140.70000000000002</v>
          </cell>
          <cell r="AB92">
            <v>44.5</v>
          </cell>
        </row>
        <row r="93">
          <cell r="B93">
            <v>134</v>
          </cell>
          <cell r="AB93">
            <v>46.800000000000004</v>
          </cell>
        </row>
        <row r="94">
          <cell r="B94">
            <v>134</v>
          </cell>
          <cell r="AB94">
            <v>49.5</v>
          </cell>
        </row>
        <row r="95">
          <cell r="B95">
            <v>130.1</v>
          </cell>
          <cell r="AB95">
            <v>52.2</v>
          </cell>
        </row>
        <row r="96">
          <cell r="B96">
            <v>130.1</v>
          </cell>
          <cell r="AB96">
            <v>54.900000000000006</v>
          </cell>
        </row>
        <row r="97">
          <cell r="B97">
            <v>134.5</v>
          </cell>
          <cell r="AB97">
            <v>54.1</v>
          </cell>
        </row>
        <row r="98">
          <cell r="B98">
            <v>134.5</v>
          </cell>
          <cell r="AB98">
            <v>54.2</v>
          </cell>
        </row>
        <row r="99">
          <cell r="B99">
            <v>136.1</v>
          </cell>
          <cell r="AB99">
            <v>55.6</v>
          </cell>
        </row>
        <row r="100">
          <cell r="B100">
            <v>136.1</v>
          </cell>
          <cell r="AB100">
            <v>56.6</v>
          </cell>
        </row>
        <row r="101">
          <cell r="B101">
            <v>137.9</v>
          </cell>
          <cell r="AB101">
            <v>55</v>
          </cell>
        </row>
        <row r="102">
          <cell r="B102">
            <v>137.9</v>
          </cell>
          <cell r="AB102">
            <v>53.800000000000004</v>
          </cell>
        </row>
        <row r="103">
          <cell r="B103">
            <v>136.6</v>
          </cell>
          <cell r="AB103">
            <v>58</v>
          </cell>
        </row>
        <row r="104">
          <cell r="B104">
            <v>136.6</v>
          </cell>
          <cell r="AB104">
            <v>55.300000000000004</v>
          </cell>
        </row>
        <row r="105">
          <cell r="B105">
            <v>130.70000000000002</v>
          </cell>
          <cell r="AB105">
            <v>53.5</v>
          </cell>
        </row>
        <row r="106">
          <cell r="B106">
            <v>130.70000000000002</v>
          </cell>
          <cell r="AB106">
            <v>54.1</v>
          </cell>
        </row>
        <row r="107">
          <cell r="B107">
            <v>131.30000000000001</v>
          </cell>
          <cell r="AB107">
            <v>52.7</v>
          </cell>
        </row>
        <row r="108">
          <cell r="B108">
            <v>131.30000000000001</v>
          </cell>
          <cell r="AB108">
            <v>51.800000000000004</v>
          </cell>
        </row>
        <row r="109">
          <cell r="B109">
            <v>142.30000000000001</v>
          </cell>
          <cell r="AB109">
            <v>55.800000000000004</v>
          </cell>
        </row>
        <row r="110">
          <cell r="B110">
            <v>142.30000000000001</v>
          </cell>
          <cell r="AB110">
            <v>58.1</v>
          </cell>
        </row>
        <row r="111">
          <cell r="B111">
            <v>137.9</v>
          </cell>
          <cell r="AB111">
            <v>56.1</v>
          </cell>
        </row>
        <row r="112">
          <cell r="B112">
            <v>137.9</v>
          </cell>
          <cell r="AB112">
            <v>54.900000000000006</v>
          </cell>
        </row>
        <row r="113">
          <cell r="B113">
            <v>138.20000000000002</v>
          </cell>
          <cell r="AB113">
            <v>57</v>
          </cell>
        </row>
        <row r="114">
          <cell r="B114">
            <v>138.20000000000002</v>
          </cell>
          <cell r="AB114">
            <v>57.1</v>
          </cell>
        </row>
        <row r="115">
          <cell r="B115">
            <v>136.6</v>
          </cell>
          <cell r="AB115">
            <v>55.2</v>
          </cell>
        </row>
        <row r="116">
          <cell r="B116">
            <v>136.6</v>
          </cell>
          <cell r="AB116">
            <v>56.7</v>
          </cell>
        </row>
        <row r="117">
          <cell r="B117">
            <v>137.9</v>
          </cell>
          <cell r="AB117">
            <v>55.5</v>
          </cell>
        </row>
        <row r="118">
          <cell r="B118">
            <v>137.9</v>
          </cell>
          <cell r="AB118">
            <v>53.1</v>
          </cell>
        </row>
        <row r="119">
          <cell r="B119">
            <v>131.70000000000002</v>
          </cell>
          <cell r="AB119">
            <v>54.800000000000004</v>
          </cell>
        </row>
        <row r="120">
          <cell r="B120">
            <v>131.70000000000002</v>
          </cell>
          <cell r="AB120">
            <v>54.1</v>
          </cell>
        </row>
        <row r="121">
          <cell r="B121">
            <v>126.80000000000001</v>
          </cell>
          <cell r="AB121">
            <v>54.6</v>
          </cell>
        </row>
        <row r="122">
          <cell r="B122">
            <v>126.80000000000001</v>
          </cell>
          <cell r="AB122">
            <v>53.2</v>
          </cell>
        </row>
        <row r="123">
          <cell r="B123">
            <v>126</v>
          </cell>
          <cell r="AB123">
            <v>52</v>
          </cell>
        </row>
        <row r="124">
          <cell r="B124">
            <v>126</v>
          </cell>
          <cell r="AB124">
            <v>48.7</v>
          </cell>
        </row>
        <row r="125">
          <cell r="B125">
            <v>101.7</v>
          </cell>
          <cell r="AB125">
            <v>47.400000000000006</v>
          </cell>
        </row>
        <row r="126">
          <cell r="B126">
            <v>101.7</v>
          </cell>
          <cell r="AB126">
            <v>46.900000000000006</v>
          </cell>
        </row>
        <row r="127">
          <cell r="B127">
            <v>98</v>
          </cell>
          <cell r="AB127">
            <v>45</v>
          </cell>
        </row>
        <row r="128">
          <cell r="B128">
            <v>98</v>
          </cell>
          <cell r="AB128">
            <v>47.2</v>
          </cell>
        </row>
        <row r="129">
          <cell r="B129">
            <v>88.100000000000009</v>
          </cell>
          <cell r="AB129">
            <v>51.1</v>
          </cell>
        </row>
        <row r="130">
          <cell r="B130">
            <v>88.100000000000009</v>
          </cell>
          <cell r="AB130">
            <v>49.5</v>
          </cell>
        </row>
        <row r="131">
          <cell r="B131">
            <v>91</v>
          </cell>
          <cell r="AB131">
            <v>47.300000000000004</v>
          </cell>
        </row>
        <row r="132">
          <cell r="B132">
            <v>91</v>
          </cell>
          <cell r="AB132">
            <v>44.1</v>
          </cell>
        </row>
        <row r="133">
          <cell r="B133">
            <v>83.2</v>
          </cell>
          <cell r="AB133">
            <v>42.400000000000006</v>
          </cell>
        </row>
        <row r="134">
          <cell r="B134">
            <v>83.2</v>
          </cell>
          <cell r="AB134">
            <v>39.700000000000003</v>
          </cell>
        </row>
        <row r="135">
          <cell r="B135">
            <v>75.7</v>
          </cell>
          <cell r="AB135">
            <v>45.400000000000006</v>
          </cell>
        </row>
        <row r="136">
          <cell r="B136">
            <v>75.7</v>
          </cell>
          <cell r="AB136">
            <v>47.900000000000006</v>
          </cell>
        </row>
        <row r="137">
          <cell r="B137">
            <v>77.400000000000006</v>
          </cell>
          <cell r="AB137">
            <v>54.800000000000004</v>
          </cell>
        </row>
        <row r="138">
          <cell r="B138">
            <v>77.400000000000006</v>
          </cell>
          <cell r="AB138">
            <v>51.2</v>
          </cell>
        </row>
        <row r="139">
          <cell r="B139">
            <v>75.2</v>
          </cell>
          <cell r="AB139">
            <v>54.5</v>
          </cell>
        </row>
        <row r="140">
          <cell r="B140">
            <v>75.2</v>
          </cell>
          <cell r="AB140">
            <v>54.2</v>
          </cell>
        </row>
        <row r="141">
          <cell r="B141">
            <v>82.300000000000011</v>
          </cell>
          <cell r="AB141">
            <v>53.800000000000004</v>
          </cell>
        </row>
        <row r="142">
          <cell r="B142">
            <v>82.300000000000011</v>
          </cell>
          <cell r="AB142">
            <v>54.400000000000006</v>
          </cell>
        </row>
        <row r="143">
          <cell r="B143">
            <v>82.100000000000009</v>
          </cell>
          <cell r="AB143">
            <v>53.6</v>
          </cell>
        </row>
        <row r="144">
          <cell r="B144">
            <v>82.100000000000009</v>
          </cell>
          <cell r="AB144">
            <v>55.1</v>
          </cell>
        </row>
        <row r="145">
          <cell r="B145">
            <v>80.300000000000011</v>
          </cell>
          <cell r="AB145">
            <v>55</v>
          </cell>
        </row>
        <row r="146">
          <cell r="B146">
            <v>80.300000000000011</v>
          </cell>
          <cell r="AB146">
            <v>52.300000000000004</v>
          </cell>
        </row>
        <row r="147">
          <cell r="B147">
            <v>85</v>
          </cell>
          <cell r="AB147">
            <v>57.6</v>
          </cell>
        </row>
        <row r="148">
          <cell r="B148">
            <v>85</v>
          </cell>
          <cell r="AB148">
            <v>59.6</v>
          </cell>
        </row>
        <row r="149">
          <cell r="B149">
            <v>93.600000000000009</v>
          </cell>
          <cell r="AB149">
            <v>60.6</v>
          </cell>
        </row>
        <row r="150">
          <cell r="B150">
            <v>93.600000000000009</v>
          </cell>
          <cell r="AB150">
            <v>59.800000000000004</v>
          </cell>
        </row>
        <row r="151">
          <cell r="B151">
            <v>95.100000000000009</v>
          </cell>
          <cell r="AB151">
            <v>59.300000000000004</v>
          </cell>
        </row>
        <row r="152">
          <cell r="B152">
            <v>95.100000000000009</v>
          </cell>
          <cell r="AB152">
            <v>61.400000000000006</v>
          </cell>
        </row>
        <row r="153">
          <cell r="B153">
            <v>98.9</v>
          </cell>
          <cell r="AB153">
            <v>58.6</v>
          </cell>
        </row>
        <row r="154">
          <cell r="B154">
            <v>98.9</v>
          </cell>
          <cell r="AB154">
            <v>60.1</v>
          </cell>
        </row>
        <row r="155">
          <cell r="B155">
            <v>104.10000000000001</v>
          </cell>
          <cell r="AB155">
            <v>61.7</v>
          </cell>
        </row>
        <row r="156">
          <cell r="B156">
            <v>104.10000000000001</v>
          </cell>
          <cell r="AB156">
            <v>65.100000000000009</v>
          </cell>
        </row>
        <row r="157">
          <cell r="B157">
            <v>112</v>
          </cell>
          <cell r="AB157">
            <v>67</v>
          </cell>
        </row>
        <row r="158">
          <cell r="B158">
            <v>112</v>
          </cell>
          <cell r="AB158">
            <v>69.900000000000006</v>
          </cell>
        </row>
        <row r="159">
          <cell r="B159">
            <v>116.10000000000001</v>
          </cell>
          <cell r="AB159">
            <v>70.5</v>
          </cell>
        </row>
        <row r="160">
          <cell r="B160">
            <v>116.10000000000001</v>
          </cell>
          <cell r="AB160">
            <v>72.100000000000009</v>
          </cell>
        </row>
        <row r="161">
          <cell r="B161">
            <v>110.80000000000001</v>
          </cell>
          <cell r="AB161">
            <v>69.600000000000009</v>
          </cell>
        </row>
        <row r="162">
          <cell r="B162">
            <v>110.80000000000001</v>
          </cell>
          <cell r="AB162">
            <v>69.600000000000009</v>
          </cell>
        </row>
        <row r="163">
          <cell r="B163">
            <v>102.80000000000001</v>
          </cell>
          <cell r="AB163">
            <v>67.7</v>
          </cell>
        </row>
        <row r="164">
          <cell r="B164">
            <v>102.80000000000001</v>
          </cell>
          <cell r="AB164">
            <v>64.8</v>
          </cell>
        </row>
        <row r="165">
          <cell r="B165">
            <v>104.4</v>
          </cell>
          <cell r="AB165">
            <v>65</v>
          </cell>
        </row>
        <row r="166">
          <cell r="B166">
            <v>104.4</v>
          </cell>
          <cell r="AB166">
            <v>57.800000000000004</v>
          </cell>
        </row>
        <row r="167">
          <cell r="B167">
            <v>93.800000000000011</v>
          </cell>
          <cell r="AB167">
            <v>62.7</v>
          </cell>
        </row>
        <row r="168">
          <cell r="B168">
            <v>93.800000000000011</v>
          </cell>
          <cell r="AB168">
            <v>63.5</v>
          </cell>
        </row>
        <row r="169">
          <cell r="B169">
            <v>107.5</v>
          </cell>
          <cell r="AB169">
            <v>66.2</v>
          </cell>
        </row>
        <row r="170">
          <cell r="B170">
            <v>107.5</v>
          </cell>
          <cell r="AB170">
            <v>68.100000000000009</v>
          </cell>
        </row>
        <row r="171">
          <cell r="B171">
            <v>70.600000000000009</v>
          </cell>
          <cell r="AB171">
            <v>63.6</v>
          </cell>
        </row>
        <row r="172">
          <cell r="B172">
            <v>70.600000000000009</v>
          </cell>
          <cell r="AB172">
            <v>62.1</v>
          </cell>
        </row>
        <row r="173">
          <cell r="B173">
            <v>62.7</v>
          </cell>
          <cell r="AB173">
            <v>58.6</v>
          </cell>
        </row>
        <row r="174">
          <cell r="B174">
            <v>62.7</v>
          </cell>
          <cell r="AB174">
            <v>61.800000000000004</v>
          </cell>
        </row>
        <row r="175">
          <cell r="B175">
            <v>95.100000000000009</v>
          </cell>
          <cell r="AB175">
            <v>59.900000000000006</v>
          </cell>
        </row>
        <row r="176">
          <cell r="B176">
            <v>95.100000000000009</v>
          </cell>
          <cell r="AB176">
            <v>55.7</v>
          </cell>
        </row>
        <row r="177">
          <cell r="B177">
            <v>92.5</v>
          </cell>
          <cell r="AB177">
            <v>54.7</v>
          </cell>
        </row>
        <row r="178">
          <cell r="B178">
            <v>92.5</v>
          </cell>
          <cell r="AB178">
            <v>54.800000000000004</v>
          </cell>
        </row>
        <row r="179">
          <cell r="B179">
            <v>77.300000000000011</v>
          </cell>
          <cell r="AB179">
            <v>52.900000000000006</v>
          </cell>
        </row>
        <row r="180">
          <cell r="B180">
            <v>77.300000000000011</v>
          </cell>
          <cell r="AB180">
            <v>46.2</v>
          </cell>
        </row>
        <row r="181">
          <cell r="B181">
            <v>54.5</v>
          </cell>
          <cell r="AB181">
            <v>42.7</v>
          </cell>
        </row>
        <row r="182">
          <cell r="B182">
            <v>54.5</v>
          </cell>
          <cell r="AB182">
            <v>37.9</v>
          </cell>
        </row>
        <row r="183">
          <cell r="B183">
            <v>43.2</v>
          </cell>
          <cell r="AB183">
            <v>30.900000000000002</v>
          </cell>
        </row>
        <row r="184">
          <cell r="B184">
            <v>43.2</v>
          </cell>
          <cell r="AB184">
            <v>30.700000000000003</v>
          </cell>
        </row>
        <row r="185">
          <cell r="B185">
            <v>54.5</v>
          </cell>
          <cell r="AB185">
            <v>34.4</v>
          </cell>
        </row>
        <row r="186">
          <cell r="B186">
            <v>54.5</v>
          </cell>
          <cell r="AB186">
            <v>31.6</v>
          </cell>
        </row>
        <row r="187">
          <cell r="B187">
            <v>66.400000000000006</v>
          </cell>
          <cell r="AB187">
            <v>37.5</v>
          </cell>
        </row>
        <row r="188">
          <cell r="B188">
            <v>66.400000000000006</v>
          </cell>
          <cell r="AB188">
            <v>41.2</v>
          </cell>
        </row>
        <row r="189">
          <cell r="B189">
            <v>72.2</v>
          </cell>
          <cell r="AB189">
            <v>45.1</v>
          </cell>
        </row>
        <row r="190">
          <cell r="B190">
            <v>72.2</v>
          </cell>
          <cell r="AB190">
            <v>47.2</v>
          </cell>
        </row>
        <row r="191">
          <cell r="B191">
            <v>82.4</v>
          </cell>
          <cell r="AB191">
            <v>51.400000000000006</v>
          </cell>
        </row>
        <row r="192">
          <cell r="B192">
            <v>82.4</v>
          </cell>
          <cell r="AB192">
            <v>54.400000000000006</v>
          </cell>
        </row>
        <row r="193">
          <cell r="B193">
            <v>77.600000000000009</v>
          </cell>
          <cell r="AB193">
            <v>55.5</v>
          </cell>
        </row>
        <row r="194">
          <cell r="B194">
            <v>77.600000000000009</v>
          </cell>
          <cell r="AB194">
            <v>54.5</v>
          </cell>
        </row>
        <row r="195">
          <cell r="B195">
            <v>93.7</v>
          </cell>
          <cell r="AB195">
            <v>54.900000000000006</v>
          </cell>
        </row>
        <row r="196">
          <cell r="B196">
            <v>93.7</v>
          </cell>
          <cell r="AB196">
            <v>58.800000000000004</v>
          </cell>
        </row>
        <row r="197">
          <cell r="B197">
            <v>101</v>
          </cell>
          <cell r="AB197">
            <v>61.5</v>
          </cell>
        </row>
        <row r="198">
          <cell r="B198">
            <v>101</v>
          </cell>
          <cell r="AB198">
            <v>58.400000000000006</v>
          </cell>
        </row>
        <row r="199">
          <cell r="B199">
            <v>89.5</v>
          </cell>
          <cell r="AB199">
            <v>60.6</v>
          </cell>
        </row>
        <row r="200">
          <cell r="B200">
            <v>89.5</v>
          </cell>
          <cell r="AB200">
            <v>58.800000000000004</v>
          </cell>
        </row>
        <row r="201">
          <cell r="B201">
            <v>94.5</v>
          </cell>
          <cell r="AB201">
            <v>58.2</v>
          </cell>
        </row>
        <row r="202">
          <cell r="B202">
            <v>94.5</v>
          </cell>
          <cell r="AB202">
            <v>55.900000000000006</v>
          </cell>
        </row>
        <row r="203">
          <cell r="B203">
            <v>94.600000000000009</v>
          </cell>
          <cell r="AB203">
            <v>54.5</v>
          </cell>
        </row>
        <row r="204">
          <cell r="B204">
            <v>94.600000000000009</v>
          </cell>
          <cell r="AB204">
            <v>53.6</v>
          </cell>
        </row>
        <row r="205">
          <cell r="B205">
            <v>87.100000000000009</v>
          </cell>
          <cell r="AB205">
            <v>53.5</v>
          </cell>
        </row>
        <row r="206">
          <cell r="B206">
            <v>87.100000000000009</v>
          </cell>
          <cell r="AB206">
            <v>51.7</v>
          </cell>
        </row>
        <row r="207">
          <cell r="B207">
            <v>98.9</v>
          </cell>
          <cell r="AB207">
            <v>56.6</v>
          </cell>
        </row>
        <row r="208">
          <cell r="B208">
            <v>98.9</v>
          </cell>
          <cell r="AB208">
            <v>54.800000000000004</v>
          </cell>
        </row>
        <row r="209">
          <cell r="B209">
            <v>97.600000000000009</v>
          </cell>
          <cell r="AB209">
            <v>55</v>
          </cell>
        </row>
        <row r="210">
          <cell r="B210">
            <v>97.600000000000009</v>
          </cell>
          <cell r="AB210">
            <v>58.400000000000006</v>
          </cell>
        </row>
        <row r="211">
          <cell r="B211">
            <v>93.100000000000009</v>
          </cell>
          <cell r="AB211">
            <v>56.900000000000006</v>
          </cell>
        </row>
        <row r="212">
          <cell r="B212">
            <v>93.100000000000009</v>
          </cell>
          <cell r="AB212">
            <v>59.7</v>
          </cell>
        </row>
        <row r="213">
          <cell r="B213">
            <v>98.2</v>
          </cell>
          <cell r="AB213">
            <v>56.800000000000004</v>
          </cell>
        </row>
        <row r="214">
          <cell r="B214">
            <v>97.5</v>
          </cell>
          <cell r="AB214">
            <v>57.7</v>
          </cell>
        </row>
        <row r="215">
          <cell r="B215">
            <v>98.7</v>
          </cell>
          <cell r="AB215">
            <v>54.900000000000006</v>
          </cell>
        </row>
        <row r="216">
          <cell r="B216">
            <v>96.7</v>
          </cell>
          <cell r="AB216">
            <v>53.900000000000006</v>
          </cell>
        </row>
        <row r="217">
          <cell r="B217">
            <v>95.5</v>
          </cell>
          <cell r="AB217">
            <v>55.400000000000006</v>
          </cell>
        </row>
        <row r="218">
          <cell r="B218">
            <v>98.9</v>
          </cell>
          <cell r="AB218">
            <v>56.1</v>
          </cell>
        </row>
        <row r="219">
          <cell r="B219">
            <v>109.7</v>
          </cell>
          <cell r="AB219">
            <v>59.800000000000004</v>
          </cell>
        </row>
        <row r="220">
          <cell r="B220">
            <v>107.80000000000001</v>
          </cell>
          <cell r="AB220">
            <v>57.400000000000006</v>
          </cell>
        </row>
        <row r="221">
          <cell r="B221">
            <v>107</v>
          </cell>
          <cell r="AB221">
            <v>55.900000000000006</v>
          </cell>
        </row>
        <row r="222">
          <cell r="B222">
            <v>104.7</v>
          </cell>
          <cell r="AB222">
            <v>55</v>
          </cell>
        </row>
        <row r="223">
          <cell r="B223">
            <v>109.9</v>
          </cell>
          <cell r="AB223">
            <v>57.7</v>
          </cell>
        </row>
        <row r="224">
          <cell r="B224">
            <v>105.5</v>
          </cell>
          <cell r="AB224">
            <v>60.2</v>
          </cell>
        </row>
        <row r="225">
          <cell r="B225">
            <v>109.5</v>
          </cell>
          <cell r="AB225">
            <v>60.5</v>
          </cell>
        </row>
        <row r="226">
          <cell r="B226">
            <v>105.4</v>
          </cell>
          <cell r="AB226">
            <v>62.2</v>
          </cell>
        </row>
        <row r="227">
          <cell r="B227">
            <v>108</v>
          </cell>
          <cell r="AB227">
            <v>60.300000000000004</v>
          </cell>
        </row>
        <row r="228">
          <cell r="B228">
            <v>106.60000000000001</v>
          </cell>
          <cell r="AB228">
            <v>60.5</v>
          </cell>
        </row>
        <row r="229">
          <cell r="B229">
            <v>108.60000000000001</v>
          </cell>
          <cell r="AB229">
            <v>60.1</v>
          </cell>
        </row>
        <row r="230">
          <cell r="B230">
            <v>96.5</v>
          </cell>
          <cell r="AB230">
            <v>61.300000000000004</v>
          </cell>
        </row>
        <row r="231">
          <cell r="B231">
            <v>102.2</v>
          </cell>
          <cell r="AB231">
            <v>59.400000000000006</v>
          </cell>
        </row>
        <row r="232">
          <cell r="B232">
            <v>99.5</v>
          </cell>
          <cell r="AB232">
            <v>58.5</v>
          </cell>
        </row>
        <row r="233">
          <cell r="B233">
            <v>101.5</v>
          </cell>
          <cell r="AB233">
            <v>58.2</v>
          </cell>
        </row>
        <row r="234">
          <cell r="B234">
            <v>96.4</v>
          </cell>
          <cell r="AB234">
            <v>57.7</v>
          </cell>
        </row>
        <row r="235">
          <cell r="B235">
            <v>94.600000000000009</v>
          </cell>
          <cell r="AB235">
            <v>56.2</v>
          </cell>
        </row>
        <row r="236">
          <cell r="B236">
            <v>96</v>
          </cell>
          <cell r="AB236">
            <v>54.400000000000006</v>
          </cell>
        </row>
        <row r="237">
          <cell r="B237">
            <v>92.7</v>
          </cell>
          <cell r="AB237">
            <v>52.7</v>
          </cell>
        </row>
        <row r="238">
          <cell r="B238">
            <v>81.400000000000006</v>
          </cell>
          <cell r="AB238">
            <v>51.300000000000004</v>
          </cell>
        </row>
        <row r="239">
          <cell r="B239">
            <v>79.400000000000006</v>
          </cell>
          <cell r="AB239">
            <v>49.5</v>
          </cell>
        </row>
        <row r="240">
          <cell r="B240">
            <v>87.800000000000011</v>
          </cell>
          <cell r="AB240">
            <v>49.6</v>
          </cell>
        </row>
        <row r="241">
          <cell r="B241">
            <v>92.300000000000011</v>
          </cell>
          <cell r="AB241">
            <v>49</v>
          </cell>
        </row>
        <row r="242">
          <cell r="B242">
            <v>90.2</v>
          </cell>
          <cell r="AB242">
            <v>48</v>
          </cell>
        </row>
        <row r="243">
          <cell r="B243">
            <v>90.7</v>
          </cell>
          <cell r="AB243">
            <v>44.800000000000004</v>
          </cell>
        </row>
        <row r="244">
          <cell r="B244">
            <v>85.9</v>
          </cell>
          <cell r="AB244">
            <v>46.2</v>
          </cell>
        </row>
        <row r="245">
          <cell r="B245">
            <v>85.300000000000011</v>
          </cell>
          <cell r="AB245">
            <v>50.2</v>
          </cell>
        </row>
        <row r="246">
          <cell r="B246">
            <v>80.800000000000011</v>
          </cell>
          <cell r="AB246">
            <v>43.6</v>
          </cell>
        </row>
        <row r="247">
          <cell r="B247">
            <v>60.5</v>
          </cell>
          <cell r="AB247">
            <v>37.4</v>
          </cell>
        </row>
        <row r="248">
          <cell r="B248">
            <v>50.1</v>
          </cell>
          <cell r="AB248">
            <v>29.400000000000002</v>
          </cell>
        </row>
        <row r="249">
          <cell r="B249">
            <v>56.1</v>
          </cell>
          <cell r="AB249">
            <v>30.3</v>
          </cell>
        </row>
        <row r="250">
          <cell r="B250">
            <v>65.400000000000006</v>
          </cell>
          <cell r="AB250">
            <v>35</v>
          </cell>
        </row>
        <row r="251">
          <cell r="B251">
            <v>70.8</v>
          </cell>
          <cell r="AB251">
            <v>45.5</v>
          </cell>
        </row>
        <row r="252">
          <cell r="B252">
            <v>80.300000000000011</v>
          </cell>
          <cell r="AB252">
            <v>50.1</v>
          </cell>
        </row>
        <row r="253">
          <cell r="B253">
            <v>84.2</v>
          </cell>
          <cell r="AB253">
            <v>55.5</v>
          </cell>
        </row>
        <row r="254">
          <cell r="B254">
            <v>87.2</v>
          </cell>
          <cell r="AB254">
            <v>58.2</v>
          </cell>
        </row>
        <row r="255">
          <cell r="B255">
            <v>78.600000000000009</v>
          </cell>
          <cell r="AB255">
            <v>53</v>
          </cell>
        </row>
        <row r="256">
          <cell r="B256">
            <v>74.400000000000006</v>
          </cell>
          <cell r="AB256">
            <v>49.2</v>
          </cell>
        </row>
        <row r="257">
          <cell r="B257">
            <v>69</v>
          </cell>
          <cell r="AB257">
            <v>48.800000000000004</v>
          </cell>
        </row>
        <row r="258">
          <cell r="B258">
            <v>77.800000000000011</v>
          </cell>
          <cell r="AB258">
            <v>49.6</v>
          </cell>
        </row>
        <row r="259">
          <cell r="B259">
            <v>81.600000000000009</v>
          </cell>
          <cell r="AB259">
            <v>51.6</v>
          </cell>
        </row>
        <row r="260">
          <cell r="B260">
            <v>86.9</v>
          </cell>
          <cell r="AB260">
            <v>53.5</v>
          </cell>
        </row>
        <row r="261">
          <cell r="B261">
            <v>83</v>
          </cell>
          <cell r="AB261">
            <v>50.7</v>
          </cell>
        </row>
        <row r="262">
          <cell r="B262">
            <v>83.5</v>
          </cell>
          <cell r="AB262">
            <v>46.7</v>
          </cell>
        </row>
        <row r="263">
          <cell r="B263">
            <v>85.7</v>
          </cell>
          <cell r="AB263">
            <v>48.300000000000004</v>
          </cell>
        </row>
        <row r="264">
          <cell r="B264">
            <v>77.600000000000009</v>
          </cell>
          <cell r="AB264">
            <v>42.5</v>
          </cell>
        </row>
        <row r="265">
          <cell r="B265">
            <v>75.600000000000009</v>
          </cell>
          <cell r="AB265">
            <v>40</v>
          </cell>
        </row>
        <row r="266">
          <cell r="B266">
            <v>66.900000000000006</v>
          </cell>
          <cell r="AB266">
            <v>36.1</v>
          </cell>
        </row>
        <row r="267">
          <cell r="B267">
            <v>66.600000000000009</v>
          </cell>
          <cell r="AB267">
            <v>37.800000000000004</v>
          </cell>
        </row>
        <row r="268">
          <cell r="B268">
            <v>64.900000000000006</v>
          </cell>
          <cell r="AB268">
            <v>38.200000000000003</v>
          </cell>
        </row>
        <row r="269">
          <cell r="B269">
            <v>62.300000000000004</v>
          </cell>
          <cell r="AB269">
            <v>38.300000000000004</v>
          </cell>
        </row>
        <row r="270">
          <cell r="B270">
            <v>56.7</v>
          </cell>
          <cell r="AB270">
            <v>36.800000000000004</v>
          </cell>
        </row>
        <row r="271">
          <cell r="B271">
            <v>57</v>
          </cell>
          <cell r="AB271">
            <v>37.800000000000004</v>
          </cell>
        </row>
        <row r="272">
          <cell r="B272">
            <v>61.400000000000006</v>
          </cell>
          <cell r="AB272">
            <v>35.5</v>
          </cell>
        </row>
        <row r="273">
          <cell r="B273">
            <v>56.7</v>
          </cell>
          <cell r="AB273">
            <v>38.300000000000004</v>
          </cell>
        </row>
        <row r="274">
          <cell r="B274">
            <v>63.2</v>
          </cell>
          <cell r="AB274">
            <v>38.400000000000006</v>
          </cell>
        </row>
        <row r="275">
          <cell r="B275">
            <v>56.900000000000006</v>
          </cell>
          <cell r="AB275">
            <v>38.300000000000004</v>
          </cell>
        </row>
        <row r="276">
          <cell r="B276">
            <v>58.1</v>
          </cell>
          <cell r="AB276">
            <v>38.800000000000004</v>
          </cell>
        </row>
        <row r="277">
          <cell r="B277">
            <v>54.300000000000004</v>
          </cell>
          <cell r="AB277">
            <v>39.400000000000006</v>
          </cell>
        </row>
        <row r="278">
          <cell r="B278">
            <v>57.400000000000006</v>
          </cell>
          <cell r="AB278">
            <v>39.200000000000003</v>
          </cell>
        </row>
        <row r="279">
          <cell r="B279">
            <v>59.5</v>
          </cell>
          <cell r="AB279">
            <v>42.800000000000004</v>
          </cell>
        </row>
        <row r="280">
          <cell r="B280">
            <v>59</v>
          </cell>
          <cell r="AB280">
            <v>46</v>
          </cell>
        </row>
        <row r="281">
          <cell r="B281">
            <v>67.600000000000009</v>
          </cell>
          <cell r="AB281">
            <v>54.400000000000006</v>
          </cell>
        </row>
        <row r="282">
          <cell r="B282">
            <v>79.400000000000006</v>
          </cell>
          <cell r="AB282">
            <v>53.900000000000006</v>
          </cell>
        </row>
        <row r="283">
          <cell r="B283">
            <v>83.100000000000009</v>
          </cell>
          <cell r="AB283">
            <v>54.2</v>
          </cell>
        </row>
        <row r="284">
          <cell r="B284">
            <v>87.7</v>
          </cell>
          <cell r="AB284">
            <v>56.1</v>
          </cell>
        </row>
        <row r="285">
          <cell r="B285">
            <v>87.5</v>
          </cell>
          <cell r="AB285">
            <v>57.5</v>
          </cell>
        </row>
        <row r="286">
          <cell r="B286">
            <v>89</v>
          </cell>
          <cell r="AB286">
            <v>63.6</v>
          </cell>
        </row>
        <row r="287">
          <cell r="B287">
            <v>91.2</v>
          </cell>
          <cell r="AB287">
            <v>63.1</v>
          </cell>
        </row>
        <row r="288">
          <cell r="B288">
            <v>91.100000000000009</v>
          </cell>
          <cell r="AB288">
            <v>62.5</v>
          </cell>
        </row>
        <row r="289">
          <cell r="B289">
            <v>92.100000000000009</v>
          </cell>
          <cell r="AB289">
            <v>64.400000000000006</v>
          </cell>
        </row>
        <row r="290">
          <cell r="B290">
            <v>96.7</v>
          </cell>
          <cell r="AB290">
            <v>66</v>
          </cell>
        </row>
        <row r="291">
          <cell r="B291">
            <v>103.60000000000001</v>
          </cell>
          <cell r="AB291">
            <v>69.900000000000006</v>
          </cell>
        </row>
        <row r="292">
          <cell r="B292">
            <v>103.9</v>
          </cell>
          <cell r="AB292">
            <v>60.5</v>
          </cell>
        </row>
        <row r="293">
          <cell r="B293">
            <v>101</v>
          </cell>
          <cell r="AB293">
            <v>61.300000000000004</v>
          </cell>
        </row>
        <row r="294">
          <cell r="B294">
            <v>101.10000000000001</v>
          </cell>
          <cell r="AB294">
            <v>58.900000000000006</v>
          </cell>
        </row>
        <row r="295">
          <cell r="B295">
            <v>106.10000000000001</v>
          </cell>
          <cell r="AB295">
            <v>61</v>
          </cell>
        </row>
        <row r="296">
          <cell r="B296">
            <v>104.80000000000001</v>
          </cell>
          <cell r="AB296">
            <v>58.6</v>
          </cell>
        </row>
        <row r="297">
          <cell r="B297">
            <v>105.80000000000001</v>
          </cell>
          <cell r="AB297">
            <v>58.1</v>
          </cell>
        </row>
        <row r="298">
          <cell r="B298">
            <v>100.4</v>
          </cell>
          <cell r="AB298">
            <v>56.1</v>
          </cell>
        </row>
        <row r="299">
          <cell r="B299">
            <v>103.10000000000001</v>
          </cell>
          <cell r="AB299">
            <v>53</v>
          </cell>
        </row>
        <row r="300">
          <cell r="B300">
            <v>100</v>
          </cell>
          <cell r="AB300">
            <v>50</v>
          </cell>
        </row>
        <row r="301">
          <cell r="B301">
            <v>99.100000000000009</v>
          </cell>
          <cell r="AB301">
            <v>50.800000000000004</v>
          </cell>
        </row>
        <row r="302">
          <cell r="B302">
            <v>105.5</v>
          </cell>
          <cell r="AB302">
            <v>50.300000000000004</v>
          </cell>
        </row>
        <row r="303">
          <cell r="B303">
            <v>97</v>
          </cell>
          <cell r="AB303">
            <v>50.6</v>
          </cell>
        </row>
        <row r="304">
          <cell r="B304">
            <v>102</v>
          </cell>
          <cell r="AB304">
            <v>50.300000000000004</v>
          </cell>
        </row>
        <row r="305">
          <cell r="B305">
            <v>103.10000000000001</v>
          </cell>
          <cell r="AB305">
            <v>49.900000000000006</v>
          </cell>
        </row>
        <row r="306">
          <cell r="B306">
            <v>96.100000000000009</v>
          </cell>
          <cell r="AB306">
            <v>47.800000000000004</v>
          </cell>
        </row>
        <row r="307">
          <cell r="B307">
            <v>104.4</v>
          </cell>
          <cell r="AB307">
            <v>48.2</v>
          </cell>
        </row>
        <row r="308">
          <cell r="B308">
            <v>99.600000000000009</v>
          </cell>
          <cell r="AB308">
            <v>47.1</v>
          </cell>
        </row>
        <row r="309">
          <cell r="B309">
            <v>102.60000000000001</v>
          </cell>
          <cell r="AB309">
            <v>47.800000000000004</v>
          </cell>
        </row>
        <row r="310">
          <cell r="B310">
            <v>103.2</v>
          </cell>
          <cell r="AB310">
            <v>47.900000000000006</v>
          </cell>
        </row>
        <row r="311">
          <cell r="B311">
            <v>100.9</v>
          </cell>
          <cell r="AB311">
            <v>47.7</v>
          </cell>
        </row>
        <row r="312">
          <cell r="B312">
            <v>96</v>
          </cell>
          <cell r="AB312">
            <v>49.900000000000006</v>
          </cell>
        </row>
        <row r="313">
          <cell r="B313">
            <v>96.100000000000009</v>
          </cell>
          <cell r="AB313">
            <v>50.900000000000006</v>
          </cell>
        </row>
        <row r="314">
          <cell r="B314">
            <v>98.100000000000009</v>
          </cell>
          <cell r="AB314">
            <v>52</v>
          </cell>
        </row>
        <row r="315">
          <cell r="B315">
            <v>98.2</v>
          </cell>
          <cell r="AB315">
            <v>50.7</v>
          </cell>
        </row>
        <row r="316">
          <cell r="B316">
            <v>96.9</v>
          </cell>
          <cell r="AB316">
            <v>51.2</v>
          </cell>
        </row>
        <row r="317">
          <cell r="B317">
            <v>96</v>
          </cell>
          <cell r="AB317">
            <v>51</v>
          </cell>
        </row>
        <row r="318">
          <cell r="B318">
            <v>95.100000000000009</v>
          </cell>
          <cell r="AB318">
            <v>51</v>
          </cell>
        </row>
        <row r="319">
          <cell r="B319">
            <v>100</v>
          </cell>
          <cell r="AB319">
            <v>49.7</v>
          </cell>
        </row>
        <row r="320">
          <cell r="B320">
            <v>100.2</v>
          </cell>
          <cell r="AB320">
            <v>53.400000000000006</v>
          </cell>
        </row>
        <row r="321">
          <cell r="B321">
            <v>100</v>
          </cell>
          <cell r="AB321">
            <v>50.5</v>
          </cell>
        </row>
        <row r="322">
          <cell r="B322">
            <v>97.5</v>
          </cell>
          <cell r="AB322">
            <v>48</v>
          </cell>
        </row>
        <row r="323">
          <cell r="B323">
            <v>91.7</v>
          </cell>
          <cell r="AB323">
            <v>52.6</v>
          </cell>
        </row>
        <row r="324">
          <cell r="B324">
            <v>89.7</v>
          </cell>
          <cell r="AB324">
            <v>52.400000000000006</v>
          </cell>
        </row>
        <row r="325">
          <cell r="B325">
            <v>85.800000000000011</v>
          </cell>
          <cell r="AB325">
            <v>51.2</v>
          </cell>
        </row>
        <row r="326">
          <cell r="B326">
            <v>89.7</v>
          </cell>
          <cell r="AB326">
            <v>51.2</v>
          </cell>
        </row>
        <row r="327">
          <cell r="B327">
            <v>93.2</v>
          </cell>
          <cell r="AB327">
            <v>50.5</v>
          </cell>
        </row>
        <row r="328">
          <cell r="B328">
            <v>85.4</v>
          </cell>
          <cell r="AB328">
            <v>54.900000000000006</v>
          </cell>
        </row>
        <row r="329">
          <cell r="B329">
            <v>91.800000000000011</v>
          </cell>
          <cell r="AB329">
            <v>52.6</v>
          </cell>
        </row>
        <row r="330">
          <cell r="B330">
            <v>95.800000000000011</v>
          </cell>
          <cell r="AB330">
            <v>55</v>
          </cell>
        </row>
        <row r="331">
          <cell r="B331">
            <v>97.4</v>
          </cell>
          <cell r="AB331">
            <v>55.5</v>
          </cell>
        </row>
        <row r="332">
          <cell r="B332">
            <v>103</v>
          </cell>
          <cell r="AB332">
            <v>57.2</v>
          </cell>
        </row>
        <row r="333">
          <cell r="B333">
            <v>102.10000000000001</v>
          </cell>
          <cell r="AB333">
            <v>57.400000000000006</v>
          </cell>
        </row>
        <row r="334">
          <cell r="B334">
            <v>105.80000000000001</v>
          </cell>
          <cell r="AB334">
            <v>57.5</v>
          </cell>
        </row>
        <row r="335">
          <cell r="B335">
            <v>110.7</v>
          </cell>
          <cell r="AB335">
            <v>59.300000000000004</v>
          </cell>
        </row>
        <row r="336">
          <cell r="B336">
            <v>115.7</v>
          </cell>
          <cell r="AB336">
            <v>60</v>
          </cell>
        </row>
        <row r="337">
          <cell r="B337">
            <v>115.10000000000001</v>
          </cell>
          <cell r="AB337">
            <v>60.7</v>
          </cell>
        </row>
        <row r="338">
          <cell r="B338">
            <v>100.80000000000001</v>
          </cell>
          <cell r="AB338">
            <v>58.800000000000004</v>
          </cell>
        </row>
        <row r="339">
          <cell r="B339">
            <v>107.7</v>
          </cell>
          <cell r="AB339">
            <v>61</v>
          </cell>
        </row>
        <row r="340">
          <cell r="B340">
            <v>109.9</v>
          </cell>
          <cell r="AB340">
            <v>57.5</v>
          </cell>
        </row>
        <row r="341">
          <cell r="B341">
            <v>114.9</v>
          </cell>
          <cell r="AB341">
            <v>56.2</v>
          </cell>
        </row>
        <row r="342">
          <cell r="B342">
            <v>112.7</v>
          </cell>
          <cell r="AB342">
            <v>54.6</v>
          </cell>
        </row>
        <row r="343">
          <cell r="B343">
            <v>115.7</v>
          </cell>
          <cell r="AB343">
            <v>55.800000000000004</v>
          </cell>
        </row>
        <row r="344">
          <cell r="B344">
            <v>120.2</v>
          </cell>
          <cell r="AB344">
            <v>55.5</v>
          </cell>
        </row>
        <row r="345">
          <cell r="B345">
            <v>115.7</v>
          </cell>
          <cell r="AB345">
            <v>59.300000000000004</v>
          </cell>
        </row>
        <row r="346">
          <cell r="B346">
            <v>113.5</v>
          </cell>
          <cell r="AB346">
            <v>58.2</v>
          </cell>
        </row>
        <row r="347">
          <cell r="B347">
            <v>119.7</v>
          </cell>
          <cell r="AB347">
            <v>56</v>
          </cell>
        </row>
        <row r="348">
          <cell r="B348">
            <v>110.7</v>
          </cell>
          <cell r="AB348">
            <v>54.5</v>
          </cell>
        </row>
        <row r="349">
          <cell r="B349">
            <v>116.9</v>
          </cell>
          <cell r="AB349">
            <v>55.400000000000006</v>
          </cell>
        </row>
        <row r="350">
          <cell r="B350">
            <v>112.9</v>
          </cell>
          <cell r="AB350">
            <v>55.6</v>
          </cell>
        </row>
        <row r="351">
          <cell r="B351">
            <v>119.4</v>
          </cell>
          <cell r="AB351">
            <v>56</v>
          </cell>
        </row>
        <row r="352">
          <cell r="B352">
            <v>115.80000000000001</v>
          </cell>
          <cell r="AB352">
            <v>54.7</v>
          </cell>
        </row>
        <row r="353">
          <cell r="B353">
            <v>120.7</v>
          </cell>
          <cell r="AB353">
            <v>54.1</v>
          </cell>
        </row>
        <row r="354">
          <cell r="B354">
            <v>117.4</v>
          </cell>
          <cell r="AB354">
            <v>51.5</v>
          </cell>
        </row>
        <row r="355">
          <cell r="B355">
            <v>116.60000000000001</v>
          </cell>
          <cell r="AB355">
            <v>52.2</v>
          </cell>
        </row>
        <row r="356">
          <cell r="B356">
            <v>116.7</v>
          </cell>
          <cell r="AB356">
            <v>49.300000000000004</v>
          </cell>
        </row>
        <row r="357">
          <cell r="B357">
            <v>117.2</v>
          </cell>
          <cell r="AB357">
            <v>47.300000000000004</v>
          </cell>
        </row>
        <row r="358">
          <cell r="B358">
            <v>120.4</v>
          </cell>
          <cell r="AB358">
            <v>45.900000000000006</v>
          </cell>
        </row>
        <row r="359">
          <cell r="B359">
            <v>115.4</v>
          </cell>
          <cell r="AB359">
            <v>45.1</v>
          </cell>
        </row>
        <row r="360">
          <cell r="B360">
            <v>116.30000000000001</v>
          </cell>
          <cell r="AB360">
            <v>46</v>
          </cell>
        </row>
        <row r="361">
          <cell r="B361">
            <v>117</v>
          </cell>
          <cell r="AB361">
            <v>46.800000000000004</v>
          </cell>
        </row>
        <row r="362">
          <cell r="B362">
            <v>115.10000000000001</v>
          </cell>
          <cell r="AB362">
            <v>46.800000000000004</v>
          </cell>
        </row>
        <row r="363">
          <cell r="B363">
            <v>113</v>
          </cell>
          <cell r="AB363">
            <v>47.400000000000006</v>
          </cell>
        </row>
        <row r="364">
          <cell r="B364">
            <v>106.5</v>
          </cell>
          <cell r="AB364">
            <v>47.2</v>
          </cell>
        </row>
        <row r="365">
          <cell r="B365">
            <v>106.7</v>
          </cell>
          <cell r="AB365">
            <v>49.1</v>
          </cell>
        </row>
        <row r="366">
          <cell r="B366">
            <v>110.60000000000001</v>
          </cell>
          <cell r="AB366">
            <v>49.900000000000006</v>
          </cell>
        </row>
        <row r="367">
          <cell r="B367">
            <v>107.30000000000001</v>
          </cell>
          <cell r="AB367">
            <v>50</v>
          </cell>
        </row>
        <row r="368">
          <cell r="B368">
            <v>107.30000000000001</v>
          </cell>
          <cell r="AB368">
            <v>49.5</v>
          </cell>
        </row>
        <row r="369">
          <cell r="B369">
            <v>102.4</v>
          </cell>
          <cell r="AB369">
            <v>49.2</v>
          </cell>
        </row>
        <row r="370">
          <cell r="B370">
            <v>101.7</v>
          </cell>
          <cell r="AB370">
            <v>46.6</v>
          </cell>
        </row>
        <row r="371">
          <cell r="B371">
            <v>84.7</v>
          </cell>
          <cell r="AB371">
            <v>46.1</v>
          </cell>
        </row>
        <row r="372">
          <cell r="B372">
            <v>85.600000000000009</v>
          </cell>
          <cell r="AB372">
            <v>44.5</v>
          </cell>
        </row>
        <row r="373">
          <cell r="B373">
            <v>62.6</v>
          </cell>
          <cell r="AB373">
            <v>43.2</v>
          </cell>
        </row>
        <row r="374">
          <cell r="B374">
            <v>61.7</v>
          </cell>
          <cell r="AB374">
            <v>41.300000000000004</v>
          </cell>
        </row>
        <row r="375">
          <cell r="B375">
            <v>61.2</v>
          </cell>
          <cell r="AB375">
            <v>40.800000000000004</v>
          </cell>
        </row>
        <row r="376">
          <cell r="B376">
            <v>55.1</v>
          </cell>
          <cell r="AB376">
            <v>39.200000000000003</v>
          </cell>
        </row>
        <row r="377">
          <cell r="B377">
            <v>59.400000000000006</v>
          </cell>
          <cell r="AB377">
            <v>39.400000000000006</v>
          </cell>
        </row>
        <row r="378">
          <cell r="B378">
            <v>81.100000000000009</v>
          </cell>
          <cell r="AB378">
            <v>40.700000000000003</v>
          </cell>
        </row>
        <row r="379">
          <cell r="B379">
            <v>79.400000000000006</v>
          </cell>
          <cell r="AB379">
            <v>42.800000000000004</v>
          </cell>
        </row>
        <row r="380">
          <cell r="B380">
            <v>76.400000000000006</v>
          </cell>
          <cell r="AB380">
            <v>44.5</v>
          </cell>
        </row>
        <row r="381">
          <cell r="B381">
            <v>78</v>
          </cell>
          <cell r="AB381">
            <v>50.300000000000004</v>
          </cell>
        </row>
        <row r="382">
          <cell r="B382">
            <v>77.7</v>
          </cell>
          <cell r="AB382">
            <v>50.6</v>
          </cell>
        </row>
        <row r="383">
          <cell r="B383">
            <v>76.100000000000009</v>
          </cell>
          <cell r="AB383">
            <v>52.900000000000006</v>
          </cell>
        </row>
        <row r="384">
          <cell r="B384">
            <v>72.900000000000006</v>
          </cell>
          <cell r="AB384">
            <v>54.900000000000006</v>
          </cell>
        </row>
        <row r="385">
          <cell r="B385">
            <v>60.1</v>
          </cell>
          <cell r="AB385">
            <v>53.1</v>
          </cell>
        </row>
        <row r="386">
          <cell r="B386">
            <v>52.7</v>
          </cell>
          <cell r="AB386">
            <v>49.5</v>
          </cell>
        </row>
        <row r="387">
          <cell r="B387">
            <v>52.5</v>
          </cell>
          <cell r="AB387">
            <v>46.800000000000004</v>
          </cell>
        </row>
        <row r="388">
          <cell r="B388">
            <v>50.2</v>
          </cell>
          <cell r="AB388">
            <v>47.300000000000004</v>
          </cell>
        </row>
        <row r="389">
          <cell r="B389">
            <v>47.300000000000004</v>
          </cell>
          <cell r="AB389">
            <v>52.7</v>
          </cell>
        </row>
        <row r="390">
          <cell r="B390">
            <v>56.5</v>
          </cell>
          <cell r="AB390">
            <v>54.6</v>
          </cell>
        </row>
        <row r="391">
          <cell r="B391">
            <v>65.100000000000009</v>
          </cell>
          <cell r="AB391">
            <v>52.6</v>
          </cell>
        </row>
        <row r="392">
          <cell r="B392">
            <v>71.900000000000006</v>
          </cell>
          <cell r="AB392">
            <v>55.7</v>
          </cell>
        </row>
        <row r="393">
          <cell r="B393">
            <v>72.600000000000009</v>
          </cell>
          <cell r="AB393">
            <v>53.6</v>
          </cell>
        </row>
        <row r="394">
          <cell r="B394">
            <v>61.2</v>
          </cell>
          <cell r="AB394">
            <v>53.900000000000006</v>
          </cell>
        </row>
        <row r="395">
          <cell r="B395">
            <v>59</v>
          </cell>
          <cell r="AB395">
            <v>53.400000000000006</v>
          </cell>
        </row>
        <row r="396">
          <cell r="B396">
            <v>57.300000000000004</v>
          </cell>
          <cell r="AB396">
            <v>49.7</v>
          </cell>
        </row>
        <row r="397">
          <cell r="B397">
            <v>54.6</v>
          </cell>
          <cell r="AB397">
            <v>50.300000000000004</v>
          </cell>
        </row>
        <row r="398">
          <cell r="B398">
            <v>65.600000000000009</v>
          </cell>
          <cell r="AB398">
            <v>53.6</v>
          </cell>
        </row>
        <row r="399">
          <cell r="B399">
            <v>78.100000000000009</v>
          </cell>
          <cell r="AB399">
            <v>54.2</v>
          </cell>
        </row>
        <row r="400">
          <cell r="B400">
            <v>76.7</v>
          </cell>
          <cell r="AB400">
            <v>55.800000000000004</v>
          </cell>
        </row>
        <row r="401">
          <cell r="B401">
            <v>68.5</v>
          </cell>
          <cell r="AB401">
            <v>55.2</v>
          </cell>
        </row>
        <row r="402">
          <cell r="B402">
            <v>63.2</v>
          </cell>
          <cell r="AB402">
            <v>53.5</v>
          </cell>
        </row>
        <row r="403">
          <cell r="B403">
            <v>67.600000000000009</v>
          </cell>
          <cell r="AB403">
            <v>50.2</v>
          </cell>
        </row>
        <row r="404">
          <cell r="B404">
            <v>61.900000000000006</v>
          </cell>
          <cell r="AB404">
            <v>51.2</v>
          </cell>
        </row>
        <row r="405">
          <cell r="B405">
            <v>58.6</v>
          </cell>
          <cell r="AB405">
            <v>49.6</v>
          </cell>
        </row>
        <row r="406">
          <cell r="B406">
            <v>59.2</v>
          </cell>
          <cell r="AB406">
            <v>50.2</v>
          </cell>
        </row>
        <row r="407">
          <cell r="B407">
            <v>59.300000000000004</v>
          </cell>
          <cell r="AB407">
            <v>50.7</v>
          </cell>
        </row>
        <row r="408">
          <cell r="B408">
            <v>63.800000000000004</v>
          </cell>
          <cell r="AB408">
            <v>50.800000000000004</v>
          </cell>
        </row>
        <row r="409">
          <cell r="B409">
            <v>60.5</v>
          </cell>
          <cell r="AB409">
            <v>53.400000000000006</v>
          </cell>
        </row>
        <row r="410">
          <cell r="B410">
            <v>71.900000000000006</v>
          </cell>
          <cell r="AB410">
            <v>53.800000000000004</v>
          </cell>
        </row>
        <row r="411">
          <cell r="B411">
            <v>79.800000000000011</v>
          </cell>
          <cell r="AB411">
            <v>55.6</v>
          </cell>
        </row>
        <row r="412">
          <cell r="B412">
            <v>82.600000000000009</v>
          </cell>
          <cell r="AB412">
            <v>56</v>
          </cell>
        </row>
        <row r="413">
          <cell r="B413">
            <v>79.900000000000006</v>
          </cell>
          <cell r="AB413">
            <v>56.5</v>
          </cell>
        </row>
        <row r="414">
          <cell r="B414">
            <v>86.7</v>
          </cell>
          <cell r="AB414">
            <v>56.900000000000006</v>
          </cell>
        </row>
        <row r="415">
          <cell r="B415">
            <v>92.100000000000009</v>
          </cell>
          <cell r="AB415">
            <v>57.400000000000006</v>
          </cell>
        </row>
        <row r="416">
          <cell r="B416">
            <v>88.9</v>
          </cell>
          <cell r="AB416">
            <v>58.2</v>
          </cell>
        </row>
        <row r="417">
          <cell r="B417">
            <v>92.5</v>
          </cell>
          <cell r="AB417">
            <v>58.800000000000004</v>
          </cell>
        </row>
        <row r="418">
          <cell r="B418">
            <v>91.300000000000011</v>
          </cell>
          <cell r="AB418">
            <v>58.5</v>
          </cell>
        </row>
        <row r="419">
          <cell r="B419">
            <v>90.4</v>
          </cell>
          <cell r="AB419">
            <v>58</v>
          </cell>
        </row>
        <row r="420">
          <cell r="B420">
            <v>89.5</v>
          </cell>
          <cell r="AB420">
            <v>59</v>
          </cell>
        </row>
        <row r="421">
          <cell r="B421">
            <v>89.100000000000009</v>
          </cell>
          <cell r="AB421">
            <v>59.400000000000006</v>
          </cell>
        </row>
        <row r="422">
          <cell r="B422">
            <v>100.4</v>
          </cell>
          <cell r="AB422">
            <v>59.2</v>
          </cell>
        </row>
        <row r="423">
          <cell r="B423">
            <v>103.4</v>
          </cell>
          <cell r="AB423">
            <v>56.1</v>
          </cell>
        </row>
        <row r="424">
          <cell r="B424">
            <v>101.4</v>
          </cell>
          <cell r="AB424">
            <v>57.400000000000006</v>
          </cell>
        </row>
        <row r="425">
          <cell r="B425">
            <v>99.4</v>
          </cell>
          <cell r="AB425">
            <v>55.1</v>
          </cell>
        </row>
        <row r="426">
          <cell r="B426">
            <v>100.2</v>
          </cell>
          <cell r="AB426">
            <v>52.1</v>
          </cell>
        </row>
        <row r="427">
          <cell r="B427">
            <v>104.60000000000001</v>
          </cell>
          <cell r="AB427">
            <v>51.5</v>
          </cell>
        </row>
        <row r="428">
          <cell r="B428">
            <v>102</v>
          </cell>
          <cell r="AB428">
            <v>46.7</v>
          </cell>
        </row>
        <row r="429">
          <cell r="B429">
            <v>94.600000000000009</v>
          </cell>
          <cell r="AB429">
            <v>45.900000000000006</v>
          </cell>
        </row>
        <row r="430">
          <cell r="B430">
            <v>101.4</v>
          </cell>
          <cell r="AB430">
            <v>50.7</v>
          </cell>
        </row>
        <row r="431">
          <cell r="B431">
            <v>102.4</v>
          </cell>
          <cell r="AB431">
            <v>47.1</v>
          </cell>
        </row>
        <row r="432">
          <cell r="B432">
            <v>97.300000000000011</v>
          </cell>
          <cell r="AB432">
            <v>48.1</v>
          </cell>
        </row>
        <row r="433">
          <cell r="B433">
            <v>96.300000000000011</v>
          </cell>
          <cell r="AB433">
            <v>46.7</v>
          </cell>
        </row>
        <row r="434">
          <cell r="B434">
            <v>101.60000000000001</v>
          </cell>
          <cell r="AB434">
            <v>45.900000000000006</v>
          </cell>
        </row>
        <row r="435">
          <cell r="B435">
            <v>99.2</v>
          </cell>
          <cell r="AB435">
            <v>46.2</v>
          </cell>
        </row>
        <row r="436">
          <cell r="B436">
            <v>88.4</v>
          </cell>
          <cell r="AB436">
            <v>45.5</v>
          </cell>
        </row>
        <row r="437">
          <cell r="B437">
            <v>98</v>
          </cell>
          <cell r="AB437">
            <v>45.900000000000006</v>
          </cell>
        </row>
        <row r="438">
          <cell r="B438">
            <v>98.4</v>
          </cell>
          <cell r="AB438">
            <v>46.900000000000006</v>
          </cell>
        </row>
        <row r="439">
          <cell r="B439">
            <v>104.80000000000001</v>
          </cell>
          <cell r="AB439">
            <v>49.300000000000004</v>
          </cell>
        </row>
        <row r="440">
          <cell r="B440">
            <v>103.5</v>
          </cell>
          <cell r="AB440">
            <v>49.1</v>
          </cell>
        </row>
        <row r="441">
          <cell r="B441">
            <v>100.10000000000001</v>
          </cell>
          <cell r="AB441">
            <v>53.6</v>
          </cell>
        </row>
        <row r="442">
          <cell r="B442">
            <v>107</v>
          </cell>
          <cell r="AB442">
            <v>49.7</v>
          </cell>
        </row>
        <row r="443">
          <cell r="B443">
            <v>112</v>
          </cell>
          <cell r="AB443">
            <v>51.6</v>
          </cell>
        </row>
        <row r="444">
          <cell r="B444">
            <v>111.80000000000001</v>
          </cell>
          <cell r="AB444">
            <v>51.1</v>
          </cell>
        </row>
        <row r="445">
          <cell r="B445">
            <v>107.30000000000001</v>
          </cell>
          <cell r="AB445">
            <v>50.5</v>
          </cell>
        </row>
        <row r="446">
          <cell r="B446">
            <v>109.5</v>
          </cell>
          <cell r="AB446">
            <v>53</v>
          </cell>
        </row>
        <row r="447">
          <cell r="B447">
            <v>114.2</v>
          </cell>
          <cell r="AB447">
            <v>55.2</v>
          </cell>
        </row>
        <row r="448">
          <cell r="B448">
            <v>118.7</v>
          </cell>
          <cell r="AB448">
            <v>53.800000000000004</v>
          </cell>
        </row>
        <row r="449">
          <cell r="B449">
            <v>118.9</v>
          </cell>
          <cell r="AB449">
            <v>53.1</v>
          </cell>
        </row>
        <row r="450">
          <cell r="B450">
            <v>118.5</v>
          </cell>
          <cell r="AB450">
            <v>53.800000000000004</v>
          </cell>
        </row>
        <row r="451">
          <cell r="B451">
            <v>118.5</v>
          </cell>
          <cell r="AB451">
            <v>53.7</v>
          </cell>
        </row>
        <row r="452">
          <cell r="B452">
            <v>127.9</v>
          </cell>
          <cell r="AB452">
            <v>56.1</v>
          </cell>
        </row>
        <row r="453">
          <cell r="B453">
            <v>129.9</v>
          </cell>
          <cell r="AB453">
            <v>54.900000000000006</v>
          </cell>
        </row>
        <row r="454">
          <cell r="B454">
            <v>126.30000000000001</v>
          </cell>
          <cell r="AB454">
            <v>57.7</v>
          </cell>
        </row>
        <row r="455">
          <cell r="B455">
            <v>127.60000000000001</v>
          </cell>
          <cell r="AB455">
            <v>56.300000000000004</v>
          </cell>
        </row>
        <row r="456">
          <cell r="B456">
            <v>130.20000000000002</v>
          </cell>
          <cell r="AB456">
            <v>53.900000000000006</v>
          </cell>
        </row>
        <row r="457">
          <cell r="B457">
            <v>123.4</v>
          </cell>
          <cell r="AB457">
            <v>56.400000000000006</v>
          </cell>
        </row>
        <row r="458">
          <cell r="B458">
            <v>128.1</v>
          </cell>
          <cell r="AB458">
            <v>55.7</v>
          </cell>
        </row>
        <row r="459">
          <cell r="B459">
            <v>136.20000000000002</v>
          </cell>
          <cell r="AB459">
            <v>54.5</v>
          </cell>
        </row>
        <row r="460">
          <cell r="B460">
            <v>128.30000000000001</v>
          </cell>
          <cell r="AB460">
            <v>53.800000000000004</v>
          </cell>
        </row>
        <row r="461">
          <cell r="B461">
            <v>137.4</v>
          </cell>
          <cell r="AB461">
            <v>52.900000000000006</v>
          </cell>
        </row>
        <row r="462">
          <cell r="B462">
            <v>133.80000000000001</v>
          </cell>
          <cell r="AB462">
            <v>52.900000000000006</v>
          </cell>
        </row>
        <row r="463">
          <cell r="B463">
            <v>137.20000000000002</v>
          </cell>
          <cell r="AB463">
            <v>52.2</v>
          </cell>
        </row>
        <row r="464">
          <cell r="B464">
            <v>136.30000000000001</v>
          </cell>
          <cell r="AB464">
            <v>50.900000000000006</v>
          </cell>
        </row>
        <row r="465">
          <cell r="B465">
            <v>138.20000000000002</v>
          </cell>
          <cell r="AB465">
            <v>48.900000000000006</v>
          </cell>
        </row>
        <row r="466">
          <cell r="B466">
            <v>137.20000000000002</v>
          </cell>
          <cell r="AB466">
            <v>49.2</v>
          </cell>
        </row>
        <row r="467">
          <cell r="B467">
            <v>133.1</v>
          </cell>
          <cell r="AB467">
            <v>49.300000000000004</v>
          </cell>
        </row>
        <row r="468">
          <cell r="B468">
            <v>126.4</v>
          </cell>
          <cell r="AB468">
            <v>48.7</v>
          </cell>
        </row>
        <row r="469">
          <cell r="B469">
            <v>119.30000000000001</v>
          </cell>
          <cell r="AB469">
            <v>48.7</v>
          </cell>
        </row>
        <row r="470">
          <cell r="B470">
            <v>126.4</v>
          </cell>
          <cell r="AB470">
            <v>48.2</v>
          </cell>
        </row>
        <row r="471">
          <cell r="B471">
            <v>126.7</v>
          </cell>
          <cell r="AB471">
            <v>46.800000000000004</v>
          </cell>
        </row>
        <row r="472">
          <cell r="B472">
            <v>128.9</v>
          </cell>
          <cell r="AB472">
            <v>50.6</v>
          </cell>
        </row>
        <row r="473">
          <cell r="B473">
            <v>133.1</v>
          </cell>
          <cell r="AB473">
            <v>51.7</v>
          </cell>
        </row>
        <row r="474">
          <cell r="B474">
            <v>134</v>
          </cell>
          <cell r="AB474">
            <v>52.400000000000006</v>
          </cell>
        </row>
        <row r="475">
          <cell r="B475">
            <v>135.5</v>
          </cell>
          <cell r="AB475">
            <v>52.300000000000004</v>
          </cell>
        </row>
        <row r="476">
          <cell r="B476">
            <v>137.70000000000002</v>
          </cell>
          <cell r="AB476">
            <v>54.300000000000004</v>
          </cell>
        </row>
        <row r="477">
          <cell r="B477">
            <v>139</v>
          </cell>
          <cell r="AB477">
            <v>55.800000000000004</v>
          </cell>
        </row>
        <row r="478">
          <cell r="B478">
            <v>136.20000000000002</v>
          </cell>
          <cell r="AB478">
            <v>53.6</v>
          </cell>
        </row>
        <row r="479">
          <cell r="B479">
            <v>136</v>
          </cell>
          <cell r="AB479">
            <v>54.800000000000004</v>
          </cell>
        </row>
        <row r="480">
          <cell r="B480">
            <v>134.20000000000002</v>
          </cell>
          <cell r="AB480">
            <v>57</v>
          </cell>
        </row>
        <row r="481">
          <cell r="B481">
            <v>130.5</v>
          </cell>
          <cell r="AB481">
            <v>57.2</v>
          </cell>
        </row>
        <row r="482">
          <cell r="B482">
            <v>137</v>
          </cell>
          <cell r="AB482">
            <v>58.1</v>
          </cell>
        </row>
        <row r="483">
          <cell r="B483">
            <v>141.70000000000002</v>
          </cell>
          <cell r="AB483">
            <v>57.800000000000004</v>
          </cell>
        </row>
        <row r="484">
          <cell r="B484">
            <v>144.70000000000002</v>
          </cell>
          <cell r="AB484">
            <v>56.7</v>
          </cell>
        </row>
        <row r="485">
          <cell r="B485">
            <v>140.80000000000001</v>
          </cell>
          <cell r="AB485">
            <v>55.800000000000004</v>
          </cell>
        </row>
        <row r="486">
          <cell r="B486">
            <v>137.1</v>
          </cell>
          <cell r="AB486">
            <v>54.900000000000006</v>
          </cell>
        </row>
        <row r="487">
          <cell r="B487">
            <v>137.70000000000002</v>
          </cell>
          <cell r="AB487">
            <v>54.7</v>
          </cell>
        </row>
        <row r="488">
          <cell r="B488">
            <v>144.70000000000002</v>
          </cell>
          <cell r="AB488">
            <v>53.2</v>
          </cell>
        </row>
        <row r="489">
          <cell r="B489">
            <v>139.20000000000002</v>
          </cell>
          <cell r="AB489">
            <v>51.400000000000006</v>
          </cell>
        </row>
        <row r="490">
          <cell r="B490">
            <v>143</v>
          </cell>
          <cell r="AB490">
            <v>52.5</v>
          </cell>
        </row>
        <row r="491">
          <cell r="B491">
            <v>140.80000000000001</v>
          </cell>
          <cell r="AB491">
            <v>49.900000000000006</v>
          </cell>
        </row>
        <row r="492">
          <cell r="B492">
            <v>142.5</v>
          </cell>
          <cell r="AB492">
            <v>49.7</v>
          </cell>
        </row>
        <row r="493">
          <cell r="B493">
            <v>135.80000000000001</v>
          </cell>
          <cell r="AB493">
            <v>48.7</v>
          </cell>
        </row>
        <row r="494">
          <cell r="B494">
            <v>132.6</v>
          </cell>
          <cell r="AB494">
            <v>48.5</v>
          </cell>
        </row>
        <row r="495">
          <cell r="B495">
            <v>128.6</v>
          </cell>
          <cell r="AB495">
            <v>43.900000000000006</v>
          </cell>
        </row>
        <row r="496">
          <cell r="B496">
            <v>115.7</v>
          </cell>
          <cell r="AB496">
            <v>42.300000000000004</v>
          </cell>
        </row>
        <row r="497">
          <cell r="B497">
            <v>109.2</v>
          </cell>
          <cell r="AB497">
            <v>42.1</v>
          </cell>
        </row>
        <row r="498">
          <cell r="B498">
            <v>116.9</v>
          </cell>
          <cell r="AB498">
            <v>43.1</v>
          </cell>
        </row>
        <row r="499">
          <cell r="B499">
            <v>109.9</v>
          </cell>
          <cell r="AB499">
            <v>42.7</v>
          </cell>
        </row>
        <row r="500">
          <cell r="B500">
            <v>116.10000000000001</v>
          </cell>
          <cell r="AB500">
            <v>41.300000000000004</v>
          </cell>
        </row>
        <row r="501">
          <cell r="B501">
            <v>118.9</v>
          </cell>
          <cell r="AB501">
            <v>43.2</v>
          </cell>
        </row>
        <row r="502">
          <cell r="B502">
            <v>116.30000000000001</v>
          </cell>
          <cell r="AB502">
            <v>43.5</v>
          </cell>
        </row>
        <row r="503">
          <cell r="B503">
            <v>114</v>
          </cell>
          <cell r="AB503">
            <v>46.300000000000004</v>
          </cell>
        </row>
        <row r="504">
          <cell r="B504">
            <v>97</v>
          </cell>
          <cell r="AB504">
            <v>46.2</v>
          </cell>
        </row>
        <row r="505">
          <cell r="B505">
            <v>85.300000000000011</v>
          </cell>
          <cell r="AB505">
            <v>40.800000000000004</v>
          </cell>
        </row>
        <row r="506">
          <cell r="B506">
            <v>84.9</v>
          </cell>
          <cell r="AB506">
            <v>44.1</v>
          </cell>
        </row>
        <row r="507">
          <cell r="B507">
            <v>94.600000000000009</v>
          </cell>
          <cell r="AB507">
            <v>45.300000000000004</v>
          </cell>
        </row>
        <row r="508">
          <cell r="B508">
            <v>97.800000000000011</v>
          </cell>
          <cell r="AB508">
            <v>47.5</v>
          </cell>
        </row>
        <row r="509">
          <cell r="B509">
            <v>95</v>
          </cell>
          <cell r="AB509">
            <v>50.7</v>
          </cell>
        </row>
        <row r="510">
          <cell r="B510">
            <v>110.7</v>
          </cell>
          <cell r="AB510">
            <v>52.400000000000006</v>
          </cell>
        </row>
        <row r="511">
          <cell r="B511">
            <v>108.5</v>
          </cell>
          <cell r="AB511">
            <v>52.400000000000006</v>
          </cell>
        </row>
        <row r="512">
          <cell r="B512">
            <v>110.30000000000001</v>
          </cell>
          <cell r="AB512">
            <v>53.1</v>
          </cell>
        </row>
        <row r="513">
          <cell r="B513">
            <v>106.30000000000001</v>
          </cell>
          <cell r="AB513">
            <v>53.6</v>
          </cell>
        </row>
        <row r="514">
          <cell r="B514">
            <v>97.4</v>
          </cell>
          <cell r="AB514">
            <v>50.2</v>
          </cell>
        </row>
        <row r="515">
          <cell r="B515">
            <v>94.5</v>
          </cell>
          <cell r="AB515">
            <v>50.300000000000004</v>
          </cell>
        </row>
        <row r="516">
          <cell r="B516">
            <v>93.7</v>
          </cell>
          <cell r="AB516">
            <v>50.5</v>
          </cell>
        </row>
        <row r="517">
          <cell r="B517">
            <v>79.600000000000009</v>
          </cell>
          <cell r="AB517">
            <v>49</v>
          </cell>
        </row>
        <row r="518">
          <cell r="B518">
            <v>84.9</v>
          </cell>
          <cell r="AB518">
            <v>48.5</v>
          </cell>
        </row>
        <row r="519">
          <cell r="B519">
            <v>80.7</v>
          </cell>
          <cell r="AB519">
            <v>51.6</v>
          </cell>
        </row>
        <row r="520">
          <cell r="B520">
            <v>78.800000000000011</v>
          </cell>
          <cell r="AB520">
            <v>51.300000000000004</v>
          </cell>
        </row>
        <row r="521">
          <cell r="B521">
            <v>64.8</v>
          </cell>
          <cell r="AB521">
            <v>48.800000000000004</v>
          </cell>
        </row>
        <row r="522">
          <cell r="B522">
            <v>61.400000000000006</v>
          </cell>
          <cell r="AB522">
            <v>46.300000000000004</v>
          </cell>
        </row>
        <row r="523">
          <cell r="B523">
            <v>81</v>
          </cell>
          <cell r="AB523">
            <v>46.1</v>
          </cell>
        </row>
        <row r="524">
          <cell r="B524">
            <v>83.600000000000009</v>
          </cell>
          <cell r="AB524">
            <v>49</v>
          </cell>
        </row>
        <row r="525">
          <cell r="B525">
            <v>83.5</v>
          </cell>
          <cell r="AB525">
            <v>49</v>
          </cell>
        </row>
        <row r="526">
          <cell r="B526">
            <v>77</v>
          </cell>
          <cell r="AB526">
            <v>51</v>
          </cell>
        </row>
        <row r="527">
          <cell r="B527">
            <v>81.7</v>
          </cell>
          <cell r="AB527">
            <v>53.2</v>
          </cell>
        </row>
        <row r="528">
          <cell r="B528">
            <v>77</v>
          </cell>
          <cell r="AB528">
            <v>52.400000000000006</v>
          </cell>
        </row>
        <row r="529">
          <cell r="B529">
            <v>81.7</v>
          </cell>
          <cell r="AB529">
            <v>55.2</v>
          </cell>
        </row>
        <row r="530">
          <cell r="B530">
            <v>92.5</v>
          </cell>
          <cell r="AB530">
            <v>58.400000000000006</v>
          </cell>
        </row>
        <row r="531">
          <cell r="B531">
            <v>94.800000000000011</v>
          </cell>
          <cell r="AB531">
            <v>60.1</v>
          </cell>
        </row>
        <row r="532">
          <cell r="B532">
            <v>97.7</v>
          </cell>
          <cell r="AB532">
            <v>60.800000000000004</v>
          </cell>
        </row>
        <row r="533">
          <cell r="B533">
            <v>88.5</v>
          </cell>
          <cell r="AB533">
            <v>59.900000000000006</v>
          </cell>
        </row>
        <row r="534">
          <cell r="B534">
            <v>88.5</v>
          </cell>
          <cell r="AB534">
            <v>60.6</v>
          </cell>
        </row>
        <row r="535">
          <cell r="B535">
            <v>93</v>
          </cell>
          <cell r="AB535">
            <v>60.6</v>
          </cell>
        </row>
        <row r="536">
          <cell r="B536">
            <v>93.100000000000009</v>
          </cell>
          <cell r="AB536">
            <v>61.400000000000006</v>
          </cell>
        </row>
        <row r="537">
          <cell r="B537">
            <v>102.80000000000001</v>
          </cell>
          <cell r="AB537">
            <v>60.5</v>
          </cell>
        </row>
        <row r="538">
          <cell r="B538">
            <v>105.7</v>
          </cell>
          <cell r="AB538">
            <v>59.900000000000006</v>
          </cell>
        </row>
        <row r="539">
          <cell r="B539">
            <v>98.7</v>
          </cell>
          <cell r="AB539">
            <v>58.5</v>
          </cell>
        </row>
        <row r="540">
          <cell r="B540">
            <v>96.7</v>
          </cell>
          <cell r="AB540">
            <v>57.400000000000006</v>
          </cell>
        </row>
        <row r="541">
          <cell r="B541">
            <v>92.9</v>
          </cell>
          <cell r="AB541">
            <v>56.300000000000004</v>
          </cell>
        </row>
        <row r="542">
          <cell r="B542">
            <v>92.600000000000009</v>
          </cell>
          <cell r="AB542">
            <v>56.2</v>
          </cell>
        </row>
        <row r="543">
          <cell r="B543">
            <v>102.7</v>
          </cell>
          <cell r="AB543">
            <v>57.2</v>
          </cell>
        </row>
        <row r="544">
          <cell r="B544">
            <v>105.10000000000001</v>
          </cell>
          <cell r="AB544">
            <v>56.6</v>
          </cell>
        </row>
        <row r="545">
          <cell r="B545">
            <v>104.4</v>
          </cell>
          <cell r="AB545">
            <v>54.800000000000004</v>
          </cell>
        </row>
        <row r="546">
          <cell r="B546">
            <v>103</v>
          </cell>
          <cell r="AB546">
            <v>54.900000000000006</v>
          </cell>
        </row>
        <row r="547">
          <cell r="B547">
            <v>97.5</v>
          </cell>
          <cell r="AB547">
            <v>52.5</v>
          </cell>
        </row>
        <row r="548">
          <cell r="B548">
            <v>103.10000000000001</v>
          </cell>
          <cell r="AB548">
            <v>51</v>
          </cell>
        </row>
        <row r="549">
          <cell r="B549">
            <v>106.2</v>
          </cell>
          <cell r="AB549">
            <v>52.6</v>
          </cell>
        </row>
        <row r="550">
          <cell r="B550">
            <v>103.60000000000001</v>
          </cell>
          <cell r="AB550">
            <v>54</v>
          </cell>
        </row>
        <row r="551">
          <cell r="B551">
            <v>105.5</v>
          </cell>
          <cell r="AB551">
            <v>51.6</v>
          </cell>
        </row>
        <row r="552">
          <cell r="B552">
            <v>87.5</v>
          </cell>
          <cell r="AB552">
            <v>56.5</v>
          </cell>
        </row>
        <row r="553">
          <cell r="B553">
            <v>85.2</v>
          </cell>
          <cell r="AB553">
            <v>57.2</v>
          </cell>
        </row>
        <row r="554">
          <cell r="B554">
            <v>98.300000000000011</v>
          </cell>
          <cell r="AB554">
            <v>56.5</v>
          </cell>
        </row>
        <row r="555">
          <cell r="B555">
            <v>103.80000000000001</v>
          </cell>
          <cell r="AB555">
            <v>54.900000000000006</v>
          </cell>
        </row>
        <row r="556">
          <cell r="B556">
            <v>106.80000000000001</v>
          </cell>
          <cell r="AB556">
            <v>55</v>
          </cell>
        </row>
        <row r="557">
          <cell r="B557">
            <v>102.7</v>
          </cell>
          <cell r="AB557">
            <v>55.5</v>
          </cell>
        </row>
        <row r="558">
          <cell r="B558">
            <v>107.5</v>
          </cell>
          <cell r="AB558">
            <v>54.7</v>
          </cell>
        </row>
        <row r="559">
          <cell r="B559">
            <v>109.80000000000001</v>
          </cell>
          <cell r="AB559">
            <v>55.800000000000004</v>
          </cell>
        </row>
        <row r="560">
          <cell r="B560">
            <v>104.7</v>
          </cell>
          <cell r="AB560">
            <v>53.5</v>
          </cell>
        </row>
        <row r="561">
          <cell r="B561">
            <v>105.4</v>
          </cell>
          <cell r="AB561">
            <v>52.400000000000006</v>
          </cell>
        </row>
        <row r="562">
          <cell r="B562">
            <v>107</v>
          </cell>
          <cell r="AB562">
            <v>53.2</v>
          </cell>
        </row>
        <row r="563">
          <cell r="B563">
            <v>100.2</v>
          </cell>
          <cell r="AB563">
            <v>52.800000000000004</v>
          </cell>
        </row>
        <row r="564">
          <cell r="B564">
            <v>105.9</v>
          </cell>
          <cell r="AB564">
            <v>51.800000000000004</v>
          </cell>
        </row>
        <row r="565">
          <cell r="B565">
            <v>105.10000000000001</v>
          </cell>
          <cell r="AB565">
            <v>50.5</v>
          </cell>
        </row>
        <row r="566">
          <cell r="B566">
            <v>105.30000000000001</v>
          </cell>
          <cell r="AB566">
            <v>50.400000000000006</v>
          </cell>
        </row>
        <row r="567">
          <cell r="B567">
            <v>110</v>
          </cell>
          <cell r="AB567">
            <v>52</v>
          </cell>
        </row>
        <row r="568">
          <cell r="B568">
            <v>110.2</v>
          </cell>
          <cell r="AB568">
            <v>49.900000000000006</v>
          </cell>
        </row>
        <row r="569">
          <cell r="B569">
            <v>111.2</v>
          </cell>
          <cell r="AB569">
            <v>52</v>
          </cell>
        </row>
        <row r="570">
          <cell r="B570">
            <v>108.2</v>
          </cell>
          <cell r="AB570">
            <v>51.300000000000004</v>
          </cell>
        </row>
        <row r="571">
          <cell r="B571">
            <v>106.30000000000001</v>
          </cell>
          <cell r="AB571">
            <v>52.6</v>
          </cell>
        </row>
        <row r="572">
          <cell r="B572">
            <v>108.5</v>
          </cell>
          <cell r="AB572">
            <v>52.300000000000004</v>
          </cell>
        </row>
        <row r="573">
          <cell r="B573">
            <v>105.30000000000001</v>
          </cell>
          <cell r="AB573">
            <v>52.400000000000006</v>
          </cell>
        </row>
        <row r="574">
          <cell r="B574">
            <v>111.9</v>
          </cell>
          <cell r="AB574">
            <v>51.7</v>
          </cell>
        </row>
        <row r="575">
          <cell r="B575">
            <v>105.60000000000001</v>
          </cell>
          <cell r="AB575">
            <v>50.2</v>
          </cell>
        </row>
        <row r="576">
          <cell r="B576">
            <v>99.5</v>
          </cell>
          <cell r="AB576">
            <v>50</v>
          </cell>
        </row>
        <row r="577">
          <cell r="B577">
            <v>95.2</v>
          </cell>
          <cell r="AB577">
            <v>50.900000000000006</v>
          </cell>
        </row>
        <row r="578">
          <cell r="B578">
            <v>87.800000000000011</v>
          </cell>
          <cell r="AB578">
            <v>51.5</v>
          </cell>
        </row>
        <row r="579">
          <cell r="B579">
            <v>90.600000000000009</v>
          </cell>
          <cell r="AB579">
            <v>49</v>
          </cell>
        </row>
        <row r="580">
          <cell r="B580">
            <v>87.300000000000011</v>
          </cell>
          <cell r="AB580">
            <v>51.1</v>
          </cell>
        </row>
        <row r="581">
          <cell r="B581">
            <v>76.400000000000006</v>
          </cell>
          <cell r="AB581">
            <v>48.900000000000006</v>
          </cell>
        </row>
        <row r="582">
          <cell r="B582">
            <v>65.900000000000006</v>
          </cell>
          <cell r="AB582">
            <v>49</v>
          </cell>
        </row>
        <row r="583">
          <cell r="B583">
            <v>62.800000000000004</v>
          </cell>
          <cell r="AB583">
            <v>48.800000000000004</v>
          </cell>
        </row>
        <row r="584">
          <cell r="B584">
            <v>58.1</v>
          </cell>
          <cell r="AB584">
            <v>48.800000000000004</v>
          </cell>
        </row>
        <row r="585">
          <cell r="B585">
            <v>51</v>
          </cell>
          <cell r="AB585">
            <v>49</v>
          </cell>
        </row>
        <row r="586">
          <cell r="B586">
            <v>51.900000000000006</v>
          </cell>
          <cell r="AB586">
            <v>49.6</v>
          </cell>
        </row>
        <row r="587">
          <cell r="B587">
            <v>58.5</v>
          </cell>
          <cell r="AB587">
            <v>48</v>
          </cell>
        </row>
        <row r="588">
          <cell r="B588">
            <v>61.400000000000006</v>
          </cell>
          <cell r="AB588">
            <v>43.800000000000004</v>
          </cell>
        </row>
        <row r="589">
          <cell r="B589">
            <v>38.800000000000004</v>
          </cell>
          <cell r="AB589">
            <v>39</v>
          </cell>
        </row>
        <row r="590">
          <cell r="B590">
            <v>44.7</v>
          </cell>
          <cell r="AB590">
            <v>36.9</v>
          </cell>
        </row>
        <row r="591">
          <cell r="B591">
            <v>38.6</v>
          </cell>
          <cell r="AB591">
            <v>33.300000000000004</v>
          </cell>
        </row>
        <row r="592">
          <cell r="B592">
            <v>37.4</v>
          </cell>
          <cell r="AB592">
            <v>35.700000000000003</v>
          </cell>
        </row>
        <row r="593">
          <cell r="B593">
            <v>25.3</v>
          </cell>
          <cell r="AB593">
            <v>36</v>
          </cell>
        </row>
        <row r="594">
          <cell r="B594">
            <v>26.900000000000002</v>
          </cell>
          <cell r="AB594">
            <v>36.6</v>
          </cell>
        </row>
        <row r="595">
          <cell r="B595">
            <v>40.800000000000004</v>
          </cell>
          <cell r="AB595">
            <v>39.900000000000006</v>
          </cell>
        </row>
        <row r="596">
          <cell r="B596">
            <v>54.800000000000004</v>
          </cell>
          <cell r="AB596">
            <v>41.900000000000006</v>
          </cell>
        </row>
        <row r="597">
          <cell r="B597">
            <v>49.300000000000004</v>
          </cell>
          <cell r="AB597">
            <v>44.7</v>
          </cell>
        </row>
        <row r="598">
          <cell r="B598">
            <v>47.400000000000006</v>
          </cell>
          <cell r="AB598">
            <v>49</v>
          </cell>
        </row>
        <row r="599">
          <cell r="B599">
            <v>54.5</v>
          </cell>
          <cell r="AB599">
            <v>51.400000000000006</v>
          </cell>
        </row>
        <row r="600">
          <cell r="B600">
            <v>53.400000000000006</v>
          </cell>
          <cell r="AB600">
            <v>53.2</v>
          </cell>
        </row>
        <row r="601">
          <cell r="B601">
            <v>48.7</v>
          </cell>
          <cell r="AB601">
            <v>55.800000000000004</v>
          </cell>
        </row>
        <row r="602">
          <cell r="B602">
            <v>50.6</v>
          </cell>
          <cell r="AB602">
            <v>54.7</v>
          </cell>
        </row>
        <row r="603">
          <cell r="B603">
            <v>53.6</v>
          </cell>
          <cell r="AB603">
            <v>56.400000000000006</v>
          </cell>
        </row>
        <row r="604">
          <cell r="B604">
            <v>56.5</v>
          </cell>
          <cell r="AB604">
            <v>58.300000000000004</v>
          </cell>
        </row>
        <row r="605">
          <cell r="B605">
            <v>46.400000000000006</v>
          </cell>
          <cell r="AB605">
            <v>57.1</v>
          </cell>
        </row>
        <row r="606">
          <cell r="B606">
            <v>52.300000000000004</v>
          </cell>
          <cell r="AB606">
            <v>60.400000000000006</v>
          </cell>
        </row>
        <row r="607">
          <cell r="B607">
            <v>57.7</v>
          </cell>
          <cell r="AB607">
            <v>59.6</v>
          </cell>
        </row>
        <row r="608">
          <cell r="B608">
            <v>62.7</v>
          </cell>
          <cell r="AB608">
            <v>57.800000000000004</v>
          </cell>
        </row>
        <row r="609">
          <cell r="B609">
            <v>54.300000000000004</v>
          </cell>
          <cell r="AB609">
            <v>55.300000000000004</v>
          </cell>
        </row>
        <row r="610">
          <cell r="B610">
            <v>51</v>
          </cell>
          <cell r="AB610">
            <v>55.1</v>
          </cell>
        </row>
        <row r="611">
          <cell r="B611">
            <v>53.2</v>
          </cell>
          <cell r="AB611">
            <v>55.2</v>
          </cell>
        </row>
        <row r="612">
          <cell r="B612">
            <v>48.6</v>
          </cell>
          <cell r="AB612">
            <v>55.300000000000004</v>
          </cell>
        </row>
        <row r="613">
          <cell r="B613">
            <v>49.900000000000006</v>
          </cell>
          <cell r="AB613">
            <v>56.900000000000006</v>
          </cell>
        </row>
        <row r="614">
          <cell r="B614">
            <v>57.800000000000004</v>
          </cell>
          <cell r="AB614">
            <v>58.2</v>
          </cell>
        </row>
        <row r="615">
          <cell r="B615">
            <v>63.400000000000006</v>
          </cell>
          <cell r="AB615">
            <v>58.5</v>
          </cell>
        </row>
        <row r="616">
          <cell r="B616">
            <v>64.8</v>
          </cell>
          <cell r="AB616">
            <v>60.800000000000004</v>
          </cell>
        </row>
        <row r="617">
          <cell r="B617">
            <v>72</v>
          </cell>
          <cell r="AB617">
            <v>61.400000000000006</v>
          </cell>
        </row>
        <row r="618">
          <cell r="B618">
            <v>63.800000000000004</v>
          </cell>
          <cell r="AB618">
            <v>61.2</v>
          </cell>
        </row>
        <row r="619">
          <cell r="B619">
            <v>66</v>
          </cell>
          <cell r="AB619">
            <v>60.400000000000006</v>
          </cell>
        </row>
        <row r="620">
          <cell r="B620">
            <v>61.7</v>
          </cell>
          <cell r="AB620">
            <v>53.5</v>
          </cell>
        </row>
        <row r="621">
          <cell r="B621">
            <v>57.6</v>
          </cell>
          <cell r="AB621">
            <v>55.300000000000004</v>
          </cell>
        </row>
        <row r="622">
          <cell r="B622">
            <v>59.2</v>
          </cell>
          <cell r="AB622">
            <v>50.900000000000006</v>
          </cell>
        </row>
        <row r="623">
          <cell r="B623">
            <v>45.2</v>
          </cell>
          <cell r="AB623">
            <v>50.6</v>
          </cell>
        </row>
        <row r="624">
          <cell r="B624">
            <v>46.400000000000006</v>
          </cell>
          <cell r="AB624">
            <v>51.6</v>
          </cell>
        </row>
        <row r="625">
          <cell r="B625">
            <v>39.800000000000004</v>
          </cell>
          <cell r="AB625">
            <v>50.800000000000004</v>
          </cell>
        </row>
      </sheetData>
      <sheetData sheetId="1">
        <row r="30">
          <cell r="AC30">
            <v>-25</v>
          </cell>
        </row>
        <row r="31">
          <cell r="AC31">
            <v>4</v>
          </cell>
        </row>
        <row r="32">
          <cell r="AC32">
            <v>25</v>
          </cell>
        </row>
        <row r="33">
          <cell r="AC33">
            <v>34</v>
          </cell>
        </row>
        <row r="34">
          <cell r="AC34">
            <v>19</v>
          </cell>
        </row>
        <row r="35">
          <cell r="AC35">
            <v>19</v>
          </cell>
        </row>
        <row r="36">
          <cell r="AC36">
            <v>24</v>
          </cell>
        </row>
        <row r="37">
          <cell r="AC37">
            <v>0</v>
          </cell>
        </row>
        <row r="38">
          <cell r="AC38">
            <v>13</v>
          </cell>
        </row>
        <row r="39">
          <cell r="AC39">
            <v>17</v>
          </cell>
        </row>
        <row r="40">
          <cell r="AC40">
            <v>-7</v>
          </cell>
        </row>
        <row r="41">
          <cell r="AC41">
            <v>-20</v>
          </cell>
        </row>
        <row r="42">
          <cell r="AC42">
            <v>-29</v>
          </cell>
        </row>
        <row r="43">
          <cell r="AC43">
            <v>-27</v>
          </cell>
        </row>
        <row r="44">
          <cell r="AC44">
            <v>-19</v>
          </cell>
        </row>
        <row r="45">
          <cell r="AC45">
            <v>5</v>
          </cell>
        </row>
        <row r="46">
          <cell r="AC46">
            <v>0</v>
          </cell>
        </row>
        <row r="47">
          <cell r="AC47">
            <v>27</v>
          </cell>
        </row>
        <row r="48">
          <cell r="AC48">
            <v>63</v>
          </cell>
        </row>
        <row r="49">
          <cell r="AC49">
            <v>41</v>
          </cell>
        </row>
        <row r="50">
          <cell r="AC50">
            <v>25</v>
          </cell>
        </row>
        <row r="51">
          <cell r="AC51">
            <v>32</v>
          </cell>
        </row>
        <row r="52">
          <cell r="AC52">
            <v>50</v>
          </cell>
        </row>
        <row r="53">
          <cell r="AC53">
            <v>29</v>
          </cell>
        </row>
        <row r="54">
          <cell r="AC54">
            <v>19</v>
          </cell>
        </row>
        <row r="55">
          <cell r="AC55">
            <v>21</v>
          </cell>
        </row>
        <row r="56">
          <cell r="AC56">
            <v>11</v>
          </cell>
        </row>
        <row r="57">
          <cell r="AC57">
            <v>9</v>
          </cell>
        </row>
        <row r="58">
          <cell r="AC58">
            <v>-7</v>
          </cell>
        </row>
        <row r="59">
          <cell r="AC59">
            <v>13</v>
          </cell>
        </row>
        <row r="60">
          <cell r="AC60">
            <v>13</v>
          </cell>
        </row>
        <row r="61">
          <cell r="AC61">
            <v>-19</v>
          </cell>
        </row>
        <row r="62">
          <cell r="AC62">
            <v>-34</v>
          </cell>
        </row>
        <row r="63">
          <cell r="AC63">
            <v>-19</v>
          </cell>
        </row>
        <row r="64">
          <cell r="AC64">
            <v>8</v>
          </cell>
        </row>
        <row r="65">
          <cell r="AC65">
            <v>28</v>
          </cell>
        </row>
        <row r="66">
          <cell r="AC66">
            <v>30</v>
          </cell>
        </row>
        <row r="67">
          <cell r="AC67">
            <v>26</v>
          </cell>
        </row>
        <row r="68">
          <cell r="AC68">
            <v>29</v>
          </cell>
        </row>
        <row r="69">
          <cell r="C69">
            <v>81</v>
          </cell>
          <cell r="D69">
            <v>74</v>
          </cell>
          <cell r="AC69">
            <v>41</v>
          </cell>
        </row>
        <row r="70">
          <cell r="C70">
            <v>80</v>
          </cell>
          <cell r="D70">
            <v>71</v>
          </cell>
          <cell r="AC70">
            <v>31</v>
          </cell>
        </row>
        <row r="71">
          <cell r="C71">
            <v>60</v>
          </cell>
          <cell r="D71">
            <v>67</v>
          </cell>
          <cell r="AC71">
            <v>27</v>
          </cell>
        </row>
        <row r="72">
          <cell r="C72">
            <v>65</v>
          </cell>
          <cell r="D72">
            <v>71</v>
          </cell>
          <cell r="AC72">
            <v>28</v>
          </cell>
        </row>
        <row r="73">
          <cell r="C73">
            <v>74</v>
          </cell>
          <cell r="D73">
            <v>70</v>
          </cell>
          <cell r="AC73">
            <v>28</v>
          </cell>
        </row>
        <row r="74">
          <cell r="C74">
            <v>62</v>
          </cell>
          <cell r="D74">
            <v>56</v>
          </cell>
          <cell r="AC74">
            <v>13</v>
          </cell>
        </row>
        <row r="75">
          <cell r="C75">
            <v>48</v>
          </cell>
          <cell r="D75">
            <v>49</v>
          </cell>
          <cell r="AC75">
            <v>12</v>
          </cell>
        </row>
        <row r="76">
          <cell r="C76">
            <v>46</v>
          </cell>
          <cell r="D76">
            <v>49</v>
          </cell>
          <cell r="AC76">
            <v>10</v>
          </cell>
        </row>
        <row r="77">
          <cell r="C77">
            <v>60</v>
          </cell>
          <cell r="D77">
            <v>54</v>
          </cell>
          <cell r="AC77">
            <v>9</v>
          </cell>
        </row>
        <row r="78">
          <cell r="C78">
            <v>58</v>
          </cell>
          <cell r="D78">
            <v>42</v>
          </cell>
          <cell r="AC78">
            <v>3</v>
          </cell>
        </row>
        <row r="79">
          <cell r="C79">
            <v>45</v>
          </cell>
          <cell r="D79">
            <v>33</v>
          </cell>
          <cell r="AC79">
            <v>-8</v>
          </cell>
        </row>
        <row r="80">
          <cell r="C80">
            <v>47</v>
          </cell>
          <cell r="D80">
            <v>36</v>
          </cell>
          <cell r="AC80">
            <v>0</v>
          </cell>
        </row>
        <row r="81">
          <cell r="C81">
            <v>47</v>
          </cell>
          <cell r="D81">
            <v>33</v>
          </cell>
          <cell r="AC81">
            <v>-4</v>
          </cell>
        </row>
        <row r="82">
          <cell r="C82">
            <v>28</v>
          </cell>
          <cell r="D82">
            <v>29</v>
          </cell>
          <cell r="AC82">
            <v>-7</v>
          </cell>
        </row>
        <row r="83">
          <cell r="C83">
            <v>29</v>
          </cell>
          <cell r="D83">
            <v>29</v>
          </cell>
          <cell r="AC83">
            <v>-43</v>
          </cell>
        </row>
        <row r="84">
          <cell r="C84">
            <v>36</v>
          </cell>
          <cell r="D84">
            <v>38</v>
          </cell>
          <cell r="AC84">
            <v>-45</v>
          </cell>
        </row>
        <row r="85">
          <cell r="C85">
            <v>16</v>
          </cell>
          <cell r="D85">
            <v>31</v>
          </cell>
          <cell r="AC85">
            <v>-79</v>
          </cell>
        </row>
        <row r="86">
          <cell r="C86">
            <v>28</v>
          </cell>
          <cell r="D86">
            <v>60</v>
          </cell>
          <cell r="AC86">
            <v>46</v>
          </cell>
        </row>
        <row r="87">
          <cell r="C87">
            <v>59</v>
          </cell>
          <cell r="D87">
            <v>67</v>
          </cell>
          <cell r="AC87">
            <v>-16</v>
          </cell>
        </row>
        <row r="88">
          <cell r="C88">
            <v>50</v>
          </cell>
          <cell r="D88">
            <v>63</v>
          </cell>
          <cell r="AC88">
            <v>-16</v>
          </cell>
        </row>
        <row r="89">
          <cell r="C89">
            <v>57</v>
          </cell>
          <cell r="D89">
            <v>64</v>
          </cell>
          <cell r="AC89">
            <v>-21</v>
          </cell>
        </row>
        <row r="90">
          <cell r="C90">
            <v>48</v>
          </cell>
          <cell r="D90">
            <v>63</v>
          </cell>
          <cell r="AC90">
            <v>-5</v>
          </cell>
        </row>
        <row r="91">
          <cell r="C91">
            <v>26</v>
          </cell>
          <cell r="D91">
            <v>51</v>
          </cell>
          <cell r="AC91">
            <v>12</v>
          </cell>
        </row>
        <row r="92">
          <cell r="C92">
            <v>23</v>
          </cell>
          <cell r="D92">
            <v>59</v>
          </cell>
          <cell r="AC92">
            <v>-8</v>
          </cell>
        </row>
        <row r="93">
          <cell r="C93">
            <v>30</v>
          </cell>
          <cell r="D93">
            <v>64</v>
          </cell>
          <cell r="AC93">
            <v>3</v>
          </cell>
        </row>
        <row r="94">
          <cell r="C94">
            <v>38</v>
          </cell>
          <cell r="D94">
            <v>65</v>
          </cell>
          <cell r="AC94">
            <v>12</v>
          </cell>
        </row>
        <row r="95">
          <cell r="C95">
            <v>44</v>
          </cell>
          <cell r="D95">
            <v>70</v>
          </cell>
          <cell r="AC95">
            <v>59</v>
          </cell>
        </row>
        <row r="96">
          <cell r="C96">
            <v>65</v>
          </cell>
          <cell r="D96">
            <v>76</v>
          </cell>
          <cell r="AC96">
            <v>53</v>
          </cell>
        </row>
        <row r="97">
          <cell r="C97">
            <v>76</v>
          </cell>
          <cell r="D97">
            <v>78</v>
          </cell>
          <cell r="AC97">
            <v>50</v>
          </cell>
        </row>
        <row r="98">
          <cell r="C98">
            <v>82</v>
          </cell>
          <cell r="D98">
            <v>74</v>
          </cell>
          <cell r="AC98">
            <v>33</v>
          </cell>
        </row>
        <row r="99">
          <cell r="C99">
            <v>80</v>
          </cell>
          <cell r="D99">
            <v>73</v>
          </cell>
          <cell r="AC99">
            <v>33</v>
          </cell>
        </row>
        <row r="100">
          <cell r="C100">
            <v>76</v>
          </cell>
          <cell r="D100">
            <v>67</v>
          </cell>
          <cell r="AC100">
            <v>37</v>
          </cell>
        </row>
        <row r="101">
          <cell r="C101">
            <v>75</v>
          </cell>
          <cell r="D101">
            <v>60</v>
          </cell>
          <cell r="AC101">
            <v>24</v>
          </cell>
        </row>
        <row r="102">
          <cell r="C102">
            <v>70</v>
          </cell>
          <cell r="D102">
            <v>57</v>
          </cell>
          <cell r="AC102">
            <v>21</v>
          </cell>
        </row>
        <row r="103">
          <cell r="C103">
            <v>57</v>
          </cell>
          <cell r="D103">
            <v>57</v>
          </cell>
          <cell r="AC103">
            <v>25</v>
          </cell>
        </row>
        <row r="104">
          <cell r="C104">
            <v>62</v>
          </cell>
          <cell r="D104">
            <v>61</v>
          </cell>
          <cell r="AC104">
            <v>33</v>
          </cell>
        </row>
        <row r="105">
          <cell r="C105">
            <v>48</v>
          </cell>
          <cell r="D105">
            <v>53</v>
          </cell>
          <cell r="AC105">
            <v>39</v>
          </cell>
        </row>
        <row r="106">
          <cell r="C106">
            <v>45</v>
          </cell>
          <cell r="D106">
            <v>53</v>
          </cell>
          <cell r="AC106">
            <v>26</v>
          </cell>
        </row>
        <row r="107">
          <cell r="C107">
            <v>53</v>
          </cell>
          <cell r="D107">
            <v>56</v>
          </cell>
          <cell r="AC107">
            <v>19</v>
          </cell>
        </row>
        <row r="108">
          <cell r="C108">
            <v>63</v>
          </cell>
          <cell r="D108">
            <v>62</v>
          </cell>
          <cell r="AC108">
            <v>45</v>
          </cell>
        </row>
        <row r="109">
          <cell r="C109">
            <v>61</v>
          </cell>
          <cell r="D109">
            <v>62</v>
          </cell>
          <cell r="AC109">
            <v>44</v>
          </cell>
        </row>
        <row r="110">
          <cell r="C110">
            <v>44</v>
          </cell>
          <cell r="D110">
            <v>52</v>
          </cell>
          <cell r="AC110">
            <v>42</v>
          </cell>
        </row>
        <row r="111">
          <cell r="C111">
            <v>50</v>
          </cell>
          <cell r="D111">
            <v>51</v>
          </cell>
          <cell r="AC111">
            <v>21</v>
          </cell>
        </row>
        <row r="112">
          <cell r="C112">
            <v>56</v>
          </cell>
          <cell r="D112">
            <v>54</v>
          </cell>
          <cell r="AC112">
            <v>19</v>
          </cell>
        </row>
        <row r="113">
          <cell r="C113">
            <v>55</v>
          </cell>
          <cell r="D113">
            <v>53</v>
          </cell>
          <cell r="AC113">
            <v>25</v>
          </cell>
        </row>
        <row r="114">
          <cell r="C114">
            <v>62</v>
          </cell>
          <cell r="D114">
            <v>56</v>
          </cell>
          <cell r="AC114">
            <v>32</v>
          </cell>
        </row>
        <row r="115">
          <cell r="C115">
            <v>50</v>
          </cell>
          <cell r="D115">
            <v>43</v>
          </cell>
          <cell r="AC115">
            <v>13</v>
          </cell>
        </row>
        <row r="116">
          <cell r="C116">
            <v>49</v>
          </cell>
          <cell r="D116">
            <v>50</v>
          </cell>
          <cell r="AC116">
            <v>12</v>
          </cell>
        </row>
        <row r="117">
          <cell r="C117">
            <v>64</v>
          </cell>
          <cell r="D117">
            <v>54</v>
          </cell>
          <cell r="AC117">
            <v>17</v>
          </cell>
        </row>
        <row r="118">
          <cell r="C118">
            <v>65</v>
          </cell>
          <cell r="D118">
            <v>51</v>
          </cell>
          <cell r="AC118">
            <v>10</v>
          </cell>
        </row>
        <row r="119">
          <cell r="C119">
            <v>54</v>
          </cell>
          <cell r="D119">
            <v>48</v>
          </cell>
          <cell r="AC119">
            <v>25</v>
          </cell>
        </row>
        <row r="120">
          <cell r="C120">
            <v>52</v>
          </cell>
          <cell r="D120">
            <v>43</v>
          </cell>
          <cell r="AC120">
            <v>16</v>
          </cell>
        </row>
        <row r="121">
          <cell r="C121">
            <v>48</v>
          </cell>
          <cell r="D121">
            <v>47</v>
          </cell>
          <cell r="AC121">
            <v>26</v>
          </cell>
        </row>
        <row r="122">
          <cell r="C122">
            <v>47</v>
          </cell>
          <cell r="D122">
            <v>48</v>
          </cell>
          <cell r="AC122">
            <v>7</v>
          </cell>
        </row>
        <row r="123">
          <cell r="C123">
            <v>39</v>
          </cell>
          <cell r="D123">
            <v>43</v>
          </cell>
          <cell r="AC123">
            <v>3</v>
          </cell>
        </row>
        <row r="124">
          <cell r="C124">
            <v>38</v>
          </cell>
          <cell r="D124">
            <v>49</v>
          </cell>
          <cell r="AC124">
            <v>7</v>
          </cell>
        </row>
        <row r="125">
          <cell r="C125">
            <v>42</v>
          </cell>
          <cell r="D125">
            <v>50</v>
          </cell>
          <cell r="T125" t="str">
            <v>NA</v>
          </cell>
          <cell r="U125">
            <v>56.9</v>
          </cell>
          <cell r="AC125">
            <v>7.1000000000000005</v>
          </cell>
        </row>
        <row r="126">
          <cell r="C126">
            <v>33</v>
          </cell>
          <cell r="D126">
            <v>41</v>
          </cell>
          <cell r="T126" t="str">
            <v>NA</v>
          </cell>
          <cell r="U126">
            <v>39.450000000000003</v>
          </cell>
          <cell r="Y126" t="str">
            <v>NA</v>
          </cell>
          <cell r="Z126">
            <v>69.38</v>
          </cell>
          <cell r="AC126">
            <v>10.200000000000001</v>
          </cell>
        </row>
        <row r="127">
          <cell r="C127">
            <v>24</v>
          </cell>
          <cell r="D127">
            <v>34</v>
          </cell>
          <cell r="T127" t="str">
            <v>NA</v>
          </cell>
          <cell r="U127">
            <v>48.9</v>
          </cell>
          <cell r="Y127" t="str">
            <v>NA</v>
          </cell>
          <cell r="Z127">
            <v>61.68</v>
          </cell>
          <cell r="AC127">
            <v>-1.7</v>
          </cell>
        </row>
        <row r="128">
          <cell r="C128">
            <v>22</v>
          </cell>
          <cell r="D128">
            <v>47</v>
          </cell>
          <cell r="T128" t="str">
            <v>NA</v>
          </cell>
          <cell r="U128">
            <v>36</v>
          </cell>
          <cell r="Y128" t="str">
            <v>NA</v>
          </cell>
          <cell r="Z128">
            <v>46.43</v>
          </cell>
          <cell r="AC128">
            <v>-14.8</v>
          </cell>
        </row>
        <row r="129">
          <cell r="C129">
            <v>38</v>
          </cell>
          <cell r="D129">
            <v>66</v>
          </cell>
          <cell r="T129" t="str">
            <v>NA</v>
          </cell>
          <cell r="U129">
            <v>15.5</v>
          </cell>
          <cell r="Y129" t="str">
            <v>NA</v>
          </cell>
          <cell r="Z129">
            <v>25.75</v>
          </cell>
          <cell r="AC129">
            <v>1.8</v>
          </cell>
        </row>
        <row r="130">
          <cell r="C130">
            <v>57</v>
          </cell>
          <cell r="D130">
            <v>69</v>
          </cell>
          <cell r="T130" t="str">
            <v>NA</v>
          </cell>
          <cell r="U130">
            <v>12.25</v>
          </cell>
          <cell r="Y130" t="str">
            <v>NA</v>
          </cell>
          <cell r="Z130">
            <v>27.13</v>
          </cell>
          <cell r="AC130">
            <v>0</v>
          </cell>
        </row>
        <row r="131">
          <cell r="C131">
            <v>44</v>
          </cell>
          <cell r="D131">
            <v>61</v>
          </cell>
          <cell r="T131">
            <v>-29.650000000000002</v>
          </cell>
          <cell r="U131">
            <v>9</v>
          </cell>
          <cell r="Y131" t="str">
            <v>NA</v>
          </cell>
          <cell r="Z131">
            <v>14.93</v>
          </cell>
          <cell r="AC131">
            <v>10.5</v>
          </cell>
        </row>
        <row r="132">
          <cell r="C132">
            <v>51</v>
          </cell>
          <cell r="D132">
            <v>69</v>
          </cell>
          <cell r="T132">
            <v>-26.5</v>
          </cell>
          <cell r="U132">
            <v>5.25</v>
          </cell>
          <cell r="Y132" t="str">
            <v>NA</v>
          </cell>
          <cell r="Z132">
            <v>7.1000000000000005</v>
          </cell>
          <cell r="AC132">
            <v>9.3000000000000007</v>
          </cell>
        </row>
        <row r="133">
          <cell r="C133">
            <v>69</v>
          </cell>
          <cell r="D133">
            <v>73</v>
          </cell>
          <cell r="T133">
            <v>6.25</v>
          </cell>
          <cell r="U133">
            <v>0.9</v>
          </cell>
          <cell r="Y133" t="str">
            <v>NA</v>
          </cell>
          <cell r="Z133">
            <v>10.1</v>
          </cell>
          <cell r="AC133">
            <v>18.2</v>
          </cell>
        </row>
        <row r="134">
          <cell r="C134">
            <v>58</v>
          </cell>
          <cell r="D134">
            <v>66</v>
          </cell>
          <cell r="T134">
            <v>-8.6</v>
          </cell>
          <cell r="U134">
            <v>-1.7</v>
          </cell>
          <cell r="Y134" t="str">
            <v>NA</v>
          </cell>
          <cell r="Z134">
            <v>4.38</v>
          </cell>
          <cell r="AC134">
            <v>21.1</v>
          </cell>
        </row>
        <row r="135">
          <cell r="C135">
            <v>57</v>
          </cell>
          <cell r="D135">
            <v>65</v>
          </cell>
          <cell r="T135">
            <v>6.15</v>
          </cell>
          <cell r="U135">
            <v>4.3500000000000005</v>
          </cell>
          <cell r="Y135" t="str">
            <v>NA</v>
          </cell>
          <cell r="Z135">
            <v>3.5</v>
          </cell>
          <cell r="AC135">
            <v>16.399999999999999</v>
          </cell>
        </row>
        <row r="136">
          <cell r="C136">
            <v>68</v>
          </cell>
          <cell r="D136">
            <v>66</v>
          </cell>
          <cell r="T136">
            <v>20.2</v>
          </cell>
          <cell r="U136">
            <v>2.65</v>
          </cell>
          <cell r="Y136" t="str">
            <v>NA</v>
          </cell>
          <cell r="Z136">
            <v>2.23</v>
          </cell>
          <cell r="AC136">
            <v>14.8</v>
          </cell>
        </row>
        <row r="137">
          <cell r="C137">
            <v>56</v>
          </cell>
          <cell r="D137">
            <v>57</v>
          </cell>
          <cell r="T137">
            <v>-0.1</v>
          </cell>
          <cell r="U137">
            <v>-7.8500000000000005</v>
          </cell>
          <cell r="Y137" t="str">
            <v>NA</v>
          </cell>
          <cell r="Z137">
            <v>2.1800000000000002</v>
          </cell>
          <cell r="AC137">
            <v>26.3</v>
          </cell>
        </row>
        <row r="138">
          <cell r="C138">
            <v>50</v>
          </cell>
          <cell r="D138">
            <v>48</v>
          </cell>
          <cell r="T138">
            <v>18.05</v>
          </cell>
          <cell r="U138">
            <v>-19.45</v>
          </cell>
          <cell r="Y138" t="str">
            <v>NA</v>
          </cell>
          <cell r="Z138">
            <v>-0.85</v>
          </cell>
          <cell r="AC138">
            <v>25.900000000000002</v>
          </cell>
        </row>
        <row r="139">
          <cell r="C139">
            <v>63</v>
          </cell>
          <cell r="D139">
            <v>61</v>
          </cell>
          <cell r="T139">
            <v>9.25</v>
          </cell>
          <cell r="U139">
            <v>-17.75</v>
          </cell>
          <cell r="Y139" t="str">
            <v>NA</v>
          </cell>
          <cell r="Z139">
            <v>-3.88</v>
          </cell>
          <cell r="AC139">
            <v>17.2</v>
          </cell>
        </row>
        <row r="140">
          <cell r="C140">
            <v>71</v>
          </cell>
          <cell r="D140">
            <v>64</v>
          </cell>
          <cell r="T140">
            <v>26.05</v>
          </cell>
          <cell r="U140">
            <v>-12.950000000000001</v>
          </cell>
          <cell r="Y140" t="str">
            <v>NA</v>
          </cell>
          <cell r="Z140">
            <v>-4.7300000000000004</v>
          </cell>
          <cell r="AC140">
            <v>29.3</v>
          </cell>
        </row>
        <row r="141">
          <cell r="C141">
            <v>71</v>
          </cell>
          <cell r="D141">
            <v>60</v>
          </cell>
          <cell r="T141">
            <v>38.1</v>
          </cell>
          <cell r="U141">
            <v>-12.200000000000001</v>
          </cell>
          <cell r="Y141" t="str">
            <v>NA</v>
          </cell>
          <cell r="Z141">
            <v>-7.13</v>
          </cell>
          <cell r="AC141">
            <v>29.1</v>
          </cell>
        </row>
        <row r="142">
          <cell r="C142">
            <v>66</v>
          </cell>
          <cell r="D142">
            <v>55</v>
          </cell>
          <cell r="T142">
            <v>31.25</v>
          </cell>
          <cell r="U142">
            <v>-6.95</v>
          </cell>
          <cell r="Y142" t="str">
            <v>NA</v>
          </cell>
          <cell r="Z142">
            <v>-3.1</v>
          </cell>
          <cell r="AC142">
            <v>21.400000000000002</v>
          </cell>
        </row>
        <row r="143">
          <cell r="C143">
            <v>64</v>
          </cell>
          <cell r="D143">
            <v>51</v>
          </cell>
          <cell r="T143">
            <v>31.400000000000002</v>
          </cell>
          <cell r="U143">
            <v>-17.400000000000002</v>
          </cell>
          <cell r="Y143" t="str">
            <v>NA</v>
          </cell>
          <cell r="Z143">
            <v>-3.0500000000000003</v>
          </cell>
          <cell r="AC143">
            <v>25</v>
          </cell>
        </row>
        <row r="144">
          <cell r="C144">
            <v>60</v>
          </cell>
          <cell r="D144">
            <v>48</v>
          </cell>
          <cell r="T144">
            <v>35.1</v>
          </cell>
          <cell r="U144">
            <v>-6.8500000000000005</v>
          </cell>
          <cell r="Y144" t="str">
            <v>NA</v>
          </cell>
          <cell r="Z144">
            <v>0.45</v>
          </cell>
          <cell r="AC144">
            <v>16.100000000000001</v>
          </cell>
        </row>
        <row r="145">
          <cell r="C145">
            <v>46</v>
          </cell>
          <cell r="D145">
            <v>44</v>
          </cell>
          <cell r="T145">
            <v>28.6</v>
          </cell>
          <cell r="U145">
            <v>-5.9</v>
          </cell>
          <cell r="Y145">
            <v>13.5</v>
          </cell>
          <cell r="Z145">
            <v>-0.43</v>
          </cell>
          <cell r="AC145">
            <v>18.5</v>
          </cell>
        </row>
        <row r="146">
          <cell r="C146">
            <v>49</v>
          </cell>
          <cell r="D146">
            <v>54</v>
          </cell>
          <cell r="T146">
            <v>4.3500000000000005</v>
          </cell>
          <cell r="U146">
            <v>-6.05</v>
          </cell>
          <cell r="Y146">
            <v>20.7</v>
          </cell>
          <cell r="Z146">
            <v>2.98</v>
          </cell>
          <cell r="AC146">
            <v>7</v>
          </cell>
        </row>
        <row r="147">
          <cell r="C147">
            <v>52</v>
          </cell>
          <cell r="D147">
            <v>52</v>
          </cell>
          <cell r="T147">
            <v>3.45</v>
          </cell>
          <cell r="U147">
            <v>-3.45</v>
          </cell>
          <cell r="Y147">
            <v>25.5</v>
          </cell>
          <cell r="Z147">
            <v>6.08</v>
          </cell>
          <cell r="AC147">
            <v>5.5</v>
          </cell>
        </row>
        <row r="148">
          <cell r="C148">
            <v>44</v>
          </cell>
          <cell r="D148">
            <v>50</v>
          </cell>
          <cell r="T148">
            <v>-3.45</v>
          </cell>
          <cell r="U148">
            <v>6.95</v>
          </cell>
          <cell r="Y148">
            <v>8.9</v>
          </cell>
          <cell r="Z148">
            <v>13.33</v>
          </cell>
          <cell r="AC148">
            <v>5.4</v>
          </cell>
        </row>
        <row r="149">
          <cell r="C149">
            <v>58</v>
          </cell>
          <cell r="D149">
            <v>54</v>
          </cell>
          <cell r="T149">
            <v>10.200000000000001</v>
          </cell>
          <cell r="U149">
            <v>-0.9</v>
          </cell>
          <cell r="Y149">
            <v>-1.8</v>
          </cell>
          <cell r="Z149">
            <v>10.9</v>
          </cell>
          <cell r="AC149">
            <v>-4</v>
          </cell>
        </row>
        <row r="150">
          <cell r="C150">
            <v>57</v>
          </cell>
          <cell r="D150">
            <v>49</v>
          </cell>
          <cell r="T150">
            <v>12.05</v>
          </cell>
          <cell r="U150">
            <v>-3.7</v>
          </cell>
          <cell r="Y150">
            <v>13.3</v>
          </cell>
          <cell r="Z150">
            <v>5.7</v>
          </cell>
          <cell r="AC150">
            <v>-6.1000000000000005</v>
          </cell>
        </row>
        <row r="151">
          <cell r="C151">
            <v>61</v>
          </cell>
          <cell r="D151">
            <v>50</v>
          </cell>
          <cell r="T151">
            <v>0.9</v>
          </cell>
          <cell r="U151">
            <v>-7.8</v>
          </cell>
          <cell r="Y151">
            <v>17.600000000000001</v>
          </cell>
          <cell r="Z151">
            <v>-1.7</v>
          </cell>
          <cell r="AC151">
            <v>-3.8000000000000003</v>
          </cell>
        </row>
        <row r="152">
          <cell r="C152">
            <v>62</v>
          </cell>
          <cell r="D152">
            <v>53</v>
          </cell>
          <cell r="T152">
            <v>4.7</v>
          </cell>
          <cell r="U152">
            <v>-5.45</v>
          </cell>
          <cell r="Y152">
            <v>16.399999999999999</v>
          </cell>
          <cell r="Z152">
            <v>-1.8</v>
          </cell>
          <cell r="AC152">
            <v>-2</v>
          </cell>
        </row>
        <row r="153">
          <cell r="C153">
            <v>68</v>
          </cell>
          <cell r="D153">
            <v>55</v>
          </cell>
          <cell r="T153">
            <v>5.3500000000000005</v>
          </cell>
          <cell r="U153">
            <v>-6.95</v>
          </cell>
          <cell r="Y153">
            <v>10.4</v>
          </cell>
          <cell r="Z153">
            <v>-5.2</v>
          </cell>
          <cell r="AC153">
            <v>0</v>
          </cell>
        </row>
        <row r="154">
          <cell r="C154">
            <v>62</v>
          </cell>
          <cell r="D154">
            <v>52</v>
          </cell>
          <cell r="T154">
            <v>13.4</v>
          </cell>
          <cell r="U154">
            <v>-5.7</v>
          </cell>
          <cell r="Y154">
            <v>15.1</v>
          </cell>
          <cell r="Z154">
            <v>-11.4</v>
          </cell>
          <cell r="AC154">
            <v>8.3000000000000007</v>
          </cell>
        </row>
        <row r="155">
          <cell r="C155">
            <v>57</v>
          </cell>
          <cell r="D155">
            <v>46</v>
          </cell>
          <cell r="T155">
            <v>19.3</v>
          </cell>
          <cell r="U155">
            <v>-7</v>
          </cell>
          <cell r="Y155">
            <v>36.9</v>
          </cell>
          <cell r="Z155">
            <v>-8.8000000000000007</v>
          </cell>
          <cell r="AC155">
            <v>10</v>
          </cell>
        </row>
        <row r="156">
          <cell r="C156">
            <v>54</v>
          </cell>
          <cell r="D156">
            <v>45</v>
          </cell>
          <cell r="T156">
            <v>25.900000000000002</v>
          </cell>
          <cell r="U156">
            <v>1.8</v>
          </cell>
          <cell r="Y156">
            <v>39.9</v>
          </cell>
          <cell r="Z156">
            <v>-7.2</v>
          </cell>
          <cell r="AC156">
            <v>0</v>
          </cell>
        </row>
        <row r="157">
          <cell r="C157">
            <v>52</v>
          </cell>
          <cell r="D157">
            <v>45</v>
          </cell>
          <cell r="T157">
            <v>28.5</v>
          </cell>
          <cell r="U157">
            <v>-7.1000000000000005</v>
          </cell>
          <cell r="Y157">
            <v>47.4</v>
          </cell>
          <cell r="Z157">
            <v>-7.2</v>
          </cell>
          <cell r="AC157">
            <v>4</v>
          </cell>
        </row>
        <row r="158">
          <cell r="C158">
            <v>41</v>
          </cell>
          <cell r="D158">
            <v>37</v>
          </cell>
          <cell r="T158">
            <v>-8.9</v>
          </cell>
          <cell r="U158">
            <v>0</v>
          </cell>
          <cell r="Y158">
            <v>25</v>
          </cell>
          <cell r="Z158">
            <v>0</v>
          </cell>
          <cell r="AC158">
            <v>9.8000000000000007</v>
          </cell>
        </row>
        <row r="159">
          <cell r="C159">
            <v>41</v>
          </cell>
          <cell r="D159">
            <v>42</v>
          </cell>
          <cell r="T159">
            <v>27.7</v>
          </cell>
          <cell r="U159">
            <v>36.4</v>
          </cell>
          <cell r="Y159">
            <v>0</v>
          </cell>
          <cell r="Z159">
            <v>46.4</v>
          </cell>
          <cell r="AC159">
            <v>5.8</v>
          </cell>
        </row>
        <row r="160">
          <cell r="C160">
            <v>48</v>
          </cell>
          <cell r="D160">
            <v>42</v>
          </cell>
          <cell r="T160">
            <v>20.400000000000002</v>
          </cell>
          <cell r="U160">
            <v>7.4</v>
          </cell>
          <cell r="Y160">
            <v>29.6</v>
          </cell>
          <cell r="Z160">
            <v>14.8</v>
          </cell>
          <cell r="AC160">
            <v>13.5</v>
          </cell>
        </row>
        <row r="161">
          <cell r="C161">
            <v>60</v>
          </cell>
          <cell r="D161">
            <v>53</v>
          </cell>
          <cell r="T161">
            <v>0</v>
          </cell>
          <cell r="U161">
            <v>10</v>
          </cell>
          <cell r="Y161">
            <v>10.1</v>
          </cell>
          <cell r="Z161">
            <v>5.1000000000000005</v>
          </cell>
          <cell r="AC161">
            <v>14.5</v>
          </cell>
        </row>
        <row r="162">
          <cell r="C162">
            <v>52</v>
          </cell>
          <cell r="D162">
            <v>49</v>
          </cell>
          <cell r="T162">
            <v>0</v>
          </cell>
          <cell r="U162">
            <v>5.4</v>
          </cell>
          <cell r="Y162">
            <v>10.700000000000001</v>
          </cell>
          <cell r="Z162">
            <v>8.9</v>
          </cell>
          <cell r="AC162">
            <v>7.5</v>
          </cell>
        </row>
        <row r="163">
          <cell r="C163">
            <v>57</v>
          </cell>
          <cell r="D163">
            <v>48</v>
          </cell>
          <cell r="T163">
            <v>-1.8</v>
          </cell>
          <cell r="U163">
            <v>9.1</v>
          </cell>
          <cell r="Y163">
            <v>1.9000000000000001</v>
          </cell>
          <cell r="Z163">
            <v>9.1</v>
          </cell>
          <cell r="AC163">
            <v>7.8</v>
          </cell>
        </row>
        <row r="164">
          <cell r="C164">
            <v>55</v>
          </cell>
          <cell r="D164">
            <v>48</v>
          </cell>
          <cell r="T164">
            <v>9.1</v>
          </cell>
          <cell r="U164">
            <v>10.9</v>
          </cell>
          <cell r="Y164">
            <v>11.1</v>
          </cell>
          <cell r="Z164">
            <v>10.9</v>
          </cell>
          <cell r="AC164">
            <v>3.8000000000000003</v>
          </cell>
        </row>
        <row r="165">
          <cell r="C165">
            <v>49</v>
          </cell>
          <cell r="D165">
            <v>41</v>
          </cell>
          <cell r="T165">
            <v>-8.8000000000000007</v>
          </cell>
          <cell r="U165">
            <v>24.6</v>
          </cell>
          <cell r="Y165">
            <v>5.4</v>
          </cell>
          <cell r="Z165">
            <v>21.400000000000002</v>
          </cell>
          <cell r="AC165">
            <v>-3.7</v>
          </cell>
        </row>
        <row r="166">
          <cell r="C166">
            <v>47</v>
          </cell>
          <cell r="D166">
            <v>45</v>
          </cell>
          <cell r="T166">
            <v>-5.3</v>
          </cell>
          <cell r="U166">
            <v>33.9</v>
          </cell>
          <cell r="Y166">
            <v>-7.1000000000000005</v>
          </cell>
          <cell r="Z166">
            <v>32.1</v>
          </cell>
          <cell r="AC166">
            <v>1.9000000000000001</v>
          </cell>
        </row>
        <row r="167">
          <cell r="C167">
            <v>26</v>
          </cell>
          <cell r="D167">
            <v>32</v>
          </cell>
          <cell r="T167">
            <v>-22.8</v>
          </cell>
          <cell r="U167">
            <v>43.800000000000004</v>
          </cell>
          <cell r="Y167">
            <v>-8.7000000000000011</v>
          </cell>
          <cell r="Z167">
            <v>26.3</v>
          </cell>
          <cell r="AC167">
            <v>1.8</v>
          </cell>
        </row>
        <row r="168">
          <cell r="C168">
            <v>29</v>
          </cell>
          <cell r="D168">
            <v>51</v>
          </cell>
          <cell r="T168">
            <v>-50</v>
          </cell>
          <cell r="U168">
            <v>59.7</v>
          </cell>
          <cell r="Y168">
            <v>-28.6</v>
          </cell>
          <cell r="Z168">
            <v>44.6</v>
          </cell>
          <cell r="AC168">
            <v>-5.6000000000000005</v>
          </cell>
        </row>
        <row r="169">
          <cell r="C169">
            <v>38</v>
          </cell>
          <cell r="D169">
            <v>59</v>
          </cell>
          <cell r="T169">
            <v>-40</v>
          </cell>
          <cell r="U169">
            <v>50.9</v>
          </cell>
          <cell r="Y169">
            <v>-21.8</v>
          </cell>
          <cell r="Z169">
            <v>41.800000000000004</v>
          </cell>
          <cell r="AC169">
            <v>0</v>
          </cell>
        </row>
        <row r="170">
          <cell r="C170">
            <v>32</v>
          </cell>
          <cell r="D170">
            <v>56</v>
          </cell>
          <cell r="T170">
            <v>-52.7</v>
          </cell>
          <cell r="U170">
            <v>40.4</v>
          </cell>
          <cell r="Y170">
            <v>-30.900000000000002</v>
          </cell>
          <cell r="Z170">
            <v>42.6</v>
          </cell>
          <cell r="AC170">
            <v>0</v>
          </cell>
        </row>
        <row r="171">
          <cell r="C171">
            <v>18</v>
          </cell>
          <cell r="D171">
            <v>50</v>
          </cell>
          <cell r="T171">
            <v>-70.2</v>
          </cell>
          <cell r="U171">
            <v>50.9</v>
          </cell>
          <cell r="Y171">
            <v>-51.800000000000004</v>
          </cell>
          <cell r="Z171">
            <v>44.7</v>
          </cell>
          <cell r="AC171">
            <v>-7.1000000000000005</v>
          </cell>
        </row>
        <row r="172">
          <cell r="C172">
            <v>60</v>
          </cell>
          <cell r="D172">
            <v>72</v>
          </cell>
          <cell r="T172">
            <v>-54.5</v>
          </cell>
          <cell r="U172">
            <v>45.4</v>
          </cell>
          <cell r="Y172">
            <v>-42.6</v>
          </cell>
          <cell r="Z172">
            <v>46.300000000000004</v>
          </cell>
          <cell r="AC172">
            <v>-5.7</v>
          </cell>
        </row>
        <row r="173">
          <cell r="C173">
            <v>61</v>
          </cell>
          <cell r="D173">
            <v>63</v>
          </cell>
          <cell r="T173">
            <v>-35.700000000000003</v>
          </cell>
          <cell r="U173">
            <v>25</v>
          </cell>
          <cell r="Y173">
            <v>-29.1</v>
          </cell>
          <cell r="Z173">
            <v>30.900000000000002</v>
          </cell>
          <cell r="AC173">
            <v>0</v>
          </cell>
        </row>
        <row r="174">
          <cell r="C174">
            <v>45</v>
          </cell>
          <cell r="D174">
            <v>60</v>
          </cell>
          <cell r="T174">
            <v>-44.6</v>
          </cell>
          <cell r="U174">
            <v>21.400000000000002</v>
          </cell>
          <cell r="Y174">
            <v>-32.700000000000003</v>
          </cell>
          <cell r="Z174">
            <v>25.5</v>
          </cell>
          <cell r="AC174">
            <v>5.6000000000000005</v>
          </cell>
        </row>
        <row r="175">
          <cell r="C175">
            <v>52</v>
          </cell>
          <cell r="D175">
            <v>63</v>
          </cell>
          <cell r="T175">
            <v>-52.7</v>
          </cell>
          <cell r="U175">
            <v>20</v>
          </cell>
          <cell r="Y175">
            <v>-35.200000000000003</v>
          </cell>
          <cell r="Z175">
            <v>22.2</v>
          </cell>
          <cell r="AC175">
            <v>5.6000000000000005</v>
          </cell>
        </row>
        <row r="176">
          <cell r="C176">
            <v>40</v>
          </cell>
          <cell r="D176">
            <v>60</v>
          </cell>
          <cell r="T176">
            <v>-32.200000000000003</v>
          </cell>
          <cell r="U176">
            <v>22</v>
          </cell>
          <cell r="Y176">
            <v>-20.3</v>
          </cell>
          <cell r="Z176">
            <v>13.6</v>
          </cell>
          <cell r="AC176">
            <v>5.3</v>
          </cell>
        </row>
        <row r="177">
          <cell r="C177">
            <v>55</v>
          </cell>
          <cell r="D177">
            <v>66</v>
          </cell>
          <cell r="T177">
            <v>-39.300000000000004</v>
          </cell>
          <cell r="U177">
            <v>8.9</v>
          </cell>
          <cell r="Y177">
            <v>-28.6</v>
          </cell>
          <cell r="Z177">
            <v>17.8</v>
          </cell>
          <cell r="AC177">
            <v>3.7</v>
          </cell>
        </row>
        <row r="178">
          <cell r="C178">
            <v>64</v>
          </cell>
          <cell r="D178">
            <v>73</v>
          </cell>
          <cell r="T178">
            <v>-22.5</v>
          </cell>
          <cell r="U178">
            <v>3.5</v>
          </cell>
          <cell r="Y178">
            <v>-12</v>
          </cell>
          <cell r="Z178">
            <v>13.8</v>
          </cell>
          <cell r="AC178">
            <v>14.5</v>
          </cell>
        </row>
        <row r="179">
          <cell r="C179">
            <v>68</v>
          </cell>
          <cell r="D179">
            <v>66</v>
          </cell>
          <cell r="T179">
            <v>-11.6</v>
          </cell>
          <cell r="U179">
            <v>0</v>
          </cell>
          <cell r="Y179">
            <v>-10.5</v>
          </cell>
          <cell r="Z179">
            <v>0</v>
          </cell>
          <cell r="AC179">
            <v>14.3</v>
          </cell>
        </row>
        <row r="180">
          <cell r="C180">
            <v>78</v>
          </cell>
          <cell r="D180">
            <v>72</v>
          </cell>
          <cell r="T180">
            <v>10.700000000000001</v>
          </cell>
          <cell r="U180">
            <v>-17.900000000000002</v>
          </cell>
          <cell r="Y180">
            <v>16.399999999999999</v>
          </cell>
          <cell r="Z180">
            <v>-5.5</v>
          </cell>
          <cell r="AC180">
            <v>11.3</v>
          </cell>
        </row>
        <row r="181">
          <cell r="C181">
            <v>78</v>
          </cell>
          <cell r="D181">
            <v>68</v>
          </cell>
          <cell r="T181">
            <v>28.6</v>
          </cell>
          <cell r="U181">
            <v>-23.2</v>
          </cell>
          <cell r="Y181">
            <v>21.5</v>
          </cell>
          <cell r="Z181">
            <v>-10.700000000000001</v>
          </cell>
          <cell r="AC181">
            <v>17</v>
          </cell>
        </row>
        <row r="182">
          <cell r="C182">
            <v>66</v>
          </cell>
          <cell r="D182">
            <v>62</v>
          </cell>
          <cell r="T182">
            <v>31.400000000000002</v>
          </cell>
          <cell r="U182">
            <v>-20</v>
          </cell>
          <cell r="Y182">
            <v>25</v>
          </cell>
          <cell r="Z182">
            <v>-8.9</v>
          </cell>
          <cell r="AC182">
            <v>9.1</v>
          </cell>
        </row>
        <row r="183">
          <cell r="C183">
            <v>61</v>
          </cell>
          <cell r="D183">
            <v>60</v>
          </cell>
          <cell r="T183">
            <v>26.3</v>
          </cell>
          <cell r="U183">
            <v>-21.1</v>
          </cell>
          <cell r="Y183">
            <v>22.8</v>
          </cell>
          <cell r="Z183">
            <v>-17.5</v>
          </cell>
          <cell r="AC183">
            <v>13</v>
          </cell>
        </row>
        <row r="184">
          <cell r="C184">
            <v>65</v>
          </cell>
          <cell r="D184">
            <v>60</v>
          </cell>
          <cell r="T184">
            <v>45.5</v>
          </cell>
          <cell r="U184">
            <v>-23.6</v>
          </cell>
          <cell r="Y184">
            <v>16.399999999999999</v>
          </cell>
          <cell r="Z184">
            <v>-23.7</v>
          </cell>
          <cell r="AC184">
            <v>11.5</v>
          </cell>
        </row>
        <row r="185">
          <cell r="C185">
            <v>57</v>
          </cell>
          <cell r="D185">
            <v>54</v>
          </cell>
          <cell r="T185">
            <v>37</v>
          </cell>
          <cell r="U185">
            <v>-24.1</v>
          </cell>
          <cell r="Y185">
            <v>20.400000000000002</v>
          </cell>
          <cell r="Z185">
            <v>-22.2</v>
          </cell>
          <cell r="AC185">
            <v>15.700000000000001</v>
          </cell>
        </row>
        <row r="186">
          <cell r="C186">
            <v>51</v>
          </cell>
          <cell r="D186">
            <v>50</v>
          </cell>
          <cell r="T186">
            <v>40.800000000000004</v>
          </cell>
          <cell r="U186">
            <v>-16.7</v>
          </cell>
          <cell r="Y186">
            <v>24</v>
          </cell>
          <cell r="Z186">
            <v>-12.9</v>
          </cell>
          <cell r="AC186">
            <v>21.2</v>
          </cell>
        </row>
        <row r="187">
          <cell r="C187">
            <v>56</v>
          </cell>
          <cell r="D187">
            <v>56</v>
          </cell>
          <cell r="T187">
            <v>14.3</v>
          </cell>
          <cell r="U187">
            <v>-8.8000000000000007</v>
          </cell>
          <cell r="Y187">
            <v>12.3</v>
          </cell>
          <cell r="Z187">
            <v>-5.2</v>
          </cell>
          <cell r="AC187">
            <v>3.8000000000000003</v>
          </cell>
        </row>
        <row r="188">
          <cell r="C188">
            <v>60</v>
          </cell>
          <cell r="D188">
            <v>55</v>
          </cell>
          <cell r="T188">
            <v>16.100000000000001</v>
          </cell>
          <cell r="U188">
            <v>-10.700000000000001</v>
          </cell>
          <cell r="Y188">
            <v>3.6</v>
          </cell>
          <cell r="Z188">
            <v>1.8</v>
          </cell>
          <cell r="AC188">
            <v>11.5</v>
          </cell>
        </row>
        <row r="189">
          <cell r="C189">
            <v>50</v>
          </cell>
          <cell r="D189">
            <v>47</v>
          </cell>
          <cell r="T189">
            <v>3.5</v>
          </cell>
          <cell r="U189">
            <v>-12.3</v>
          </cell>
          <cell r="Y189">
            <v>5.3</v>
          </cell>
          <cell r="Z189">
            <v>1.8</v>
          </cell>
          <cell r="AC189">
            <v>14.5</v>
          </cell>
        </row>
        <row r="190">
          <cell r="C190">
            <v>43</v>
          </cell>
          <cell r="D190">
            <v>43</v>
          </cell>
          <cell r="T190">
            <v>-1.8</v>
          </cell>
          <cell r="U190">
            <v>-8.9</v>
          </cell>
          <cell r="Y190">
            <v>-3.6</v>
          </cell>
          <cell r="Z190">
            <v>10.700000000000001</v>
          </cell>
          <cell r="AC190">
            <v>7.7</v>
          </cell>
        </row>
        <row r="191">
          <cell r="C191">
            <v>47</v>
          </cell>
          <cell r="D191">
            <v>50</v>
          </cell>
          <cell r="T191">
            <v>-3.7</v>
          </cell>
          <cell r="U191">
            <v>0</v>
          </cell>
          <cell r="Y191">
            <v>-27.2</v>
          </cell>
          <cell r="Z191">
            <v>36.300000000000004</v>
          </cell>
          <cell r="AC191">
            <v>1.9000000000000001</v>
          </cell>
        </row>
        <row r="192">
          <cell r="C192">
            <v>49</v>
          </cell>
          <cell r="D192">
            <v>53</v>
          </cell>
          <cell r="T192">
            <v>-1.8</v>
          </cell>
          <cell r="U192">
            <v>0</v>
          </cell>
          <cell r="Y192">
            <v>-35.1</v>
          </cell>
          <cell r="Z192">
            <v>26.3</v>
          </cell>
          <cell r="AC192">
            <v>1.8</v>
          </cell>
        </row>
        <row r="193">
          <cell r="C193">
            <v>49</v>
          </cell>
          <cell r="D193">
            <v>43</v>
          </cell>
          <cell r="T193">
            <v>-22.6</v>
          </cell>
          <cell r="U193">
            <v>-3.7</v>
          </cell>
          <cell r="Y193">
            <v>-35.800000000000004</v>
          </cell>
          <cell r="Z193">
            <v>30.2</v>
          </cell>
          <cell r="AC193">
            <v>7.8</v>
          </cell>
        </row>
        <row r="194">
          <cell r="C194">
            <v>39</v>
          </cell>
          <cell r="D194">
            <v>44</v>
          </cell>
          <cell r="T194">
            <v>-19.2</v>
          </cell>
          <cell r="U194">
            <v>7.5</v>
          </cell>
          <cell r="Y194">
            <v>-28.8</v>
          </cell>
          <cell r="Z194">
            <v>25</v>
          </cell>
          <cell r="AC194">
            <v>0</v>
          </cell>
        </row>
        <row r="195">
          <cell r="C195">
            <v>34</v>
          </cell>
          <cell r="D195">
            <v>40</v>
          </cell>
          <cell r="T195">
            <v>-17.3</v>
          </cell>
          <cell r="U195">
            <v>19.2</v>
          </cell>
          <cell r="Y195">
            <v>-34.6</v>
          </cell>
          <cell r="Z195">
            <v>50</v>
          </cell>
          <cell r="AC195">
            <v>-6</v>
          </cell>
        </row>
        <row r="196">
          <cell r="C196">
            <v>26</v>
          </cell>
          <cell r="D196">
            <v>40</v>
          </cell>
          <cell r="T196">
            <v>-16.399999999999999</v>
          </cell>
          <cell r="U196">
            <v>32.200000000000003</v>
          </cell>
          <cell r="Y196">
            <v>-46.5</v>
          </cell>
          <cell r="Z196">
            <v>80.3</v>
          </cell>
          <cell r="AC196">
            <v>-15.1</v>
          </cell>
        </row>
        <row r="197">
          <cell r="C197">
            <v>28</v>
          </cell>
          <cell r="D197">
            <v>43</v>
          </cell>
          <cell r="T197">
            <v>0</v>
          </cell>
          <cell r="U197">
            <v>55.4</v>
          </cell>
          <cell r="Y197">
            <v>-37.5</v>
          </cell>
          <cell r="Z197">
            <v>78.600000000000009</v>
          </cell>
          <cell r="AC197">
            <v>-22.6</v>
          </cell>
        </row>
        <row r="198">
          <cell r="C198">
            <v>30</v>
          </cell>
          <cell r="D198">
            <v>46</v>
          </cell>
          <cell r="T198">
            <v>-3.8000000000000003</v>
          </cell>
          <cell r="U198">
            <v>57.6</v>
          </cell>
          <cell r="Y198">
            <v>-30.8</v>
          </cell>
          <cell r="Z198">
            <v>80.7</v>
          </cell>
          <cell r="AC198">
            <v>-34</v>
          </cell>
        </row>
        <row r="199">
          <cell r="C199">
            <v>7</v>
          </cell>
          <cell r="D199">
            <v>32</v>
          </cell>
          <cell r="T199">
            <v>-16.7</v>
          </cell>
          <cell r="U199">
            <v>83.600000000000009</v>
          </cell>
          <cell r="Y199">
            <v>-55.6</v>
          </cell>
          <cell r="Z199">
            <v>87</v>
          </cell>
          <cell r="AC199">
            <v>-47.2</v>
          </cell>
        </row>
        <row r="200">
          <cell r="C200">
            <v>5</v>
          </cell>
          <cell r="D200">
            <v>40</v>
          </cell>
          <cell r="T200">
            <v>-60.4</v>
          </cell>
          <cell r="U200">
            <v>64.2</v>
          </cell>
          <cell r="Y200">
            <v>-54.7</v>
          </cell>
          <cell r="Z200">
            <v>79.2</v>
          </cell>
          <cell r="AC200">
            <v>-16</v>
          </cell>
        </row>
        <row r="201">
          <cell r="C201">
            <v>47</v>
          </cell>
          <cell r="D201">
            <v>61</v>
          </cell>
          <cell r="T201">
            <v>-60.4</v>
          </cell>
          <cell r="U201">
            <v>39.6</v>
          </cell>
          <cell r="Y201">
            <v>-66</v>
          </cell>
          <cell r="Z201">
            <v>66</v>
          </cell>
          <cell r="AC201">
            <v>-5.9</v>
          </cell>
        </row>
        <row r="202">
          <cell r="C202">
            <v>65</v>
          </cell>
          <cell r="D202">
            <v>63</v>
          </cell>
          <cell r="T202">
            <v>-44.4</v>
          </cell>
          <cell r="U202">
            <v>31.5</v>
          </cell>
          <cell r="Y202">
            <v>-63</v>
          </cell>
          <cell r="Z202">
            <v>46.300000000000004</v>
          </cell>
          <cell r="AC202">
            <v>-6</v>
          </cell>
        </row>
        <row r="203">
          <cell r="C203">
            <v>69</v>
          </cell>
          <cell r="D203">
            <v>64</v>
          </cell>
          <cell r="T203">
            <v>-31.6</v>
          </cell>
          <cell r="U203">
            <v>14</v>
          </cell>
          <cell r="Y203">
            <v>-42.9</v>
          </cell>
          <cell r="Z203">
            <v>33.9</v>
          </cell>
          <cell r="AC203">
            <v>-1.9000000000000001</v>
          </cell>
        </row>
        <row r="204">
          <cell r="C204">
            <v>67</v>
          </cell>
          <cell r="D204">
            <v>62</v>
          </cell>
          <cell r="T204">
            <v>-25.5</v>
          </cell>
          <cell r="U204">
            <v>-5.5</v>
          </cell>
          <cell r="Y204">
            <v>-27.3</v>
          </cell>
          <cell r="Z204">
            <v>27.3</v>
          </cell>
          <cell r="AC204">
            <v>9.6</v>
          </cell>
        </row>
        <row r="205">
          <cell r="C205">
            <v>67</v>
          </cell>
          <cell r="D205">
            <v>59</v>
          </cell>
          <cell r="T205">
            <v>-7.1000000000000005</v>
          </cell>
          <cell r="U205">
            <v>-7.1000000000000005</v>
          </cell>
          <cell r="Y205">
            <v>-7.1000000000000005</v>
          </cell>
          <cell r="Z205">
            <v>12.5</v>
          </cell>
          <cell r="AC205">
            <v>14</v>
          </cell>
        </row>
        <row r="206">
          <cell r="C206">
            <v>50</v>
          </cell>
          <cell r="D206">
            <v>49</v>
          </cell>
          <cell r="T206">
            <v>1.8</v>
          </cell>
          <cell r="U206">
            <v>-8.8000000000000007</v>
          </cell>
          <cell r="Y206">
            <v>-7</v>
          </cell>
          <cell r="Z206">
            <v>5.3</v>
          </cell>
          <cell r="AC206">
            <v>22.6</v>
          </cell>
        </row>
        <row r="207">
          <cell r="C207">
            <v>62</v>
          </cell>
          <cell r="D207">
            <v>62</v>
          </cell>
          <cell r="T207">
            <v>-7</v>
          </cell>
          <cell r="U207">
            <v>-10.5</v>
          </cell>
          <cell r="Y207">
            <v>1.8</v>
          </cell>
          <cell r="Z207">
            <v>3.6</v>
          </cell>
          <cell r="AC207">
            <v>20</v>
          </cell>
        </row>
        <row r="208">
          <cell r="C208">
            <v>72</v>
          </cell>
          <cell r="D208">
            <v>68</v>
          </cell>
          <cell r="T208">
            <v>28.1</v>
          </cell>
          <cell r="U208">
            <v>-10.5</v>
          </cell>
          <cell r="Y208">
            <v>12.3</v>
          </cell>
          <cell r="Z208">
            <v>0</v>
          </cell>
          <cell r="AC208">
            <v>20.400000000000002</v>
          </cell>
        </row>
        <row r="209">
          <cell r="C209">
            <v>51</v>
          </cell>
          <cell r="D209">
            <v>57</v>
          </cell>
          <cell r="T209">
            <v>27.3</v>
          </cell>
          <cell r="U209">
            <v>-16.399999999999999</v>
          </cell>
          <cell r="Y209">
            <v>34.5</v>
          </cell>
          <cell r="Z209">
            <v>-5.5</v>
          </cell>
          <cell r="AC209">
            <v>28.8</v>
          </cell>
        </row>
        <row r="210">
          <cell r="C210">
            <v>32</v>
          </cell>
          <cell r="D210">
            <v>45</v>
          </cell>
          <cell r="T210">
            <v>20</v>
          </cell>
          <cell r="U210">
            <v>-21.8</v>
          </cell>
          <cell r="Y210">
            <v>21.8</v>
          </cell>
          <cell r="Z210">
            <v>-5.5</v>
          </cell>
          <cell r="AC210">
            <v>26.900000000000002</v>
          </cell>
        </row>
        <row r="211">
          <cell r="C211" t="str">
            <v>NA</v>
          </cell>
          <cell r="D211" t="str">
            <v>NA</v>
          </cell>
          <cell r="T211">
            <v>-15.700000000000001</v>
          </cell>
          <cell r="U211">
            <v>-5.9</v>
          </cell>
          <cell r="Y211">
            <v>13.700000000000001</v>
          </cell>
          <cell r="Z211">
            <v>-2</v>
          </cell>
          <cell r="AC211">
            <v>18.8</v>
          </cell>
        </row>
      </sheetData>
      <sheetData sheetId="2">
        <row r="4">
          <cell r="G4">
            <v>324.17</v>
          </cell>
          <cell r="H4">
            <v>43.228999999999999</v>
          </cell>
          <cell r="I4">
            <v>129.61199999999999</v>
          </cell>
          <cell r="J4">
            <v>151.32900000000001</v>
          </cell>
          <cell r="AB4">
            <v>24.090300000000003</v>
          </cell>
          <cell r="BC4">
            <v>32.700000000000003</v>
          </cell>
          <cell r="BD4">
            <v>24.058500000000002</v>
          </cell>
          <cell r="BE4">
            <v>101.6058</v>
          </cell>
        </row>
        <row r="5">
          <cell r="G5">
            <v>325.90899999999999</v>
          </cell>
          <cell r="H5">
            <v>45.747999999999998</v>
          </cell>
          <cell r="I5">
            <v>128.36600000000001</v>
          </cell>
          <cell r="J5">
            <v>151.79500000000002</v>
          </cell>
          <cell r="AB5">
            <v>23.875900000000001</v>
          </cell>
          <cell r="BC5">
            <v>32.5</v>
          </cell>
          <cell r="BD5">
            <v>23.976000000000003</v>
          </cell>
          <cell r="BE5">
            <v>100.95320000000001</v>
          </cell>
        </row>
        <row r="6">
          <cell r="G6">
            <v>330.72899999999998</v>
          </cell>
          <cell r="H6">
            <v>47.389000000000003</v>
          </cell>
          <cell r="I6">
            <v>130.83699999999999</v>
          </cell>
          <cell r="J6">
            <v>152.50300000000001</v>
          </cell>
          <cell r="AB6">
            <v>23.6615</v>
          </cell>
          <cell r="BC6">
            <v>32.200000000000003</v>
          </cell>
          <cell r="BD6">
            <v>23.870100000000001</v>
          </cell>
          <cell r="BE6">
            <v>100.20020000000001</v>
          </cell>
        </row>
        <row r="7">
          <cell r="G7">
            <v>337.07100000000003</v>
          </cell>
          <cell r="H7">
            <v>49.116</v>
          </cell>
          <cell r="I7">
            <v>134.095</v>
          </cell>
          <cell r="J7">
            <v>153.86000000000001</v>
          </cell>
          <cell r="AB7">
            <v>23.474</v>
          </cell>
          <cell r="BC7">
            <v>32.200000000000003</v>
          </cell>
          <cell r="BD7">
            <v>23.780800000000003</v>
          </cell>
          <cell r="BE7">
            <v>99.514200000000002</v>
          </cell>
        </row>
        <row r="8">
          <cell r="G8">
            <v>330.63900000000001</v>
          </cell>
          <cell r="H8">
            <v>45.730000000000004</v>
          </cell>
          <cell r="I8">
            <v>130.274</v>
          </cell>
          <cell r="J8">
            <v>154.636</v>
          </cell>
          <cell r="AB8">
            <v>23.447200000000002</v>
          </cell>
          <cell r="BC8">
            <v>32.200000000000003</v>
          </cell>
          <cell r="BD8">
            <v>23.717400000000001</v>
          </cell>
          <cell r="BE8">
            <v>98.934000000000012</v>
          </cell>
        </row>
        <row r="9">
          <cell r="G9">
            <v>330.70400000000001</v>
          </cell>
          <cell r="H9">
            <v>44.457000000000001</v>
          </cell>
          <cell r="I9">
            <v>131.51500000000001</v>
          </cell>
          <cell r="J9">
            <v>154.732</v>
          </cell>
          <cell r="AB9">
            <v>23.1524</v>
          </cell>
          <cell r="BC9">
            <v>32.299999999999997</v>
          </cell>
          <cell r="BD9">
            <v>23.6753</v>
          </cell>
          <cell r="BE9">
            <v>98.4392</v>
          </cell>
        </row>
        <row r="10">
          <cell r="G10">
            <v>331.983</v>
          </cell>
          <cell r="H10">
            <v>44.853999999999999</v>
          </cell>
          <cell r="I10">
            <v>132.18700000000001</v>
          </cell>
          <cell r="J10">
            <v>154.94200000000001</v>
          </cell>
          <cell r="AB10">
            <v>23.072000000000003</v>
          </cell>
          <cell r="BC10">
            <v>32.299999999999997</v>
          </cell>
          <cell r="BD10">
            <v>23.642800000000001</v>
          </cell>
          <cell r="BE10">
            <v>97.980200000000011</v>
          </cell>
        </row>
        <row r="11">
          <cell r="G11">
            <v>332.24</v>
          </cell>
          <cell r="H11">
            <v>45.765000000000001</v>
          </cell>
          <cell r="I11">
            <v>131.42600000000002</v>
          </cell>
          <cell r="J11">
            <v>155.04900000000001</v>
          </cell>
          <cell r="AB11">
            <v>23.045200000000001</v>
          </cell>
          <cell r="BC11">
            <v>32.4</v>
          </cell>
          <cell r="BD11">
            <v>23.616500000000002</v>
          </cell>
          <cell r="BE11">
            <v>97.542600000000007</v>
          </cell>
        </row>
        <row r="12">
          <cell r="G12">
            <v>334.03399999999999</v>
          </cell>
          <cell r="H12">
            <v>47.149000000000001</v>
          </cell>
          <cell r="I12">
            <v>131.12700000000001</v>
          </cell>
          <cell r="J12">
            <v>155.75900000000001</v>
          </cell>
          <cell r="AB12">
            <v>22.804000000000002</v>
          </cell>
          <cell r="BC12">
            <v>32.299999999999997</v>
          </cell>
          <cell r="BD12">
            <v>23.588700000000003</v>
          </cell>
          <cell r="BE12">
            <v>97.093699999999998</v>
          </cell>
        </row>
        <row r="13">
          <cell r="G13">
            <v>336.04599999999999</v>
          </cell>
          <cell r="H13">
            <v>46.679000000000002</v>
          </cell>
          <cell r="I13">
            <v>132.602</v>
          </cell>
          <cell r="J13">
            <v>156.76400000000001</v>
          </cell>
          <cell r="AB13">
            <v>22.777200000000001</v>
          </cell>
          <cell r="BC13">
            <v>32.299999999999997</v>
          </cell>
          <cell r="BD13">
            <v>23.578900000000001</v>
          </cell>
          <cell r="BE13">
            <v>96.713700000000003</v>
          </cell>
        </row>
        <row r="14">
          <cell r="G14">
            <v>336.024</v>
          </cell>
          <cell r="H14">
            <v>45.057000000000002</v>
          </cell>
          <cell r="I14">
            <v>133.108</v>
          </cell>
          <cell r="J14">
            <v>157.85900000000001</v>
          </cell>
          <cell r="AB14">
            <v>22.4557</v>
          </cell>
          <cell r="BC14">
            <v>32.200000000000003</v>
          </cell>
          <cell r="BD14">
            <v>23.601100000000002</v>
          </cell>
          <cell r="BE14">
            <v>96.459100000000007</v>
          </cell>
        </row>
        <row r="15">
          <cell r="G15">
            <v>331.97199999999998</v>
          </cell>
          <cell r="H15">
            <v>42.332999999999998</v>
          </cell>
          <cell r="I15">
            <v>131.53</v>
          </cell>
          <cell r="J15">
            <v>158.10900000000001</v>
          </cell>
          <cell r="AB15">
            <v>22.026900000000001</v>
          </cell>
          <cell r="BC15">
            <v>32.299999999999997</v>
          </cell>
          <cell r="BD15">
            <v>23.675700000000003</v>
          </cell>
          <cell r="BE15">
            <v>96.411300000000011</v>
          </cell>
        </row>
        <row r="16">
          <cell r="G16">
            <v>332.851</v>
          </cell>
          <cell r="H16">
            <v>41.606000000000002</v>
          </cell>
          <cell r="I16">
            <v>132.31100000000001</v>
          </cell>
          <cell r="J16">
            <v>158.934</v>
          </cell>
          <cell r="AB16">
            <v>22.053700000000003</v>
          </cell>
          <cell r="BC16">
            <v>32.5</v>
          </cell>
          <cell r="BD16">
            <v>23.8186</v>
          </cell>
          <cell r="BE16">
            <v>96.632200000000012</v>
          </cell>
        </row>
        <row r="17">
          <cell r="G17">
            <v>334.40000000000003</v>
          </cell>
          <cell r="H17">
            <v>41.919000000000004</v>
          </cell>
          <cell r="I17">
            <v>133.29</v>
          </cell>
          <cell r="J17">
            <v>159.19</v>
          </cell>
          <cell r="AB17">
            <v>22.026900000000001</v>
          </cell>
          <cell r="BC17">
            <v>32.700000000000003</v>
          </cell>
          <cell r="BD17">
            <v>24.034200000000002</v>
          </cell>
          <cell r="BE17">
            <v>97.136400000000009</v>
          </cell>
        </row>
        <row r="18">
          <cell r="G18">
            <v>338.35500000000002</v>
          </cell>
          <cell r="H18">
            <v>43.195</v>
          </cell>
          <cell r="I18">
            <v>134.601</v>
          </cell>
          <cell r="J18">
            <v>160.55799999999999</v>
          </cell>
          <cell r="AB18">
            <v>22.160900000000002</v>
          </cell>
          <cell r="BC18">
            <v>33.200000000000003</v>
          </cell>
          <cell r="BD18">
            <v>24.316800000000001</v>
          </cell>
          <cell r="BE18">
            <v>97.897100000000009</v>
          </cell>
        </row>
        <row r="19">
          <cell r="G19">
            <v>338.33499999999998</v>
          </cell>
          <cell r="H19">
            <v>42.733000000000004</v>
          </cell>
          <cell r="I19">
            <v>133.89699999999999</v>
          </cell>
          <cell r="J19">
            <v>161.70500000000001</v>
          </cell>
          <cell r="AB19">
            <v>22.616500000000002</v>
          </cell>
          <cell r="BC19">
            <v>33.5</v>
          </cell>
          <cell r="BD19">
            <v>24.6401</v>
          </cell>
          <cell r="BE19">
            <v>98.806000000000012</v>
          </cell>
        </row>
        <row r="20">
          <cell r="G20">
            <v>340.572</v>
          </cell>
          <cell r="H20">
            <v>43.457000000000001</v>
          </cell>
          <cell r="I20">
            <v>134.29400000000001</v>
          </cell>
          <cell r="J20">
            <v>162.822</v>
          </cell>
          <cell r="AB20">
            <v>22.9648</v>
          </cell>
          <cell r="BC20">
            <v>33.799999999999997</v>
          </cell>
          <cell r="BD20">
            <v>24.974900000000002</v>
          </cell>
          <cell r="BE20">
            <v>99.74430000000001</v>
          </cell>
        </row>
        <row r="21">
          <cell r="G21">
            <v>341.57</v>
          </cell>
          <cell r="H21">
            <v>43.77</v>
          </cell>
          <cell r="I21">
            <v>134.54300000000001</v>
          </cell>
          <cell r="J21">
            <v>163.25700000000001</v>
          </cell>
          <cell r="AB21">
            <v>23.2864</v>
          </cell>
          <cell r="BC21">
            <v>34.200000000000003</v>
          </cell>
          <cell r="BD21">
            <v>25.3002</v>
          </cell>
          <cell r="BE21">
            <v>100.6277</v>
          </cell>
        </row>
        <row r="22">
          <cell r="G22">
            <v>341.27699999999999</v>
          </cell>
          <cell r="H22">
            <v>44.146000000000001</v>
          </cell>
          <cell r="I22">
            <v>133.89699999999999</v>
          </cell>
          <cell r="J22">
            <v>163.23400000000001</v>
          </cell>
          <cell r="AB22">
            <v>23.554300000000001</v>
          </cell>
          <cell r="BC22">
            <v>34.200000000000003</v>
          </cell>
          <cell r="BD22">
            <v>25.596800000000002</v>
          </cell>
          <cell r="BE22">
            <v>101.38080000000001</v>
          </cell>
        </row>
        <row r="23">
          <cell r="G23">
            <v>342.79</v>
          </cell>
          <cell r="H23">
            <v>44.597000000000001</v>
          </cell>
          <cell r="I23">
            <v>134.60900000000001</v>
          </cell>
          <cell r="J23">
            <v>163.584</v>
          </cell>
          <cell r="AB23">
            <v>23.768700000000003</v>
          </cell>
          <cell r="BC23">
            <v>34.800000000000004</v>
          </cell>
          <cell r="BD23">
            <v>25.8597</v>
          </cell>
          <cell r="BE23">
            <v>101.9851</v>
          </cell>
        </row>
        <row r="24">
          <cell r="G24">
            <v>345.09300000000002</v>
          </cell>
          <cell r="H24">
            <v>44.996000000000002</v>
          </cell>
          <cell r="I24">
            <v>135.28200000000001</v>
          </cell>
          <cell r="J24">
            <v>164.81399999999999</v>
          </cell>
          <cell r="AB24">
            <v>23.741900000000001</v>
          </cell>
          <cell r="BC24">
            <v>34.6</v>
          </cell>
          <cell r="BD24">
            <v>26.082000000000001</v>
          </cell>
          <cell r="BE24">
            <v>102.41600000000001</v>
          </cell>
        </row>
        <row r="25">
          <cell r="G25">
            <v>347.22199999999998</v>
          </cell>
          <cell r="H25">
            <v>45.622999999999998</v>
          </cell>
          <cell r="I25">
            <v>135.31200000000001</v>
          </cell>
          <cell r="J25">
            <v>166.28700000000001</v>
          </cell>
          <cell r="AB25">
            <v>24.197500000000002</v>
          </cell>
          <cell r="BC25">
            <v>35</v>
          </cell>
          <cell r="BD25">
            <v>26.259</v>
          </cell>
          <cell r="BE25">
            <v>102.65610000000001</v>
          </cell>
        </row>
        <row r="26">
          <cell r="G26">
            <v>350.61</v>
          </cell>
          <cell r="H26">
            <v>46.7</v>
          </cell>
          <cell r="I26">
            <v>136.322</v>
          </cell>
          <cell r="J26">
            <v>167.58799999999999</v>
          </cell>
          <cell r="AB26">
            <v>24.572600000000001</v>
          </cell>
          <cell r="BC26">
            <v>35.4</v>
          </cell>
          <cell r="BD26">
            <v>26.3948</v>
          </cell>
          <cell r="BE26">
            <v>102.7248</v>
          </cell>
        </row>
        <row r="27">
          <cell r="G27">
            <v>353.14100000000002</v>
          </cell>
          <cell r="H27">
            <v>47.725999999999999</v>
          </cell>
          <cell r="I27">
            <v>136.86699999999999</v>
          </cell>
          <cell r="J27">
            <v>168.548</v>
          </cell>
          <cell r="AB27">
            <v>24.787000000000003</v>
          </cell>
          <cell r="BC27">
            <v>35.700000000000003</v>
          </cell>
          <cell r="BD27">
            <v>26.486700000000003</v>
          </cell>
          <cell r="BE27">
            <v>102.6135</v>
          </cell>
        </row>
        <row r="28">
          <cell r="G28">
            <v>353.93299999999999</v>
          </cell>
          <cell r="H28">
            <v>47.524999999999999</v>
          </cell>
          <cell r="I28">
            <v>137.16200000000001</v>
          </cell>
          <cell r="J28">
            <v>169.24600000000001</v>
          </cell>
          <cell r="AB28">
            <v>24.572600000000001</v>
          </cell>
          <cell r="BC28">
            <v>35.700000000000003</v>
          </cell>
          <cell r="BD28">
            <v>26.533800000000003</v>
          </cell>
          <cell r="BE28">
            <v>102.32130000000001</v>
          </cell>
        </row>
        <row r="29">
          <cell r="G29">
            <v>354.73599999999999</v>
          </cell>
          <cell r="H29">
            <v>47.378</v>
          </cell>
          <cell r="I29">
            <v>137.39000000000001</v>
          </cell>
          <cell r="J29">
            <v>169.96800000000002</v>
          </cell>
          <cell r="AB29">
            <v>24.974600000000002</v>
          </cell>
          <cell r="BC29">
            <v>36</v>
          </cell>
          <cell r="BD29">
            <v>26.548500000000001</v>
          </cell>
          <cell r="BE29">
            <v>101.89840000000001</v>
          </cell>
        </row>
        <row r="30">
          <cell r="G30">
            <v>358.14499999999998</v>
          </cell>
          <cell r="H30">
            <v>48.204000000000001</v>
          </cell>
          <cell r="I30">
            <v>138.94400000000002</v>
          </cell>
          <cell r="J30">
            <v>170.99700000000001</v>
          </cell>
          <cell r="AB30">
            <v>25.108600000000003</v>
          </cell>
          <cell r="BC30">
            <v>36</v>
          </cell>
          <cell r="BD30">
            <v>26.5319</v>
          </cell>
          <cell r="BE30">
            <v>101.3511</v>
          </cell>
        </row>
        <row r="31">
          <cell r="G31">
            <v>359.79300000000001</v>
          </cell>
          <cell r="H31">
            <v>48.43</v>
          </cell>
          <cell r="I31">
            <v>138.97499999999999</v>
          </cell>
          <cell r="J31">
            <v>172.38800000000001</v>
          </cell>
          <cell r="AB31">
            <v>25.162100000000002</v>
          </cell>
          <cell r="BC31">
            <v>36</v>
          </cell>
          <cell r="BD31">
            <v>26.487300000000001</v>
          </cell>
          <cell r="BE31">
            <v>100.6939</v>
          </cell>
        </row>
        <row r="32">
          <cell r="G32">
            <v>362.76100000000002</v>
          </cell>
          <cell r="H32">
            <v>49.567999999999998</v>
          </cell>
          <cell r="I32">
            <v>139.452</v>
          </cell>
          <cell r="J32">
            <v>173.74199999999999</v>
          </cell>
          <cell r="AB32">
            <v>25.135300000000001</v>
          </cell>
          <cell r="BC32">
            <v>35.800000000000004</v>
          </cell>
          <cell r="BD32">
            <v>26.433</v>
          </cell>
          <cell r="BE32">
            <v>99.997600000000006</v>
          </cell>
        </row>
        <row r="33">
          <cell r="G33">
            <v>361.16700000000003</v>
          </cell>
          <cell r="H33">
            <v>49.142000000000003</v>
          </cell>
          <cell r="I33">
            <v>137.809</v>
          </cell>
          <cell r="J33">
            <v>174.21600000000001</v>
          </cell>
          <cell r="AB33">
            <v>25.081800000000001</v>
          </cell>
          <cell r="BC33">
            <v>35.6</v>
          </cell>
          <cell r="BD33">
            <v>26.395500000000002</v>
          </cell>
          <cell r="BE33">
            <v>99.363100000000003</v>
          </cell>
        </row>
        <row r="34">
          <cell r="G34">
            <v>362.13400000000001</v>
          </cell>
          <cell r="H34">
            <v>49.161000000000001</v>
          </cell>
          <cell r="I34">
            <v>138.18200000000002</v>
          </cell>
          <cell r="J34">
            <v>174.791</v>
          </cell>
          <cell r="AB34">
            <v>25.322900000000001</v>
          </cell>
          <cell r="BC34">
            <v>35.800000000000004</v>
          </cell>
          <cell r="BD34">
            <v>26.406000000000002</v>
          </cell>
          <cell r="BE34">
            <v>98.906199999999998</v>
          </cell>
        </row>
        <row r="35">
          <cell r="G35">
            <v>363.65899999999999</v>
          </cell>
          <cell r="H35">
            <v>49.000999999999998</v>
          </cell>
          <cell r="I35">
            <v>139.221</v>
          </cell>
          <cell r="J35">
            <v>175.43800000000002</v>
          </cell>
          <cell r="AB35">
            <v>25.349700000000002</v>
          </cell>
          <cell r="BC35">
            <v>35.9</v>
          </cell>
          <cell r="BD35">
            <v>26.4724</v>
          </cell>
          <cell r="BE35">
            <v>98.6541</v>
          </cell>
        </row>
        <row r="36">
          <cell r="G36">
            <v>369.536</v>
          </cell>
          <cell r="H36">
            <v>50.538000000000004</v>
          </cell>
          <cell r="I36">
            <v>142.477</v>
          </cell>
          <cell r="J36">
            <v>176.52</v>
          </cell>
          <cell r="AB36">
            <v>25.5105</v>
          </cell>
          <cell r="BC36">
            <v>36.1</v>
          </cell>
          <cell r="BD36">
            <v>26.595100000000002</v>
          </cell>
          <cell r="BE36">
            <v>98.605100000000007</v>
          </cell>
        </row>
        <row r="37">
          <cell r="G37">
            <v>367.33499999999998</v>
          </cell>
          <cell r="H37">
            <v>49.029000000000003</v>
          </cell>
          <cell r="I37">
            <v>140.982</v>
          </cell>
          <cell r="J37">
            <v>177.32400000000001</v>
          </cell>
          <cell r="AB37">
            <v>25.537300000000002</v>
          </cell>
          <cell r="BC37">
            <v>36.200000000000003</v>
          </cell>
          <cell r="BD37">
            <v>26.77</v>
          </cell>
          <cell r="BE37">
            <v>98.741200000000006</v>
          </cell>
        </row>
        <row r="38">
          <cell r="G38">
            <v>372.459</v>
          </cell>
          <cell r="H38">
            <v>52.087000000000003</v>
          </cell>
          <cell r="I38">
            <v>141.672</v>
          </cell>
          <cell r="J38">
            <v>178.70000000000002</v>
          </cell>
          <cell r="AB38">
            <v>25.644500000000001</v>
          </cell>
          <cell r="BC38">
            <v>36.6</v>
          </cell>
          <cell r="BD38">
            <v>26.982000000000003</v>
          </cell>
          <cell r="BE38">
            <v>99.004200000000012</v>
          </cell>
        </row>
        <row r="39">
          <cell r="G39">
            <v>374.36599999999999</v>
          </cell>
          <cell r="H39">
            <v>53.523000000000003</v>
          </cell>
          <cell r="I39">
            <v>141.77600000000001</v>
          </cell>
          <cell r="J39">
            <v>179.06700000000001</v>
          </cell>
          <cell r="AB39">
            <v>25.644500000000001</v>
          </cell>
          <cell r="BC39">
            <v>36.700000000000003</v>
          </cell>
          <cell r="BD39">
            <v>27.209100000000003</v>
          </cell>
          <cell r="BE39">
            <v>99.311500000000009</v>
          </cell>
        </row>
        <row r="40">
          <cell r="G40">
            <v>375.11200000000002</v>
          </cell>
          <cell r="H40">
            <v>53.063000000000002</v>
          </cell>
          <cell r="I40">
            <v>142.75800000000001</v>
          </cell>
          <cell r="J40">
            <v>179.291</v>
          </cell>
          <cell r="AB40">
            <v>25.832000000000001</v>
          </cell>
          <cell r="BC40">
            <v>37</v>
          </cell>
          <cell r="BD40">
            <v>27.440300000000001</v>
          </cell>
          <cell r="BE40">
            <v>99.622500000000002</v>
          </cell>
        </row>
        <row r="41">
          <cell r="G41">
            <v>374.07499999999999</v>
          </cell>
          <cell r="H41">
            <v>52.407000000000004</v>
          </cell>
          <cell r="I41">
            <v>141.86699999999999</v>
          </cell>
          <cell r="J41">
            <v>179.80199999999999</v>
          </cell>
          <cell r="AB41">
            <v>26.126800000000003</v>
          </cell>
          <cell r="BC41">
            <v>37.200000000000003</v>
          </cell>
          <cell r="BD41">
            <v>27.678900000000002</v>
          </cell>
          <cell r="BE41">
            <v>99.949400000000011</v>
          </cell>
        </row>
        <row r="42">
          <cell r="G42">
            <v>375.66899999999998</v>
          </cell>
          <cell r="H42">
            <v>52.298000000000002</v>
          </cell>
          <cell r="I42">
            <v>142.749</v>
          </cell>
          <cell r="J42">
            <v>180.62200000000001</v>
          </cell>
          <cell r="AB42">
            <v>26.287600000000001</v>
          </cell>
          <cell r="BC42">
            <v>37.5</v>
          </cell>
          <cell r="BD42">
            <v>27.915100000000002</v>
          </cell>
          <cell r="BE42">
            <v>100.2564</v>
          </cell>
        </row>
        <row r="43">
          <cell r="G43">
            <v>377.012</v>
          </cell>
          <cell r="H43">
            <v>53.213000000000001</v>
          </cell>
          <cell r="I43">
            <v>142.137</v>
          </cell>
          <cell r="J43">
            <v>181.661</v>
          </cell>
          <cell r="AB43">
            <v>26.5288</v>
          </cell>
          <cell r="BC43">
            <v>37.800000000000004</v>
          </cell>
          <cell r="BD43">
            <v>28.137</v>
          </cell>
          <cell r="BE43">
            <v>100.5021</v>
          </cell>
        </row>
        <row r="44">
          <cell r="G44">
            <v>377.87099999999998</v>
          </cell>
          <cell r="H44">
            <v>53.45</v>
          </cell>
          <cell r="I44">
            <v>142.381</v>
          </cell>
          <cell r="J44">
            <v>182.04</v>
          </cell>
          <cell r="AB44">
            <v>26.850300000000001</v>
          </cell>
          <cell r="BC44">
            <v>38</v>
          </cell>
          <cell r="BD44">
            <v>28.329600000000003</v>
          </cell>
          <cell r="BE44">
            <v>100.6336</v>
          </cell>
        </row>
        <row r="45">
          <cell r="G45">
            <v>382.351</v>
          </cell>
          <cell r="H45">
            <v>54.981000000000002</v>
          </cell>
          <cell r="I45">
            <v>143.892</v>
          </cell>
          <cell r="J45">
            <v>183.47800000000001</v>
          </cell>
          <cell r="AB45">
            <v>26.930700000000002</v>
          </cell>
          <cell r="BC45">
            <v>38</v>
          </cell>
          <cell r="BD45">
            <v>28.491400000000002</v>
          </cell>
          <cell r="BE45">
            <v>100.64800000000001</v>
          </cell>
        </row>
        <row r="46">
          <cell r="G46">
            <v>385.07900000000001</v>
          </cell>
          <cell r="H46">
            <v>55.459000000000003</v>
          </cell>
          <cell r="I46">
            <v>144.69499999999999</v>
          </cell>
          <cell r="J46">
            <v>184.92400000000001</v>
          </cell>
          <cell r="AB46">
            <v>26.823500000000003</v>
          </cell>
          <cell r="BC46">
            <v>38</v>
          </cell>
          <cell r="BD46">
            <v>28.635400000000001</v>
          </cell>
          <cell r="BE46">
            <v>100.593</v>
          </cell>
        </row>
        <row r="47">
          <cell r="G47">
            <v>386.96100000000001</v>
          </cell>
          <cell r="H47">
            <v>54.064</v>
          </cell>
          <cell r="I47">
            <v>146.49299999999999</v>
          </cell>
          <cell r="J47">
            <v>186.40299999999999</v>
          </cell>
          <cell r="AB47">
            <v>26.877100000000002</v>
          </cell>
          <cell r="BC47">
            <v>38.1</v>
          </cell>
          <cell r="BD47">
            <v>28.7773</v>
          </cell>
          <cell r="BE47">
            <v>100.52430000000001</v>
          </cell>
        </row>
        <row r="48">
          <cell r="G48">
            <v>386.166</v>
          </cell>
          <cell r="H48">
            <v>54.58</v>
          </cell>
          <cell r="I48">
            <v>144.31100000000001</v>
          </cell>
          <cell r="J48">
            <v>187.27500000000001</v>
          </cell>
          <cell r="AB48">
            <v>27.145100000000003</v>
          </cell>
          <cell r="BC48">
            <v>38.4</v>
          </cell>
          <cell r="BD48">
            <v>28.927700000000002</v>
          </cell>
          <cell r="BE48">
            <v>100.4799</v>
          </cell>
        </row>
        <row r="49">
          <cell r="G49">
            <v>386.69800000000004</v>
          </cell>
          <cell r="H49">
            <v>54.17</v>
          </cell>
          <cell r="I49">
            <v>143.95000000000002</v>
          </cell>
          <cell r="J49">
            <v>188.577</v>
          </cell>
          <cell r="AB49">
            <v>27.332700000000003</v>
          </cell>
          <cell r="BC49">
            <v>38.6</v>
          </cell>
          <cell r="BD49">
            <v>29.079700000000003</v>
          </cell>
          <cell r="BE49">
            <v>100.435</v>
          </cell>
        </row>
        <row r="50">
          <cell r="G50">
            <v>390.12799999999999</v>
          </cell>
          <cell r="H50">
            <v>55.612000000000002</v>
          </cell>
          <cell r="I50">
            <v>144.96600000000001</v>
          </cell>
          <cell r="J50">
            <v>189.54900000000001</v>
          </cell>
          <cell r="AB50">
            <v>27.4666</v>
          </cell>
          <cell r="BC50">
            <v>38.700000000000003</v>
          </cell>
          <cell r="BD50">
            <v>29.232300000000002</v>
          </cell>
          <cell r="BE50">
            <v>100.3866</v>
          </cell>
        </row>
        <row r="51">
          <cell r="G51">
            <v>395.399</v>
          </cell>
          <cell r="H51">
            <v>57.435000000000002</v>
          </cell>
          <cell r="I51">
            <v>146.92099999999999</v>
          </cell>
          <cell r="J51">
            <v>191.04300000000001</v>
          </cell>
          <cell r="AB51">
            <v>27.4131</v>
          </cell>
          <cell r="BC51">
            <v>38.800000000000004</v>
          </cell>
          <cell r="BD51">
            <v>29.4025</v>
          </cell>
          <cell r="BE51">
            <v>100.3931</v>
          </cell>
        </row>
        <row r="52">
          <cell r="G52">
            <v>397.54500000000002</v>
          </cell>
          <cell r="H52">
            <v>57.938000000000002</v>
          </cell>
          <cell r="I52">
            <v>147.19800000000001</v>
          </cell>
          <cell r="J52">
            <v>192.40899999999999</v>
          </cell>
          <cell r="AB52">
            <v>27.654200000000003</v>
          </cell>
          <cell r="BC52">
            <v>39.1</v>
          </cell>
          <cell r="BD52">
            <v>29.6068</v>
          </cell>
          <cell r="BE52">
            <v>100.50960000000001</v>
          </cell>
        </row>
        <row r="53">
          <cell r="G53">
            <v>400.95100000000002</v>
          </cell>
          <cell r="H53">
            <v>58.442</v>
          </cell>
          <cell r="I53">
            <v>148.94499999999999</v>
          </cell>
          <cell r="J53">
            <v>193.56399999999999</v>
          </cell>
          <cell r="AB53">
            <v>27.841800000000003</v>
          </cell>
          <cell r="BC53">
            <v>39.300000000000004</v>
          </cell>
          <cell r="BD53">
            <v>29.834300000000002</v>
          </cell>
          <cell r="BE53">
            <v>100.69760000000001</v>
          </cell>
        </row>
        <row r="54">
          <cell r="G54">
            <v>402.60899999999998</v>
          </cell>
          <cell r="H54">
            <v>57.605000000000004</v>
          </cell>
          <cell r="I54">
            <v>149.81</v>
          </cell>
          <cell r="J54">
            <v>195.19400000000002</v>
          </cell>
          <cell r="AB54">
            <v>27.841800000000003</v>
          </cell>
          <cell r="BC54">
            <v>39.4</v>
          </cell>
          <cell r="BD54">
            <v>30.064600000000002</v>
          </cell>
          <cell r="BE54">
            <v>100.8879</v>
          </cell>
        </row>
        <row r="55">
          <cell r="G55">
            <v>403.63</v>
          </cell>
          <cell r="H55">
            <v>58.152000000000001</v>
          </cell>
          <cell r="I55">
            <v>149.42000000000002</v>
          </cell>
          <cell r="J55">
            <v>196.05799999999999</v>
          </cell>
          <cell r="AB55">
            <v>28.2974</v>
          </cell>
          <cell r="BC55">
            <v>39.6</v>
          </cell>
          <cell r="BD55">
            <v>30.298500000000001</v>
          </cell>
          <cell r="BE55">
            <v>101.08280000000001</v>
          </cell>
        </row>
        <row r="56">
          <cell r="G56">
            <v>409.24400000000003</v>
          </cell>
          <cell r="H56">
            <v>59.664000000000001</v>
          </cell>
          <cell r="I56">
            <v>152.28700000000001</v>
          </cell>
          <cell r="J56">
            <v>197.29300000000001</v>
          </cell>
          <cell r="AB56">
            <v>28.458200000000001</v>
          </cell>
          <cell r="BC56">
            <v>39.9</v>
          </cell>
          <cell r="BD56">
            <v>30.534700000000001</v>
          </cell>
          <cell r="BE56">
            <v>101.27900000000001</v>
          </cell>
        </row>
        <row r="57">
          <cell r="G57">
            <v>412.17400000000004</v>
          </cell>
          <cell r="H57">
            <v>60.613</v>
          </cell>
          <cell r="I57">
            <v>152.66</v>
          </cell>
          <cell r="J57">
            <v>198.90200000000002</v>
          </cell>
          <cell r="AB57">
            <v>28.538500000000003</v>
          </cell>
          <cell r="BC57">
            <v>40</v>
          </cell>
          <cell r="BD57">
            <v>30.770600000000002</v>
          </cell>
          <cell r="BE57">
            <v>101.4679</v>
          </cell>
        </row>
        <row r="58">
          <cell r="G58">
            <v>415.73700000000002</v>
          </cell>
          <cell r="H58">
            <v>61.643000000000001</v>
          </cell>
          <cell r="I58">
            <v>154.315</v>
          </cell>
          <cell r="J58">
            <v>199.78</v>
          </cell>
          <cell r="AB58">
            <v>28.726100000000002</v>
          </cell>
          <cell r="BC58">
            <v>40.300000000000004</v>
          </cell>
          <cell r="BD58">
            <v>30.998700000000003</v>
          </cell>
          <cell r="BE58">
            <v>101.62520000000001</v>
          </cell>
        </row>
        <row r="59">
          <cell r="G59">
            <v>418.57</v>
          </cell>
          <cell r="H59">
            <v>62.143999999999998</v>
          </cell>
          <cell r="I59">
            <v>155.536</v>
          </cell>
          <cell r="J59">
            <v>200.89000000000001</v>
          </cell>
          <cell r="AB59">
            <v>28.913700000000002</v>
          </cell>
          <cell r="BC59">
            <v>40.5</v>
          </cell>
          <cell r="BD59">
            <v>31.209800000000001</v>
          </cell>
          <cell r="BE59">
            <v>101.7218</v>
          </cell>
        </row>
        <row r="60">
          <cell r="G60">
            <v>417.45600000000002</v>
          </cell>
          <cell r="H60">
            <v>60.346000000000004</v>
          </cell>
          <cell r="I60">
            <v>154.78100000000001</v>
          </cell>
          <cell r="J60">
            <v>202.32900000000001</v>
          </cell>
          <cell r="AB60">
            <v>29.020900000000001</v>
          </cell>
          <cell r="BC60">
            <v>40.800000000000004</v>
          </cell>
          <cell r="BD60">
            <v>31.415100000000002</v>
          </cell>
          <cell r="BE60">
            <v>101.7954</v>
          </cell>
        </row>
        <row r="61">
          <cell r="G61">
            <v>420.44800000000004</v>
          </cell>
          <cell r="H61">
            <v>61.245000000000005</v>
          </cell>
          <cell r="I61">
            <v>155.84</v>
          </cell>
          <cell r="J61">
            <v>203.363</v>
          </cell>
          <cell r="AB61">
            <v>28.6189</v>
          </cell>
          <cell r="BC61">
            <v>40.800000000000004</v>
          </cell>
          <cell r="BD61">
            <v>31.622</v>
          </cell>
          <cell r="BE61">
            <v>101.87020000000001</v>
          </cell>
        </row>
        <row r="62">
          <cell r="G62">
            <v>417.20400000000001</v>
          </cell>
          <cell r="H62">
            <v>58.910000000000004</v>
          </cell>
          <cell r="I62">
            <v>153.61699999999999</v>
          </cell>
          <cell r="J62">
            <v>204.67699999999999</v>
          </cell>
          <cell r="AB62">
            <v>29.5032</v>
          </cell>
          <cell r="BC62">
            <v>41</v>
          </cell>
          <cell r="BD62">
            <v>31.84</v>
          </cell>
          <cell r="BE62">
            <v>101.9777</v>
          </cell>
        </row>
        <row r="63">
          <cell r="G63">
            <v>421.84199999999998</v>
          </cell>
          <cell r="H63">
            <v>57.975999999999999</v>
          </cell>
          <cell r="I63">
            <v>157.94400000000002</v>
          </cell>
          <cell r="J63">
            <v>205.923</v>
          </cell>
          <cell r="AB63">
            <v>29.851600000000001</v>
          </cell>
          <cell r="BC63">
            <v>41.2</v>
          </cell>
          <cell r="BD63">
            <v>32.066000000000003</v>
          </cell>
          <cell r="BE63">
            <v>102.10730000000001</v>
          </cell>
        </row>
        <row r="64">
          <cell r="G64">
            <v>425.26600000000002</v>
          </cell>
          <cell r="H64">
            <v>61.015000000000001</v>
          </cell>
          <cell r="I64">
            <v>157.29900000000001</v>
          </cell>
          <cell r="J64">
            <v>206.95099999999999</v>
          </cell>
          <cell r="AB64">
            <v>30.173100000000002</v>
          </cell>
          <cell r="BC64">
            <v>41.5</v>
          </cell>
          <cell r="BD64">
            <v>32.288600000000002</v>
          </cell>
          <cell r="BE64">
            <v>102.22320000000001</v>
          </cell>
        </row>
        <row r="65">
          <cell r="G65">
            <v>432.21600000000001</v>
          </cell>
          <cell r="H65">
            <v>65.375</v>
          </cell>
          <cell r="I65">
            <v>158.952</v>
          </cell>
          <cell r="J65">
            <v>207.88900000000001</v>
          </cell>
          <cell r="AB65">
            <v>30.360700000000001</v>
          </cell>
          <cell r="BC65">
            <v>41.5</v>
          </cell>
          <cell r="BD65">
            <v>32.499700000000004</v>
          </cell>
          <cell r="BE65">
            <v>102.3005</v>
          </cell>
        </row>
        <row r="66">
          <cell r="G66">
            <v>434.11400000000003</v>
          </cell>
          <cell r="H66">
            <v>68.355999999999995</v>
          </cell>
          <cell r="I66">
            <v>157.03100000000001</v>
          </cell>
          <cell r="J66">
            <v>208.727</v>
          </cell>
          <cell r="AB66">
            <v>30.762700000000002</v>
          </cell>
          <cell r="BC66">
            <v>41.800000000000004</v>
          </cell>
          <cell r="BD66">
            <v>32.691600000000001</v>
          </cell>
          <cell r="BE66">
            <v>102.3164</v>
          </cell>
        </row>
        <row r="67">
          <cell r="G67">
            <v>437.88100000000003</v>
          </cell>
          <cell r="H67">
            <v>67.331000000000003</v>
          </cell>
          <cell r="I67">
            <v>160.00700000000001</v>
          </cell>
          <cell r="J67">
            <v>210.54400000000001</v>
          </cell>
          <cell r="AB67">
            <v>30.896700000000003</v>
          </cell>
          <cell r="BC67">
            <v>41.800000000000004</v>
          </cell>
          <cell r="BD67">
            <v>32.860500000000002</v>
          </cell>
          <cell r="BE67">
            <v>102.2604</v>
          </cell>
        </row>
        <row r="68">
          <cell r="G68">
            <v>438.45</v>
          </cell>
          <cell r="H68">
            <v>65.143000000000001</v>
          </cell>
          <cell r="I68">
            <v>161.333</v>
          </cell>
          <cell r="J68">
            <v>211.97400000000002</v>
          </cell>
          <cell r="AB68">
            <v>31.137800000000002</v>
          </cell>
          <cell r="BC68">
            <v>42</v>
          </cell>
          <cell r="BD68">
            <v>33.016600000000004</v>
          </cell>
          <cell r="BE68">
            <v>102.16550000000001</v>
          </cell>
        </row>
        <row r="69">
          <cell r="G69">
            <v>436.07100000000003</v>
          </cell>
          <cell r="H69">
            <v>61.981000000000002</v>
          </cell>
          <cell r="I69">
            <v>160.96299999999999</v>
          </cell>
          <cell r="J69">
            <v>213.12700000000001</v>
          </cell>
          <cell r="AB69">
            <v>31.379000000000001</v>
          </cell>
          <cell r="BC69">
            <v>42</v>
          </cell>
          <cell r="BD69">
            <v>33.176300000000005</v>
          </cell>
          <cell r="BE69">
            <v>102.08330000000001</v>
          </cell>
        </row>
        <row r="70">
          <cell r="G70">
            <v>441.86500000000001</v>
          </cell>
          <cell r="H70">
            <v>63.5</v>
          </cell>
          <cell r="I70">
            <v>163.81399999999999</v>
          </cell>
          <cell r="J70">
            <v>214.55100000000002</v>
          </cell>
          <cell r="AB70">
            <v>31.6737</v>
          </cell>
          <cell r="BC70">
            <v>42.1</v>
          </cell>
          <cell r="BD70">
            <v>33.362900000000003</v>
          </cell>
          <cell r="BE70">
            <v>102.0852</v>
          </cell>
        </row>
        <row r="71">
          <cell r="G71">
            <v>445.21100000000001</v>
          </cell>
          <cell r="H71">
            <v>66</v>
          </cell>
          <cell r="I71">
            <v>163.41300000000001</v>
          </cell>
          <cell r="J71">
            <v>215.798</v>
          </cell>
          <cell r="AB71">
            <v>31.807700000000001</v>
          </cell>
          <cell r="BC71">
            <v>42.1</v>
          </cell>
          <cell r="BD71">
            <v>33.589300000000001</v>
          </cell>
          <cell r="BE71">
            <v>102.2093</v>
          </cell>
        </row>
        <row r="72">
          <cell r="G72">
            <v>452.85</v>
          </cell>
          <cell r="H72">
            <v>70.600000000000009</v>
          </cell>
          <cell r="I72">
            <v>164.97900000000001</v>
          </cell>
          <cell r="J72">
            <v>217.27</v>
          </cell>
          <cell r="AB72">
            <v>31.888100000000001</v>
          </cell>
          <cell r="BC72">
            <v>42.300000000000004</v>
          </cell>
          <cell r="BD72">
            <v>33.864000000000004</v>
          </cell>
          <cell r="BE72">
            <v>102.48</v>
          </cell>
        </row>
        <row r="73">
          <cell r="G73">
            <v>459.33</v>
          </cell>
          <cell r="H73">
            <v>69.486000000000004</v>
          </cell>
          <cell r="I73">
            <v>170.63300000000001</v>
          </cell>
          <cell r="J73">
            <v>219.21100000000001</v>
          </cell>
          <cell r="AB73">
            <v>32.209699999999998</v>
          </cell>
          <cell r="BC73">
            <v>42.7</v>
          </cell>
          <cell r="BD73">
            <v>34.179099999999998</v>
          </cell>
          <cell r="BE73">
            <v>102.87140000000001</v>
          </cell>
        </row>
        <row r="74">
          <cell r="G74">
            <v>459.91399999999999</v>
          </cell>
          <cell r="H74">
            <v>69.087000000000003</v>
          </cell>
          <cell r="I74">
            <v>169.767</v>
          </cell>
          <cell r="J74">
            <v>221.06</v>
          </cell>
          <cell r="AB74">
            <v>32.343699999999998</v>
          </cell>
          <cell r="BC74">
            <v>43.1</v>
          </cell>
          <cell r="BD74">
            <v>34.514800000000001</v>
          </cell>
          <cell r="BE74">
            <v>103.3224</v>
          </cell>
        </row>
        <row r="75">
          <cell r="G75">
            <v>462.54500000000002</v>
          </cell>
          <cell r="H75">
            <v>68.805999999999997</v>
          </cell>
          <cell r="I75">
            <v>171.23400000000001</v>
          </cell>
          <cell r="J75">
            <v>222.505</v>
          </cell>
          <cell r="AB75">
            <v>32.745600000000003</v>
          </cell>
          <cell r="BC75">
            <v>43.4</v>
          </cell>
          <cell r="BD75">
            <v>34.841000000000001</v>
          </cell>
          <cell r="BE75">
            <v>103.7433</v>
          </cell>
        </row>
        <row r="76">
          <cell r="G76">
            <v>466.04300000000001</v>
          </cell>
          <cell r="H76">
            <v>70.212000000000003</v>
          </cell>
          <cell r="I76">
            <v>172.53300000000002</v>
          </cell>
          <cell r="J76">
            <v>223.298</v>
          </cell>
          <cell r="AB76">
            <v>33.0672</v>
          </cell>
          <cell r="BC76">
            <v>43.4</v>
          </cell>
          <cell r="BD76">
            <v>35.118400000000001</v>
          </cell>
          <cell r="BE76">
            <v>104.0184</v>
          </cell>
        </row>
        <row r="77">
          <cell r="G77">
            <v>471.11900000000003</v>
          </cell>
          <cell r="H77">
            <v>72.286000000000001</v>
          </cell>
          <cell r="I77">
            <v>174.34399999999999</v>
          </cell>
          <cell r="J77">
            <v>224.49</v>
          </cell>
          <cell r="AB77">
            <v>33.281600000000005</v>
          </cell>
          <cell r="BC77">
            <v>43.4</v>
          </cell>
          <cell r="BD77">
            <v>35.319700000000005</v>
          </cell>
          <cell r="BE77">
            <v>104.07220000000001</v>
          </cell>
        </row>
        <row r="78">
          <cell r="G78">
            <v>475.947</v>
          </cell>
          <cell r="H78">
            <v>74.438000000000002</v>
          </cell>
          <cell r="I78">
            <v>175.40600000000001</v>
          </cell>
          <cell r="J78">
            <v>226.10300000000001</v>
          </cell>
          <cell r="AB78">
            <v>33.737099999999998</v>
          </cell>
          <cell r="BC78">
            <v>43.800000000000004</v>
          </cell>
          <cell r="BD78">
            <v>35.425699999999999</v>
          </cell>
          <cell r="BE78">
            <v>103.8481</v>
          </cell>
        </row>
        <row r="79">
          <cell r="G79">
            <v>477.88</v>
          </cell>
          <cell r="H79">
            <v>72.469000000000008</v>
          </cell>
          <cell r="I79">
            <v>177.68299999999999</v>
          </cell>
          <cell r="J79">
            <v>227.72800000000001</v>
          </cell>
          <cell r="AB79">
            <v>33.790700000000001</v>
          </cell>
          <cell r="BC79">
            <v>43.7</v>
          </cell>
          <cell r="BD79">
            <v>35.431600000000003</v>
          </cell>
          <cell r="BE79">
            <v>103.33850000000001</v>
          </cell>
        </row>
        <row r="80">
          <cell r="G80">
            <v>474.04399999999998</v>
          </cell>
          <cell r="H80">
            <v>68.688000000000002</v>
          </cell>
          <cell r="I80">
            <v>176.15700000000001</v>
          </cell>
          <cell r="J80">
            <v>229.19900000000001</v>
          </cell>
          <cell r="AB80">
            <v>34.112300000000005</v>
          </cell>
          <cell r="BC80">
            <v>43.2</v>
          </cell>
          <cell r="BD80">
            <v>35.351399999999998</v>
          </cell>
          <cell r="BE80">
            <v>102.5887</v>
          </cell>
        </row>
        <row r="81">
          <cell r="G81">
            <v>476.49099999999999</v>
          </cell>
          <cell r="H81">
            <v>68.004999999999995</v>
          </cell>
          <cell r="I81">
            <v>177.874</v>
          </cell>
          <cell r="J81">
            <v>230.61199999999999</v>
          </cell>
          <cell r="AB81">
            <v>34.273000000000003</v>
          </cell>
          <cell r="BC81">
            <v>42.9</v>
          </cell>
          <cell r="BD81">
            <v>35.228000000000002</v>
          </cell>
          <cell r="BE81">
            <v>101.72630000000001</v>
          </cell>
        </row>
        <row r="82">
          <cell r="G82">
            <v>481.548</v>
          </cell>
          <cell r="H82">
            <v>69.566000000000003</v>
          </cell>
          <cell r="I82">
            <v>179.70400000000001</v>
          </cell>
          <cell r="J82">
            <v>232.27700000000002</v>
          </cell>
          <cell r="AB82">
            <v>34.460599999999999</v>
          </cell>
          <cell r="BC82">
            <v>42.7</v>
          </cell>
          <cell r="BD82">
            <v>35.086500000000001</v>
          </cell>
          <cell r="BE82">
            <v>100.82520000000001</v>
          </cell>
        </row>
        <row r="83">
          <cell r="G83">
            <v>484.15100000000001</v>
          </cell>
          <cell r="H83">
            <v>72.268000000000001</v>
          </cell>
          <cell r="I83">
            <v>179.09200000000001</v>
          </cell>
          <cell r="J83">
            <v>232.792</v>
          </cell>
          <cell r="AB83">
            <v>34.487400000000001</v>
          </cell>
          <cell r="BC83">
            <v>42.5</v>
          </cell>
          <cell r="BD83">
            <v>34.947000000000003</v>
          </cell>
          <cell r="BE83">
            <v>99.94380000000001</v>
          </cell>
        </row>
        <row r="84">
          <cell r="G84">
            <v>490.17200000000003</v>
          </cell>
          <cell r="H84">
            <v>75.135999999999996</v>
          </cell>
          <cell r="I84">
            <v>180.51400000000001</v>
          </cell>
          <cell r="J84">
            <v>234.52199999999999</v>
          </cell>
          <cell r="AB84">
            <v>34.809000000000005</v>
          </cell>
          <cell r="BC84">
            <v>42.300000000000004</v>
          </cell>
          <cell r="BD84">
            <v>34.819700000000005</v>
          </cell>
          <cell r="BE84">
            <v>99.110700000000008</v>
          </cell>
        </row>
        <row r="85">
          <cell r="G85">
            <v>489.30500000000001</v>
          </cell>
          <cell r="H85">
            <v>73.376999999999995</v>
          </cell>
          <cell r="I85">
            <v>179.977</v>
          </cell>
          <cell r="J85">
            <v>235.952</v>
          </cell>
          <cell r="AB85">
            <v>35.0501</v>
          </cell>
          <cell r="BC85">
            <v>42.1</v>
          </cell>
          <cell r="BD85">
            <v>34.713799999999999</v>
          </cell>
          <cell r="BE85">
            <v>98.351700000000008</v>
          </cell>
        </row>
        <row r="86">
          <cell r="G86">
            <v>491.08500000000004</v>
          </cell>
          <cell r="H86">
            <v>72.259</v>
          </cell>
          <cell r="I86">
            <v>180.69900000000001</v>
          </cell>
          <cell r="J86">
            <v>238.12700000000001</v>
          </cell>
          <cell r="AB86">
            <v>34.809000000000005</v>
          </cell>
          <cell r="BC86">
            <v>41.9</v>
          </cell>
          <cell r="BD86">
            <v>34.652999999999999</v>
          </cell>
          <cell r="BE86">
            <v>97.732800000000012</v>
          </cell>
        </row>
        <row r="87">
          <cell r="G87">
            <v>492.899</v>
          </cell>
          <cell r="H87">
            <v>72.241</v>
          </cell>
          <cell r="I87">
            <v>180.50700000000001</v>
          </cell>
          <cell r="J87">
            <v>240.15200000000002</v>
          </cell>
          <cell r="AB87">
            <v>34.889299999999999</v>
          </cell>
          <cell r="BC87">
            <v>41.800000000000004</v>
          </cell>
          <cell r="BD87">
            <v>34.646100000000004</v>
          </cell>
          <cell r="BE87">
            <v>97.276700000000005</v>
          </cell>
        </row>
        <row r="88">
          <cell r="G88">
            <v>495.28700000000003</v>
          </cell>
          <cell r="H88">
            <v>72.459000000000003</v>
          </cell>
          <cell r="I88">
            <v>181.48500000000001</v>
          </cell>
          <cell r="J88">
            <v>241.34200000000001</v>
          </cell>
          <cell r="AB88">
            <v>35.053899999999999</v>
          </cell>
          <cell r="BC88">
            <v>42</v>
          </cell>
          <cell r="BD88">
            <v>34.701300000000003</v>
          </cell>
          <cell r="BE88">
            <v>97.003799999999998</v>
          </cell>
        </row>
        <row r="89">
          <cell r="G89">
            <v>494.04900000000004</v>
          </cell>
          <cell r="H89">
            <v>69.850000000000009</v>
          </cell>
          <cell r="I89">
            <v>182.69800000000001</v>
          </cell>
          <cell r="J89">
            <v>241.501</v>
          </cell>
          <cell r="AB89">
            <v>34.656400000000005</v>
          </cell>
          <cell r="BC89">
            <v>41.800000000000004</v>
          </cell>
          <cell r="BD89">
            <v>34.822099999999999</v>
          </cell>
          <cell r="BE89">
            <v>96.921500000000009</v>
          </cell>
        </row>
        <row r="90">
          <cell r="G90">
            <v>496.899</v>
          </cell>
          <cell r="H90">
            <v>70.995000000000005</v>
          </cell>
          <cell r="I90">
            <v>182.94300000000001</v>
          </cell>
          <cell r="J90">
            <v>242.96100000000001</v>
          </cell>
          <cell r="AB90">
            <v>34.460999999999999</v>
          </cell>
          <cell r="BC90">
            <v>41.9</v>
          </cell>
          <cell r="BD90">
            <v>35.028600000000004</v>
          </cell>
          <cell r="BE90">
            <v>97.082800000000006</v>
          </cell>
        </row>
        <row r="91">
          <cell r="G91">
            <v>502.41200000000003</v>
          </cell>
          <cell r="H91">
            <v>74.319000000000003</v>
          </cell>
          <cell r="I91">
            <v>183.59100000000001</v>
          </cell>
          <cell r="J91">
            <v>244.50200000000001</v>
          </cell>
          <cell r="AB91">
            <v>34.786000000000001</v>
          </cell>
          <cell r="BC91">
            <v>42</v>
          </cell>
          <cell r="BD91">
            <v>35.328400000000002</v>
          </cell>
          <cell r="BE91">
            <v>97.505600000000001</v>
          </cell>
        </row>
        <row r="92">
          <cell r="G92">
            <v>503.33699999999999</v>
          </cell>
          <cell r="H92">
            <v>73.966000000000008</v>
          </cell>
          <cell r="I92">
            <v>183.559</v>
          </cell>
          <cell r="J92">
            <v>245.81200000000001</v>
          </cell>
          <cell r="AB92">
            <v>34.482500000000002</v>
          </cell>
          <cell r="BC92">
            <v>42.300000000000004</v>
          </cell>
          <cell r="BD92">
            <v>35.707100000000004</v>
          </cell>
          <cell r="BE92">
            <v>98.147300000000001</v>
          </cell>
        </row>
        <row r="93">
          <cell r="G93">
            <v>507.90500000000003</v>
          </cell>
          <cell r="H93">
            <v>75.165000000000006</v>
          </cell>
          <cell r="I93">
            <v>184.91300000000001</v>
          </cell>
          <cell r="J93">
            <v>247.827</v>
          </cell>
          <cell r="AB93">
            <v>34.478200000000001</v>
          </cell>
          <cell r="BC93">
            <v>42.7</v>
          </cell>
          <cell r="BD93">
            <v>36.122</v>
          </cell>
          <cell r="BE93">
            <v>98.887900000000002</v>
          </cell>
        </row>
        <row r="94">
          <cell r="G94">
            <v>507.798</v>
          </cell>
          <cell r="H94">
            <v>74.424999999999997</v>
          </cell>
          <cell r="I94">
            <v>183.703</v>
          </cell>
          <cell r="J94">
            <v>249.67099999999999</v>
          </cell>
          <cell r="AB94">
            <v>34.399700000000003</v>
          </cell>
          <cell r="BC94">
            <v>42.9</v>
          </cell>
          <cell r="BD94">
            <v>36.543100000000003</v>
          </cell>
          <cell r="BE94">
            <v>99.645099999999999</v>
          </cell>
        </row>
        <row r="95">
          <cell r="G95">
            <v>510.91399999999999</v>
          </cell>
          <cell r="H95">
            <v>73.646000000000001</v>
          </cell>
          <cell r="I95">
            <v>185.779</v>
          </cell>
          <cell r="J95">
            <v>251.49</v>
          </cell>
          <cell r="AB95">
            <v>35.058800000000005</v>
          </cell>
          <cell r="BC95">
            <v>43.5</v>
          </cell>
          <cell r="BD95">
            <v>36.940300000000001</v>
          </cell>
          <cell r="BE95">
            <v>100.337</v>
          </cell>
        </row>
        <row r="96">
          <cell r="G96">
            <v>516.72199999999998</v>
          </cell>
          <cell r="H96">
            <v>76.025999999999996</v>
          </cell>
          <cell r="I96">
            <v>187.84900000000002</v>
          </cell>
          <cell r="J96">
            <v>252.84700000000001</v>
          </cell>
          <cell r="AB96">
            <v>35.001800000000003</v>
          </cell>
          <cell r="BC96">
            <v>43.5</v>
          </cell>
          <cell r="BD96">
            <v>37.289000000000001</v>
          </cell>
          <cell r="BE96">
            <v>100.8978</v>
          </cell>
        </row>
        <row r="97">
          <cell r="G97">
            <v>513.31600000000003</v>
          </cell>
          <cell r="H97">
            <v>74.114000000000004</v>
          </cell>
          <cell r="I97">
            <v>185.148</v>
          </cell>
          <cell r="J97">
            <v>254.053</v>
          </cell>
          <cell r="AB97">
            <v>35.286900000000003</v>
          </cell>
          <cell r="BC97">
            <v>43.7</v>
          </cell>
          <cell r="BD97">
            <v>37.579599999999999</v>
          </cell>
          <cell r="BE97">
            <v>101.3036</v>
          </cell>
        </row>
        <row r="98">
          <cell r="G98">
            <v>518.50599999999997</v>
          </cell>
          <cell r="H98">
            <v>75.126000000000005</v>
          </cell>
          <cell r="I98">
            <v>187.75</v>
          </cell>
          <cell r="J98">
            <v>255.63</v>
          </cell>
          <cell r="AB98">
            <v>35.791600000000003</v>
          </cell>
          <cell r="BC98">
            <v>43.9</v>
          </cell>
          <cell r="BD98">
            <v>37.808599999999998</v>
          </cell>
          <cell r="BE98">
            <v>101.5467</v>
          </cell>
        </row>
        <row r="99">
          <cell r="G99">
            <v>526.23300000000006</v>
          </cell>
          <cell r="H99">
            <v>77.683999999999997</v>
          </cell>
          <cell r="I99">
            <v>190.69499999999999</v>
          </cell>
          <cell r="J99">
            <v>257.85300000000001</v>
          </cell>
          <cell r="AB99">
            <v>36.177100000000003</v>
          </cell>
          <cell r="BC99">
            <v>44.2</v>
          </cell>
          <cell r="BD99">
            <v>37.981500000000004</v>
          </cell>
          <cell r="BE99">
            <v>101.6438</v>
          </cell>
        </row>
        <row r="100">
          <cell r="G100">
            <v>531.98500000000001</v>
          </cell>
          <cell r="H100">
            <v>79.728000000000009</v>
          </cell>
          <cell r="I100">
            <v>191.297</v>
          </cell>
          <cell r="J100">
            <v>260.959</v>
          </cell>
          <cell r="AB100">
            <v>36.138100000000001</v>
          </cell>
          <cell r="BC100">
            <v>44.300000000000004</v>
          </cell>
          <cell r="BD100">
            <v>38.107700000000001</v>
          </cell>
          <cell r="BE100">
            <v>101.62150000000001</v>
          </cell>
        </row>
        <row r="101">
          <cell r="G101">
            <v>534.66200000000003</v>
          </cell>
          <cell r="H101">
            <v>79.472000000000008</v>
          </cell>
          <cell r="I101">
            <v>192.95600000000002</v>
          </cell>
          <cell r="J101">
            <v>262.23399999999998</v>
          </cell>
          <cell r="AB101">
            <v>36.267600000000002</v>
          </cell>
          <cell r="BC101">
            <v>44.6</v>
          </cell>
          <cell r="BD101">
            <v>38.210700000000003</v>
          </cell>
          <cell r="BE101">
            <v>101.54340000000001</v>
          </cell>
        </row>
        <row r="102">
          <cell r="G102">
            <v>545.38300000000004</v>
          </cell>
          <cell r="H102">
            <v>83.376999999999995</v>
          </cell>
          <cell r="I102">
            <v>196.352</v>
          </cell>
          <cell r="J102">
            <v>265.654</v>
          </cell>
          <cell r="AB102">
            <v>36.380800000000001</v>
          </cell>
          <cell r="BC102">
            <v>44.800000000000004</v>
          </cell>
          <cell r="BD102">
            <v>38.298999999999999</v>
          </cell>
          <cell r="BE102">
            <v>101.4328</v>
          </cell>
        </row>
        <row r="103">
          <cell r="G103">
            <v>545.08900000000006</v>
          </cell>
          <cell r="H103">
            <v>81.427000000000007</v>
          </cell>
          <cell r="I103">
            <v>195.762</v>
          </cell>
          <cell r="J103">
            <v>267.89999999999998</v>
          </cell>
          <cell r="AB103">
            <v>36.433500000000002</v>
          </cell>
          <cell r="BC103">
            <v>44.4</v>
          </cell>
          <cell r="BD103">
            <v>38.388500000000001</v>
          </cell>
          <cell r="BE103">
            <v>101.33160000000001</v>
          </cell>
        </row>
        <row r="104">
          <cell r="G104">
            <v>550.89599999999996</v>
          </cell>
          <cell r="H104">
            <v>84.016999999999996</v>
          </cell>
          <cell r="I104">
            <v>197.26900000000001</v>
          </cell>
          <cell r="J104">
            <v>269.61099999999999</v>
          </cell>
          <cell r="AB104">
            <v>36.842199999999998</v>
          </cell>
          <cell r="BC104">
            <v>44.4</v>
          </cell>
          <cell r="BD104">
            <v>38.500100000000003</v>
          </cell>
          <cell r="BE104">
            <v>101.2949</v>
          </cell>
        </row>
        <row r="105">
          <cell r="G105">
            <v>557.39200000000005</v>
          </cell>
          <cell r="H105">
            <v>83.808000000000007</v>
          </cell>
          <cell r="I105">
            <v>200.27700000000002</v>
          </cell>
          <cell r="J105">
            <v>273.30700000000002</v>
          </cell>
          <cell r="AB105">
            <v>36.977499999999999</v>
          </cell>
          <cell r="BC105">
            <v>44.6</v>
          </cell>
          <cell r="BD105">
            <v>38.644100000000002</v>
          </cell>
          <cell r="BE105">
            <v>101.3489</v>
          </cell>
        </row>
        <row r="106">
          <cell r="G106">
            <v>564.31899999999996</v>
          </cell>
          <cell r="H106">
            <v>86.932000000000002</v>
          </cell>
          <cell r="I106">
            <v>202.566</v>
          </cell>
          <cell r="J106">
            <v>274.82</v>
          </cell>
          <cell r="AB106">
            <v>36.9208</v>
          </cell>
          <cell r="BC106">
            <v>44.9</v>
          </cell>
          <cell r="BD106">
            <v>38.8277</v>
          </cell>
          <cell r="BE106">
            <v>101.5115</v>
          </cell>
        </row>
        <row r="107">
          <cell r="G107">
            <v>568.19399999999996</v>
          </cell>
          <cell r="H107">
            <v>87.631</v>
          </cell>
          <cell r="I107">
            <v>203.732</v>
          </cell>
          <cell r="J107">
            <v>276.83100000000002</v>
          </cell>
          <cell r="AB107">
            <v>37.023800000000001</v>
          </cell>
          <cell r="BC107">
            <v>44.5</v>
          </cell>
          <cell r="BD107">
            <v>39.0548</v>
          </cell>
          <cell r="BE107">
            <v>101.79220000000001</v>
          </cell>
        </row>
        <row r="108">
          <cell r="G108">
            <v>569.41100000000006</v>
          </cell>
          <cell r="H108">
            <v>88.070000000000007</v>
          </cell>
          <cell r="I108">
            <v>202.226</v>
          </cell>
          <cell r="J108">
            <v>279.11400000000003</v>
          </cell>
          <cell r="AB108">
            <v>37.164100000000005</v>
          </cell>
          <cell r="BC108">
            <v>45</v>
          </cell>
          <cell r="BD108">
            <v>39.322400000000002</v>
          </cell>
          <cell r="BE108">
            <v>102.1816</v>
          </cell>
        </row>
        <row r="109">
          <cell r="G109">
            <v>572.86699999999996</v>
          </cell>
          <cell r="H109">
            <v>88.123999999999995</v>
          </cell>
          <cell r="I109">
            <v>203.524</v>
          </cell>
          <cell r="J109">
            <v>281.22000000000003</v>
          </cell>
          <cell r="AB109">
            <v>37.2378</v>
          </cell>
          <cell r="BC109">
            <v>45.5</v>
          </cell>
          <cell r="BD109">
            <v>39.589300000000001</v>
          </cell>
          <cell r="BE109">
            <v>102.57250000000001</v>
          </cell>
        </row>
        <row r="110">
          <cell r="G110">
            <v>578.00599999999997</v>
          </cell>
          <cell r="H110">
            <v>87.465000000000003</v>
          </cell>
          <cell r="I110">
            <v>207.02799999999999</v>
          </cell>
          <cell r="J110">
            <v>283.51300000000003</v>
          </cell>
          <cell r="AB110">
            <v>37.719500000000004</v>
          </cell>
          <cell r="BC110">
            <v>45.6</v>
          </cell>
          <cell r="BD110">
            <v>39.810300000000005</v>
          </cell>
          <cell r="BE110">
            <v>102.84750000000001</v>
          </cell>
        </row>
        <row r="111">
          <cell r="G111">
            <v>577.84699999999998</v>
          </cell>
          <cell r="H111">
            <v>87.888000000000005</v>
          </cell>
          <cell r="I111">
            <v>204.47</v>
          </cell>
          <cell r="J111">
            <v>285.488</v>
          </cell>
          <cell r="AB111">
            <v>37.8386</v>
          </cell>
          <cell r="BC111">
            <v>45.5</v>
          </cell>
          <cell r="BD111">
            <v>39.965800000000002</v>
          </cell>
          <cell r="BE111">
            <v>102.95740000000001</v>
          </cell>
        </row>
        <row r="112">
          <cell r="G112">
            <v>584.87300000000005</v>
          </cell>
          <cell r="H112">
            <v>90.129000000000005</v>
          </cell>
          <cell r="I112">
            <v>207.28300000000002</v>
          </cell>
          <cell r="J112">
            <v>287.46100000000001</v>
          </cell>
          <cell r="AB112">
            <v>38.067599999999999</v>
          </cell>
          <cell r="BC112">
            <v>45.800000000000004</v>
          </cell>
          <cell r="BD112">
            <v>40.058</v>
          </cell>
          <cell r="BE112">
            <v>102.9092</v>
          </cell>
        </row>
        <row r="113">
          <cell r="G113">
            <v>590.11800000000005</v>
          </cell>
          <cell r="H113">
            <v>90.765000000000001</v>
          </cell>
          <cell r="I113">
            <v>209.279</v>
          </cell>
          <cell r="J113">
            <v>290.07499999999999</v>
          </cell>
          <cell r="AB113">
            <v>38.311199999999999</v>
          </cell>
          <cell r="BC113">
            <v>45.800000000000004</v>
          </cell>
          <cell r="BD113">
            <v>40.0839</v>
          </cell>
          <cell r="BE113">
            <v>102.6962</v>
          </cell>
        </row>
        <row r="114">
          <cell r="G114">
            <v>590.33299999999997</v>
          </cell>
          <cell r="H114">
            <v>89.138000000000005</v>
          </cell>
          <cell r="I114">
            <v>209.94</v>
          </cell>
          <cell r="J114">
            <v>291.255</v>
          </cell>
          <cell r="AB114">
            <v>38.611600000000003</v>
          </cell>
          <cell r="BC114">
            <v>45.6</v>
          </cell>
          <cell r="BD114">
            <v>40.051100000000005</v>
          </cell>
          <cell r="BE114">
            <v>102.3387</v>
          </cell>
        </row>
        <row r="115">
          <cell r="G115">
            <v>595.33500000000004</v>
          </cell>
          <cell r="H115">
            <v>90.405000000000001</v>
          </cell>
          <cell r="I115">
            <v>210.80500000000001</v>
          </cell>
          <cell r="J115">
            <v>294.125</v>
          </cell>
          <cell r="AB115">
            <v>38.469500000000004</v>
          </cell>
          <cell r="BC115">
            <v>45.800000000000004</v>
          </cell>
          <cell r="BD115">
            <v>39.964600000000004</v>
          </cell>
          <cell r="BE115">
            <v>101.8506</v>
          </cell>
        </row>
        <row r="116">
          <cell r="G116">
            <v>601.74199999999996</v>
          </cell>
          <cell r="H116">
            <v>90.463999999999999</v>
          </cell>
          <cell r="I116">
            <v>213.55100000000002</v>
          </cell>
          <cell r="J116">
            <v>297.72800000000001</v>
          </cell>
          <cell r="AB116">
            <v>38.324100000000001</v>
          </cell>
          <cell r="BC116">
            <v>45.300000000000004</v>
          </cell>
          <cell r="BD116">
            <v>39.832799999999999</v>
          </cell>
          <cell r="BE116">
            <v>101.2539</v>
          </cell>
        </row>
        <row r="117">
          <cell r="G117">
            <v>602.34400000000005</v>
          </cell>
          <cell r="H117">
            <v>90.475000000000009</v>
          </cell>
          <cell r="I117">
            <v>212.292</v>
          </cell>
          <cell r="J117">
            <v>299.577</v>
          </cell>
          <cell r="AB117">
            <v>38.698500000000003</v>
          </cell>
          <cell r="BC117">
            <v>45</v>
          </cell>
          <cell r="BD117">
            <v>39.687800000000003</v>
          </cell>
          <cell r="BE117">
            <v>100.63030000000001</v>
          </cell>
        </row>
        <row r="118">
          <cell r="G118">
            <v>604.18500000000006</v>
          </cell>
          <cell r="H118">
            <v>88.638000000000005</v>
          </cell>
          <cell r="I118">
            <v>214.60900000000001</v>
          </cell>
          <cell r="J118">
            <v>300.93700000000001</v>
          </cell>
          <cell r="AB118">
            <v>38.902799999999999</v>
          </cell>
          <cell r="BC118">
            <v>44.6</v>
          </cell>
          <cell r="BD118">
            <v>39.559899999999999</v>
          </cell>
          <cell r="BE118">
            <v>100.0565</v>
          </cell>
        </row>
        <row r="119">
          <cell r="G119">
            <v>611.43500000000006</v>
          </cell>
          <cell r="H119">
            <v>90.658000000000001</v>
          </cell>
          <cell r="I119">
            <v>217.334</v>
          </cell>
          <cell r="J119">
            <v>303.44299999999998</v>
          </cell>
          <cell r="AB119">
            <v>38.992200000000004</v>
          </cell>
          <cell r="BC119">
            <v>44.6</v>
          </cell>
          <cell r="BD119">
            <v>39.465200000000003</v>
          </cell>
          <cell r="BE119">
            <v>99.572100000000006</v>
          </cell>
        </row>
        <row r="120">
          <cell r="G120">
            <v>614.75099999999998</v>
          </cell>
          <cell r="H120">
            <v>92.588999999999999</v>
          </cell>
          <cell r="I120">
            <v>216.01900000000001</v>
          </cell>
          <cell r="J120">
            <v>306.14300000000003</v>
          </cell>
          <cell r="AB120">
            <v>38.983400000000003</v>
          </cell>
          <cell r="BC120">
            <v>44.6</v>
          </cell>
          <cell r="BD120">
            <v>39.385899999999999</v>
          </cell>
          <cell r="BE120">
            <v>99.131700000000009</v>
          </cell>
        </row>
        <row r="121">
          <cell r="G121">
            <v>620.05000000000007</v>
          </cell>
          <cell r="H121">
            <v>91.438000000000002</v>
          </cell>
          <cell r="I121">
            <v>219.191</v>
          </cell>
          <cell r="J121">
            <v>309.42</v>
          </cell>
          <cell r="AB121">
            <v>38.994900000000001</v>
          </cell>
          <cell r="BC121">
            <v>44.1</v>
          </cell>
          <cell r="BD121">
            <v>39.281800000000004</v>
          </cell>
          <cell r="BE121">
            <v>98.633300000000006</v>
          </cell>
        </row>
        <row r="122">
          <cell r="G122">
            <v>622.01900000000001</v>
          </cell>
          <cell r="H122">
            <v>90.662000000000006</v>
          </cell>
          <cell r="I122">
            <v>219.31200000000001</v>
          </cell>
          <cell r="J122">
            <v>312.04500000000002</v>
          </cell>
          <cell r="AB122">
            <v>38.627300000000005</v>
          </cell>
          <cell r="BC122">
            <v>43.800000000000004</v>
          </cell>
          <cell r="BD122">
            <v>39.138800000000003</v>
          </cell>
          <cell r="BE122">
            <v>98.042000000000002</v>
          </cell>
        </row>
        <row r="123">
          <cell r="G123">
            <v>624.31000000000006</v>
          </cell>
          <cell r="H123">
            <v>90.433000000000007</v>
          </cell>
          <cell r="I123">
            <v>220.72800000000001</v>
          </cell>
          <cell r="J123">
            <v>313.15000000000003</v>
          </cell>
          <cell r="AB123">
            <v>38.523600000000002</v>
          </cell>
          <cell r="BC123">
            <v>43.4</v>
          </cell>
          <cell r="BD123">
            <v>38.961100000000002</v>
          </cell>
          <cell r="BE123">
            <v>97.368700000000004</v>
          </cell>
        </row>
        <row r="124">
          <cell r="G124">
            <v>630.245</v>
          </cell>
          <cell r="H124">
            <v>89.302999999999997</v>
          </cell>
          <cell r="I124">
            <v>224.48099999999999</v>
          </cell>
          <cell r="J124">
            <v>316.46100000000001</v>
          </cell>
          <cell r="AB124">
            <v>37.810300000000005</v>
          </cell>
          <cell r="BC124">
            <v>42.800000000000004</v>
          </cell>
          <cell r="BD124">
            <v>38.761099999999999</v>
          </cell>
          <cell r="BE124">
            <v>96.6447</v>
          </cell>
        </row>
        <row r="125">
          <cell r="G125">
            <v>635.51099999999997</v>
          </cell>
          <cell r="H125">
            <v>90.983000000000004</v>
          </cell>
          <cell r="I125">
            <v>224.01900000000001</v>
          </cell>
          <cell r="J125">
            <v>320.51</v>
          </cell>
          <cell r="AB125">
            <v>37.785400000000003</v>
          </cell>
          <cell r="BC125">
            <v>42.4</v>
          </cell>
          <cell r="BD125">
            <v>38.581700000000005</v>
          </cell>
          <cell r="BE125">
            <v>95.976300000000009</v>
          </cell>
        </row>
        <row r="126">
          <cell r="G126">
            <v>633.85800000000006</v>
          </cell>
          <cell r="H126">
            <v>88.548000000000002</v>
          </cell>
          <cell r="I126">
            <v>224.95099999999999</v>
          </cell>
          <cell r="J126">
            <v>320.35899999999998</v>
          </cell>
          <cell r="AB126">
            <v>37.7363</v>
          </cell>
          <cell r="BC126">
            <v>42</v>
          </cell>
          <cell r="BD126">
            <v>38.445599999999999</v>
          </cell>
          <cell r="BE126">
            <v>95.419200000000004</v>
          </cell>
        </row>
        <row r="127">
          <cell r="G127">
            <v>637.57000000000005</v>
          </cell>
          <cell r="H127">
            <v>89.977000000000004</v>
          </cell>
          <cell r="I127">
            <v>224.67400000000001</v>
          </cell>
          <cell r="J127">
            <v>322.91899999999998</v>
          </cell>
          <cell r="AB127">
            <v>37.639299999999999</v>
          </cell>
          <cell r="BC127">
            <v>41.5</v>
          </cell>
          <cell r="BD127">
            <v>38.363900000000001</v>
          </cell>
          <cell r="BE127">
            <v>94.999400000000009</v>
          </cell>
        </row>
        <row r="128">
          <cell r="G128">
            <v>644</v>
          </cell>
          <cell r="H128">
            <v>91.158000000000001</v>
          </cell>
          <cell r="I128">
            <v>227.17500000000001</v>
          </cell>
          <cell r="J128">
            <v>325.66700000000003</v>
          </cell>
          <cell r="AB128">
            <v>37.595400000000005</v>
          </cell>
          <cell r="BC128">
            <v>41.800000000000004</v>
          </cell>
          <cell r="BD128">
            <v>38.359000000000002</v>
          </cell>
          <cell r="BE128">
            <v>94.771200000000007</v>
          </cell>
        </row>
        <row r="129">
          <cell r="G129">
            <v>647.85699999999997</v>
          </cell>
          <cell r="H129">
            <v>91.885000000000005</v>
          </cell>
          <cell r="I129">
            <v>227.79500000000002</v>
          </cell>
          <cell r="J129">
            <v>328.178</v>
          </cell>
          <cell r="AB129">
            <v>37.473800000000004</v>
          </cell>
          <cell r="BC129">
            <v>41.9</v>
          </cell>
          <cell r="BD129">
            <v>38.4253</v>
          </cell>
          <cell r="BE129">
            <v>94.718900000000005</v>
          </cell>
        </row>
        <row r="130">
          <cell r="G130">
            <v>650.07000000000005</v>
          </cell>
          <cell r="H130">
            <v>91.363</v>
          </cell>
          <cell r="I130">
            <v>228.31800000000001</v>
          </cell>
          <cell r="J130">
            <v>330.38900000000001</v>
          </cell>
          <cell r="AB130">
            <v>37.565800000000003</v>
          </cell>
          <cell r="BC130">
            <v>41.9</v>
          </cell>
          <cell r="BD130">
            <v>38.5381</v>
          </cell>
          <cell r="BE130">
            <v>94.780300000000011</v>
          </cell>
        </row>
        <row r="131">
          <cell r="G131">
            <v>654.51099999999997</v>
          </cell>
          <cell r="H131">
            <v>92.325000000000003</v>
          </cell>
          <cell r="I131">
            <v>229.13400000000001</v>
          </cell>
          <cell r="J131">
            <v>333.05200000000002</v>
          </cell>
          <cell r="AB131">
            <v>37.498800000000003</v>
          </cell>
          <cell r="BC131">
            <v>42</v>
          </cell>
          <cell r="BD131">
            <v>38.688400000000001</v>
          </cell>
          <cell r="BE131">
            <v>94.932200000000009</v>
          </cell>
        </row>
        <row r="132">
          <cell r="G132">
            <v>660.68000000000006</v>
          </cell>
          <cell r="H132">
            <v>92.344999999999999</v>
          </cell>
          <cell r="I132">
            <v>231.696</v>
          </cell>
          <cell r="J132">
            <v>336.63900000000001</v>
          </cell>
          <cell r="AB132">
            <v>37.240300000000005</v>
          </cell>
          <cell r="BC132">
            <v>42</v>
          </cell>
          <cell r="BD132">
            <v>38.895400000000002</v>
          </cell>
          <cell r="BE132">
            <v>95.220399999999998</v>
          </cell>
        </row>
        <row r="133">
          <cell r="G133">
            <v>659.93299999999999</v>
          </cell>
          <cell r="H133">
            <v>89.719000000000008</v>
          </cell>
          <cell r="I133">
            <v>232.53900000000002</v>
          </cell>
          <cell r="J133">
            <v>337.67500000000001</v>
          </cell>
          <cell r="AB133">
            <v>36.495400000000004</v>
          </cell>
          <cell r="BC133">
            <v>41.800000000000004</v>
          </cell>
          <cell r="BD133">
            <v>39.183199999999999</v>
          </cell>
          <cell r="BE133">
            <v>95.7029</v>
          </cell>
        </row>
        <row r="134">
          <cell r="G134">
            <v>658.18200000000002</v>
          </cell>
          <cell r="H134">
            <v>85.150999999999996</v>
          </cell>
          <cell r="I134">
            <v>233.46100000000001</v>
          </cell>
          <cell r="J134">
            <v>339.57</v>
          </cell>
          <cell r="AB134">
            <v>36.274300000000004</v>
          </cell>
          <cell r="BC134">
            <v>41.9</v>
          </cell>
          <cell r="BD134">
            <v>39.581299999999999</v>
          </cell>
          <cell r="BE134">
            <v>96.449600000000004</v>
          </cell>
        </row>
        <row r="135">
          <cell r="G135">
            <v>667.23300000000006</v>
          </cell>
          <cell r="H135">
            <v>87.102000000000004</v>
          </cell>
          <cell r="I135">
            <v>237.42699999999999</v>
          </cell>
          <cell r="J135">
            <v>342.70400000000001</v>
          </cell>
          <cell r="AB135">
            <v>37.107399999999998</v>
          </cell>
          <cell r="BC135">
            <v>42.800000000000004</v>
          </cell>
          <cell r="BD135">
            <v>40.075800000000001</v>
          </cell>
          <cell r="BE135">
            <v>97.424800000000005</v>
          </cell>
        </row>
        <row r="136">
          <cell r="G136">
            <v>677.77</v>
          </cell>
          <cell r="H136">
            <v>97.436000000000007</v>
          </cell>
          <cell r="I136">
            <v>236.30799999999999</v>
          </cell>
          <cell r="J136">
            <v>344.02699999999999</v>
          </cell>
          <cell r="AB136">
            <v>37.392800000000001</v>
          </cell>
          <cell r="BC136">
            <v>43.2</v>
          </cell>
          <cell r="BD136">
            <v>40.587800000000001</v>
          </cell>
          <cell r="BE136">
            <v>98.434700000000007</v>
          </cell>
        </row>
        <row r="137">
          <cell r="G137">
            <v>681.03</v>
          </cell>
          <cell r="H137">
            <v>97.168999999999997</v>
          </cell>
          <cell r="I137">
            <v>236.529</v>
          </cell>
          <cell r="J137">
            <v>347.33300000000003</v>
          </cell>
          <cell r="AB137">
            <v>37.321600000000004</v>
          </cell>
          <cell r="BC137">
            <v>43.7</v>
          </cell>
          <cell r="BD137">
            <v>41.043400000000005</v>
          </cell>
          <cell r="BE137">
            <v>99.300899999999999</v>
          </cell>
        </row>
        <row r="138">
          <cell r="G138">
            <v>683.625</v>
          </cell>
          <cell r="H138">
            <v>99.55</v>
          </cell>
          <cell r="I138">
            <v>234.64699999999999</v>
          </cell>
          <cell r="J138">
            <v>349.428</v>
          </cell>
          <cell r="AB138">
            <v>37.281100000000002</v>
          </cell>
          <cell r="BC138">
            <v>44.1</v>
          </cell>
          <cell r="BD138">
            <v>41.404600000000002</v>
          </cell>
          <cell r="BE138">
            <v>99.932500000000005</v>
          </cell>
        </row>
        <row r="139">
          <cell r="G139">
            <v>690.38400000000001</v>
          </cell>
          <cell r="H139">
            <v>100.291</v>
          </cell>
          <cell r="I139">
            <v>238.07400000000001</v>
          </cell>
          <cell r="J139">
            <v>352.01900000000001</v>
          </cell>
          <cell r="AB139">
            <v>37.490500000000004</v>
          </cell>
          <cell r="BC139">
            <v>44.4</v>
          </cell>
          <cell r="BD139">
            <v>41.668800000000005</v>
          </cell>
          <cell r="BE139">
            <v>100.3249</v>
          </cell>
        </row>
        <row r="140">
          <cell r="G140">
            <v>692.77</v>
          </cell>
          <cell r="H140">
            <v>99.649000000000001</v>
          </cell>
          <cell r="I140">
            <v>237.81300000000002</v>
          </cell>
          <cell r="J140">
            <v>355.30799999999999</v>
          </cell>
          <cell r="AB140">
            <v>37.680700000000002</v>
          </cell>
          <cell r="BC140">
            <v>44.7</v>
          </cell>
          <cell r="BD140">
            <v>41.846200000000003</v>
          </cell>
          <cell r="BE140">
            <v>100.504</v>
          </cell>
        </row>
        <row r="141">
          <cell r="G141">
            <v>701.42700000000002</v>
          </cell>
          <cell r="H141">
            <v>103.02500000000001</v>
          </cell>
          <cell r="I141">
            <v>240.607</v>
          </cell>
          <cell r="J141">
            <v>357.79399999999998</v>
          </cell>
          <cell r="AB141">
            <v>37.838799999999999</v>
          </cell>
          <cell r="BC141">
            <v>44.9</v>
          </cell>
          <cell r="BD141">
            <v>41.963100000000004</v>
          </cell>
          <cell r="BE141">
            <v>100.53490000000001</v>
          </cell>
        </row>
        <row r="142">
          <cell r="G142">
            <v>700.54100000000005</v>
          </cell>
          <cell r="H142">
            <v>101.068</v>
          </cell>
          <cell r="I142">
            <v>239.14600000000002</v>
          </cell>
          <cell r="J142">
            <v>360.32800000000003</v>
          </cell>
          <cell r="AB142">
            <v>37.728900000000003</v>
          </cell>
          <cell r="BC142">
            <v>45</v>
          </cell>
          <cell r="BD142">
            <v>42.058</v>
          </cell>
          <cell r="BE142">
            <v>100.51020000000001</v>
          </cell>
        </row>
        <row r="143">
          <cell r="G143">
            <v>706.59500000000003</v>
          </cell>
          <cell r="H143">
            <v>102.239</v>
          </cell>
          <cell r="I143">
            <v>240.33</v>
          </cell>
          <cell r="J143">
            <v>364.02699999999999</v>
          </cell>
          <cell r="AB143">
            <v>37.510000000000005</v>
          </cell>
          <cell r="BC143">
            <v>45.1</v>
          </cell>
          <cell r="BD143">
            <v>42.169499999999999</v>
          </cell>
          <cell r="BE143">
            <v>100.5227</v>
          </cell>
        </row>
        <row r="144">
          <cell r="G144">
            <v>714.70400000000006</v>
          </cell>
          <cell r="H144">
            <v>107.02</v>
          </cell>
          <cell r="I144">
            <v>241.797</v>
          </cell>
          <cell r="J144">
            <v>365.887</v>
          </cell>
          <cell r="AB144">
            <v>38.119599999999998</v>
          </cell>
          <cell r="BC144">
            <v>45.4</v>
          </cell>
          <cell r="BD144">
            <v>42.338000000000001</v>
          </cell>
          <cell r="BE144">
            <v>100.6679</v>
          </cell>
        </row>
        <row r="145">
          <cell r="G145">
            <v>717.57100000000003</v>
          </cell>
          <cell r="H145">
            <v>107.215</v>
          </cell>
          <cell r="I145">
            <v>241.23500000000001</v>
          </cell>
          <cell r="J145">
            <v>369.12</v>
          </cell>
          <cell r="AB145">
            <v>38.404900000000005</v>
          </cell>
          <cell r="BC145">
            <v>45.5</v>
          </cell>
          <cell r="BD145">
            <v>42.598700000000001</v>
          </cell>
          <cell r="BE145">
            <v>101.0282</v>
          </cell>
        </row>
        <row r="146">
          <cell r="G146">
            <v>722.70100000000002</v>
          </cell>
          <cell r="H146">
            <v>107.28400000000001</v>
          </cell>
          <cell r="I146">
            <v>243.965</v>
          </cell>
          <cell r="J146">
            <v>371.452</v>
          </cell>
          <cell r="AB146">
            <v>38.567900000000002</v>
          </cell>
          <cell r="BC146">
            <v>45.800000000000004</v>
          </cell>
          <cell r="BD146">
            <v>42.961100000000002</v>
          </cell>
          <cell r="BE146">
            <v>101.62520000000001</v>
          </cell>
        </row>
        <row r="147">
          <cell r="G147">
            <v>730.23300000000006</v>
          </cell>
          <cell r="H147">
            <v>107.405</v>
          </cell>
          <cell r="I147">
            <v>245.584</v>
          </cell>
          <cell r="J147">
            <v>377.24400000000003</v>
          </cell>
          <cell r="AB147">
            <v>39.013100000000001</v>
          </cell>
          <cell r="BC147">
            <v>46.5</v>
          </cell>
          <cell r="BD147">
            <v>43.4039</v>
          </cell>
          <cell r="BE147">
            <v>102.40700000000001</v>
          </cell>
        </row>
        <row r="148">
          <cell r="G148">
            <v>733.39300000000003</v>
          </cell>
          <cell r="H148">
            <v>110.526</v>
          </cell>
          <cell r="I148">
            <v>243.22900000000001</v>
          </cell>
          <cell r="J148">
            <v>379.63800000000003</v>
          </cell>
          <cell r="AB148">
            <v>39.950500000000005</v>
          </cell>
          <cell r="BC148">
            <v>47</v>
          </cell>
          <cell r="BD148">
            <v>43.855800000000002</v>
          </cell>
          <cell r="BE148">
            <v>103.2042</v>
          </cell>
        </row>
        <row r="149">
          <cell r="G149">
            <v>738.08900000000006</v>
          </cell>
          <cell r="H149">
            <v>109.285</v>
          </cell>
          <cell r="I149">
            <v>246.59700000000001</v>
          </cell>
          <cell r="J149">
            <v>382.20699999999999</v>
          </cell>
          <cell r="AB149">
            <v>40.3262</v>
          </cell>
          <cell r="BC149">
            <v>47.5</v>
          </cell>
          <cell r="BD149">
            <v>44.253800000000005</v>
          </cell>
          <cell r="BE149">
            <v>103.8699</v>
          </cell>
        </row>
        <row r="150">
          <cell r="G150">
            <v>751.15300000000002</v>
          </cell>
          <cell r="H150">
            <v>112.3</v>
          </cell>
          <cell r="I150">
            <v>251.29400000000001</v>
          </cell>
          <cell r="J150">
            <v>387.55900000000003</v>
          </cell>
          <cell r="AB150">
            <v>40.6295</v>
          </cell>
          <cell r="BC150">
            <v>47.800000000000004</v>
          </cell>
          <cell r="BD150">
            <v>44.571000000000005</v>
          </cell>
          <cell r="BE150">
            <v>104.3426</v>
          </cell>
        </row>
        <row r="151">
          <cell r="G151">
            <v>754.54600000000005</v>
          </cell>
          <cell r="H151">
            <v>112.85900000000001</v>
          </cell>
          <cell r="I151">
            <v>252.197</v>
          </cell>
          <cell r="J151">
            <v>389.49</v>
          </cell>
          <cell r="AB151">
            <v>41.043900000000001</v>
          </cell>
          <cell r="BC151">
            <v>47.9</v>
          </cell>
          <cell r="BD151">
            <v>44.824100000000001</v>
          </cell>
          <cell r="BE151">
            <v>104.6628</v>
          </cell>
        </row>
        <row r="152">
          <cell r="G152">
            <v>760.00300000000004</v>
          </cell>
          <cell r="H152">
            <v>114.52</v>
          </cell>
          <cell r="I152">
            <v>255.375</v>
          </cell>
          <cell r="J152">
            <v>390.108</v>
          </cell>
          <cell r="AB152">
            <v>41.027900000000002</v>
          </cell>
          <cell r="BC152">
            <v>48.1</v>
          </cell>
          <cell r="BD152">
            <v>45.044400000000003</v>
          </cell>
          <cell r="BE152">
            <v>104.90570000000001</v>
          </cell>
        </row>
        <row r="153">
          <cell r="G153">
            <v>763.66800000000001</v>
          </cell>
          <cell r="H153">
            <v>114.818</v>
          </cell>
          <cell r="I153">
            <v>255.334</v>
          </cell>
          <cell r="J153">
            <v>393.51499999999999</v>
          </cell>
          <cell r="AB153">
            <v>41.139099999999999</v>
          </cell>
          <cell r="BC153">
            <v>48.300000000000004</v>
          </cell>
          <cell r="BD153">
            <v>45.266000000000005</v>
          </cell>
          <cell r="BE153">
            <v>105.1508</v>
          </cell>
        </row>
        <row r="154">
          <cell r="G154">
            <v>772.02</v>
          </cell>
          <cell r="H154">
            <v>116.627</v>
          </cell>
          <cell r="I154">
            <v>257.98</v>
          </cell>
          <cell r="J154">
            <v>397.41300000000001</v>
          </cell>
          <cell r="AB154">
            <v>41.128100000000003</v>
          </cell>
          <cell r="BC154">
            <v>48.800000000000004</v>
          </cell>
          <cell r="BD154">
            <v>45.5212</v>
          </cell>
          <cell r="BE154">
            <v>105.4736</v>
          </cell>
        </row>
        <row r="155">
          <cell r="G155">
            <v>778.46900000000005</v>
          </cell>
          <cell r="H155">
            <v>118.261</v>
          </cell>
          <cell r="I155">
            <v>259.56700000000001</v>
          </cell>
          <cell r="J155">
            <v>400.64100000000002</v>
          </cell>
          <cell r="AB155">
            <v>41.668600000000005</v>
          </cell>
          <cell r="BC155">
            <v>49.5</v>
          </cell>
          <cell r="BD155">
            <v>45.825800000000001</v>
          </cell>
          <cell r="BE155">
            <v>105.91030000000001</v>
          </cell>
        </row>
        <row r="156">
          <cell r="G156">
            <v>783.303</v>
          </cell>
          <cell r="H156">
            <v>117.886</v>
          </cell>
          <cell r="I156">
            <v>262.70499999999998</v>
          </cell>
          <cell r="J156">
            <v>402.71199999999999</v>
          </cell>
          <cell r="AB156">
            <v>41.975900000000003</v>
          </cell>
          <cell r="BC156">
            <v>50</v>
          </cell>
          <cell r="BD156">
            <v>46.152999999999999</v>
          </cell>
          <cell r="BE156">
            <v>106.39880000000001</v>
          </cell>
        </row>
        <row r="157">
          <cell r="G157">
            <v>797.12599999999998</v>
          </cell>
          <cell r="H157">
            <v>122.044</v>
          </cell>
          <cell r="I157">
            <v>267.72899999999998</v>
          </cell>
          <cell r="J157">
            <v>407.35300000000001</v>
          </cell>
          <cell r="AB157">
            <v>42.556600000000003</v>
          </cell>
          <cell r="BC157">
            <v>50.4</v>
          </cell>
          <cell r="BD157">
            <v>46.4634</v>
          </cell>
          <cell r="BE157">
            <v>106.848</v>
          </cell>
        </row>
        <row r="158">
          <cell r="G158">
            <v>802.65700000000004</v>
          </cell>
          <cell r="H158">
            <v>123.39700000000001</v>
          </cell>
          <cell r="I158">
            <v>267.86799999999999</v>
          </cell>
          <cell r="J158">
            <v>411.392</v>
          </cell>
          <cell r="AB158">
            <v>43.053000000000004</v>
          </cell>
          <cell r="BC158">
            <v>50.7</v>
          </cell>
          <cell r="BD158">
            <v>46.730400000000003</v>
          </cell>
          <cell r="BE158">
            <v>107.19800000000001</v>
          </cell>
        </row>
        <row r="159">
          <cell r="G159">
            <v>808.34500000000003</v>
          </cell>
          <cell r="H159">
            <v>124.809</v>
          </cell>
          <cell r="I159">
            <v>268.57400000000001</v>
          </cell>
          <cell r="J159">
            <v>414.96199999999999</v>
          </cell>
          <cell r="AB159">
            <v>43.544699999999999</v>
          </cell>
          <cell r="BC159">
            <v>51.1</v>
          </cell>
          <cell r="BD159">
            <v>46.926100000000005</v>
          </cell>
          <cell r="BE159">
            <v>107.38590000000001</v>
          </cell>
        </row>
        <row r="160">
          <cell r="G160">
            <v>818.73699999999997</v>
          </cell>
          <cell r="H160">
            <v>129.28200000000001</v>
          </cell>
          <cell r="I160">
            <v>272.53199999999998</v>
          </cell>
          <cell r="J160">
            <v>416.923</v>
          </cell>
          <cell r="AB160">
            <v>43.841300000000004</v>
          </cell>
          <cell r="BC160">
            <v>51.300000000000004</v>
          </cell>
          <cell r="BD160">
            <v>47.030799999999999</v>
          </cell>
          <cell r="BE160">
            <v>107.3686</v>
          </cell>
        </row>
        <row r="161">
          <cell r="G161">
            <v>828.09699999999998</v>
          </cell>
          <cell r="H161">
            <v>131.85400000000001</v>
          </cell>
          <cell r="I161">
            <v>276.22800000000001</v>
          </cell>
          <cell r="J161">
            <v>420.01499999999999</v>
          </cell>
          <cell r="AB161">
            <v>44.505600000000001</v>
          </cell>
          <cell r="BC161">
            <v>51.4</v>
          </cell>
          <cell r="BD161">
            <v>47.034500000000001</v>
          </cell>
          <cell r="BE161">
            <v>107.1247</v>
          </cell>
        </row>
        <row r="162">
          <cell r="G162">
            <v>835.07799999999997</v>
          </cell>
          <cell r="H162">
            <v>134.29900000000001</v>
          </cell>
          <cell r="I162">
            <v>277.608</v>
          </cell>
          <cell r="J162">
            <v>423.17099999999999</v>
          </cell>
          <cell r="AB162">
            <v>44.5107</v>
          </cell>
          <cell r="BC162">
            <v>51</v>
          </cell>
          <cell r="BD162">
            <v>46.936199999999999</v>
          </cell>
          <cell r="BE162">
            <v>106.65400000000001</v>
          </cell>
        </row>
        <row r="163">
          <cell r="G163">
            <v>838.05600000000004</v>
          </cell>
          <cell r="H163">
            <v>132.48599999999999</v>
          </cell>
          <cell r="I163">
            <v>279.36400000000003</v>
          </cell>
          <cell r="J163">
            <v>426.20600000000002</v>
          </cell>
          <cell r="AB163">
            <v>44.431600000000003</v>
          </cell>
          <cell r="BC163">
            <v>50.6</v>
          </cell>
          <cell r="BD163">
            <v>46.747</v>
          </cell>
          <cell r="BE163">
            <v>105.9834</v>
          </cell>
        </row>
        <row r="164">
          <cell r="G164">
            <v>843.96400000000006</v>
          </cell>
          <cell r="H164">
            <v>133.27500000000001</v>
          </cell>
          <cell r="I164">
            <v>280.70999999999998</v>
          </cell>
          <cell r="J164">
            <v>429.97899999999998</v>
          </cell>
          <cell r="AB164">
            <v>44.720600000000005</v>
          </cell>
          <cell r="BC164">
            <v>50.5</v>
          </cell>
          <cell r="BD164">
            <v>46.505600000000001</v>
          </cell>
          <cell r="BE164">
            <v>105.20190000000001</v>
          </cell>
        </row>
        <row r="165">
          <cell r="G165">
            <v>846.70900000000006</v>
          </cell>
          <cell r="H165">
            <v>128.124</v>
          </cell>
          <cell r="I165">
            <v>284.08300000000003</v>
          </cell>
          <cell r="J165">
            <v>434.50200000000001</v>
          </cell>
          <cell r="AB165">
            <v>44.740400000000001</v>
          </cell>
          <cell r="BC165">
            <v>50.300000000000004</v>
          </cell>
          <cell r="BD165">
            <v>46.248699999999999</v>
          </cell>
          <cell r="BE165">
            <v>104.3927</v>
          </cell>
        </row>
        <row r="166">
          <cell r="G166">
            <v>856.57100000000003</v>
          </cell>
          <cell r="H166">
            <v>130.084</v>
          </cell>
          <cell r="I166">
            <v>289.94299999999998</v>
          </cell>
          <cell r="J166">
            <v>436.54399999999998</v>
          </cell>
          <cell r="AB166">
            <v>44.934400000000004</v>
          </cell>
          <cell r="BC166">
            <v>50</v>
          </cell>
          <cell r="BD166">
            <v>46.013600000000004</v>
          </cell>
          <cell r="BE166">
            <v>103.64</v>
          </cell>
        </row>
        <row r="167">
          <cell r="G167">
            <v>855.73599999999999</v>
          </cell>
          <cell r="H167">
            <v>128.625</v>
          </cell>
          <cell r="I167">
            <v>287.46500000000003</v>
          </cell>
          <cell r="J167">
            <v>439.64699999999999</v>
          </cell>
          <cell r="AB167">
            <v>44.8551</v>
          </cell>
          <cell r="BC167">
            <v>49.5</v>
          </cell>
          <cell r="BD167">
            <v>45.826900000000002</v>
          </cell>
          <cell r="BE167">
            <v>103.0034</v>
          </cell>
        </row>
        <row r="168">
          <cell r="G168">
            <v>871.75200000000007</v>
          </cell>
          <cell r="H168">
            <v>133.69200000000001</v>
          </cell>
          <cell r="I168">
            <v>292.34100000000001</v>
          </cell>
          <cell r="J168">
            <v>445.71899999999999</v>
          </cell>
          <cell r="AB168">
            <v>45.254000000000005</v>
          </cell>
          <cell r="BC168">
            <v>49.300000000000004</v>
          </cell>
          <cell r="BD168">
            <v>45.694200000000002</v>
          </cell>
          <cell r="BE168">
            <v>102.49390000000001</v>
          </cell>
        </row>
        <row r="169">
          <cell r="G169">
            <v>870.69</v>
          </cell>
          <cell r="H169">
            <v>129.28399999999999</v>
          </cell>
          <cell r="I169">
            <v>293.35000000000002</v>
          </cell>
          <cell r="J169">
            <v>448.05599999999998</v>
          </cell>
          <cell r="AB169">
            <v>45.57</v>
          </cell>
          <cell r="BC169">
            <v>49.2</v>
          </cell>
          <cell r="BD169">
            <v>45.6038</v>
          </cell>
          <cell r="BE169">
            <v>102.08500000000001</v>
          </cell>
        </row>
        <row r="170">
          <cell r="G170">
            <v>879.45600000000002</v>
          </cell>
          <cell r="H170">
            <v>129.07</v>
          </cell>
          <cell r="I170">
            <v>299.11500000000001</v>
          </cell>
          <cell r="J170">
            <v>451.27199999999999</v>
          </cell>
          <cell r="AB170">
            <v>45.792500000000004</v>
          </cell>
          <cell r="BC170">
            <v>49</v>
          </cell>
          <cell r="BD170">
            <v>45.525700000000001</v>
          </cell>
          <cell r="BE170">
            <v>101.70910000000001</v>
          </cell>
        </row>
        <row r="171">
          <cell r="G171">
            <v>879.26599999999996</v>
          </cell>
          <cell r="H171">
            <v>126.25</v>
          </cell>
          <cell r="I171">
            <v>300.56200000000001</v>
          </cell>
          <cell r="J171">
            <v>452.45400000000001</v>
          </cell>
          <cell r="AB171">
            <v>45.678200000000004</v>
          </cell>
          <cell r="BC171">
            <v>48</v>
          </cell>
          <cell r="BD171">
            <v>45.444900000000004</v>
          </cell>
          <cell r="BE171">
            <v>101.33250000000001</v>
          </cell>
        </row>
        <row r="172">
          <cell r="G172">
            <v>887.28100000000006</v>
          </cell>
          <cell r="H172">
            <v>126.697</v>
          </cell>
          <cell r="I172">
            <v>305.04500000000002</v>
          </cell>
          <cell r="J172">
            <v>455.53899999999999</v>
          </cell>
          <cell r="AB172">
            <v>45.354800000000004</v>
          </cell>
          <cell r="BC172">
            <v>47.7</v>
          </cell>
          <cell r="BD172">
            <v>45.372900000000001</v>
          </cell>
          <cell r="BE172">
            <v>100.9807</v>
          </cell>
        </row>
        <row r="173">
          <cell r="G173">
            <v>892.48199999999997</v>
          </cell>
          <cell r="H173">
            <v>124.78100000000001</v>
          </cell>
          <cell r="I173">
            <v>309.26</v>
          </cell>
          <cell r="J173">
            <v>458.44100000000003</v>
          </cell>
          <cell r="AB173">
            <v>45.229600000000005</v>
          </cell>
          <cell r="BC173">
            <v>47.1</v>
          </cell>
          <cell r="BD173">
            <v>45.280300000000004</v>
          </cell>
          <cell r="BE173">
            <v>100.5882</v>
          </cell>
        </row>
        <row r="174">
          <cell r="G174">
            <v>904.23199999999997</v>
          </cell>
          <cell r="H174">
            <v>128.47999999999999</v>
          </cell>
          <cell r="I174">
            <v>312.25400000000002</v>
          </cell>
          <cell r="J174">
            <v>463.49799999999999</v>
          </cell>
          <cell r="AB174">
            <v>45.2239</v>
          </cell>
          <cell r="BC174">
            <v>47.2</v>
          </cell>
          <cell r="BD174">
            <v>45.122600000000006</v>
          </cell>
          <cell r="BE174">
            <v>100.0556</v>
          </cell>
        </row>
        <row r="175">
          <cell r="G175">
            <v>913.60500000000002</v>
          </cell>
          <cell r="H175">
            <v>129.01900000000001</v>
          </cell>
          <cell r="I175">
            <v>315.245</v>
          </cell>
          <cell r="J175">
            <v>469.34100000000001</v>
          </cell>
          <cell r="AB175">
            <v>45.106700000000004</v>
          </cell>
          <cell r="BC175">
            <v>46.6</v>
          </cell>
          <cell r="BD175">
            <v>44.870800000000003</v>
          </cell>
          <cell r="BE175">
            <v>99.319500000000005</v>
          </cell>
        </row>
        <row r="176">
          <cell r="G176">
            <v>925.22400000000005</v>
          </cell>
          <cell r="H176">
            <v>131.96</v>
          </cell>
          <cell r="I176">
            <v>318.58499999999998</v>
          </cell>
          <cell r="J176">
            <v>474.67900000000003</v>
          </cell>
          <cell r="AB176">
            <v>45.432500000000005</v>
          </cell>
          <cell r="BC176">
            <v>46.300000000000004</v>
          </cell>
          <cell r="BD176">
            <v>44.524100000000004</v>
          </cell>
          <cell r="BE176">
            <v>98.378100000000003</v>
          </cell>
        </row>
        <row r="177">
          <cell r="G177">
            <v>930.79500000000007</v>
          </cell>
          <cell r="H177">
            <v>130.76900000000001</v>
          </cell>
          <cell r="I177">
            <v>320.221</v>
          </cell>
          <cell r="J177">
            <v>479.80500000000001</v>
          </cell>
          <cell r="AB177">
            <v>45.407900000000005</v>
          </cell>
          <cell r="BC177">
            <v>45.7</v>
          </cell>
          <cell r="BD177">
            <v>44.097300000000004</v>
          </cell>
          <cell r="BE177">
            <v>97.264900000000011</v>
          </cell>
        </row>
        <row r="178">
          <cell r="G178">
            <v>940.68299999999999</v>
          </cell>
          <cell r="H178">
            <v>133.39000000000001</v>
          </cell>
          <cell r="I178">
            <v>324.40199999999999</v>
          </cell>
          <cell r="J178">
            <v>482.89100000000002</v>
          </cell>
          <cell r="AB178">
            <v>45.4084</v>
          </cell>
          <cell r="BC178">
            <v>45.1</v>
          </cell>
          <cell r="BD178">
            <v>43.6036</v>
          </cell>
          <cell r="BE178">
            <v>96.009</v>
          </cell>
        </row>
        <row r="179">
          <cell r="G179">
            <v>957.54600000000005</v>
          </cell>
          <cell r="H179">
            <v>140.87299999999999</v>
          </cell>
          <cell r="I179">
            <v>328.74400000000003</v>
          </cell>
          <cell r="J179">
            <v>487.92900000000003</v>
          </cell>
          <cell r="AB179">
            <v>44.984900000000003</v>
          </cell>
          <cell r="BC179">
            <v>44.2</v>
          </cell>
          <cell r="BD179">
            <v>43.072200000000002</v>
          </cell>
          <cell r="BE179">
            <v>94.674400000000006</v>
          </cell>
        </row>
        <row r="180">
          <cell r="G180">
            <v>957.78600000000006</v>
          </cell>
          <cell r="H180">
            <v>134.71</v>
          </cell>
          <cell r="I180">
            <v>329.85599999999999</v>
          </cell>
          <cell r="J180">
            <v>493.22</v>
          </cell>
          <cell r="AB180">
            <v>45.023900000000005</v>
          </cell>
          <cell r="BC180">
            <v>43.1</v>
          </cell>
          <cell r="BD180">
            <v>42.528200000000005</v>
          </cell>
          <cell r="BE180">
            <v>93.316400000000002</v>
          </cell>
        </row>
        <row r="181">
          <cell r="G181">
            <v>961.97500000000002</v>
          </cell>
          <cell r="H181">
            <v>131.012</v>
          </cell>
          <cell r="I181">
            <v>331.50600000000003</v>
          </cell>
          <cell r="J181">
            <v>499.45600000000002</v>
          </cell>
          <cell r="AB181">
            <v>44.863500000000002</v>
          </cell>
          <cell r="BC181">
            <v>42.5</v>
          </cell>
          <cell r="BD181">
            <v>42.027200000000001</v>
          </cell>
          <cell r="BE181">
            <v>92.05680000000001</v>
          </cell>
        </row>
        <row r="182">
          <cell r="G182">
            <v>958.94500000000005</v>
          </cell>
          <cell r="H182">
            <v>125.393</v>
          </cell>
          <cell r="I182">
            <v>331.51600000000002</v>
          </cell>
          <cell r="J182">
            <v>502.03500000000003</v>
          </cell>
          <cell r="AB182">
            <v>43.386000000000003</v>
          </cell>
          <cell r="BC182">
            <v>41.7</v>
          </cell>
          <cell r="BD182">
            <v>41.620000000000005</v>
          </cell>
          <cell r="BE182">
            <v>91.005499999999998</v>
          </cell>
        </row>
        <row r="183">
          <cell r="G183">
            <v>964.59900000000005</v>
          </cell>
          <cell r="H183">
            <v>125.039</v>
          </cell>
          <cell r="I183">
            <v>329.702</v>
          </cell>
          <cell r="J183">
            <v>509.858</v>
          </cell>
          <cell r="AB183">
            <v>41.8506</v>
          </cell>
          <cell r="BC183">
            <v>41</v>
          </cell>
          <cell r="BD183">
            <v>41.372</v>
          </cell>
          <cell r="BE183">
            <v>90.303899999999999</v>
          </cell>
        </row>
        <row r="184">
          <cell r="G184">
            <v>978.41100000000006</v>
          </cell>
          <cell r="H184">
            <v>129.541</v>
          </cell>
          <cell r="I184">
            <v>334.44600000000003</v>
          </cell>
          <cell r="J184">
            <v>514.42399999999998</v>
          </cell>
          <cell r="AB184">
            <v>41.292900000000003</v>
          </cell>
          <cell r="BC184">
            <v>40.700000000000003</v>
          </cell>
          <cell r="BD184">
            <v>41.3461</v>
          </cell>
          <cell r="BE184">
            <v>90.086500000000001</v>
          </cell>
        </row>
        <row r="185">
          <cell r="G185">
            <v>992.26900000000001</v>
          </cell>
          <cell r="H185">
            <v>134.797</v>
          </cell>
          <cell r="I185">
            <v>336.06400000000002</v>
          </cell>
          <cell r="J185">
            <v>521.40800000000002</v>
          </cell>
          <cell r="AB185">
            <v>40.336800000000004</v>
          </cell>
          <cell r="BC185">
            <v>40.800000000000004</v>
          </cell>
          <cell r="BD185">
            <v>41.532400000000003</v>
          </cell>
          <cell r="BE185">
            <v>90.328900000000004</v>
          </cell>
        </row>
        <row r="186">
          <cell r="G186">
            <v>993.55899999999997</v>
          </cell>
          <cell r="H186">
            <v>131.023</v>
          </cell>
          <cell r="I186">
            <v>338.108</v>
          </cell>
          <cell r="J186">
            <v>524.42899999999997</v>
          </cell>
          <cell r="AB186">
            <v>39.914900000000003</v>
          </cell>
          <cell r="BC186">
            <v>41.1</v>
          </cell>
          <cell r="BD186">
            <v>41.907900000000005</v>
          </cell>
          <cell r="BE186">
            <v>90.978400000000008</v>
          </cell>
        </row>
        <row r="187">
          <cell r="G187">
            <v>998.18000000000006</v>
          </cell>
          <cell r="H187">
            <v>131.98099999999999</v>
          </cell>
          <cell r="I187">
            <v>336.21899999999999</v>
          </cell>
          <cell r="J187">
            <v>529.98</v>
          </cell>
          <cell r="AB187">
            <v>39.932300000000005</v>
          </cell>
          <cell r="BC187">
            <v>42</v>
          </cell>
          <cell r="BD187">
            <v>42.4345</v>
          </cell>
          <cell r="BE187">
            <v>91.949700000000007</v>
          </cell>
        </row>
        <row r="188">
          <cell r="G188">
            <v>1022.211</v>
          </cell>
          <cell r="H188">
            <v>138.125</v>
          </cell>
          <cell r="I188">
            <v>348.78199999999998</v>
          </cell>
          <cell r="J188">
            <v>535.30500000000006</v>
          </cell>
          <cell r="AB188">
            <v>39.845600000000005</v>
          </cell>
          <cell r="BC188">
            <v>42.6</v>
          </cell>
          <cell r="BD188">
            <v>43.044200000000004</v>
          </cell>
          <cell r="BE188">
            <v>93.093400000000003</v>
          </cell>
        </row>
        <row r="189">
          <cell r="G189">
            <v>1030.1479999999999</v>
          </cell>
          <cell r="H189">
            <v>139.97200000000001</v>
          </cell>
          <cell r="I189">
            <v>349.54599999999999</v>
          </cell>
          <cell r="J189">
            <v>540.63</v>
          </cell>
          <cell r="AB189">
            <v>40.123100000000001</v>
          </cell>
          <cell r="BC189">
            <v>43.1</v>
          </cell>
          <cell r="BD189">
            <v>43.6828</v>
          </cell>
          <cell r="BE189">
            <v>94.2911</v>
          </cell>
        </row>
        <row r="190">
          <cell r="G190">
            <v>1043.2180000000001</v>
          </cell>
          <cell r="H190">
            <v>144.99799999999999</v>
          </cell>
          <cell r="I190">
            <v>353.63400000000001</v>
          </cell>
          <cell r="J190">
            <v>544.58600000000001</v>
          </cell>
          <cell r="AB190">
            <v>40.550400000000003</v>
          </cell>
          <cell r="BC190">
            <v>43.800000000000004</v>
          </cell>
          <cell r="BD190">
            <v>44.316400000000002</v>
          </cell>
          <cell r="BE190">
            <v>95.468600000000009</v>
          </cell>
        </row>
        <row r="191">
          <cell r="G191">
            <v>1050.4110000000001</v>
          </cell>
          <cell r="H191">
            <v>145.423</v>
          </cell>
          <cell r="I191">
            <v>357.43600000000004</v>
          </cell>
          <cell r="J191">
            <v>547.55200000000002</v>
          </cell>
          <cell r="AB191">
            <v>40.910499999999999</v>
          </cell>
          <cell r="BC191">
            <v>44</v>
          </cell>
          <cell r="BD191">
            <v>44.909300000000002</v>
          </cell>
          <cell r="BE191">
            <v>96.548900000000003</v>
          </cell>
        </row>
        <row r="192">
          <cell r="G192">
            <v>1058.2560000000001</v>
          </cell>
          <cell r="H192">
            <v>149.94200000000001</v>
          </cell>
          <cell r="I192">
            <v>356.82299999999998</v>
          </cell>
          <cell r="J192">
            <v>551.49099999999999</v>
          </cell>
          <cell r="AB192">
            <v>41.427900000000001</v>
          </cell>
          <cell r="BC192">
            <v>44.300000000000004</v>
          </cell>
          <cell r="BD192">
            <v>45.455800000000004</v>
          </cell>
          <cell r="BE192">
            <v>97.520099999999999</v>
          </cell>
        </row>
        <row r="193">
          <cell r="G193">
            <v>1064.222</v>
          </cell>
          <cell r="H193">
            <v>147.982</v>
          </cell>
          <cell r="I193">
            <v>355.74799999999999</v>
          </cell>
          <cell r="J193">
            <v>560.49199999999996</v>
          </cell>
          <cell r="AB193">
            <v>41.589300000000001</v>
          </cell>
          <cell r="BC193">
            <v>44.7</v>
          </cell>
          <cell r="BD193">
            <v>45.971900000000005</v>
          </cell>
          <cell r="BE193">
            <v>98.416499999999999</v>
          </cell>
        </row>
        <row r="194">
          <cell r="G194">
            <v>1079.1100000000001</v>
          </cell>
          <cell r="H194">
            <v>153.24700000000001</v>
          </cell>
          <cell r="I194">
            <v>360.375</v>
          </cell>
          <cell r="J194">
            <v>565.48800000000006</v>
          </cell>
          <cell r="AB194">
            <v>41.698300000000003</v>
          </cell>
          <cell r="BC194">
            <v>45</v>
          </cell>
          <cell r="BD194">
            <v>46.471700000000006</v>
          </cell>
          <cell r="BE194">
            <v>99.26870000000001</v>
          </cell>
        </row>
        <row r="195">
          <cell r="G195">
            <v>1095.431</v>
          </cell>
          <cell r="H195">
            <v>158.946</v>
          </cell>
          <cell r="I195">
            <v>362.85500000000002</v>
          </cell>
          <cell r="J195">
            <v>573.63</v>
          </cell>
          <cell r="AB195">
            <v>42.218200000000003</v>
          </cell>
          <cell r="BC195">
            <v>45.2</v>
          </cell>
          <cell r="BD195">
            <v>46.964300000000001</v>
          </cell>
          <cell r="BE195">
            <v>100.0968</v>
          </cell>
        </row>
        <row r="196">
          <cell r="G196">
            <v>1110.587</v>
          </cell>
          <cell r="H196">
            <v>161.221</v>
          </cell>
          <cell r="I196">
            <v>369.27</v>
          </cell>
          <cell r="J196">
            <v>580.096</v>
          </cell>
          <cell r="N196">
            <v>12.814</v>
          </cell>
          <cell r="AB196">
            <v>42.836500000000001</v>
          </cell>
          <cell r="BC196">
            <v>46.2</v>
          </cell>
          <cell r="BD196">
            <v>47.439399999999999</v>
          </cell>
          <cell r="BE196">
            <v>100.8784</v>
          </cell>
        </row>
        <row r="197">
          <cell r="G197">
            <v>1111.1690000000001</v>
          </cell>
          <cell r="H197">
            <v>164.16</v>
          </cell>
          <cell r="I197">
            <v>366.00900000000001</v>
          </cell>
          <cell r="J197">
            <v>581</v>
          </cell>
          <cell r="N197">
            <v>13.34</v>
          </cell>
          <cell r="AB197">
            <v>43.2438</v>
          </cell>
          <cell r="BC197">
            <v>47</v>
          </cell>
          <cell r="BD197">
            <v>47.849700000000006</v>
          </cell>
          <cell r="BE197">
            <v>101.51400000000001</v>
          </cell>
        </row>
        <row r="198">
          <cell r="G198">
            <v>1118.373</v>
          </cell>
          <cell r="H198">
            <v>164.511</v>
          </cell>
          <cell r="I198">
            <v>367.029</v>
          </cell>
          <cell r="J198">
            <v>586.83299999999997</v>
          </cell>
          <cell r="N198">
            <v>13.378</v>
          </cell>
          <cell r="AB198">
            <v>43.288800000000002</v>
          </cell>
          <cell r="BC198">
            <v>47.2</v>
          </cell>
          <cell r="BD198">
            <v>48.153300000000002</v>
          </cell>
          <cell r="BE198">
            <v>101.91590000000001</v>
          </cell>
        </row>
        <row r="199">
          <cell r="G199">
            <v>1128.9110000000001</v>
          </cell>
          <cell r="H199">
            <v>167.62200000000001</v>
          </cell>
          <cell r="I199">
            <v>371.25900000000001</v>
          </cell>
          <cell r="J199">
            <v>590.03</v>
          </cell>
          <cell r="N199">
            <v>13.223000000000001</v>
          </cell>
          <cell r="AB199">
            <v>43.538000000000004</v>
          </cell>
          <cell r="BC199">
            <v>47.300000000000004</v>
          </cell>
          <cell r="BD199">
            <v>48.363600000000005</v>
          </cell>
          <cell r="BE199">
            <v>102.11410000000001</v>
          </cell>
        </row>
        <row r="200">
          <cell r="G200">
            <v>1126.1980000000001</v>
          </cell>
          <cell r="H200">
            <v>162.19400000000002</v>
          </cell>
          <cell r="I200">
            <v>370.38</v>
          </cell>
          <cell r="J200">
            <v>593.62400000000002</v>
          </cell>
          <cell r="N200">
            <v>12.962</v>
          </cell>
          <cell r="AB200">
            <v>43.742899999999999</v>
          </cell>
          <cell r="BC200">
            <v>47.7</v>
          </cell>
          <cell r="BD200">
            <v>48.503900000000002</v>
          </cell>
          <cell r="BE200">
            <v>102.1593</v>
          </cell>
        </row>
        <row r="201">
          <cell r="G201">
            <v>1144.02</v>
          </cell>
          <cell r="H201">
            <v>167.88300000000001</v>
          </cell>
          <cell r="I201">
            <v>377.57</v>
          </cell>
          <cell r="J201">
            <v>598.56700000000001</v>
          </cell>
          <cell r="N201">
            <v>13.051</v>
          </cell>
          <cell r="AB201">
            <v>43.745800000000003</v>
          </cell>
          <cell r="BC201">
            <v>47.800000000000004</v>
          </cell>
          <cell r="BD201">
            <v>48.602900000000005</v>
          </cell>
          <cell r="BE201">
            <v>102.11320000000001</v>
          </cell>
        </row>
        <row r="202">
          <cell r="G202">
            <v>1153.1479999999999</v>
          </cell>
          <cell r="H202">
            <v>169.69200000000001</v>
          </cell>
          <cell r="I202">
            <v>377.92700000000002</v>
          </cell>
          <cell r="J202">
            <v>605.52800000000002</v>
          </cell>
          <cell r="N202">
            <v>13.466000000000001</v>
          </cell>
          <cell r="AB202">
            <v>43.997900000000001</v>
          </cell>
          <cell r="BC202">
            <v>48.2</v>
          </cell>
          <cell r="BD202">
            <v>48.687200000000004</v>
          </cell>
          <cell r="BE202">
            <v>102.0325</v>
          </cell>
        </row>
        <row r="203">
          <cell r="G203">
            <v>1161.5989999999999</v>
          </cell>
          <cell r="H203">
            <v>168.68899999999999</v>
          </cell>
          <cell r="I203">
            <v>380.95</v>
          </cell>
          <cell r="J203">
            <v>611.96100000000001</v>
          </cell>
          <cell r="N203">
            <v>12.952999999999999</v>
          </cell>
          <cell r="AB203">
            <v>44.302900000000001</v>
          </cell>
          <cell r="BC203">
            <v>48.5</v>
          </cell>
          <cell r="BD203">
            <v>48.776700000000005</v>
          </cell>
          <cell r="BE203">
            <v>101.95910000000001</v>
          </cell>
        </row>
        <row r="204">
          <cell r="G204">
            <v>1172.5350000000001</v>
          </cell>
          <cell r="H204">
            <v>171.15200000000002</v>
          </cell>
          <cell r="I204">
            <v>382.947</v>
          </cell>
          <cell r="J204">
            <v>618.43500000000006</v>
          </cell>
          <cell r="N204">
            <v>13.61</v>
          </cell>
          <cell r="AB204">
            <v>44.431699999999999</v>
          </cell>
          <cell r="BC204">
            <v>48.800000000000004</v>
          </cell>
          <cell r="BD204">
            <v>48.889800000000001</v>
          </cell>
          <cell r="BE204">
            <v>101.932</v>
          </cell>
        </row>
        <row r="205">
          <cell r="G205">
            <v>1180.5720000000001</v>
          </cell>
          <cell r="H205">
            <v>170.91300000000001</v>
          </cell>
          <cell r="I205">
            <v>387.346</v>
          </cell>
          <cell r="J205">
            <v>622.31299999999999</v>
          </cell>
          <cell r="N205">
            <v>12.823</v>
          </cell>
          <cell r="AB205">
            <v>44.4651</v>
          </cell>
          <cell r="BC205">
            <v>48.800000000000004</v>
          </cell>
          <cell r="BD205">
            <v>49.0411</v>
          </cell>
          <cell r="BE205">
            <v>101.98100000000001</v>
          </cell>
        </row>
        <row r="206">
          <cell r="G206">
            <v>1192.7540000000001</v>
          </cell>
          <cell r="H206">
            <v>173.245</v>
          </cell>
          <cell r="I206">
            <v>388.23500000000001</v>
          </cell>
          <cell r="J206">
            <v>631.274</v>
          </cell>
          <cell r="N206">
            <v>13.332000000000001</v>
          </cell>
          <cell r="AB206">
            <v>45.1233</v>
          </cell>
          <cell r="BC206">
            <v>49.2</v>
          </cell>
          <cell r="BD206">
            <v>49.257300000000001</v>
          </cell>
          <cell r="BE206">
            <v>102.16160000000001</v>
          </cell>
        </row>
        <row r="207">
          <cell r="G207">
            <v>1215.1859999999999</v>
          </cell>
          <cell r="H207">
            <v>182.209</v>
          </cell>
          <cell r="I207">
            <v>393.24099999999999</v>
          </cell>
          <cell r="J207">
            <v>639.73599999999999</v>
          </cell>
          <cell r="N207">
            <v>14.527000000000001</v>
          </cell>
          <cell r="AB207">
            <v>45.581000000000003</v>
          </cell>
          <cell r="BC207">
            <v>49.800000000000004</v>
          </cell>
          <cell r="BD207">
            <v>49.538400000000003</v>
          </cell>
          <cell r="BE207">
            <v>102.47280000000001</v>
          </cell>
        </row>
        <row r="208">
          <cell r="G208">
            <v>1218.472</v>
          </cell>
          <cell r="H208">
            <v>177.81</v>
          </cell>
          <cell r="I208">
            <v>394.50600000000003</v>
          </cell>
          <cell r="J208">
            <v>646.15600000000006</v>
          </cell>
          <cell r="N208">
            <v>14.396000000000001</v>
          </cell>
          <cell r="AB208">
            <v>45.317100000000003</v>
          </cell>
          <cell r="BC208">
            <v>49.7</v>
          </cell>
          <cell r="BD208">
            <v>49.856700000000004</v>
          </cell>
          <cell r="BE208">
            <v>102.857</v>
          </cell>
        </row>
        <row r="209">
          <cell r="G209">
            <v>1234.7450000000001</v>
          </cell>
          <cell r="H209">
            <v>184.06</v>
          </cell>
          <cell r="I209">
            <v>397.74900000000002</v>
          </cell>
          <cell r="J209">
            <v>652.93500000000006</v>
          </cell>
          <cell r="N209">
            <v>14.709</v>
          </cell>
          <cell r="AB209">
            <v>45.988900000000001</v>
          </cell>
          <cell r="BC209">
            <v>50.2</v>
          </cell>
          <cell r="BD209">
            <v>50.197600000000001</v>
          </cell>
          <cell r="BE209">
            <v>103.2843</v>
          </cell>
        </row>
        <row r="210">
          <cell r="G210">
            <v>1241.7740000000001</v>
          </cell>
          <cell r="H210">
            <v>189.923</v>
          </cell>
          <cell r="I210">
            <v>397.14600000000002</v>
          </cell>
          <cell r="J210">
            <v>654.70500000000004</v>
          </cell>
          <cell r="N210">
            <v>15.17</v>
          </cell>
          <cell r="AB210">
            <v>46.560300000000005</v>
          </cell>
          <cell r="BC210">
            <v>50.6</v>
          </cell>
          <cell r="BD210">
            <v>50.515800000000006</v>
          </cell>
          <cell r="BE210">
            <v>103.66160000000001</v>
          </cell>
        </row>
        <row r="211">
          <cell r="G211">
            <v>1250.848</v>
          </cell>
          <cell r="H211">
            <v>188.852</v>
          </cell>
          <cell r="I211">
            <v>402.05</v>
          </cell>
          <cell r="J211">
            <v>659.94500000000005</v>
          </cell>
          <cell r="N211">
            <v>15.135</v>
          </cell>
          <cell r="AB211">
            <v>47.011800000000001</v>
          </cell>
          <cell r="BC211">
            <v>50.800000000000004</v>
          </cell>
          <cell r="BD211">
            <v>50.768100000000004</v>
          </cell>
          <cell r="BE211">
            <v>103.90140000000001</v>
          </cell>
        </row>
        <row r="212">
          <cell r="G212">
            <v>1260.758</v>
          </cell>
          <cell r="H212">
            <v>188.57900000000001</v>
          </cell>
          <cell r="I212">
            <v>404.62</v>
          </cell>
          <cell r="J212">
            <v>667.55799999999999</v>
          </cell>
          <cell r="N212">
            <v>14.984</v>
          </cell>
          <cell r="AB212">
            <v>47.403200000000005</v>
          </cell>
          <cell r="BC212">
            <v>51</v>
          </cell>
          <cell r="BD212">
            <v>50.953300000000006</v>
          </cell>
          <cell r="BE212">
            <v>104.00320000000001</v>
          </cell>
        </row>
        <row r="213">
          <cell r="G213">
            <v>1267.3920000000001</v>
          </cell>
          <cell r="H213">
            <v>190.238</v>
          </cell>
          <cell r="I213">
            <v>404.44</v>
          </cell>
          <cell r="J213">
            <v>672.71299999999997</v>
          </cell>
          <cell r="N213">
            <v>14.952</v>
          </cell>
          <cell r="AB213">
            <v>47.757000000000005</v>
          </cell>
          <cell r="BC213">
            <v>51.300000000000004</v>
          </cell>
          <cell r="BD213">
            <v>51.073</v>
          </cell>
          <cell r="BE213">
            <v>103.97150000000001</v>
          </cell>
        </row>
        <row r="214">
          <cell r="G214">
            <v>1284.3589999999999</v>
          </cell>
          <cell r="H214">
            <v>191.71700000000001</v>
          </cell>
          <cell r="I214">
            <v>409.83100000000002</v>
          </cell>
          <cell r="J214">
            <v>682.81200000000001</v>
          </cell>
          <cell r="N214">
            <v>14.641</v>
          </cell>
          <cell r="AB214">
            <v>47.828700000000005</v>
          </cell>
          <cell r="BC214">
            <v>51.300000000000004</v>
          </cell>
          <cell r="BD214">
            <v>51.141800000000003</v>
          </cell>
          <cell r="BE214">
            <v>103.83760000000001</v>
          </cell>
        </row>
        <row r="215">
          <cell r="G215">
            <v>1289.653</v>
          </cell>
          <cell r="H215">
            <v>194.20500000000001</v>
          </cell>
          <cell r="I215">
            <v>408.97200000000004</v>
          </cell>
          <cell r="J215">
            <v>686.476</v>
          </cell>
          <cell r="N215">
            <v>14.859</v>
          </cell>
          <cell r="AB215">
            <v>47.850200000000001</v>
          </cell>
          <cell r="BC215">
            <v>51.4</v>
          </cell>
          <cell r="BD215">
            <v>51.174400000000006</v>
          </cell>
          <cell r="BE215">
            <v>103.63250000000001</v>
          </cell>
        </row>
        <row r="216">
          <cell r="G216">
            <v>1298.5989999999999</v>
          </cell>
          <cell r="H216">
            <v>196.05500000000001</v>
          </cell>
          <cell r="I216">
            <v>410.92599999999999</v>
          </cell>
          <cell r="J216">
            <v>691.61800000000005</v>
          </cell>
          <cell r="N216">
            <v>14.65</v>
          </cell>
          <cell r="AB216">
            <v>48.074000000000005</v>
          </cell>
          <cell r="BC216">
            <v>51.5</v>
          </cell>
          <cell r="BD216">
            <v>51.199800000000003</v>
          </cell>
          <cell r="BE216">
            <v>103.4157</v>
          </cell>
        </row>
        <row r="217">
          <cell r="G217">
            <v>1315.527</v>
          </cell>
          <cell r="H217">
            <v>197.12800000000001</v>
          </cell>
          <cell r="I217">
            <v>418.77600000000001</v>
          </cell>
          <cell r="J217">
            <v>699.62300000000005</v>
          </cell>
          <cell r="N217">
            <v>14.9</v>
          </cell>
          <cell r="AB217">
            <v>48.2029</v>
          </cell>
          <cell r="BC217">
            <v>51.5</v>
          </cell>
          <cell r="BD217">
            <v>51.235900000000001</v>
          </cell>
          <cell r="BE217">
            <v>103.22370000000001</v>
          </cell>
        </row>
        <row r="218">
          <cell r="G218">
            <v>1331.2570000000001</v>
          </cell>
          <cell r="H218">
            <v>200.81300000000002</v>
          </cell>
          <cell r="I218">
            <v>426.45699999999999</v>
          </cell>
          <cell r="J218">
            <v>703.98800000000006</v>
          </cell>
          <cell r="N218">
            <v>14.798999999999999</v>
          </cell>
          <cell r="AB218">
            <v>48.218299999999999</v>
          </cell>
          <cell r="BC218">
            <v>51.6</v>
          </cell>
          <cell r="BD218">
            <v>51.280100000000004</v>
          </cell>
          <cell r="BE218">
            <v>103.05130000000001</v>
          </cell>
        </row>
        <row r="219">
          <cell r="G219">
            <v>1340.5150000000001</v>
          </cell>
          <cell r="H219">
            <v>204.178</v>
          </cell>
          <cell r="I219">
            <v>425.57800000000003</v>
          </cell>
          <cell r="J219">
            <v>710.75900000000001</v>
          </cell>
          <cell r="N219">
            <v>15.175000000000001</v>
          </cell>
          <cell r="AB219">
            <v>48.275800000000004</v>
          </cell>
          <cell r="BC219">
            <v>51.7</v>
          </cell>
          <cell r="BD219">
            <v>51.341000000000001</v>
          </cell>
          <cell r="BE219">
            <v>102.9165</v>
          </cell>
        </row>
        <row r="220">
          <cell r="G220">
            <v>1334.31</v>
          </cell>
          <cell r="H220">
            <v>191.238</v>
          </cell>
          <cell r="I220">
            <v>424.20600000000002</v>
          </cell>
          <cell r="J220">
            <v>718.86599999999999</v>
          </cell>
          <cell r="N220">
            <v>13.704000000000001</v>
          </cell>
          <cell r="AB220">
            <v>47.621400000000001</v>
          </cell>
          <cell r="BC220">
            <v>51.1</v>
          </cell>
          <cell r="BD220">
            <v>51.437400000000004</v>
          </cell>
          <cell r="BE220">
            <v>102.8566</v>
          </cell>
        </row>
        <row r="221">
          <cell r="G221">
            <v>1360.173</v>
          </cell>
          <cell r="H221">
            <v>198.523</v>
          </cell>
          <cell r="I221">
            <v>431.21699999999998</v>
          </cell>
          <cell r="J221">
            <v>730.43299999999999</v>
          </cell>
          <cell r="N221">
            <v>14.363</v>
          </cell>
          <cell r="AB221">
            <v>47.868100000000005</v>
          </cell>
          <cell r="BC221">
            <v>51.5</v>
          </cell>
          <cell r="BD221">
            <v>51.601400000000005</v>
          </cell>
          <cell r="BE221">
            <v>102.93600000000001</v>
          </cell>
        </row>
        <row r="222">
          <cell r="G222">
            <v>1382.74</v>
          </cell>
          <cell r="H222">
            <v>204.74299999999999</v>
          </cell>
          <cell r="I222">
            <v>437.79700000000003</v>
          </cell>
          <cell r="J222">
            <v>740.19900000000007</v>
          </cell>
          <cell r="N222">
            <v>15.166</v>
          </cell>
          <cell r="AB222">
            <v>48.783300000000004</v>
          </cell>
          <cell r="BC222">
            <v>51.6</v>
          </cell>
          <cell r="BD222">
            <v>51.868400000000001</v>
          </cell>
          <cell r="BE222">
            <v>103.22450000000001</v>
          </cell>
        </row>
        <row r="223">
          <cell r="G223">
            <v>1401.616</v>
          </cell>
          <cell r="H223">
            <v>213.489</v>
          </cell>
          <cell r="I223">
            <v>438.81900000000002</v>
          </cell>
          <cell r="J223">
            <v>749.30799999999999</v>
          </cell>
          <cell r="N223">
            <v>16.198</v>
          </cell>
          <cell r="AB223">
            <v>49.7483</v>
          </cell>
          <cell r="BC223">
            <v>52.1</v>
          </cell>
          <cell r="BD223">
            <v>52.191200000000002</v>
          </cell>
          <cell r="BE223">
            <v>103.62690000000001</v>
          </cell>
        </row>
        <row r="224">
          <cell r="G224">
            <v>1417.2860000000001</v>
          </cell>
          <cell r="H224">
            <v>216.96899999999999</v>
          </cell>
          <cell r="I224">
            <v>445.71800000000002</v>
          </cell>
          <cell r="J224">
            <v>754.59900000000005</v>
          </cell>
          <cell r="N224">
            <v>16.298000000000002</v>
          </cell>
          <cell r="AB224">
            <v>49.935200000000002</v>
          </cell>
          <cell r="BC224">
            <v>52.2</v>
          </cell>
          <cell r="BD224">
            <v>52.505400000000002</v>
          </cell>
          <cell r="BE224">
            <v>104.01570000000001</v>
          </cell>
        </row>
        <row r="225">
          <cell r="G225">
            <v>1431.2190000000001</v>
          </cell>
          <cell r="H225">
            <v>218.10300000000001</v>
          </cell>
          <cell r="I225">
            <v>449.899</v>
          </cell>
          <cell r="J225">
            <v>763.21699999999998</v>
          </cell>
          <cell r="N225">
            <v>16.347999999999999</v>
          </cell>
          <cell r="AB225">
            <v>50.282299999999999</v>
          </cell>
          <cell r="BC225">
            <v>52.4</v>
          </cell>
          <cell r="BD225">
            <v>52.765900000000002</v>
          </cell>
          <cell r="BE225">
            <v>104.30210000000001</v>
          </cell>
        </row>
        <row r="226">
          <cell r="G226">
            <v>1432.277</v>
          </cell>
          <cell r="H226">
            <v>215.25200000000001</v>
          </cell>
          <cell r="I226">
            <v>450.72800000000001</v>
          </cell>
          <cell r="J226">
            <v>766.29700000000003</v>
          </cell>
          <cell r="N226">
            <v>15.528</v>
          </cell>
          <cell r="AB226">
            <v>50.264200000000002</v>
          </cell>
          <cell r="BC226">
            <v>52.2</v>
          </cell>
          <cell r="BD226">
            <v>52.947100000000006</v>
          </cell>
          <cell r="BE226">
            <v>104.43700000000001</v>
          </cell>
        </row>
        <row r="227">
          <cell r="G227">
            <v>1452.473</v>
          </cell>
          <cell r="H227">
            <v>221.84700000000001</v>
          </cell>
          <cell r="I227">
            <v>454.30500000000001</v>
          </cell>
          <cell r="J227">
            <v>776.32100000000003</v>
          </cell>
          <cell r="N227">
            <v>16.045000000000002</v>
          </cell>
          <cell r="AB227">
            <v>50.458500000000001</v>
          </cell>
          <cell r="BC227">
            <v>52.300000000000004</v>
          </cell>
          <cell r="BD227">
            <v>53.038000000000004</v>
          </cell>
          <cell r="BE227">
            <v>104.3999</v>
          </cell>
        </row>
        <row r="228">
          <cell r="G228">
            <v>1458.453</v>
          </cell>
          <cell r="H228">
            <v>213.12100000000001</v>
          </cell>
          <cell r="I228">
            <v>461.82800000000003</v>
          </cell>
          <cell r="J228">
            <v>783.50400000000002</v>
          </cell>
          <cell r="N228">
            <v>14.641</v>
          </cell>
          <cell r="AB228">
            <v>50.595200000000006</v>
          </cell>
          <cell r="BC228">
            <v>52.5</v>
          </cell>
          <cell r="BD228">
            <v>53.045100000000005</v>
          </cell>
          <cell r="BE228">
            <v>104.2051</v>
          </cell>
        </row>
        <row r="229">
          <cell r="G229">
            <v>1472.55</v>
          </cell>
          <cell r="H229">
            <v>220.33</v>
          </cell>
          <cell r="I229">
            <v>461.863</v>
          </cell>
          <cell r="J229">
            <v>790.35699999999997</v>
          </cell>
          <cell r="N229">
            <v>15.845000000000001</v>
          </cell>
          <cell r="AB229">
            <v>51.014700000000005</v>
          </cell>
          <cell r="BC229">
            <v>52.7</v>
          </cell>
          <cell r="BD229">
            <v>52.975300000000004</v>
          </cell>
          <cell r="BE229">
            <v>103.86710000000001</v>
          </cell>
        </row>
        <row r="230">
          <cell r="G230">
            <v>1486.239</v>
          </cell>
          <cell r="H230">
            <v>222.327</v>
          </cell>
          <cell r="I230">
            <v>469.45300000000003</v>
          </cell>
          <cell r="J230">
            <v>794.46</v>
          </cell>
          <cell r="N230">
            <v>15.484</v>
          </cell>
          <cell r="AB230">
            <v>51.377600000000001</v>
          </cell>
          <cell r="BC230">
            <v>52.1</v>
          </cell>
          <cell r="BD230">
            <v>52.848200000000006</v>
          </cell>
          <cell r="BE230">
            <v>103.42530000000001</v>
          </cell>
        </row>
        <row r="231">
          <cell r="G231">
            <v>1502.104</v>
          </cell>
          <cell r="H231">
            <v>224.239</v>
          </cell>
          <cell r="I231">
            <v>476.78500000000003</v>
          </cell>
          <cell r="J231">
            <v>801.08</v>
          </cell>
          <cell r="N231">
            <v>15.338000000000001</v>
          </cell>
          <cell r="AB231">
            <v>51.6708</v>
          </cell>
          <cell r="BC231">
            <v>51.7</v>
          </cell>
          <cell r="BD231">
            <v>52.700400000000002</v>
          </cell>
          <cell r="BE231">
            <v>102.9516</v>
          </cell>
        </row>
        <row r="232">
          <cell r="G232">
            <v>1507.894</v>
          </cell>
          <cell r="H232">
            <v>220.54300000000001</v>
          </cell>
          <cell r="I232">
            <v>478.94100000000003</v>
          </cell>
          <cell r="J232">
            <v>808.41100000000006</v>
          </cell>
          <cell r="N232">
            <v>15.061</v>
          </cell>
          <cell r="AB232">
            <v>51.323100000000004</v>
          </cell>
          <cell r="BC232">
            <v>51.6</v>
          </cell>
          <cell r="BD232">
            <v>52.574200000000005</v>
          </cell>
          <cell r="BE232">
            <v>102.5284</v>
          </cell>
        </row>
        <row r="233">
          <cell r="G233">
            <v>1523.2440000000001</v>
          </cell>
          <cell r="H233">
            <v>223.98400000000001</v>
          </cell>
          <cell r="I233">
            <v>484.32900000000001</v>
          </cell>
          <cell r="J233">
            <v>814.93200000000002</v>
          </cell>
          <cell r="N233">
            <v>15.321</v>
          </cell>
          <cell r="AB233">
            <v>51.617200000000004</v>
          </cell>
          <cell r="BC233">
            <v>51.6</v>
          </cell>
          <cell r="BD233">
            <v>52.479400000000005</v>
          </cell>
          <cell r="BE233">
            <v>102.1752</v>
          </cell>
        </row>
        <row r="234">
          <cell r="G234">
            <v>1536.607</v>
          </cell>
          <cell r="H234">
            <v>225.30700000000002</v>
          </cell>
          <cell r="I234">
            <v>490.50200000000001</v>
          </cell>
          <cell r="J234">
            <v>820.798</v>
          </cell>
          <cell r="N234">
            <v>15.275</v>
          </cell>
          <cell r="AB234">
            <v>51.780100000000004</v>
          </cell>
          <cell r="BC234">
            <v>51.800000000000004</v>
          </cell>
          <cell r="BD234">
            <v>52.394400000000005</v>
          </cell>
          <cell r="BE234">
            <v>101.8497</v>
          </cell>
        </row>
        <row r="235">
          <cell r="G235">
            <v>1543.9470000000001</v>
          </cell>
          <cell r="H235">
            <v>222.654</v>
          </cell>
          <cell r="I235">
            <v>489.11400000000003</v>
          </cell>
          <cell r="J235">
            <v>832.178</v>
          </cell>
          <cell r="N235">
            <v>14.742000000000001</v>
          </cell>
          <cell r="AB235">
            <v>51.222700000000003</v>
          </cell>
          <cell r="BC235">
            <v>51</v>
          </cell>
          <cell r="BD235">
            <v>52.287400000000005</v>
          </cell>
          <cell r="BE235">
            <v>101.4901</v>
          </cell>
        </row>
        <row r="236">
          <cell r="G236">
            <v>1564.367</v>
          </cell>
          <cell r="H236">
            <v>224.35500000000002</v>
          </cell>
          <cell r="I236">
            <v>499.411</v>
          </cell>
          <cell r="J236">
            <v>840.601</v>
          </cell>
          <cell r="N236">
            <v>14.374000000000001</v>
          </cell>
          <cell r="AB236">
            <v>51.615500000000004</v>
          </cell>
          <cell r="BC236">
            <v>51.300000000000004</v>
          </cell>
          <cell r="BD236">
            <v>52.165400000000005</v>
          </cell>
          <cell r="BE236">
            <v>101.1097</v>
          </cell>
        </row>
        <row r="237">
          <cell r="G237">
            <v>1581.2860000000001</v>
          </cell>
          <cell r="H237">
            <v>219.29300000000001</v>
          </cell>
          <cell r="I237">
            <v>511.67500000000001</v>
          </cell>
          <cell r="J237">
            <v>850.31799999999998</v>
          </cell>
          <cell r="N237">
            <v>12.744</v>
          </cell>
          <cell r="AB237">
            <v>51.629300000000001</v>
          </cell>
          <cell r="BC237">
            <v>51</v>
          </cell>
          <cell r="BD237">
            <v>52.023099999999999</v>
          </cell>
          <cell r="BE237">
            <v>100.6983</v>
          </cell>
        </row>
        <row r="238">
          <cell r="G238">
            <v>1591.82</v>
          </cell>
          <cell r="H238">
            <v>226.04300000000001</v>
          </cell>
          <cell r="I238">
            <v>511.28500000000003</v>
          </cell>
          <cell r="J238">
            <v>854.49099999999999</v>
          </cell>
          <cell r="N238">
            <v>14.112</v>
          </cell>
          <cell r="AB238">
            <v>51.536799999999999</v>
          </cell>
          <cell r="BC238">
            <v>50.4</v>
          </cell>
          <cell r="BD238">
            <v>51.861499999999999</v>
          </cell>
          <cell r="BE238">
            <v>100.2574</v>
          </cell>
        </row>
        <row r="239">
          <cell r="G239">
            <v>1621.3700000000001</v>
          </cell>
          <cell r="H239">
            <v>231.34100000000001</v>
          </cell>
          <cell r="I239">
            <v>524.22500000000002</v>
          </cell>
          <cell r="J239">
            <v>865.80399999999997</v>
          </cell>
          <cell r="N239">
            <v>14.343999999999999</v>
          </cell>
          <cell r="AB239">
            <v>51.193600000000004</v>
          </cell>
          <cell r="BC239">
            <v>50.4</v>
          </cell>
          <cell r="BD239">
            <v>51.689800000000005</v>
          </cell>
          <cell r="BE239">
            <v>99.804700000000011</v>
          </cell>
        </row>
        <row r="240">
          <cell r="G240">
            <v>1639.8410000000001</v>
          </cell>
          <cell r="H240">
            <v>235.411</v>
          </cell>
          <cell r="I240">
            <v>531.53</v>
          </cell>
          <cell r="J240">
            <v>872.9</v>
          </cell>
          <cell r="N240">
            <v>14.292</v>
          </cell>
          <cell r="AB240">
            <v>51.264900000000004</v>
          </cell>
          <cell r="BC240">
            <v>50.4</v>
          </cell>
          <cell r="BD240">
            <v>51.492100000000001</v>
          </cell>
          <cell r="BE240">
            <v>99.309000000000012</v>
          </cell>
        </row>
        <row r="241">
          <cell r="G241">
            <v>1647.72</v>
          </cell>
          <cell r="H241">
            <v>228.26400000000001</v>
          </cell>
          <cell r="I241">
            <v>533.78700000000003</v>
          </cell>
          <cell r="J241">
            <v>885.66899999999998</v>
          </cell>
          <cell r="N241">
            <v>13.112</v>
          </cell>
          <cell r="AB241">
            <v>51.5443</v>
          </cell>
          <cell r="BC241">
            <v>49.7</v>
          </cell>
          <cell r="BD241">
            <v>51.240500000000004</v>
          </cell>
          <cell r="BE241">
            <v>98.716999999999999</v>
          </cell>
        </row>
        <row r="242">
          <cell r="G242">
            <v>1663.444</v>
          </cell>
          <cell r="H242">
            <v>228.98099999999999</v>
          </cell>
          <cell r="I242">
            <v>541.08299999999997</v>
          </cell>
          <cell r="J242">
            <v>893.37900000000002</v>
          </cell>
          <cell r="N242">
            <v>13.025</v>
          </cell>
          <cell r="AB242">
            <v>51.491600000000005</v>
          </cell>
          <cell r="BC242">
            <v>49.2</v>
          </cell>
          <cell r="BD242">
            <v>50.940400000000004</v>
          </cell>
          <cell r="BE242">
            <v>98.038800000000009</v>
          </cell>
        </row>
        <row r="243">
          <cell r="G243">
            <v>1672.433</v>
          </cell>
          <cell r="H243">
            <v>229.90100000000001</v>
          </cell>
          <cell r="I243">
            <v>543.29300000000001</v>
          </cell>
          <cell r="J243">
            <v>899.23800000000006</v>
          </cell>
          <cell r="N243">
            <v>13.496</v>
          </cell>
          <cell r="AB243">
            <v>51.529600000000002</v>
          </cell>
          <cell r="BC243">
            <v>48.9</v>
          </cell>
          <cell r="BD243">
            <v>50.604500000000002</v>
          </cell>
          <cell r="BE243">
            <v>97.2988</v>
          </cell>
        </row>
        <row r="244">
          <cell r="G244">
            <v>1703.15</v>
          </cell>
          <cell r="H244">
            <v>239.583</v>
          </cell>
          <cell r="I244">
            <v>554.202</v>
          </cell>
          <cell r="J244">
            <v>909.36500000000001</v>
          </cell>
          <cell r="N244">
            <v>14.439</v>
          </cell>
          <cell r="AB244">
            <v>51.749000000000002</v>
          </cell>
          <cell r="BC244">
            <v>48.9</v>
          </cell>
          <cell r="BD244">
            <v>50.238500000000002</v>
          </cell>
          <cell r="BE244">
            <v>96.50800000000001</v>
          </cell>
        </row>
        <row r="245">
          <cell r="G245">
            <v>1707.019</v>
          </cell>
          <cell r="H245">
            <v>232.935</v>
          </cell>
          <cell r="I245">
            <v>560.20799999999997</v>
          </cell>
          <cell r="J245">
            <v>913.87599999999998</v>
          </cell>
          <cell r="N245">
            <v>13.276</v>
          </cell>
          <cell r="AB245">
            <v>51.7896</v>
          </cell>
          <cell r="BC245">
            <v>48.9</v>
          </cell>
          <cell r="BD245">
            <v>49.839100000000002</v>
          </cell>
          <cell r="BE245">
            <v>95.659599999999998</v>
          </cell>
        </row>
        <row r="246">
          <cell r="G246">
            <v>1713.6960000000001</v>
          </cell>
          <cell r="H246">
            <v>223.64699999999999</v>
          </cell>
          <cell r="I246">
            <v>565.42899999999997</v>
          </cell>
          <cell r="J246">
            <v>924.62</v>
          </cell>
          <cell r="N246">
            <v>12.077</v>
          </cell>
          <cell r="AB246">
            <v>51.6282</v>
          </cell>
          <cell r="BC246">
            <v>47.300000000000004</v>
          </cell>
          <cell r="BD246">
            <v>49.462900000000005</v>
          </cell>
          <cell r="BE246">
            <v>94.861900000000006</v>
          </cell>
        </row>
        <row r="247">
          <cell r="G247">
            <v>1700.6510000000001</v>
          </cell>
          <cell r="H247">
            <v>212.35</v>
          </cell>
          <cell r="I247">
            <v>565.16899999999998</v>
          </cell>
          <cell r="J247">
            <v>923.13200000000006</v>
          </cell>
          <cell r="N247">
            <v>10.444000000000001</v>
          </cell>
          <cell r="AB247">
            <v>50.600500000000004</v>
          </cell>
          <cell r="BC247">
            <v>46.1</v>
          </cell>
          <cell r="BD247">
            <v>49.273200000000003</v>
          </cell>
          <cell r="BE247">
            <v>94.42710000000001</v>
          </cell>
        </row>
        <row r="248">
          <cell r="G248">
            <v>1705.3980000000001</v>
          </cell>
          <cell r="H248">
            <v>208.52199999999999</v>
          </cell>
          <cell r="I248">
            <v>566.42899999999997</v>
          </cell>
          <cell r="J248">
            <v>930.447</v>
          </cell>
          <cell r="N248">
            <v>9.5400000000000009</v>
          </cell>
          <cell r="AB248">
            <v>49.343400000000003</v>
          </cell>
          <cell r="BC248">
            <v>45.5</v>
          </cell>
          <cell r="BD248">
            <v>49.387500000000003</v>
          </cell>
          <cell r="BE248">
            <v>94.578900000000004</v>
          </cell>
        </row>
        <row r="249">
          <cell r="G249">
            <v>1724.077</v>
          </cell>
          <cell r="H249">
            <v>214.87800000000001</v>
          </cell>
          <cell r="I249">
            <v>566.14400000000001</v>
          </cell>
          <cell r="J249">
            <v>943.05500000000006</v>
          </cell>
          <cell r="N249">
            <v>10.449</v>
          </cell>
          <cell r="AB249">
            <v>48.738600000000005</v>
          </cell>
          <cell r="BC249">
            <v>46.4</v>
          </cell>
          <cell r="BD249">
            <v>49.848300000000002</v>
          </cell>
          <cell r="BE249">
            <v>95.397000000000006</v>
          </cell>
        </row>
        <row r="250">
          <cell r="G250">
            <v>1752.1980000000001</v>
          </cell>
          <cell r="H250">
            <v>226.68800000000002</v>
          </cell>
          <cell r="I250">
            <v>570.327</v>
          </cell>
          <cell r="J250">
            <v>955.18299999999999</v>
          </cell>
          <cell r="N250">
            <v>11.664</v>
          </cell>
          <cell r="AB250">
            <v>48.405700000000003</v>
          </cell>
          <cell r="BC250">
            <v>47.1</v>
          </cell>
          <cell r="BD250">
            <v>50.548500000000004</v>
          </cell>
          <cell r="BE250">
            <v>96.675000000000011</v>
          </cell>
        </row>
        <row r="251">
          <cell r="G251">
            <v>1768.742</v>
          </cell>
          <cell r="H251">
            <v>223.958</v>
          </cell>
          <cell r="I251">
            <v>579.37900000000002</v>
          </cell>
          <cell r="J251">
            <v>965.40499999999997</v>
          </cell>
          <cell r="N251">
            <v>11.154</v>
          </cell>
          <cell r="AB251">
            <v>48.550699999999999</v>
          </cell>
          <cell r="BC251">
            <v>47.7</v>
          </cell>
          <cell r="BD251">
            <v>51.322600000000001</v>
          </cell>
          <cell r="BE251">
            <v>98.09620000000001</v>
          </cell>
        </row>
        <row r="252">
          <cell r="G252">
            <v>1785.2160000000001</v>
          </cell>
          <cell r="H252">
            <v>225.44200000000001</v>
          </cell>
          <cell r="I252">
            <v>579.79200000000003</v>
          </cell>
          <cell r="J252">
            <v>979.98199999999997</v>
          </cell>
          <cell r="N252">
            <v>10.912000000000001</v>
          </cell>
          <cell r="AB252">
            <v>49.333400000000005</v>
          </cell>
          <cell r="BC252">
            <v>48.5</v>
          </cell>
          <cell r="BD252">
            <v>51.997300000000003</v>
          </cell>
          <cell r="BE252">
            <v>99.329100000000011</v>
          </cell>
        </row>
        <row r="253">
          <cell r="G253">
            <v>1821.556</v>
          </cell>
          <cell r="H253">
            <v>236.285</v>
          </cell>
          <cell r="I253">
            <v>588.02700000000004</v>
          </cell>
          <cell r="J253">
            <v>997.24300000000005</v>
          </cell>
          <cell r="N253">
            <v>11.412000000000001</v>
          </cell>
          <cell r="AB253">
            <v>49.953500000000005</v>
          </cell>
          <cell r="BC253">
            <v>48.9</v>
          </cell>
          <cell r="BD253">
            <v>52.4559</v>
          </cell>
          <cell r="BE253">
            <v>100.1512</v>
          </cell>
        </row>
        <row r="254">
          <cell r="G254">
            <v>1831.396</v>
          </cell>
          <cell r="H254">
            <v>236.703</v>
          </cell>
          <cell r="I254">
            <v>588.74400000000003</v>
          </cell>
          <cell r="J254">
            <v>1005.9490000000001</v>
          </cell>
          <cell r="N254">
            <v>11.257</v>
          </cell>
          <cell r="AB254">
            <v>50.820700000000002</v>
          </cell>
          <cell r="BC254">
            <v>48.9</v>
          </cell>
          <cell r="BD254">
            <v>52.667999999999999</v>
          </cell>
          <cell r="BE254">
            <v>100.5044</v>
          </cell>
        </row>
        <row r="255">
          <cell r="G255">
            <v>1856.8220000000001</v>
          </cell>
          <cell r="H255">
            <v>235.70400000000001</v>
          </cell>
          <cell r="I255">
            <v>596.97699999999998</v>
          </cell>
          <cell r="J255">
            <v>1024.1410000000001</v>
          </cell>
          <cell r="N255">
            <v>10.939</v>
          </cell>
          <cell r="AB255">
            <v>51.117200000000004</v>
          </cell>
          <cell r="BC255">
            <v>48.2</v>
          </cell>
          <cell r="BD255">
            <v>52.683800000000005</v>
          </cell>
          <cell r="BE255">
            <v>100.485</v>
          </cell>
        </row>
        <row r="256">
          <cell r="G256">
            <v>1876.232</v>
          </cell>
          <cell r="H256">
            <v>239.899</v>
          </cell>
          <cell r="I256">
            <v>609.78300000000002</v>
          </cell>
          <cell r="J256">
            <v>1026.55</v>
          </cell>
          <cell r="N256">
            <v>11.282</v>
          </cell>
          <cell r="AB256">
            <v>50.8279</v>
          </cell>
          <cell r="BC256">
            <v>47.800000000000004</v>
          </cell>
          <cell r="BD256">
            <v>52.592100000000002</v>
          </cell>
          <cell r="BE256">
            <v>100.26140000000001</v>
          </cell>
        </row>
        <row r="257">
          <cell r="G257">
            <v>1891.048</v>
          </cell>
          <cell r="H257">
            <v>247.34300000000002</v>
          </cell>
          <cell r="I257">
            <v>614.29</v>
          </cell>
          <cell r="J257">
            <v>1029.415</v>
          </cell>
          <cell r="N257">
            <v>12.351000000000001</v>
          </cell>
          <cell r="AB257">
            <v>50.591200000000001</v>
          </cell>
          <cell r="BC257">
            <v>47.2</v>
          </cell>
          <cell r="BD257">
            <v>52.452200000000005</v>
          </cell>
          <cell r="BE257">
            <v>99.94680000000001</v>
          </cell>
        </row>
        <row r="258">
          <cell r="G258">
            <v>1909.925</v>
          </cell>
          <cell r="H258">
            <v>250.898</v>
          </cell>
          <cell r="I258">
            <v>618.06000000000006</v>
          </cell>
          <cell r="J258">
            <v>1040.9670000000001</v>
          </cell>
          <cell r="N258">
            <v>12.427</v>
          </cell>
          <cell r="AB258">
            <v>50.856400000000001</v>
          </cell>
          <cell r="BC258">
            <v>47.5</v>
          </cell>
          <cell r="BD258">
            <v>52.304600000000001</v>
          </cell>
          <cell r="BE258">
            <v>99.618000000000009</v>
          </cell>
        </row>
        <row r="259">
          <cell r="G259">
            <v>1911.085</v>
          </cell>
          <cell r="H259">
            <v>241.69</v>
          </cell>
          <cell r="I259">
            <v>621.48500000000001</v>
          </cell>
          <cell r="J259">
            <v>1047.9090000000001</v>
          </cell>
          <cell r="N259">
            <v>10.49</v>
          </cell>
          <cell r="AB259">
            <v>50.6404</v>
          </cell>
          <cell r="BC259">
            <v>47.9</v>
          </cell>
          <cell r="BD259">
            <v>52.112900000000003</v>
          </cell>
          <cell r="BE259">
            <v>99.205600000000004</v>
          </cell>
        </row>
        <row r="260">
          <cell r="G260">
            <v>1920.213</v>
          </cell>
          <cell r="H260">
            <v>239.76500000000001</v>
          </cell>
          <cell r="I260">
            <v>620.56299999999999</v>
          </cell>
          <cell r="J260">
            <v>1059.885</v>
          </cell>
          <cell r="N260">
            <v>10.354000000000001</v>
          </cell>
          <cell r="AB260">
            <v>50.951700000000002</v>
          </cell>
          <cell r="BC260">
            <v>47.6</v>
          </cell>
          <cell r="BD260">
            <v>51.841100000000004</v>
          </cell>
          <cell r="BE260">
            <v>98.641199999999998</v>
          </cell>
        </row>
        <row r="261">
          <cell r="G261">
            <v>1940.558</v>
          </cell>
          <cell r="H261">
            <v>241.351</v>
          </cell>
          <cell r="I261">
            <v>626.49800000000005</v>
          </cell>
          <cell r="J261">
            <v>1072.7090000000001</v>
          </cell>
          <cell r="N261">
            <v>10.415000000000001</v>
          </cell>
          <cell r="AB261">
            <v>51.1873</v>
          </cell>
          <cell r="BC261">
            <v>47</v>
          </cell>
          <cell r="BD261">
            <v>51.514800000000001</v>
          </cell>
          <cell r="BE261">
            <v>97.972999999999999</v>
          </cell>
        </row>
        <row r="262">
          <cell r="G262">
            <v>1947.866</v>
          </cell>
          <cell r="H262">
            <v>245.20699999999999</v>
          </cell>
          <cell r="I262">
            <v>626.51200000000006</v>
          </cell>
          <cell r="J262">
            <v>1076.146</v>
          </cell>
          <cell r="N262">
            <v>10.428000000000001</v>
          </cell>
          <cell r="AB262">
            <v>51.505500000000005</v>
          </cell>
          <cell r="BC262">
            <v>46.5</v>
          </cell>
          <cell r="BD262">
            <v>51.178800000000003</v>
          </cell>
          <cell r="BE262">
            <v>97.286200000000008</v>
          </cell>
        </row>
        <row r="263">
          <cell r="G263">
            <v>1971.973</v>
          </cell>
          <cell r="H263">
            <v>260.392</v>
          </cell>
          <cell r="I263">
            <v>629.76499999999999</v>
          </cell>
          <cell r="J263">
            <v>1081.8150000000001</v>
          </cell>
          <cell r="N263">
            <v>12.681000000000001</v>
          </cell>
          <cell r="AB263">
            <v>51.5122</v>
          </cell>
          <cell r="BC263">
            <v>46.4</v>
          </cell>
          <cell r="BD263">
            <v>50.839600000000004</v>
          </cell>
          <cell r="BE263">
            <v>96.592600000000004</v>
          </cell>
        </row>
        <row r="264">
          <cell r="G264">
            <v>1970.4370000000001</v>
          </cell>
          <cell r="H264">
            <v>250.17600000000002</v>
          </cell>
          <cell r="I264">
            <v>631.10300000000007</v>
          </cell>
          <cell r="J264">
            <v>1089.1580000000001</v>
          </cell>
          <cell r="N264">
            <v>11.08</v>
          </cell>
          <cell r="AB264">
            <v>51.189399999999999</v>
          </cell>
          <cell r="BC264">
            <v>45.7</v>
          </cell>
          <cell r="BD264">
            <v>50.4786</v>
          </cell>
          <cell r="BE264">
            <v>95.857399999999998</v>
          </cell>
        </row>
        <row r="265">
          <cell r="G265">
            <v>1968.3410000000001</v>
          </cell>
          <cell r="H265">
            <v>237.256</v>
          </cell>
          <cell r="I265">
            <v>633.42399999999998</v>
          </cell>
          <cell r="J265">
            <v>1097.6610000000001</v>
          </cell>
          <cell r="N265">
            <v>9.418000000000001</v>
          </cell>
          <cell r="AB265">
            <v>50.826800000000006</v>
          </cell>
          <cell r="BC265">
            <v>45.2</v>
          </cell>
          <cell r="BD265">
            <v>50.114600000000003</v>
          </cell>
          <cell r="BE265">
            <v>95.115500000000011</v>
          </cell>
        </row>
        <row r="266">
          <cell r="G266">
            <v>1974.4670000000001</v>
          </cell>
          <cell r="H266">
            <v>236.95400000000001</v>
          </cell>
          <cell r="I266">
            <v>633.68399999999997</v>
          </cell>
          <cell r="J266">
            <v>1103.829</v>
          </cell>
          <cell r="N266">
            <v>9.4939999999999998</v>
          </cell>
          <cell r="AB266">
            <v>50.270099999999999</v>
          </cell>
          <cell r="BC266">
            <v>45</v>
          </cell>
          <cell r="BD266">
            <v>49.773800000000001</v>
          </cell>
          <cell r="BE266">
            <v>94.416499999999999</v>
          </cell>
        </row>
        <row r="267">
          <cell r="G267">
            <v>1991.865</v>
          </cell>
          <cell r="H267">
            <v>236.32300000000001</v>
          </cell>
          <cell r="I267">
            <v>639.99800000000005</v>
          </cell>
          <cell r="J267">
            <v>1115.5450000000001</v>
          </cell>
          <cell r="N267">
            <v>9.0549999999999997</v>
          </cell>
          <cell r="AB267">
            <v>49.7121</v>
          </cell>
          <cell r="BC267">
            <v>45.1</v>
          </cell>
          <cell r="BD267">
            <v>49.483800000000002</v>
          </cell>
          <cell r="BE267">
            <v>93.812200000000004</v>
          </cell>
        </row>
        <row r="268">
          <cell r="G268">
            <v>1999.278</v>
          </cell>
          <cell r="H268">
            <v>241.00200000000001</v>
          </cell>
          <cell r="I268">
            <v>637.255</v>
          </cell>
          <cell r="J268">
            <v>1121.021</v>
          </cell>
          <cell r="N268">
            <v>10.285</v>
          </cell>
          <cell r="AB268">
            <v>48.727499999999999</v>
          </cell>
          <cell r="BC268">
            <v>44.800000000000004</v>
          </cell>
          <cell r="BD268">
            <v>49.226200000000006</v>
          </cell>
          <cell r="BE268">
            <v>93.266900000000007</v>
          </cell>
        </row>
        <row r="269">
          <cell r="G269">
            <v>2023.133</v>
          </cell>
          <cell r="H269">
            <v>249.303</v>
          </cell>
          <cell r="I269">
            <v>643.40300000000002</v>
          </cell>
          <cell r="J269">
            <v>1130.4270000000001</v>
          </cell>
          <cell r="N269">
            <v>10.923999999999999</v>
          </cell>
          <cell r="AB269">
            <v>49.678699999999999</v>
          </cell>
          <cell r="BC269">
            <v>45.2</v>
          </cell>
          <cell r="BD269">
            <v>48.982500000000002</v>
          </cell>
          <cell r="BE269">
            <v>92.745200000000011</v>
          </cell>
        </row>
        <row r="270">
          <cell r="G270">
            <v>2026.1020000000001</v>
          </cell>
          <cell r="H270">
            <v>249.012</v>
          </cell>
          <cell r="I270">
            <v>638.90200000000004</v>
          </cell>
          <cell r="J270">
            <v>1138.1880000000001</v>
          </cell>
          <cell r="N270">
            <v>10.651</v>
          </cell>
          <cell r="AB270">
            <v>49.311800000000005</v>
          </cell>
          <cell r="BC270">
            <v>45</v>
          </cell>
          <cell r="BD270">
            <v>48.781500000000001</v>
          </cell>
          <cell r="BE270">
            <v>92.300899999999999</v>
          </cell>
        </row>
        <row r="271">
          <cell r="G271">
            <v>2028.7820000000002</v>
          </cell>
          <cell r="H271">
            <v>244.85400000000001</v>
          </cell>
          <cell r="I271">
            <v>637.50400000000002</v>
          </cell>
          <cell r="J271">
            <v>1146.423</v>
          </cell>
          <cell r="N271">
            <v>9.7469999999999999</v>
          </cell>
          <cell r="AB271">
            <v>48.886099999999999</v>
          </cell>
          <cell r="BC271">
            <v>45.300000000000004</v>
          </cell>
          <cell r="BD271">
            <v>48.666900000000005</v>
          </cell>
          <cell r="BE271">
            <v>92.015799999999999</v>
          </cell>
        </row>
        <row r="272">
          <cell r="G272">
            <v>2047.51</v>
          </cell>
          <cell r="H272">
            <v>256.79700000000003</v>
          </cell>
          <cell r="I272">
            <v>638.61099999999999</v>
          </cell>
          <cell r="J272">
            <v>1152.1020000000001</v>
          </cell>
          <cell r="N272">
            <v>11.103</v>
          </cell>
          <cell r="AB272">
            <v>48.580100000000002</v>
          </cell>
          <cell r="BC272">
            <v>45.300000000000004</v>
          </cell>
          <cell r="BD272">
            <v>48.654299999999999</v>
          </cell>
          <cell r="BE272">
            <v>91.918400000000005</v>
          </cell>
        </row>
        <row r="273">
          <cell r="G273">
            <v>2051.7400000000002</v>
          </cell>
          <cell r="H273">
            <v>246.02799999999999</v>
          </cell>
          <cell r="I273">
            <v>640.048</v>
          </cell>
          <cell r="J273">
            <v>1165.664</v>
          </cell>
          <cell r="N273">
            <v>9.6129999999999995</v>
          </cell>
          <cell r="AB273">
            <v>48.418800000000005</v>
          </cell>
          <cell r="BC273">
            <v>45.1</v>
          </cell>
          <cell r="BD273">
            <v>48.747600000000006</v>
          </cell>
          <cell r="BE273">
            <v>92.015300000000011</v>
          </cell>
        </row>
        <row r="274">
          <cell r="G274">
            <v>2076.585</v>
          </cell>
          <cell r="H274">
            <v>247.762</v>
          </cell>
          <cell r="I274">
            <v>652.55700000000002</v>
          </cell>
          <cell r="J274">
            <v>1176.2660000000001</v>
          </cell>
          <cell r="N274">
            <v>9.7590000000000003</v>
          </cell>
          <cell r="AB274">
            <v>48.257200000000005</v>
          </cell>
          <cell r="BC274">
            <v>45.300000000000004</v>
          </cell>
          <cell r="BD274">
            <v>48.944700000000005</v>
          </cell>
          <cell r="BE274">
            <v>92.301900000000003</v>
          </cell>
        </row>
        <row r="275">
          <cell r="G275">
            <v>2085.21</v>
          </cell>
          <cell r="H275">
            <v>248.589</v>
          </cell>
          <cell r="I275">
            <v>647.00900000000001</v>
          </cell>
          <cell r="J275">
            <v>1189.6130000000001</v>
          </cell>
          <cell r="N275">
            <v>9.947000000000001</v>
          </cell>
          <cell r="AB275">
            <v>47.866900000000001</v>
          </cell>
          <cell r="BC275">
            <v>45.1</v>
          </cell>
          <cell r="BD275">
            <v>49.218800000000002</v>
          </cell>
          <cell r="BE275">
            <v>92.727200000000011</v>
          </cell>
        </row>
        <row r="276">
          <cell r="G276">
            <v>2110.306</v>
          </cell>
          <cell r="H276">
            <v>259.97000000000003</v>
          </cell>
          <cell r="I276">
            <v>649.59100000000001</v>
          </cell>
          <cell r="J276">
            <v>1200.7439999999999</v>
          </cell>
          <cell r="N276">
            <v>11.129</v>
          </cell>
          <cell r="AB276">
            <v>47.696300000000001</v>
          </cell>
          <cell r="BC276">
            <v>45.9</v>
          </cell>
          <cell r="BD276">
            <v>49.575800000000001</v>
          </cell>
          <cell r="BE276">
            <v>93.301299999999998</v>
          </cell>
        </row>
        <row r="277">
          <cell r="G277">
            <v>2132.096</v>
          </cell>
          <cell r="H277">
            <v>254.13400000000001</v>
          </cell>
          <cell r="I277">
            <v>656.45</v>
          </cell>
          <cell r="J277">
            <v>1221.511</v>
          </cell>
          <cell r="N277">
            <v>10.14</v>
          </cell>
          <cell r="AB277">
            <v>47.291800000000002</v>
          </cell>
          <cell r="BC277">
            <v>46.300000000000004</v>
          </cell>
          <cell r="BD277">
            <v>50.012900000000002</v>
          </cell>
          <cell r="BE277">
            <v>94.018200000000007</v>
          </cell>
        </row>
        <row r="278">
          <cell r="G278">
            <v>2156.194</v>
          </cell>
          <cell r="H278">
            <v>268.08600000000001</v>
          </cell>
          <cell r="I278">
            <v>654.96100000000001</v>
          </cell>
          <cell r="J278">
            <v>1233.146</v>
          </cell>
          <cell r="N278">
            <v>12.030000000000001</v>
          </cell>
          <cell r="AB278">
            <v>47.111400000000003</v>
          </cell>
          <cell r="BC278">
            <v>46.6</v>
          </cell>
          <cell r="BD278">
            <v>50.541600000000003</v>
          </cell>
          <cell r="BE278">
            <v>94.898499999999999</v>
          </cell>
        </row>
        <row r="279">
          <cell r="G279">
            <v>2168.991</v>
          </cell>
          <cell r="H279">
            <v>270.846</v>
          </cell>
          <cell r="I279">
            <v>658.80899999999997</v>
          </cell>
          <cell r="J279">
            <v>1239.336</v>
          </cell>
          <cell r="N279">
            <v>11.249000000000001</v>
          </cell>
          <cell r="AB279">
            <v>46.762500000000003</v>
          </cell>
          <cell r="BC279">
            <v>47.1</v>
          </cell>
          <cell r="BD279">
            <v>51.165800000000004</v>
          </cell>
          <cell r="BE279">
            <v>95.948300000000003</v>
          </cell>
        </row>
        <row r="280">
          <cell r="G280">
            <v>2181.7660000000001</v>
          </cell>
          <cell r="H280">
            <v>268.31</v>
          </cell>
          <cell r="I280">
            <v>655.05600000000004</v>
          </cell>
          <cell r="J280">
            <v>1258.3990000000001</v>
          </cell>
          <cell r="N280">
            <v>10.865</v>
          </cell>
          <cell r="AB280">
            <v>47.659500000000001</v>
          </cell>
          <cell r="BC280">
            <v>48</v>
          </cell>
          <cell r="BD280">
            <v>51.8703</v>
          </cell>
          <cell r="BE280">
            <v>97.138199999999998</v>
          </cell>
        </row>
        <row r="281">
          <cell r="G281">
            <v>2184.7040000000002</v>
          </cell>
          <cell r="H281">
            <v>266.84199999999998</v>
          </cell>
          <cell r="I281">
            <v>652.86500000000001</v>
          </cell>
          <cell r="J281">
            <v>1264.9970000000001</v>
          </cell>
          <cell r="N281">
            <v>10.608000000000001</v>
          </cell>
          <cell r="AB281">
            <v>47.370000000000005</v>
          </cell>
          <cell r="BC281">
            <v>48.6</v>
          </cell>
          <cell r="BD281">
            <v>52.612500000000004</v>
          </cell>
          <cell r="BE281">
            <v>98.387100000000004</v>
          </cell>
        </row>
        <row r="282">
          <cell r="G282">
            <v>2210.25</v>
          </cell>
          <cell r="H282">
            <v>271.57100000000003</v>
          </cell>
          <cell r="I282">
            <v>663.08699999999999</v>
          </cell>
          <cell r="J282">
            <v>1275.5920000000001</v>
          </cell>
          <cell r="N282">
            <v>11.023</v>
          </cell>
          <cell r="AB282">
            <v>47.769300000000001</v>
          </cell>
          <cell r="BC282">
            <v>49.4</v>
          </cell>
          <cell r="BD282">
            <v>53.361699999999999</v>
          </cell>
          <cell r="BE282">
            <v>99.637700000000009</v>
          </cell>
        </row>
        <row r="283">
          <cell r="G283">
            <v>2233.5250000000001</v>
          </cell>
          <cell r="H283">
            <v>281.69400000000002</v>
          </cell>
          <cell r="I283">
            <v>665.33299999999997</v>
          </cell>
          <cell r="J283">
            <v>1286.498</v>
          </cell>
          <cell r="N283">
            <v>11.673</v>
          </cell>
          <cell r="AB283">
            <v>48.337600000000002</v>
          </cell>
          <cell r="BC283">
            <v>50</v>
          </cell>
          <cell r="BD283">
            <v>54.095400000000005</v>
          </cell>
          <cell r="BE283">
            <v>100.848</v>
          </cell>
        </row>
        <row r="284">
          <cell r="G284">
            <v>2252.8270000000002</v>
          </cell>
          <cell r="H284">
            <v>288.82299999999998</v>
          </cell>
          <cell r="I284">
            <v>672.74300000000005</v>
          </cell>
          <cell r="J284">
            <v>1291.2619999999999</v>
          </cell>
          <cell r="N284">
            <v>12.028</v>
          </cell>
          <cell r="AB284">
            <v>48.681899999999999</v>
          </cell>
          <cell r="BC284">
            <v>50.7</v>
          </cell>
          <cell r="BD284">
            <v>54.787200000000006</v>
          </cell>
          <cell r="BE284">
            <v>101.96940000000001</v>
          </cell>
        </row>
        <row r="285">
          <cell r="G285">
            <v>2282.7739999999999</v>
          </cell>
          <cell r="H285">
            <v>298.23399999999998</v>
          </cell>
          <cell r="I285">
            <v>681.07</v>
          </cell>
          <cell r="J285">
            <v>1303.47</v>
          </cell>
          <cell r="N285">
            <v>12.96</v>
          </cell>
          <cell r="AB285">
            <v>48.945900000000002</v>
          </cell>
          <cell r="BC285">
            <v>51.2</v>
          </cell>
          <cell r="BD285">
            <v>55.395400000000002</v>
          </cell>
          <cell r="BE285">
            <v>102.9248</v>
          </cell>
        </row>
        <row r="286">
          <cell r="G286">
            <v>2311.15</v>
          </cell>
          <cell r="H286">
            <v>303.363</v>
          </cell>
          <cell r="I286">
            <v>686.34199999999998</v>
          </cell>
          <cell r="J286">
            <v>1321.4449999999999</v>
          </cell>
          <cell r="N286">
            <v>12.917</v>
          </cell>
          <cell r="AB286">
            <v>49.695800000000006</v>
          </cell>
          <cell r="BC286">
            <v>51.5</v>
          </cell>
          <cell r="BD286">
            <v>55.903200000000005</v>
          </cell>
          <cell r="BE286">
            <v>103.68400000000001</v>
          </cell>
        </row>
        <row r="287">
          <cell r="G287">
            <v>2327.114</v>
          </cell>
          <cell r="H287">
            <v>301.16899999999998</v>
          </cell>
          <cell r="I287">
            <v>688.2</v>
          </cell>
          <cell r="J287">
            <v>1337.7450000000001</v>
          </cell>
          <cell r="N287">
            <v>12.246</v>
          </cell>
          <cell r="AB287">
            <v>50.237500000000004</v>
          </cell>
          <cell r="BC287">
            <v>51.5</v>
          </cell>
          <cell r="BD287">
            <v>56.310500000000005</v>
          </cell>
          <cell r="BE287">
            <v>104.2479</v>
          </cell>
        </row>
        <row r="288">
          <cell r="G288">
            <v>2341.3310000000001</v>
          </cell>
          <cell r="H288">
            <v>302.55200000000002</v>
          </cell>
          <cell r="I288">
            <v>690.76800000000003</v>
          </cell>
          <cell r="J288">
            <v>1348.011</v>
          </cell>
          <cell r="N288">
            <v>12.451000000000001</v>
          </cell>
          <cell r="AB288">
            <v>50.994300000000003</v>
          </cell>
          <cell r="BC288">
            <v>51.800000000000004</v>
          </cell>
          <cell r="BD288">
            <v>56.642200000000003</v>
          </cell>
          <cell r="BE288">
            <v>104.6635</v>
          </cell>
        </row>
        <row r="289">
          <cell r="G289">
            <v>2364.1390000000001</v>
          </cell>
          <cell r="H289">
            <v>313.65199999999999</v>
          </cell>
          <cell r="I289">
            <v>693.81700000000001</v>
          </cell>
          <cell r="J289">
            <v>1356.67</v>
          </cell>
          <cell r="N289">
            <v>13.311</v>
          </cell>
          <cell r="AB289">
            <v>51.412200000000006</v>
          </cell>
          <cell r="BC289">
            <v>52.4</v>
          </cell>
          <cell r="BD289">
            <v>56.918900000000001</v>
          </cell>
          <cell r="BE289">
            <v>104.96950000000001</v>
          </cell>
        </row>
        <row r="290">
          <cell r="G290">
            <v>2372.89</v>
          </cell>
          <cell r="H290">
            <v>315.86400000000003</v>
          </cell>
          <cell r="I290">
            <v>696.524</v>
          </cell>
          <cell r="J290">
            <v>1360.502</v>
          </cell>
          <cell r="N290">
            <v>13.125</v>
          </cell>
          <cell r="AB290">
            <v>51.574600000000004</v>
          </cell>
          <cell r="BC290">
            <v>52.6</v>
          </cell>
          <cell r="BD290">
            <v>57.147500000000001</v>
          </cell>
          <cell r="BE290">
            <v>105.1798</v>
          </cell>
        </row>
        <row r="291">
          <cell r="G291">
            <v>2400.4580000000001</v>
          </cell>
          <cell r="H291">
            <v>328.29399999999998</v>
          </cell>
          <cell r="I291">
            <v>699.22400000000005</v>
          </cell>
          <cell r="J291">
            <v>1372.9390000000001</v>
          </cell>
          <cell r="N291">
            <v>14.503</v>
          </cell>
          <cell r="AB291">
            <v>51.831099999999999</v>
          </cell>
          <cell r="BC291">
            <v>52.800000000000004</v>
          </cell>
          <cell r="BD291">
            <v>57.321899999999999</v>
          </cell>
          <cell r="BE291">
            <v>105.2838</v>
          </cell>
        </row>
        <row r="292">
          <cell r="G292">
            <v>2426.4279999999999</v>
          </cell>
          <cell r="H292">
            <v>336.81400000000002</v>
          </cell>
          <cell r="I292">
            <v>710.52499999999998</v>
          </cell>
          <cell r="J292">
            <v>1379.0889999999999</v>
          </cell>
          <cell r="N292">
            <v>14.21</v>
          </cell>
          <cell r="AB292">
            <v>52.884600000000006</v>
          </cell>
          <cell r="BC292">
            <v>53.6</v>
          </cell>
          <cell r="BD292">
            <v>57.428200000000004</v>
          </cell>
          <cell r="BE292">
            <v>105.2573</v>
          </cell>
        </row>
        <row r="293">
          <cell r="G293">
            <v>2410.8319999999999</v>
          </cell>
          <cell r="H293">
            <v>328.74200000000002</v>
          </cell>
          <cell r="I293">
            <v>701.476</v>
          </cell>
          <cell r="J293">
            <v>1380.614</v>
          </cell>
          <cell r="N293">
            <v>14.381</v>
          </cell>
          <cell r="AB293">
            <v>53.145000000000003</v>
          </cell>
          <cell r="BC293">
            <v>53.800000000000004</v>
          </cell>
          <cell r="BD293">
            <v>57.444200000000002</v>
          </cell>
          <cell r="BE293">
            <v>105.06070000000001</v>
          </cell>
        </row>
        <row r="294">
          <cell r="G294">
            <v>2439.1820000000002</v>
          </cell>
          <cell r="H294">
            <v>328.76</v>
          </cell>
          <cell r="I294">
            <v>707.37</v>
          </cell>
          <cell r="J294">
            <v>1403.0530000000001</v>
          </cell>
          <cell r="N294">
            <v>14.21</v>
          </cell>
          <cell r="AB294">
            <v>53.386800000000001</v>
          </cell>
          <cell r="BC294">
            <v>53.800000000000004</v>
          </cell>
          <cell r="BD294">
            <v>57.349299999999999</v>
          </cell>
          <cell r="BE294">
            <v>104.65770000000001</v>
          </cell>
        </row>
        <row r="295">
          <cell r="G295">
            <v>2465.4630000000002</v>
          </cell>
          <cell r="H295">
            <v>336.00400000000002</v>
          </cell>
          <cell r="I295">
            <v>716.59400000000005</v>
          </cell>
          <cell r="J295">
            <v>1412.865</v>
          </cell>
          <cell r="N295">
            <v>14.357000000000001</v>
          </cell>
          <cell r="AB295">
            <v>53.713799999999999</v>
          </cell>
          <cell r="BC295">
            <v>53.800000000000004</v>
          </cell>
          <cell r="BD295">
            <v>57.174200000000006</v>
          </cell>
          <cell r="BE295">
            <v>104.1062</v>
          </cell>
        </row>
        <row r="296">
          <cell r="G296">
            <v>2482.7280000000001</v>
          </cell>
          <cell r="H296">
            <v>341.67900000000003</v>
          </cell>
          <cell r="I296">
            <v>719.65200000000004</v>
          </cell>
          <cell r="J296">
            <v>1421.3969999999999</v>
          </cell>
          <cell r="N296">
            <v>14.856</v>
          </cell>
          <cell r="AB296">
            <v>53.980800000000002</v>
          </cell>
          <cell r="BC296">
            <v>54</v>
          </cell>
          <cell r="BD296">
            <v>56.948600000000006</v>
          </cell>
          <cell r="BE296">
            <v>103.4616</v>
          </cell>
        </row>
        <row r="297">
          <cell r="G297">
            <v>2504.1950000000002</v>
          </cell>
          <cell r="H297">
            <v>346.12299999999999</v>
          </cell>
          <cell r="I297">
            <v>730.87700000000007</v>
          </cell>
          <cell r="J297">
            <v>1427.1949999999999</v>
          </cell>
          <cell r="N297">
            <v>14.673</v>
          </cell>
          <cell r="AB297">
            <v>54.1691</v>
          </cell>
          <cell r="BC297">
            <v>53.800000000000004</v>
          </cell>
          <cell r="BD297">
            <v>56.695399999999999</v>
          </cell>
          <cell r="BE297">
            <v>102.7659</v>
          </cell>
        </row>
        <row r="298">
          <cell r="G298">
            <v>2503.5320000000002</v>
          </cell>
          <cell r="H298">
            <v>341.51100000000002</v>
          </cell>
          <cell r="I298">
            <v>720.19600000000003</v>
          </cell>
          <cell r="J298">
            <v>1441.825</v>
          </cell>
          <cell r="N298">
            <v>14.758000000000001</v>
          </cell>
          <cell r="AB298">
            <v>54.3551</v>
          </cell>
          <cell r="BC298">
            <v>54</v>
          </cell>
          <cell r="BD298">
            <v>56.455300000000001</v>
          </cell>
          <cell r="BE298">
            <v>102.09360000000001</v>
          </cell>
        </row>
        <row r="299">
          <cell r="G299">
            <v>2521.4230000000002</v>
          </cell>
          <cell r="H299">
            <v>339.745</v>
          </cell>
          <cell r="I299">
            <v>721.85199999999998</v>
          </cell>
          <cell r="J299">
            <v>1459.826</v>
          </cell>
          <cell r="N299">
            <v>14.279</v>
          </cell>
          <cell r="AB299">
            <v>54.3842</v>
          </cell>
          <cell r="BC299">
            <v>53.800000000000004</v>
          </cell>
          <cell r="BD299">
            <v>56.260400000000004</v>
          </cell>
          <cell r="BE299">
            <v>101.5027</v>
          </cell>
        </row>
        <row r="300">
          <cell r="G300">
            <v>2543.31</v>
          </cell>
          <cell r="H300">
            <v>344.96699999999998</v>
          </cell>
          <cell r="I300">
            <v>731.65300000000002</v>
          </cell>
          <cell r="J300">
            <v>1466.69</v>
          </cell>
          <cell r="N300">
            <v>13.959</v>
          </cell>
          <cell r="AB300">
            <v>54.300699999999999</v>
          </cell>
          <cell r="BC300">
            <v>53.7</v>
          </cell>
          <cell r="BD300">
            <v>56.139100000000006</v>
          </cell>
          <cell r="BE300">
            <v>101.04390000000001</v>
          </cell>
        </row>
        <row r="301">
          <cell r="G301">
            <v>2541.2440000000001</v>
          </cell>
          <cell r="H301">
            <v>343.041</v>
          </cell>
          <cell r="I301">
            <v>728.74400000000003</v>
          </cell>
          <cell r="J301">
            <v>1469.4590000000001</v>
          </cell>
          <cell r="N301">
            <v>14.641999999999999</v>
          </cell>
          <cell r="AB301">
            <v>54.226400000000005</v>
          </cell>
          <cell r="BC301">
            <v>53.6</v>
          </cell>
          <cell r="BD301">
            <v>56.096600000000002</v>
          </cell>
          <cell r="BE301">
            <v>100.72620000000001</v>
          </cell>
        </row>
        <row r="302">
          <cell r="G302">
            <v>2581.6309999999999</v>
          </cell>
          <cell r="H302">
            <v>358.42200000000003</v>
          </cell>
          <cell r="I302">
            <v>736.69600000000003</v>
          </cell>
          <cell r="J302">
            <v>1486.5119999999999</v>
          </cell>
          <cell r="N302">
            <v>14.774000000000001</v>
          </cell>
          <cell r="AB302">
            <v>54.430900000000001</v>
          </cell>
          <cell r="BC302">
            <v>54</v>
          </cell>
          <cell r="BD302">
            <v>56.1252</v>
          </cell>
          <cell r="BE302">
            <v>100.53440000000001</v>
          </cell>
        </row>
        <row r="303">
          <cell r="G303">
            <v>2593.038</v>
          </cell>
          <cell r="H303">
            <v>360.05599999999998</v>
          </cell>
          <cell r="I303">
            <v>732.90300000000002</v>
          </cell>
          <cell r="J303">
            <v>1500.078</v>
          </cell>
          <cell r="N303">
            <v>14.602</v>
          </cell>
          <cell r="AB303">
            <v>54.4923</v>
          </cell>
          <cell r="BC303">
            <v>54.4</v>
          </cell>
          <cell r="BD303">
            <v>56.201800000000006</v>
          </cell>
          <cell r="BE303">
            <v>100.4269</v>
          </cell>
        </row>
        <row r="304">
          <cell r="G304">
            <v>2627.3110000000001</v>
          </cell>
          <cell r="H304">
            <v>365.512</v>
          </cell>
          <cell r="I304">
            <v>737.01</v>
          </cell>
          <cell r="J304">
            <v>1524.789</v>
          </cell>
          <cell r="N304">
            <v>15.563000000000001</v>
          </cell>
          <cell r="AB304">
            <v>54.360800000000005</v>
          </cell>
          <cell r="BC304">
            <v>54.9</v>
          </cell>
          <cell r="BD304">
            <v>56.307500000000005</v>
          </cell>
          <cell r="BE304">
            <v>100.3695</v>
          </cell>
        </row>
        <row r="305">
          <cell r="G305">
            <v>2647.9960000000001</v>
          </cell>
          <cell r="H305">
            <v>364.87700000000001</v>
          </cell>
          <cell r="I305">
            <v>745.73099999999999</v>
          </cell>
          <cell r="J305">
            <v>1537.3879999999999</v>
          </cell>
          <cell r="N305">
            <v>15.724</v>
          </cell>
          <cell r="AB305">
            <v>54.594100000000005</v>
          </cell>
          <cell r="BC305">
            <v>55</v>
          </cell>
          <cell r="BD305">
            <v>56.417999999999999</v>
          </cell>
          <cell r="BE305">
            <v>100.3186</v>
          </cell>
        </row>
        <row r="306">
          <cell r="G306">
            <v>2655.0129999999999</v>
          </cell>
          <cell r="H306">
            <v>373.63200000000001</v>
          </cell>
          <cell r="I306">
            <v>744.41300000000001</v>
          </cell>
          <cell r="J306">
            <v>1536.9680000000001</v>
          </cell>
          <cell r="N306">
            <v>15.358000000000001</v>
          </cell>
          <cell r="AB306">
            <v>54.654299999999999</v>
          </cell>
          <cell r="BC306">
            <v>55.300000000000004</v>
          </cell>
          <cell r="BD306">
            <v>56.5349</v>
          </cell>
          <cell r="BE306">
            <v>100.2771</v>
          </cell>
        </row>
        <row r="307">
          <cell r="G307">
            <v>2666.2310000000002</v>
          </cell>
          <cell r="H307">
            <v>365.73599999999999</v>
          </cell>
          <cell r="I307">
            <v>753.97400000000005</v>
          </cell>
          <cell r="J307">
            <v>1546.5219999999999</v>
          </cell>
          <cell r="N307">
            <v>15.521000000000001</v>
          </cell>
          <cell r="AB307">
            <v>54.541800000000002</v>
          </cell>
          <cell r="BC307">
            <v>55.300000000000004</v>
          </cell>
          <cell r="BD307">
            <v>56.644800000000004</v>
          </cell>
          <cell r="BE307">
            <v>100.22160000000001</v>
          </cell>
        </row>
        <row r="308">
          <cell r="G308">
            <v>2702.348</v>
          </cell>
          <cell r="H308">
            <v>384.33600000000001</v>
          </cell>
          <cell r="I308">
            <v>753.87800000000004</v>
          </cell>
          <cell r="J308">
            <v>1564.134</v>
          </cell>
          <cell r="N308">
            <v>15.561</v>
          </cell>
          <cell r="AB308">
            <v>54.5929</v>
          </cell>
          <cell r="BC308">
            <v>55.7</v>
          </cell>
          <cell r="BD308">
            <v>56.744500000000002</v>
          </cell>
          <cell r="BE308">
            <v>100.14620000000001</v>
          </cell>
        </row>
        <row r="309">
          <cell r="G309">
            <v>2693.681</v>
          </cell>
          <cell r="H309">
            <v>369.68099999999998</v>
          </cell>
          <cell r="I309">
            <v>750.428</v>
          </cell>
          <cell r="J309">
            <v>1573.5730000000001</v>
          </cell>
          <cell r="N309">
            <v>15.093</v>
          </cell>
          <cell r="AB309">
            <v>54.630900000000004</v>
          </cell>
          <cell r="BC309">
            <v>56.2</v>
          </cell>
          <cell r="BD309">
            <v>56.845300000000002</v>
          </cell>
          <cell r="BE309">
            <v>100.0716</v>
          </cell>
        </row>
        <row r="310">
          <cell r="G310">
            <v>2717.79</v>
          </cell>
          <cell r="H310">
            <v>376.334</v>
          </cell>
          <cell r="I310">
            <v>755.22</v>
          </cell>
          <cell r="J310">
            <v>1586.2360000000001</v>
          </cell>
          <cell r="N310">
            <v>15.498000000000001</v>
          </cell>
          <cell r="AB310">
            <v>54.256500000000003</v>
          </cell>
          <cell r="BC310">
            <v>56.300000000000004</v>
          </cell>
          <cell r="BD310">
            <v>56.941700000000004</v>
          </cell>
          <cell r="BE310">
            <v>99.988100000000003</v>
          </cell>
        </row>
        <row r="311">
          <cell r="G311">
            <v>2753.3240000000001</v>
          </cell>
          <cell r="H311">
            <v>390.29</v>
          </cell>
          <cell r="I311">
            <v>761.18799999999999</v>
          </cell>
          <cell r="J311">
            <v>1601.846</v>
          </cell>
          <cell r="N311">
            <v>16.91</v>
          </cell>
          <cell r="AB311">
            <v>54.486000000000004</v>
          </cell>
          <cell r="BC311">
            <v>56.6</v>
          </cell>
          <cell r="BD311">
            <v>57.0503</v>
          </cell>
          <cell r="BE311">
            <v>99.924800000000005</v>
          </cell>
        </row>
        <row r="312">
          <cell r="G312">
            <v>2796.4360000000001</v>
          </cell>
          <cell r="H312">
            <v>422.72700000000003</v>
          </cell>
          <cell r="I312">
            <v>765.04700000000003</v>
          </cell>
          <cell r="J312">
            <v>1608.662</v>
          </cell>
          <cell r="N312">
            <v>19.103999999999999</v>
          </cell>
          <cell r="AB312">
            <v>54.723500000000001</v>
          </cell>
          <cell r="BC312">
            <v>57</v>
          </cell>
          <cell r="BD312">
            <v>57.1783</v>
          </cell>
          <cell r="BE312">
            <v>99.894300000000001</v>
          </cell>
        </row>
        <row r="313">
          <cell r="G313">
            <v>2759.393</v>
          </cell>
          <cell r="H313">
            <v>379.24400000000003</v>
          </cell>
          <cell r="I313">
            <v>765.96100000000001</v>
          </cell>
          <cell r="J313">
            <v>1614.1870000000001</v>
          </cell>
          <cell r="N313">
            <v>14.185</v>
          </cell>
          <cell r="AB313">
            <v>54.5032</v>
          </cell>
          <cell r="BC313">
            <v>57.1</v>
          </cell>
          <cell r="BD313">
            <v>57.335900000000002</v>
          </cell>
          <cell r="BE313">
            <v>99.914000000000001</v>
          </cell>
        </row>
        <row r="314">
          <cell r="G314">
            <v>2775.8360000000002</v>
          </cell>
          <cell r="H314">
            <v>380.84399999999999</v>
          </cell>
          <cell r="I314">
            <v>775.17500000000007</v>
          </cell>
          <cell r="J314">
            <v>1619.816</v>
          </cell>
          <cell r="N314">
            <v>14.622</v>
          </cell>
          <cell r="AB314">
            <v>54.689</v>
          </cell>
          <cell r="BC314">
            <v>57.2</v>
          </cell>
          <cell r="BD314">
            <v>57.525700000000001</v>
          </cell>
          <cell r="BE314">
            <v>99.988</v>
          </cell>
        </row>
        <row r="315">
          <cell r="G315">
            <v>2815.9690000000001</v>
          </cell>
          <cell r="H315">
            <v>391.166</v>
          </cell>
          <cell r="I315">
            <v>778.899</v>
          </cell>
          <cell r="J315">
            <v>1645.903</v>
          </cell>
          <cell r="N315">
            <v>15.711</v>
          </cell>
          <cell r="AB315">
            <v>55.255300000000005</v>
          </cell>
          <cell r="BC315">
            <v>57.800000000000004</v>
          </cell>
          <cell r="BD315">
            <v>57.739900000000006</v>
          </cell>
          <cell r="BE315">
            <v>100.1027</v>
          </cell>
        </row>
        <row r="316">
          <cell r="G316">
            <v>2830.5349999999999</v>
          </cell>
          <cell r="H316">
            <v>401.416</v>
          </cell>
          <cell r="I316">
            <v>784.39200000000005</v>
          </cell>
          <cell r="J316">
            <v>1644.7270000000001</v>
          </cell>
          <cell r="N316">
            <v>16.059999999999999</v>
          </cell>
          <cell r="AB316">
            <v>55.521700000000003</v>
          </cell>
          <cell r="BC316">
            <v>57.9</v>
          </cell>
          <cell r="BD316">
            <v>57.938800000000001</v>
          </cell>
          <cell r="BE316">
            <v>100.1888</v>
          </cell>
        </row>
        <row r="317">
          <cell r="G317">
            <v>2823.5120000000002</v>
          </cell>
          <cell r="H317">
            <v>389.36200000000002</v>
          </cell>
          <cell r="I317">
            <v>776.67100000000005</v>
          </cell>
          <cell r="J317">
            <v>1657.4780000000001</v>
          </cell>
          <cell r="N317">
            <v>15.371</v>
          </cell>
          <cell r="AB317">
            <v>55.112200000000001</v>
          </cell>
          <cell r="BC317">
            <v>58.1</v>
          </cell>
          <cell r="BD317">
            <v>58.104100000000003</v>
          </cell>
          <cell r="BE317">
            <v>100.21550000000001</v>
          </cell>
        </row>
        <row r="318">
          <cell r="G318">
            <v>2827.6620000000003</v>
          </cell>
          <cell r="H318">
            <v>384.09800000000001</v>
          </cell>
          <cell r="I318">
            <v>776.69100000000003</v>
          </cell>
          <cell r="J318">
            <v>1666.873</v>
          </cell>
          <cell r="N318">
            <v>14.161</v>
          </cell>
          <cell r="AB318">
            <v>54.7682</v>
          </cell>
          <cell r="BC318">
            <v>58.2</v>
          </cell>
          <cell r="BD318">
            <v>58.241200000000006</v>
          </cell>
          <cell r="BE318">
            <v>100.1922</v>
          </cell>
        </row>
        <row r="319">
          <cell r="G319">
            <v>2840.982</v>
          </cell>
          <cell r="H319">
            <v>404.02</v>
          </cell>
          <cell r="I319">
            <v>761.37800000000004</v>
          </cell>
          <cell r="J319">
            <v>1675.5840000000001</v>
          </cell>
          <cell r="N319">
            <v>15.849</v>
          </cell>
          <cell r="AB319">
            <v>54.807000000000002</v>
          </cell>
          <cell r="BC319">
            <v>58.5</v>
          </cell>
          <cell r="BD319">
            <v>58.359700000000004</v>
          </cell>
          <cell r="BE319">
            <v>100.1361</v>
          </cell>
        </row>
        <row r="320">
          <cell r="G320">
            <v>2865.1440000000002</v>
          </cell>
          <cell r="H320">
            <v>414.173</v>
          </cell>
          <cell r="I320">
            <v>768.63599999999997</v>
          </cell>
          <cell r="J320">
            <v>1682.3340000000001</v>
          </cell>
          <cell r="N320">
            <v>16.302</v>
          </cell>
          <cell r="AB320">
            <v>54.906100000000002</v>
          </cell>
          <cell r="BC320">
            <v>58.7</v>
          </cell>
          <cell r="BD320">
            <v>58.467600000000004</v>
          </cell>
          <cell r="BE320">
            <v>100.06110000000001</v>
          </cell>
        </row>
        <row r="321">
          <cell r="G321">
            <v>2871.4160000000002</v>
          </cell>
          <cell r="H321">
            <v>403.67900000000003</v>
          </cell>
          <cell r="I321">
            <v>772.34100000000001</v>
          </cell>
          <cell r="J321">
            <v>1695.3969999999999</v>
          </cell>
          <cell r="N321">
            <v>15.92</v>
          </cell>
          <cell r="AB321">
            <v>54.729300000000002</v>
          </cell>
          <cell r="BC321">
            <v>59</v>
          </cell>
          <cell r="BD321">
            <v>58.555800000000005</v>
          </cell>
          <cell r="BE321">
            <v>99.952400000000011</v>
          </cell>
        </row>
        <row r="322">
          <cell r="G322">
            <v>2893.078</v>
          </cell>
          <cell r="H322">
            <v>415.92700000000002</v>
          </cell>
          <cell r="I322">
            <v>771.57</v>
          </cell>
          <cell r="J322">
            <v>1705.5810000000001</v>
          </cell>
          <cell r="N322">
            <v>15.742000000000001</v>
          </cell>
          <cell r="AB322">
            <v>55.072200000000002</v>
          </cell>
          <cell r="BC322">
            <v>59</v>
          </cell>
          <cell r="BD322">
            <v>58.623400000000004</v>
          </cell>
          <cell r="BE322">
            <v>99.808400000000006</v>
          </cell>
        </row>
        <row r="323">
          <cell r="G323">
            <v>2912.1860000000001</v>
          </cell>
          <cell r="H323">
            <v>434.38299999999998</v>
          </cell>
          <cell r="I323">
            <v>768.46100000000001</v>
          </cell>
          <cell r="J323">
            <v>1709.3430000000001</v>
          </cell>
          <cell r="N323">
            <v>17.285</v>
          </cell>
          <cell r="AB323">
            <v>54.959500000000006</v>
          </cell>
          <cell r="BC323">
            <v>59</v>
          </cell>
          <cell r="BD323">
            <v>58.692800000000005</v>
          </cell>
          <cell r="BE323">
            <v>99.668199999999999</v>
          </cell>
        </row>
        <row r="324">
          <cell r="G324">
            <v>2986.643</v>
          </cell>
          <cell r="H324">
            <v>486.81100000000004</v>
          </cell>
          <cell r="I324">
            <v>773.09500000000003</v>
          </cell>
          <cell r="J324">
            <v>1726.7360000000001</v>
          </cell>
          <cell r="N324">
            <v>21.495000000000001</v>
          </cell>
          <cell r="AB324">
            <v>55.062800000000003</v>
          </cell>
          <cell r="BC324">
            <v>59.2</v>
          </cell>
          <cell r="BD324">
            <v>58.777100000000004</v>
          </cell>
          <cell r="BE324">
            <v>99.553700000000006</v>
          </cell>
        </row>
        <row r="325">
          <cell r="G325">
            <v>2948.5750000000003</v>
          </cell>
          <cell r="H325">
            <v>434.90199999999999</v>
          </cell>
          <cell r="I325">
            <v>778.30600000000004</v>
          </cell>
          <cell r="J325">
            <v>1735.3679999999999</v>
          </cell>
          <cell r="N325">
            <v>14.793000000000001</v>
          </cell>
          <cell r="AB325">
            <v>55.314500000000002</v>
          </cell>
          <cell r="BC325">
            <v>59.6</v>
          </cell>
          <cell r="BD325">
            <v>58.896700000000003</v>
          </cell>
          <cell r="BE325">
            <v>99.499300000000005</v>
          </cell>
        </row>
        <row r="326">
          <cell r="G326">
            <v>2945.3830000000003</v>
          </cell>
          <cell r="H326">
            <v>420.00200000000001</v>
          </cell>
          <cell r="I326">
            <v>775.20100000000002</v>
          </cell>
          <cell r="J326">
            <v>1750.18</v>
          </cell>
          <cell r="N326">
            <v>14.822000000000001</v>
          </cell>
          <cell r="AB326">
            <v>55.575100000000006</v>
          </cell>
          <cell r="BC326">
            <v>59.7</v>
          </cell>
          <cell r="BD326">
            <v>59.079100000000004</v>
          </cell>
          <cell r="BE326">
            <v>99.551299999999998</v>
          </cell>
        </row>
        <row r="327">
          <cell r="G327">
            <v>3015.779</v>
          </cell>
          <cell r="H327">
            <v>468.495</v>
          </cell>
          <cell r="I327">
            <v>783.51400000000001</v>
          </cell>
          <cell r="J327">
            <v>1763.77</v>
          </cell>
          <cell r="N327">
            <v>18.079000000000001</v>
          </cell>
          <cell r="AB327">
            <v>56.0627</v>
          </cell>
          <cell r="BC327">
            <v>60.4</v>
          </cell>
          <cell r="BD327">
            <v>59.349600000000002</v>
          </cell>
          <cell r="BE327">
            <v>99.751000000000005</v>
          </cell>
        </row>
        <row r="328">
          <cell r="G328">
            <v>2956.5080000000003</v>
          </cell>
          <cell r="H328">
            <v>399.74400000000003</v>
          </cell>
          <cell r="I328">
            <v>782.87900000000002</v>
          </cell>
          <cell r="J328">
            <v>1773.885</v>
          </cell>
          <cell r="N328">
            <v>12.414</v>
          </cell>
          <cell r="AB328">
            <v>55.874400000000001</v>
          </cell>
          <cell r="BC328">
            <v>60.2</v>
          </cell>
          <cell r="BD328">
            <v>59.705500000000001</v>
          </cell>
          <cell r="BE328">
            <v>100.0929</v>
          </cell>
        </row>
        <row r="329">
          <cell r="G329">
            <v>3023.451</v>
          </cell>
          <cell r="H329">
            <v>426.95499999999998</v>
          </cell>
          <cell r="I329">
            <v>805.79700000000003</v>
          </cell>
          <cell r="J329">
            <v>1790.6990000000001</v>
          </cell>
          <cell r="N329">
            <v>15.109</v>
          </cell>
          <cell r="AB329">
            <v>56.5929</v>
          </cell>
          <cell r="BC329">
            <v>60.7</v>
          </cell>
          <cell r="BD329">
            <v>60.114600000000003</v>
          </cell>
          <cell r="BE329">
            <v>100.5224</v>
          </cell>
        </row>
        <row r="330">
          <cell r="G330">
            <v>3034.2919999999999</v>
          </cell>
          <cell r="H330">
            <v>428.79300000000001</v>
          </cell>
          <cell r="I330">
            <v>803.47</v>
          </cell>
          <cell r="J330">
            <v>1802.03</v>
          </cell>
          <cell r="N330">
            <v>15.298999999999999</v>
          </cell>
          <cell r="AB330">
            <v>56.686500000000002</v>
          </cell>
          <cell r="BC330">
            <v>60.9</v>
          </cell>
          <cell r="BD330">
            <v>60.524700000000003</v>
          </cell>
          <cell r="BE330">
            <v>100.952</v>
          </cell>
        </row>
        <row r="331">
          <cell r="G331">
            <v>3057.741</v>
          </cell>
          <cell r="H331">
            <v>437.584</v>
          </cell>
          <cell r="I331">
            <v>809.02200000000005</v>
          </cell>
          <cell r="J331">
            <v>1811.135</v>
          </cell>
          <cell r="N331">
            <v>15.452</v>
          </cell>
          <cell r="AB331">
            <v>57.037500000000001</v>
          </cell>
          <cell r="BC331">
            <v>60.9</v>
          </cell>
          <cell r="BD331">
            <v>60.908300000000004</v>
          </cell>
          <cell r="BE331">
            <v>101.33630000000001</v>
          </cell>
        </row>
        <row r="332">
          <cell r="G332">
            <v>3066.5920000000001</v>
          </cell>
          <cell r="H332">
            <v>433.99599999999998</v>
          </cell>
          <cell r="I332">
            <v>812.37400000000002</v>
          </cell>
          <cell r="J332">
            <v>1820.222</v>
          </cell>
          <cell r="N332">
            <v>14.572000000000001</v>
          </cell>
          <cell r="AB332">
            <v>57.418900000000001</v>
          </cell>
          <cell r="BC332">
            <v>61.1</v>
          </cell>
          <cell r="BD332">
            <v>61.255200000000002</v>
          </cell>
          <cell r="BE332">
            <v>101.6593</v>
          </cell>
        </row>
        <row r="333">
          <cell r="G333">
            <v>3091.2910000000002</v>
          </cell>
          <cell r="H333">
            <v>445.72300000000001</v>
          </cell>
          <cell r="I333">
            <v>815.44799999999998</v>
          </cell>
          <cell r="J333">
            <v>1830.1200000000001</v>
          </cell>
          <cell r="N333">
            <v>15.619</v>
          </cell>
          <cell r="AB333">
            <v>57.716700000000003</v>
          </cell>
          <cell r="BC333">
            <v>61.4</v>
          </cell>
          <cell r="BD333">
            <v>61.548500000000004</v>
          </cell>
          <cell r="BE333">
            <v>101.89360000000001</v>
          </cell>
        </row>
        <row r="334">
          <cell r="G334">
            <v>3114.7330000000002</v>
          </cell>
          <cell r="H334">
            <v>452.40000000000003</v>
          </cell>
          <cell r="I334">
            <v>817.29500000000007</v>
          </cell>
          <cell r="J334">
            <v>1845.037</v>
          </cell>
          <cell r="N334">
            <v>15.655000000000001</v>
          </cell>
          <cell r="AB334">
            <v>58.072100000000006</v>
          </cell>
          <cell r="BC334">
            <v>61.800000000000004</v>
          </cell>
          <cell r="BD334">
            <v>61.768700000000003</v>
          </cell>
          <cell r="BE334">
            <v>102.00840000000001</v>
          </cell>
        </row>
        <row r="335">
          <cell r="G335">
            <v>3151.8690000000001</v>
          </cell>
          <cell r="H335">
            <v>468.892</v>
          </cell>
          <cell r="I335">
            <v>822.48099999999999</v>
          </cell>
          <cell r="J335">
            <v>1860.4970000000001</v>
          </cell>
          <cell r="N335">
            <v>17.091999999999999</v>
          </cell>
          <cell r="AB335">
            <v>58.497900000000001</v>
          </cell>
          <cell r="BC335">
            <v>61.9</v>
          </cell>
          <cell r="BD335">
            <v>61.8872</v>
          </cell>
          <cell r="BE335">
            <v>101.95740000000001</v>
          </cell>
        </row>
        <row r="336">
          <cell r="G336">
            <v>3148.1860000000001</v>
          </cell>
          <cell r="H336">
            <v>460.33199999999999</v>
          </cell>
          <cell r="I336">
            <v>822.19200000000001</v>
          </cell>
          <cell r="J336">
            <v>1865.662</v>
          </cell>
          <cell r="N336">
            <v>16.119</v>
          </cell>
          <cell r="AB336">
            <v>58.665700000000001</v>
          </cell>
          <cell r="BC336">
            <v>62.1</v>
          </cell>
          <cell r="BD336">
            <v>61.8962</v>
          </cell>
          <cell r="BE336">
            <v>101.7295</v>
          </cell>
        </row>
        <row r="337">
          <cell r="G337">
            <v>3156.5039999999999</v>
          </cell>
          <cell r="H337">
            <v>443.06900000000002</v>
          </cell>
          <cell r="I337">
            <v>824.15899999999999</v>
          </cell>
          <cell r="J337">
            <v>1889.277</v>
          </cell>
          <cell r="N337">
            <v>14.258000000000001</v>
          </cell>
          <cell r="AB337">
            <v>59.543300000000002</v>
          </cell>
          <cell r="BC337">
            <v>62.2</v>
          </cell>
          <cell r="BD337">
            <v>61.8172</v>
          </cell>
          <cell r="BE337">
            <v>101.36110000000001</v>
          </cell>
        </row>
        <row r="338">
          <cell r="G338">
            <v>3166.2870000000003</v>
          </cell>
          <cell r="H338">
            <v>447.35900000000004</v>
          </cell>
          <cell r="I338">
            <v>826.22699999999998</v>
          </cell>
          <cell r="J338">
            <v>1892.702</v>
          </cell>
          <cell r="N338">
            <v>14.543000000000001</v>
          </cell>
          <cell r="AB338">
            <v>59.858700000000006</v>
          </cell>
          <cell r="BC338">
            <v>61.9</v>
          </cell>
          <cell r="BD338">
            <v>61.714800000000004</v>
          </cell>
          <cell r="BE338">
            <v>100.959</v>
          </cell>
        </row>
        <row r="339">
          <cell r="G339">
            <v>3196.067</v>
          </cell>
          <cell r="H339">
            <v>459.42</v>
          </cell>
          <cell r="I339">
            <v>829.95900000000006</v>
          </cell>
          <cell r="J339">
            <v>1906.6890000000001</v>
          </cell>
          <cell r="N339">
            <v>15.645</v>
          </cell>
          <cell r="AB339">
            <v>60.135100000000001</v>
          </cell>
          <cell r="BC339">
            <v>61.9</v>
          </cell>
          <cell r="BD339">
            <v>61.666500000000006</v>
          </cell>
          <cell r="BE339">
            <v>100.6498</v>
          </cell>
        </row>
        <row r="340">
          <cell r="G340">
            <v>3235.3920000000003</v>
          </cell>
          <cell r="H340">
            <v>470.25100000000003</v>
          </cell>
          <cell r="I340">
            <v>832.221</v>
          </cell>
          <cell r="J340">
            <v>1932.92</v>
          </cell>
          <cell r="N340">
            <v>16.083000000000002</v>
          </cell>
          <cell r="AB340">
            <v>60.166000000000004</v>
          </cell>
          <cell r="BC340">
            <v>61.9</v>
          </cell>
          <cell r="BD340">
            <v>61.708600000000004</v>
          </cell>
          <cell r="BE340">
            <v>100.4923</v>
          </cell>
        </row>
        <row r="341">
          <cell r="G341">
            <v>3242.98</v>
          </cell>
          <cell r="H341">
            <v>468.67099999999999</v>
          </cell>
          <cell r="I341">
            <v>832.66899999999998</v>
          </cell>
          <cell r="J341">
            <v>1941.64</v>
          </cell>
          <cell r="N341">
            <v>16.513000000000002</v>
          </cell>
          <cell r="AB341">
            <v>60.407700000000006</v>
          </cell>
          <cell r="BC341">
            <v>62.6</v>
          </cell>
          <cell r="BD341">
            <v>61.840900000000005</v>
          </cell>
          <cell r="BE341">
            <v>100.48560000000001</v>
          </cell>
        </row>
        <row r="342">
          <cell r="G342">
            <v>3282.1370000000002</v>
          </cell>
          <cell r="H342">
            <v>472.39499999999998</v>
          </cell>
          <cell r="I342">
            <v>850.27200000000005</v>
          </cell>
          <cell r="J342">
            <v>1959.47</v>
          </cell>
          <cell r="N342">
            <v>16.181999999999999</v>
          </cell>
          <cell r="AB342">
            <v>60.5565</v>
          </cell>
          <cell r="BC342">
            <v>62.800000000000004</v>
          </cell>
          <cell r="BD342">
            <v>62.031200000000005</v>
          </cell>
          <cell r="BE342">
            <v>100.57680000000001</v>
          </cell>
        </row>
        <row r="343">
          <cell r="G343">
            <v>3284.8070000000002</v>
          </cell>
          <cell r="H343">
            <v>467.75299999999999</v>
          </cell>
          <cell r="I343">
            <v>849.15800000000002</v>
          </cell>
          <cell r="J343">
            <v>1967.896</v>
          </cell>
          <cell r="N343">
            <v>15.545</v>
          </cell>
          <cell r="AB343">
            <v>60.869100000000003</v>
          </cell>
          <cell r="BC343">
            <v>62.9</v>
          </cell>
          <cell r="BD343">
            <v>62.2517</v>
          </cell>
          <cell r="BE343">
            <v>100.72</v>
          </cell>
        </row>
        <row r="344">
          <cell r="G344">
            <v>3315.1410000000001</v>
          </cell>
          <cell r="H344">
            <v>474.66200000000003</v>
          </cell>
          <cell r="I344">
            <v>854.38099999999997</v>
          </cell>
          <cell r="J344">
            <v>1986.098</v>
          </cell>
          <cell r="N344">
            <v>15.941000000000001</v>
          </cell>
          <cell r="AB344">
            <v>60.825800000000001</v>
          </cell>
          <cell r="BC344">
            <v>63</v>
          </cell>
          <cell r="BD344">
            <v>62.482100000000003</v>
          </cell>
          <cell r="BE344">
            <v>100.88260000000001</v>
          </cell>
        </row>
        <row r="345">
          <cell r="G345">
            <v>3339.12</v>
          </cell>
          <cell r="H345">
            <v>477.25299999999999</v>
          </cell>
          <cell r="I345">
            <v>857.08100000000002</v>
          </cell>
          <cell r="J345">
            <v>2004.787</v>
          </cell>
          <cell r="N345">
            <v>15.854000000000001</v>
          </cell>
          <cell r="AB345">
            <v>60.972000000000001</v>
          </cell>
          <cell r="BC345">
            <v>63.800000000000004</v>
          </cell>
          <cell r="BD345">
            <v>62.705200000000005</v>
          </cell>
          <cell r="BE345">
            <v>101.03710000000001</v>
          </cell>
        </row>
        <row r="346">
          <cell r="G346">
            <v>3361.8240000000001</v>
          </cell>
          <cell r="H346">
            <v>472.35200000000003</v>
          </cell>
          <cell r="I346">
            <v>864.678</v>
          </cell>
          <cell r="J346">
            <v>2024.7940000000001</v>
          </cell>
          <cell r="N346">
            <v>15.704000000000001</v>
          </cell>
          <cell r="AB346">
            <v>61.0473</v>
          </cell>
          <cell r="BC346">
            <v>63.300000000000004</v>
          </cell>
          <cell r="BD346">
            <v>62.895600000000002</v>
          </cell>
          <cell r="BE346">
            <v>101.14240000000001</v>
          </cell>
        </row>
        <row r="347">
          <cell r="G347">
            <v>3386.2620000000002</v>
          </cell>
          <cell r="H347">
            <v>470.14300000000003</v>
          </cell>
          <cell r="I347">
            <v>871.62900000000002</v>
          </cell>
          <cell r="J347">
            <v>2044.49</v>
          </cell>
          <cell r="N347">
            <v>15.385</v>
          </cell>
          <cell r="AB347">
            <v>61.325800000000001</v>
          </cell>
          <cell r="BC347">
            <v>63.4</v>
          </cell>
          <cell r="BD347">
            <v>63.058</v>
          </cell>
          <cell r="BE347">
            <v>101.2068</v>
          </cell>
        </row>
        <row r="348">
          <cell r="G348">
            <v>3393.0909999999999</v>
          </cell>
          <cell r="H348">
            <v>468.67099999999999</v>
          </cell>
          <cell r="I348">
            <v>876.02600000000007</v>
          </cell>
          <cell r="J348">
            <v>2048.3940000000002</v>
          </cell>
          <cell r="N348">
            <v>15.047000000000001</v>
          </cell>
          <cell r="AB348">
            <v>61.100900000000003</v>
          </cell>
          <cell r="BC348">
            <v>63.4</v>
          </cell>
          <cell r="BD348">
            <v>63.203400000000002</v>
          </cell>
          <cell r="BE348">
            <v>101.248</v>
          </cell>
        </row>
        <row r="349">
          <cell r="G349">
            <v>3432.39</v>
          </cell>
          <cell r="H349">
            <v>477.85900000000004</v>
          </cell>
          <cell r="I349">
            <v>883.87099999999998</v>
          </cell>
          <cell r="J349">
            <v>2070.66</v>
          </cell>
          <cell r="N349">
            <v>15.162000000000001</v>
          </cell>
          <cell r="AB349">
            <v>61.423500000000004</v>
          </cell>
          <cell r="BC349">
            <v>63.6</v>
          </cell>
          <cell r="BD349">
            <v>63.338100000000004</v>
          </cell>
          <cell r="BE349">
            <v>101.2762</v>
          </cell>
        </row>
        <row r="350">
          <cell r="G350">
            <v>3449.107</v>
          </cell>
          <cell r="H350">
            <v>481.77600000000001</v>
          </cell>
          <cell r="I350">
            <v>888.03499999999997</v>
          </cell>
          <cell r="J350">
            <v>2079.2959999999998</v>
          </cell>
          <cell r="N350">
            <v>15.394</v>
          </cell>
          <cell r="AB350">
            <v>61.532200000000003</v>
          </cell>
          <cell r="BC350">
            <v>63.5</v>
          </cell>
          <cell r="BD350">
            <v>63.454000000000001</v>
          </cell>
          <cell r="BE350">
            <v>101.2784</v>
          </cell>
        </row>
        <row r="351">
          <cell r="G351">
            <v>3478.4479999999999</v>
          </cell>
          <cell r="H351">
            <v>498.851</v>
          </cell>
          <cell r="I351">
            <v>887.05600000000004</v>
          </cell>
          <cell r="J351">
            <v>2092.5410000000002</v>
          </cell>
          <cell r="N351">
            <v>16.437000000000001</v>
          </cell>
          <cell r="AB351">
            <v>61.794900000000005</v>
          </cell>
          <cell r="BC351">
            <v>63.800000000000004</v>
          </cell>
          <cell r="BD351">
            <v>63.535500000000006</v>
          </cell>
          <cell r="BE351">
            <v>101.22970000000001</v>
          </cell>
        </row>
        <row r="352">
          <cell r="G352">
            <v>3501.88</v>
          </cell>
          <cell r="H352">
            <v>496.18299999999999</v>
          </cell>
          <cell r="I352">
            <v>902.57799999999997</v>
          </cell>
          <cell r="J352">
            <v>2103.1179999999999</v>
          </cell>
          <cell r="N352">
            <v>15.372</v>
          </cell>
          <cell r="AB352">
            <v>61.970200000000006</v>
          </cell>
          <cell r="BC352">
            <v>63.9</v>
          </cell>
          <cell r="BD352">
            <v>63.552300000000002</v>
          </cell>
          <cell r="BE352">
            <v>101.0818</v>
          </cell>
        </row>
        <row r="353">
          <cell r="G353">
            <v>3505.5790000000002</v>
          </cell>
          <cell r="H353">
            <v>481.27600000000001</v>
          </cell>
          <cell r="I353">
            <v>900.47800000000007</v>
          </cell>
          <cell r="J353">
            <v>2123.8249999999998</v>
          </cell>
          <cell r="N353">
            <v>14.991</v>
          </cell>
          <cell r="AB353">
            <v>61.699300000000001</v>
          </cell>
          <cell r="BC353">
            <v>63.5</v>
          </cell>
          <cell r="BD353">
            <v>63.482100000000003</v>
          </cell>
          <cell r="BE353">
            <v>100.80030000000001</v>
          </cell>
        </row>
        <row r="354">
          <cell r="G354">
            <v>3515.7130000000002</v>
          </cell>
          <cell r="H354">
            <v>481.89499999999998</v>
          </cell>
          <cell r="I354">
            <v>904.52</v>
          </cell>
          <cell r="J354">
            <v>2129.297</v>
          </cell>
          <cell r="N354">
            <v>14.662000000000001</v>
          </cell>
          <cell r="AB354">
            <v>61.874200000000002</v>
          </cell>
          <cell r="BC354">
            <v>62.9</v>
          </cell>
          <cell r="BD354">
            <v>63.350500000000004</v>
          </cell>
          <cell r="BE354">
            <v>100.4264</v>
          </cell>
        </row>
        <row r="355">
          <cell r="G355">
            <v>3559.4549999999999</v>
          </cell>
          <cell r="H355">
            <v>500.42700000000002</v>
          </cell>
          <cell r="I355">
            <v>920.572</v>
          </cell>
          <cell r="J355">
            <v>2138.4560000000001</v>
          </cell>
          <cell r="N355">
            <v>16.024000000000001</v>
          </cell>
          <cell r="AB355">
            <v>61.892700000000005</v>
          </cell>
          <cell r="BC355">
            <v>63.2</v>
          </cell>
          <cell r="BD355">
            <v>63.2</v>
          </cell>
          <cell r="BE355">
            <v>100.02730000000001</v>
          </cell>
        </row>
        <row r="356">
          <cell r="G356">
            <v>3567.8389999999999</v>
          </cell>
          <cell r="H356">
            <v>487.63</v>
          </cell>
          <cell r="I356">
            <v>930.18700000000001</v>
          </cell>
          <cell r="J356">
            <v>2150.0219999999999</v>
          </cell>
          <cell r="N356">
            <v>15.266999999999999</v>
          </cell>
          <cell r="AB356">
            <v>61.4816</v>
          </cell>
          <cell r="BC356">
            <v>62.6</v>
          </cell>
          <cell r="BD356">
            <v>63.070100000000004</v>
          </cell>
          <cell r="BE356">
            <v>99.665400000000005</v>
          </cell>
        </row>
        <row r="357">
          <cell r="G357">
            <v>3582.6770000000001</v>
          </cell>
          <cell r="H357">
            <v>491.97500000000002</v>
          </cell>
          <cell r="I357">
            <v>932.48699999999997</v>
          </cell>
          <cell r="J357">
            <v>2158.2150000000001</v>
          </cell>
          <cell r="N357">
            <v>14.384</v>
          </cell>
          <cell r="AB357">
            <v>61.522400000000005</v>
          </cell>
          <cell r="BC357">
            <v>62.5</v>
          </cell>
          <cell r="BD357">
            <v>63.001000000000005</v>
          </cell>
          <cell r="BE357">
            <v>99.403800000000004</v>
          </cell>
        </row>
        <row r="358">
          <cell r="G358">
            <v>3602.2950000000001</v>
          </cell>
          <cell r="H358">
            <v>497.39600000000002</v>
          </cell>
          <cell r="I358">
            <v>932.59100000000001</v>
          </cell>
          <cell r="J358">
            <v>2172.308</v>
          </cell>
          <cell r="N358">
            <v>14.695</v>
          </cell>
          <cell r="AB358">
            <v>60.927800000000005</v>
          </cell>
          <cell r="BC358">
            <v>62.4</v>
          </cell>
          <cell r="BD358">
            <v>63.001600000000003</v>
          </cell>
          <cell r="BE358">
            <v>99.255499999999998</v>
          </cell>
        </row>
        <row r="359">
          <cell r="G359">
            <v>3637.8830000000003</v>
          </cell>
          <cell r="H359">
            <v>518.68299999999999</v>
          </cell>
          <cell r="I359">
            <v>935.04500000000007</v>
          </cell>
          <cell r="J359">
            <v>2184.1550000000002</v>
          </cell>
          <cell r="N359">
            <v>16.547000000000001</v>
          </cell>
          <cell r="AB359">
            <v>61.458000000000006</v>
          </cell>
          <cell r="BC359">
            <v>62.5</v>
          </cell>
          <cell r="BD359">
            <v>63.066000000000003</v>
          </cell>
          <cell r="BE359">
            <v>99.210800000000006</v>
          </cell>
        </row>
        <row r="360">
          <cell r="G360">
            <v>3640.0610000000001</v>
          </cell>
          <cell r="H360">
            <v>500.834</v>
          </cell>
          <cell r="I360">
            <v>941.22699999999998</v>
          </cell>
          <cell r="J360">
            <v>2197.9990000000003</v>
          </cell>
          <cell r="N360">
            <v>15.66</v>
          </cell>
          <cell r="AB360">
            <v>61.291200000000003</v>
          </cell>
          <cell r="BC360">
            <v>62.5</v>
          </cell>
          <cell r="BD360">
            <v>63.1845</v>
          </cell>
          <cell r="BE360">
            <v>99.253600000000006</v>
          </cell>
        </row>
        <row r="361">
          <cell r="G361">
            <v>3653.002</v>
          </cell>
          <cell r="H361">
            <v>493.92900000000003</v>
          </cell>
          <cell r="I361">
            <v>942.96199999999999</v>
          </cell>
          <cell r="J361">
            <v>2216.1109999999999</v>
          </cell>
          <cell r="N361">
            <v>13.581</v>
          </cell>
          <cell r="AB361">
            <v>61.226500000000001</v>
          </cell>
          <cell r="BC361">
            <v>62.300000000000004</v>
          </cell>
          <cell r="BD361">
            <v>63.331400000000002</v>
          </cell>
          <cell r="BE361">
            <v>99.343299999999999</v>
          </cell>
        </row>
        <row r="362">
          <cell r="G362">
            <v>3663.2939999999999</v>
          </cell>
          <cell r="H362">
            <v>490.096</v>
          </cell>
          <cell r="I362">
            <v>948.60800000000006</v>
          </cell>
          <cell r="J362">
            <v>2224.5889999999999</v>
          </cell>
          <cell r="N362">
            <v>13.370000000000001</v>
          </cell>
          <cell r="AB362">
            <v>61.403400000000005</v>
          </cell>
          <cell r="BC362">
            <v>62.4</v>
          </cell>
          <cell r="BD362">
            <v>63.494200000000006</v>
          </cell>
          <cell r="BE362">
            <v>99.459699999999998</v>
          </cell>
        </row>
        <row r="363">
          <cell r="G363">
            <v>3704.223</v>
          </cell>
          <cell r="H363">
            <v>491.63100000000003</v>
          </cell>
          <cell r="I363">
            <v>962.44299999999998</v>
          </cell>
          <cell r="J363">
            <v>2250.1489999999999</v>
          </cell>
          <cell r="N363">
            <v>13.55</v>
          </cell>
          <cell r="AB363">
            <v>61.7667</v>
          </cell>
          <cell r="BC363">
            <v>62.7</v>
          </cell>
          <cell r="BD363">
            <v>63.667300000000004</v>
          </cell>
          <cell r="BE363">
            <v>99.593600000000009</v>
          </cell>
        </row>
        <row r="364">
          <cell r="G364">
            <v>3750.3789999999999</v>
          </cell>
          <cell r="H364">
            <v>536.41200000000003</v>
          </cell>
          <cell r="I364">
            <v>965.30600000000004</v>
          </cell>
          <cell r="J364">
            <v>2248.6620000000003</v>
          </cell>
          <cell r="N364">
            <v>16.308</v>
          </cell>
          <cell r="AB364">
            <v>61.420100000000005</v>
          </cell>
          <cell r="BC364">
            <v>62.7</v>
          </cell>
          <cell r="BD364">
            <v>63.841700000000003</v>
          </cell>
          <cell r="BE364">
            <v>99.73060000000001</v>
          </cell>
        </row>
        <row r="365">
          <cell r="G365">
            <v>3748.5430000000001</v>
          </cell>
          <cell r="H365">
            <v>505.92200000000003</v>
          </cell>
          <cell r="I365">
            <v>975.73900000000003</v>
          </cell>
          <cell r="J365">
            <v>2266.8820000000001</v>
          </cell>
          <cell r="N365">
            <v>14.363</v>
          </cell>
          <cell r="AB365">
            <v>61.9786</v>
          </cell>
          <cell r="BC365">
            <v>62.1</v>
          </cell>
          <cell r="BD365">
            <v>63.985700000000001</v>
          </cell>
          <cell r="BE365">
            <v>99.821100000000001</v>
          </cell>
        </row>
        <row r="366">
          <cell r="G366">
            <v>3777.2280000000001</v>
          </cell>
          <cell r="H366">
            <v>503.84800000000001</v>
          </cell>
          <cell r="I366">
            <v>981.47300000000007</v>
          </cell>
          <cell r="J366">
            <v>2291.9059999999999</v>
          </cell>
          <cell r="N366">
            <v>14.486000000000001</v>
          </cell>
          <cell r="AB366">
            <v>62.298999999999999</v>
          </cell>
          <cell r="BC366">
            <v>62.5</v>
          </cell>
          <cell r="BD366">
            <v>64.065399999999997</v>
          </cell>
          <cell r="BE366">
            <v>99.812200000000004</v>
          </cell>
        </row>
        <row r="367">
          <cell r="G367">
            <v>3796.279</v>
          </cell>
          <cell r="H367">
            <v>505.67099999999999</v>
          </cell>
          <cell r="I367">
            <v>976.505</v>
          </cell>
          <cell r="J367">
            <v>2314.1019999999999</v>
          </cell>
          <cell r="N367">
            <v>14.281000000000001</v>
          </cell>
          <cell r="AB367">
            <v>62.220600000000005</v>
          </cell>
          <cell r="BC367">
            <v>62.1</v>
          </cell>
          <cell r="BD367">
            <v>64.034400000000005</v>
          </cell>
          <cell r="BE367">
            <v>99.632200000000012</v>
          </cell>
        </row>
        <row r="368">
          <cell r="G368">
            <v>3804.7290000000003</v>
          </cell>
          <cell r="H368">
            <v>495.28000000000003</v>
          </cell>
          <cell r="I368">
            <v>977.44299999999998</v>
          </cell>
          <cell r="J368">
            <v>2332.0050000000001</v>
          </cell>
          <cell r="N368">
            <v>14.022</v>
          </cell>
          <cell r="AB368">
            <v>62.3371</v>
          </cell>
          <cell r="BC368">
            <v>62.1</v>
          </cell>
          <cell r="BD368">
            <v>63.868500000000004</v>
          </cell>
          <cell r="BE368">
            <v>99.244200000000006</v>
          </cell>
        </row>
        <row r="369">
          <cell r="G369">
            <v>3834.549</v>
          </cell>
          <cell r="H369">
            <v>494.27000000000004</v>
          </cell>
          <cell r="I369">
            <v>988.61099999999999</v>
          </cell>
          <cell r="J369">
            <v>2351.6680000000001</v>
          </cell>
          <cell r="N369">
            <v>14.149000000000001</v>
          </cell>
          <cell r="AB369">
            <v>62.5306</v>
          </cell>
          <cell r="BC369">
            <v>62.2</v>
          </cell>
          <cell r="BD369">
            <v>63.549300000000002</v>
          </cell>
          <cell r="BE369">
            <v>98.620100000000008</v>
          </cell>
        </row>
        <row r="370">
          <cell r="G370">
            <v>3850.9070000000002</v>
          </cell>
          <cell r="H370">
            <v>496.322</v>
          </cell>
          <cell r="I370">
            <v>991.08199999999999</v>
          </cell>
          <cell r="J370">
            <v>2363.5030000000002</v>
          </cell>
          <cell r="N370">
            <v>14.081</v>
          </cell>
          <cell r="AB370">
            <v>62.4758</v>
          </cell>
          <cell r="BC370">
            <v>62.1</v>
          </cell>
          <cell r="BD370">
            <v>63.082900000000002</v>
          </cell>
          <cell r="BE370">
            <v>97.770200000000003</v>
          </cell>
        </row>
        <row r="371">
          <cell r="G371">
            <v>3876.8050000000003</v>
          </cell>
          <cell r="H371">
            <v>489.31299999999999</v>
          </cell>
          <cell r="I371">
            <v>1004.169</v>
          </cell>
          <cell r="J371">
            <v>2383.3229999999999</v>
          </cell>
          <cell r="N371">
            <v>13.859</v>
          </cell>
          <cell r="AB371">
            <v>62.624700000000004</v>
          </cell>
          <cell r="BC371">
            <v>61.5</v>
          </cell>
          <cell r="BD371">
            <v>62.505800000000001</v>
          </cell>
          <cell r="BE371">
            <v>96.751000000000005</v>
          </cell>
        </row>
        <row r="372">
          <cell r="G372">
            <v>3897.9160000000002</v>
          </cell>
          <cell r="H372">
            <v>495.07600000000002</v>
          </cell>
          <cell r="I372">
            <v>1014.067</v>
          </cell>
          <cell r="J372">
            <v>2388.7730000000001</v>
          </cell>
          <cell r="N372">
            <v>14.298</v>
          </cell>
          <cell r="AB372">
            <v>62.756400000000006</v>
          </cell>
          <cell r="BC372">
            <v>61.1</v>
          </cell>
          <cell r="BD372">
            <v>61.913400000000003</v>
          </cell>
          <cell r="BE372">
            <v>95.709699999999998</v>
          </cell>
        </row>
        <row r="373">
          <cell r="G373">
            <v>3897.4859999999999</v>
          </cell>
          <cell r="H373">
            <v>486.12400000000002</v>
          </cell>
          <cell r="I373">
            <v>1016.331</v>
          </cell>
          <cell r="J373">
            <v>2395.0320000000002</v>
          </cell>
          <cell r="N373">
            <v>13.749000000000001</v>
          </cell>
          <cell r="AB373">
            <v>62.273400000000002</v>
          </cell>
          <cell r="BC373">
            <v>60.6</v>
          </cell>
          <cell r="BD373">
            <v>61.395200000000003</v>
          </cell>
          <cell r="BE373">
            <v>94.784199999999998</v>
          </cell>
        </row>
        <row r="374">
          <cell r="G374">
            <v>3899.498</v>
          </cell>
          <cell r="H374">
            <v>482.73500000000001</v>
          </cell>
          <cell r="I374">
            <v>1023.452</v>
          </cell>
          <cell r="J374">
            <v>2393.31</v>
          </cell>
          <cell r="N374">
            <v>13.134</v>
          </cell>
          <cell r="AB374">
            <v>61.527900000000002</v>
          </cell>
          <cell r="BC374">
            <v>60.2</v>
          </cell>
          <cell r="BD374">
            <v>61.045999999999999</v>
          </cell>
          <cell r="BE374">
            <v>94.118900000000011</v>
          </cell>
        </row>
        <row r="375">
          <cell r="G375">
            <v>3891.0840000000003</v>
          </cell>
          <cell r="H375">
            <v>473.98200000000003</v>
          </cell>
          <cell r="I375">
            <v>1016.4830000000001</v>
          </cell>
          <cell r="J375">
            <v>2400.6190000000001</v>
          </cell>
          <cell r="N375">
            <v>12.958</v>
          </cell>
          <cell r="AB375">
            <v>61.088800000000006</v>
          </cell>
          <cell r="BC375">
            <v>60.300000000000004</v>
          </cell>
          <cell r="BD375">
            <v>60.923900000000003</v>
          </cell>
          <cell r="BE375">
            <v>93.802199999999999</v>
          </cell>
        </row>
        <row r="376">
          <cell r="G376">
            <v>3875.0280000000002</v>
          </cell>
          <cell r="H376">
            <v>452.70100000000002</v>
          </cell>
          <cell r="I376">
            <v>1012.961</v>
          </cell>
          <cell r="J376">
            <v>2409.3650000000002</v>
          </cell>
          <cell r="N376">
            <v>11.829000000000001</v>
          </cell>
          <cell r="AB376">
            <v>60.819700000000005</v>
          </cell>
          <cell r="BC376">
            <v>59.9</v>
          </cell>
          <cell r="BD376">
            <v>61.050600000000003</v>
          </cell>
          <cell r="BE376">
            <v>93.865900000000011</v>
          </cell>
        </row>
        <row r="377">
          <cell r="G377">
            <v>3903.3890000000001</v>
          </cell>
          <cell r="H377">
            <v>466.97500000000002</v>
          </cell>
          <cell r="I377">
            <v>1010.869</v>
          </cell>
          <cell r="J377">
            <v>2425.5450000000001</v>
          </cell>
          <cell r="N377">
            <v>12.409000000000001</v>
          </cell>
          <cell r="AB377">
            <v>60.421300000000002</v>
          </cell>
          <cell r="BC377">
            <v>60.4</v>
          </cell>
          <cell r="BD377">
            <v>61.4283</v>
          </cell>
          <cell r="BE377">
            <v>94.311700000000002</v>
          </cell>
        </row>
        <row r="378">
          <cell r="G378">
            <v>3950.8110000000001</v>
          </cell>
          <cell r="H378">
            <v>495.39600000000002</v>
          </cell>
          <cell r="I378">
            <v>1018.62</v>
          </cell>
          <cell r="J378">
            <v>2436.7950000000001</v>
          </cell>
          <cell r="N378">
            <v>12.848000000000001</v>
          </cell>
          <cell r="AB378">
            <v>60.105900000000005</v>
          </cell>
          <cell r="BC378">
            <v>60.800000000000004</v>
          </cell>
          <cell r="BD378">
            <v>61.974500000000006</v>
          </cell>
          <cell r="BE378">
            <v>95.011400000000009</v>
          </cell>
        </row>
        <row r="379">
          <cell r="G379">
            <v>3944.029</v>
          </cell>
          <cell r="H379">
            <v>474.416</v>
          </cell>
          <cell r="I379">
            <v>1017.234</v>
          </cell>
          <cell r="J379">
            <v>2452.3789999999999</v>
          </cell>
          <cell r="N379">
            <v>12.038</v>
          </cell>
          <cell r="AB379">
            <v>60.206100000000006</v>
          </cell>
          <cell r="BC379">
            <v>61.2</v>
          </cell>
          <cell r="BD379">
            <v>62.598500000000001</v>
          </cell>
          <cell r="BE379">
            <v>95.825600000000009</v>
          </cell>
        </row>
        <row r="380">
          <cell r="G380">
            <v>3969.5830000000001</v>
          </cell>
          <cell r="H380">
            <v>473.54200000000003</v>
          </cell>
          <cell r="I380">
            <v>1026.7460000000001</v>
          </cell>
          <cell r="J380">
            <v>2469.2960000000003</v>
          </cell>
          <cell r="N380">
            <v>12.487</v>
          </cell>
          <cell r="AB380">
            <v>60.819500000000005</v>
          </cell>
          <cell r="BC380">
            <v>61.6</v>
          </cell>
          <cell r="BD380">
            <v>63.2303</v>
          </cell>
          <cell r="BE380">
            <v>96.646200000000007</v>
          </cell>
        </row>
        <row r="381">
          <cell r="G381">
            <v>3976.2640000000001</v>
          </cell>
          <cell r="H381">
            <v>477.78700000000003</v>
          </cell>
          <cell r="I381">
            <v>1021.3150000000001</v>
          </cell>
          <cell r="J381">
            <v>2477.1620000000003</v>
          </cell>
          <cell r="N381">
            <v>12.718999999999999</v>
          </cell>
          <cell r="AB381">
            <v>61.426600000000001</v>
          </cell>
          <cell r="BC381">
            <v>62</v>
          </cell>
          <cell r="BD381">
            <v>63.817500000000003</v>
          </cell>
          <cell r="BE381">
            <v>97.393000000000001</v>
          </cell>
        </row>
        <row r="382">
          <cell r="G382">
            <v>4001.1530000000002</v>
          </cell>
          <cell r="H382">
            <v>485.35500000000002</v>
          </cell>
          <cell r="I382">
            <v>1025.183</v>
          </cell>
          <cell r="J382">
            <v>2490.6150000000002</v>
          </cell>
          <cell r="N382">
            <v>12.972</v>
          </cell>
          <cell r="AB382">
            <v>61.411000000000001</v>
          </cell>
          <cell r="BC382">
            <v>62.9</v>
          </cell>
          <cell r="BD382">
            <v>64.288700000000006</v>
          </cell>
          <cell r="BE382">
            <v>97.957000000000008</v>
          </cell>
        </row>
        <row r="383">
          <cell r="G383">
            <v>4004.2919999999999</v>
          </cell>
          <cell r="H383">
            <v>479.76400000000001</v>
          </cell>
          <cell r="I383">
            <v>1026.385</v>
          </cell>
          <cell r="J383">
            <v>2498.143</v>
          </cell>
          <cell r="N383">
            <v>12.565</v>
          </cell>
          <cell r="AB383">
            <v>61.484000000000002</v>
          </cell>
          <cell r="BC383">
            <v>62.6</v>
          </cell>
          <cell r="BD383">
            <v>64.592799999999997</v>
          </cell>
          <cell r="BE383">
            <v>98.261300000000006</v>
          </cell>
        </row>
        <row r="384">
          <cell r="G384">
            <v>4020.645</v>
          </cell>
          <cell r="H384">
            <v>487.88900000000001</v>
          </cell>
          <cell r="I384">
            <v>1021.6080000000001</v>
          </cell>
          <cell r="J384">
            <v>2511.1480000000001</v>
          </cell>
          <cell r="N384">
            <v>13.107000000000001</v>
          </cell>
          <cell r="AB384">
            <v>62.023300000000006</v>
          </cell>
          <cell r="BC384">
            <v>62.800000000000004</v>
          </cell>
          <cell r="BD384">
            <v>64.746600000000001</v>
          </cell>
          <cell r="BE384">
            <v>98.332100000000011</v>
          </cell>
        </row>
        <row r="385">
          <cell r="G385">
            <v>4013.4970000000003</v>
          </cell>
          <cell r="H385">
            <v>474.13499999999999</v>
          </cell>
          <cell r="I385">
            <v>1018.4490000000001</v>
          </cell>
          <cell r="J385">
            <v>2520.913</v>
          </cell>
          <cell r="N385">
            <v>12.217000000000001</v>
          </cell>
          <cell r="AB385">
            <v>61.889000000000003</v>
          </cell>
          <cell r="BC385">
            <v>62.9</v>
          </cell>
          <cell r="BD385">
            <v>64.803899999999999</v>
          </cell>
          <cell r="BE385">
            <v>98.251900000000006</v>
          </cell>
        </row>
        <row r="386">
          <cell r="G386">
            <v>4042.239</v>
          </cell>
          <cell r="H386">
            <v>477.33600000000001</v>
          </cell>
          <cell r="I386">
            <v>1022.624</v>
          </cell>
          <cell r="J386">
            <v>2542.2800000000002</v>
          </cell>
          <cell r="N386">
            <v>12.576000000000001</v>
          </cell>
          <cell r="AB386">
            <v>61.807400000000001</v>
          </cell>
          <cell r="BC386">
            <v>62.9</v>
          </cell>
          <cell r="BD386">
            <v>64.840800000000002</v>
          </cell>
          <cell r="BE386">
            <v>98.135900000000007</v>
          </cell>
        </row>
        <row r="387">
          <cell r="G387">
            <v>4059.9900000000002</v>
          </cell>
          <cell r="H387">
            <v>480.89600000000002</v>
          </cell>
          <cell r="I387">
            <v>1021.024</v>
          </cell>
          <cell r="J387">
            <v>2558.0700000000002</v>
          </cell>
          <cell r="N387">
            <v>12.657999999999999</v>
          </cell>
          <cell r="AB387">
            <v>61.597700000000003</v>
          </cell>
          <cell r="BC387">
            <v>62.7</v>
          </cell>
          <cell r="BD387">
            <v>64.944600000000008</v>
          </cell>
          <cell r="BE387">
            <v>98.115600000000001</v>
          </cell>
        </row>
        <row r="388">
          <cell r="G388">
            <v>4124.7240000000002</v>
          </cell>
          <cell r="H388">
            <v>495.58100000000002</v>
          </cell>
          <cell r="I388">
            <v>1039.98</v>
          </cell>
          <cell r="J388">
            <v>2589.163</v>
          </cell>
          <cell r="L388">
            <v>147140</v>
          </cell>
          <cell r="M388">
            <v>118784</v>
          </cell>
          <cell r="N388">
            <v>12.591000000000001</v>
          </cell>
          <cell r="AB388">
            <v>61.212800000000001</v>
          </cell>
          <cell r="BC388">
            <v>63.300000000000004</v>
          </cell>
          <cell r="BD388">
            <v>65.1708</v>
          </cell>
          <cell r="BE388">
            <v>98.273800000000008</v>
          </cell>
        </row>
        <row r="389">
          <cell r="G389">
            <v>4139.4539999999997</v>
          </cell>
          <cell r="H389">
            <v>501.26</v>
          </cell>
          <cell r="I389">
            <v>1038.6179999999999</v>
          </cell>
          <cell r="J389">
            <v>2599.5750000000003</v>
          </cell>
          <cell r="L389">
            <v>147808</v>
          </cell>
          <cell r="M389">
            <v>118949</v>
          </cell>
          <cell r="N389">
            <v>12.927</v>
          </cell>
          <cell r="AB389">
            <v>61.691000000000003</v>
          </cell>
          <cell r="BB389">
            <v>106770</v>
          </cell>
          <cell r="BC389">
            <v>63.7</v>
          </cell>
          <cell r="BD389">
            <v>65.493200000000002</v>
          </cell>
          <cell r="BE389">
            <v>98.569500000000005</v>
          </cell>
        </row>
        <row r="390">
          <cell r="G390">
            <v>4156.2809999999999</v>
          </cell>
          <cell r="H390">
            <v>491.69900000000001</v>
          </cell>
          <cell r="I390">
            <v>1034.405</v>
          </cell>
          <cell r="J390">
            <v>2630.1779999999999</v>
          </cell>
          <cell r="L390">
            <v>147327</v>
          </cell>
          <cell r="M390">
            <v>118060</v>
          </cell>
          <cell r="N390">
            <v>12.824</v>
          </cell>
          <cell r="AB390">
            <v>62.194400000000002</v>
          </cell>
          <cell r="BB390">
            <v>112796</v>
          </cell>
          <cell r="BC390">
            <v>64.400000000000006</v>
          </cell>
          <cell r="BD390">
            <v>65.852100000000007</v>
          </cell>
          <cell r="BE390">
            <v>98.912599999999998</v>
          </cell>
        </row>
        <row r="391">
          <cell r="G391">
            <v>4169.3469999999998</v>
          </cell>
          <cell r="H391">
            <v>490.00600000000003</v>
          </cell>
          <cell r="I391">
            <v>1043.306</v>
          </cell>
          <cell r="J391">
            <v>2636.0349999999999</v>
          </cell>
          <cell r="L391">
            <v>148412</v>
          </cell>
          <cell r="M391">
            <v>118425</v>
          </cell>
          <cell r="N391">
            <v>12.55</v>
          </cell>
          <cell r="AB391">
            <v>62.643300000000004</v>
          </cell>
          <cell r="BB391">
            <v>116527</v>
          </cell>
          <cell r="BC391">
            <v>64.7</v>
          </cell>
          <cell r="BD391">
            <v>66.171300000000002</v>
          </cell>
          <cell r="BE391">
            <v>99.188500000000005</v>
          </cell>
        </row>
        <row r="392">
          <cell r="G392">
            <v>4195.93</v>
          </cell>
          <cell r="H392">
            <v>501.94</v>
          </cell>
          <cell r="I392">
            <v>1048.4159999999999</v>
          </cell>
          <cell r="J392">
            <v>2645.5740000000001</v>
          </cell>
          <cell r="L392">
            <v>149259</v>
          </cell>
          <cell r="M392">
            <v>118769</v>
          </cell>
          <cell r="N392">
            <v>13.098000000000001</v>
          </cell>
          <cell r="AB392">
            <v>62.851500000000001</v>
          </cell>
          <cell r="BB392">
            <v>117451</v>
          </cell>
          <cell r="BC392">
            <v>65.099999999999994</v>
          </cell>
          <cell r="BD392">
            <v>66.412300000000002</v>
          </cell>
          <cell r="BE392">
            <v>99.340400000000002</v>
          </cell>
        </row>
        <row r="393">
          <cell r="G393">
            <v>4215.2700000000004</v>
          </cell>
          <cell r="H393">
            <v>511.02100000000002</v>
          </cell>
          <cell r="I393">
            <v>1049.932</v>
          </cell>
          <cell r="J393">
            <v>2654.317</v>
          </cell>
          <cell r="L393">
            <v>150172</v>
          </cell>
          <cell r="M393">
            <v>118875</v>
          </cell>
          <cell r="N393">
            <v>13.543000000000001</v>
          </cell>
          <cell r="AB393">
            <v>62.859900000000003</v>
          </cell>
          <cell r="BB393">
            <v>115986</v>
          </cell>
          <cell r="BC393">
            <v>65.2</v>
          </cell>
          <cell r="BD393">
            <v>66.5655</v>
          </cell>
          <cell r="BE393">
            <v>99.354300000000009</v>
          </cell>
        </row>
        <row r="394">
          <cell r="G394">
            <v>4244.9049999999997</v>
          </cell>
          <cell r="H394">
            <v>507.24799999999999</v>
          </cell>
          <cell r="I394">
            <v>1056.2149999999999</v>
          </cell>
          <cell r="J394">
            <v>2681.442</v>
          </cell>
          <cell r="L394">
            <v>150773</v>
          </cell>
          <cell r="M394">
            <v>119063</v>
          </cell>
          <cell r="N394">
            <v>12.853</v>
          </cell>
          <cell r="AB394">
            <v>63.397000000000006</v>
          </cell>
          <cell r="BB394">
            <v>116574</v>
          </cell>
          <cell r="BC394">
            <v>65.3</v>
          </cell>
          <cell r="BD394">
            <v>66.680400000000006</v>
          </cell>
          <cell r="BE394">
            <v>99.30510000000001</v>
          </cell>
        </row>
        <row r="395">
          <cell r="G395">
            <v>4261.8180000000002</v>
          </cell>
          <cell r="H395">
            <v>511.88900000000001</v>
          </cell>
          <cell r="I395">
            <v>1061.2909999999999</v>
          </cell>
          <cell r="J395">
            <v>2688.6379999999999</v>
          </cell>
          <cell r="L395">
            <v>151409</v>
          </cell>
          <cell r="M395">
            <v>119449</v>
          </cell>
          <cell r="N395">
            <v>12.873000000000001</v>
          </cell>
          <cell r="AB395">
            <v>63.089100000000002</v>
          </cell>
          <cell r="BB395">
            <v>114429</v>
          </cell>
          <cell r="BC395">
            <v>65.5</v>
          </cell>
          <cell r="BD395">
            <v>66.8142</v>
          </cell>
          <cell r="BE395">
            <v>99.2774</v>
          </cell>
        </row>
        <row r="396">
          <cell r="G396">
            <v>4296.2309999999998</v>
          </cell>
          <cell r="H396">
            <v>517.14</v>
          </cell>
          <cell r="I396">
            <v>1065.6410000000001</v>
          </cell>
          <cell r="J396">
            <v>2713.451</v>
          </cell>
          <cell r="L396">
            <v>153282</v>
          </cell>
          <cell r="M396">
            <v>120594</v>
          </cell>
          <cell r="N396">
            <v>13.378</v>
          </cell>
          <cell r="AB396">
            <v>63.219300000000004</v>
          </cell>
          <cell r="BB396">
            <v>113919</v>
          </cell>
          <cell r="BC396">
            <v>65.8</v>
          </cell>
          <cell r="BD396">
            <v>67.013500000000008</v>
          </cell>
          <cell r="BE396">
            <v>99.340100000000007</v>
          </cell>
        </row>
        <row r="397">
          <cell r="G397">
            <v>4324.8119999999999</v>
          </cell>
          <cell r="H397">
            <v>522.69600000000003</v>
          </cell>
          <cell r="I397">
            <v>1073.9080000000001</v>
          </cell>
          <cell r="J397">
            <v>2728.2080000000001</v>
          </cell>
          <cell r="L397">
            <v>153741</v>
          </cell>
          <cell r="M397">
            <v>120578</v>
          </cell>
          <cell r="N397">
            <v>13.655000000000001</v>
          </cell>
          <cell r="AB397">
            <v>63.688400000000001</v>
          </cell>
          <cell r="BB397">
            <v>116069</v>
          </cell>
          <cell r="BC397">
            <v>66.099999999999994</v>
          </cell>
          <cell r="BD397">
            <v>67.305000000000007</v>
          </cell>
          <cell r="BE397">
            <v>99.531600000000012</v>
          </cell>
        </row>
        <row r="398">
          <cell r="G398">
            <v>4339.5770000000002</v>
          </cell>
          <cell r="H398">
            <v>514.08900000000006</v>
          </cell>
          <cell r="I398">
            <v>1071.499</v>
          </cell>
          <cell r="J398">
            <v>2753.9880000000003</v>
          </cell>
          <cell r="L398">
            <v>153957</v>
          </cell>
          <cell r="M398">
            <v>120711</v>
          </cell>
          <cell r="N398">
            <v>13.218</v>
          </cell>
          <cell r="AB398">
            <v>63.947200000000002</v>
          </cell>
          <cell r="BB398">
            <v>114482</v>
          </cell>
          <cell r="BC398">
            <v>66.900000000000006</v>
          </cell>
          <cell r="BD398">
            <v>67.653700000000001</v>
          </cell>
          <cell r="BE398">
            <v>99.799199999999999</v>
          </cell>
        </row>
        <row r="399">
          <cell r="G399">
            <v>4374.3540000000003</v>
          </cell>
          <cell r="H399">
            <v>532.40800000000002</v>
          </cell>
          <cell r="I399">
            <v>1079.021</v>
          </cell>
          <cell r="J399">
            <v>2762.924</v>
          </cell>
          <cell r="L399">
            <v>156094</v>
          </cell>
          <cell r="M399">
            <v>121994</v>
          </cell>
          <cell r="N399">
            <v>13.784000000000001</v>
          </cell>
          <cell r="AB399">
            <v>63.965000000000003</v>
          </cell>
          <cell r="BB399">
            <v>117464</v>
          </cell>
          <cell r="BC399">
            <v>67.8</v>
          </cell>
          <cell r="BD399">
            <v>67.978700000000003</v>
          </cell>
          <cell r="BE399">
            <v>100.024</v>
          </cell>
        </row>
        <row r="400">
          <cell r="G400">
            <v>4376.9849999999997</v>
          </cell>
          <cell r="H400">
            <v>538.13499999999999</v>
          </cell>
          <cell r="I400">
            <v>1078.499</v>
          </cell>
          <cell r="J400">
            <v>2760.3510000000001</v>
          </cell>
          <cell r="L400">
            <v>158085</v>
          </cell>
          <cell r="M400">
            <v>123027</v>
          </cell>
          <cell r="N400">
            <v>13.457000000000001</v>
          </cell>
          <cell r="AB400">
            <v>64.279300000000006</v>
          </cell>
          <cell r="BB400">
            <v>115323</v>
          </cell>
          <cell r="BC400">
            <v>67.7</v>
          </cell>
          <cell r="BD400">
            <v>68.213700000000003</v>
          </cell>
          <cell r="BE400">
            <v>100.1091</v>
          </cell>
        </row>
        <row r="401">
          <cell r="G401">
            <v>4390.6050000000005</v>
          </cell>
          <cell r="H401">
            <v>524.197</v>
          </cell>
          <cell r="I401">
            <v>1081.422</v>
          </cell>
          <cell r="J401">
            <v>2784.9859999999999</v>
          </cell>
          <cell r="L401">
            <v>156595</v>
          </cell>
          <cell r="M401">
            <v>121678</v>
          </cell>
          <cell r="N401">
            <v>12.968999999999999</v>
          </cell>
          <cell r="AB401">
            <v>64.510900000000007</v>
          </cell>
          <cell r="BB401">
            <v>121805</v>
          </cell>
          <cell r="BC401">
            <v>68.099999999999994</v>
          </cell>
          <cell r="BD401">
            <v>68.346400000000003</v>
          </cell>
          <cell r="BE401">
            <v>100.03750000000001</v>
          </cell>
        </row>
        <row r="402">
          <cell r="G402">
            <v>4387.143</v>
          </cell>
          <cell r="H402">
            <v>521.22500000000002</v>
          </cell>
          <cell r="I402">
            <v>1077.4649999999999</v>
          </cell>
          <cell r="J402">
            <v>2788.453</v>
          </cell>
          <cell r="L402">
            <v>155331</v>
          </cell>
          <cell r="M402">
            <v>120606</v>
          </cell>
          <cell r="N402">
            <v>13.326000000000001</v>
          </cell>
          <cell r="AB402">
            <v>64.495699999999999</v>
          </cell>
          <cell r="BB402">
            <v>118465</v>
          </cell>
          <cell r="BC402">
            <v>67.7</v>
          </cell>
          <cell r="BD402">
            <v>68.394000000000005</v>
          </cell>
          <cell r="BE402">
            <v>99.835800000000006</v>
          </cell>
        </row>
        <row r="403">
          <cell r="G403">
            <v>4428.0280000000002</v>
          </cell>
          <cell r="H403">
            <v>542.97800000000007</v>
          </cell>
          <cell r="I403">
            <v>1082.4459999999999</v>
          </cell>
          <cell r="J403">
            <v>2802.6040000000003</v>
          </cell>
          <cell r="L403">
            <v>158910</v>
          </cell>
          <cell r="M403">
            <v>122886</v>
          </cell>
          <cell r="N403">
            <v>14.527000000000001</v>
          </cell>
          <cell r="AB403">
            <v>64.698000000000008</v>
          </cell>
          <cell r="BB403">
            <v>120416</v>
          </cell>
          <cell r="BC403">
            <v>68.3</v>
          </cell>
          <cell r="BD403">
            <v>68.410600000000002</v>
          </cell>
          <cell r="BE403">
            <v>99.583300000000008</v>
          </cell>
        </row>
        <row r="404">
          <cell r="G404">
            <v>4456.1090000000004</v>
          </cell>
          <cell r="H404">
            <v>551.98900000000003</v>
          </cell>
          <cell r="I404">
            <v>1091.6610000000001</v>
          </cell>
          <cell r="J404">
            <v>2812.4589999999998</v>
          </cell>
          <cell r="L404">
            <v>161115</v>
          </cell>
          <cell r="M404">
            <v>124132</v>
          </cell>
          <cell r="N404">
            <v>14.519</v>
          </cell>
          <cell r="AB404">
            <v>64.464300000000009</v>
          </cell>
          <cell r="BB404">
            <v>120046</v>
          </cell>
          <cell r="BC404">
            <v>68.3</v>
          </cell>
          <cell r="BD404">
            <v>68.409100000000009</v>
          </cell>
          <cell r="BE404">
            <v>99.29910000000001</v>
          </cell>
        </row>
        <row r="405">
          <cell r="G405">
            <v>4472.2030000000004</v>
          </cell>
          <cell r="H405">
            <v>548.56000000000006</v>
          </cell>
          <cell r="I405">
            <v>1084.873</v>
          </cell>
          <cell r="J405">
            <v>2838.77</v>
          </cell>
          <cell r="L405">
            <v>160677</v>
          </cell>
          <cell r="M405">
            <v>123889</v>
          </cell>
          <cell r="N405">
            <v>14.49</v>
          </cell>
          <cell r="AB405">
            <v>64.616500000000002</v>
          </cell>
          <cell r="BB405">
            <v>123800</v>
          </cell>
          <cell r="BC405">
            <v>68.600000000000009</v>
          </cell>
          <cell r="BD405">
            <v>68.445800000000006</v>
          </cell>
          <cell r="BE405">
            <v>99.064700000000002</v>
          </cell>
        </row>
        <row r="406">
          <cell r="G406">
            <v>4499.1379999999999</v>
          </cell>
          <cell r="H406">
            <v>558.58900000000006</v>
          </cell>
          <cell r="I406">
            <v>1091.8679999999999</v>
          </cell>
          <cell r="J406">
            <v>2848.681</v>
          </cell>
          <cell r="L406">
            <v>162993</v>
          </cell>
          <cell r="M406">
            <v>125251</v>
          </cell>
          <cell r="N406">
            <v>14.451000000000001</v>
          </cell>
          <cell r="AB406">
            <v>64.820099999999996</v>
          </cell>
          <cell r="BB406">
            <v>119520</v>
          </cell>
          <cell r="BC406">
            <v>68.600000000000009</v>
          </cell>
          <cell r="BD406">
            <v>68.56880000000001</v>
          </cell>
          <cell r="BE406">
            <v>98.948700000000002</v>
          </cell>
        </row>
        <row r="407">
          <cell r="G407">
            <v>4509.9660000000003</v>
          </cell>
          <cell r="H407">
            <v>551.50599999999997</v>
          </cell>
          <cell r="I407">
            <v>1090.423</v>
          </cell>
          <cell r="J407">
            <v>2868.0360000000001</v>
          </cell>
          <cell r="L407">
            <v>162731</v>
          </cell>
          <cell r="M407">
            <v>124997</v>
          </cell>
          <cell r="N407">
            <v>13.584</v>
          </cell>
          <cell r="AB407">
            <v>64.801600000000008</v>
          </cell>
          <cell r="BB407">
            <v>121268</v>
          </cell>
          <cell r="BC407">
            <v>69.100000000000009</v>
          </cell>
          <cell r="BD407">
            <v>68.813400000000001</v>
          </cell>
          <cell r="BE407">
            <v>99.000700000000009</v>
          </cell>
        </row>
        <row r="408">
          <cell r="G408">
            <v>4539.7269999999999</v>
          </cell>
          <cell r="H408">
            <v>559.81899999999996</v>
          </cell>
          <cell r="I408">
            <v>1095.2919999999999</v>
          </cell>
          <cell r="J408">
            <v>2884.616</v>
          </cell>
          <cell r="L408">
            <v>163698</v>
          </cell>
          <cell r="M408">
            <v>125674</v>
          </cell>
          <cell r="N408">
            <v>13.99</v>
          </cell>
          <cell r="AB408">
            <v>65.108699999999999</v>
          </cell>
          <cell r="BB408">
            <v>120854</v>
          </cell>
          <cell r="BC408">
            <v>69.400000000000006</v>
          </cell>
          <cell r="BD408">
            <v>69.182000000000002</v>
          </cell>
          <cell r="BE408">
            <v>99.222400000000007</v>
          </cell>
        </row>
        <row r="409">
          <cell r="G409">
            <v>4560.8389999999999</v>
          </cell>
          <cell r="H409">
            <v>568.851</v>
          </cell>
          <cell r="I409">
            <v>1100.173</v>
          </cell>
          <cell r="J409">
            <v>2891.8139999999999</v>
          </cell>
          <cell r="L409">
            <v>164951</v>
          </cell>
          <cell r="M409">
            <v>125847</v>
          </cell>
          <cell r="N409">
            <v>14.911</v>
          </cell>
          <cell r="AB409">
            <v>65.582400000000007</v>
          </cell>
          <cell r="BB409">
            <v>125851</v>
          </cell>
          <cell r="BC409">
            <v>69.8</v>
          </cell>
          <cell r="BD409">
            <v>69.659800000000004</v>
          </cell>
          <cell r="BE409">
            <v>99.591200000000001</v>
          </cell>
        </row>
        <row r="410">
          <cell r="G410">
            <v>4582.3469999999998</v>
          </cell>
          <cell r="H410">
            <v>574.18899999999996</v>
          </cell>
          <cell r="I410">
            <v>1107.1859999999999</v>
          </cell>
          <cell r="J410">
            <v>2900.9720000000002</v>
          </cell>
          <cell r="L410">
            <v>166986</v>
          </cell>
          <cell r="M410">
            <v>126895</v>
          </cell>
          <cell r="N410">
            <v>14.882</v>
          </cell>
          <cell r="AB410">
            <v>65.849800000000002</v>
          </cell>
          <cell r="BB410">
            <v>124986</v>
          </cell>
          <cell r="BC410">
            <v>70.100000000000009</v>
          </cell>
          <cell r="BD410">
            <v>70.199600000000004</v>
          </cell>
          <cell r="BE410">
            <v>100.0385</v>
          </cell>
        </row>
        <row r="411">
          <cell r="G411">
            <v>4599.9840000000004</v>
          </cell>
          <cell r="H411">
            <v>578.34900000000005</v>
          </cell>
          <cell r="I411">
            <v>1108.4670000000001</v>
          </cell>
          <cell r="J411">
            <v>2913.1680000000001</v>
          </cell>
          <cell r="L411">
            <v>168283</v>
          </cell>
          <cell r="M411">
            <v>127504</v>
          </cell>
          <cell r="N411">
            <v>15.004</v>
          </cell>
          <cell r="AB411">
            <v>66.190600000000003</v>
          </cell>
          <cell r="BB411">
            <v>127176</v>
          </cell>
          <cell r="BC411">
            <v>70.900000000000006</v>
          </cell>
          <cell r="BD411">
            <v>70.771299999999997</v>
          </cell>
          <cell r="BE411">
            <v>100.52090000000001</v>
          </cell>
        </row>
        <row r="412">
          <cell r="G412">
            <v>4614.9359999999997</v>
          </cell>
          <cell r="H412">
            <v>579.64200000000005</v>
          </cell>
          <cell r="I412">
            <v>1109.9259999999999</v>
          </cell>
          <cell r="J412">
            <v>2925.3679999999999</v>
          </cell>
          <cell r="L412">
            <v>168277</v>
          </cell>
          <cell r="M412">
            <v>127100</v>
          </cell>
          <cell r="N412">
            <v>15.379</v>
          </cell>
          <cell r="AB412">
            <v>66.465299999999999</v>
          </cell>
          <cell r="BB412">
            <v>130348</v>
          </cell>
          <cell r="BC412">
            <v>71.100000000000009</v>
          </cell>
          <cell r="BD412">
            <v>71.322400000000002</v>
          </cell>
          <cell r="BE412">
            <v>100.9641</v>
          </cell>
        </row>
        <row r="413">
          <cell r="G413">
            <v>4662.1580000000004</v>
          </cell>
          <cell r="H413">
            <v>593.26700000000005</v>
          </cell>
          <cell r="I413">
            <v>1117.796</v>
          </cell>
          <cell r="J413">
            <v>2951.096</v>
          </cell>
          <cell r="L413">
            <v>170063</v>
          </cell>
          <cell r="M413">
            <v>128536</v>
          </cell>
          <cell r="N413">
            <v>15.52</v>
          </cell>
          <cell r="AB413">
            <v>66.495100000000008</v>
          </cell>
          <cell r="BB413">
            <v>131639</v>
          </cell>
          <cell r="BC413">
            <v>71.100000000000009</v>
          </cell>
          <cell r="BD413">
            <v>71.839399999999998</v>
          </cell>
          <cell r="BE413">
            <v>101.34960000000001</v>
          </cell>
        </row>
        <row r="414">
          <cell r="G414">
            <v>4674.1009999999997</v>
          </cell>
          <cell r="H414">
            <v>593.56299999999999</v>
          </cell>
          <cell r="I414">
            <v>1122.8120000000001</v>
          </cell>
          <cell r="J414">
            <v>2957.7249999999999</v>
          </cell>
          <cell r="L414">
            <v>173020</v>
          </cell>
          <cell r="M414">
            <v>130358</v>
          </cell>
          <cell r="N414">
            <v>15.301</v>
          </cell>
          <cell r="AB414">
            <v>67.1892</v>
          </cell>
          <cell r="BB414">
            <v>131093</v>
          </cell>
          <cell r="BC414">
            <v>71.8</v>
          </cell>
          <cell r="BD414">
            <v>72.329700000000003</v>
          </cell>
          <cell r="BE414">
            <v>101.6883</v>
          </cell>
        </row>
        <row r="415">
          <cell r="G415">
            <v>4697.2300000000005</v>
          </cell>
          <cell r="H415">
            <v>606.98900000000003</v>
          </cell>
          <cell r="I415">
            <v>1126.1079999999999</v>
          </cell>
          <cell r="J415">
            <v>2964.134</v>
          </cell>
          <cell r="L415">
            <v>173650</v>
          </cell>
          <cell r="M415">
            <v>130622</v>
          </cell>
          <cell r="N415">
            <v>16.013000000000002</v>
          </cell>
          <cell r="AB415">
            <v>67.519599999999997</v>
          </cell>
          <cell r="BB415">
            <v>134303</v>
          </cell>
          <cell r="BC415">
            <v>72</v>
          </cell>
          <cell r="BD415">
            <v>72.753399999999999</v>
          </cell>
          <cell r="BE415">
            <v>101.92500000000001</v>
          </cell>
        </row>
        <row r="416">
          <cell r="G416">
            <v>4695.5200000000004</v>
          </cell>
          <cell r="H416">
            <v>588.86199999999997</v>
          </cell>
          <cell r="I416">
            <v>1123.9580000000001</v>
          </cell>
          <cell r="J416">
            <v>2982.7000000000003</v>
          </cell>
          <cell r="L416">
            <v>172608</v>
          </cell>
          <cell r="M416">
            <v>129695</v>
          </cell>
          <cell r="N416">
            <v>14.577</v>
          </cell>
          <cell r="AB416">
            <v>67.879900000000006</v>
          </cell>
          <cell r="BB416">
            <v>135526</v>
          </cell>
          <cell r="BC416">
            <v>72.5</v>
          </cell>
          <cell r="BD416">
            <v>73.101399999999998</v>
          </cell>
          <cell r="BE416">
            <v>102.048</v>
          </cell>
        </row>
        <row r="417">
          <cell r="G417">
            <v>4736.7809999999999</v>
          </cell>
          <cell r="H417">
            <v>600.31100000000004</v>
          </cell>
          <cell r="I417">
            <v>1134.2160000000001</v>
          </cell>
          <cell r="J417">
            <v>3002.2530000000002</v>
          </cell>
          <cell r="L417">
            <v>174681</v>
          </cell>
          <cell r="M417">
            <v>130903</v>
          </cell>
          <cell r="N417">
            <v>15.109</v>
          </cell>
          <cell r="AB417">
            <v>68.338099999999997</v>
          </cell>
          <cell r="BB417">
            <v>138076</v>
          </cell>
          <cell r="BC417">
            <v>72.7</v>
          </cell>
          <cell r="BD417">
            <v>73.37700000000001</v>
          </cell>
          <cell r="BE417">
            <v>102.06320000000001</v>
          </cell>
        </row>
        <row r="418">
          <cell r="G418">
            <v>4752.741</v>
          </cell>
          <cell r="H418">
            <v>602.08699999999999</v>
          </cell>
          <cell r="I418">
            <v>1139.2760000000001</v>
          </cell>
          <cell r="J418">
            <v>3011.3780000000002</v>
          </cell>
          <cell r="L418">
            <v>175159</v>
          </cell>
          <cell r="M418">
            <v>130882</v>
          </cell>
          <cell r="N418">
            <v>14.875</v>
          </cell>
          <cell r="AB418">
            <v>68.459800000000001</v>
          </cell>
          <cell r="BB418">
            <v>138160</v>
          </cell>
          <cell r="BC418">
            <v>72.600000000000009</v>
          </cell>
          <cell r="BD418">
            <v>73.60990000000001</v>
          </cell>
          <cell r="BE418">
            <v>102.01260000000001</v>
          </cell>
        </row>
        <row r="419">
          <cell r="G419">
            <v>4796.9390000000003</v>
          </cell>
          <cell r="H419">
            <v>612.00800000000004</v>
          </cell>
          <cell r="I419">
            <v>1154.96</v>
          </cell>
          <cell r="J419">
            <v>3029.971</v>
          </cell>
          <cell r="L419">
            <v>177667</v>
          </cell>
          <cell r="M419">
            <v>131925</v>
          </cell>
          <cell r="N419">
            <v>15.359</v>
          </cell>
          <cell r="AB419">
            <v>68.838000000000008</v>
          </cell>
          <cell r="BB419">
            <v>138999</v>
          </cell>
          <cell r="BC419">
            <v>73.2</v>
          </cell>
          <cell r="BD419">
            <v>73.820700000000002</v>
          </cell>
          <cell r="BE419">
            <v>101.92570000000001</v>
          </cell>
        </row>
        <row r="420">
          <cell r="G420">
            <v>4809.2619999999997</v>
          </cell>
          <cell r="H420">
            <v>613.83600000000001</v>
          </cell>
          <cell r="I420">
            <v>1154.5070000000001</v>
          </cell>
          <cell r="J420">
            <v>3040.9189999999999</v>
          </cell>
          <cell r="L420">
            <v>178867</v>
          </cell>
          <cell r="M420">
            <v>132536</v>
          </cell>
          <cell r="N420">
            <v>15.274000000000001</v>
          </cell>
          <cell r="AB420">
            <v>68.999000000000009</v>
          </cell>
          <cell r="BB420">
            <v>139195</v>
          </cell>
          <cell r="BC420">
            <v>73.5</v>
          </cell>
          <cell r="BD420">
            <v>74.009500000000003</v>
          </cell>
          <cell r="BE420">
            <v>101.80300000000001</v>
          </cell>
        </row>
        <row r="421">
          <cell r="G421">
            <v>4844.558</v>
          </cell>
          <cell r="H421">
            <v>629.63900000000001</v>
          </cell>
          <cell r="I421">
            <v>1161.097</v>
          </cell>
          <cell r="J421">
            <v>3053.8220000000001</v>
          </cell>
          <cell r="L421">
            <v>181199</v>
          </cell>
          <cell r="M421">
            <v>134057</v>
          </cell>
          <cell r="N421">
            <v>15.894</v>
          </cell>
          <cell r="AB421">
            <v>69.583200000000005</v>
          </cell>
          <cell r="BB421">
            <v>141429</v>
          </cell>
          <cell r="BC421">
            <v>73.900000000000006</v>
          </cell>
          <cell r="BD421">
            <v>74.158500000000004</v>
          </cell>
          <cell r="BE421">
            <v>101.6207</v>
          </cell>
        </row>
        <row r="422">
          <cell r="G422">
            <v>4855.3689999999997</v>
          </cell>
          <cell r="H422">
            <v>635.14499999999998</v>
          </cell>
          <cell r="I422">
            <v>1159.0920000000001</v>
          </cell>
          <cell r="J422">
            <v>3061.1320000000001</v>
          </cell>
          <cell r="L422">
            <v>181184</v>
          </cell>
          <cell r="M422">
            <v>133712</v>
          </cell>
          <cell r="N422">
            <v>15.89</v>
          </cell>
          <cell r="AB422">
            <v>70.017300000000006</v>
          </cell>
          <cell r="BB422">
            <v>143754</v>
          </cell>
          <cell r="BC422">
            <v>74.100000000000009</v>
          </cell>
          <cell r="BD422">
            <v>74.227400000000003</v>
          </cell>
          <cell r="BE422">
            <v>101.32470000000001</v>
          </cell>
        </row>
        <row r="423">
          <cell r="G423">
            <v>4870.0640000000003</v>
          </cell>
          <cell r="H423">
            <v>630.70600000000002</v>
          </cell>
          <cell r="I423">
            <v>1168.8410000000001</v>
          </cell>
          <cell r="J423">
            <v>3070.5160000000001</v>
          </cell>
          <cell r="L423">
            <v>181891</v>
          </cell>
          <cell r="M423">
            <v>134003</v>
          </cell>
          <cell r="N423">
            <v>15.584</v>
          </cell>
          <cell r="AB423">
            <v>70.792699999999996</v>
          </cell>
          <cell r="BB423">
            <v>144549</v>
          </cell>
          <cell r="BC423">
            <v>74.400000000000006</v>
          </cell>
          <cell r="BD423">
            <v>74.197400000000002</v>
          </cell>
          <cell r="BE423">
            <v>100.8909</v>
          </cell>
        </row>
        <row r="424">
          <cell r="B424">
            <v>6000.3879999999999</v>
          </cell>
          <cell r="C424">
            <v>499.49200000000002</v>
          </cell>
          <cell r="D424">
            <v>1435.232</v>
          </cell>
          <cell r="E424">
            <v>4146.5</v>
          </cell>
          <cell r="G424">
            <v>4878.3680000000004</v>
          </cell>
          <cell r="H424">
            <v>623.55799999999999</v>
          </cell>
          <cell r="I424">
            <v>1172.952</v>
          </cell>
          <cell r="J424">
            <v>3081.8580000000002</v>
          </cell>
          <cell r="L424">
            <v>182946</v>
          </cell>
          <cell r="M424">
            <v>134338</v>
          </cell>
          <cell r="N424">
            <v>14.8</v>
          </cell>
          <cell r="AB424">
            <v>70.988600000000005</v>
          </cell>
          <cell r="BB424">
            <v>145999</v>
          </cell>
          <cell r="BC424">
            <v>74.3</v>
          </cell>
          <cell r="BD424">
            <v>74.067900000000009</v>
          </cell>
          <cell r="BE424">
            <v>100.32050000000001</v>
          </cell>
        </row>
        <row r="425">
          <cell r="B425">
            <v>5987.14</v>
          </cell>
          <cell r="C425">
            <v>491.077</v>
          </cell>
          <cell r="D425">
            <v>1420.394</v>
          </cell>
          <cell r="E425">
            <v>4162.4250000000002</v>
          </cell>
          <cell r="G425">
            <v>4876.9939999999997</v>
          </cell>
          <cell r="H425">
            <v>613.00400000000002</v>
          </cell>
          <cell r="I425">
            <v>1161.027</v>
          </cell>
          <cell r="J425">
            <v>3102.9639999999999</v>
          </cell>
          <cell r="L425">
            <v>179897</v>
          </cell>
          <cell r="M425">
            <v>131765</v>
          </cell>
          <cell r="N425">
            <v>14.877000000000001</v>
          </cell>
          <cell r="AB425">
            <v>70.968800000000002</v>
          </cell>
          <cell r="BB425">
            <v>146957</v>
          </cell>
          <cell r="BC425">
            <v>74.100000000000009</v>
          </cell>
          <cell r="BD425">
            <v>73.853400000000008</v>
          </cell>
          <cell r="BE425">
            <v>99.635000000000005</v>
          </cell>
        </row>
        <row r="426">
          <cell r="B426">
            <v>6017.1500000000005</v>
          </cell>
          <cell r="C426">
            <v>501.40800000000002</v>
          </cell>
          <cell r="D426">
            <v>1428.3440000000001</v>
          </cell>
          <cell r="E426">
            <v>4169.1790000000001</v>
          </cell>
          <cell r="G426">
            <v>4910.59</v>
          </cell>
          <cell r="H426">
            <v>627.178</v>
          </cell>
          <cell r="I426">
            <v>1166.5830000000001</v>
          </cell>
          <cell r="J426">
            <v>3116.8290000000002</v>
          </cell>
          <cell r="L426">
            <v>181266</v>
          </cell>
          <cell r="M426">
            <v>132638</v>
          </cell>
          <cell r="N426">
            <v>15.256</v>
          </cell>
          <cell r="AB426">
            <v>71.09020000000001</v>
          </cell>
          <cell r="BB426">
            <v>145407</v>
          </cell>
          <cell r="BC426">
            <v>73.600000000000009</v>
          </cell>
          <cell r="BD426">
            <v>73.614699999999999</v>
          </cell>
          <cell r="BE426">
            <v>98.917700000000011</v>
          </cell>
        </row>
        <row r="427">
          <cell r="B427">
            <v>6006.3360000000002</v>
          </cell>
          <cell r="C427">
            <v>489.97399999999999</v>
          </cell>
          <cell r="D427">
            <v>1425.5550000000001</v>
          </cell>
          <cell r="E427">
            <v>4179.4759999999997</v>
          </cell>
          <cell r="G427">
            <v>4914.4840000000004</v>
          </cell>
          <cell r="H427">
            <v>613.16300000000001</v>
          </cell>
          <cell r="I427">
            <v>1168.354</v>
          </cell>
          <cell r="J427">
            <v>3132.9679999999998</v>
          </cell>
          <cell r="L427">
            <v>182295</v>
          </cell>
          <cell r="M427">
            <v>132867</v>
          </cell>
          <cell r="N427">
            <v>14.375</v>
          </cell>
          <cell r="AB427">
            <v>71.033600000000007</v>
          </cell>
          <cell r="BB427">
            <v>145316</v>
          </cell>
          <cell r="BC427">
            <v>73.7</v>
          </cell>
          <cell r="BD427">
            <v>73.438200000000009</v>
          </cell>
          <cell r="BE427">
            <v>98.284500000000008</v>
          </cell>
        </row>
        <row r="428">
          <cell r="B428">
            <v>6048.991</v>
          </cell>
          <cell r="C428">
            <v>500.89699999999999</v>
          </cell>
          <cell r="D428">
            <v>1436.2090000000001</v>
          </cell>
          <cell r="E428">
            <v>4196.1559999999999</v>
          </cell>
          <cell r="G428">
            <v>4956.8060000000005</v>
          </cell>
          <cell r="H428">
            <v>624.80399999999997</v>
          </cell>
          <cell r="I428">
            <v>1178.4680000000001</v>
          </cell>
          <cell r="J428">
            <v>3153.5340000000001</v>
          </cell>
          <cell r="L428">
            <v>183825</v>
          </cell>
          <cell r="M428">
            <v>133679</v>
          </cell>
          <cell r="N428">
            <v>14.804</v>
          </cell>
          <cell r="AB428">
            <v>71.19380000000001</v>
          </cell>
          <cell r="BB428">
            <v>146665</v>
          </cell>
          <cell r="BC428">
            <v>73.600000000000009</v>
          </cell>
          <cell r="BD428">
            <v>73.374700000000004</v>
          </cell>
          <cell r="BE428">
            <v>97.80210000000001</v>
          </cell>
        </row>
        <row r="429">
          <cell r="B429">
            <v>6096.99</v>
          </cell>
          <cell r="C429">
            <v>516.279</v>
          </cell>
          <cell r="D429">
            <v>1443.2670000000001</v>
          </cell>
          <cell r="E429">
            <v>4215.2839999999997</v>
          </cell>
          <cell r="G429">
            <v>5001.18</v>
          </cell>
          <cell r="H429">
            <v>642.74900000000002</v>
          </cell>
          <cell r="I429">
            <v>1184.1300000000001</v>
          </cell>
          <cell r="J429">
            <v>3174.3009999999999</v>
          </cell>
          <cell r="L429">
            <v>186342</v>
          </cell>
          <cell r="M429">
            <v>135048</v>
          </cell>
          <cell r="N429">
            <v>15.411</v>
          </cell>
          <cell r="AB429">
            <v>71.438200000000009</v>
          </cell>
          <cell r="BB429">
            <v>143352</v>
          </cell>
          <cell r="BC429">
            <v>73.8</v>
          </cell>
          <cell r="BD429">
            <v>73.447299999999998</v>
          </cell>
          <cell r="BE429">
            <v>97.499600000000001</v>
          </cell>
        </row>
        <row r="430">
          <cell r="B430">
            <v>6080.2619999999997</v>
          </cell>
          <cell r="C430">
            <v>507.214</v>
          </cell>
          <cell r="D430">
            <v>1440.249</v>
          </cell>
          <cell r="E430">
            <v>4215.348</v>
          </cell>
          <cell r="G430">
            <v>4994.1819999999998</v>
          </cell>
          <cell r="H430">
            <v>630.96699999999998</v>
          </cell>
          <cell r="I430">
            <v>1182.923</v>
          </cell>
          <cell r="J430">
            <v>3180.2910000000002</v>
          </cell>
          <cell r="L430">
            <v>186058</v>
          </cell>
          <cell r="M430">
            <v>134730</v>
          </cell>
          <cell r="N430">
            <v>14.706</v>
          </cell>
          <cell r="AB430">
            <v>71.156599999999997</v>
          </cell>
          <cell r="BB430">
            <v>143198</v>
          </cell>
          <cell r="BC430">
            <v>74</v>
          </cell>
          <cell r="BD430">
            <v>73.635800000000003</v>
          </cell>
          <cell r="BE430">
            <v>97.347999999999999</v>
          </cell>
        </row>
        <row r="431">
          <cell r="B431">
            <v>6109.9290000000001</v>
          </cell>
          <cell r="C431">
            <v>518.34400000000005</v>
          </cell>
          <cell r="D431">
            <v>1433.626</v>
          </cell>
          <cell r="E431">
            <v>4236.5150000000003</v>
          </cell>
          <cell r="G431">
            <v>5029.6019999999999</v>
          </cell>
          <cell r="H431">
            <v>645.33299999999997</v>
          </cell>
          <cell r="I431">
            <v>1178.6000000000001</v>
          </cell>
          <cell r="J431">
            <v>3205.6689999999999</v>
          </cell>
          <cell r="L431">
            <v>187129</v>
          </cell>
          <cell r="M431">
            <v>135315</v>
          </cell>
          <cell r="N431">
            <v>15.371</v>
          </cell>
          <cell r="AB431">
            <v>72.093100000000007</v>
          </cell>
          <cell r="BB431">
            <v>146898</v>
          </cell>
          <cell r="BC431">
            <v>74.3</v>
          </cell>
          <cell r="BD431">
            <v>73.871899999999997</v>
          </cell>
          <cell r="BE431">
            <v>97.255900000000011</v>
          </cell>
        </row>
        <row r="432">
          <cell r="B432">
            <v>6124.3739999999998</v>
          </cell>
          <cell r="C432">
            <v>524.13599999999997</v>
          </cell>
          <cell r="D432">
            <v>1446.443</v>
          </cell>
          <cell r="E432">
            <v>4228.7870000000003</v>
          </cell>
          <cell r="G432">
            <v>5044.8720000000003</v>
          </cell>
          <cell r="H432">
            <v>651.32900000000006</v>
          </cell>
          <cell r="I432">
            <v>1189.549</v>
          </cell>
          <cell r="J432">
            <v>3203.9940000000001</v>
          </cell>
          <cell r="L432">
            <v>187839</v>
          </cell>
          <cell r="M432">
            <v>135541</v>
          </cell>
          <cell r="N432">
            <v>15.344000000000001</v>
          </cell>
          <cell r="AB432">
            <v>72.344800000000006</v>
          </cell>
          <cell r="BB432">
            <v>153769</v>
          </cell>
          <cell r="BC432">
            <v>74.600000000000009</v>
          </cell>
          <cell r="BD432">
            <v>74.116500000000002</v>
          </cell>
          <cell r="BE432">
            <v>97.171700000000001</v>
          </cell>
        </row>
        <row r="433">
          <cell r="B433">
            <v>6101.076</v>
          </cell>
          <cell r="C433">
            <v>513.63</v>
          </cell>
          <cell r="D433">
            <v>1434.049</v>
          </cell>
          <cell r="E433">
            <v>4234.0940000000001</v>
          </cell>
          <cell r="G433">
            <v>5038.0929999999998</v>
          </cell>
          <cell r="H433">
            <v>638.07900000000006</v>
          </cell>
          <cell r="I433">
            <v>1181.537</v>
          </cell>
          <cell r="J433">
            <v>3218.4769999999999</v>
          </cell>
          <cell r="L433">
            <v>187001</v>
          </cell>
          <cell r="M433">
            <v>134636</v>
          </cell>
          <cell r="N433">
            <v>14.866</v>
          </cell>
          <cell r="AB433">
            <v>72.197299999999998</v>
          </cell>
          <cell r="BB433">
            <v>149315</v>
          </cell>
          <cell r="BC433">
            <v>74.400000000000006</v>
          </cell>
          <cell r="BD433">
            <v>74.376500000000007</v>
          </cell>
          <cell r="BE433">
            <v>97.103999999999999</v>
          </cell>
        </row>
        <row r="434">
          <cell r="B434">
            <v>6151.76</v>
          </cell>
          <cell r="C434">
            <v>524.98300000000006</v>
          </cell>
          <cell r="D434">
            <v>1449.5430000000001</v>
          </cell>
          <cell r="E434">
            <v>4253.8150000000005</v>
          </cell>
          <cell r="G434">
            <v>5079.93</v>
          </cell>
          <cell r="H434">
            <v>650.63300000000004</v>
          </cell>
          <cell r="I434">
            <v>1191.5119999999999</v>
          </cell>
          <cell r="J434">
            <v>3237.7849999999999</v>
          </cell>
          <cell r="L434">
            <v>189291</v>
          </cell>
          <cell r="M434">
            <v>135962</v>
          </cell>
          <cell r="N434">
            <v>15.389000000000001</v>
          </cell>
          <cell r="AB434">
            <v>72.367800000000003</v>
          </cell>
          <cell r="BB434">
            <v>151425</v>
          </cell>
          <cell r="BC434">
            <v>74.400000000000006</v>
          </cell>
          <cell r="BD434">
            <v>74.678600000000003</v>
          </cell>
          <cell r="BE434">
            <v>97.087500000000006</v>
          </cell>
        </row>
        <row r="435">
          <cell r="B435">
            <v>6190.5</v>
          </cell>
          <cell r="C435">
            <v>538</v>
          </cell>
          <cell r="D435">
            <v>1459.01</v>
          </cell>
          <cell r="E435">
            <v>4264.4059999999999</v>
          </cell>
          <cell r="G435">
            <v>5122.2359999999999</v>
          </cell>
          <cell r="H435">
            <v>668.06000000000006</v>
          </cell>
          <cell r="I435">
            <v>1201.905</v>
          </cell>
          <cell r="J435">
            <v>3252.2710000000002</v>
          </cell>
          <cell r="L435">
            <v>191358</v>
          </cell>
          <cell r="M435">
            <v>137123</v>
          </cell>
          <cell r="N435">
            <v>16.269000000000002</v>
          </cell>
          <cell r="AB435">
            <v>72.646000000000001</v>
          </cell>
          <cell r="BB435">
            <v>156419</v>
          </cell>
          <cell r="BC435">
            <v>74.8</v>
          </cell>
          <cell r="BD435">
            <v>75.042000000000002</v>
          </cell>
          <cell r="BE435">
            <v>97.146500000000003</v>
          </cell>
        </row>
        <row r="436">
          <cell r="B436">
            <v>6162.1859999999997</v>
          </cell>
          <cell r="C436">
            <v>519.74099999999999</v>
          </cell>
          <cell r="D436">
            <v>1448.7950000000001</v>
          </cell>
          <cell r="E436">
            <v>4274.4250000000002</v>
          </cell>
          <cell r="G436">
            <v>5111.1450000000004</v>
          </cell>
          <cell r="H436">
            <v>645.81700000000001</v>
          </cell>
          <cell r="I436">
            <v>1200.1290000000001</v>
          </cell>
          <cell r="J436">
            <v>3265.1990000000001</v>
          </cell>
          <cell r="L436">
            <v>189489</v>
          </cell>
          <cell r="M436">
            <v>135154</v>
          </cell>
          <cell r="N436">
            <v>14.8</v>
          </cell>
          <cell r="AB436">
            <v>72.198800000000006</v>
          </cell>
          <cell r="BB436">
            <v>149161</v>
          </cell>
          <cell r="BC436">
            <v>73.7</v>
          </cell>
          <cell r="BD436">
            <v>75.484700000000004</v>
          </cell>
          <cell r="BE436">
            <v>97.303200000000004</v>
          </cell>
        </row>
        <row r="437">
          <cell r="B437">
            <v>6209.41</v>
          </cell>
          <cell r="C437">
            <v>534.34299999999996</v>
          </cell>
          <cell r="D437">
            <v>1456.586</v>
          </cell>
          <cell r="E437">
            <v>4293.5320000000002</v>
          </cell>
          <cell r="G437">
            <v>5158.7439999999997</v>
          </cell>
          <cell r="H437">
            <v>663.24099999999999</v>
          </cell>
          <cell r="I437">
            <v>1209.33</v>
          </cell>
          <cell r="J437">
            <v>3286.1730000000002</v>
          </cell>
          <cell r="L437">
            <v>192860</v>
          </cell>
          <cell r="M437">
            <v>137199</v>
          </cell>
          <cell r="N437">
            <v>15.574</v>
          </cell>
          <cell r="AB437">
            <v>73.360300000000009</v>
          </cell>
          <cell r="BB437">
            <v>145549</v>
          </cell>
          <cell r="BC437">
            <v>74.7</v>
          </cell>
          <cell r="BD437">
            <v>76.016400000000004</v>
          </cell>
          <cell r="BE437">
            <v>97.569100000000006</v>
          </cell>
        </row>
        <row r="438">
          <cell r="B438">
            <v>6240.4949999999999</v>
          </cell>
          <cell r="C438">
            <v>539.64800000000002</v>
          </cell>
          <cell r="D438">
            <v>1465.337</v>
          </cell>
          <cell r="E438">
            <v>4309.2089999999998</v>
          </cell>
          <cell r="G438">
            <v>5199.74</v>
          </cell>
          <cell r="H438">
            <v>670.45400000000006</v>
          </cell>
          <cell r="I438">
            <v>1224.059</v>
          </cell>
          <cell r="J438">
            <v>3305.2269999999999</v>
          </cell>
          <cell r="L438">
            <v>194585</v>
          </cell>
          <cell r="M438">
            <v>137931</v>
          </cell>
          <cell r="N438">
            <v>16.03</v>
          </cell>
          <cell r="AB438">
            <v>73.274299999999997</v>
          </cell>
          <cell r="BB438">
            <v>151958</v>
          </cell>
          <cell r="BC438">
            <v>75.2</v>
          </cell>
          <cell r="BD438">
            <v>76.610600000000005</v>
          </cell>
          <cell r="BE438">
            <v>97.909100000000009</v>
          </cell>
        </row>
        <row r="439">
          <cell r="B439">
            <v>6265.5259999999998</v>
          </cell>
          <cell r="C439">
            <v>548.92200000000003</v>
          </cell>
          <cell r="D439">
            <v>1472.0930000000001</v>
          </cell>
          <cell r="E439">
            <v>4314.116</v>
          </cell>
          <cell r="G439">
            <v>5235.5879999999997</v>
          </cell>
          <cell r="H439">
            <v>679.50200000000007</v>
          </cell>
          <cell r="I439">
            <v>1237.5140000000001</v>
          </cell>
          <cell r="J439">
            <v>3318.5720000000001</v>
          </cell>
          <cell r="L439">
            <v>195097</v>
          </cell>
          <cell r="M439">
            <v>137787</v>
          </cell>
          <cell r="N439">
            <v>15.453000000000001</v>
          </cell>
          <cell r="AB439">
            <v>73.894900000000007</v>
          </cell>
          <cell r="BB439">
            <v>150418</v>
          </cell>
          <cell r="BC439">
            <v>75.400000000000006</v>
          </cell>
          <cell r="BD439">
            <v>77.218900000000005</v>
          </cell>
          <cell r="BE439">
            <v>98.26100000000001</v>
          </cell>
        </row>
        <row r="440">
          <cell r="B440">
            <v>6274.5870000000004</v>
          </cell>
          <cell r="C440">
            <v>551.83000000000004</v>
          </cell>
          <cell r="D440">
            <v>1471.373</v>
          </cell>
          <cell r="E440">
            <v>4320.1040000000003</v>
          </cell>
          <cell r="G440">
            <v>5251.88</v>
          </cell>
          <cell r="H440">
            <v>680.13800000000003</v>
          </cell>
          <cell r="I440">
            <v>1238.011</v>
          </cell>
          <cell r="J440">
            <v>3333.7310000000002</v>
          </cell>
          <cell r="L440">
            <v>196547</v>
          </cell>
          <cell r="M440">
            <v>138554</v>
          </cell>
          <cell r="N440">
            <v>15.978</v>
          </cell>
          <cell r="AB440">
            <v>74.389899999999997</v>
          </cell>
          <cell r="BB440">
            <v>156461</v>
          </cell>
          <cell r="BC440">
            <v>75.900000000000006</v>
          </cell>
          <cell r="BD440">
            <v>77.8078</v>
          </cell>
          <cell r="BE440">
            <v>98.582599999999999</v>
          </cell>
        </row>
        <row r="441">
          <cell r="B441">
            <v>6282.509</v>
          </cell>
          <cell r="C441">
            <v>543.68399999999997</v>
          </cell>
          <cell r="D441">
            <v>1483.415</v>
          </cell>
          <cell r="E441">
            <v>4328.5889999999999</v>
          </cell>
          <cell r="G441">
            <v>5258.8789999999999</v>
          </cell>
          <cell r="H441">
            <v>669.38900000000001</v>
          </cell>
          <cell r="I441">
            <v>1243.096</v>
          </cell>
          <cell r="J441">
            <v>3346.3940000000002</v>
          </cell>
          <cell r="L441">
            <v>196697</v>
          </cell>
          <cell r="M441">
            <v>138278</v>
          </cell>
          <cell r="N441">
            <v>15.241</v>
          </cell>
          <cell r="AB441">
            <v>75.059899999999999</v>
          </cell>
          <cell r="BB441">
            <v>156926</v>
          </cell>
          <cell r="BC441">
            <v>76.5</v>
          </cell>
          <cell r="BD441">
            <v>78.347300000000004</v>
          </cell>
          <cell r="BE441">
            <v>98.836600000000004</v>
          </cell>
        </row>
        <row r="442">
          <cell r="B442">
            <v>6294.7780000000002</v>
          </cell>
          <cell r="C442">
            <v>546.53700000000003</v>
          </cell>
          <cell r="D442">
            <v>1483.623</v>
          </cell>
          <cell r="E442">
            <v>4337.0720000000001</v>
          </cell>
          <cell r="G442">
            <v>5281.3689999999997</v>
          </cell>
          <cell r="H442">
            <v>672.85599999999999</v>
          </cell>
          <cell r="I442">
            <v>1244.3330000000001</v>
          </cell>
          <cell r="J442">
            <v>3364.1790000000001</v>
          </cell>
          <cell r="L442">
            <v>196599</v>
          </cell>
          <cell r="M442">
            <v>138087</v>
          </cell>
          <cell r="N442">
            <v>15.063000000000001</v>
          </cell>
          <cell r="AB442">
            <v>74.970399999999998</v>
          </cell>
          <cell r="BB442">
            <v>157627</v>
          </cell>
          <cell r="BC442">
            <v>76.600000000000009</v>
          </cell>
          <cell r="BD442">
            <v>78.821399999999997</v>
          </cell>
          <cell r="BE442">
            <v>99.004000000000005</v>
          </cell>
        </row>
        <row r="443">
          <cell r="B443">
            <v>6316.1019999999999</v>
          </cell>
          <cell r="C443">
            <v>553.82900000000006</v>
          </cell>
          <cell r="D443">
            <v>1488.444</v>
          </cell>
          <cell r="E443">
            <v>4343.3509999999997</v>
          </cell>
          <cell r="G443">
            <v>5305.06</v>
          </cell>
          <cell r="H443">
            <v>681.61</v>
          </cell>
          <cell r="I443">
            <v>1246.2270000000001</v>
          </cell>
          <cell r="J443">
            <v>3377.223</v>
          </cell>
          <cell r="L443">
            <v>196667</v>
          </cell>
          <cell r="M443">
            <v>137951</v>
          </cell>
          <cell r="N443">
            <v>15.472</v>
          </cell>
          <cell r="AB443">
            <v>75.451900000000009</v>
          </cell>
          <cell r="BB443">
            <v>151873</v>
          </cell>
          <cell r="BC443">
            <v>76.7</v>
          </cell>
          <cell r="BD443">
            <v>79.263800000000003</v>
          </cell>
          <cell r="BE443">
            <v>99.128399999999999</v>
          </cell>
        </row>
        <row r="444">
          <cell r="B444">
            <v>6324.4290000000001</v>
          </cell>
          <cell r="C444">
            <v>555.71100000000001</v>
          </cell>
          <cell r="D444">
            <v>1486.308</v>
          </cell>
          <cell r="E444">
            <v>4351.6760000000004</v>
          </cell>
          <cell r="G444">
            <v>5326.7939999999999</v>
          </cell>
          <cell r="H444">
            <v>683.61900000000003</v>
          </cell>
          <cell r="I444">
            <v>1248.954</v>
          </cell>
          <cell r="J444">
            <v>3394.221</v>
          </cell>
          <cell r="L444">
            <v>199369</v>
          </cell>
          <cell r="M444">
            <v>139392</v>
          </cell>
          <cell r="N444">
            <v>15.518000000000001</v>
          </cell>
          <cell r="AB444">
            <v>75.854900000000001</v>
          </cell>
          <cell r="BB444">
            <v>159414</v>
          </cell>
          <cell r="BC444">
            <v>77</v>
          </cell>
          <cell r="BD444">
            <v>79.693399999999997</v>
          </cell>
          <cell r="BE444">
            <v>99.234200000000001</v>
          </cell>
        </row>
        <row r="445">
          <cell r="B445">
            <v>6344.1949999999997</v>
          </cell>
          <cell r="C445">
            <v>560.09</v>
          </cell>
          <cell r="D445">
            <v>1497.1020000000001</v>
          </cell>
          <cell r="E445">
            <v>4354.5169999999998</v>
          </cell>
          <cell r="G445">
            <v>5359.1810000000005</v>
          </cell>
          <cell r="H445">
            <v>688.81799999999998</v>
          </cell>
          <cell r="I445">
            <v>1263.1690000000001</v>
          </cell>
          <cell r="J445">
            <v>3407.1950000000002</v>
          </cell>
          <cell r="L445">
            <v>200835</v>
          </cell>
          <cell r="M445">
            <v>139976</v>
          </cell>
          <cell r="N445">
            <v>15.296000000000001</v>
          </cell>
          <cell r="AB445">
            <v>75.842500000000001</v>
          </cell>
          <cell r="BB445">
            <v>158332</v>
          </cell>
          <cell r="BC445">
            <v>77.100000000000009</v>
          </cell>
          <cell r="BD445">
            <v>80.124700000000004</v>
          </cell>
          <cell r="BE445">
            <v>99.339600000000004</v>
          </cell>
        </row>
        <row r="446">
          <cell r="B446">
            <v>6360.8060000000005</v>
          </cell>
          <cell r="C446">
            <v>564.52</v>
          </cell>
          <cell r="D446">
            <v>1496.018</v>
          </cell>
          <cell r="E446">
            <v>4366.6729999999998</v>
          </cell>
          <cell r="G446">
            <v>5383.6239999999998</v>
          </cell>
          <cell r="H446">
            <v>692.20100000000002</v>
          </cell>
          <cell r="I446">
            <v>1266.4850000000001</v>
          </cell>
          <cell r="J446">
            <v>3424.9380000000001</v>
          </cell>
          <cell r="L446">
            <v>200519</v>
          </cell>
          <cell r="M446">
            <v>139471</v>
          </cell>
          <cell r="N446">
            <v>15.704000000000001</v>
          </cell>
          <cell r="AB446">
            <v>76.47</v>
          </cell>
          <cell r="BB446">
            <v>156985</v>
          </cell>
          <cell r="BC446">
            <v>77.600000000000009</v>
          </cell>
          <cell r="BD446">
            <v>80.5822</v>
          </cell>
          <cell r="BE446">
            <v>99.475500000000011</v>
          </cell>
        </row>
        <row r="447">
          <cell r="B447">
            <v>6384.5119999999997</v>
          </cell>
          <cell r="C447">
            <v>563.81000000000006</v>
          </cell>
          <cell r="D447">
            <v>1501.3600000000001</v>
          </cell>
          <cell r="E447">
            <v>4387.5590000000002</v>
          </cell>
          <cell r="G447">
            <v>5411.2579999999998</v>
          </cell>
          <cell r="H447">
            <v>687.89700000000005</v>
          </cell>
          <cell r="I447">
            <v>1275.2</v>
          </cell>
          <cell r="J447">
            <v>3448.1610000000001</v>
          </cell>
          <cell r="L447">
            <v>201474</v>
          </cell>
          <cell r="M447">
            <v>139695</v>
          </cell>
          <cell r="N447">
            <v>15.159000000000001</v>
          </cell>
          <cell r="AB447">
            <v>76.9589</v>
          </cell>
          <cell r="BB447">
            <v>151565</v>
          </cell>
          <cell r="BC447">
            <v>77.600000000000009</v>
          </cell>
          <cell r="BD447">
            <v>81.058199999999999</v>
          </cell>
          <cell r="BE447">
            <v>99.632200000000012</v>
          </cell>
        </row>
        <row r="448">
          <cell r="B448">
            <v>6413.9740000000002</v>
          </cell>
          <cell r="C448">
            <v>576.70600000000002</v>
          </cell>
          <cell r="D448">
            <v>1496.192</v>
          </cell>
          <cell r="E448">
            <v>4404.8620000000001</v>
          </cell>
          <cell r="G448">
            <v>5445.2039999999997</v>
          </cell>
          <cell r="H448">
            <v>703.34199999999998</v>
          </cell>
          <cell r="I448">
            <v>1272.153</v>
          </cell>
          <cell r="J448">
            <v>3469.7090000000003</v>
          </cell>
          <cell r="L448">
            <v>202576</v>
          </cell>
          <cell r="M448">
            <v>140364</v>
          </cell>
          <cell r="N448">
            <v>15.689</v>
          </cell>
          <cell r="AB448">
            <v>77.0441</v>
          </cell>
          <cell r="BB448">
            <v>156795</v>
          </cell>
          <cell r="BC448">
            <v>77.8</v>
          </cell>
          <cell r="BD448">
            <v>81.578600000000009</v>
          </cell>
          <cell r="BE448">
            <v>99.841500000000011</v>
          </cell>
        </row>
        <row r="449">
          <cell r="B449">
            <v>6426.1590000000006</v>
          </cell>
          <cell r="C449">
            <v>574.88599999999997</v>
          </cell>
          <cell r="D449">
            <v>1507.9110000000001</v>
          </cell>
          <cell r="E449">
            <v>4408.1390000000001</v>
          </cell>
          <cell r="G449">
            <v>5468.2740000000003</v>
          </cell>
          <cell r="H449">
            <v>701.99599999999998</v>
          </cell>
          <cell r="I449">
            <v>1283.183</v>
          </cell>
          <cell r="J449">
            <v>3483.0940000000001</v>
          </cell>
          <cell r="L449">
            <v>204677</v>
          </cell>
          <cell r="M449">
            <v>141418</v>
          </cell>
          <cell r="N449">
            <v>15.275</v>
          </cell>
          <cell r="AB449">
            <v>77.966200000000001</v>
          </cell>
          <cell r="BB449">
            <v>164040</v>
          </cell>
          <cell r="BC449">
            <v>78.8</v>
          </cell>
          <cell r="BD449">
            <v>82.156199999999998</v>
          </cell>
          <cell r="BE449">
            <v>100.11850000000001</v>
          </cell>
        </row>
        <row r="450">
          <cell r="B450">
            <v>6441.634</v>
          </cell>
          <cell r="C450">
            <v>582.57299999999998</v>
          </cell>
          <cell r="D450">
            <v>1517.703</v>
          </cell>
          <cell r="E450">
            <v>4402.3919999999998</v>
          </cell>
          <cell r="G450">
            <v>5487.6909999999998</v>
          </cell>
          <cell r="H450">
            <v>711.47500000000002</v>
          </cell>
          <cell r="I450">
            <v>1287.972</v>
          </cell>
          <cell r="J450">
            <v>3488.2440000000001</v>
          </cell>
          <cell r="L450">
            <v>205588</v>
          </cell>
          <cell r="M450">
            <v>141934</v>
          </cell>
          <cell r="N450">
            <v>15.814</v>
          </cell>
          <cell r="AB450">
            <v>78.592700000000008</v>
          </cell>
          <cell r="BB450">
            <v>162450</v>
          </cell>
          <cell r="BC450">
            <v>79.100000000000009</v>
          </cell>
          <cell r="BD450">
            <v>82.750799999999998</v>
          </cell>
          <cell r="BE450">
            <v>100.414</v>
          </cell>
        </row>
        <row r="451">
          <cell r="B451">
            <v>6440.3959999999997</v>
          </cell>
          <cell r="C451">
            <v>575.428</v>
          </cell>
          <cell r="D451">
            <v>1504.479</v>
          </cell>
          <cell r="E451">
            <v>4426.1769999999997</v>
          </cell>
          <cell r="G451">
            <v>5491.9269999999997</v>
          </cell>
          <cell r="H451">
            <v>697.44799999999998</v>
          </cell>
          <cell r="I451">
            <v>1278.7360000000001</v>
          </cell>
          <cell r="J451">
            <v>3515.7429999999999</v>
          </cell>
          <cell r="L451">
            <v>203662</v>
          </cell>
          <cell r="M451">
            <v>140669</v>
          </cell>
          <cell r="N451">
            <v>15.058</v>
          </cell>
          <cell r="AB451">
            <v>78.616799999999998</v>
          </cell>
          <cell r="BB451">
            <v>166214</v>
          </cell>
          <cell r="BC451">
            <v>79</v>
          </cell>
          <cell r="BD451">
            <v>83.344400000000007</v>
          </cell>
          <cell r="BE451">
            <v>100.7063</v>
          </cell>
        </row>
        <row r="452">
          <cell r="B452">
            <v>6444.0479999999998</v>
          </cell>
          <cell r="C452">
            <v>571.09</v>
          </cell>
          <cell r="D452">
            <v>1502.5989999999999</v>
          </cell>
          <cell r="E452">
            <v>4438.6970000000001</v>
          </cell>
          <cell r="G452">
            <v>5493.0209999999997</v>
          </cell>
          <cell r="H452">
            <v>690.24099999999999</v>
          </cell>
          <cell r="I452">
            <v>1273.2380000000001</v>
          </cell>
          <cell r="J452">
            <v>3529.5419999999999</v>
          </cell>
          <cell r="L452">
            <v>202028</v>
          </cell>
          <cell r="M452">
            <v>139653</v>
          </cell>
          <cell r="N452">
            <v>15.093</v>
          </cell>
          <cell r="AB452">
            <v>79.162300000000002</v>
          </cell>
          <cell r="BB452">
            <v>162994</v>
          </cell>
          <cell r="BC452">
            <v>79.600000000000009</v>
          </cell>
          <cell r="BD452">
            <v>83.927900000000008</v>
          </cell>
          <cell r="BE452">
            <v>100.985</v>
          </cell>
        </row>
        <row r="453">
          <cell r="B453">
            <v>6475.4830000000002</v>
          </cell>
          <cell r="C453">
            <v>582.05200000000002</v>
          </cell>
          <cell r="D453">
            <v>1517.2149999999999</v>
          </cell>
          <cell r="E453">
            <v>4440.1949999999997</v>
          </cell>
          <cell r="G453">
            <v>5526.9960000000001</v>
          </cell>
          <cell r="H453">
            <v>702.03399999999999</v>
          </cell>
          <cell r="I453">
            <v>1281.847</v>
          </cell>
          <cell r="J453">
            <v>3543.116</v>
          </cell>
          <cell r="L453">
            <v>204946</v>
          </cell>
          <cell r="M453">
            <v>141309</v>
          </cell>
          <cell r="N453">
            <v>14.523</v>
          </cell>
          <cell r="AB453">
            <v>79.525700000000001</v>
          </cell>
          <cell r="BB453">
            <v>168373</v>
          </cell>
          <cell r="BC453">
            <v>80</v>
          </cell>
          <cell r="BD453">
            <v>84.493600000000001</v>
          </cell>
          <cell r="BE453">
            <v>101.2415</v>
          </cell>
        </row>
        <row r="454">
          <cell r="B454">
            <v>6536.3620000000001</v>
          </cell>
          <cell r="C454">
            <v>594.74599999999998</v>
          </cell>
          <cell r="D454">
            <v>1529.07</v>
          </cell>
          <cell r="E454">
            <v>4473.5650000000005</v>
          </cell>
          <cell r="G454">
            <v>5582.5309999999999</v>
          </cell>
          <cell r="H454">
            <v>715.75300000000004</v>
          </cell>
          <cell r="I454">
            <v>1291.4270000000001</v>
          </cell>
          <cell r="J454">
            <v>3575.35</v>
          </cell>
          <cell r="L454">
            <v>207443</v>
          </cell>
          <cell r="M454">
            <v>142885</v>
          </cell>
          <cell r="N454">
            <v>15.574</v>
          </cell>
          <cell r="AB454">
            <v>79.986800000000002</v>
          </cell>
          <cell r="BB454">
            <v>172435</v>
          </cell>
          <cell r="BC454">
            <v>80.7</v>
          </cell>
          <cell r="BD454">
            <v>85.025800000000004</v>
          </cell>
          <cell r="BE454">
            <v>101.4577</v>
          </cell>
        </row>
        <row r="455">
          <cell r="B455">
            <v>6576.1729999999998</v>
          </cell>
          <cell r="C455">
            <v>610.37700000000007</v>
          </cell>
          <cell r="D455">
            <v>1532.7730000000001</v>
          </cell>
          <cell r="E455">
            <v>4488.6459999999997</v>
          </cell>
          <cell r="G455">
            <v>5621.7430000000004</v>
          </cell>
          <cell r="H455">
            <v>732.61099999999999</v>
          </cell>
          <cell r="I455">
            <v>1298.0820000000001</v>
          </cell>
          <cell r="J455">
            <v>3591.0509999999999</v>
          </cell>
          <cell r="L455">
            <v>208425</v>
          </cell>
          <cell r="M455">
            <v>143131</v>
          </cell>
          <cell r="N455">
            <v>16.147000000000002</v>
          </cell>
          <cell r="AB455">
            <v>81.060699999999997</v>
          </cell>
          <cell r="BB455">
            <v>170049</v>
          </cell>
          <cell r="BC455">
            <v>80.7</v>
          </cell>
          <cell r="BD455">
            <v>85.511700000000005</v>
          </cell>
          <cell r="BE455">
            <v>101.61920000000001</v>
          </cell>
        </row>
        <row r="456">
          <cell r="B456">
            <v>6576.53</v>
          </cell>
          <cell r="C456">
            <v>600.52</v>
          </cell>
          <cell r="D456">
            <v>1535.28</v>
          </cell>
          <cell r="E456">
            <v>4501.0630000000001</v>
          </cell>
          <cell r="G456">
            <v>5635.7510000000002</v>
          </cell>
          <cell r="H456">
            <v>720.01200000000006</v>
          </cell>
          <cell r="I456">
            <v>1303.5620000000001</v>
          </cell>
          <cell r="J456">
            <v>3612.1779999999999</v>
          </cell>
          <cell r="L456">
            <v>208674</v>
          </cell>
          <cell r="M456">
            <v>143124</v>
          </cell>
          <cell r="N456">
            <v>15.096</v>
          </cell>
          <cell r="AB456">
            <v>81.771799999999999</v>
          </cell>
          <cell r="BB456">
            <v>172654</v>
          </cell>
          <cell r="BC456">
            <v>81.100000000000009</v>
          </cell>
          <cell r="BD456">
            <v>85.969099999999997</v>
          </cell>
          <cell r="BE456">
            <v>101.7483</v>
          </cell>
        </row>
        <row r="457">
          <cell r="B457">
            <v>6608.652</v>
          </cell>
          <cell r="C457">
            <v>604.50700000000006</v>
          </cell>
          <cell r="D457">
            <v>1536.192</v>
          </cell>
          <cell r="E457">
            <v>4528.3500000000004</v>
          </cell>
          <cell r="G457">
            <v>5671.4920000000002</v>
          </cell>
          <cell r="H457">
            <v>724.64700000000005</v>
          </cell>
          <cell r="I457">
            <v>1304.308</v>
          </cell>
          <cell r="J457">
            <v>3642.5370000000003</v>
          </cell>
          <cell r="L457">
            <v>208420</v>
          </cell>
          <cell r="M457">
            <v>142566</v>
          </cell>
          <cell r="N457">
            <v>15.434000000000001</v>
          </cell>
          <cell r="AB457">
            <v>82.317300000000003</v>
          </cell>
          <cell r="BB457">
            <v>172890</v>
          </cell>
          <cell r="BC457">
            <v>81.5</v>
          </cell>
          <cell r="BD457">
            <v>86.3874</v>
          </cell>
          <cell r="BE457">
            <v>101.833</v>
          </cell>
        </row>
        <row r="458">
          <cell r="B458">
            <v>6634.549</v>
          </cell>
          <cell r="C458">
            <v>620.673</v>
          </cell>
          <cell r="D458">
            <v>1549.079</v>
          </cell>
          <cell r="E458">
            <v>4518.2910000000002</v>
          </cell>
          <cell r="G458">
            <v>5695.67</v>
          </cell>
          <cell r="H458">
            <v>740.71500000000003</v>
          </cell>
          <cell r="I458">
            <v>1313.1020000000001</v>
          </cell>
          <cell r="J458">
            <v>3641.8530000000001</v>
          </cell>
          <cell r="L458">
            <v>209738</v>
          </cell>
          <cell r="M458">
            <v>143035</v>
          </cell>
          <cell r="N458">
            <v>15.833</v>
          </cell>
          <cell r="AB458">
            <v>83.044700000000006</v>
          </cell>
          <cell r="BB458">
            <v>184295</v>
          </cell>
          <cell r="BC458">
            <v>81.8</v>
          </cell>
          <cell r="BD458">
            <v>86.745699999999999</v>
          </cell>
          <cell r="BE458">
            <v>101.8498</v>
          </cell>
        </row>
        <row r="459">
          <cell r="B459">
            <v>6671.1540000000005</v>
          </cell>
          <cell r="C459">
            <v>626.53700000000003</v>
          </cell>
          <cell r="D459">
            <v>1544.1759999999999</v>
          </cell>
          <cell r="E459">
            <v>4553.6810000000005</v>
          </cell>
          <cell r="G459">
            <v>5727.1779999999999</v>
          </cell>
          <cell r="H459">
            <v>746.08199999999999</v>
          </cell>
          <cell r="I459">
            <v>1307.213</v>
          </cell>
          <cell r="J459">
            <v>3673.8830000000003</v>
          </cell>
          <cell r="L459">
            <v>209832</v>
          </cell>
          <cell r="M459">
            <v>143227</v>
          </cell>
          <cell r="N459">
            <v>16.483000000000001</v>
          </cell>
          <cell r="AB459">
            <v>83.349800000000002</v>
          </cell>
          <cell r="BB459">
            <v>169165</v>
          </cell>
          <cell r="BC459">
            <v>81.600000000000009</v>
          </cell>
          <cell r="BD459">
            <v>87.035700000000006</v>
          </cell>
          <cell r="BE459">
            <v>101.79</v>
          </cell>
        </row>
        <row r="460">
          <cell r="B460">
            <v>6665.63</v>
          </cell>
          <cell r="C460">
            <v>616.87300000000005</v>
          </cell>
          <cell r="D460">
            <v>1550.5509999999999</v>
          </cell>
          <cell r="E460">
            <v>4555.317</v>
          </cell>
          <cell r="G460">
            <v>5725.64</v>
          </cell>
          <cell r="H460">
            <v>733.12200000000007</v>
          </cell>
          <cell r="I460">
            <v>1309.9649999999999</v>
          </cell>
          <cell r="J460">
            <v>3682.5529999999999</v>
          </cell>
          <cell r="L460">
            <v>210277</v>
          </cell>
          <cell r="M460">
            <v>143363</v>
          </cell>
          <cell r="N460">
            <v>14.759</v>
          </cell>
          <cell r="AB460">
            <v>83.748100000000008</v>
          </cell>
          <cell r="BB460">
            <v>168192</v>
          </cell>
          <cell r="BC460">
            <v>81.7</v>
          </cell>
          <cell r="BD460">
            <v>87.286100000000005</v>
          </cell>
          <cell r="BE460">
            <v>101.6883</v>
          </cell>
        </row>
        <row r="461">
          <cell r="B461">
            <v>6708.6660000000002</v>
          </cell>
          <cell r="C461">
            <v>624.30500000000006</v>
          </cell>
          <cell r="D461">
            <v>1553.172</v>
          </cell>
          <cell r="E461">
            <v>4587.3230000000003</v>
          </cell>
          <cell r="G461">
            <v>5760.0309999999999</v>
          </cell>
          <cell r="H461">
            <v>739.62900000000002</v>
          </cell>
          <cell r="I461">
            <v>1307.1100000000001</v>
          </cell>
          <cell r="J461">
            <v>3713.2919999999999</v>
          </cell>
          <cell r="L461">
            <v>210218</v>
          </cell>
          <cell r="M461">
            <v>143459</v>
          </cell>
          <cell r="N461">
            <v>15.194000000000001</v>
          </cell>
          <cell r="AB461">
            <v>83.804200000000009</v>
          </cell>
          <cell r="BB461">
            <v>175142</v>
          </cell>
          <cell r="BC461">
            <v>82.5</v>
          </cell>
          <cell r="BD461">
            <v>87.499200000000002</v>
          </cell>
          <cell r="BE461">
            <v>101.5484</v>
          </cell>
        </row>
        <row r="462">
          <cell r="B462">
            <v>6738.13</v>
          </cell>
          <cell r="C462">
            <v>626.05399999999997</v>
          </cell>
          <cell r="D462">
            <v>1559.93</v>
          </cell>
          <cell r="E462">
            <v>4608.9430000000002</v>
          </cell>
          <cell r="G462">
            <v>5786.88</v>
          </cell>
          <cell r="H462">
            <v>741.01599999999996</v>
          </cell>
          <cell r="I462">
            <v>1304.8140000000001</v>
          </cell>
          <cell r="J462">
            <v>3741.05</v>
          </cell>
          <cell r="L462">
            <v>211566</v>
          </cell>
          <cell r="M462">
            <v>144381</v>
          </cell>
          <cell r="N462">
            <v>15.368</v>
          </cell>
          <cell r="AB462">
            <v>83.864100000000008</v>
          </cell>
          <cell r="BB462">
            <v>172020</v>
          </cell>
          <cell r="BC462">
            <v>82.5</v>
          </cell>
          <cell r="BD462">
            <v>87.644900000000007</v>
          </cell>
          <cell r="BE462">
            <v>101.3361</v>
          </cell>
        </row>
        <row r="463">
          <cell r="B463">
            <v>6772.4279999999999</v>
          </cell>
          <cell r="C463">
            <v>640.53</v>
          </cell>
          <cell r="D463">
            <v>1570.8109999999999</v>
          </cell>
          <cell r="E463">
            <v>4612.8860000000004</v>
          </cell>
          <cell r="G463">
            <v>5825.0550000000003</v>
          </cell>
          <cell r="H463">
            <v>758.56299999999999</v>
          </cell>
          <cell r="I463">
            <v>1314.3810000000001</v>
          </cell>
          <cell r="J463">
            <v>3752.11</v>
          </cell>
          <cell r="L463">
            <v>214043</v>
          </cell>
          <cell r="M463">
            <v>145792</v>
          </cell>
          <cell r="N463">
            <v>15.884</v>
          </cell>
          <cell r="AB463">
            <v>84.183300000000003</v>
          </cell>
          <cell r="BB463">
            <v>173301</v>
          </cell>
          <cell r="BC463">
            <v>82.600000000000009</v>
          </cell>
          <cell r="BD463">
            <v>87.721800000000002</v>
          </cell>
          <cell r="BE463">
            <v>101.05110000000001</v>
          </cell>
        </row>
        <row r="464">
          <cell r="B464">
            <v>6820.6810000000005</v>
          </cell>
          <cell r="C464">
            <v>662.57500000000005</v>
          </cell>
          <cell r="D464">
            <v>1568.9929999999999</v>
          </cell>
          <cell r="E464">
            <v>4633.7780000000002</v>
          </cell>
          <cell r="G464">
            <v>5875.6580000000004</v>
          </cell>
          <cell r="H464">
            <v>778.83799999999997</v>
          </cell>
          <cell r="I464">
            <v>1318.578</v>
          </cell>
          <cell r="J464">
            <v>3778.2420000000002</v>
          </cell>
          <cell r="L464">
            <v>215264</v>
          </cell>
          <cell r="M464">
            <v>146237</v>
          </cell>
          <cell r="N464">
            <v>17.019000000000002</v>
          </cell>
          <cell r="AB464">
            <v>84.760600000000011</v>
          </cell>
          <cell r="BB464">
            <v>174522</v>
          </cell>
          <cell r="BC464">
            <v>82.7</v>
          </cell>
          <cell r="BD464">
            <v>87.737099999999998</v>
          </cell>
          <cell r="BE464">
            <v>100.70270000000001</v>
          </cell>
        </row>
        <row r="465">
          <cell r="B465">
            <v>6865.24</v>
          </cell>
          <cell r="C465">
            <v>659.33699999999999</v>
          </cell>
          <cell r="D465">
            <v>1581.4590000000001</v>
          </cell>
          <cell r="E465">
            <v>4672.607</v>
          </cell>
          <cell r="G465">
            <v>5909.9310000000005</v>
          </cell>
          <cell r="H465">
            <v>771.97900000000004</v>
          </cell>
          <cell r="I465">
            <v>1329.373</v>
          </cell>
          <cell r="J465">
            <v>3808.5790000000002</v>
          </cell>
          <cell r="L465">
            <v>216403</v>
          </cell>
          <cell r="M465">
            <v>146868</v>
          </cell>
          <cell r="N465">
            <v>16.737000000000002</v>
          </cell>
          <cell r="AB465">
            <v>84.280900000000003</v>
          </cell>
          <cell r="BB465">
            <v>167959</v>
          </cell>
          <cell r="BC465">
            <v>82.3</v>
          </cell>
          <cell r="BD465">
            <v>87.714200000000005</v>
          </cell>
          <cell r="BE465">
            <v>100.3185</v>
          </cell>
        </row>
        <row r="466">
          <cell r="B466">
            <v>6870.2640000000001</v>
          </cell>
          <cell r="C466">
            <v>657.35</v>
          </cell>
          <cell r="D466">
            <v>1584.982</v>
          </cell>
          <cell r="E466">
            <v>4677.0820000000003</v>
          </cell>
          <cell r="G466">
            <v>5928.87</v>
          </cell>
          <cell r="H466">
            <v>770.15499999999997</v>
          </cell>
          <cell r="I466">
            <v>1335.107</v>
          </cell>
          <cell r="J466">
            <v>3823.6080000000002</v>
          </cell>
          <cell r="L466">
            <v>215065</v>
          </cell>
          <cell r="M466">
            <v>145662</v>
          </cell>
          <cell r="N466">
            <v>14.628</v>
          </cell>
          <cell r="AB466">
            <v>83.902900000000002</v>
          </cell>
          <cell r="BB466">
            <v>163958</v>
          </cell>
          <cell r="BC466">
            <v>82.4</v>
          </cell>
          <cell r="BD466">
            <v>87.699100000000001</v>
          </cell>
          <cell r="BE466">
            <v>99.9512</v>
          </cell>
        </row>
        <row r="467">
          <cell r="B467">
            <v>6903.0060000000003</v>
          </cell>
          <cell r="C467">
            <v>672.99599999999998</v>
          </cell>
          <cell r="D467">
            <v>1581.4950000000001</v>
          </cell>
          <cell r="E467">
            <v>4692.8310000000001</v>
          </cell>
          <cell r="G467">
            <v>5965.86</v>
          </cell>
          <cell r="H467">
            <v>785.80600000000004</v>
          </cell>
          <cell r="I467">
            <v>1334.183</v>
          </cell>
          <cell r="J467">
            <v>3845.8710000000001</v>
          </cell>
          <cell r="L467">
            <v>214044</v>
          </cell>
          <cell r="M467">
            <v>144953</v>
          </cell>
          <cell r="N467">
            <v>14.754</v>
          </cell>
          <cell r="AB467">
            <v>85.722500000000011</v>
          </cell>
          <cell r="BB467">
            <v>173997</v>
          </cell>
          <cell r="BC467">
            <v>82.7</v>
          </cell>
          <cell r="BD467">
            <v>87.73190000000001</v>
          </cell>
          <cell r="BE467">
            <v>99.646500000000003</v>
          </cell>
        </row>
        <row r="468">
          <cell r="B468">
            <v>6956.5309999999999</v>
          </cell>
          <cell r="C468">
            <v>688.75300000000004</v>
          </cell>
          <cell r="D468">
            <v>1589.596</v>
          </cell>
          <cell r="E468">
            <v>4718.4939999999997</v>
          </cell>
          <cell r="G468">
            <v>6009.2539999999999</v>
          </cell>
          <cell r="H468">
            <v>801.89499999999998</v>
          </cell>
          <cell r="I468">
            <v>1338.202</v>
          </cell>
          <cell r="J468">
            <v>3869.1570000000002</v>
          </cell>
          <cell r="L468">
            <v>216289</v>
          </cell>
          <cell r="M468">
            <v>146302</v>
          </cell>
          <cell r="N468">
            <v>16.274999999999999</v>
          </cell>
          <cell r="AB468">
            <v>85.462000000000003</v>
          </cell>
          <cell r="BB468">
            <v>173189</v>
          </cell>
          <cell r="BC468">
            <v>82.600000000000009</v>
          </cell>
          <cell r="BD468">
            <v>87.871499999999997</v>
          </cell>
          <cell r="BE468">
            <v>99.470300000000009</v>
          </cell>
        </row>
        <row r="469">
          <cell r="B469">
            <v>6983.817</v>
          </cell>
          <cell r="C469">
            <v>705.79600000000005</v>
          </cell>
          <cell r="D469">
            <v>1595.0029999999999</v>
          </cell>
          <cell r="E469">
            <v>4717.5420000000004</v>
          </cell>
          <cell r="G469">
            <v>6046.8640000000005</v>
          </cell>
          <cell r="H469">
            <v>820.49700000000007</v>
          </cell>
          <cell r="I469">
            <v>1345.8990000000001</v>
          </cell>
          <cell r="J469">
            <v>3880.4680000000003</v>
          </cell>
          <cell r="L469">
            <v>219772</v>
          </cell>
          <cell r="M469">
            <v>148204</v>
          </cell>
          <cell r="N469">
            <v>17.077999999999999</v>
          </cell>
          <cell r="AB469">
            <v>86.160200000000003</v>
          </cell>
          <cell r="BB469">
            <v>173479</v>
          </cell>
          <cell r="BC469">
            <v>82.7</v>
          </cell>
          <cell r="BD469">
            <v>88.184600000000003</v>
          </cell>
          <cell r="BE469">
            <v>99.496600000000001</v>
          </cell>
        </row>
        <row r="470">
          <cell r="B470">
            <v>7004.1369999999997</v>
          </cell>
          <cell r="C470">
            <v>706.26200000000006</v>
          </cell>
          <cell r="D470">
            <v>1607.8810000000001</v>
          </cell>
          <cell r="E470">
            <v>4725.0839999999998</v>
          </cell>
          <cell r="G470">
            <v>6065.9210000000003</v>
          </cell>
          <cell r="H470">
            <v>819.01099999999997</v>
          </cell>
          <cell r="I470">
            <v>1355.0170000000001</v>
          </cell>
          <cell r="J470">
            <v>3891.893</v>
          </cell>
          <cell r="L470">
            <v>221504</v>
          </cell>
          <cell r="M470">
            <v>149146</v>
          </cell>
          <cell r="N470">
            <v>16.079000000000001</v>
          </cell>
          <cell r="AB470">
            <v>86.100200000000001</v>
          </cell>
          <cell r="BB470">
            <v>175232</v>
          </cell>
          <cell r="BC470">
            <v>83.4</v>
          </cell>
          <cell r="BD470">
            <v>88.665599999999998</v>
          </cell>
          <cell r="BE470">
            <v>99.717300000000009</v>
          </cell>
        </row>
        <row r="471">
          <cell r="B471">
            <v>7059.6410000000005</v>
          </cell>
          <cell r="C471">
            <v>726.89</v>
          </cell>
          <cell r="D471">
            <v>1618.2440000000001</v>
          </cell>
          <cell r="E471">
            <v>4743.8869999999997</v>
          </cell>
          <cell r="G471">
            <v>6121.8530000000001</v>
          </cell>
          <cell r="H471">
            <v>839.55600000000004</v>
          </cell>
          <cell r="I471">
            <v>1367.5530000000001</v>
          </cell>
          <cell r="J471">
            <v>3914.7440000000001</v>
          </cell>
          <cell r="L471">
            <v>223447</v>
          </cell>
          <cell r="M471">
            <v>150203</v>
          </cell>
          <cell r="N471">
            <v>17.397000000000002</v>
          </cell>
          <cell r="AB471">
            <v>86.374400000000009</v>
          </cell>
          <cell r="BB471">
            <v>172469</v>
          </cell>
          <cell r="BC471">
            <v>83.600000000000009</v>
          </cell>
          <cell r="BD471">
            <v>89.246000000000009</v>
          </cell>
          <cell r="BE471">
            <v>100.05380000000001</v>
          </cell>
        </row>
        <row r="472">
          <cell r="B472">
            <v>7049.9980000000005</v>
          </cell>
          <cell r="C472">
            <v>701.86699999999996</v>
          </cell>
          <cell r="D472">
            <v>1627.501</v>
          </cell>
          <cell r="E472">
            <v>4759.268</v>
          </cell>
          <cell r="G472">
            <v>6125.5430000000006</v>
          </cell>
          <cell r="H472">
            <v>809.62900000000002</v>
          </cell>
          <cell r="I472">
            <v>1380.8779999999999</v>
          </cell>
          <cell r="J472">
            <v>3935.0360000000001</v>
          </cell>
          <cell r="L472">
            <v>224544</v>
          </cell>
          <cell r="M472">
            <v>150275</v>
          </cell>
          <cell r="N472">
            <v>16.577999999999999</v>
          </cell>
          <cell r="AB472">
            <v>86.736400000000003</v>
          </cell>
          <cell r="BB472">
            <v>177792</v>
          </cell>
          <cell r="BC472">
            <v>84</v>
          </cell>
          <cell r="BD472">
            <v>89.870200000000011</v>
          </cell>
          <cell r="BE472">
            <v>100.4436</v>
          </cell>
        </row>
        <row r="473">
          <cell r="B473">
            <v>7085.13</v>
          </cell>
          <cell r="C473">
            <v>718.37</v>
          </cell>
          <cell r="D473">
            <v>1638.2860000000001</v>
          </cell>
          <cell r="E473">
            <v>4762.1819999999998</v>
          </cell>
          <cell r="G473">
            <v>6155.59</v>
          </cell>
          <cell r="H473">
            <v>825.50800000000004</v>
          </cell>
          <cell r="I473">
            <v>1385.5830000000001</v>
          </cell>
          <cell r="J473">
            <v>3944.4990000000003</v>
          </cell>
          <cell r="L473">
            <v>226761</v>
          </cell>
          <cell r="M473">
            <v>151864</v>
          </cell>
          <cell r="N473">
            <v>17.085000000000001</v>
          </cell>
          <cell r="AB473">
            <v>87.076000000000008</v>
          </cell>
          <cell r="BB473">
            <v>178783</v>
          </cell>
          <cell r="BC473">
            <v>84.7</v>
          </cell>
          <cell r="BD473">
            <v>90.47890000000001</v>
          </cell>
          <cell r="BE473">
            <v>100.8203</v>
          </cell>
        </row>
        <row r="474">
          <cell r="B474">
            <v>7120.1779999999999</v>
          </cell>
          <cell r="C474">
            <v>724</v>
          </cell>
          <cell r="D474">
            <v>1644.3990000000001</v>
          </cell>
          <cell r="E474">
            <v>4784.9210000000003</v>
          </cell>
          <cell r="G474">
            <v>6191.2120000000004</v>
          </cell>
          <cell r="H474">
            <v>828.83299999999997</v>
          </cell>
          <cell r="I474">
            <v>1390.8890000000001</v>
          </cell>
          <cell r="J474">
            <v>3971.491</v>
          </cell>
          <cell r="L474">
            <v>227830</v>
          </cell>
          <cell r="M474">
            <v>152410</v>
          </cell>
          <cell r="N474">
            <v>16.821999999999999</v>
          </cell>
          <cell r="AB474">
            <v>87.251100000000008</v>
          </cell>
          <cell r="BB474">
            <v>177397</v>
          </cell>
          <cell r="BC474">
            <v>84.600000000000009</v>
          </cell>
          <cell r="BD474">
            <v>91.040800000000004</v>
          </cell>
          <cell r="BE474">
            <v>101.14970000000001</v>
          </cell>
        </row>
        <row r="475">
          <cell r="B475">
            <v>7163.0029999999997</v>
          </cell>
          <cell r="C475">
            <v>735.36099999999999</v>
          </cell>
          <cell r="D475">
            <v>1646.39</v>
          </cell>
          <cell r="E475">
            <v>4812.1630000000005</v>
          </cell>
          <cell r="G475">
            <v>6258.01</v>
          </cell>
          <cell r="H475">
            <v>842.86199999999997</v>
          </cell>
          <cell r="I475">
            <v>1415.25</v>
          </cell>
          <cell r="J475">
            <v>3999.8980000000001</v>
          </cell>
          <cell r="L475">
            <v>229200</v>
          </cell>
          <cell r="M475">
            <v>152338</v>
          </cell>
          <cell r="N475">
            <v>16.917000000000002</v>
          </cell>
          <cell r="AB475">
            <v>87.458800000000011</v>
          </cell>
          <cell r="BB475">
            <v>176913</v>
          </cell>
          <cell r="BC475">
            <v>84.4</v>
          </cell>
          <cell r="BD475">
            <v>91.560299999999998</v>
          </cell>
          <cell r="BE475">
            <v>101.43770000000001</v>
          </cell>
        </row>
        <row r="476">
          <cell r="B476">
            <v>7197.0439999999999</v>
          </cell>
          <cell r="C476">
            <v>749.58</v>
          </cell>
          <cell r="D476">
            <v>1655.9090000000001</v>
          </cell>
          <cell r="E476">
            <v>4818.576</v>
          </cell>
          <cell r="G476">
            <v>6290.84</v>
          </cell>
          <cell r="H476">
            <v>856.98300000000006</v>
          </cell>
          <cell r="I476">
            <v>1421.644</v>
          </cell>
          <cell r="J476">
            <v>4012.212</v>
          </cell>
          <cell r="L476">
            <v>231932</v>
          </cell>
          <cell r="M476">
            <v>153928</v>
          </cell>
          <cell r="N476">
            <v>17.556000000000001</v>
          </cell>
          <cell r="AB476">
            <v>88.120500000000007</v>
          </cell>
          <cell r="BB476">
            <v>179685</v>
          </cell>
          <cell r="BC476">
            <v>84.9</v>
          </cell>
          <cell r="BD476">
            <v>92.055199999999999</v>
          </cell>
          <cell r="BE476">
            <v>101.70440000000001</v>
          </cell>
        </row>
        <row r="477">
          <cell r="B477">
            <v>7229.7179999999998</v>
          </cell>
          <cell r="C477">
            <v>762.41899999999998</v>
          </cell>
          <cell r="D477">
            <v>1653.9860000000001</v>
          </cell>
          <cell r="E477">
            <v>4837.3339999999998</v>
          </cell>
          <cell r="G477">
            <v>6321.0460000000003</v>
          </cell>
          <cell r="H477">
            <v>869.45400000000006</v>
          </cell>
          <cell r="I477">
            <v>1420.6759999999999</v>
          </cell>
          <cell r="J477">
            <v>4030.915</v>
          </cell>
          <cell r="L477">
            <v>232063</v>
          </cell>
          <cell r="M477">
            <v>154036</v>
          </cell>
          <cell r="N477">
            <v>17.349</v>
          </cell>
          <cell r="AB477">
            <v>87.995800000000003</v>
          </cell>
          <cell r="BB477">
            <v>177527</v>
          </cell>
          <cell r="BC477">
            <v>85.3</v>
          </cell>
          <cell r="BD477">
            <v>92.50500000000001</v>
          </cell>
          <cell r="BE477">
            <v>101.9277</v>
          </cell>
        </row>
        <row r="478">
          <cell r="B478">
            <v>7245.5889999999999</v>
          </cell>
          <cell r="C478">
            <v>760.81700000000001</v>
          </cell>
          <cell r="D478">
            <v>1648.0350000000001</v>
          </cell>
          <cell r="E478">
            <v>4862.4380000000001</v>
          </cell>
          <cell r="G478">
            <v>6351.7629999999999</v>
          </cell>
          <cell r="H478">
            <v>867.05700000000002</v>
          </cell>
          <cell r="I478">
            <v>1422.9780000000001</v>
          </cell>
          <cell r="J478">
            <v>4061.7280000000001</v>
          </cell>
          <cell r="L478">
            <v>234261</v>
          </cell>
          <cell r="M478">
            <v>154669</v>
          </cell>
          <cell r="N478">
            <v>17.687000000000001</v>
          </cell>
          <cell r="AB478">
            <v>88.570900000000009</v>
          </cell>
          <cell r="BB478">
            <v>181113</v>
          </cell>
          <cell r="BC478">
            <v>85.7</v>
          </cell>
          <cell r="BD478">
            <v>92.916200000000003</v>
          </cell>
          <cell r="BE478">
            <v>102.1151</v>
          </cell>
        </row>
        <row r="479">
          <cell r="B479">
            <v>7284.8450000000003</v>
          </cell>
          <cell r="C479">
            <v>768.07799999999997</v>
          </cell>
          <cell r="D479">
            <v>1661.0720000000001</v>
          </cell>
          <cell r="E479">
            <v>4880.3429999999998</v>
          </cell>
          <cell r="G479">
            <v>6396.9090000000006</v>
          </cell>
          <cell r="H479">
            <v>873.86199999999997</v>
          </cell>
          <cell r="I479">
            <v>1440.547</v>
          </cell>
          <cell r="J479">
            <v>4082.5</v>
          </cell>
          <cell r="L479">
            <v>237054</v>
          </cell>
          <cell r="M479">
            <v>156079</v>
          </cell>
          <cell r="N479">
            <v>17.635999999999999</v>
          </cell>
          <cell r="AB479">
            <v>88.969200000000001</v>
          </cell>
          <cell r="BB479">
            <v>184520</v>
          </cell>
          <cell r="BC479">
            <v>85.8</v>
          </cell>
          <cell r="BD479">
            <v>93.294300000000007</v>
          </cell>
          <cell r="BE479">
            <v>102.2731</v>
          </cell>
        </row>
        <row r="480">
          <cell r="B480">
            <v>7318.8020000000006</v>
          </cell>
          <cell r="C480">
            <v>773.18899999999996</v>
          </cell>
          <cell r="D480">
            <v>1670.7570000000001</v>
          </cell>
          <cell r="E480">
            <v>4899.0560000000005</v>
          </cell>
          <cell r="G480">
            <v>6447.942</v>
          </cell>
          <cell r="H480">
            <v>878.39600000000007</v>
          </cell>
          <cell r="I480">
            <v>1460.4549999999999</v>
          </cell>
          <cell r="J480">
            <v>4109.0919999999996</v>
          </cell>
          <cell r="L480">
            <v>238082</v>
          </cell>
          <cell r="M480">
            <v>156141</v>
          </cell>
          <cell r="N480">
            <v>17.649000000000001</v>
          </cell>
          <cell r="AB480">
            <v>88.712100000000007</v>
          </cell>
          <cell r="BB480">
            <v>184560</v>
          </cell>
          <cell r="BC480">
            <v>85.9</v>
          </cell>
          <cell r="BD480">
            <v>93.656700000000001</v>
          </cell>
          <cell r="BE480">
            <v>102.42100000000001</v>
          </cell>
        </row>
        <row r="481">
          <cell r="B481">
            <v>7331.5340000000006</v>
          </cell>
          <cell r="C481">
            <v>767.32799999999997</v>
          </cell>
          <cell r="D481">
            <v>1672.731</v>
          </cell>
          <cell r="E481">
            <v>4918.3240000000005</v>
          </cell>
          <cell r="G481">
            <v>6467.7390000000005</v>
          </cell>
          <cell r="H481">
            <v>870.11099999999999</v>
          </cell>
          <cell r="I481">
            <v>1463.7090000000001</v>
          </cell>
          <cell r="J481">
            <v>4133.92</v>
          </cell>
          <cell r="L481">
            <v>238157</v>
          </cell>
          <cell r="M481">
            <v>156164</v>
          </cell>
          <cell r="N481">
            <v>17.683</v>
          </cell>
          <cell r="AB481">
            <v>89.848200000000006</v>
          </cell>
          <cell r="BB481">
            <v>185753</v>
          </cell>
          <cell r="BC481">
            <v>86.100000000000009</v>
          </cell>
          <cell r="BD481">
            <v>94.014200000000002</v>
          </cell>
          <cell r="BE481">
            <v>102.57050000000001</v>
          </cell>
        </row>
        <row r="482">
          <cell r="B482">
            <v>7366.3940000000002</v>
          </cell>
          <cell r="C482">
            <v>772.04500000000007</v>
          </cell>
          <cell r="D482">
            <v>1681.3710000000001</v>
          </cell>
          <cell r="E482">
            <v>4939.6360000000004</v>
          </cell>
          <cell r="G482">
            <v>6503.7300000000005</v>
          </cell>
          <cell r="H482">
            <v>873.43000000000006</v>
          </cell>
          <cell r="I482">
            <v>1469.251</v>
          </cell>
          <cell r="J482">
            <v>4161.049</v>
          </cell>
          <cell r="L482">
            <v>240878</v>
          </cell>
          <cell r="M482">
            <v>157591</v>
          </cell>
          <cell r="N482">
            <v>17.625</v>
          </cell>
          <cell r="AB482">
            <v>90.284700000000001</v>
          </cell>
          <cell r="BB482">
            <v>182068</v>
          </cell>
          <cell r="BC482">
            <v>86.600000000000009</v>
          </cell>
          <cell r="BD482">
            <v>94.373100000000008</v>
          </cell>
          <cell r="BE482">
            <v>102.72850000000001</v>
          </cell>
        </row>
        <row r="483">
          <cell r="B483">
            <v>7459.5349999999999</v>
          </cell>
          <cell r="C483">
            <v>791.33799999999997</v>
          </cell>
          <cell r="D483">
            <v>1727.7570000000001</v>
          </cell>
          <cell r="E483">
            <v>4963.3410000000003</v>
          </cell>
          <cell r="G483">
            <v>6603.1100000000006</v>
          </cell>
          <cell r="H483">
            <v>892.14400000000001</v>
          </cell>
          <cell r="I483">
            <v>1519.787</v>
          </cell>
          <cell r="J483">
            <v>4191.18</v>
          </cell>
          <cell r="L483">
            <v>245702</v>
          </cell>
          <cell r="M483">
            <v>160065</v>
          </cell>
          <cell r="N483">
            <v>18.326000000000001</v>
          </cell>
          <cell r="AB483">
            <v>90.983200000000011</v>
          </cell>
          <cell r="BB483">
            <v>189076</v>
          </cell>
          <cell r="BC483">
            <v>87.100000000000009</v>
          </cell>
          <cell r="BD483">
            <v>94.698900000000009</v>
          </cell>
          <cell r="BE483">
            <v>102.85780000000001</v>
          </cell>
        </row>
        <row r="484">
          <cell r="B484">
            <v>7435.56</v>
          </cell>
          <cell r="C484">
            <v>808.55899999999997</v>
          </cell>
          <cell r="D484">
            <v>1662.3790000000001</v>
          </cell>
          <cell r="E484">
            <v>4983.4970000000003</v>
          </cell>
          <cell r="G484">
            <v>6602.768</v>
          </cell>
          <cell r="H484">
            <v>911.13800000000003</v>
          </cell>
          <cell r="I484">
            <v>1465.4940000000001</v>
          </cell>
          <cell r="J484">
            <v>4226.1360000000004</v>
          </cell>
          <cell r="L484">
            <v>244050</v>
          </cell>
          <cell r="M484">
            <v>158734</v>
          </cell>
          <cell r="N484">
            <v>18.75</v>
          </cell>
          <cell r="AB484">
            <v>91.079900000000009</v>
          </cell>
          <cell r="BB484">
            <v>191868</v>
          </cell>
          <cell r="BC484">
            <v>87.5</v>
          </cell>
          <cell r="BD484">
            <v>94.936199999999999</v>
          </cell>
          <cell r="BE484">
            <v>102.89830000000001</v>
          </cell>
        </row>
        <row r="485">
          <cell r="B485">
            <v>7507.424</v>
          </cell>
          <cell r="C485">
            <v>830.62099999999998</v>
          </cell>
          <cell r="D485">
            <v>1674.963</v>
          </cell>
          <cell r="E485">
            <v>5016.558</v>
          </cell>
          <cell r="G485">
            <v>6689.2120000000004</v>
          </cell>
          <cell r="H485">
            <v>933.351</v>
          </cell>
          <cell r="I485">
            <v>1487.4449999999999</v>
          </cell>
          <cell r="J485">
            <v>4268.4170000000004</v>
          </cell>
          <cell r="L485">
            <v>247928</v>
          </cell>
          <cell r="M485">
            <v>160512</v>
          </cell>
          <cell r="N485">
            <v>19.440999999999999</v>
          </cell>
          <cell r="AB485">
            <v>91.417000000000002</v>
          </cell>
          <cell r="BB485">
            <v>178445</v>
          </cell>
          <cell r="BC485">
            <v>86.8</v>
          </cell>
          <cell r="BD485">
            <v>95.045900000000003</v>
          </cell>
          <cell r="BE485">
            <v>102.8087</v>
          </cell>
        </row>
        <row r="486">
          <cell r="B486">
            <v>7550.5370000000003</v>
          </cell>
          <cell r="C486">
            <v>822.63700000000006</v>
          </cell>
          <cell r="D486">
            <v>1700.652</v>
          </cell>
          <cell r="E486">
            <v>5045.4520000000002</v>
          </cell>
          <cell r="G486">
            <v>6756.9670000000006</v>
          </cell>
          <cell r="H486">
            <v>926.14499999999998</v>
          </cell>
          <cell r="I486">
            <v>1530.046</v>
          </cell>
          <cell r="J486">
            <v>4300.7759999999998</v>
          </cell>
          <cell r="L486">
            <v>250355</v>
          </cell>
          <cell r="M486">
            <v>161289</v>
          </cell>
          <cell r="N486">
            <v>18.416</v>
          </cell>
          <cell r="AB486">
            <v>91.780799999999999</v>
          </cell>
          <cell r="BB486">
            <v>186779</v>
          </cell>
          <cell r="BC486">
            <v>87.2</v>
          </cell>
          <cell r="BD486">
            <v>95.06280000000001</v>
          </cell>
          <cell r="BE486">
            <v>102.62740000000001</v>
          </cell>
        </row>
        <row r="487">
          <cell r="B487">
            <v>7539.7269999999999</v>
          </cell>
          <cell r="C487">
            <v>803.84199999999998</v>
          </cell>
          <cell r="D487">
            <v>1708.346</v>
          </cell>
          <cell r="E487">
            <v>5050.88</v>
          </cell>
          <cell r="G487">
            <v>6740.1379999999999</v>
          </cell>
          <cell r="H487">
            <v>903.59400000000005</v>
          </cell>
          <cell r="I487">
            <v>1530.66</v>
          </cell>
          <cell r="J487">
            <v>4305.8850000000002</v>
          </cell>
          <cell r="L487">
            <v>246312</v>
          </cell>
          <cell r="M487">
            <v>158913</v>
          </cell>
          <cell r="N487">
            <v>18.027000000000001</v>
          </cell>
          <cell r="AB487">
            <v>92.340699999999998</v>
          </cell>
          <cell r="BB487">
            <v>189906</v>
          </cell>
          <cell r="BC487">
            <v>87.8</v>
          </cell>
          <cell r="BD487">
            <v>95.021300000000011</v>
          </cell>
          <cell r="BE487">
            <v>102.39160000000001</v>
          </cell>
        </row>
        <row r="488">
          <cell r="B488">
            <v>7574.7709999999997</v>
          </cell>
          <cell r="C488">
            <v>809.45799999999997</v>
          </cell>
          <cell r="D488">
            <v>1715.702</v>
          </cell>
          <cell r="E488">
            <v>5072.4989999999998</v>
          </cell>
          <cell r="G488">
            <v>6775.6140000000005</v>
          </cell>
          <cell r="H488">
            <v>910.05700000000002</v>
          </cell>
          <cell r="I488">
            <v>1534.549</v>
          </cell>
          <cell r="J488">
            <v>4331.0079999999998</v>
          </cell>
          <cell r="L488">
            <v>246702</v>
          </cell>
          <cell r="M488">
            <v>158864</v>
          </cell>
          <cell r="N488">
            <v>17.873000000000001</v>
          </cell>
          <cell r="AB488">
            <v>92.463800000000006</v>
          </cell>
          <cell r="BB488">
            <v>183460</v>
          </cell>
          <cell r="BC488">
            <v>87.100000000000009</v>
          </cell>
          <cell r="BD488">
            <v>94.909599999999998</v>
          </cell>
          <cell r="BE488">
            <v>102.0887</v>
          </cell>
        </row>
        <row r="489">
          <cell r="B489">
            <v>7590.4940000000006</v>
          </cell>
          <cell r="C489">
            <v>804.21400000000006</v>
          </cell>
          <cell r="D489">
            <v>1714.5989999999999</v>
          </cell>
          <cell r="E489">
            <v>5096.9710000000005</v>
          </cell>
          <cell r="G489">
            <v>6811.2110000000002</v>
          </cell>
          <cell r="H489">
            <v>901.38400000000001</v>
          </cell>
          <cell r="I489">
            <v>1547.9839999999999</v>
          </cell>
          <cell r="J489">
            <v>4361.8440000000001</v>
          </cell>
          <cell r="L489">
            <v>248568</v>
          </cell>
          <cell r="M489">
            <v>159080</v>
          </cell>
          <cell r="N489">
            <v>17.612000000000002</v>
          </cell>
          <cell r="AB489">
            <v>92.529600000000002</v>
          </cell>
          <cell r="BB489">
            <v>193224</v>
          </cell>
          <cell r="BC489">
            <v>87.2</v>
          </cell>
          <cell r="BD489">
            <v>94.725999999999999</v>
          </cell>
          <cell r="BE489">
            <v>101.71720000000001</v>
          </cell>
        </row>
        <row r="490">
          <cell r="B490">
            <v>7596.8240000000005</v>
          </cell>
          <cell r="C490">
            <v>804.98</v>
          </cell>
          <cell r="D490">
            <v>1713.3710000000001</v>
          </cell>
          <cell r="E490">
            <v>5103.7820000000002</v>
          </cell>
          <cell r="G490">
            <v>6832.183</v>
          </cell>
          <cell r="H490">
            <v>900.59</v>
          </cell>
          <cell r="I490">
            <v>1550.75</v>
          </cell>
          <cell r="J490">
            <v>4380.8429999999998</v>
          </cell>
          <cell r="L490">
            <v>247580</v>
          </cell>
          <cell r="M490">
            <v>158150</v>
          </cell>
          <cell r="N490">
            <v>17.260000000000002</v>
          </cell>
          <cell r="AB490">
            <v>92.293900000000008</v>
          </cell>
          <cell r="BB490">
            <v>184096</v>
          </cell>
          <cell r="BC490">
            <v>87</v>
          </cell>
          <cell r="BD490">
            <v>94.445700000000002</v>
          </cell>
          <cell r="BE490">
            <v>101.2504</v>
          </cell>
        </row>
        <row r="491">
          <cell r="B491">
            <v>7635.2420000000002</v>
          </cell>
          <cell r="C491">
            <v>816.61099999999999</v>
          </cell>
          <cell r="D491">
            <v>1723.479</v>
          </cell>
          <cell r="E491">
            <v>5118.1689999999999</v>
          </cell>
          <cell r="G491">
            <v>6864.7070000000003</v>
          </cell>
          <cell r="H491">
            <v>909.82600000000002</v>
          </cell>
          <cell r="I491">
            <v>1551.655</v>
          </cell>
          <cell r="J491">
            <v>4403.2259999999997</v>
          </cell>
          <cell r="L491">
            <v>248059</v>
          </cell>
          <cell r="M491">
            <v>158363</v>
          </cell>
          <cell r="N491">
            <v>17.333000000000002</v>
          </cell>
          <cell r="AB491">
            <v>92.081699999999998</v>
          </cell>
          <cell r="BB491">
            <v>182662</v>
          </cell>
          <cell r="BC491">
            <v>86.600000000000009</v>
          </cell>
          <cell r="BD491">
            <v>94.088800000000006</v>
          </cell>
          <cell r="BE491">
            <v>100.7103</v>
          </cell>
        </row>
        <row r="492">
          <cell r="B492">
            <v>7695.125</v>
          </cell>
          <cell r="C492">
            <v>837.72500000000002</v>
          </cell>
          <cell r="D492">
            <v>1736.7460000000001</v>
          </cell>
          <cell r="E492">
            <v>5139.4830000000002</v>
          </cell>
          <cell r="G492">
            <v>6948.3</v>
          </cell>
          <cell r="H492">
            <v>934.72300000000007</v>
          </cell>
          <cell r="I492">
            <v>1579.067</v>
          </cell>
          <cell r="J492">
            <v>4434.51</v>
          </cell>
          <cell r="L492">
            <v>252180</v>
          </cell>
          <cell r="M492">
            <v>160118</v>
          </cell>
          <cell r="N492">
            <v>18.594000000000001</v>
          </cell>
          <cell r="AB492">
            <v>92.525400000000005</v>
          </cell>
          <cell r="BB492">
            <v>193868</v>
          </cell>
          <cell r="BC492">
            <v>86.8</v>
          </cell>
          <cell r="BD492">
            <v>93.674199999999999</v>
          </cell>
          <cell r="BE492">
            <v>100.117</v>
          </cell>
        </row>
        <row r="493">
          <cell r="B493">
            <v>7692.393</v>
          </cell>
          <cell r="C493">
            <v>829.87900000000002</v>
          </cell>
          <cell r="D493">
            <v>1737.567</v>
          </cell>
          <cell r="E493">
            <v>5145.8620000000001</v>
          </cell>
          <cell r="G493">
            <v>6955.4490000000005</v>
          </cell>
          <cell r="H493">
            <v>924.19400000000007</v>
          </cell>
          <cell r="I493">
            <v>1575.8330000000001</v>
          </cell>
          <cell r="J493">
            <v>4455.4220000000005</v>
          </cell>
          <cell r="L493">
            <v>251747</v>
          </cell>
          <cell r="M493">
            <v>159609</v>
          </cell>
          <cell r="N493">
            <v>17.62</v>
          </cell>
          <cell r="AB493">
            <v>92.140100000000004</v>
          </cell>
          <cell r="BB493">
            <v>180181</v>
          </cell>
          <cell r="BC493">
            <v>86.3</v>
          </cell>
          <cell r="BD493">
            <v>93.186800000000005</v>
          </cell>
          <cell r="BE493">
            <v>99.454100000000011</v>
          </cell>
        </row>
        <row r="494">
          <cell r="B494">
            <v>7698.5630000000001</v>
          </cell>
          <cell r="C494">
            <v>823.32799999999997</v>
          </cell>
          <cell r="D494">
            <v>1734.6410000000001</v>
          </cell>
          <cell r="E494">
            <v>5163.7</v>
          </cell>
          <cell r="G494">
            <v>6970.7340000000004</v>
          </cell>
          <cell r="H494">
            <v>917.09400000000005</v>
          </cell>
          <cell r="I494">
            <v>1575.6690000000001</v>
          </cell>
          <cell r="J494">
            <v>4477.9710000000005</v>
          </cell>
          <cell r="L494">
            <v>250410</v>
          </cell>
          <cell r="M494">
            <v>158584</v>
          </cell>
          <cell r="N494">
            <v>16.658000000000001</v>
          </cell>
          <cell r="AB494">
            <v>92.150300000000001</v>
          </cell>
          <cell r="BB494">
            <v>181535</v>
          </cell>
          <cell r="BC494">
            <v>85.9</v>
          </cell>
          <cell r="BD494">
            <v>92.6417</v>
          </cell>
          <cell r="BE494">
            <v>98.737700000000004</v>
          </cell>
        </row>
        <row r="495">
          <cell r="B495">
            <v>7739.1310000000003</v>
          </cell>
          <cell r="C495">
            <v>824.19500000000005</v>
          </cell>
          <cell r="D495">
            <v>1751.934</v>
          </cell>
          <cell r="E495">
            <v>5186.674</v>
          </cell>
          <cell r="G495">
            <v>7017.174</v>
          </cell>
          <cell r="H495">
            <v>917.25800000000004</v>
          </cell>
          <cell r="I495">
            <v>1591.096</v>
          </cell>
          <cell r="J495">
            <v>4508.82</v>
          </cell>
          <cell r="L495">
            <v>251088</v>
          </cell>
          <cell r="M495">
            <v>158272</v>
          </cell>
          <cell r="N495">
            <v>16.052</v>
          </cell>
          <cell r="AB495">
            <v>91.832900000000009</v>
          </cell>
          <cell r="BB495">
            <v>184615</v>
          </cell>
          <cell r="BC495">
            <v>85.3</v>
          </cell>
          <cell r="BD495">
            <v>92.070700000000002</v>
          </cell>
          <cell r="BE495">
            <v>98.001400000000004</v>
          </cell>
        </row>
        <row r="496">
          <cell r="B496">
            <v>7737.1050000000005</v>
          </cell>
          <cell r="C496">
            <v>827.59900000000005</v>
          </cell>
          <cell r="D496">
            <v>1741.8600000000001</v>
          </cell>
          <cell r="E496">
            <v>5190.4960000000001</v>
          </cell>
          <cell r="G496">
            <v>7047.7179999999998</v>
          </cell>
          <cell r="H496">
            <v>920.47800000000007</v>
          </cell>
          <cell r="I496">
            <v>1585.5319999999999</v>
          </cell>
          <cell r="J496">
            <v>4541.7080000000005</v>
          </cell>
          <cell r="L496">
            <v>253139</v>
          </cell>
          <cell r="M496">
            <v>159126</v>
          </cell>
          <cell r="N496">
            <v>17.641000000000002</v>
          </cell>
          <cell r="AB496">
            <v>91.204300000000003</v>
          </cell>
          <cell r="BB496">
            <v>171879</v>
          </cell>
          <cell r="BC496">
            <v>85.100000000000009</v>
          </cell>
          <cell r="BD496">
            <v>91.595800000000011</v>
          </cell>
          <cell r="BE496">
            <v>97.374000000000009</v>
          </cell>
        </row>
        <row r="497">
          <cell r="B497">
            <v>7746.51</v>
          </cell>
          <cell r="C497">
            <v>850.76200000000006</v>
          </cell>
          <cell r="D497">
            <v>1731.0920000000001</v>
          </cell>
          <cell r="E497">
            <v>5181.9290000000001</v>
          </cell>
          <cell r="G497">
            <v>7066.5410000000002</v>
          </cell>
          <cell r="H497">
            <v>943.04399999999998</v>
          </cell>
          <cell r="I497">
            <v>1578.383</v>
          </cell>
          <cell r="J497">
            <v>4545.1140000000005</v>
          </cell>
          <cell r="L497">
            <v>253139</v>
          </cell>
          <cell r="M497">
            <v>158709</v>
          </cell>
          <cell r="N497">
            <v>17.818000000000001</v>
          </cell>
          <cell r="AB497">
            <v>90.645499999999998</v>
          </cell>
          <cell r="BB497">
            <v>174055</v>
          </cell>
          <cell r="BC497">
            <v>84.7</v>
          </cell>
          <cell r="BD497">
            <v>91.272000000000006</v>
          </cell>
          <cell r="BE497">
            <v>96.912700000000001</v>
          </cell>
        </row>
        <row r="498">
          <cell r="B498">
            <v>7738.7049999999999</v>
          </cell>
          <cell r="C498">
            <v>841.04</v>
          </cell>
          <cell r="D498">
            <v>1720.7239999999999</v>
          </cell>
          <cell r="E498">
            <v>5196.6630000000005</v>
          </cell>
          <cell r="G498">
            <v>7060.1480000000001</v>
          </cell>
          <cell r="H498">
            <v>929.26400000000001</v>
          </cell>
          <cell r="I498">
            <v>1563.6559999999999</v>
          </cell>
          <cell r="J498">
            <v>4567.2280000000001</v>
          </cell>
          <cell r="L498">
            <v>250679</v>
          </cell>
          <cell r="M498">
            <v>157236</v>
          </cell>
          <cell r="N498">
            <v>17.240000000000002</v>
          </cell>
          <cell r="AB498">
            <v>90.387100000000004</v>
          </cell>
          <cell r="BB498">
            <v>173452</v>
          </cell>
          <cell r="BC498">
            <v>84.4</v>
          </cell>
          <cell r="BD498">
            <v>91.108800000000002</v>
          </cell>
          <cell r="BE498">
            <v>96.626300000000001</v>
          </cell>
        </row>
        <row r="499">
          <cell r="B499">
            <v>7746.0929999999998</v>
          </cell>
          <cell r="C499">
            <v>827.00599999999997</v>
          </cell>
          <cell r="D499">
            <v>1739.04</v>
          </cell>
          <cell r="E499">
            <v>5202.8680000000004</v>
          </cell>
          <cell r="G499">
            <v>7079.8959999999997</v>
          </cell>
          <cell r="H499">
            <v>912.56600000000003</v>
          </cell>
          <cell r="I499">
            <v>1585.663</v>
          </cell>
          <cell r="J499">
            <v>4581.6660000000002</v>
          </cell>
          <cell r="L499">
            <v>254822</v>
          </cell>
          <cell r="M499">
            <v>159278</v>
          </cell>
          <cell r="N499">
            <v>16.867000000000001</v>
          </cell>
          <cell r="AB499">
            <v>90.171199999999999</v>
          </cell>
          <cell r="BB499">
            <v>164869</v>
          </cell>
          <cell r="BC499">
            <v>84.3</v>
          </cell>
          <cell r="BD499">
            <v>91.078699999999998</v>
          </cell>
          <cell r="BE499">
            <v>96.48490000000001</v>
          </cell>
        </row>
        <row r="500">
          <cell r="B500">
            <v>7780.6010000000006</v>
          </cell>
          <cell r="C500">
            <v>837.37700000000007</v>
          </cell>
          <cell r="D500">
            <v>1748.808</v>
          </cell>
          <cell r="E500">
            <v>5215.5129999999999</v>
          </cell>
          <cell r="G500">
            <v>7130.8090000000002</v>
          </cell>
          <cell r="H500">
            <v>920.38200000000006</v>
          </cell>
          <cell r="I500">
            <v>1607.0710000000001</v>
          </cell>
          <cell r="J500">
            <v>4603.3559999999998</v>
          </cell>
          <cell r="L500">
            <v>255462</v>
          </cell>
          <cell r="M500">
            <v>158951</v>
          </cell>
          <cell r="N500">
            <v>16.87</v>
          </cell>
          <cell r="AB500">
            <v>89.506100000000004</v>
          </cell>
          <cell r="BB500">
            <v>170994</v>
          </cell>
          <cell r="BC500">
            <v>84.7</v>
          </cell>
          <cell r="BD500">
            <v>91.124700000000004</v>
          </cell>
          <cell r="BE500">
            <v>96.427300000000002</v>
          </cell>
        </row>
        <row r="501">
          <cell r="B501">
            <v>7783.317</v>
          </cell>
          <cell r="C501">
            <v>853.76499999999999</v>
          </cell>
          <cell r="D501">
            <v>1730.635</v>
          </cell>
          <cell r="E501">
            <v>5216.808</v>
          </cell>
          <cell r="G501">
            <v>7145.3249999999998</v>
          </cell>
          <cell r="H501">
            <v>938.73300000000006</v>
          </cell>
          <cell r="I501">
            <v>1590.6870000000001</v>
          </cell>
          <cell r="J501">
            <v>4615.9049999999997</v>
          </cell>
          <cell r="L501">
            <v>254543</v>
          </cell>
          <cell r="M501">
            <v>158117</v>
          </cell>
          <cell r="N501">
            <v>17.452999999999999</v>
          </cell>
          <cell r="AB501">
            <v>88.934700000000007</v>
          </cell>
          <cell r="BB501">
            <v>169920</v>
          </cell>
          <cell r="BC501">
            <v>84.8</v>
          </cell>
          <cell r="BD501">
            <v>91.151899999999998</v>
          </cell>
          <cell r="BE501">
            <v>96.352800000000002</v>
          </cell>
        </row>
        <row r="502">
          <cell r="B502">
            <v>7800.2120000000004</v>
          </cell>
          <cell r="C502">
            <v>845.16700000000003</v>
          </cell>
          <cell r="D502">
            <v>1750.6580000000001</v>
          </cell>
          <cell r="E502">
            <v>5224.3</v>
          </cell>
          <cell r="G502">
            <v>7156.4710000000005</v>
          </cell>
          <cell r="H502">
            <v>929.82500000000005</v>
          </cell>
          <cell r="I502">
            <v>1595.7619999999999</v>
          </cell>
          <cell r="J502">
            <v>4630.884</v>
          </cell>
          <cell r="L502">
            <v>253570</v>
          </cell>
          <cell r="M502">
            <v>157936</v>
          </cell>
          <cell r="N502">
            <v>16.458000000000002</v>
          </cell>
          <cell r="AB502">
            <v>88.527799999999999</v>
          </cell>
          <cell r="BB502">
            <v>163090</v>
          </cell>
          <cell r="BC502">
            <v>85</v>
          </cell>
          <cell r="BD502">
            <v>91.1173</v>
          </cell>
          <cell r="BE502">
            <v>96.215800000000002</v>
          </cell>
        </row>
        <row r="503">
          <cell r="B503">
            <v>7844.8249999999998</v>
          </cell>
          <cell r="C503">
            <v>865.43799999999999</v>
          </cell>
          <cell r="D503">
            <v>1755.145</v>
          </cell>
          <cell r="E503">
            <v>5240.7629999999999</v>
          </cell>
          <cell r="G503">
            <v>7195.8330000000005</v>
          </cell>
          <cell r="H503">
            <v>947.52600000000007</v>
          </cell>
          <cell r="I503">
            <v>1593.644</v>
          </cell>
          <cell r="J503">
            <v>4654.6630000000005</v>
          </cell>
          <cell r="L503">
            <v>255128</v>
          </cell>
          <cell r="M503">
            <v>159005</v>
          </cell>
          <cell r="N503">
            <v>16.336000000000002</v>
          </cell>
          <cell r="AB503">
            <v>88.23190000000001</v>
          </cell>
          <cell r="BB503">
            <v>164514</v>
          </cell>
          <cell r="BC503">
            <v>85</v>
          </cell>
          <cell r="BD503">
            <v>91.036200000000008</v>
          </cell>
          <cell r="BE503">
            <v>96.03240000000001</v>
          </cell>
        </row>
        <row r="504">
          <cell r="B504">
            <v>7767.4670000000006</v>
          </cell>
          <cell r="C504">
            <v>838.02300000000002</v>
          </cell>
          <cell r="D504">
            <v>1737.952</v>
          </cell>
          <cell r="E504">
            <v>5212.2340000000004</v>
          </cell>
          <cell r="G504">
            <v>7101.4490000000005</v>
          </cell>
          <cell r="H504">
            <v>909.20100000000002</v>
          </cell>
          <cell r="I504">
            <v>1596.0240000000001</v>
          </cell>
          <cell r="J504">
            <v>4596.223</v>
          </cell>
          <cell r="L504">
            <v>250383</v>
          </cell>
          <cell r="M504">
            <v>155365</v>
          </cell>
          <cell r="N504">
            <v>16.355</v>
          </cell>
          <cell r="AB504">
            <v>87.910499999999999</v>
          </cell>
          <cell r="BB504">
            <v>155054</v>
          </cell>
          <cell r="BC504">
            <v>84.3</v>
          </cell>
          <cell r="BD504">
            <v>91.007300000000001</v>
          </cell>
          <cell r="BE504">
            <v>95.906300000000002</v>
          </cell>
        </row>
        <row r="505">
          <cell r="B505">
            <v>7954.7269999999999</v>
          </cell>
          <cell r="C505">
            <v>955.00800000000004</v>
          </cell>
          <cell r="D505">
            <v>1758.6559999999999</v>
          </cell>
          <cell r="E505">
            <v>5240.9520000000002</v>
          </cell>
          <cell r="G505">
            <v>7298.6140000000005</v>
          </cell>
          <cell r="H505">
            <v>1040.5899999999999</v>
          </cell>
          <cell r="I505">
            <v>1595.6780000000001</v>
          </cell>
          <cell r="J505">
            <v>4662.3460000000005</v>
          </cell>
          <cell r="L505">
            <v>268862</v>
          </cell>
          <cell r="M505">
            <v>166359</v>
          </cell>
          <cell r="N505">
            <v>22.048000000000002</v>
          </cell>
          <cell r="AB505">
            <v>87.454999999999998</v>
          </cell>
          <cell r="BB505">
            <v>152334</v>
          </cell>
          <cell r="BC505">
            <v>84.4</v>
          </cell>
          <cell r="BD505">
            <v>91.179400000000001</v>
          </cell>
          <cell r="BE505">
            <v>95.992800000000003</v>
          </cell>
        </row>
        <row r="506">
          <cell r="B506">
            <v>7917.9480000000003</v>
          </cell>
          <cell r="C506">
            <v>922.11700000000008</v>
          </cell>
          <cell r="D506">
            <v>1762.7170000000001</v>
          </cell>
          <cell r="E506">
            <v>5239.2049999999999</v>
          </cell>
          <cell r="G506">
            <v>7259.8720000000003</v>
          </cell>
          <cell r="H506">
            <v>1002.855</v>
          </cell>
          <cell r="I506">
            <v>1583.856</v>
          </cell>
          <cell r="J506">
            <v>4673.1610000000001</v>
          </cell>
          <cell r="L506">
            <v>260774</v>
          </cell>
          <cell r="M506">
            <v>161946</v>
          </cell>
          <cell r="N506">
            <v>18.030999999999999</v>
          </cell>
          <cell r="AB506">
            <v>87.013800000000003</v>
          </cell>
          <cell r="BB506">
            <v>156570</v>
          </cell>
          <cell r="BC506">
            <v>85.4</v>
          </cell>
          <cell r="BD506">
            <v>91.607200000000006</v>
          </cell>
          <cell r="BE506">
            <v>96.348800000000011</v>
          </cell>
        </row>
        <row r="507">
          <cell r="B507">
            <v>7906.4690000000001</v>
          </cell>
          <cell r="C507">
            <v>885.6</v>
          </cell>
          <cell r="D507">
            <v>1767.761</v>
          </cell>
          <cell r="E507">
            <v>5266.88</v>
          </cell>
          <cell r="G507">
            <v>7243.0209999999997</v>
          </cell>
          <cell r="H507">
            <v>961.69900000000007</v>
          </cell>
          <cell r="I507">
            <v>1575.9650000000001</v>
          </cell>
          <cell r="J507">
            <v>4705.357</v>
          </cell>
          <cell r="L507">
            <v>257464</v>
          </cell>
          <cell r="M507">
            <v>160492</v>
          </cell>
          <cell r="N507">
            <v>16.463000000000001</v>
          </cell>
          <cell r="AB507">
            <v>87.019400000000005</v>
          </cell>
          <cell r="BB507">
            <v>159110</v>
          </cell>
          <cell r="BC507">
            <v>86.7</v>
          </cell>
          <cell r="BD507">
            <v>92.240600000000001</v>
          </cell>
          <cell r="BE507">
            <v>96.920500000000004</v>
          </cell>
        </row>
        <row r="508">
          <cell r="B508">
            <v>7933.6480000000001</v>
          </cell>
          <cell r="C508">
            <v>900.928</v>
          </cell>
          <cell r="D508">
            <v>1769.377</v>
          </cell>
          <cell r="E508">
            <v>5274.616</v>
          </cell>
          <cell r="G508">
            <v>7275.0240000000003</v>
          </cell>
          <cell r="H508">
            <v>975.73599999999999</v>
          </cell>
          <cell r="I508">
            <v>1581.1960000000001</v>
          </cell>
          <cell r="J508">
            <v>4718.0919999999996</v>
          </cell>
          <cell r="L508">
            <v>257052</v>
          </cell>
          <cell r="M508">
            <v>160019</v>
          </cell>
          <cell r="N508">
            <v>16.521000000000001</v>
          </cell>
          <cell r="AB508">
            <v>87.556600000000003</v>
          </cell>
          <cell r="BB508">
            <v>156239</v>
          </cell>
          <cell r="BC508">
            <v>87.2</v>
          </cell>
          <cell r="BD508">
            <v>92.954700000000003</v>
          </cell>
          <cell r="BE508">
            <v>97.576300000000003</v>
          </cell>
        </row>
        <row r="509">
          <cell r="B509">
            <v>7965.5020000000004</v>
          </cell>
          <cell r="C509">
            <v>917.41200000000003</v>
          </cell>
          <cell r="D509">
            <v>1770.9059999999999</v>
          </cell>
          <cell r="E509">
            <v>5285.9449999999997</v>
          </cell>
          <cell r="G509">
            <v>7316.7120000000004</v>
          </cell>
          <cell r="H509">
            <v>987.19100000000003</v>
          </cell>
          <cell r="I509">
            <v>1587.009</v>
          </cell>
          <cell r="J509">
            <v>4742.5119999999997</v>
          </cell>
          <cell r="L509">
            <v>258407</v>
          </cell>
          <cell r="M509">
            <v>160601</v>
          </cell>
          <cell r="N509">
            <v>17.302</v>
          </cell>
          <cell r="AB509">
            <v>87.517400000000009</v>
          </cell>
          <cell r="BB509">
            <v>161785</v>
          </cell>
          <cell r="BC509">
            <v>87.9</v>
          </cell>
          <cell r="BD509">
            <v>93.626300000000001</v>
          </cell>
          <cell r="BE509">
            <v>98.186700000000002</v>
          </cell>
        </row>
        <row r="510">
          <cell r="B510">
            <v>7961.9459999999999</v>
          </cell>
          <cell r="C510">
            <v>912.73199999999997</v>
          </cell>
          <cell r="D510">
            <v>1770.347</v>
          </cell>
          <cell r="E510">
            <v>5288.5630000000001</v>
          </cell>
          <cell r="G510">
            <v>7335.1850000000004</v>
          </cell>
          <cell r="H510">
            <v>980.976</v>
          </cell>
          <cell r="I510">
            <v>1596.567</v>
          </cell>
          <cell r="J510">
            <v>4757.6419999999998</v>
          </cell>
          <cell r="L510">
            <v>257473</v>
          </cell>
          <cell r="M510">
            <v>159542</v>
          </cell>
          <cell r="N510">
            <v>17.083000000000002</v>
          </cell>
          <cell r="AB510">
            <v>88.207999999999998</v>
          </cell>
          <cell r="BB510">
            <v>157228</v>
          </cell>
          <cell r="BC510">
            <v>88.2</v>
          </cell>
          <cell r="BD510">
            <v>94.132100000000008</v>
          </cell>
          <cell r="BE510">
            <v>98.622600000000006</v>
          </cell>
        </row>
        <row r="511">
          <cell r="B511">
            <v>8000.473</v>
          </cell>
          <cell r="C511">
            <v>938.24599999999998</v>
          </cell>
          <cell r="D511">
            <v>1764.8890000000001</v>
          </cell>
          <cell r="E511">
            <v>5303.2250000000004</v>
          </cell>
          <cell r="G511">
            <v>7402.9130000000005</v>
          </cell>
          <cell r="H511">
            <v>1007.499</v>
          </cell>
          <cell r="I511">
            <v>1610.202</v>
          </cell>
          <cell r="J511">
            <v>4785.2129999999997</v>
          </cell>
          <cell r="L511">
            <v>261583</v>
          </cell>
          <cell r="M511">
            <v>161292</v>
          </cell>
          <cell r="N511">
            <v>17.663</v>
          </cell>
          <cell r="AB511">
            <v>88.580500000000001</v>
          </cell>
          <cell r="BB511">
            <v>164364</v>
          </cell>
          <cell r="BC511">
            <v>88.3</v>
          </cell>
          <cell r="BD511">
            <v>94.380300000000005</v>
          </cell>
          <cell r="BE511">
            <v>98.78840000000001</v>
          </cell>
        </row>
        <row r="512">
          <cell r="B512">
            <v>7970.9139999999998</v>
          </cell>
          <cell r="C512">
            <v>901.90899999999999</v>
          </cell>
          <cell r="D512">
            <v>1767.7560000000001</v>
          </cell>
          <cell r="E512">
            <v>5313.3050000000003</v>
          </cell>
          <cell r="G512">
            <v>7380.5690000000004</v>
          </cell>
          <cell r="H512">
            <v>967.88400000000001</v>
          </cell>
          <cell r="I512">
            <v>1605.797</v>
          </cell>
          <cell r="J512">
            <v>4806.8869999999997</v>
          </cell>
          <cell r="L512">
            <v>257703</v>
          </cell>
          <cell r="M512">
            <v>158879</v>
          </cell>
          <cell r="N512">
            <v>16.18</v>
          </cell>
          <cell r="AB512">
            <v>89.078800000000001</v>
          </cell>
          <cell r="BB512">
            <v>165959</v>
          </cell>
          <cell r="BC512">
            <v>89.2</v>
          </cell>
          <cell r="BD512">
            <v>94.347200000000001</v>
          </cell>
          <cell r="BE512">
            <v>98.660200000000003</v>
          </cell>
        </row>
        <row r="513">
          <cell r="B513">
            <v>8010.9639999999999</v>
          </cell>
          <cell r="C513">
            <v>919.64099999999996</v>
          </cell>
          <cell r="D513">
            <v>1784.81</v>
          </cell>
          <cell r="E513">
            <v>5316.2349999999997</v>
          </cell>
          <cell r="G513">
            <v>7426.6909999999998</v>
          </cell>
          <cell r="H513">
            <v>983.94299999999998</v>
          </cell>
          <cell r="I513">
            <v>1622.403</v>
          </cell>
          <cell r="J513">
            <v>4820.3450000000003</v>
          </cell>
          <cell r="L513">
            <v>260256</v>
          </cell>
          <cell r="M513">
            <v>160321</v>
          </cell>
          <cell r="N513">
            <v>16.949000000000002</v>
          </cell>
          <cell r="AB513">
            <v>89.920500000000004</v>
          </cell>
          <cell r="BB513">
            <v>158397</v>
          </cell>
          <cell r="BC513">
            <v>89.2</v>
          </cell>
          <cell r="BD513">
            <v>94.031599999999997</v>
          </cell>
          <cell r="BE513">
            <v>98.237099999999998</v>
          </cell>
        </row>
        <row r="514">
          <cell r="B514">
            <v>8055.768</v>
          </cell>
          <cell r="C514">
            <v>948.04500000000007</v>
          </cell>
          <cell r="D514">
            <v>1780.8810000000001</v>
          </cell>
          <cell r="E514">
            <v>5332.5380000000005</v>
          </cell>
          <cell r="G514">
            <v>7484.4120000000003</v>
          </cell>
          <cell r="H514">
            <v>1013.149</v>
          </cell>
          <cell r="I514">
            <v>1621.5720000000001</v>
          </cell>
          <cell r="J514">
            <v>4849.6909999999998</v>
          </cell>
          <cell r="L514">
            <v>263317</v>
          </cell>
          <cell r="M514">
            <v>161686</v>
          </cell>
          <cell r="N514">
            <v>18.150000000000002</v>
          </cell>
          <cell r="AB514">
            <v>89.618000000000009</v>
          </cell>
          <cell r="BB514">
            <v>164878</v>
          </cell>
          <cell r="BC514">
            <v>89.2</v>
          </cell>
          <cell r="BD514">
            <v>93.534100000000009</v>
          </cell>
          <cell r="BE514">
            <v>97.624800000000008</v>
          </cell>
        </row>
        <row r="515">
          <cell r="B515">
            <v>8065.1980000000003</v>
          </cell>
          <cell r="C515">
            <v>967.279</v>
          </cell>
          <cell r="D515">
            <v>1775.7270000000001</v>
          </cell>
          <cell r="E515">
            <v>5324.7219999999998</v>
          </cell>
          <cell r="G515">
            <v>7507.2750000000005</v>
          </cell>
          <cell r="H515">
            <v>1031.7160000000001</v>
          </cell>
          <cell r="I515">
            <v>1621.0889999999999</v>
          </cell>
          <cell r="J515">
            <v>4854.47</v>
          </cell>
          <cell r="L515">
            <v>265624</v>
          </cell>
          <cell r="M515">
            <v>162510</v>
          </cell>
          <cell r="N515">
            <v>18.442</v>
          </cell>
          <cell r="AB515">
            <v>89.801600000000008</v>
          </cell>
          <cell r="BB515">
            <v>169089</v>
          </cell>
          <cell r="BC515">
            <v>89.4</v>
          </cell>
          <cell r="BD515">
            <v>92.995699999999999</v>
          </cell>
          <cell r="BE515">
            <v>96.970399999999998</v>
          </cell>
        </row>
        <row r="516">
          <cell r="B516">
            <v>8023.9880000000003</v>
          </cell>
          <cell r="C516">
            <v>925.29899999999998</v>
          </cell>
          <cell r="D516">
            <v>1775.903</v>
          </cell>
          <cell r="E516">
            <v>5331.3890000000001</v>
          </cell>
          <cell r="G516">
            <v>7481.9279999999999</v>
          </cell>
          <cell r="H516">
            <v>986.27700000000004</v>
          </cell>
          <cell r="I516">
            <v>1622.1200000000001</v>
          </cell>
          <cell r="J516">
            <v>4873.5309999999999</v>
          </cell>
          <cell r="L516">
            <v>261037</v>
          </cell>
          <cell r="M516">
            <v>159793</v>
          </cell>
          <cell r="N516">
            <v>16.669</v>
          </cell>
          <cell r="AB516">
            <v>89.875700000000009</v>
          </cell>
          <cell r="BB516">
            <v>158503</v>
          </cell>
          <cell r="BC516">
            <v>89.5</v>
          </cell>
          <cell r="BD516">
            <v>92.498500000000007</v>
          </cell>
          <cell r="BE516">
            <v>96.359200000000001</v>
          </cell>
        </row>
        <row r="517">
          <cell r="B517">
            <v>8046.83</v>
          </cell>
          <cell r="C517">
            <v>917.15499999999997</v>
          </cell>
          <cell r="D517">
            <v>1791.078</v>
          </cell>
          <cell r="E517">
            <v>5348.7820000000002</v>
          </cell>
          <cell r="G517">
            <v>7517.5690000000004</v>
          </cell>
          <cell r="H517">
            <v>975.83900000000006</v>
          </cell>
          <cell r="I517">
            <v>1640.5430000000001</v>
          </cell>
          <cell r="J517">
            <v>4901.1859999999997</v>
          </cell>
          <cell r="L517">
            <v>262517</v>
          </cell>
          <cell r="M517">
            <v>160164</v>
          </cell>
          <cell r="N517">
            <v>16.262</v>
          </cell>
          <cell r="AB517">
            <v>89.53070000000001</v>
          </cell>
          <cell r="BB517">
            <v>163279</v>
          </cell>
          <cell r="BC517">
            <v>89.4</v>
          </cell>
          <cell r="BD517">
            <v>92.110799999999998</v>
          </cell>
          <cell r="BE517">
            <v>95.861699999999999</v>
          </cell>
        </row>
        <row r="518">
          <cell r="B518">
            <v>8066.3230000000003</v>
          </cell>
          <cell r="C518">
            <v>926.52700000000004</v>
          </cell>
          <cell r="D518">
            <v>1802.644</v>
          </cell>
          <cell r="E518">
            <v>5346.0960000000005</v>
          </cell>
          <cell r="G518">
            <v>7543.8730000000005</v>
          </cell>
          <cell r="H518">
            <v>981.98900000000003</v>
          </cell>
          <cell r="I518">
            <v>1651.789</v>
          </cell>
          <cell r="J518">
            <v>4910.0950000000003</v>
          </cell>
          <cell r="L518">
            <v>264132</v>
          </cell>
          <cell r="M518">
            <v>160938</v>
          </cell>
          <cell r="N518">
            <v>16.527000000000001</v>
          </cell>
          <cell r="AB518">
            <v>89.995000000000005</v>
          </cell>
          <cell r="BB518">
            <v>163035</v>
          </cell>
          <cell r="BC518">
            <v>90.3</v>
          </cell>
          <cell r="BD518">
            <v>91.874099999999999</v>
          </cell>
          <cell r="BE518">
            <v>95.520700000000005</v>
          </cell>
        </row>
        <row r="519">
          <cell r="B519">
            <v>8117.4970000000003</v>
          </cell>
          <cell r="C519">
            <v>959.53200000000004</v>
          </cell>
          <cell r="D519">
            <v>1806.3240000000001</v>
          </cell>
          <cell r="E519">
            <v>5356.4480000000003</v>
          </cell>
          <cell r="G519">
            <v>7598.1260000000002</v>
          </cell>
          <cell r="H519">
            <v>1013.0260000000001</v>
          </cell>
          <cell r="I519">
            <v>1653.9670000000001</v>
          </cell>
          <cell r="J519">
            <v>4931.1329999999998</v>
          </cell>
          <cell r="L519">
            <v>266168</v>
          </cell>
          <cell r="M519">
            <v>161851</v>
          </cell>
          <cell r="N519">
            <v>17.897000000000002</v>
          </cell>
          <cell r="AB519">
            <v>89.525100000000009</v>
          </cell>
          <cell r="BB519">
            <v>155367</v>
          </cell>
          <cell r="BC519">
            <v>90.5</v>
          </cell>
          <cell r="BD519">
            <v>91.726100000000002</v>
          </cell>
          <cell r="BE519">
            <v>95.270899999999997</v>
          </cell>
        </row>
        <row r="520">
          <cell r="B520">
            <v>8129.817</v>
          </cell>
          <cell r="C520">
            <v>945.74900000000002</v>
          </cell>
          <cell r="D520">
            <v>1813.1279999999999</v>
          </cell>
          <cell r="E520">
            <v>5377.9070000000002</v>
          </cell>
          <cell r="G520">
            <v>7629.6980000000003</v>
          </cell>
          <cell r="H520">
            <v>992.51300000000003</v>
          </cell>
          <cell r="I520">
            <v>1677.954</v>
          </cell>
          <cell r="J520">
            <v>4959.2309999999998</v>
          </cell>
          <cell r="L520">
            <v>267618</v>
          </cell>
          <cell r="M520">
            <v>161951</v>
          </cell>
          <cell r="N520">
            <v>16.7</v>
          </cell>
          <cell r="AB520">
            <v>90.207599999999999</v>
          </cell>
          <cell r="BB520">
            <v>161051</v>
          </cell>
          <cell r="BC520">
            <v>90.600000000000009</v>
          </cell>
          <cell r="BD520">
            <v>91.624499999999998</v>
          </cell>
          <cell r="BE520">
            <v>95.068300000000008</v>
          </cell>
        </row>
        <row r="521">
          <cell r="B521">
            <v>8096.0659999999998</v>
          </cell>
          <cell r="C521">
            <v>922.91399999999999</v>
          </cell>
          <cell r="D521">
            <v>1814.191</v>
          </cell>
          <cell r="E521">
            <v>5368.3109999999997</v>
          </cell>
          <cell r="G521">
            <v>7629.8</v>
          </cell>
          <cell r="H521">
            <v>966.19400000000007</v>
          </cell>
          <cell r="I521">
            <v>1697.652</v>
          </cell>
          <cell r="J521">
            <v>4965.9539999999997</v>
          </cell>
          <cell r="L521">
            <v>263601</v>
          </cell>
          <cell r="M521">
            <v>158849</v>
          </cell>
          <cell r="N521">
            <v>16.132999999999999</v>
          </cell>
          <cell r="AB521">
            <v>90.500399999999999</v>
          </cell>
          <cell r="BB521">
            <v>163889</v>
          </cell>
          <cell r="BC521">
            <v>90.600000000000009</v>
          </cell>
          <cell r="BD521">
            <v>91.604100000000003</v>
          </cell>
          <cell r="BE521">
            <v>94.948599999999999</v>
          </cell>
        </row>
        <row r="522">
          <cell r="B522">
            <v>8127.24</v>
          </cell>
          <cell r="C522">
            <v>942.85400000000004</v>
          </cell>
          <cell r="D522">
            <v>1820.617</v>
          </cell>
          <cell r="E522">
            <v>5370.9310000000005</v>
          </cell>
          <cell r="G522">
            <v>7678.1580000000004</v>
          </cell>
          <cell r="H522">
            <v>985.36599999999999</v>
          </cell>
          <cell r="I522">
            <v>1702.1100000000001</v>
          </cell>
          <cell r="J522">
            <v>4990.683</v>
          </cell>
          <cell r="L522">
            <v>268285</v>
          </cell>
          <cell r="M522">
            <v>161438</v>
          </cell>
          <cell r="N522">
            <v>16.504000000000001</v>
          </cell>
          <cell r="AB522">
            <v>90.3536</v>
          </cell>
          <cell r="BB522">
            <v>163596</v>
          </cell>
          <cell r="BC522">
            <v>90.7</v>
          </cell>
          <cell r="BD522">
            <v>91.760199999999998</v>
          </cell>
          <cell r="BE522">
            <v>95.010400000000004</v>
          </cell>
        </row>
        <row r="523">
          <cell r="B523">
            <v>8170.5340000000006</v>
          </cell>
          <cell r="C523">
            <v>965.39100000000008</v>
          </cell>
          <cell r="D523">
            <v>1817.528</v>
          </cell>
          <cell r="E523">
            <v>5392.482</v>
          </cell>
          <cell r="G523">
            <v>7705.6410000000005</v>
          </cell>
          <cell r="H523">
            <v>1005.999</v>
          </cell>
          <cell r="I523">
            <v>1678.566</v>
          </cell>
          <cell r="J523">
            <v>5021.0749999999998</v>
          </cell>
          <cell r="L523">
            <v>267517</v>
          </cell>
          <cell r="M523">
            <v>161580</v>
          </cell>
          <cell r="N523">
            <v>16.741</v>
          </cell>
          <cell r="AB523">
            <v>89.633700000000005</v>
          </cell>
          <cell r="BB523">
            <v>158607</v>
          </cell>
          <cell r="BC523">
            <v>91.100000000000009</v>
          </cell>
          <cell r="BD523">
            <v>92.142800000000008</v>
          </cell>
          <cell r="BE523">
            <v>95.304299999999998</v>
          </cell>
        </row>
        <row r="524">
          <cell r="B524">
            <v>8194.2520000000004</v>
          </cell>
          <cell r="C524">
            <v>975.75900000000001</v>
          </cell>
          <cell r="D524">
            <v>1820.15</v>
          </cell>
          <cell r="E524">
            <v>5402.1900000000005</v>
          </cell>
          <cell r="G524">
            <v>7717.0950000000003</v>
          </cell>
          <cell r="H524">
            <v>1010.506</v>
          </cell>
          <cell r="I524">
            <v>1658.4650000000001</v>
          </cell>
          <cell r="J524">
            <v>5048.1239999999998</v>
          </cell>
          <cell r="L524">
            <v>267580</v>
          </cell>
          <cell r="M524">
            <v>162230</v>
          </cell>
          <cell r="N524">
            <v>16.456</v>
          </cell>
          <cell r="AB524">
            <v>89.642800000000008</v>
          </cell>
          <cell r="BB524">
            <v>161467</v>
          </cell>
          <cell r="BC524">
            <v>92.5</v>
          </cell>
          <cell r="BD524">
            <v>92.746600000000001</v>
          </cell>
          <cell r="BE524">
            <v>95.824600000000004</v>
          </cell>
        </row>
        <row r="525">
          <cell r="B525">
            <v>8229.6409999999996</v>
          </cell>
          <cell r="C525">
            <v>986.60599999999999</v>
          </cell>
          <cell r="D525">
            <v>1837.779</v>
          </cell>
          <cell r="E525">
            <v>5408.58</v>
          </cell>
          <cell r="G525">
            <v>7759.3890000000001</v>
          </cell>
          <cell r="H525">
            <v>1017.556</v>
          </cell>
          <cell r="I525">
            <v>1680.239</v>
          </cell>
          <cell r="J525">
            <v>5061.5940000000001</v>
          </cell>
          <cell r="L525">
            <v>270903</v>
          </cell>
          <cell r="M525">
            <v>163977</v>
          </cell>
          <cell r="N525">
            <v>17.007000000000001</v>
          </cell>
          <cell r="AB525">
            <v>89.6511</v>
          </cell>
          <cell r="BB525">
            <v>164585</v>
          </cell>
          <cell r="BC525">
            <v>93</v>
          </cell>
          <cell r="BD525">
            <v>93.495800000000003</v>
          </cell>
          <cell r="BE525">
            <v>96.492400000000004</v>
          </cell>
        </row>
        <row r="526">
          <cell r="B526">
            <v>8272.16</v>
          </cell>
          <cell r="C526">
            <v>1000.957</v>
          </cell>
          <cell r="D526">
            <v>1844.1610000000001</v>
          </cell>
          <cell r="E526">
            <v>5429.37</v>
          </cell>
          <cell r="G526">
            <v>7821.2160000000003</v>
          </cell>
          <cell r="H526">
            <v>1030.9760000000001</v>
          </cell>
          <cell r="I526">
            <v>1696.9259999999999</v>
          </cell>
          <cell r="J526">
            <v>5093.3140000000003</v>
          </cell>
          <cell r="L526">
            <v>273850</v>
          </cell>
          <cell r="M526">
            <v>165132</v>
          </cell>
          <cell r="N526">
            <v>17.118000000000002</v>
          </cell>
          <cell r="AB526">
            <v>89.941200000000009</v>
          </cell>
          <cell r="BB526">
            <v>165339</v>
          </cell>
          <cell r="BC526">
            <v>93.600000000000009</v>
          </cell>
          <cell r="BD526">
            <v>94.34190000000001</v>
          </cell>
          <cell r="BE526">
            <v>97.257300000000001</v>
          </cell>
        </row>
        <row r="527">
          <cell r="B527">
            <v>8343.1579999999994</v>
          </cell>
          <cell r="C527">
            <v>1036.1870000000001</v>
          </cell>
          <cell r="D527">
            <v>1865.6670000000001</v>
          </cell>
          <cell r="E527">
            <v>5441.2160000000003</v>
          </cell>
          <cell r="G527">
            <v>7915.451</v>
          </cell>
          <cell r="H527">
            <v>1062.6210000000001</v>
          </cell>
          <cell r="I527">
            <v>1735.4460000000001</v>
          </cell>
          <cell r="J527">
            <v>5117.3850000000002</v>
          </cell>
          <cell r="L527">
            <v>278221</v>
          </cell>
          <cell r="M527">
            <v>167023</v>
          </cell>
          <cell r="N527">
            <v>18.257000000000001</v>
          </cell>
          <cell r="AB527">
            <v>89.888000000000005</v>
          </cell>
          <cell r="BB527">
            <v>162206</v>
          </cell>
          <cell r="BC527">
            <v>94.100000000000009</v>
          </cell>
          <cell r="BD527">
            <v>95.26100000000001</v>
          </cell>
          <cell r="BE527">
            <v>98.094100000000012</v>
          </cell>
        </row>
        <row r="528">
          <cell r="B528">
            <v>8310.1710000000003</v>
          </cell>
          <cell r="C528">
            <v>1013.537</v>
          </cell>
          <cell r="D528">
            <v>1860.9750000000001</v>
          </cell>
          <cell r="E528">
            <v>5437.2179999999998</v>
          </cell>
          <cell r="G528">
            <v>7909.2430000000004</v>
          </cell>
          <cell r="H528">
            <v>1036.402</v>
          </cell>
          <cell r="I528">
            <v>1745.8030000000001</v>
          </cell>
          <cell r="J528">
            <v>5127.0380000000005</v>
          </cell>
          <cell r="L528">
            <v>276954</v>
          </cell>
          <cell r="M528">
            <v>165620</v>
          </cell>
          <cell r="N528">
            <v>17.294</v>
          </cell>
          <cell r="AB528">
            <v>90.414200000000008</v>
          </cell>
          <cell r="BB528">
            <v>169193</v>
          </cell>
          <cell r="BC528">
            <v>94.9</v>
          </cell>
          <cell r="BD528">
            <v>96.225200000000001</v>
          </cell>
          <cell r="BE528">
            <v>98.974100000000007</v>
          </cell>
        </row>
        <row r="529">
          <cell r="B529">
            <v>8324.52</v>
          </cell>
          <cell r="C529">
            <v>1016.077</v>
          </cell>
          <cell r="D529">
            <v>1859.597</v>
          </cell>
          <cell r="E529">
            <v>5450.3140000000003</v>
          </cell>
          <cell r="G529">
            <v>7921.2750000000005</v>
          </cell>
          <cell r="H529">
            <v>1035.3800000000001</v>
          </cell>
          <cell r="I529">
            <v>1733.1410000000001</v>
          </cell>
          <cell r="J529">
            <v>5152.7529999999997</v>
          </cell>
          <cell r="L529">
            <v>275112</v>
          </cell>
          <cell r="M529">
            <v>165098</v>
          </cell>
          <cell r="N529">
            <v>16.491</v>
          </cell>
          <cell r="AB529">
            <v>90.380800000000008</v>
          </cell>
          <cell r="BB529">
            <v>172952</v>
          </cell>
          <cell r="BC529">
            <v>95.7</v>
          </cell>
          <cell r="BD529">
            <v>97.1858</v>
          </cell>
          <cell r="BE529">
            <v>99.847000000000008</v>
          </cell>
        </row>
        <row r="530">
          <cell r="B530">
            <v>8364.5810000000001</v>
          </cell>
          <cell r="C530">
            <v>1034.2070000000001</v>
          </cell>
          <cell r="D530">
            <v>1869.9460000000001</v>
          </cell>
          <cell r="E530">
            <v>5460.96</v>
          </cell>
          <cell r="G530">
            <v>7968.116</v>
          </cell>
          <cell r="H530">
            <v>1051.434</v>
          </cell>
          <cell r="I530">
            <v>1743.6010000000001</v>
          </cell>
          <cell r="J530">
            <v>5173.0810000000001</v>
          </cell>
          <cell r="L530">
            <v>278953</v>
          </cell>
          <cell r="M530">
            <v>167190</v>
          </cell>
          <cell r="N530">
            <v>17.573</v>
          </cell>
          <cell r="AB530">
            <v>91.091200000000001</v>
          </cell>
          <cell r="BB530">
            <v>172602</v>
          </cell>
          <cell r="BC530">
            <v>96.4</v>
          </cell>
          <cell r="BD530">
            <v>98.06880000000001</v>
          </cell>
          <cell r="BE530">
            <v>100.6371</v>
          </cell>
        </row>
        <row r="531">
          <cell r="B531">
            <v>8371.8520000000008</v>
          </cell>
          <cell r="C531">
            <v>1029.33</v>
          </cell>
          <cell r="D531">
            <v>1864.7909999999999</v>
          </cell>
          <cell r="E531">
            <v>5478.634</v>
          </cell>
          <cell r="G531">
            <v>7994.317</v>
          </cell>
          <cell r="H531">
            <v>1044.0810000000001</v>
          </cell>
          <cell r="I531">
            <v>1747.595</v>
          </cell>
          <cell r="J531">
            <v>5202.6410000000005</v>
          </cell>
          <cell r="L531">
            <v>278196</v>
          </cell>
          <cell r="M531">
            <v>166093</v>
          </cell>
          <cell r="N531">
            <v>17.379000000000001</v>
          </cell>
          <cell r="AB531">
            <v>91.060100000000006</v>
          </cell>
          <cell r="BB531">
            <v>169917</v>
          </cell>
          <cell r="BC531">
            <v>96.9</v>
          </cell>
          <cell r="BD531">
            <v>98.797800000000009</v>
          </cell>
          <cell r="BE531">
            <v>101.26660000000001</v>
          </cell>
        </row>
        <row r="532">
          <cell r="B532">
            <v>8413.7749999999996</v>
          </cell>
          <cell r="C532">
            <v>1030.498</v>
          </cell>
          <cell r="D532">
            <v>1883.778</v>
          </cell>
          <cell r="E532">
            <v>5500.8620000000001</v>
          </cell>
          <cell r="G532">
            <v>8065.942</v>
          </cell>
          <cell r="H532">
            <v>1046.6020000000001</v>
          </cell>
          <cell r="I532">
            <v>1778.615</v>
          </cell>
          <cell r="J532">
            <v>5240.7240000000002</v>
          </cell>
          <cell r="L532">
            <v>279627</v>
          </cell>
          <cell r="M532">
            <v>166426</v>
          </cell>
          <cell r="N532">
            <v>16.692</v>
          </cell>
          <cell r="AB532">
            <v>91.290199999999999</v>
          </cell>
          <cell r="BB532">
            <v>166679</v>
          </cell>
          <cell r="BC532">
            <v>97.5</v>
          </cell>
          <cell r="BD532">
            <v>99.351500000000001</v>
          </cell>
          <cell r="BE532">
            <v>101.7146</v>
          </cell>
        </row>
        <row r="533">
          <cell r="B533">
            <v>8424.4320000000007</v>
          </cell>
          <cell r="C533">
            <v>1042.0360000000001</v>
          </cell>
          <cell r="D533">
            <v>1869.058</v>
          </cell>
          <cell r="E533">
            <v>5513.9890000000005</v>
          </cell>
          <cell r="G533">
            <v>8096.5230000000001</v>
          </cell>
          <cell r="H533">
            <v>1058.8920000000001</v>
          </cell>
          <cell r="I533">
            <v>1770.836</v>
          </cell>
          <cell r="J533">
            <v>5266.7950000000001</v>
          </cell>
          <cell r="L533">
            <v>281370</v>
          </cell>
          <cell r="M533">
            <v>167067</v>
          </cell>
          <cell r="N533">
            <v>17.029</v>
          </cell>
          <cell r="AB533">
            <v>91.838300000000004</v>
          </cell>
          <cell r="BB533">
            <v>170086</v>
          </cell>
          <cell r="BC533">
            <v>97.9</v>
          </cell>
          <cell r="BD533">
            <v>99.716300000000004</v>
          </cell>
          <cell r="BE533">
            <v>101.96820000000001</v>
          </cell>
        </row>
        <row r="534">
          <cell r="B534">
            <v>8444.7180000000008</v>
          </cell>
          <cell r="C534">
            <v>1050.2249999999999</v>
          </cell>
          <cell r="D534">
            <v>1888.434</v>
          </cell>
          <cell r="E534">
            <v>5506.5820000000003</v>
          </cell>
          <cell r="G534">
            <v>8131.7160000000003</v>
          </cell>
          <cell r="H534">
            <v>1066.9770000000001</v>
          </cell>
          <cell r="I534">
            <v>1793.7909999999999</v>
          </cell>
          <cell r="J534">
            <v>5270.9470000000001</v>
          </cell>
          <cell r="L534">
            <v>286871</v>
          </cell>
          <cell r="M534">
            <v>169782</v>
          </cell>
          <cell r="N534">
            <v>17.25</v>
          </cell>
          <cell r="AB534">
            <v>91.298600000000008</v>
          </cell>
          <cell r="BB534">
            <v>181869</v>
          </cell>
          <cell r="BC534">
            <v>99.3</v>
          </cell>
          <cell r="BD534">
            <v>99.931899999999999</v>
          </cell>
          <cell r="BE534">
            <v>102.06880000000001</v>
          </cell>
        </row>
        <row r="535">
          <cell r="B535">
            <v>8446.8420000000006</v>
          </cell>
          <cell r="C535">
            <v>1040.3420000000001</v>
          </cell>
          <cell r="D535">
            <v>1879.0530000000001</v>
          </cell>
          <cell r="E535">
            <v>5528.5969999999998</v>
          </cell>
          <cell r="G535">
            <v>8147.1469999999999</v>
          </cell>
          <cell r="H535">
            <v>1057.164</v>
          </cell>
          <cell r="I535">
            <v>1781.327</v>
          </cell>
          <cell r="J535">
            <v>5308.6559999999999</v>
          </cell>
          <cell r="L535">
            <v>283526</v>
          </cell>
          <cell r="M535">
            <v>167650</v>
          </cell>
          <cell r="N535">
            <v>16.888000000000002</v>
          </cell>
          <cell r="AB535">
            <v>91.699200000000005</v>
          </cell>
          <cell r="BB535">
            <v>173941</v>
          </cell>
          <cell r="BC535">
            <v>99.3</v>
          </cell>
          <cell r="BD535">
            <v>100.01490000000001</v>
          </cell>
          <cell r="BE535">
            <v>102.03370000000001</v>
          </cell>
        </row>
        <row r="536">
          <cell r="B536">
            <v>8493.134</v>
          </cell>
          <cell r="C536">
            <v>1071.2640000000001</v>
          </cell>
          <cell r="D536">
            <v>1885.7360000000001</v>
          </cell>
          <cell r="E536">
            <v>5535.9269999999997</v>
          </cell>
          <cell r="G536">
            <v>8221.737000000001</v>
          </cell>
          <cell r="H536">
            <v>1086.675</v>
          </cell>
          <cell r="I536">
            <v>1804.7529999999999</v>
          </cell>
          <cell r="J536">
            <v>5330.308</v>
          </cell>
          <cell r="L536">
            <v>288754</v>
          </cell>
          <cell r="M536">
            <v>169791</v>
          </cell>
          <cell r="N536">
            <v>18.170999999999999</v>
          </cell>
          <cell r="AB536">
            <v>92.35090000000001</v>
          </cell>
          <cell r="BB536">
            <v>175210</v>
          </cell>
          <cell r="BC536">
            <v>100</v>
          </cell>
          <cell r="BD536">
            <v>100.00410000000001</v>
          </cell>
          <cell r="BE536">
            <v>101.9033</v>
          </cell>
        </row>
        <row r="537">
          <cell r="B537">
            <v>8455.2000000000007</v>
          </cell>
          <cell r="C537">
            <v>1030.761</v>
          </cell>
          <cell r="D537">
            <v>1876.048</v>
          </cell>
          <cell r="E537">
            <v>5550.0540000000001</v>
          </cell>
          <cell r="G537">
            <v>8212.8880000000008</v>
          </cell>
          <cell r="H537">
            <v>1044.972</v>
          </cell>
          <cell r="I537">
            <v>1805.866</v>
          </cell>
          <cell r="J537">
            <v>5362.05</v>
          </cell>
          <cell r="L537">
            <v>284935</v>
          </cell>
          <cell r="M537">
            <v>167191</v>
          </cell>
          <cell r="N537">
            <v>16.164000000000001</v>
          </cell>
          <cell r="AB537">
            <v>91.534900000000007</v>
          </cell>
          <cell r="BB537">
            <v>174589</v>
          </cell>
          <cell r="BC537">
            <v>100.2</v>
          </cell>
          <cell r="BD537">
            <v>99.9345</v>
          </cell>
          <cell r="BE537">
            <v>101.71350000000001</v>
          </cell>
        </row>
        <row r="538">
          <cell r="B538">
            <v>8508.4130000000005</v>
          </cell>
          <cell r="C538">
            <v>1062.7540000000001</v>
          </cell>
          <cell r="D538">
            <v>1883.41</v>
          </cell>
          <cell r="E538">
            <v>5562.72</v>
          </cell>
          <cell r="G538">
            <v>8277.3209999999999</v>
          </cell>
          <cell r="H538">
            <v>1074.1120000000001</v>
          </cell>
          <cell r="I538">
            <v>1809.8880000000001</v>
          </cell>
          <cell r="J538">
            <v>5393.3209999999999</v>
          </cell>
          <cell r="L538">
            <v>288069</v>
          </cell>
          <cell r="M538">
            <v>168867</v>
          </cell>
          <cell r="N538">
            <v>17.3</v>
          </cell>
          <cell r="AB538">
            <v>92.178899999999999</v>
          </cell>
          <cell r="BB538">
            <v>178619</v>
          </cell>
          <cell r="BC538">
            <v>100.5</v>
          </cell>
          <cell r="BD538">
            <v>99.832599999999999</v>
          </cell>
          <cell r="BE538">
            <v>101.4919</v>
          </cell>
        </row>
        <row r="539">
          <cell r="B539">
            <v>8523.3119999999999</v>
          </cell>
          <cell r="C539">
            <v>1056.864</v>
          </cell>
          <cell r="D539">
            <v>1895.7260000000001</v>
          </cell>
          <cell r="E539">
            <v>5571.585</v>
          </cell>
          <cell r="G539">
            <v>8298.4380000000001</v>
          </cell>
          <cell r="H539">
            <v>1062.6020000000001</v>
          </cell>
          <cell r="I539">
            <v>1820.5219999999999</v>
          </cell>
          <cell r="J539">
            <v>5415.3140000000003</v>
          </cell>
          <cell r="L539">
            <v>288520</v>
          </cell>
          <cell r="M539">
            <v>168933</v>
          </cell>
          <cell r="N539">
            <v>17.152000000000001</v>
          </cell>
          <cell r="AB539">
            <v>92.421900000000008</v>
          </cell>
          <cell r="BB539">
            <v>176443</v>
          </cell>
          <cell r="BC539">
            <v>100.60000000000001</v>
          </cell>
          <cell r="BD539">
            <v>99.706400000000002</v>
          </cell>
          <cell r="BE539">
            <v>101.247</v>
          </cell>
        </row>
        <row r="540">
          <cell r="B540">
            <v>8585.5779999999995</v>
          </cell>
          <cell r="C540">
            <v>1084.915</v>
          </cell>
          <cell r="D540">
            <v>1906.16</v>
          </cell>
          <cell r="E540">
            <v>5594.6580000000004</v>
          </cell>
          <cell r="G540">
            <v>8373.6830000000009</v>
          </cell>
          <cell r="H540">
            <v>1090.7670000000001</v>
          </cell>
          <cell r="I540">
            <v>1835.7940000000001</v>
          </cell>
          <cell r="J540">
            <v>5447.1220000000003</v>
          </cell>
          <cell r="L540">
            <v>293811</v>
          </cell>
          <cell r="M540">
            <v>171421</v>
          </cell>
          <cell r="N540">
            <v>17.879000000000001</v>
          </cell>
          <cell r="AB540">
            <v>92.386800000000008</v>
          </cell>
          <cell r="BB540">
            <v>178327</v>
          </cell>
          <cell r="BC540">
            <v>100.7</v>
          </cell>
          <cell r="BD540">
            <v>99.595500000000001</v>
          </cell>
          <cell r="BE540">
            <v>101.0192</v>
          </cell>
        </row>
        <row r="541">
          <cell r="B541">
            <v>8602.9969999999994</v>
          </cell>
          <cell r="C541">
            <v>1076.913</v>
          </cell>
          <cell r="D541">
            <v>1912.731</v>
          </cell>
          <cell r="E541">
            <v>5613.8710000000001</v>
          </cell>
          <cell r="G541">
            <v>8424.1080000000002</v>
          </cell>
          <cell r="H541">
            <v>1084.8790000000001</v>
          </cell>
          <cell r="I541">
            <v>1867.665</v>
          </cell>
          <cell r="J541">
            <v>5471.5640000000003</v>
          </cell>
          <cell r="L541">
            <v>295462</v>
          </cell>
          <cell r="M541">
            <v>171464</v>
          </cell>
          <cell r="N541">
            <v>17.512</v>
          </cell>
          <cell r="AB541">
            <v>93.325100000000006</v>
          </cell>
          <cell r="BB541">
            <v>174742</v>
          </cell>
          <cell r="BC541">
            <v>100.7</v>
          </cell>
          <cell r="BD541">
            <v>99.549700000000001</v>
          </cell>
          <cell r="BE541">
            <v>100.8591</v>
          </cell>
        </row>
        <row r="542">
          <cell r="B542">
            <v>8617.509</v>
          </cell>
          <cell r="C542">
            <v>1078.596</v>
          </cell>
          <cell r="D542">
            <v>1912.0170000000001</v>
          </cell>
          <cell r="E542">
            <v>5627.4570000000003</v>
          </cell>
          <cell r="G542">
            <v>8468.6360000000004</v>
          </cell>
          <cell r="H542">
            <v>1086.579</v>
          </cell>
          <cell r="I542">
            <v>1880.789</v>
          </cell>
          <cell r="J542">
            <v>5501.2669999999998</v>
          </cell>
          <cell r="L542">
            <v>296742</v>
          </cell>
          <cell r="M542">
            <v>171357</v>
          </cell>
          <cell r="N542">
            <v>17.376999999999999</v>
          </cell>
          <cell r="AB542">
            <v>93.485200000000006</v>
          </cell>
          <cell r="BB542">
            <v>184339</v>
          </cell>
          <cell r="BC542">
            <v>101.4</v>
          </cell>
          <cell r="BD542">
            <v>99.5839</v>
          </cell>
          <cell r="BE542">
            <v>100.7817</v>
          </cell>
        </row>
        <row r="543">
          <cell r="B543">
            <v>8673.3940000000002</v>
          </cell>
          <cell r="C543">
            <v>1106.087</v>
          </cell>
          <cell r="D543">
            <v>1921.509</v>
          </cell>
          <cell r="E543">
            <v>5645.8060000000005</v>
          </cell>
          <cell r="G543">
            <v>8528.7350000000006</v>
          </cell>
          <cell r="H543">
            <v>1114.1500000000001</v>
          </cell>
          <cell r="I543">
            <v>1881.173</v>
          </cell>
          <cell r="J543">
            <v>5533.4110000000001</v>
          </cell>
          <cell r="L543">
            <v>300163</v>
          </cell>
          <cell r="M543">
            <v>173363</v>
          </cell>
          <cell r="N543">
            <v>18.138999999999999</v>
          </cell>
          <cell r="AB543">
            <v>94.135800000000003</v>
          </cell>
          <cell r="BB543">
            <v>185462</v>
          </cell>
          <cell r="BC543">
            <v>101.9</v>
          </cell>
          <cell r="BD543">
            <v>99.661799999999999</v>
          </cell>
          <cell r="BE543">
            <v>100.7504</v>
          </cell>
        </row>
        <row r="544">
          <cell r="B544">
            <v>8676.3009999999995</v>
          </cell>
          <cell r="C544">
            <v>1093.3130000000001</v>
          </cell>
          <cell r="D544">
            <v>1938.011</v>
          </cell>
          <cell r="E544">
            <v>5645.4409999999998</v>
          </cell>
          <cell r="G544">
            <v>8542.3680000000004</v>
          </cell>
          <cell r="H544">
            <v>1099.9760000000001</v>
          </cell>
          <cell r="I544">
            <v>1888.7830000000001</v>
          </cell>
          <cell r="J544">
            <v>5553.6090000000004</v>
          </cell>
          <cell r="L544">
            <v>298629</v>
          </cell>
          <cell r="M544">
            <v>172610</v>
          </cell>
          <cell r="N544">
            <v>16.885999999999999</v>
          </cell>
          <cell r="AB544">
            <v>94.648099999999999</v>
          </cell>
          <cell r="BB544">
            <v>185386</v>
          </cell>
          <cell r="BC544">
            <v>101.7</v>
          </cell>
          <cell r="BD544">
            <v>99.697299999999998</v>
          </cell>
          <cell r="BE544">
            <v>100.6786</v>
          </cell>
        </row>
        <row r="545">
          <cell r="B545">
            <v>8699.9619999999995</v>
          </cell>
          <cell r="C545">
            <v>1094.7919999999999</v>
          </cell>
          <cell r="D545">
            <v>1943.68</v>
          </cell>
          <cell r="E545">
            <v>5662.0020000000004</v>
          </cell>
          <cell r="G545">
            <v>8591.219000000001</v>
          </cell>
          <cell r="H545">
            <v>1101.58</v>
          </cell>
          <cell r="I545">
            <v>1902.067</v>
          </cell>
          <cell r="J545">
            <v>5587.5730000000003</v>
          </cell>
          <cell r="L545">
            <v>300795</v>
          </cell>
          <cell r="M545">
            <v>173261</v>
          </cell>
          <cell r="N545">
            <v>16.882999999999999</v>
          </cell>
          <cell r="AB545">
            <v>95.278300000000002</v>
          </cell>
          <cell r="BB545">
            <v>187725</v>
          </cell>
          <cell r="BC545">
            <v>102.2</v>
          </cell>
          <cell r="BD545">
            <v>99.666200000000003</v>
          </cell>
          <cell r="BE545">
            <v>100.54230000000001</v>
          </cell>
        </row>
        <row r="546">
          <cell r="B546">
            <v>8724.0169999999998</v>
          </cell>
          <cell r="C546">
            <v>1107.981</v>
          </cell>
          <cell r="D546">
            <v>1929.3810000000001</v>
          </cell>
          <cell r="E546">
            <v>5686.8150000000005</v>
          </cell>
          <cell r="G546">
            <v>8642.2029999999995</v>
          </cell>
          <cell r="H546">
            <v>1114.1420000000001</v>
          </cell>
          <cell r="I546">
            <v>1896.163</v>
          </cell>
          <cell r="J546">
            <v>5631.8980000000001</v>
          </cell>
          <cell r="L546">
            <v>300954</v>
          </cell>
          <cell r="M546">
            <v>172540</v>
          </cell>
          <cell r="N546">
            <v>17.402999999999999</v>
          </cell>
          <cell r="AB546">
            <v>95.194500000000005</v>
          </cell>
          <cell r="BB546">
            <v>180797</v>
          </cell>
          <cell r="BC546">
            <v>101.7</v>
          </cell>
          <cell r="BD546">
            <v>99.595800000000011</v>
          </cell>
          <cell r="BE546">
            <v>100.3694</v>
          </cell>
        </row>
        <row r="547">
          <cell r="B547">
            <v>8781.7910000000011</v>
          </cell>
          <cell r="C547">
            <v>1143.9750000000001</v>
          </cell>
          <cell r="D547">
            <v>1945.559</v>
          </cell>
          <cell r="E547">
            <v>5692.018</v>
          </cell>
          <cell r="G547">
            <v>8726.2430000000004</v>
          </cell>
          <cell r="H547">
            <v>1148.2</v>
          </cell>
          <cell r="I547">
            <v>1924.962</v>
          </cell>
          <cell r="J547">
            <v>5653.0810000000001</v>
          </cell>
          <cell r="L547">
            <v>305618</v>
          </cell>
          <cell r="M547">
            <v>174810</v>
          </cell>
          <cell r="N547">
            <v>17.754000000000001</v>
          </cell>
          <cell r="AB547">
            <v>95.2273</v>
          </cell>
          <cell r="BB547">
            <v>186528</v>
          </cell>
          <cell r="BC547">
            <v>101.7</v>
          </cell>
          <cell r="BD547">
            <v>99.564700000000002</v>
          </cell>
          <cell r="BE547">
            <v>100.23960000000001</v>
          </cell>
        </row>
        <row r="548">
          <cell r="B548">
            <v>8743.5020000000004</v>
          </cell>
          <cell r="C548">
            <v>1095.3310000000001</v>
          </cell>
          <cell r="D548">
            <v>1941.8330000000001</v>
          </cell>
          <cell r="E548">
            <v>5706.6639999999998</v>
          </cell>
          <cell r="G548">
            <v>8685.3130000000001</v>
          </cell>
          <cell r="H548">
            <v>1100.7080000000001</v>
          </cell>
          <cell r="I548">
            <v>1904.54</v>
          </cell>
          <cell r="J548">
            <v>5680.0650000000005</v>
          </cell>
          <cell r="L548">
            <v>302532</v>
          </cell>
          <cell r="M548">
            <v>173228</v>
          </cell>
          <cell r="N548">
            <v>17.411000000000001</v>
          </cell>
          <cell r="AB548">
            <v>95.380099999999999</v>
          </cell>
          <cell r="BB548">
            <v>197341</v>
          </cell>
          <cell r="BC548">
            <v>102</v>
          </cell>
          <cell r="BD548">
            <v>99.617000000000004</v>
          </cell>
          <cell r="BE548">
            <v>100.1969</v>
          </cell>
        </row>
        <row r="549">
          <cell r="B549">
            <v>8833.2870000000003</v>
          </cell>
          <cell r="C549">
            <v>1152.44</v>
          </cell>
          <cell r="D549">
            <v>1952.664</v>
          </cell>
          <cell r="E549">
            <v>5728.2240000000002</v>
          </cell>
          <cell r="G549">
            <v>8779.4740000000002</v>
          </cell>
          <cell r="H549">
            <v>1155.2819999999999</v>
          </cell>
          <cell r="I549">
            <v>1913.7820000000002</v>
          </cell>
          <cell r="J549">
            <v>5710.4090000000006</v>
          </cell>
          <cell r="L549">
            <v>310510</v>
          </cell>
          <cell r="M549">
            <v>177407</v>
          </cell>
          <cell r="N549">
            <v>18.48</v>
          </cell>
          <cell r="AB549">
            <v>95.724500000000006</v>
          </cell>
          <cell r="BB549">
            <v>200147</v>
          </cell>
          <cell r="BC549">
            <v>103</v>
          </cell>
          <cell r="BD549">
            <v>99.756200000000007</v>
          </cell>
          <cell r="BE549">
            <v>100.2453</v>
          </cell>
        </row>
        <row r="550">
          <cell r="B550">
            <v>8886.755000000001</v>
          </cell>
          <cell r="C550">
            <v>1194.586</v>
          </cell>
          <cell r="D550">
            <v>1950.454</v>
          </cell>
          <cell r="E550">
            <v>5741.8330000000005</v>
          </cell>
          <cell r="G550">
            <v>8870.9680000000008</v>
          </cell>
          <cell r="H550">
            <v>1192.9580000000001</v>
          </cell>
          <cell r="I550">
            <v>1938.1790000000001</v>
          </cell>
          <cell r="J550">
            <v>5739.83</v>
          </cell>
          <cell r="L550">
            <v>314665</v>
          </cell>
          <cell r="M550">
            <v>178440</v>
          </cell>
          <cell r="N550">
            <v>21.122</v>
          </cell>
          <cell r="AB550">
            <v>95.578500000000005</v>
          </cell>
          <cell r="BB550">
            <v>187599</v>
          </cell>
          <cell r="BC550">
            <v>102.7</v>
          </cell>
          <cell r="BD550">
            <v>99.933000000000007</v>
          </cell>
          <cell r="BE550">
            <v>100.3353</v>
          </cell>
        </row>
        <row r="551">
          <cell r="B551">
            <v>8854.9040000000005</v>
          </cell>
          <cell r="C551">
            <v>1137.0250000000001</v>
          </cell>
          <cell r="D551">
            <v>1963.4349999999999</v>
          </cell>
          <cell r="E551">
            <v>5754.5050000000001</v>
          </cell>
          <cell r="G551">
            <v>8879.5519999999997</v>
          </cell>
          <cell r="H551">
            <v>1130.229</v>
          </cell>
          <cell r="I551">
            <v>1982.7340000000002</v>
          </cell>
          <cell r="J551">
            <v>5766.5889999999999</v>
          </cell>
          <cell r="L551">
            <v>310065</v>
          </cell>
          <cell r="M551">
            <v>175092</v>
          </cell>
          <cell r="N551">
            <v>17.411999999999999</v>
          </cell>
          <cell r="AB551">
            <v>95.705400000000012</v>
          </cell>
          <cell r="BB551">
            <v>196326</v>
          </cell>
          <cell r="BC551">
            <v>102.9</v>
          </cell>
          <cell r="BD551">
            <v>100.1508</v>
          </cell>
          <cell r="BE551">
            <v>100.4705</v>
          </cell>
        </row>
        <row r="552">
          <cell r="B552">
            <v>8817.0329999999994</v>
          </cell>
          <cell r="C552">
            <v>1108.3140000000001</v>
          </cell>
          <cell r="D552">
            <v>1949.23</v>
          </cell>
          <cell r="E552">
            <v>5759.5330000000004</v>
          </cell>
          <cell r="G552">
            <v>8936.7849999999999</v>
          </cell>
          <cell r="H552">
            <v>1103.655</v>
          </cell>
          <cell r="I552">
            <v>2032.547</v>
          </cell>
          <cell r="J552">
            <v>5800.5830000000005</v>
          </cell>
          <cell r="L552">
            <v>310847</v>
          </cell>
          <cell r="M552">
            <v>173158</v>
          </cell>
          <cell r="N552">
            <v>16.929000000000002</v>
          </cell>
          <cell r="AB552">
            <v>93.802700000000002</v>
          </cell>
          <cell r="BB552">
            <v>195260</v>
          </cell>
          <cell r="BC552">
            <v>102.2</v>
          </cell>
          <cell r="BD552">
            <v>100.441</v>
          </cell>
          <cell r="BE552">
            <v>100.6823</v>
          </cell>
        </row>
        <row r="553">
          <cell r="B553">
            <v>8833.7540000000008</v>
          </cell>
          <cell r="C553">
            <v>1097.6610000000001</v>
          </cell>
          <cell r="D553">
            <v>1975.819</v>
          </cell>
          <cell r="E553">
            <v>5759.402</v>
          </cell>
          <cell r="G553">
            <v>8970.4850000000006</v>
          </cell>
          <cell r="H553">
            <v>1092.8040000000001</v>
          </cell>
          <cell r="I553">
            <v>2047.4680000000001</v>
          </cell>
          <cell r="J553">
            <v>5830.2129999999997</v>
          </cell>
          <cell r="L553">
            <v>311429</v>
          </cell>
          <cell r="M553">
            <v>173345</v>
          </cell>
          <cell r="N553">
            <v>15.337</v>
          </cell>
          <cell r="AB553">
            <v>94.963000000000008</v>
          </cell>
          <cell r="BB553">
            <v>199968</v>
          </cell>
          <cell r="BC553">
            <v>103.10000000000001</v>
          </cell>
          <cell r="BD553">
            <v>100.8229</v>
          </cell>
          <cell r="BE553">
            <v>100.9897</v>
          </cell>
        </row>
        <row r="554">
          <cell r="B554">
            <v>8878.384</v>
          </cell>
          <cell r="C554">
            <v>1118.1210000000001</v>
          </cell>
          <cell r="D554">
            <v>1974.5420000000001</v>
          </cell>
          <cell r="E554">
            <v>5785.2460000000001</v>
          </cell>
          <cell r="G554">
            <v>8992.4860000000008</v>
          </cell>
          <cell r="H554">
            <v>1111.5029999999999</v>
          </cell>
          <cell r="I554">
            <v>2007.5240000000001</v>
          </cell>
          <cell r="J554">
            <v>5873.4589999999998</v>
          </cell>
          <cell r="L554">
            <v>313605</v>
          </cell>
          <cell r="M554">
            <v>175490</v>
          </cell>
          <cell r="N554">
            <v>16.529</v>
          </cell>
          <cell r="AB554">
            <v>95.885000000000005</v>
          </cell>
          <cell r="BB554">
            <v>212556</v>
          </cell>
          <cell r="BC554">
            <v>104.10000000000001</v>
          </cell>
          <cell r="BD554">
            <v>101.26390000000001</v>
          </cell>
          <cell r="BE554">
            <v>101.36020000000001</v>
          </cell>
        </row>
        <row r="555">
          <cell r="B555">
            <v>8912.6110000000008</v>
          </cell>
          <cell r="C555">
            <v>1136.681</v>
          </cell>
          <cell r="D555">
            <v>1975.8880000000001</v>
          </cell>
          <cell r="E555">
            <v>5799.9000000000005</v>
          </cell>
          <cell r="G555">
            <v>9025.2049999999999</v>
          </cell>
          <cell r="H555">
            <v>1129.184</v>
          </cell>
          <cell r="I555">
            <v>2001.749</v>
          </cell>
          <cell r="J555">
            <v>5894.2730000000001</v>
          </cell>
          <cell r="L555">
            <v>314264</v>
          </cell>
          <cell r="M555">
            <v>175832</v>
          </cell>
          <cell r="N555">
            <v>17.193999999999999</v>
          </cell>
          <cell r="AB555">
            <v>96.432100000000005</v>
          </cell>
          <cell r="BB555">
            <v>211216</v>
          </cell>
          <cell r="BC555">
            <v>104.10000000000001</v>
          </cell>
          <cell r="BD555">
            <v>101.6789</v>
          </cell>
          <cell r="BE555">
            <v>101.70920000000001</v>
          </cell>
        </row>
        <row r="556">
          <cell r="B556">
            <v>8945.1090000000004</v>
          </cell>
          <cell r="C556">
            <v>1169.662</v>
          </cell>
          <cell r="D556">
            <v>1984.027</v>
          </cell>
          <cell r="E556">
            <v>5792.058</v>
          </cell>
          <cell r="G556">
            <v>9098.139000000001</v>
          </cell>
          <cell r="H556">
            <v>1161.1130000000001</v>
          </cell>
          <cell r="I556">
            <v>2032.548</v>
          </cell>
          <cell r="J556">
            <v>5904.4769999999999</v>
          </cell>
          <cell r="L556">
            <v>323708</v>
          </cell>
          <cell r="M556">
            <v>180040</v>
          </cell>
          <cell r="N556">
            <v>18.085000000000001</v>
          </cell>
          <cell r="AB556">
            <v>96.578500000000005</v>
          </cell>
          <cell r="BB556">
            <v>200976</v>
          </cell>
          <cell r="BC556">
            <v>104.60000000000001</v>
          </cell>
          <cell r="BD556">
            <v>102.00240000000001</v>
          </cell>
          <cell r="BE556">
            <v>101.9718</v>
          </cell>
        </row>
        <row r="557">
          <cell r="B557">
            <v>8966.0589999999993</v>
          </cell>
          <cell r="C557">
            <v>1152.3209999999999</v>
          </cell>
          <cell r="D557">
            <v>1991.521</v>
          </cell>
          <cell r="E557">
            <v>5822.32</v>
          </cell>
          <cell r="G557">
            <v>9123.0400000000009</v>
          </cell>
          <cell r="H557">
            <v>1142.2930000000001</v>
          </cell>
          <cell r="I557">
            <v>2032.7619999999999</v>
          </cell>
          <cell r="J557">
            <v>5947.9849999999997</v>
          </cell>
          <cell r="L557">
            <v>320678</v>
          </cell>
          <cell r="M557">
            <v>178171</v>
          </cell>
          <cell r="N557">
            <v>17.071000000000002</v>
          </cell>
          <cell r="AB557">
            <v>96.656000000000006</v>
          </cell>
          <cell r="BB557">
            <v>204568</v>
          </cell>
          <cell r="BC557">
            <v>104.4</v>
          </cell>
          <cell r="BD557">
            <v>102.193</v>
          </cell>
          <cell r="BE557">
            <v>102.1074</v>
          </cell>
        </row>
        <row r="558">
          <cell r="B558">
            <v>8986.1769999999997</v>
          </cell>
          <cell r="C558">
            <v>1160.672</v>
          </cell>
          <cell r="D558">
            <v>1982.867</v>
          </cell>
          <cell r="E558">
            <v>5842.8919999999998</v>
          </cell>
          <cell r="G558">
            <v>9157.3119999999999</v>
          </cell>
          <cell r="H558">
            <v>1148.1780000000001</v>
          </cell>
          <cell r="I558">
            <v>2026.3</v>
          </cell>
          <cell r="J558">
            <v>5982.8339999999998</v>
          </cell>
          <cell r="L558">
            <v>321762</v>
          </cell>
          <cell r="M558">
            <v>178643</v>
          </cell>
          <cell r="N558">
            <v>16.961000000000002</v>
          </cell>
          <cell r="AB558">
            <v>96.860500000000002</v>
          </cell>
          <cell r="BB558">
            <v>215570</v>
          </cell>
          <cell r="BC558">
            <v>104.7</v>
          </cell>
          <cell r="BD558">
            <v>102.25200000000001</v>
          </cell>
          <cell r="BE558">
            <v>102.11750000000001</v>
          </cell>
        </row>
        <row r="559">
          <cell r="B559">
            <v>9012.43</v>
          </cell>
          <cell r="C559">
            <v>1164.471</v>
          </cell>
          <cell r="D559">
            <v>1999.4180000000001</v>
          </cell>
          <cell r="E559">
            <v>5848.7349999999997</v>
          </cell>
          <cell r="G559">
            <v>9220.5760000000009</v>
          </cell>
          <cell r="H559">
            <v>1151.5160000000001</v>
          </cell>
          <cell r="I559">
            <v>2063.165</v>
          </cell>
          <cell r="J559">
            <v>6005.8940000000002</v>
          </cell>
          <cell r="L559">
            <v>324338</v>
          </cell>
          <cell r="M559">
            <v>178990</v>
          </cell>
          <cell r="N559">
            <v>17.115000000000002</v>
          </cell>
          <cell r="AB559">
            <v>97.266900000000007</v>
          </cell>
          <cell r="BB559">
            <v>204722</v>
          </cell>
          <cell r="BC559">
            <v>104.5</v>
          </cell>
          <cell r="BD559">
            <v>102.1927</v>
          </cell>
          <cell r="BE559">
            <v>102.0163</v>
          </cell>
        </row>
        <row r="560">
          <cell r="B560">
            <v>9017.1080000000002</v>
          </cell>
          <cell r="C560">
            <v>1151.027</v>
          </cell>
          <cell r="D560">
            <v>1996.377</v>
          </cell>
          <cell r="E560">
            <v>5869.32</v>
          </cell>
          <cell r="G560">
            <v>9248.34</v>
          </cell>
          <cell r="H560">
            <v>1135.9939999999999</v>
          </cell>
          <cell r="I560">
            <v>2066.8209999999999</v>
          </cell>
          <cell r="J560">
            <v>6045.5250000000005</v>
          </cell>
          <cell r="L560">
            <v>321980</v>
          </cell>
          <cell r="M560">
            <v>177323</v>
          </cell>
          <cell r="N560">
            <v>16.709</v>
          </cell>
          <cell r="AB560">
            <v>97.087699999999998</v>
          </cell>
          <cell r="BB560">
            <v>206609</v>
          </cell>
          <cell r="BC560">
            <v>103.8</v>
          </cell>
          <cell r="BD560">
            <v>102.07470000000001</v>
          </cell>
          <cell r="BE560">
            <v>101.8631</v>
          </cell>
        </row>
        <row r="561">
          <cell r="B561">
            <v>9029.9519999999993</v>
          </cell>
          <cell r="C561">
            <v>1169.845</v>
          </cell>
          <cell r="D561">
            <v>1992.3610000000001</v>
          </cell>
          <cell r="E561">
            <v>5868.143</v>
          </cell>
          <cell r="G561">
            <v>9278.8989999999994</v>
          </cell>
          <cell r="H561">
            <v>1149.922</v>
          </cell>
          <cell r="I561">
            <v>2067.5230000000001</v>
          </cell>
          <cell r="J561">
            <v>6061.4549999999999</v>
          </cell>
          <cell r="L561">
            <v>322577</v>
          </cell>
          <cell r="M561">
            <v>177105</v>
          </cell>
          <cell r="N561">
            <v>16.898</v>
          </cell>
          <cell r="AB561">
            <v>97.454000000000008</v>
          </cell>
          <cell r="BB561">
            <v>209168</v>
          </cell>
          <cell r="BC561">
            <v>104</v>
          </cell>
          <cell r="BD561">
            <v>101.96350000000001</v>
          </cell>
          <cell r="BE561">
            <v>101.7235</v>
          </cell>
        </row>
        <row r="562">
          <cell r="B562">
            <v>9077.2510000000002</v>
          </cell>
          <cell r="C562">
            <v>1185.6469999999999</v>
          </cell>
          <cell r="D562">
            <v>2007.0029999999999</v>
          </cell>
          <cell r="E562">
            <v>5885.4380000000001</v>
          </cell>
          <cell r="G562">
            <v>9357.398000000001</v>
          </cell>
          <cell r="H562">
            <v>1164.7570000000001</v>
          </cell>
          <cell r="I562">
            <v>2099.3989999999999</v>
          </cell>
          <cell r="J562">
            <v>6093.2420000000002</v>
          </cell>
          <cell r="L562">
            <v>325266</v>
          </cell>
          <cell r="M562">
            <v>177509</v>
          </cell>
          <cell r="N562">
            <v>17.663</v>
          </cell>
          <cell r="AB562">
            <v>97.6066</v>
          </cell>
          <cell r="BB562">
            <v>202022</v>
          </cell>
          <cell r="BC562">
            <v>103.5</v>
          </cell>
          <cell r="BD562">
            <v>101.89060000000001</v>
          </cell>
          <cell r="BE562">
            <v>101.62910000000001</v>
          </cell>
        </row>
        <row r="563">
          <cell r="B563">
            <v>9052.6239999999998</v>
          </cell>
          <cell r="C563">
            <v>1165.2370000000001</v>
          </cell>
          <cell r="D563">
            <v>2002.777</v>
          </cell>
          <cell r="E563">
            <v>5884.4920000000002</v>
          </cell>
          <cell r="G563">
            <v>9368.1610000000001</v>
          </cell>
          <cell r="H563">
            <v>1145.788</v>
          </cell>
          <cell r="I563">
            <v>2112.27</v>
          </cell>
          <cell r="J563">
            <v>6110.1030000000001</v>
          </cell>
          <cell r="L563">
            <v>325848</v>
          </cell>
          <cell r="M563">
            <v>177292</v>
          </cell>
          <cell r="N563">
            <v>16.456</v>
          </cell>
          <cell r="AB563">
            <v>97.8245</v>
          </cell>
          <cell r="BB563">
            <v>199753</v>
          </cell>
          <cell r="BC563">
            <v>103.2</v>
          </cell>
          <cell r="BD563">
            <v>101.89290000000001</v>
          </cell>
          <cell r="BE563">
            <v>101.61670000000001</v>
          </cell>
        </row>
        <row r="564">
          <cell r="B564">
            <v>9091.7950000000001</v>
          </cell>
          <cell r="C564">
            <v>1186.0530000000001</v>
          </cell>
          <cell r="D564">
            <v>2007.981</v>
          </cell>
          <cell r="E564">
            <v>5898.4859999999999</v>
          </cell>
          <cell r="G564">
            <v>9389.5730000000003</v>
          </cell>
          <cell r="H564">
            <v>1160.2139999999999</v>
          </cell>
          <cell r="I564">
            <v>2085.4090000000001</v>
          </cell>
          <cell r="J564">
            <v>6143.95</v>
          </cell>
          <cell r="L564">
            <v>324060</v>
          </cell>
          <cell r="M564">
            <v>177429</v>
          </cell>
          <cell r="N564">
            <v>16.966999999999999</v>
          </cell>
          <cell r="AB564">
            <v>97.688200000000009</v>
          </cell>
          <cell r="BB564">
            <v>219425</v>
          </cell>
          <cell r="BC564">
            <v>103.9</v>
          </cell>
          <cell r="BD564">
            <v>102.003</v>
          </cell>
          <cell r="BE564">
            <v>101.71910000000001</v>
          </cell>
        </row>
        <row r="565">
          <cell r="B565">
            <v>9134.8809999999994</v>
          </cell>
          <cell r="C565">
            <v>1186.7540000000001</v>
          </cell>
          <cell r="D565">
            <v>2026.942</v>
          </cell>
          <cell r="E565">
            <v>5921.6239999999998</v>
          </cell>
          <cell r="G565">
            <v>9412.3790000000008</v>
          </cell>
          <cell r="H565">
            <v>1161.17</v>
          </cell>
          <cell r="I565">
            <v>2070.567</v>
          </cell>
          <cell r="J565">
            <v>6180.6419999999998</v>
          </cell>
          <cell r="L565">
            <v>323038</v>
          </cell>
          <cell r="M565">
            <v>177779</v>
          </cell>
          <cell r="N565">
            <v>16.876000000000001</v>
          </cell>
          <cell r="AB565">
            <v>97.685500000000005</v>
          </cell>
          <cell r="BB565">
            <v>206591</v>
          </cell>
          <cell r="BC565">
            <v>103.9</v>
          </cell>
          <cell r="BD565">
            <v>102.17660000000001</v>
          </cell>
          <cell r="BE565">
            <v>101.89230000000001</v>
          </cell>
        </row>
        <row r="566">
          <cell r="B566">
            <v>9143.5949999999993</v>
          </cell>
          <cell r="C566">
            <v>1190.9770000000001</v>
          </cell>
          <cell r="D566">
            <v>2021.7830000000001</v>
          </cell>
          <cell r="E566">
            <v>5931.2349999999997</v>
          </cell>
          <cell r="G566">
            <v>9433.3119999999999</v>
          </cell>
          <cell r="H566">
            <v>1162.3120000000001</v>
          </cell>
          <cell r="I566">
            <v>2066.0950000000003</v>
          </cell>
          <cell r="J566">
            <v>6204.9049999999997</v>
          </cell>
          <cell r="L566">
            <v>323618</v>
          </cell>
          <cell r="M566">
            <v>178032</v>
          </cell>
          <cell r="N566">
            <v>16.661999999999999</v>
          </cell>
          <cell r="AB566">
            <v>97.566400000000002</v>
          </cell>
          <cell r="BB566">
            <v>211187</v>
          </cell>
          <cell r="BC566">
            <v>104</v>
          </cell>
          <cell r="BD566">
            <v>102.3981</v>
          </cell>
          <cell r="BE566">
            <v>102.1212</v>
          </cell>
        </row>
        <row r="567">
          <cell r="B567">
            <v>9196.4639999999999</v>
          </cell>
          <cell r="C567">
            <v>1207.9110000000001</v>
          </cell>
          <cell r="D567">
            <v>2046.883</v>
          </cell>
          <cell r="E567">
            <v>5942.9629999999997</v>
          </cell>
          <cell r="G567">
            <v>9524.8130000000001</v>
          </cell>
          <cell r="H567">
            <v>1176.4059999999999</v>
          </cell>
          <cell r="I567">
            <v>2114.2330000000002</v>
          </cell>
          <cell r="J567">
            <v>6234.1750000000002</v>
          </cell>
          <cell r="L567">
            <v>329004</v>
          </cell>
          <cell r="M567">
            <v>180287</v>
          </cell>
          <cell r="N567">
            <v>17.132999999999999</v>
          </cell>
          <cell r="AB567">
            <v>98.599500000000006</v>
          </cell>
          <cell r="BB567">
            <v>219241</v>
          </cell>
          <cell r="BC567">
            <v>104.7</v>
          </cell>
          <cell r="BD567">
            <v>102.6365</v>
          </cell>
          <cell r="BE567">
            <v>102.37520000000001</v>
          </cell>
        </row>
        <row r="568">
          <cell r="B568">
            <v>9204.5560000000005</v>
          </cell>
          <cell r="C568">
            <v>1210.124</v>
          </cell>
          <cell r="D568">
            <v>2041.9639999999999</v>
          </cell>
          <cell r="E568">
            <v>5953.683</v>
          </cell>
          <cell r="G568">
            <v>9561.3539999999994</v>
          </cell>
          <cell r="H568">
            <v>1176.4470000000001</v>
          </cell>
          <cell r="I568">
            <v>2108.6570000000002</v>
          </cell>
          <cell r="J568">
            <v>6276.25</v>
          </cell>
          <cell r="L568">
            <v>328042</v>
          </cell>
          <cell r="M568">
            <v>179238</v>
          </cell>
          <cell r="N568">
            <v>16.89</v>
          </cell>
          <cell r="AB568">
            <v>98.320400000000006</v>
          </cell>
          <cell r="BB568">
            <v>206335</v>
          </cell>
          <cell r="BC568">
            <v>104.60000000000001</v>
          </cell>
          <cell r="BD568">
            <v>102.8587</v>
          </cell>
          <cell r="BE568">
            <v>102.62130000000001</v>
          </cell>
        </row>
        <row r="569">
          <cell r="B569">
            <v>9208.98</v>
          </cell>
          <cell r="C569">
            <v>1208.3310000000001</v>
          </cell>
          <cell r="D569">
            <v>2034.759</v>
          </cell>
          <cell r="E569">
            <v>5966.7260000000006</v>
          </cell>
          <cell r="G569">
            <v>9600.4660000000003</v>
          </cell>
          <cell r="H569">
            <v>1174.7270000000001</v>
          </cell>
          <cell r="I569">
            <v>2113.3339999999998</v>
          </cell>
          <cell r="J569">
            <v>6312.4040000000005</v>
          </cell>
          <cell r="L569">
            <v>329179</v>
          </cell>
          <cell r="M569">
            <v>178874</v>
          </cell>
          <cell r="N569">
            <v>17.170999999999999</v>
          </cell>
          <cell r="AB569">
            <v>99.3827</v>
          </cell>
          <cell r="BB569">
            <v>210602</v>
          </cell>
          <cell r="BC569">
            <v>104.3</v>
          </cell>
          <cell r="BD569">
            <v>103.09100000000001</v>
          </cell>
          <cell r="BE569">
            <v>102.8862</v>
          </cell>
        </row>
        <row r="570">
          <cell r="B570">
            <v>9214.0969999999998</v>
          </cell>
          <cell r="C570">
            <v>1211.7540000000001</v>
          </cell>
          <cell r="D570">
            <v>2037.9080000000001</v>
          </cell>
          <cell r="E570">
            <v>5965.509</v>
          </cell>
          <cell r="G570">
            <v>9643.259</v>
          </cell>
          <cell r="H570">
            <v>1175.482</v>
          </cell>
          <cell r="I570">
            <v>2141.5259999999998</v>
          </cell>
          <cell r="J570">
            <v>6326.2510000000002</v>
          </cell>
          <cell r="L570">
            <v>331923</v>
          </cell>
          <cell r="M570">
            <v>179642</v>
          </cell>
          <cell r="N570">
            <v>16.440999999999999</v>
          </cell>
          <cell r="AB570">
            <v>99.403400000000005</v>
          </cell>
          <cell r="BB570">
            <v>221557</v>
          </cell>
          <cell r="BC570">
            <v>104.7</v>
          </cell>
          <cell r="BD570">
            <v>103.3263</v>
          </cell>
          <cell r="BE570">
            <v>103.1627</v>
          </cell>
        </row>
        <row r="571">
          <cell r="B571">
            <v>9236.741</v>
          </cell>
          <cell r="C571">
            <v>1216.9349999999999</v>
          </cell>
          <cell r="D571">
            <v>2037.058</v>
          </cell>
          <cell r="E571">
            <v>5983.9639999999999</v>
          </cell>
          <cell r="G571">
            <v>9688.8040000000001</v>
          </cell>
          <cell r="H571">
            <v>1177.586</v>
          </cell>
          <cell r="I571">
            <v>2150.5950000000003</v>
          </cell>
          <cell r="J571">
            <v>6360.6230000000005</v>
          </cell>
          <cell r="L571">
            <v>330526</v>
          </cell>
          <cell r="M571">
            <v>178268</v>
          </cell>
          <cell r="N571">
            <v>16.606000000000002</v>
          </cell>
          <cell r="AB571">
            <v>100.1666</v>
          </cell>
          <cell r="BB571">
            <v>224565</v>
          </cell>
          <cell r="BC571">
            <v>104.5</v>
          </cell>
          <cell r="BD571">
            <v>103.53100000000001</v>
          </cell>
          <cell r="BE571">
            <v>103.4171</v>
          </cell>
        </row>
        <row r="572">
          <cell r="B572">
            <v>9249.8880000000008</v>
          </cell>
          <cell r="C572">
            <v>1239.04</v>
          </cell>
          <cell r="D572">
            <v>2038.0230000000001</v>
          </cell>
          <cell r="E572">
            <v>5975.8910000000005</v>
          </cell>
          <cell r="G572">
            <v>9730.8279999999995</v>
          </cell>
          <cell r="H572">
            <v>1198.2439999999999</v>
          </cell>
          <cell r="I572">
            <v>2168.8409999999999</v>
          </cell>
          <cell r="J572">
            <v>6363.7439999999997</v>
          </cell>
          <cell r="L572">
            <v>335001</v>
          </cell>
          <cell r="M572">
            <v>179821</v>
          </cell>
          <cell r="N572">
            <v>16.658999999999999</v>
          </cell>
          <cell r="AB572">
            <v>100.1143</v>
          </cell>
          <cell r="BB572">
            <v>217702</v>
          </cell>
          <cell r="BC572">
            <v>104.60000000000001</v>
          </cell>
          <cell r="BD572">
            <v>103.65520000000001</v>
          </cell>
          <cell r="BE572">
            <v>103.59950000000001</v>
          </cell>
        </row>
        <row r="573">
          <cell r="B573">
            <v>9247.0069999999996</v>
          </cell>
          <cell r="C573">
            <v>1225.1680000000001</v>
          </cell>
          <cell r="D573">
            <v>2037.4170000000001</v>
          </cell>
          <cell r="E573">
            <v>5986.2489999999998</v>
          </cell>
          <cell r="G573">
            <v>9743.2100000000009</v>
          </cell>
          <cell r="H573">
            <v>1185.1130000000001</v>
          </cell>
          <cell r="I573">
            <v>2167.0950000000003</v>
          </cell>
          <cell r="J573">
            <v>6391.0029999999997</v>
          </cell>
          <cell r="L573">
            <v>331630</v>
          </cell>
          <cell r="M573">
            <v>178005</v>
          </cell>
          <cell r="N573">
            <v>16.172000000000001</v>
          </cell>
          <cell r="AB573">
            <v>100.122</v>
          </cell>
          <cell r="BB573">
            <v>221889</v>
          </cell>
          <cell r="BC573">
            <v>104.4</v>
          </cell>
          <cell r="BD573">
            <v>103.67670000000001</v>
          </cell>
          <cell r="BE573">
            <v>103.68770000000001</v>
          </cell>
        </row>
        <row r="574">
          <cell r="B574">
            <v>9261.8160000000007</v>
          </cell>
          <cell r="C574">
            <v>1225.768</v>
          </cell>
          <cell r="D574">
            <v>2052.5680000000002</v>
          </cell>
          <cell r="E574">
            <v>5985.2460000000001</v>
          </cell>
          <cell r="G574">
            <v>9775.41</v>
          </cell>
          <cell r="H574">
            <v>1181.932</v>
          </cell>
          <cell r="I574">
            <v>2189.35</v>
          </cell>
          <cell r="J574">
            <v>6404.1279999999997</v>
          </cell>
          <cell r="L574">
            <v>332663</v>
          </cell>
          <cell r="M574">
            <v>178202</v>
          </cell>
          <cell r="N574">
            <v>15.839</v>
          </cell>
          <cell r="AB574">
            <v>100.24350000000001</v>
          </cell>
          <cell r="BB574">
            <v>226431</v>
          </cell>
          <cell r="BC574">
            <v>104.7</v>
          </cell>
          <cell r="BD574">
            <v>103.55880000000001</v>
          </cell>
          <cell r="BE574">
            <v>103.64460000000001</v>
          </cell>
        </row>
        <row r="575">
          <cell r="B575">
            <v>9292.9920000000002</v>
          </cell>
          <cell r="C575">
            <v>1241.383</v>
          </cell>
          <cell r="D575">
            <v>2039.614</v>
          </cell>
          <cell r="E575">
            <v>6014.9080000000004</v>
          </cell>
          <cell r="G575">
            <v>9815.5149999999994</v>
          </cell>
          <cell r="H575">
            <v>1191.818</v>
          </cell>
          <cell r="I575">
            <v>2169.085</v>
          </cell>
          <cell r="J575">
            <v>6454.6120000000001</v>
          </cell>
          <cell r="L575">
            <v>334116</v>
          </cell>
          <cell r="M575">
            <v>178829</v>
          </cell>
          <cell r="N575">
            <v>16.375</v>
          </cell>
          <cell r="AB575">
            <v>100.2324</v>
          </cell>
          <cell r="BB575">
            <v>216528</v>
          </cell>
          <cell r="BC575">
            <v>104.10000000000001</v>
          </cell>
          <cell r="BD575">
            <v>103.2966</v>
          </cell>
          <cell r="BE575">
            <v>103.46520000000001</v>
          </cell>
        </row>
        <row r="576">
          <cell r="B576">
            <v>9300.8989999999994</v>
          </cell>
          <cell r="C576">
            <v>1261.0889999999999</v>
          </cell>
          <cell r="D576">
            <v>2048.56</v>
          </cell>
          <cell r="E576">
            <v>5996.37</v>
          </cell>
          <cell r="G576">
            <v>9862.2289999999994</v>
          </cell>
          <cell r="H576">
            <v>1209.6279999999999</v>
          </cell>
          <cell r="I576">
            <v>2194.3740000000003</v>
          </cell>
          <cell r="J576">
            <v>6458.2280000000001</v>
          </cell>
          <cell r="L576">
            <v>338375</v>
          </cell>
          <cell r="M576">
            <v>180334</v>
          </cell>
          <cell r="N576">
            <v>16.535</v>
          </cell>
          <cell r="AB576">
            <v>100.72410000000001</v>
          </cell>
          <cell r="BB576">
            <v>216375</v>
          </cell>
          <cell r="BC576">
            <v>104.10000000000001</v>
          </cell>
          <cell r="BD576">
            <v>102.96180000000001</v>
          </cell>
          <cell r="BE576">
            <v>103.22070000000001</v>
          </cell>
        </row>
        <row r="577">
          <cell r="B577">
            <v>9296.0879999999997</v>
          </cell>
          <cell r="C577">
            <v>1256.3430000000001</v>
          </cell>
          <cell r="D577">
            <v>2045.713</v>
          </cell>
          <cell r="E577">
            <v>5998.8990000000003</v>
          </cell>
          <cell r="G577">
            <v>9885.0259999999998</v>
          </cell>
          <cell r="H577">
            <v>1205.018</v>
          </cell>
          <cell r="I577">
            <v>2199.3870000000002</v>
          </cell>
          <cell r="J577">
            <v>6480.6210000000001</v>
          </cell>
          <cell r="L577">
            <v>337100</v>
          </cell>
          <cell r="M577">
            <v>179249</v>
          </cell>
          <cell r="N577">
            <v>16.455000000000002</v>
          </cell>
          <cell r="AB577">
            <v>100.10900000000001</v>
          </cell>
          <cell r="BB577">
            <v>217003</v>
          </cell>
          <cell r="BC577">
            <v>103.8</v>
          </cell>
          <cell r="BD577">
            <v>102.6046</v>
          </cell>
          <cell r="BE577">
            <v>102.9611</v>
          </cell>
        </row>
        <row r="578">
          <cell r="B578">
            <v>9313.9189999999999</v>
          </cell>
          <cell r="C578">
            <v>1249.271</v>
          </cell>
          <cell r="D578">
            <v>2046.0740000000001</v>
          </cell>
          <cell r="E578">
            <v>6022.5990000000002</v>
          </cell>
          <cell r="G578">
            <v>9957.9089999999997</v>
          </cell>
          <cell r="H578">
            <v>1196.6569999999999</v>
          </cell>
          <cell r="I578">
            <v>2240.3960000000002</v>
          </cell>
          <cell r="J578">
            <v>6520.8559999999998</v>
          </cell>
          <cell r="L578">
            <v>340786</v>
          </cell>
          <cell r="M578">
            <v>179514</v>
          </cell>
          <cell r="N578">
            <v>16.356999999999999</v>
          </cell>
          <cell r="AB578">
            <v>100.50320000000001</v>
          </cell>
          <cell r="BB578">
            <v>222428</v>
          </cell>
          <cell r="BC578">
            <v>103.5</v>
          </cell>
          <cell r="BD578">
            <v>102.23690000000001</v>
          </cell>
          <cell r="BE578">
            <v>102.6979</v>
          </cell>
        </row>
        <row r="579">
          <cell r="B579">
            <v>9327.7690000000002</v>
          </cell>
          <cell r="C579">
            <v>1244.1030000000001</v>
          </cell>
          <cell r="D579">
            <v>2055.2539999999999</v>
          </cell>
          <cell r="E579">
            <v>6031.7520000000004</v>
          </cell>
          <cell r="G579">
            <v>10003.237000000001</v>
          </cell>
          <cell r="H579">
            <v>1188.692</v>
          </cell>
          <cell r="I579">
            <v>2263.3389999999999</v>
          </cell>
          <cell r="J579">
            <v>6551.2070000000003</v>
          </cell>
          <cell r="L579">
            <v>338755</v>
          </cell>
          <cell r="M579">
            <v>178431</v>
          </cell>
          <cell r="N579">
            <v>16.04</v>
          </cell>
          <cell r="AB579">
            <v>100.67840000000001</v>
          </cell>
          <cell r="BB579">
            <v>229580</v>
          </cell>
          <cell r="BC579">
            <v>103.4</v>
          </cell>
          <cell r="BD579">
            <v>101.8857</v>
          </cell>
          <cell r="BE579">
            <v>102.4577</v>
          </cell>
        </row>
        <row r="580">
          <cell r="B580">
            <v>9310.6170000000002</v>
          </cell>
          <cell r="C580">
            <v>1232.9670000000001</v>
          </cell>
          <cell r="D580">
            <v>2039.414</v>
          </cell>
          <cell r="E580">
            <v>6040.9049999999997</v>
          </cell>
          <cell r="G580">
            <v>10014.532999999999</v>
          </cell>
          <cell r="H580">
            <v>1178.172</v>
          </cell>
          <cell r="I580">
            <v>2259.0970000000002</v>
          </cell>
          <cell r="J580">
            <v>6577.2640000000001</v>
          </cell>
          <cell r="L580">
            <v>338980</v>
          </cell>
          <cell r="M580">
            <v>177607</v>
          </cell>
          <cell r="N580">
            <v>15.812000000000001</v>
          </cell>
          <cell r="AB580">
            <v>100.4229</v>
          </cell>
          <cell r="BB580">
            <v>221447</v>
          </cell>
          <cell r="BC580">
            <v>102.8</v>
          </cell>
          <cell r="BD580">
            <v>101.5612</v>
          </cell>
          <cell r="BE580">
            <v>102.25060000000001</v>
          </cell>
        </row>
        <row r="581">
          <cell r="B581">
            <v>9273.148000000001</v>
          </cell>
          <cell r="C581">
            <v>1214.318</v>
          </cell>
          <cell r="D581">
            <v>2014.7550000000001</v>
          </cell>
          <cell r="E581">
            <v>6045.5010000000002</v>
          </cell>
          <cell r="G581">
            <v>9997.2420000000002</v>
          </cell>
          <cell r="H581">
            <v>1158.4459999999999</v>
          </cell>
          <cell r="I581">
            <v>2238.607</v>
          </cell>
          <cell r="J581">
            <v>6600.1890000000003</v>
          </cell>
          <cell r="L581">
            <v>335238</v>
          </cell>
          <cell r="M581">
            <v>175134</v>
          </cell>
          <cell r="N581">
            <v>15.782</v>
          </cell>
          <cell r="AB581">
            <v>100.1991</v>
          </cell>
          <cell r="BB581">
            <v>219824</v>
          </cell>
          <cell r="BC581">
            <v>102.4</v>
          </cell>
          <cell r="BD581">
            <v>101.24990000000001</v>
          </cell>
          <cell r="BE581">
            <v>102.06280000000001</v>
          </cell>
        </row>
        <row r="582">
          <cell r="B582">
            <v>9283.4570000000003</v>
          </cell>
          <cell r="C582">
            <v>1208.836</v>
          </cell>
          <cell r="D582">
            <v>2042.001</v>
          </cell>
          <cell r="E582">
            <v>6032.8379999999997</v>
          </cell>
          <cell r="G582">
            <v>10043.764000000001</v>
          </cell>
          <cell r="H582">
            <v>1152.2840000000001</v>
          </cell>
          <cell r="I582">
            <v>2280.4369999999999</v>
          </cell>
          <cell r="J582">
            <v>6611.0439999999999</v>
          </cell>
          <cell r="L582">
            <v>336272</v>
          </cell>
          <cell r="M582">
            <v>175084</v>
          </cell>
          <cell r="N582">
            <v>15.200000000000001</v>
          </cell>
          <cell r="AB582">
            <v>99.773800000000008</v>
          </cell>
          <cell r="BB582">
            <v>216771</v>
          </cell>
          <cell r="BC582">
            <v>102.4</v>
          </cell>
          <cell r="BD582">
            <v>100.9222</v>
          </cell>
          <cell r="BE582">
            <v>101.8639</v>
          </cell>
        </row>
        <row r="583">
          <cell r="B583">
            <v>9289.2620000000006</v>
          </cell>
          <cell r="C583">
            <v>1212.626</v>
          </cell>
          <cell r="D583">
            <v>2040.1980000000001</v>
          </cell>
          <cell r="E583">
            <v>6037.2139999999999</v>
          </cell>
          <cell r="G583">
            <v>10081.51</v>
          </cell>
          <cell r="H583">
            <v>1151.434</v>
          </cell>
          <cell r="I583">
            <v>2291.3090000000002</v>
          </cell>
          <cell r="J583">
            <v>6638.7660000000005</v>
          </cell>
          <cell r="L583">
            <v>337817</v>
          </cell>
          <cell r="M583">
            <v>175455</v>
          </cell>
          <cell r="N583">
            <v>14.829000000000001</v>
          </cell>
          <cell r="AB583">
            <v>98.90570000000001</v>
          </cell>
          <cell r="BB583">
            <v>217697</v>
          </cell>
          <cell r="BC583">
            <v>102.3</v>
          </cell>
          <cell r="BD583">
            <v>100.53200000000001</v>
          </cell>
          <cell r="BE583">
            <v>101.60650000000001</v>
          </cell>
        </row>
        <row r="584">
          <cell r="B584">
            <v>9287.6049999999996</v>
          </cell>
          <cell r="C584">
            <v>1213.395</v>
          </cell>
          <cell r="D584">
            <v>2042.5910000000001</v>
          </cell>
          <cell r="E584">
            <v>6032.518</v>
          </cell>
          <cell r="G584">
            <v>10121.726000000001</v>
          </cell>
          <cell r="H584">
            <v>1149.2529999999999</v>
          </cell>
          <cell r="I584">
            <v>2311.2800000000002</v>
          </cell>
          <cell r="J584">
            <v>6661.192</v>
          </cell>
          <cell r="L584">
            <v>338765</v>
          </cell>
          <cell r="M584">
            <v>175039</v>
          </cell>
          <cell r="N584">
            <v>14.489000000000001</v>
          </cell>
          <cell r="AB584">
            <v>98.33550000000001</v>
          </cell>
          <cell r="BB584">
            <v>215278</v>
          </cell>
          <cell r="BC584">
            <v>102.10000000000001</v>
          </cell>
          <cell r="BD584">
            <v>99.998900000000006</v>
          </cell>
          <cell r="BE584">
            <v>101.20870000000001</v>
          </cell>
        </row>
        <row r="585">
          <cell r="B585">
            <v>9280.4719999999998</v>
          </cell>
          <cell r="C585">
            <v>1203.3030000000001</v>
          </cell>
          <cell r="D585">
            <v>2047.7160000000001</v>
          </cell>
          <cell r="E585">
            <v>6028.83</v>
          </cell>
          <cell r="G585">
            <v>10176.223</v>
          </cell>
          <cell r="H585">
            <v>1139.0219999999999</v>
          </cell>
          <cell r="I585">
            <v>2358.2739999999999</v>
          </cell>
          <cell r="J585">
            <v>6678.9279999999999</v>
          </cell>
          <cell r="L585">
            <v>339708</v>
          </cell>
          <cell r="M585">
            <v>173956</v>
          </cell>
          <cell r="N585">
            <v>14.228</v>
          </cell>
          <cell r="AB585">
            <v>98.07050000000001</v>
          </cell>
          <cell r="BB585">
            <v>214023</v>
          </cell>
          <cell r="BC585">
            <v>102.2</v>
          </cell>
          <cell r="BD585">
            <v>99.218600000000009</v>
          </cell>
          <cell r="BE585">
            <v>100.56320000000001</v>
          </cell>
        </row>
        <row r="586">
          <cell r="B586">
            <v>9226.3680000000004</v>
          </cell>
          <cell r="C586">
            <v>1174.3689999999999</v>
          </cell>
          <cell r="D586">
            <v>2031.0710000000001</v>
          </cell>
          <cell r="E586">
            <v>6017.2880000000005</v>
          </cell>
          <cell r="G586">
            <v>10171.029</v>
          </cell>
          <cell r="H586">
            <v>1112.2540000000001</v>
          </cell>
          <cell r="I586">
            <v>2375.056</v>
          </cell>
          <cell r="J586">
            <v>6683.7190000000001</v>
          </cell>
          <cell r="L586">
            <v>337305</v>
          </cell>
          <cell r="M586">
            <v>171371</v>
          </cell>
          <cell r="N586">
            <v>12.961</v>
          </cell>
          <cell r="AB586">
            <v>97.7119</v>
          </cell>
          <cell r="BB586">
            <v>213461</v>
          </cell>
          <cell r="BC586">
            <v>101.10000000000001</v>
          </cell>
          <cell r="BD586">
            <v>98.094200000000001</v>
          </cell>
          <cell r="BE586">
            <v>99.569800000000001</v>
          </cell>
        </row>
        <row r="587">
          <cell r="B587">
            <v>9209.7540000000008</v>
          </cell>
          <cell r="C587">
            <v>1189.2239999999999</v>
          </cell>
          <cell r="D587">
            <v>2022.9870000000001</v>
          </cell>
          <cell r="E587">
            <v>5996.6019999999999</v>
          </cell>
          <cell r="G587">
            <v>10143.813</v>
          </cell>
          <cell r="H587">
            <v>1124.3220000000001</v>
          </cell>
          <cell r="I587">
            <v>2351.4940000000001</v>
          </cell>
          <cell r="J587">
            <v>6667.9970000000003</v>
          </cell>
          <cell r="L587">
            <v>335807</v>
          </cell>
          <cell r="M587">
            <v>170941</v>
          </cell>
          <cell r="N587">
            <v>13.839</v>
          </cell>
          <cell r="AB587">
            <v>96.062700000000007</v>
          </cell>
          <cell r="BB587">
            <v>201715</v>
          </cell>
          <cell r="BC587">
            <v>100.3</v>
          </cell>
          <cell r="BD587">
            <v>96.571200000000005</v>
          </cell>
          <cell r="BE587">
            <v>98.171599999999998</v>
          </cell>
        </row>
        <row r="588">
          <cell r="B588">
            <v>9151.7690000000002</v>
          </cell>
          <cell r="C588">
            <v>1148.7350000000001</v>
          </cell>
          <cell r="D588">
            <v>1992.24</v>
          </cell>
          <cell r="E588">
            <v>6005.6170000000002</v>
          </cell>
          <cell r="G588">
            <v>10092.496999999999</v>
          </cell>
          <cell r="H588">
            <v>1083.33</v>
          </cell>
          <cell r="I588">
            <v>2321.7780000000002</v>
          </cell>
          <cell r="J588">
            <v>6687.3890000000001</v>
          </cell>
          <cell r="L588">
            <v>329799</v>
          </cell>
          <cell r="M588">
            <v>168226</v>
          </cell>
          <cell r="N588">
            <v>12.951000000000001</v>
          </cell>
          <cell r="AB588">
            <v>92.087600000000009</v>
          </cell>
          <cell r="BB588">
            <v>194891</v>
          </cell>
          <cell r="BC588">
            <v>100.2</v>
          </cell>
          <cell r="BD588">
            <v>94.666800000000009</v>
          </cell>
          <cell r="BE588">
            <v>96.383400000000009</v>
          </cell>
        </row>
        <row r="589">
          <cell r="B589">
            <v>9107.4680000000008</v>
          </cell>
          <cell r="C589">
            <v>1097.556</v>
          </cell>
          <cell r="D589">
            <v>1996.934</v>
          </cell>
          <cell r="E589">
            <v>6000.2390000000005</v>
          </cell>
          <cell r="G589">
            <v>9992.1640000000007</v>
          </cell>
          <cell r="H589">
            <v>1033.3969999999999</v>
          </cell>
          <cell r="I589">
            <v>2270.404</v>
          </cell>
          <cell r="J589">
            <v>6688.3630000000003</v>
          </cell>
          <cell r="L589">
            <v>315543</v>
          </cell>
          <cell r="M589">
            <v>163065</v>
          </cell>
          <cell r="N589">
            <v>10.931000000000001</v>
          </cell>
          <cell r="AB589">
            <v>92.899900000000002</v>
          </cell>
          <cell r="BB589">
            <v>180396</v>
          </cell>
          <cell r="BC589">
            <v>99.2</v>
          </cell>
          <cell r="BD589">
            <v>92.501500000000007</v>
          </cell>
          <cell r="BE589">
            <v>94.326000000000008</v>
          </cell>
        </row>
        <row r="590">
          <cell r="B590">
            <v>9084.5400000000009</v>
          </cell>
          <cell r="C590">
            <v>1091.1600000000001</v>
          </cell>
          <cell r="D590">
            <v>1990.26</v>
          </cell>
          <cell r="E590">
            <v>5989.7240000000002</v>
          </cell>
          <cell r="G590">
            <v>9846.9590000000007</v>
          </cell>
          <cell r="H590">
            <v>1022.08</v>
          </cell>
          <cell r="I590">
            <v>2145.3879999999999</v>
          </cell>
          <cell r="J590">
            <v>6679.491</v>
          </cell>
          <cell r="L590">
            <v>304483</v>
          </cell>
          <cell r="M590">
            <v>160859</v>
          </cell>
          <cell r="N590">
            <v>10.521000000000001</v>
          </cell>
          <cell r="AB590">
            <v>91.68480000000001</v>
          </cell>
          <cell r="BB590">
            <v>172435</v>
          </cell>
          <cell r="BC590">
            <v>98.5</v>
          </cell>
          <cell r="BD590">
            <v>90.346699999999998</v>
          </cell>
          <cell r="BE590">
            <v>92.273899999999998</v>
          </cell>
        </row>
        <row r="591">
          <cell r="B591">
            <v>9036.11</v>
          </cell>
          <cell r="C591">
            <v>1075.2160000000001</v>
          </cell>
          <cell r="D591">
            <v>1968.68</v>
          </cell>
          <cell r="E591">
            <v>5976.5569999999998</v>
          </cell>
          <cell r="G591">
            <v>9744.7990000000009</v>
          </cell>
          <cell r="H591">
            <v>1002.3290000000001</v>
          </cell>
          <cell r="I591">
            <v>2070.6579999999999</v>
          </cell>
          <cell r="J591">
            <v>6671.8119999999999</v>
          </cell>
          <cell r="L591">
            <v>295647</v>
          </cell>
          <cell r="M591">
            <v>157939</v>
          </cell>
          <cell r="N591">
            <v>10.372</v>
          </cell>
          <cell r="AB591">
            <v>89.333399999999997</v>
          </cell>
          <cell r="BB591">
            <v>157739</v>
          </cell>
          <cell r="BC591">
            <v>98.2</v>
          </cell>
          <cell r="BD591">
            <v>88.46350000000001</v>
          </cell>
          <cell r="BE591">
            <v>90.493400000000008</v>
          </cell>
        </row>
        <row r="592">
          <cell r="B592">
            <v>9071.523000000001</v>
          </cell>
          <cell r="C592">
            <v>1108.741</v>
          </cell>
          <cell r="D592">
            <v>1981.4680000000001</v>
          </cell>
          <cell r="E592">
            <v>5970.4340000000002</v>
          </cell>
          <cell r="G592">
            <v>9798.4760000000006</v>
          </cell>
          <cell r="H592">
            <v>1033.087</v>
          </cell>
          <cell r="I592">
            <v>2096.42</v>
          </cell>
          <cell r="J592">
            <v>6668.97</v>
          </cell>
          <cell r="L592">
            <v>300579</v>
          </cell>
          <cell r="M592">
            <v>159904</v>
          </cell>
          <cell r="N592">
            <v>9.8659999999999997</v>
          </cell>
          <cell r="AB592">
            <v>87.451000000000008</v>
          </cell>
          <cell r="BB592">
            <v>145087</v>
          </cell>
          <cell r="BC592">
            <v>98.100000000000009</v>
          </cell>
          <cell r="BD592">
            <v>87.055700000000002</v>
          </cell>
          <cell r="BE592">
            <v>89.194299999999998</v>
          </cell>
        </row>
        <row r="593">
          <cell r="B593">
            <v>9042.5969999999998</v>
          </cell>
          <cell r="C593">
            <v>1096.7570000000001</v>
          </cell>
          <cell r="D593">
            <v>1985.9639999999999</v>
          </cell>
          <cell r="E593">
            <v>5947.9170000000004</v>
          </cell>
          <cell r="G593">
            <v>9796.19</v>
          </cell>
          <cell r="H593">
            <v>1022.768</v>
          </cell>
          <cell r="I593">
            <v>2126.7290000000003</v>
          </cell>
          <cell r="J593">
            <v>6646.6930000000002</v>
          </cell>
          <cell r="L593">
            <v>299791</v>
          </cell>
          <cell r="M593">
            <v>158700</v>
          </cell>
          <cell r="N593">
            <v>9.4459999999999997</v>
          </cell>
          <cell r="AB593">
            <v>86.987800000000007</v>
          </cell>
          <cell r="BB593">
            <v>142877</v>
          </cell>
          <cell r="BC593">
            <v>97.7</v>
          </cell>
          <cell r="BD593">
            <v>86.256200000000007</v>
          </cell>
          <cell r="BE593">
            <v>88.514300000000006</v>
          </cell>
        </row>
        <row r="594">
          <cell r="B594">
            <v>9008.5329999999994</v>
          </cell>
          <cell r="C594">
            <v>1078.2060000000001</v>
          </cell>
          <cell r="D594">
            <v>1973.5640000000001</v>
          </cell>
          <cell r="E594">
            <v>5942.08</v>
          </cell>
          <cell r="G594">
            <v>9750.473</v>
          </cell>
          <cell r="H594">
            <v>1004.3720000000001</v>
          </cell>
          <cell r="I594">
            <v>2108.6930000000002</v>
          </cell>
          <cell r="J594">
            <v>6637.4080000000004</v>
          </cell>
          <cell r="L594">
            <v>294890</v>
          </cell>
          <cell r="M594">
            <v>156499</v>
          </cell>
          <cell r="N594">
            <v>9.89</v>
          </cell>
          <cell r="AB594">
            <v>85.535899999999998</v>
          </cell>
          <cell r="BB594">
            <v>137947</v>
          </cell>
          <cell r="BC594">
            <v>97.4</v>
          </cell>
          <cell r="BD594">
            <v>86.10260000000001</v>
          </cell>
          <cell r="BE594">
            <v>88.494200000000006</v>
          </cell>
        </row>
        <row r="595">
          <cell r="B595">
            <v>8993.0740000000005</v>
          </cell>
          <cell r="C595">
            <v>1070.1369999999999</v>
          </cell>
          <cell r="D595">
            <v>1969.88</v>
          </cell>
          <cell r="E595">
            <v>5937.241</v>
          </cell>
          <cell r="G595">
            <v>9750.25</v>
          </cell>
          <cell r="H595">
            <v>997.58100000000002</v>
          </cell>
          <cell r="I595">
            <v>2113.2530000000002</v>
          </cell>
          <cell r="J595">
            <v>6639.4160000000002</v>
          </cell>
          <cell r="L595">
            <v>295492</v>
          </cell>
          <cell r="M595">
            <v>156649</v>
          </cell>
          <cell r="N595">
            <v>9.5440000000000005</v>
          </cell>
          <cell r="AB595">
            <v>84.7761</v>
          </cell>
          <cell r="BB595">
            <v>136136</v>
          </cell>
          <cell r="BC595">
            <v>98.600000000000009</v>
          </cell>
          <cell r="BD595">
            <v>86.578699999999998</v>
          </cell>
          <cell r="BE595">
            <v>89.120200000000011</v>
          </cell>
        </row>
        <row r="596">
          <cell r="B596">
            <v>9002.402</v>
          </cell>
          <cell r="C596">
            <v>1087.71</v>
          </cell>
          <cell r="D596">
            <v>1975.5</v>
          </cell>
          <cell r="E596">
            <v>5926.1660000000002</v>
          </cell>
          <cell r="G596">
            <v>9772.6450000000004</v>
          </cell>
          <cell r="H596">
            <v>1013.2430000000001</v>
          </cell>
          <cell r="I596">
            <v>2124.962</v>
          </cell>
          <cell r="J596">
            <v>6634.4400000000005</v>
          </cell>
          <cell r="L596">
            <v>298400</v>
          </cell>
          <cell r="M596">
            <v>157796</v>
          </cell>
          <cell r="N596">
            <v>10.032999999999999</v>
          </cell>
          <cell r="AB596">
            <v>83.865800000000007</v>
          </cell>
          <cell r="BB596">
            <v>140886</v>
          </cell>
          <cell r="BC596">
            <v>99.9</v>
          </cell>
          <cell r="BD596">
            <v>87.502700000000004</v>
          </cell>
          <cell r="BE596">
            <v>90.20750000000001</v>
          </cell>
        </row>
        <row r="597">
          <cell r="B597">
            <v>9000.1470000000008</v>
          </cell>
          <cell r="C597">
            <v>1092.2260000000001</v>
          </cell>
          <cell r="D597">
            <v>1973.0820000000001</v>
          </cell>
          <cell r="E597">
            <v>5922.5060000000003</v>
          </cell>
          <cell r="G597">
            <v>9822.0149999999994</v>
          </cell>
          <cell r="H597">
            <v>1017.706</v>
          </cell>
          <cell r="I597">
            <v>2164.154</v>
          </cell>
          <cell r="J597">
            <v>6640.1549999999997</v>
          </cell>
          <cell r="L597">
            <v>303065</v>
          </cell>
          <cell r="M597">
            <v>158863</v>
          </cell>
          <cell r="N597">
            <v>10.066000000000001</v>
          </cell>
          <cell r="AB597">
            <v>83.5261</v>
          </cell>
          <cell r="BB597">
            <v>138836</v>
          </cell>
          <cell r="BC597">
            <v>100.60000000000001</v>
          </cell>
          <cell r="BD597">
            <v>88.651800000000009</v>
          </cell>
          <cell r="BE597">
            <v>91.528300000000002</v>
          </cell>
        </row>
        <row r="598">
          <cell r="B598">
            <v>9023.4699999999993</v>
          </cell>
          <cell r="C598">
            <v>1116.9570000000001</v>
          </cell>
          <cell r="D598">
            <v>1974.4390000000001</v>
          </cell>
          <cell r="E598">
            <v>5923.3580000000002</v>
          </cell>
          <cell r="G598">
            <v>9856.06</v>
          </cell>
          <cell r="H598">
            <v>1035.2840000000001</v>
          </cell>
          <cell r="I598">
            <v>2171.297</v>
          </cell>
          <cell r="J598">
            <v>6649.4790000000003</v>
          </cell>
          <cell r="L598">
            <v>303304</v>
          </cell>
          <cell r="M598">
            <v>158777</v>
          </cell>
          <cell r="N598">
            <v>11.492000000000001</v>
          </cell>
          <cell r="AB598">
            <v>84.434700000000007</v>
          </cell>
          <cell r="BB598">
            <v>150963</v>
          </cell>
          <cell r="BC598">
            <v>101.7</v>
          </cell>
          <cell r="BD598">
            <v>89.855500000000006</v>
          </cell>
          <cell r="BE598">
            <v>92.906700000000001</v>
          </cell>
        </row>
        <row r="599">
          <cell r="B599">
            <v>9104.6679999999997</v>
          </cell>
          <cell r="C599">
            <v>1193.2619999999999</v>
          </cell>
          <cell r="D599">
            <v>1984.415</v>
          </cell>
          <cell r="E599">
            <v>5929.7269999999999</v>
          </cell>
          <cell r="G599">
            <v>9974.8780000000006</v>
          </cell>
          <cell r="H599">
            <v>1102.7860000000001</v>
          </cell>
          <cell r="I599">
            <v>2201.819</v>
          </cell>
          <cell r="J599">
            <v>6670.2719999999999</v>
          </cell>
          <cell r="L599">
            <v>311629</v>
          </cell>
          <cell r="M599">
            <v>162048</v>
          </cell>
          <cell r="N599">
            <v>14.383000000000001</v>
          </cell>
          <cell r="AB599">
            <v>85.217399999999998</v>
          </cell>
          <cell r="BB599">
            <v>146621</v>
          </cell>
          <cell r="BC599">
            <v>102.5</v>
          </cell>
          <cell r="BD599">
            <v>91.001200000000011</v>
          </cell>
          <cell r="BE599">
            <v>94.226399999999998</v>
          </cell>
        </row>
        <row r="600">
          <cell r="B600">
            <v>9022.7420000000002</v>
          </cell>
          <cell r="C600">
            <v>1093.318</v>
          </cell>
          <cell r="D600">
            <v>1989.115</v>
          </cell>
          <cell r="E600">
            <v>5927.3969999999999</v>
          </cell>
          <cell r="G600">
            <v>9902.3040000000001</v>
          </cell>
          <cell r="H600">
            <v>1012.1950000000001</v>
          </cell>
          <cell r="I600">
            <v>2213.357</v>
          </cell>
          <cell r="J600">
            <v>6676.7510000000002</v>
          </cell>
          <cell r="L600">
            <v>303984</v>
          </cell>
          <cell r="M600">
            <v>158160</v>
          </cell>
          <cell r="N600">
            <v>9.5839999999999996</v>
          </cell>
          <cell r="AB600">
            <v>85.798299999999998</v>
          </cell>
          <cell r="BB600">
            <v>149051</v>
          </cell>
          <cell r="BC600">
            <v>103.60000000000001</v>
          </cell>
          <cell r="BD600">
            <v>92.041800000000009</v>
          </cell>
          <cell r="BE600">
            <v>95.437899999999999</v>
          </cell>
        </row>
        <row r="601">
          <cell r="B601">
            <v>9044.6419999999998</v>
          </cell>
          <cell r="C601">
            <v>1103.1790000000001</v>
          </cell>
          <cell r="D601">
            <v>1994.847</v>
          </cell>
          <cell r="E601">
            <v>5934.9480000000003</v>
          </cell>
          <cell r="G601">
            <v>9958.0069999999996</v>
          </cell>
          <cell r="H601">
            <v>1023.37</v>
          </cell>
          <cell r="I601">
            <v>2221.7220000000002</v>
          </cell>
          <cell r="J601">
            <v>6712.9139999999998</v>
          </cell>
          <cell r="L601">
            <v>306248</v>
          </cell>
          <cell r="M601">
            <v>158843</v>
          </cell>
          <cell r="N601">
            <v>10.554</v>
          </cell>
          <cell r="AB601">
            <v>86.016300000000001</v>
          </cell>
          <cell r="BB601">
            <v>153034</v>
          </cell>
          <cell r="BC601">
            <v>104</v>
          </cell>
          <cell r="BD601">
            <v>92.9666</v>
          </cell>
          <cell r="BE601">
            <v>96.529800000000009</v>
          </cell>
        </row>
        <row r="602">
          <cell r="B602">
            <v>9044.6839999999993</v>
          </cell>
          <cell r="C602">
            <v>1124.876</v>
          </cell>
          <cell r="D602">
            <v>1995.2640000000001</v>
          </cell>
          <cell r="E602">
            <v>5916.7930000000006</v>
          </cell>
          <cell r="G602">
            <v>9977.4989999999998</v>
          </cell>
          <cell r="H602">
            <v>1043.5160000000001</v>
          </cell>
          <cell r="I602">
            <v>2229.8870000000002</v>
          </cell>
          <cell r="J602">
            <v>6704.0960000000005</v>
          </cell>
          <cell r="L602">
            <v>310161</v>
          </cell>
          <cell r="M602">
            <v>160424</v>
          </cell>
          <cell r="N602">
            <v>11.067</v>
          </cell>
          <cell r="AB602">
            <v>86.213700000000003</v>
          </cell>
          <cell r="BB602">
            <v>150917</v>
          </cell>
          <cell r="BC602">
            <v>105.10000000000001</v>
          </cell>
          <cell r="BD602">
            <v>93.805700000000002</v>
          </cell>
          <cell r="BE602">
            <v>97.532499999999999</v>
          </cell>
        </row>
        <row r="603">
          <cell r="B603">
            <v>9091.2060000000001</v>
          </cell>
          <cell r="C603">
            <v>1134.25</v>
          </cell>
          <cell r="D603">
            <v>2002.9070000000002</v>
          </cell>
          <cell r="E603">
            <v>5946.893</v>
          </cell>
          <cell r="G603">
            <v>10034.594999999999</v>
          </cell>
          <cell r="H603">
            <v>1049.6020000000001</v>
          </cell>
          <cell r="I603">
            <v>2241.7820000000002</v>
          </cell>
          <cell r="J603">
            <v>6743.2120000000004</v>
          </cell>
          <cell r="L603">
            <v>311924</v>
          </cell>
          <cell r="M603">
            <v>161072</v>
          </cell>
          <cell r="N603">
            <v>11.287000000000001</v>
          </cell>
          <cell r="AB603">
            <v>86.719700000000003</v>
          </cell>
          <cell r="BB603">
            <v>153440</v>
          </cell>
          <cell r="BC603">
            <v>106.2</v>
          </cell>
          <cell r="BD603">
            <v>94.576999999999998</v>
          </cell>
          <cell r="BE603">
            <v>98.464300000000009</v>
          </cell>
        </row>
        <row r="604">
          <cell r="B604">
            <v>9086.7669999999998</v>
          </cell>
          <cell r="C604">
            <v>1127.8920000000001</v>
          </cell>
          <cell r="D604">
            <v>2010.9259999999999</v>
          </cell>
          <cell r="E604">
            <v>5939.8420000000006</v>
          </cell>
          <cell r="G604">
            <v>10054.563</v>
          </cell>
          <cell r="H604">
            <v>1042.0899999999999</v>
          </cell>
          <cell r="I604">
            <v>2269.4940000000001</v>
          </cell>
          <cell r="J604">
            <v>6742.9800000000005</v>
          </cell>
          <cell r="L604">
            <v>313304</v>
          </cell>
          <cell r="M604">
            <v>161447</v>
          </cell>
          <cell r="N604">
            <v>11.032</v>
          </cell>
          <cell r="AB604">
            <v>87.749200000000002</v>
          </cell>
          <cell r="BB604">
            <v>160541</v>
          </cell>
          <cell r="BC604">
            <v>106.7</v>
          </cell>
          <cell r="BD604">
            <v>95.239500000000007</v>
          </cell>
          <cell r="BE604">
            <v>99.282600000000002</v>
          </cell>
        </row>
        <row r="605">
          <cell r="B605">
            <v>9119.1039999999994</v>
          </cell>
          <cell r="C605">
            <v>1139.4860000000001</v>
          </cell>
          <cell r="D605">
            <v>2022.855</v>
          </cell>
          <cell r="E605">
            <v>5950.125</v>
          </cell>
          <cell r="G605">
            <v>10098.844000000001</v>
          </cell>
          <cell r="H605">
            <v>1049.701</v>
          </cell>
          <cell r="I605">
            <v>2283.0520000000001</v>
          </cell>
          <cell r="J605">
            <v>6766.0910000000003</v>
          </cell>
          <cell r="L605">
            <v>313681</v>
          </cell>
          <cell r="M605">
            <v>161843</v>
          </cell>
          <cell r="N605">
            <v>10.622</v>
          </cell>
          <cell r="AB605">
            <v>87.912900000000008</v>
          </cell>
          <cell r="BB605">
            <v>162952</v>
          </cell>
          <cell r="BC605">
            <v>107.2</v>
          </cell>
          <cell r="BD605">
            <v>95.7316</v>
          </cell>
          <cell r="BE605">
            <v>99.922499999999999</v>
          </cell>
        </row>
        <row r="606">
          <cell r="B606">
            <v>9157.7090000000007</v>
          </cell>
          <cell r="C606">
            <v>1175.019</v>
          </cell>
          <cell r="D606">
            <v>2029.595</v>
          </cell>
          <cell r="E606">
            <v>5952.3240000000005</v>
          </cell>
          <cell r="G606">
            <v>10157.594999999999</v>
          </cell>
          <cell r="H606">
            <v>1082.2260000000001</v>
          </cell>
          <cell r="I606">
            <v>2287.7179999999998</v>
          </cell>
          <cell r="J606">
            <v>6787.6509999999998</v>
          </cell>
          <cell r="L606">
            <v>321187</v>
          </cell>
          <cell r="M606">
            <v>165376</v>
          </cell>
          <cell r="N606">
            <v>11.9</v>
          </cell>
          <cell r="AB606">
            <v>88.391500000000008</v>
          </cell>
          <cell r="BB606">
            <v>160184</v>
          </cell>
          <cell r="BC606">
            <v>108.60000000000001</v>
          </cell>
          <cell r="BD606">
            <v>96.060600000000008</v>
          </cell>
          <cell r="BE606">
            <v>100.3914</v>
          </cell>
        </row>
        <row r="607">
          <cell r="B607">
            <v>9164.6980000000003</v>
          </cell>
          <cell r="C607">
            <v>1169.287</v>
          </cell>
          <cell r="D607">
            <v>2026.2190000000001</v>
          </cell>
          <cell r="E607">
            <v>5967.12</v>
          </cell>
          <cell r="G607">
            <v>10169.09</v>
          </cell>
          <cell r="H607">
            <v>1074.729</v>
          </cell>
          <cell r="I607">
            <v>2279.3119999999999</v>
          </cell>
          <cell r="J607">
            <v>6815.05</v>
          </cell>
          <cell r="L607">
            <v>322993</v>
          </cell>
          <cell r="M607">
            <v>166219</v>
          </cell>
          <cell r="N607">
            <v>11.48</v>
          </cell>
          <cell r="AB607">
            <v>88.705100000000002</v>
          </cell>
          <cell r="BB607">
            <v>168327</v>
          </cell>
          <cell r="BC607">
            <v>108.60000000000001</v>
          </cell>
          <cell r="BD607">
            <v>96.173700000000011</v>
          </cell>
          <cell r="BE607">
            <v>100.6335</v>
          </cell>
        </row>
        <row r="608">
          <cell r="B608">
            <v>9192.375</v>
          </cell>
          <cell r="C608">
            <v>1170.269</v>
          </cell>
          <cell r="D608">
            <v>2028.1380000000001</v>
          </cell>
          <cell r="E608">
            <v>5991.34</v>
          </cell>
          <cell r="G608">
            <v>10194.638000000001</v>
          </cell>
          <cell r="H608">
            <v>1072.9950000000001</v>
          </cell>
          <cell r="I608">
            <v>2265.63</v>
          </cell>
          <cell r="J608">
            <v>6856.0129999999999</v>
          </cell>
          <cell r="L608">
            <v>320633</v>
          </cell>
          <cell r="M608">
            <v>165315</v>
          </cell>
          <cell r="N608">
            <v>11.758000000000001</v>
          </cell>
          <cell r="AB608">
            <v>89.902500000000003</v>
          </cell>
          <cell r="BB608">
            <v>167279</v>
          </cell>
          <cell r="BC608">
            <v>109</v>
          </cell>
          <cell r="BD608">
            <v>96.0608</v>
          </cell>
          <cell r="BE608">
            <v>100.63760000000001</v>
          </cell>
        </row>
        <row r="609">
          <cell r="B609">
            <v>9203.6740000000009</v>
          </cell>
          <cell r="C609">
            <v>1168.222</v>
          </cell>
          <cell r="D609">
            <v>2037.9270000000001</v>
          </cell>
          <cell r="E609">
            <v>5994.4160000000002</v>
          </cell>
          <cell r="G609">
            <v>10190.583000000001</v>
          </cell>
          <cell r="H609">
            <v>1067.415</v>
          </cell>
          <cell r="I609">
            <v>2260.0880000000002</v>
          </cell>
          <cell r="J609">
            <v>6863.0810000000001</v>
          </cell>
          <cell r="L609">
            <v>320045</v>
          </cell>
          <cell r="M609">
            <v>165413</v>
          </cell>
          <cell r="N609">
            <v>11.463000000000001</v>
          </cell>
          <cell r="AB609">
            <v>89.997</v>
          </cell>
          <cell r="BB609">
            <v>167002</v>
          </cell>
          <cell r="BC609">
            <v>108.8</v>
          </cell>
          <cell r="BD609">
            <v>95.832000000000008</v>
          </cell>
          <cell r="BE609">
            <v>100.51830000000001</v>
          </cell>
        </row>
        <row r="610">
          <cell r="B610">
            <v>9216.755000000001</v>
          </cell>
          <cell r="C610">
            <v>1186.105</v>
          </cell>
          <cell r="D610">
            <v>2027.6590000000001</v>
          </cell>
          <cell r="E610">
            <v>6002.826</v>
          </cell>
          <cell r="G610">
            <v>10227.880000000001</v>
          </cell>
          <cell r="H610">
            <v>1080.24</v>
          </cell>
          <cell r="I610">
            <v>2268.8490000000002</v>
          </cell>
          <cell r="J610">
            <v>6878.7910000000002</v>
          </cell>
          <cell r="L610">
            <v>320747</v>
          </cell>
          <cell r="M610">
            <v>165171</v>
          </cell>
          <cell r="N610">
            <v>11.766</v>
          </cell>
          <cell r="AB610">
            <v>90.791899999999998</v>
          </cell>
          <cell r="BB610">
            <v>172804</v>
          </cell>
          <cell r="BC610">
            <v>109</v>
          </cell>
          <cell r="BD610">
            <v>95.642200000000003</v>
          </cell>
          <cell r="BE610">
            <v>100.43690000000001</v>
          </cell>
        </row>
        <row r="611">
          <cell r="B611">
            <v>9254.4089999999997</v>
          </cell>
          <cell r="C611">
            <v>1187.9449999999999</v>
          </cell>
          <cell r="D611">
            <v>2054.259</v>
          </cell>
          <cell r="E611">
            <v>6011.8220000000001</v>
          </cell>
          <cell r="G611">
            <v>10286.275</v>
          </cell>
          <cell r="H611">
            <v>1082.8389999999999</v>
          </cell>
          <cell r="I611">
            <v>2309.1320000000001</v>
          </cell>
          <cell r="J611">
            <v>6894.3040000000001</v>
          </cell>
          <cell r="L611">
            <v>324572</v>
          </cell>
          <cell r="M611">
            <v>166767</v>
          </cell>
          <cell r="N611">
            <v>11.734999999999999</v>
          </cell>
          <cell r="AB611">
            <v>90.989800000000002</v>
          </cell>
          <cell r="BB611">
            <v>168590</v>
          </cell>
          <cell r="BC611">
            <v>109.10000000000001</v>
          </cell>
          <cell r="BD611">
            <v>95.589200000000005</v>
          </cell>
          <cell r="BE611">
            <v>100.49520000000001</v>
          </cell>
        </row>
        <row r="612">
          <cell r="B612">
            <v>9270.098</v>
          </cell>
          <cell r="C612">
            <v>1208.1200000000001</v>
          </cell>
          <cell r="D612">
            <v>2055.587</v>
          </cell>
          <cell r="E612">
            <v>6009.7150000000001</v>
          </cell>
          <cell r="G612">
            <v>10315.59</v>
          </cell>
          <cell r="H612">
            <v>1099.4370000000001</v>
          </cell>
          <cell r="I612">
            <v>2318.9389999999999</v>
          </cell>
          <cell r="J612">
            <v>6897.2139999999999</v>
          </cell>
          <cell r="L612">
            <v>327405</v>
          </cell>
          <cell r="M612">
            <v>167732</v>
          </cell>
          <cell r="N612">
            <v>12.003</v>
          </cell>
          <cell r="AB612">
            <v>91.242699999999999</v>
          </cell>
          <cell r="BB612">
            <v>177491</v>
          </cell>
          <cell r="BC612">
            <v>109.9</v>
          </cell>
          <cell r="BD612">
            <v>95.702200000000005</v>
          </cell>
          <cell r="BE612">
            <v>100.72280000000001</v>
          </cell>
        </row>
        <row r="613">
          <cell r="B613">
            <v>9305.5020000000004</v>
          </cell>
          <cell r="C613">
            <v>1237.566</v>
          </cell>
          <cell r="D613">
            <v>2062.864</v>
          </cell>
          <cell r="E613">
            <v>6013.5839999999998</v>
          </cell>
          <cell r="G613">
            <v>10377.411</v>
          </cell>
          <cell r="H613">
            <v>1123.47</v>
          </cell>
          <cell r="I613">
            <v>2342.8119999999999</v>
          </cell>
          <cell r="J613">
            <v>6911.1289999999999</v>
          </cell>
          <cell r="L613">
            <v>332126</v>
          </cell>
          <cell r="M613">
            <v>169614</v>
          </cell>
          <cell r="N613">
            <v>12.357000000000001</v>
          </cell>
          <cell r="AB613">
            <v>91.138500000000008</v>
          </cell>
          <cell r="BB613">
            <v>174642</v>
          </cell>
          <cell r="BC613">
            <v>110.10000000000001</v>
          </cell>
          <cell r="BD613">
            <v>95.959600000000009</v>
          </cell>
          <cell r="BE613">
            <v>101.096</v>
          </cell>
        </row>
        <row r="614">
          <cell r="B614">
            <v>9334.4060000000009</v>
          </cell>
          <cell r="C614">
            <v>1239.8869999999999</v>
          </cell>
          <cell r="D614">
            <v>2073.1840000000002</v>
          </cell>
          <cell r="E614">
            <v>6029.5990000000002</v>
          </cell>
          <cell r="G614">
            <v>10417.712</v>
          </cell>
          <cell r="H614">
            <v>1123.078</v>
          </cell>
          <cell r="I614">
            <v>2358.326</v>
          </cell>
          <cell r="J614">
            <v>6936.3069999999998</v>
          </cell>
          <cell r="L614">
            <v>334668</v>
          </cell>
          <cell r="M614">
            <v>170662</v>
          </cell>
          <cell r="N614">
            <v>12.462</v>
          </cell>
          <cell r="AB614">
            <v>91.403900000000007</v>
          </cell>
          <cell r="BB614">
            <v>173219</v>
          </cell>
          <cell r="BC614">
            <v>111.4</v>
          </cell>
          <cell r="BD614">
            <v>96.350000000000009</v>
          </cell>
          <cell r="BE614">
            <v>101.60170000000001</v>
          </cell>
        </row>
        <row r="615">
          <cell r="B615">
            <v>9345.2569999999996</v>
          </cell>
          <cell r="C615">
            <v>1249.8220000000001</v>
          </cell>
          <cell r="D615">
            <v>2066.2469999999998</v>
          </cell>
          <cell r="E615">
            <v>6039.2240000000002</v>
          </cell>
          <cell r="G615">
            <v>10456.053</v>
          </cell>
          <cell r="H615">
            <v>1127.625</v>
          </cell>
          <cell r="I615">
            <v>2374.8360000000002</v>
          </cell>
          <cell r="J615">
            <v>6953.5920000000006</v>
          </cell>
          <cell r="L615">
            <v>336854</v>
          </cell>
          <cell r="M615">
            <v>170911</v>
          </cell>
          <cell r="N615">
            <v>12.679</v>
          </cell>
          <cell r="AB615">
            <v>92.564599999999999</v>
          </cell>
          <cell r="BB615">
            <v>172067</v>
          </cell>
          <cell r="BC615">
            <v>112.3</v>
          </cell>
          <cell r="BD615">
            <v>96.805599999999998</v>
          </cell>
          <cell r="BE615">
            <v>102.1679</v>
          </cell>
        </row>
        <row r="616">
          <cell r="B616">
            <v>9348.6080000000002</v>
          </cell>
          <cell r="C616">
            <v>1262.7760000000001</v>
          </cell>
          <cell r="D616">
            <v>2070.7739999999999</v>
          </cell>
          <cell r="E616">
            <v>6027.7840000000006</v>
          </cell>
          <cell r="G616">
            <v>10498.027</v>
          </cell>
          <cell r="H616">
            <v>1139.931</v>
          </cell>
          <cell r="I616">
            <v>2406.0889999999999</v>
          </cell>
          <cell r="J616">
            <v>6952.0070000000005</v>
          </cell>
          <cell r="L616">
            <v>339647</v>
          </cell>
          <cell r="M616">
            <v>171561</v>
          </cell>
          <cell r="N616">
            <v>12.894</v>
          </cell>
          <cell r="AB616">
            <v>92.794899999999998</v>
          </cell>
          <cell r="BB616">
            <v>177973</v>
          </cell>
          <cell r="BC616">
            <v>112.5</v>
          </cell>
          <cell r="BD616">
            <v>97.236400000000003</v>
          </cell>
          <cell r="BE616">
            <v>102.7008</v>
          </cell>
        </row>
        <row r="617">
          <cell r="B617">
            <v>9382.121000000001</v>
          </cell>
          <cell r="C617">
            <v>1285.2270000000001</v>
          </cell>
          <cell r="D617">
            <v>2079.2950000000001</v>
          </cell>
          <cell r="E617">
            <v>6034.2449999999999</v>
          </cell>
          <cell r="G617">
            <v>10577.732</v>
          </cell>
          <cell r="H617">
            <v>1162.576</v>
          </cell>
          <cell r="I617">
            <v>2440.7269999999999</v>
          </cell>
          <cell r="J617">
            <v>6974.4290000000001</v>
          </cell>
          <cell r="L617">
            <v>343733</v>
          </cell>
          <cell r="M617">
            <v>172783</v>
          </cell>
          <cell r="N617">
            <v>13.505000000000001</v>
          </cell>
          <cell r="AB617">
            <v>92.4512</v>
          </cell>
          <cell r="BB617">
            <v>179099</v>
          </cell>
          <cell r="BC617">
            <v>113.5</v>
          </cell>
          <cell r="BD617">
            <v>97.546599999999998</v>
          </cell>
          <cell r="BE617">
            <v>103.1028</v>
          </cell>
        </row>
        <row r="618">
          <cell r="B618">
            <v>9399.4889999999996</v>
          </cell>
          <cell r="C618">
            <v>1284.0720000000001</v>
          </cell>
          <cell r="D618">
            <v>2076.23</v>
          </cell>
          <cell r="E618">
            <v>6055.2330000000002</v>
          </cell>
          <cell r="G618">
            <v>10639.241</v>
          </cell>
          <cell r="H618">
            <v>1160.953</v>
          </cell>
          <cell r="I618">
            <v>2466.4369999999999</v>
          </cell>
          <cell r="J618">
            <v>7011.8519999999999</v>
          </cell>
          <cell r="L618">
            <v>346195</v>
          </cell>
          <cell r="M618">
            <v>173144</v>
          </cell>
          <cell r="N618">
            <v>13.290000000000001</v>
          </cell>
          <cell r="AB618">
            <v>93.088800000000006</v>
          </cell>
          <cell r="BB618">
            <v>186578</v>
          </cell>
          <cell r="BC618">
            <v>114.3</v>
          </cell>
          <cell r="BD618">
            <v>97.69980000000001</v>
          </cell>
          <cell r="BE618">
            <v>103.34410000000001</v>
          </cell>
        </row>
        <row r="619">
          <cell r="B619">
            <v>9394.2080000000005</v>
          </cell>
          <cell r="C619">
            <v>1277.2919999999999</v>
          </cell>
          <cell r="D619">
            <v>2078.81</v>
          </cell>
          <cell r="E619">
            <v>6052.7260000000006</v>
          </cell>
          <cell r="G619">
            <v>10669.621000000001</v>
          </cell>
          <cell r="H619">
            <v>1157.7260000000001</v>
          </cell>
          <cell r="I619">
            <v>2489.3620000000001</v>
          </cell>
          <cell r="J619">
            <v>7022.5320000000002</v>
          </cell>
          <cell r="L619">
            <v>347316</v>
          </cell>
          <cell r="M619">
            <v>172749</v>
          </cell>
          <cell r="N619">
            <v>13.401</v>
          </cell>
          <cell r="AB619">
            <v>92.708200000000005</v>
          </cell>
          <cell r="BB619">
            <v>181571</v>
          </cell>
          <cell r="BC619">
            <v>114</v>
          </cell>
          <cell r="BD619">
            <v>97.696899999999999</v>
          </cell>
          <cell r="BE619">
            <v>103.3927</v>
          </cell>
        </row>
        <row r="620">
          <cell r="B620">
            <v>9395.6640000000007</v>
          </cell>
          <cell r="C620">
            <v>1261.1210000000001</v>
          </cell>
          <cell r="D620">
            <v>2073.1999999999998</v>
          </cell>
          <cell r="E620">
            <v>6072.567</v>
          </cell>
          <cell r="G620">
            <v>10690.133</v>
          </cell>
          <cell r="H620">
            <v>1144.357</v>
          </cell>
          <cell r="I620">
            <v>2481.1030000000001</v>
          </cell>
          <cell r="J620">
            <v>7064.6720000000005</v>
          </cell>
          <cell r="L620">
            <v>346741</v>
          </cell>
          <cell r="M620">
            <v>172382</v>
          </cell>
          <cell r="N620">
            <v>11.993</v>
          </cell>
          <cell r="AB620">
            <v>92.961100000000002</v>
          </cell>
          <cell r="BB620">
            <v>184508</v>
          </cell>
          <cell r="BC620">
            <v>114.8</v>
          </cell>
          <cell r="BD620">
            <v>97.564400000000006</v>
          </cell>
          <cell r="BE620">
            <v>103.3831</v>
          </cell>
        </row>
        <row r="621">
          <cell r="B621">
            <v>9388.3590000000004</v>
          </cell>
          <cell r="C621">
            <v>1242.0989999999999</v>
          </cell>
          <cell r="D621">
            <v>2077.6579999999999</v>
          </cell>
          <cell r="E621">
            <v>6075.7170000000006</v>
          </cell>
          <cell r="G621">
            <v>10668.352000000001</v>
          </cell>
          <cell r="H621">
            <v>1129.2909999999999</v>
          </cell>
          <cell r="I621">
            <v>2466.3110000000001</v>
          </cell>
          <cell r="J621">
            <v>7072.75</v>
          </cell>
          <cell r="L621">
            <v>347349</v>
          </cell>
          <cell r="M621">
            <v>173106</v>
          </cell>
          <cell r="N621">
            <v>11.819000000000001</v>
          </cell>
          <cell r="AB621">
            <v>92.984999999999999</v>
          </cell>
          <cell r="BB621">
            <v>182967</v>
          </cell>
          <cell r="BC621">
            <v>115.2</v>
          </cell>
          <cell r="BD621">
            <v>97.334600000000009</v>
          </cell>
          <cell r="BE621" t="str">
            <v>NA</v>
          </cell>
        </row>
        <row r="622">
          <cell r="B622">
            <v>9437.2620000000006</v>
          </cell>
          <cell r="C622">
            <v>1270.3520000000001</v>
          </cell>
          <cell r="D622">
            <v>2075.5520000000001</v>
          </cell>
          <cell r="E622">
            <v>6103.62</v>
          </cell>
          <cell r="G622">
            <v>10764.424000000001</v>
          </cell>
          <cell r="H622">
            <v>1154.221</v>
          </cell>
          <cell r="I622">
            <v>2489.1170000000002</v>
          </cell>
          <cell r="J622">
            <v>7121.0860000000002</v>
          </cell>
          <cell r="L622">
            <v>348967</v>
          </cell>
          <cell r="M622">
            <v>172977</v>
          </cell>
          <cell r="N622">
            <v>12.509</v>
          </cell>
          <cell r="AB622">
            <v>93.967800000000011</v>
          </cell>
          <cell r="BB622">
            <v>191899</v>
          </cell>
          <cell r="BC622">
            <v>115.9</v>
          </cell>
          <cell r="BD622" t="str">
            <v>NA</v>
          </cell>
          <cell r="BE622" t="str">
            <v>NA</v>
          </cell>
        </row>
        <row r="623">
          <cell r="B623">
            <v>9433.4830000000002</v>
          </cell>
          <cell r="C623">
            <v>1258.068</v>
          </cell>
          <cell r="D623">
            <v>2073.5590000000002</v>
          </cell>
          <cell r="E623">
            <v>6111.5330000000004</v>
          </cell>
          <cell r="G623">
            <v>10788.591</v>
          </cell>
          <cell r="H623">
            <v>1141.375</v>
          </cell>
          <cell r="I623">
            <v>2503.5080000000003</v>
          </cell>
          <cell r="J623">
            <v>7143.7089999999998</v>
          </cell>
          <cell r="L623">
            <v>349905</v>
          </cell>
          <cell r="M623">
            <v>172821</v>
          </cell>
          <cell r="N623">
            <v>12.429</v>
          </cell>
          <cell r="AB623">
            <v>94.010100000000008</v>
          </cell>
          <cell r="BB623">
            <v>191720</v>
          </cell>
          <cell r="BC623">
            <v>116.2</v>
          </cell>
          <cell r="BD623" t="str">
            <v>NA</v>
          </cell>
          <cell r="BE623" t="str">
            <v>NA</v>
          </cell>
        </row>
        <row r="624">
          <cell r="B624">
            <v>9477.8050000000003</v>
          </cell>
          <cell r="C624">
            <v>1290.537</v>
          </cell>
          <cell r="D624">
            <v>2083.846</v>
          </cell>
          <cell r="E624">
            <v>6119.1270000000004</v>
          </cell>
          <cell r="G624">
            <v>10857.313</v>
          </cell>
          <cell r="H624">
            <v>1166.1010000000001</v>
          </cell>
          <cell r="I624">
            <v>2530.837</v>
          </cell>
          <cell r="J624">
            <v>7160.375</v>
          </cell>
          <cell r="L624">
            <v>353826</v>
          </cell>
          <cell r="M624">
            <v>174251</v>
          </cell>
          <cell r="N624">
            <v>13.396000000000001</v>
          </cell>
          <cell r="AB624">
            <v>94.185100000000006</v>
          </cell>
          <cell r="BB624">
            <v>189941</v>
          </cell>
          <cell r="BC624">
            <v>116.4</v>
          </cell>
          <cell r="BD624" t="str">
            <v>NA</v>
          </cell>
          <cell r="BE624" t="str">
            <v>NA</v>
          </cell>
        </row>
        <row r="625">
          <cell r="B625" t="str">
            <v>NA</v>
          </cell>
          <cell r="C625" t="str">
            <v>NA</v>
          </cell>
          <cell r="D625" t="str">
            <v>NA</v>
          </cell>
          <cell r="E625" t="str">
            <v>NA</v>
          </cell>
          <cell r="G625" t="str">
            <v>NA</v>
          </cell>
          <cell r="H625" t="str">
            <v>NA</v>
          </cell>
          <cell r="I625" t="str">
            <v>NA</v>
          </cell>
          <cell r="J625" t="str">
            <v>NA</v>
          </cell>
          <cell r="L625" t="str">
            <v>NA</v>
          </cell>
          <cell r="M625" t="str">
            <v>NA</v>
          </cell>
          <cell r="N625">
            <v>13.556000000000001</v>
          </cell>
          <cell r="AB625" t="str">
            <v>NA</v>
          </cell>
          <cell r="BB625" t="str">
            <v>NA</v>
          </cell>
          <cell r="BC625" t="str">
            <v>NA</v>
          </cell>
          <cell r="BD625" t="str">
            <v>NA</v>
          </cell>
          <cell r="BE625" t="str">
            <v>NA</v>
          </cell>
        </row>
        <row r="626">
          <cell r="G626" t="str">
            <v>NA</v>
          </cell>
          <cell r="H626" t="str">
            <v>NA</v>
          </cell>
          <cell r="I626" t="str">
            <v>NA</v>
          </cell>
          <cell r="J626" t="str">
            <v>NA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kdaten"/>
      <sheetName val="m"/>
      <sheetName val="q"/>
      <sheetName val="y"/>
      <sheetName val="Abb - BIP"/>
      <sheetName val="Abb - VPI"/>
      <sheetName val="Abb - Sparquote"/>
      <sheetName val="Abb - Potential"/>
      <sheetName val="Abb - Defizit"/>
      <sheetName val="Nowcast"/>
    </sheetNames>
    <sheetDataSet>
      <sheetData sheetId="0"/>
      <sheetData sheetId="1"/>
      <sheetData sheetId="2">
        <row r="71">
          <cell r="AL71">
            <v>0.63</v>
          </cell>
          <cell r="AM71">
            <v>-1.76</v>
          </cell>
          <cell r="AN71">
            <v>-0.6</v>
          </cell>
          <cell r="AO71">
            <v>-0.02</v>
          </cell>
          <cell r="AP71">
            <v>7.0000000000000007E-2</v>
          </cell>
          <cell r="AQ71">
            <v>7.0000000000000007E-2</v>
          </cell>
          <cell r="AR71">
            <v>1.02</v>
          </cell>
          <cell r="AS71">
            <v>0.66</v>
          </cell>
          <cell r="AT71">
            <v>0.36</v>
          </cell>
          <cell r="AU71">
            <v>0.62</v>
          </cell>
          <cell r="AV71">
            <v>-0.02</v>
          </cell>
          <cell r="AW71">
            <v>-0.03</v>
          </cell>
          <cell r="AX71">
            <v>0.71</v>
          </cell>
          <cell r="AY71">
            <v>1.44</v>
          </cell>
          <cell r="AZ71">
            <v>0.39</v>
          </cell>
          <cell r="BA71">
            <v>0.63</v>
          </cell>
          <cell r="BB71">
            <v>1.31</v>
          </cell>
          <cell r="BC71">
            <v>-1.1000000000000001</v>
          </cell>
          <cell r="BD71">
            <v>-0.34</v>
          </cell>
          <cell r="BE71">
            <v>-0.37</v>
          </cell>
          <cell r="BF71">
            <v>0.08</v>
          </cell>
          <cell r="BG71">
            <v>0.15</v>
          </cell>
          <cell r="BH71">
            <v>0.08</v>
          </cell>
          <cell r="BI71">
            <v>-0.41000000000000003</v>
          </cell>
          <cell r="BJ71">
            <v>0.42</v>
          </cell>
          <cell r="BK71">
            <v>-1.47</v>
          </cell>
          <cell r="BL71">
            <v>-0.55000000000000004</v>
          </cell>
          <cell r="BM71">
            <v>-1.7</v>
          </cell>
          <cell r="BN71">
            <v>-0.43</v>
          </cell>
          <cell r="BO71">
            <v>1.57</v>
          </cell>
          <cell r="BP71">
            <v>0.77</v>
          </cell>
          <cell r="BQ71">
            <v>0.93</v>
          </cell>
          <cell r="BR71">
            <v>0.11</v>
          </cell>
          <cell r="BS71">
            <v>0.43</v>
          </cell>
          <cell r="BT71">
            <v>0.3</v>
          </cell>
          <cell r="BU71">
            <v>0.21</v>
          </cell>
          <cell r="BV71">
            <v>0.64</v>
          </cell>
          <cell r="BW71">
            <v>-0.19</v>
          </cell>
          <cell r="BX71">
            <v>-0.14000000000000001</v>
          </cell>
          <cell r="BY71">
            <v>-1.27</v>
          </cell>
          <cell r="BZ71">
            <v>0.03</v>
          </cell>
          <cell r="CA71">
            <v>-1.08</v>
          </cell>
          <cell r="CB71">
            <v>0.8</v>
          </cell>
          <cell r="CC71">
            <v>1.62</v>
          </cell>
          <cell r="CD71">
            <v>0.94000000000000006</v>
          </cell>
          <cell r="CE71">
            <v>1.8</v>
          </cell>
          <cell r="CF71">
            <v>0.97</v>
          </cell>
          <cell r="CG71">
            <v>0.79</v>
          </cell>
          <cell r="CH71">
            <v>1.43</v>
          </cell>
          <cell r="CI71">
            <v>0.45</v>
          </cell>
          <cell r="CJ71">
            <v>0.05</v>
          </cell>
          <cell r="CK71">
            <v>0.8</v>
          </cell>
          <cell r="CL71">
            <v>0.79</v>
          </cell>
          <cell r="CM71">
            <v>-1.19</v>
          </cell>
          <cell r="CN71">
            <v>-0.95000000000000007</v>
          </cell>
          <cell r="CO71">
            <v>-1.03</v>
          </cell>
          <cell r="CP71">
            <v>-1.5</v>
          </cell>
          <cell r="CQ71">
            <v>-0.83000000000000007</v>
          </cell>
          <cell r="CR71">
            <v>-0.59</v>
          </cell>
          <cell r="CS71">
            <v>-2.31</v>
          </cell>
          <cell r="CT71">
            <v>-0.94000000000000006</v>
          </cell>
          <cell r="CU71">
            <v>0.33</v>
          </cell>
          <cell r="CV71">
            <v>1.05</v>
          </cell>
          <cell r="CW71">
            <v>0.68</v>
          </cell>
          <cell r="CX71">
            <v>1.6400000000000001</v>
          </cell>
          <cell r="CY71">
            <v>0.49</v>
          </cell>
          <cell r="CZ71">
            <v>-0.28999999999999998</v>
          </cell>
          <cell r="DA71">
            <v>2.25</v>
          </cell>
          <cell r="DB71">
            <v>0.61</v>
          </cell>
          <cell r="DC71">
            <v>2.34</v>
          </cell>
          <cell r="DD71">
            <v>-7.0000000000000007E-2</v>
          </cell>
          <cell r="DE71">
            <v>-0.3</v>
          </cell>
          <cell r="DF71">
            <v>0.1</v>
          </cell>
          <cell r="DG71">
            <v>1.1100000000000001</v>
          </cell>
          <cell r="DH71">
            <v>0.32</v>
          </cell>
          <cell r="DI71">
            <v>-0.08</v>
          </cell>
          <cell r="DJ71">
            <v>-0.54</v>
          </cell>
          <cell r="DK71">
            <v>-0.42</v>
          </cell>
          <cell r="DL71">
            <v>-0.27</v>
          </cell>
          <cell r="DM71">
            <v>-0.84</v>
          </cell>
          <cell r="DN71">
            <v>-1.6500000000000001</v>
          </cell>
          <cell r="DO71">
            <v>-3.63</v>
          </cell>
          <cell r="DP71">
            <v>0.28000000000000003</v>
          </cell>
          <cell r="DQ71">
            <v>1.6400000000000001</v>
          </cell>
          <cell r="DR71">
            <v>-0.3</v>
          </cell>
          <cell r="DS71">
            <v>-0.57999999999999996</v>
          </cell>
          <cell r="DT71">
            <v>-1.28</v>
          </cell>
          <cell r="DU71">
            <v>-1.55</v>
          </cell>
          <cell r="DV71">
            <v>-0.79</v>
          </cell>
          <cell r="DW71">
            <v>-0.42</v>
          </cell>
          <cell r="DX71">
            <v>-0.04</v>
          </cell>
          <cell r="DY71">
            <v>0.92</v>
          </cell>
          <cell r="DZ71">
            <v>2.2800000000000002</v>
          </cell>
          <cell r="EA71">
            <v>1.84</v>
          </cell>
          <cell r="EB71">
            <v>1.68</v>
          </cell>
          <cell r="EC71">
            <v>0.77</v>
          </cell>
          <cell r="ED71">
            <v>0.52</v>
          </cell>
          <cell r="EE71">
            <v>0.35000000000000003</v>
          </cell>
          <cell r="EF71">
            <v>-0.17</v>
          </cell>
          <cell r="EG71">
            <v>0.02</v>
          </cell>
          <cell r="EH71">
            <v>-0.06</v>
          </cell>
          <cell r="EI71">
            <v>0.14000000000000001</v>
          </cell>
          <cell r="EJ71">
            <v>0.23</v>
          </cell>
          <cell r="EK71">
            <v>0.42</v>
          </cell>
          <cell r="EL71">
            <v>0.78</v>
          </cell>
          <cell r="EM71">
            <v>1.04</v>
          </cell>
          <cell r="EN71">
            <v>0.31</v>
          </cell>
          <cell r="EO71">
            <v>-0.04</v>
          </cell>
          <cell r="EP71">
            <v>-0.06</v>
          </cell>
          <cell r="EQ71">
            <v>0.09</v>
          </cell>
          <cell r="ER71">
            <v>-0.06</v>
          </cell>
          <cell r="ES71">
            <v>0.1</v>
          </cell>
          <cell r="ET71">
            <v>-0.42</v>
          </cell>
          <cell r="EU71">
            <v>0.15</v>
          </cell>
          <cell r="EV71">
            <v>0.01</v>
          </cell>
          <cell r="EW71">
            <v>0.16</v>
          </cell>
          <cell r="EX71">
            <v>-0.12</v>
          </cell>
          <cell r="EY71">
            <v>-0.54</v>
          </cell>
          <cell r="EZ71">
            <v>-0.19</v>
          </cell>
          <cell r="FA71">
            <v>-0.36</v>
          </cell>
          <cell r="FB71">
            <v>0.17</v>
          </cell>
          <cell r="FC71">
            <v>-0.64</v>
          </cell>
          <cell r="FD71">
            <v>-0.91</v>
          </cell>
          <cell r="FE71">
            <v>-0.83000000000000007</v>
          </cell>
          <cell r="FF71">
            <v>-0.84</v>
          </cell>
          <cell r="FG71">
            <v>0.31</v>
          </cell>
          <cell r="FH71">
            <v>0.56000000000000005</v>
          </cell>
          <cell r="FI71">
            <v>0.3</v>
          </cell>
          <cell r="FJ71">
            <v>0.72</v>
          </cell>
          <cell r="FK71">
            <v>0.56000000000000005</v>
          </cell>
          <cell r="FL71">
            <v>0.04</v>
          </cell>
          <cell r="FM71">
            <v>0.51</v>
          </cell>
          <cell r="FN71">
            <v>7.0000000000000007E-2</v>
          </cell>
          <cell r="FO71">
            <v>0.18</v>
          </cell>
          <cell r="FP71">
            <v>0.54</v>
          </cell>
          <cell r="FQ71">
            <v>0.82000000000000006</v>
          </cell>
          <cell r="FR71">
            <v>0.36</v>
          </cell>
          <cell r="FS71">
            <v>0.57000000000000006</v>
          </cell>
          <cell r="FT71">
            <v>-0.19</v>
          </cell>
          <cell r="FU71">
            <v>-0.23</v>
          </cell>
          <cell r="FV71">
            <v>-0.38</v>
          </cell>
          <cell r="FW71">
            <v>-0.52948517439037612</v>
          </cell>
          <cell r="FX71">
            <v>0.49431554419481216</v>
          </cell>
          <cell r="FY71">
            <v>0.36839586698595994</v>
          </cell>
          <cell r="FZ71">
            <v>0.43671142406307428</v>
          </cell>
          <cell r="GA71">
            <v>0.71279417118452759</v>
          </cell>
          <cell r="GB71">
            <v>-4.5123931807711237E-2</v>
          </cell>
          <cell r="GC71">
            <v>-0.17942080878303734</v>
          </cell>
          <cell r="GD71">
            <v>5.8088355649221768E-2</v>
          </cell>
          <cell r="GE71">
            <v>0.21038241073270125</v>
          </cell>
          <cell r="GF71">
            <v>7.7101723427053237E-2</v>
          </cell>
          <cell r="GG71">
            <v>0.17302360567732489</v>
          </cell>
          <cell r="GH71">
            <v>0.30136064369530313</v>
          </cell>
          <cell r="GI71">
            <v>0.51031318741598941</v>
          </cell>
          <cell r="GJ71">
            <v>0.52483102378029223</v>
          </cell>
          <cell r="GK71">
            <v>0.42995467485003047</v>
          </cell>
          <cell r="GL71">
            <v>0.10618599525127337</v>
          </cell>
          <cell r="GM71">
            <v>0.19581513324278266</v>
          </cell>
          <cell r="GN71">
            <v>0.15375771373806746</v>
          </cell>
          <cell r="GO71">
            <v>0.22245126185147512</v>
          </cell>
          <cell r="GP71">
            <v>0.14452484349689598</v>
          </cell>
          <cell r="GQ71">
            <v>-0.12610894557159025</v>
          </cell>
          <cell r="GR71">
            <v>-0.31931773054281187</v>
          </cell>
          <cell r="GS71">
            <v>1.5547948236305231E-2</v>
          </cell>
          <cell r="GT71">
            <v>8.0785897686763697E-2</v>
          </cell>
          <cell r="GU71">
            <v>0.25414077962542247</v>
          </cell>
          <cell r="GV71">
            <v>0.100627672511866</v>
          </cell>
          <cell r="GW71">
            <v>-0.15889399871050758</v>
          </cell>
          <cell r="GX71">
            <v>0.49482112251220123</v>
          </cell>
          <cell r="GY71">
            <v>0.46113785316990175</v>
          </cell>
          <cell r="GZ71">
            <v>0.10908652389973739</v>
          </cell>
          <cell r="HA71">
            <v>0.29634822263755467</v>
          </cell>
          <cell r="HB71">
            <v>0.18950091249958501</v>
          </cell>
          <cell r="HC71">
            <v>0.4562764873061953</v>
          </cell>
          <cell r="HD71">
            <v>1.0351873417776103</v>
          </cell>
          <cell r="HE71">
            <v>0.57579201681485781</v>
          </cell>
          <cell r="HF71">
            <v>0.1967861124853254</v>
          </cell>
          <cell r="HG71">
            <v>0.83561265906579862</v>
          </cell>
          <cell r="HH71">
            <v>0.23431671300953028</v>
          </cell>
          <cell r="HI71">
            <v>0.18416675516701453</v>
          </cell>
          <cell r="HJ71">
            <v>0.43111238987851852</v>
          </cell>
          <cell r="HK71">
            <v>0.55615789018765849</v>
          </cell>
          <cell r="HL71">
            <v>0.25146438225436274</v>
          </cell>
          <cell r="HM71">
            <v>6.3931770636793672E-3</v>
          </cell>
          <cell r="HN71">
            <v>-0.26641105835640833</v>
          </cell>
          <cell r="HO71">
            <v>-1.1185363445583296</v>
          </cell>
          <cell r="HP71">
            <v>-1.3483385138331805</v>
          </cell>
          <cell r="HQ71">
            <v>-1.1719030966501398</v>
          </cell>
          <cell r="HR71">
            <v>-0.90661784291898861</v>
          </cell>
          <cell r="HS71">
            <v>-0.61915442232032269</v>
          </cell>
          <cell r="HT71">
            <v>-1.2438795277563419</v>
          </cell>
          <cell r="HU71">
            <v>-1.4295876865553114</v>
          </cell>
          <cell r="HV71">
            <v>-1.2593452805257921</v>
          </cell>
          <cell r="HW71">
            <v>-0.5519239621926797</v>
          </cell>
          <cell r="HX71">
            <v>-0.73410524510657549</v>
          </cell>
          <cell r="HY71">
            <v>-1.2244167232107528</v>
          </cell>
          <cell r="HZ71">
            <v>-1.2046233226521097</v>
          </cell>
          <cell r="IA71">
            <v>-0.61104042520490065</v>
          </cell>
          <cell r="IB71">
            <v>0.40997808938805225</v>
          </cell>
          <cell r="IC71">
            <v>-9.9504282849927073E-2</v>
          </cell>
          <cell r="ID71">
            <v>-0.40601432271519799</v>
          </cell>
          <cell r="IE71">
            <v>0.49808141174618736</v>
          </cell>
          <cell r="IF71">
            <v>-0.75985378297505068</v>
          </cell>
          <cell r="IG71">
            <v>5.5882117682726218E-2</v>
          </cell>
          <cell r="IH71">
            <v>-5.5504021787189384E-2</v>
          </cell>
          <cell r="II71">
            <v>9.139120009398205E-2</v>
          </cell>
          <cell r="IJ71">
            <v>5.2197151032595812E-2</v>
          </cell>
        </row>
        <row r="72">
          <cell r="C72">
            <v>4.6396831504860678</v>
          </cell>
          <cell r="D72">
            <v>-4.8393348244659853</v>
          </cell>
          <cell r="E72">
            <v>-5.1520207960925815</v>
          </cell>
          <cell r="F72">
            <v>0.68386796369608516</v>
          </cell>
          <cell r="G72">
            <v>-5.9757490438511596</v>
          </cell>
          <cell r="H72">
            <v>6.605911833684071</v>
          </cell>
          <cell r="I72">
            <v>0.19919543095819048</v>
          </cell>
          <cell r="J72">
            <v>-1.0992291322741949</v>
          </cell>
          <cell r="K72">
            <v>-8.3503551806122178E-2</v>
          </cell>
          <cell r="L72">
            <v>-1.3921513367376894</v>
          </cell>
          <cell r="M72">
            <v>-3.8885261525529762</v>
          </cell>
          <cell r="N72">
            <v>0.58549684883086539</v>
          </cell>
          <cell r="O72">
            <v>-1.0054667164356323</v>
          </cell>
          <cell r="P72">
            <v>0.60601449797821871</v>
          </cell>
          <cell r="Q72">
            <v>1.4426800070763512</v>
          </cell>
          <cell r="R72">
            <v>3.9722865867932287</v>
          </cell>
          <cell r="S72">
            <v>1.4273770452356893</v>
          </cell>
          <cell r="T72">
            <v>-0.39808112045900512</v>
          </cell>
          <cell r="U72">
            <v>1.365685750593761</v>
          </cell>
          <cell r="V72">
            <v>-0.92749349962314653</v>
          </cell>
          <cell r="W72">
            <v>-1.1886539777144987</v>
          </cell>
          <cell r="X72">
            <v>-0.59223552979687932</v>
          </cell>
          <cell r="Y72">
            <v>-0.2242659282764094</v>
          </cell>
          <cell r="Z72">
            <v>-0.94982239339758046</v>
          </cell>
          <cell r="AA72">
            <v>0.50879472775912638</v>
          </cell>
          <cell r="AB72">
            <v>0.75877648685308363</v>
          </cell>
          <cell r="AC72">
            <v>-4.2681180792084845</v>
          </cell>
          <cell r="AD72">
            <v>-0.71806859847056614</v>
          </cell>
          <cell r="AE72">
            <v>0.2341048815922302</v>
          </cell>
          <cell r="AF72">
            <v>3.6093733424000534</v>
          </cell>
          <cell r="AG72">
            <v>1.8845656956935621</v>
          </cell>
          <cell r="AH72">
            <v>0.37144203336846182</v>
          </cell>
          <cell r="AI72">
            <v>3.5826788178919107</v>
          </cell>
          <cell r="AJ72">
            <v>-5.2145888405774503</v>
          </cell>
          <cell r="AK72">
            <v>2.8465144555335029</v>
          </cell>
          <cell r="AL72">
            <v>4.5909690486555181</v>
          </cell>
          <cell r="AM72">
            <v>-5.7066810495327491</v>
          </cell>
          <cell r="AN72">
            <v>1.1413022271703805</v>
          </cell>
          <cell r="AO72">
            <v>-7.0649479005568523</v>
          </cell>
          <cell r="AP72">
            <v>2.0969694380396628</v>
          </cell>
          <cell r="AQ72">
            <v>3.2960402392278301</v>
          </cell>
          <cell r="AR72">
            <v>3.4817442715892817</v>
          </cell>
          <cell r="AS72">
            <v>-0.6791854837813871</v>
          </cell>
          <cell r="AT72">
            <v>2.5047043854275337</v>
          </cell>
          <cell r="AU72">
            <v>-2.2253607097302797</v>
          </cell>
          <cell r="AV72">
            <v>0.64837487016748097</v>
          </cell>
          <cell r="AW72">
            <v>-1.7657123362008329</v>
          </cell>
          <cell r="AX72">
            <v>2.5927934366802505</v>
          </cell>
          <cell r="AY72">
            <v>-1.6562054941498547</v>
          </cell>
          <cell r="AZ72">
            <v>0.59593251842407913</v>
          </cell>
          <cell r="BA72">
            <v>-1.0358960612778607</v>
          </cell>
          <cell r="BB72">
            <v>0.43218358874921581</v>
          </cell>
          <cell r="BC72">
            <v>-7.7126450264066726E-2</v>
          </cell>
          <cell r="BD72">
            <v>0.54182210988378676</v>
          </cell>
          <cell r="BE72">
            <v>2.5913144734670435E-2</v>
          </cell>
          <cell r="BF72">
            <v>3.5723872093767404</v>
          </cell>
          <cell r="BG72">
            <v>-1.7294582100778171</v>
          </cell>
          <cell r="BH72">
            <v>0.75225531471188578</v>
          </cell>
          <cell r="BI72">
            <v>-0.94116540829750206</v>
          </cell>
          <cell r="BJ72">
            <v>3.3938614589958331</v>
          </cell>
          <cell r="BK72">
            <v>-0.40076235033092167</v>
          </cell>
          <cell r="BL72">
            <v>-0.6091435732766417</v>
          </cell>
          <cell r="BM72">
            <v>2.1811756353877674</v>
          </cell>
          <cell r="BN72">
            <v>-0.41845491542120228</v>
          </cell>
          <cell r="BO72">
            <v>-4.0982463892244194</v>
          </cell>
          <cell r="BP72">
            <v>1.1855087633127555</v>
          </cell>
          <cell r="BQ72">
            <v>-0.44490556255746272</v>
          </cell>
          <cell r="BR72">
            <v>4.0084647303639809E-3</v>
          </cell>
          <cell r="BS72">
            <v>2.874181634232623</v>
          </cell>
          <cell r="BT72">
            <v>-2.8796511090140919</v>
          </cell>
          <cell r="BU72">
            <v>-0.76657299556767022</v>
          </cell>
          <cell r="BV72">
            <v>2.2852741099568097</v>
          </cell>
          <cell r="BW72">
            <v>-0.76470160068406068</v>
          </cell>
          <cell r="BX72">
            <v>0.50420443508009882</v>
          </cell>
          <cell r="BY72">
            <v>-1.9254429637058545</v>
          </cell>
          <cell r="BZ72">
            <v>-1.6876841719803917</v>
          </cell>
          <cell r="CA72">
            <v>1.5156377575799209</v>
          </cell>
          <cell r="CB72">
            <v>5.858248569893032E-3</v>
          </cell>
          <cell r="CC72">
            <v>-3.496199084903032</v>
          </cell>
          <cell r="CD72">
            <v>6.2170738936180259</v>
          </cell>
          <cell r="CE72">
            <v>-0.49073863348287383</v>
          </cell>
          <cell r="CF72">
            <v>-0.29706197638911291</v>
          </cell>
          <cell r="CG72">
            <v>-3.6948070580414574</v>
          </cell>
          <cell r="CH72">
            <v>1.6230842512445687</v>
          </cell>
          <cell r="CI72">
            <v>2.9753093919131941</v>
          </cell>
          <cell r="CJ72">
            <v>0.3021508000517853</v>
          </cell>
          <cell r="CK72">
            <v>-2.5149811400823716</v>
          </cell>
          <cell r="CL72">
            <v>1.6897239688680994</v>
          </cell>
          <cell r="CM72">
            <v>2.8015714085663284</v>
          </cell>
          <cell r="CN72">
            <v>-2.4975412941196402</v>
          </cell>
          <cell r="CO72">
            <v>3.5054112914158875</v>
          </cell>
          <cell r="CP72">
            <v>-2.8420446484487036</v>
          </cell>
          <cell r="CQ72">
            <v>0.65140454879240273</v>
          </cell>
          <cell r="CR72">
            <v>-2.7846182770331236</v>
          </cell>
          <cell r="CS72">
            <v>4.0421074405079764</v>
          </cell>
          <cell r="CT72">
            <v>-8.1677122887934797</v>
          </cell>
          <cell r="CU72">
            <v>-1.2492067778022373</v>
          </cell>
          <cell r="CV72">
            <v>3.0680563939440733</v>
          </cell>
          <cell r="CW72">
            <v>0.58461559475423286</v>
          </cell>
          <cell r="CX72">
            <v>3.8430068077617809</v>
          </cell>
          <cell r="CY72">
            <v>1.786204594255397</v>
          </cell>
          <cell r="CZ72">
            <v>-0.47638173156748026</v>
          </cell>
          <cell r="DA72">
            <v>-2.6731760456128537</v>
          </cell>
          <cell r="DB72">
            <v>0.77372832687870741</v>
          </cell>
          <cell r="DC72">
            <v>1.5609669375111794</v>
          </cell>
          <cell r="DD72">
            <v>3.0371689482218951</v>
          </cell>
          <cell r="DE72">
            <v>-3.2580879357855745</v>
          </cell>
          <cell r="DF72">
            <v>0.99312966523077673</v>
          </cell>
          <cell r="DG72">
            <v>0.43071141095739129</v>
          </cell>
          <cell r="DH72">
            <v>0.40082524552558718</v>
          </cell>
          <cell r="DI72">
            <v>0.32944776492438144</v>
          </cell>
          <cell r="DJ72">
            <v>-0.5006617561834581</v>
          </cell>
          <cell r="DK72">
            <v>0.43158693152683492</v>
          </cell>
          <cell r="DL72">
            <v>-2.8022593306006836</v>
          </cell>
          <cell r="DM72">
            <v>-0.67118102322380668</v>
          </cell>
          <cell r="DN72">
            <v>0.55093383911518257</v>
          </cell>
          <cell r="DO72">
            <v>-0.30002397887983889</v>
          </cell>
          <cell r="DP72">
            <v>-5.958125139432056</v>
          </cell>
          <cell r="DQ72">
            <v>3.8122966797433029</v>
          </cell>
          <cell r="DR72">
            <v>6.3780836091917905</v>
          </cell>
          <cell r="DS72">
            <v>-4.034984567735064</v>
          </cell>
          <cell r="DT72">
            <v>4.3675299949785611</v>
          </cell>
          <cell r="DU72">
            <v>-2.6870486702639158</v>
          </cell>
          <cell r="DV72">
            <v>-5.4780577005714113</v>
          </cell>
          <cell r="DW72">
            <v>2.3543373844327995</v>
          </cell>
          <cell r="DX72">
            <v>1.1524591605062204</v>
          </cell>
          <cell r="DY72">
            <v>-5.4857120877429715</v>
          </cell>
          <cell r="DZ72">
            <v>0.93445594156665868</v>
          </cell>
          <cell r="EA72">
            <v>3.5093139205217216</v>
          </cell>
          <cell r="EB72">
            <v>0.60806067930220653</v>
          </cell>
          <cell r="EC72">
            <v>3.0883964172011118</v>
          </cell>
          <cell r="ED72">
            <v>5.077954232009021</v>
          </cell>
          <cell r="EE72">
            <v>-0.30536810036034101</v>
          </cell>
          <cell r="EF72">
            <v>0.21474866207958909</v>
          </cell>
          <cell r="EG72">
            <v>-2.502051050619686</v>
          </cell>
          <cell r="EH72">
            <v>-2.9351221173690498</v>
          </cell>
          <cell r="EI72">
            <v>0.34877741219538272</v>
          </cell>
          <cell r="EJ72">
            <v>-0.15304427305190571</v>
          </cell>
          <cell r="EK72">
            <v>1.4535410516264269</v>
          </cell>
          <cell r="EL72">
            <v>-0.16961097728174668</v>
          </cell>
          <cell r="EM72">
            <v>-1.3327125466022245</v>
          </cell>
          <cell r="EN72">
            <v>-1.6886894509041195</v>
          </cell>
          <cell r="EO72">
            <v>-0.28140756662691369</v>
          </cell>
          <cell r="EP72">
            <v>3.3347082791227995</v>
          </cell>
          <cell r="EQ72">
            <v>-0.98953323326117137</v>
          </cell>
          <cell r="ER72">
            <v>-1.2651007804002905</v>
          </cell>
          <cell r="ES72">
            <v>5.0943639352577383</v>
          </cell>
          <cell r="ET72">
            <v>-3.7972859587973846</v>
          </cell>
          <cell r="EU72">
            <v>0.33720216825098714</v>
          </cell>
          <cell r="EV72">
            <v>0.16293134393193731</v>
          </cell>
          <cell r="EW72">
            <v>0.24779231688383707</v>
          </cell>
          <cell r="EX72">
            <v>1.8360258770379327</v>
          </cell>
          <cell r="EY72">
            <v>-0.86128602557898437</v>
          </cell>
          <cell r="EZ72">
            <v>-1.8309197727363282</v>
          </cell>
          <cell r="FA72">
            <v>0.36653773680020918</v>
          </cell>
          <cell r="FB72">
            <v>-0.12667503700784322</v>
          </cell>
          <cell r="FC72">
            <v>1.4403796212858968</v>
          </cell>
          <cell r="FD72">
            <v>-0.75496718552964748</v>
          </cell>
          <cell r="FE72">
            <v>-2.0310909283507184</v>
          </cell>
          <cell r="FF72">
            <v>-0.26036602876323167</v>
          </cell>
          <cell r="FG72">
            <v>-0.12346159331209444</v>
          </cell>
          <cell r="FH72">
            <v>1.1663171613943784</v>
          </cell>
          <cell r="FI72">
            <v>1.9482345634101745</v>
          </cell>
          <cell r="FJ72">
            <v>-1.7763096752564371</v>
          </cell>
          <cell r="FK72">
            <v>1.4081552800027883</v>
          </cell>
          <cell r="FL72">
            <v>-0.21810528523848727</v>
          </cell>
          <cell r="FM72">
            <v>0.11235980203388674</v>
          </cell>
          <cell r="FN72">
            <v>1.0492758196054226</v>
          </cell>
          <cell r="FO72">
            <v>-0.72637975473695926</v>
          </cell>
          <cell r="FP72">
            <v>-0.99936952099272025</v>
          </cell>
          <cell r="FQ72">
            <v>0.50965696956075224</v>
          </cell>
          <cell r="FR72">
            <v>1.7524072304472078</v>
          </cell>
          <cell r="FS72">
            <v>2.1454830725885934</v>
          </cell>
          <cell r="FT72">
            <v>-1.6903148516041417</v>
          </cell>
          <cell r="FU72">
            <v>1.3166416865203725</v>
          </cell>
          <cell r="FV72">
            <v>-0.61365901347609642</v>
          </cell>
          <cell r="FW72">
            <v>-1.4779868725142973</v>
          </cell>
          <cell r="FX72">
            <v>-1.378781765059518</v>
          </cell>
          <cell r="FY72">
            <v>0.44257990426556937</v>
          </cell>
          <cell r="FZ72">
            <v>-0.75211557272169927</v>
          </cell>
          <cell r="GA72">
            <v>1.1951072594147307</v>
          </cell>
          <cell r="GB72">
            <v>1.7134420898955902</v>
          </cell>
          <cell r="GC72">
            <v>-1.2148686570849319</v>
          </cell>
          <cell r="GD72">
            <v>0.25148064779696</v>
          </cell>
          <cell r="GE72">
            <v>2.7979256462445585</v>
          </cell>
          <cell r="GF72">
            <v>-1.22658806047734</v>
          </cell>
          <cell r="GG72">
            <v>0.51921296413244145</v>
          </cell>
          <cell r="GH72">
            <v>1.3024317843144622</v>
          </cell>
          <cell r="GI72">
            <v>-3.0674955961573573</v>
          </cell>
          <cell r="GJ72">
            <v>0.71282057664690113</v>
          </cell>
          <cell r="GK72">
            <v>0.21814100386084689</v>
          </cell>
          <cell r="GL72">
            <v>0.95140378564819583</v>
          </cell>
          <cell r="GM72">
            <v>-1.8283210277369004</v>
          </cell>
          <cell r="GN72">
            <v>0.17639281148162889</v>
          </cell>
          <cell r="GO72">
            <v>2.1485625983539407</v>
          </cell>
          <cell r="GP72">
            <v>-2.9682971942745633</v>
          </cell>
          <cell r="GQ72">
            <v>3.1529415348364163</v>
          </cell>
          <cell r="GR72">
            <v>-1.3780236642525323</v>
          </cell>
          <cell r="GS72">
            <v>-0.17878989903987</v>
          </cell>
          <cell r="GT72">
            <v>-3.3280682473073142</v>
          </cell>
          <cell r="GU72">
            <v>0.86182737724403791</v>
          </cell>
          <cell r="GV72">
            <v>-0.66683237056913347</v>
          </cell>
          <cell r="GW72">
            <v>-2.0482968242108468</v>
          </cell>
          <cell r="GX72">
            <v>2.6545860986203622</v>
          </cell>
          <cell r="GY72">
            <v>1.0300972608220549</v>
          </cell>
          <cell r="GZ72">
            <v>0.25072720081982747</v>
          </cell>
          <cell r="HA72">
            <v>0.43663866932299289</v>
          </cell>
          <cell r="HB72">
            <v>-4.6418315761001749E-2</v>
          </cell>
          <cell r="HC72">
            <v>-1.2082444124504266</v>
          </cell>
          <cell r="HD72">
            <v>0.2835167046637066</v>
          </cell>
          <cell r="HE72">
            <v>1.1970317065450153</v>
          </cell>
          <cell r="HF72">
            <v>0.48800211282089739</v>
          </cell>
          <cell r="HG72">
            <v>0.88641645687555082</v>
          </cell>
          <cell r="HH72">
            <v>-0.47431141171884339</v>
          </cell>
          <cell r="HI72">
            <v>0.29296287199010917</v>
          </cell>
          <cell r="HJ72">
            <v>0.65225860352256992</v>
          </cell>
          <cell r="HK72">
            <v>-2.407847251011785</v>
          </cell>
          <cell r="HL72">
            <v>-9.6437422007247586E-2</v>
          </cell>
          <cell r="HM72">
            <v>2.2096447981799554</v>
          </cell>
          <cell r="HN72">
            <v>-0.49545663129799822</v>
          </cell>
          <cell r="HO72">
            <v>0.20030576037883524</v>
          </cell>
          <cell r="HP72">
            <v>-0.13126935380474636</v>
          </cell>
          <cell r="HQ72">
            <v>-1.0720396340382048</v>
          </cell>
          <cell r="HR72">
            <v>-0.48968916245879635</v>
          </cell>
          <cell r="HS72">
            <v>0.910688222465589</v>
          </cell>
          <cell r="HT72">
            <v>-0.28336592104713321</v>
          </cell>
          <cell r="HU72">
            <v>-0.77208895141717759</v>
          </cell>
          <cell r="HV72">
            <v>-0.65507525266958444</v>
          </cell>
          <cell r="HW72">
            <v>-0.11915951379384748</v>
          </cell>
          <cell r="HX72">
            <v>-0.68247564045813203</v>
          </cell>
          <cell r="HY72">
            <v>-1.4563552808150257</v>
          </cell>
          <cell r="HZ72">
            <v>-2.5800048825056683</v>
          </cell>
          <cell r="IA72">
            <v>-0.52179498705839222</v>
          </cell>
          <cell r="IB72">
            <v>0.24459759776879841</v>
          </cell>
          <cell r="IC72">
            <v>3.944351421387926</v>
          </cell>
          <cell r="ID72">
            <v>3.0895400574339829</v>
          </cell>
          <cell r="IE72">
            <v>0.7888668866340125</v>
          </cell>
          <cell r="IF72">
            <v>0.85190222275673322</v>
          </cell>
          <cell r="IG72">
            <v>-1.7958630351403264</v>
          </cell>
          <cell r="IH72">
            <v>0.31246515097603789</v>
          </cell>
          <cell r="II72">
            <v>-0.28134471744206691</v>
          </cell>
          <cell r="IJ72">
            <v>-1.0658553570051537</v>
          </cell>
        </row>
        <row r="101">
          <cell r="N101">
            <v>1.1666666666666667</v>
          </cell>
          <cell r="O101">
            <v>0.79999999999999993</v>
          </cell>
          <cell r="P101">
            <v>1.0266666666666666</v>
          </cell>
          <cell r="Q101">
            <v>0.98666666666666669</v>
          </cell>
          <cell r="R101">
            <v>1.3433333333333335</v>
          </cell>
          <cell r="S101">
            <v>1.5</v>
          </cell>
          <cell r="T101">
            <v>1.9400000000000002</v>
          </cell>
          <cell r="U101">
            <v>2.3566666666666669</v>
          </cell>
          <cell r="V101">
            <v>2.4833333333333334</v>
          </cell>
          <cell r="W101">
            <v>2.6933333333333334</v>
          </cell>
          <cell r="X101">
            <v>2.81</v>
          </cell>
          <cell r="Y101">
            <v>2.9266666666666663</v>
          </cell>
          <cell r="Z101">
            <v>2.9333333333333336</v>
          </cell>
          <cell r="AA101">
            <v>3</v>
          </cell>
          <cell r="AB101">
            <v>3.2333333333333338</v>
          </cell>
          <cell r="AC101">
            <v>3.2533333333333334</v>
          </cell>
          <cell r="AD101">
            <v>1.8633333333333335</v>
          </cell>
          <cell r="AE101">
            <v>0.94000000000000006</v>
          </cell>
          <cell r="AF101">
            <v>1.3233333333333333</v>
          </cell>
          <cell r="AG101">
            <v>2.1633333333333336</v>
          </cell>
          <cell r="AH101">
            <v>2.5700000000000003</v>
          </cell>
          <cell r="AI101">
            <v>3.0833333333333335</v>
          </cell>
          <cell r="AJ101">
            <v>3.5766666666666667</v>
          </cell>
          <cell r="AK101">
            <v>3.99</v>
          </cell>
          <cell r="AL101">
            <v>3.9333333333333336</v>
          </cell>
          <cell r="AM101">
            <v>3.6966666666666668</v>
          </cell>
          <cell r="AN101">
            <v>2.936666666666667</v>
          </cell>
          <cell r="AO101">
            <v>2.2966666666666669</v>
          </cell>
          <cell r="AP101">
            <v>2.0033333333333334</v>
          </cell>
          <cell r="AQ101">
            <v>1.7333333333333332</v>
          </cell>
          <cell r="AR101">
            <v>1.6833333333333333</v>
          </cell>
          <cell r="AS101">
            <v>2.4</v>
          </cell>
          <cell r="AT101">
            <v>2.4566666666666666</v>
          </cell>
          <cell r="AU101">
            <v>2.6066666666666669</v>
          </cell>
          <cell r="AV101">
            <v>2.8466666666666671</v>
          </cell>
          <cell r="AW101">
            <v>2.9233333333333333</v>
          </cell>
          <cell r="AX101">
            <v>2.9666666666666668</v>
          </cell>
          <cell r="AY101">
            <v>2.9633333333333334</v>
          </cell>
          <cell r="AZ101">
            <v>3.33</v>
          </cell>
          <cell r="BA101">
            <v>3.4533333333333331</v>
          </cell>
          <cell r="BB101">
            <v>3.4633333333333334</v>
          </cell>
          <cell r="BC101">
            <v>3.49</v>
          </cell>
          <cell r="BD101">
            <v>3.456666666666667</v>
          </cell>
          <cell r="BE101">
            <v>3.5766666666666667</v>
          </cell>
          <cell r="BF101">
            <v>3.9733333333333332</v>
          </cell>
          <cell r="BG101">
            <v>4.0766666666666671</v>
          </cell>
          <cell r="BH101">
            <v>4.0733333333333333</v>
          </cell>
          <cell r="BI101">
            <v>4.166666666666667</v>
          </cell>
          <cell r="BJ101">
            <v>4.5566666666666666</v>
          </cell>
          <cell r="BK101">
            <v>4.9133333333333331</v>
          </cell>
          <cell r="BL101">
            <v>5.41</v>
          </cell>
          <cell r="BM101">
            <v>5.5633333333333326</v>
          </cell>
          <cell r="BN101">
            <v>4.8233333333333341</v>
          </cell>
          <cell r="BO101">
            <v>3.99</v>
          </cell>
          <cell r="BP101">
            <v>3.8933333333333331</v>
          </cell>
          <cell r="BQ101">
            <v>4.1733333333333329</v>
          </cell>
          <cell r="BR101">
            <v>4.7866666666666662</v>
          </cell>
          <cell r="BS101">
            <v>5.98</v>
          </cell>
          <cell r="BT101">
            <v>5.9433333333333342</v>
          </cell>
          <cell r="BU101">
            <v>5.916666666666667</v>
          </cell>
          <cell r="BV101">
            <v>6.5666666666666664</v>
          </cell>
          <cell r="BW101">
            <v>8.3266666666666662</v>
          </cell>
          <cell r="BX101">
            <v>8.9833333333333325</v>
          </cell>
          <cell r="BY101">
            <v>8.94</v>
          </cell>
          <cell r="BZ101">
            <v>8.5733333333333324</v>
          </cell>
          <cell r="CA101">
            <v>7.88</v>
          </cell>
          <cell r="CB101">
            <v>6.7033333333333331</v>
          </cell>
          <cell r="CC101">
            <v>5.5666666666666673</v>
          </cell>
          <cell r="CD101">
            <v>3.8566666666666669</v>
          </cell>
          <cell r="CE101">
            <v>4.5633333333333335</v>
          </cell>
          <cell r="CF101">
            <v>5.4733333333333336</v>
          </cell>
          <cell r="CG101">
            <v>4.75</v>
          </cell>
          <cell r="CH101">
            <v>3.5400000000000005</v>
          </cell>
          <cell r="CI101">
            <v>4.3000000000000007</v>
          </cell>
          <cell r="CJ101">
            <v>4.7399999999999993</v>
          </cell>
          <cell r="CK101">
            <v>5.1433333333333335</v>
          </cell>
          <cell r="CL101">
            <v>6.5366666666666662</v>
          </cell>
          <cell r="CM101">
            <v>7.8166666666666673</v>
          </cell>
          <cell r="CN101">
            <v>10.56</v>
          </cell>
          <cell r="CO101">
            <v>9.9966666666666679</v>
          </cell>
          <cell r="CP101">
            <v>9.3233333333333324</v>
          </cell>
          <cell r="CQ101">
            <v>11.25</v>
          </cell>
          <cell r="CR101">
            <v>12.089999999999998</v>
          </cell>
          <cell r="CS101">
            <v>9.3466666666666658</v>
          </cell>
          <cell r="CT101">
            <v>6.3033333333333337</v>
          </cell>
          <cell r="CU101">
            <v>5.4200000000000008</v>
          </cell>
          <cell r="CV101">
            <v>6.160000000000001</v>
          </cell>
          <cell r="CW101">
            <v>5.4133333333333331</v>
          </cell>
          <cell r="CX101">
            <v>4.8266666666666671</v>
          </cell>
          <cell r="CY101">
            <v>5.1966666666666663</v>
          </cell>
          <cell r="CZ101">
            <v>5.2833333333333341</v>
          </cell>
          <cell r="DA101">
            <v>4.873333333333334</v>
          </cell>
          <cell r="DB101">
            <v>4.66</v>
          </cell>
          <cell r="DC101">
            <v>5.1566666666666672</v>
          </cell>
          <cell r="DD101">
            <v>5.82</v>
          </cell>
          <cell r="DE101">
            <v>6.5133333333333328</v>
          </cell>
          <cell r="DF101">
            <v>6.7566666666666668</v>
          </cell>
          <cell r="DG101">
            <v>7.2833333333333341</v>
          </cell>
          <cell r="DH101">
            <v>8.1</v>
          </cell>
          <cell r="DI101">
            <v>9.5833333333333339</v>
          </cell>
          <cell r="DJ101">
            <v>10.073333333333334</v>
          </cell>
          <cell r="DK101">
            <v>10.18</v>
          </cell>
          <cell r="DL101">
            <v>10.946666666666667</v>
          </cell>
          <cell r="DM101">
            <v>13.576666666666668</v>
          </cell>
          <cell r="DN101">
            <v>15.046666666666667</v>
          </cell>
          <cell r="DO101">
            <v>12.686666666666667</v>
          </cell>
          <cell r="DP101">
            <v>9.8366666666666678</v>
          </cell>
          <cell r="DQ101">
            <v>15.853333333333333</v>
          </cell>
          <cell r="DR101">
            <v>16.570000000000004</v>
          </cell>
          <cell r="DS101">
            <v>17.78</v>
          </cell>
          <cell r="DT101">
            <v>17.576666666666668</v>
          </cell>
          <cell r="DU101">
            <v>13.586666666666668</v>
          </cell>
          <cell r="DV101">
            <v>14.226666666666667</v>
          </cell>
          <cell r="DW101">
            <v>14.513333333333334</v>
          </cell>
          <cell r="DX101">
            <v>11.006666666666668</v>
          </cell>
          <cell r="DY101">
            <v>9.2866666666666688</v>
          </cell>
          <cell r="DZ101">
            <v>8.6533333333333324</v>
          </cell>
          <cell r="EA101">
            <v>8.8033333333333328</v>
          </cell>
          <cell r="EB101">
            <v>9.4600000000000009</v>
          </cell>
          <cell r="EC101">
            <v>9.43</v>
          </cell>
          <cell r="ED101">
            <v>9.6866666666666656</v>
          </cell>
          <cell r="EE101">
            <v>10.556666666666667</v>
          </cell>
          <cell r="EF101">
            <v>11.39</v>
          </cell>
          <cell r="EG101">
            <v>9.2666666666666675</v>
          </cell>
          <cell r="EH101">
            <v>8.4766666666666666</v>
          </cell>
          <cell r="EI101">
            <v>7.9233333333333329</v>
          </cell>
          <cell r="EJ101">
            <v>7.9000000000000012</v>
          </cell>
          <cell r="EK101">
            <v>8.1033333333333335</v>
          </cell>
          <cell r="EL101">
            <v>7.8266666666666671</v>
          </cell>
          <cell r="EM101">
            <v>6.919999999999999</v>
          </cell>
          <cell r="EN101">
            <v>6.206666666666667</v>
          </cell>
          <cell r="EO101">
            <v>6.2666666666666666</v>
          </cell>
          <cell r="EP101">
            <v>6.22</v>
          </cell>
          <cell r="EQ101">
            <v>6.6500000000000012</v>
          </cell>
          <cell r="ER101">
            <v>6.8433333333333337</v>
          </cell>
          <cell r="ES101">
            <v>6.916666666666667</v>
          </cell>
          <cell r="ET101">
            <v>6.663333333333334</v>
          </cell>
          <cell r="EU101">
            <v>7.1566666666666663</v>
          </cell>
          <cell r="EV101">
            <v>7.9833333333333334</v>
          </cell>
          <cell r="EW101">
            <v>8.4699999999999989</v>
          </cell>
          <cell r="EX101">
            <v>9.4433333333333334</v>
          </cell>
          <cell r="EY101">
            <v>9.7266666666666666</v>
          </cell>
          <cell r="EZ101">
            <v>9.0833333333333339</v>
          </cell>
          <cell r="FA101">
            <v>8.6133333333333333</v>
          </cell>
          <cell r="FB101">
            <v>8.25</v>
          </cell>
          <cell r="FC101">
            <v>8.2433333333333323</v>
          </cell>
          <cell r="FD101">
            <v>8.16</v>
          </cell>
          <cell r="FE101">
            <v>7.7433333333333332</v>
          </cell>
          <cell r="FF101">
            <v>6.4266666666666667</v>
          </cell>
          <cell r="FG101">
            <v>5.8633333333333342</v>
          </cell>
          <cell r="FH101">
            <v>5.6433333333333335</v>
          </cell>
          <cell r="FI101">
            <v>4.8166666666666664</v>
          </cell>
          <cell r="FJ101">
            <v>4.0233333333333334</v>
          </cell>
          <cell r="FK101">
            <v>3.77</v>
          </cell>
          <cell r="FL101">
            <v>3.2566666666666673</v>
          </cell>
          <cell r="FM101">
            <v>3.0366666666666666</v>
          </cell>
          <cell r="FN101">
            <v>3.0400000000000005</v>
          </cell>
          <cell r="FO101">
            <v>3</v>
          </cell>
          <cell r="FP101">
            <v>3.06</v>
          </cell>
          <cell r="FQ101">
            <v>2.9899999999999998</v>
          </cell>
          <cell r="FR101">
            <v>3.2133333333333334</v>
          </cell>
          <cell r="FS101">
            <v>3.94</v>
          </cell>
          <cell r="FT101">
            <v>4.4866666666666672</v>
          </cell>
          <cell r="FU101">
            <v>5.166666666666667</v>
          </cell>
          <cell r="FV101">
            <v>5.81</v>
          </cell>
          <cell r="FW101">
            <v>6.02</v>
          </cell>
          <cell r="FX101">
            <v>5.7966666666666669</v>
          </cell>
          <cell r="FY101">
            <v>5.72</v>
          </cell>
          <cell r="FZ101">
            <v>5.3633333333333342</v>
          </cell>
          <cell r="GA101">
            <v>5.2433333333333332</v>
          </cell>
          <cell r="GB101">
            <v>5.3066666666666675</v>
          </cell>
          <cell r="GC101">
            <v>5.28</v>
          </cell>
          <cell r="GD101">
            <v>5.2766666666666673</v>
          </cell>
          <cell r="GE101">
            <v>5.5233333333333334</v>
          </cell>
          <cell r="GF101">
            <v>5.5333333333333341</v>
          </cell>
          <cell r="GG101">
            <v>5.5066666666666668</v>
          </cell>
          <cell r="GH101">
            <v>5.5200000000000005</v>
          </cell>
          <cell r="GI101">
            <v>5.5</v>
          </cell>
          <cell r="GJ101">
            <v>5.5333333333333341</v>
          </cell>
          <cell r="GK101">
            <v>4.8600000000000003</v>
          </cell>
          <cell r="GL101">
            <v>4.7333333333333334</v>
          </cell>
          <cell r="GM101">
            <v>4.746666666666667</v>
          </cell>
          <cell r="GN101">
            <v>5.0933333333333337</v>
          </cell>
          <cell r="GO101">
            <v>5.3066666666666675</v>
          </cell>
          <cell r="GP101">
            <v>5.6766666666666667</v>
          </cell>
          <cell r="GQ101">
            <v>6.2733333333333334</v>
          </cell>
          <cell r="GR101">
            <v>6.52</v>
          </cell>
          <cell r="GS101">
            <v>6.4733333333333336</v>
          </cell>
          <cell r="GT101">
            <v>5.5933333333333337</v>
          </cell>
          <cell r="GU101">
            <v>4.3266666666666671</v>
          </cell>
          <cell r="GV101">
            <v>3.4966666666666666</v>
          </cell>
          <cell r="GW101">
            <v>2.1333333333333333</v>
          </cell>
          <cell r="GX101">
            <v>1.7333333333333332</v>
          </cell>
          <cell r="GY101">
            <v>1.75</v>
          </cell>
          <cell r="GZ101">
            <v>1.74</v>
          </cell>
          <cell r="HA101">
            <v>1.4433333333333334</v>
          </cell>
          <cell r="HB101">
            <v>1.25</v>
          </cell>
          <cell r="HC101">
            <v>1.2466666666666668</v>
          </cell>
          <cell r="HD101">
            <v>1.0166666666666666</v>
          </cell>
          <cell r="HE101">
            <v>0.99666666666666659</v>
          </cell>
          <cell r="HF101">
            <v>1.0033333333333332</v>
          </cell>
          <cell r="HG101">
            <v>1.01</v>
          </cell>
          <cell r="HH101">
            <v>1.4333333333333333</v>
          </cell>
          <cell r="HI101">
            <v>1.95</v>
          </cell>
          <cell r="HJ101">
            <v>2.4700000000000002</v>
          </cell>
          <cell r="HK101">
            <v>2.9433333333333334</v>
          </cell>
          <cell r="HL101">
            <v>3.4599999999999995</v>
          </cell>
          <cell r="HM101">
            <v>3.9800000000000004</v>
          </cell>
          <cell r="HN101">
            <v>4.456666666666667</v>
          </cell>
          <cell r="HO101">
            <v>4.9066666666666672</v>
          </cell>
          <cell r="HP101">
            <v>5.246666666666667</v>
          </cell>
          <cell r="HQ101">
            <v>5.246666666666667</v>
          </cell>
          <cell r="HR101">
            <v>5.2566666666666668</v>
          </cell>
          <cell r="HS101">
            <v>5.25</v>
          </cell>
          <cell r="HT101">
            <v>5.0733333333333341</v>
          </cell>
          <cell r="HU101">
            <v>4.496666666666667</v>
          </cell>
          <cell r="HV101">
            <v>3.1766666666666663</v>
          </cell>
          <cell r="HW101">
            <v>2.0866666666666664</v>
          </cell>
          <cell r="HX101">
            <v>1.9400000000000002</v>
          </cell>
          <cell r="HY101">
            <v>0.5066666666666666</v>
          </cell>
          <cell r="HZ101">
            <v>0.18333333333333335</v>
          </cell>
          <cell r="IA101">
            <v>0.17999999999999997</v>
          </cell>
          <cell r="IB101">
            <v>0.15666666666666665</v>
          </cell>
          <cell r="IC101">
            <v>0.12</v>
          </cell>
          <cell r="ID101">
            <v>0.13333333333333333</v>
          </cell>
          <cell r="IE101">
            <v>0.19333333333333336</v>
          </cell>
          <cell r="IF101">
            <v>0.18666666666666668</v>
          </cell>
          <cell r="IG101">
            <v>0.18666666666666668</v>
          </cell>
          <cell r="IH101">
            <v>0.15666666666666668</v>
          </cell>
          <cell r="II101">
            <v>9.3333333333333338E-2</v>
          </cell>
          <cell r="IJ101">
            <v>7.0000000000000007E-2</v>
          </cell>
        </row>
        <row r="102">
          <cell r="N102">
            <v>1.1666666666666667</v>
          </cell>
          <cell r="O102">
            <v>0.79999999999999993</v>
          </cell>
          <cell r="P102">
            <v>1.0266666666666666</v>
          </cell>
          <cell r="Q102">
            <v>0.98666666666666669</v>
          </cell>
          <cell r="R102">
            <v>1.3433333333333335</v>
          </cell>
          <cell r="S102">
            <v>1.5</v>
          </cell>
          <cell r="T102">
            <v>1.9400000000000002</v>
          </cell>
          <cell r="U102">
            <v>2.3566666666666669</v>
          </cell>
          <cell r="V102">
            <v>2.4833333333333334</v>
          </cell>
          <cell r="W102">
            <v>2.6933333333333334</v>
          </cell>
          <cell r="X102">
            <v>2.81</v>
          </cell>
          <cell r="Y102">
            <v>2.9266666666666663</v>
          </cell>
          <cell r="Z102">
            <v>2.9333333333333336</v>
          </cell>
          <cell r="AA102">
            <v>3</v>
          </cell>
          <cell r="AB102">
            <v>3.2333333333333338</v>
          </cell>
          <cell r="AC102">
            <v>3.2533333333333334</v>
          </cell>
          <cell r="AD102">
            <v>1.8633333333333335</v>
          </cell>
          <cell r="AE102">
            <v>0.94000000000000006</v>
          </cell>
          <cell r="AF102">
            <v>1.3233333333333333</v>
          </cell>
          <cell r="AG102">
            <v>2.1633333333333336</v>
          </cell>
          <cell r="AH102">
            <v>2.5700000000000003</v>
          </cell>
          <cell r="AI102">
            <v>3.0833333333333335</v>
          </cell>
          <cell r="AJ102">
            <v>3.5766666666666667</v>
          </cell>
          <cell r="AK102">
            <v>3.99</v>
          </cell>
          <cell r="AL102">
            <v>3.9333333333333336</v>
          </cell>
          <cell r="AM102">
            <v>3.6966666666666668</v>
          </cell>
          <cell r="AN102">
            <v>2.936666666666667</v>
          </cell>
          <cell r="AO102">
            <v>2.2966666666666669</v>
          </cell>
          <cell r="AP102">
            <v>2.0033333333333334</v>
          </cell>
          <cell r="AQ102">
            <v>1.7333333333333332</v>
          </cell>
          <cell r="AR102">
            <v>1.6833333333333333</v>
          </cell>
          <cell r="AS102">
            <v>2.4</v>
          </cell>
          <cell r="AT102">
            <v>2.4566666666666666</v>
          </cell>
          <cell r="AU102">
            <v>2.6066666666666669</v>
          </cell>
          <cell r="AV102">
            <v>2.8466666666666671</v>
          </cell>
          <cell r="AW102">
            <v>2.9233333333333333</v>
          </cell>
          <cell r="AX102">
            <v>2.9666666666666668</v>
          </cell>
          <cell r="AY102">
            <v>2.9633333333333334</v>
          </cell>
          <cell r="AZ102">
            <v>3.33</v>
          </cell>
          <cell r="BA102">
            <v>3.4533333333333331</v>
          </cell>
          <cell r="BB102">
            <v>3.4633333333333334</v>
          </cell>
          <cell r="BC102">
            <v>3.49</v>
          </cell>
          <cell r="BD102">
            <v>3.456666666666667</v>
          </cell>
          <cell r="BE102">
            <v>3.5766666666666667</v>
          </cell>
          <cell r="BF102">
            <v>3.9733333333333332</v>
          </cell>
          <cell r="BG102">
            <v>4.0766666666666671</v>
          </cell>
          <cell r="BH102">
            <v>4.0733333333333333</v>
          </cell>
          <cell r="BI102">
            <v>4.166666666666667</v>
          </cell>
          <cell r="BJ102">
            <v>4.5566666666666666</v>
          </cell>
          <cell r="BK102">
            <v>4.9133333333333331</v>
          </cell>
          <cell r="BL102">
            <v>5.41</v>
          </cell>
          <cell r="BM102">
            <v>5.5633333333333326</v>
          </cell>
          <cell r="BN102">
            <v>4.8233333333333341</v>
          </cell>
          <cell r="BO102">
            <v>3.99</v>
          </cell>
          <cell r="BP102">
            <v>3.8933333333333331</v>
          </cell>
          <cell r="BQ102">
            <v>4.1733333333333329</v>
          </cell>
          <cell r="BR102">
            <v>4.7866666666666662</v>
          </cell>
          <cell r="BS102">
            <v>5.98</v>
          </cell>
          <cell r="BT102">
            <v>5.9433333333333342</v>
          </cell>
          <cell r="BU102">
            <v>5.916666666666667</v>
          </cell>
          <cell r="BV102">
            <v>6.5666666666666664</v>
          </cell>
          <cell r="BW102">
            <v>8.3266666666666662</v>
          </cell>
          <cell r="BX102">
            <v>8.9833333333333325</v>
          </cell>
          <cell r="BY102">
            <v>8.94</v>
          </cell>
          <cell r="BZ102">
            <v>8.5733333333333324</v>
          </cell>
          <cell r="CA102">
            <v>7.88</v>
          </cell>
          <cell r="CB102">
            <v>6.7033333333333331</v>
          </cell>
          <cell r="CC102">
            <v>5.5666666666666673</v>
          </cell>
          <cell r="CD102">
            <v>3.8566666666666669</v>
          </cell>
          <cell r="CE102">
            <v>4.5633333333333335</v>
          </cell>
          <cell r="CF102">
            <v>5.4733333333333336</v>
          </cell>
          <cell r="CG102">
            <v>4.75</v>
          </cell>
          <cell r="CH102">
            <v>3.436666666666667</v>
          </cell>
          <cell r="CI102">
            <v>3.77</v>
          </cell>
          <cell r="CJ102">
            <v>4.22</v>
          </cell>
          <cell r="CK102">
            <v>4.8633333333333333</v>
          </cell>
          <cell r="CL102">
            <v>5.7</v>
          </cell>
          <cell r="CM102">
            <v>6.6033333333333344</v>
          </cell>
          <cell r="CN102">
            <v>8.3233333333333324</v>
          </cell>
          <cell r="CO102">
            <v>7.5</v>
          </cell>
          <cell r="CP102">
            <v>7.6166666666666671</v>
          </cell>
          <cell r="CQ102">
            <v>8.1533333333333342</v>
          </cell>
          <cell r="CR102">
            <v>8.19</v>
          </cell>
          <cell r="CS102">
            <v>7.3599999999999994</v>
          </cell>
          <cell r="CT102">
            <v>5.75</v>
          </cell>
          <cell r="CU102">
            <v>5.3933333333333335</v>
          </cell>
          <cell r="CV102">
            <v>6.330000000000001</v>
          </cell>
          <cell r="CW102">
            <v>5.6266666666666678</v>
          </cell>
          <cell r="CX102">
            <v>4.916666666666667</v>
          </cell>
          <cell r="CY102">
            <v>5.1566666666666672</v>
          </cell>
          <cell r="CZ102">
            <v>5.15</v>
          </cell>
          <cell r="DA102">
            <v>4.54</v>
          </cell>
          <cell r="DB102">
            <v>4.6066666666666665</v>
          </cell>
          <cell r="DC102">
            <v>4.8933333333333335</v>
          </cell>
          <cell r="DD102">
            <v>5.61</v>
          </cell>
          <cell r="DE102">
            <v>6.1033333333333344</v>
          </cell>
          <cell r="DF102">
            <v>6.416666666666667</v>
          </cell>
          <cell r="DG102">
            <v>6.66</v>
          </cell>
          <cell r="DH102">
            <v>7.3366666666666669</v>
          </cell>
          <cell r="DI102">
            <v>8.9699999999999989</v>
          </cell>
          <cell r="DJ102">
            <v>9.3733333333333331</v>
          </cell>
          <cell r="DK102">
            <v>9.3466666666666658</v>
          </cell>
          <cell r="DL102">
            <v>9.69</v>
          </cell>
          <cell r="DM102">
            <v>12.076666666666666</v>
          </cell>
          <cell r="DN102">
            <v>13.633333333333333</v>
          </cell>
          <cell r="DO102">
            <v>8.9233333333333338</v>
          </cell>
          <cell r="DP102">
            <v>10.006666666666668</v>
          </cell>
          <cell r="DQ102">
            <v>13.993333333333334</v>
          </cell>
          <cell r="DR102">
            <v>13.866666666666667</v>
          </cell>
          <cell r="DS102">
            <v>14.800000000000002</v>
          </cell>
          <cell r="DT102">
            <v>14.97</v>
          </cell>
          <cell r="DU102">
            <v>11.63</v>
          </cell>
          <cell r="DV102">
            <v>12.79</v>
          </cell>
          <cell r="DW102">
            <v>12.216666666666667</v>
          </cell>
          <cell r="DX102">
            <v>8.7433333333333341</v>
          </cell>
          <cell r="DY102">
            <v>7.9799999999999995</v>
          </cell>
          <cell r="DZ102">
            <v>8.1966666666666672</v>
          </cell>
          <cell r="EA102">
            <v>8.49</v>
          </cell>
          <cell r="EB102">
            <v>9.09</v>
          </cell>
          <cell r="EC102">
            <v>8.6266666666666669</v>
          </cell>
          <cell r="ED102">
            <v>9.2366666666666664</v>
          </cell>
          <cell r="EE102">
            <v>9.7866666666666671</v>
          </cell>
          <cell r="EF102">
            <v>10.443333333333333</v>
          </cell>
          <cell r="EG102">
            <v>8.4166666666666661</v>
          </cell>
          <cell r="EH102">
            <v>8.2100000000000009</v>
          </cell>
          <cell r="EI102">
            <v>7.2766666666666664</v>
          </cell>
          <cell r="EJ102">
            <v>7.2933333333333339</v>
          </cell>
          <cell r="EK102">
            <v>7.3533333333333344</v>
          </cell>
          <cell r="EL102">
            <v>6.98</v>
          </cell>
          <cell r="EM102">
            <v>6.2233333333333336</v>
          </cell>
          <cell r="EN102">
            <v>5.5366666666666662</v>
          </cell>
          <cell r="EO102">
            <v>5.57</v>
          </cell>
          <cell r="EP102">
            <v>5.71</v>
          </cell>
          <cell r="EQ102">
            <v>5.7866666666666662</v>
          </cell>
          <cell r="ER102">
            <v>6.45</v>
          </cell>
          <cell r="ES102">
            <v>5.4733333333333336</v>
          </cell>
          <cell r="ET102">
            <v>5.8266666666666671</v>
          </cell>
          <cell r="EU102">
            <v>6.5133333333333328</v>
          </cell>
          <cell r="EV102">
            <v>7.4000000000000012</v>
          </cell>
          <cell r="EW102">
            <v>8.0299999999999994</v>
          </cell>
          <cell r="EX102">
            <v>8.9666666666666668</v>
          </cell>
          <cell r="EY102">
            <v>8.6300000000000008</v>
          </cell>
          <cell r="EZ102">
            <v>8.1199999999999992</v>
          </cell>
          <cell r="FA102">
            <v>7.913333333333334</v>
          </cell>
          <cell r="FB102">
            <v>8.0333333333333332</v>
          </cell>
          <cell r="FC102">
            <v>8.0200000000000014</v>
          </cell>
          <cell r="FD102">
            <v>7.5733333333333341</v>
          </cell>
          <cell r="FE102">
            <v>7.0799999999999992</v>
          </cell>
          <cell r="FF102">
            <v>6.163333333333334</v>
          </cell>
          <cell r="FG102">
            <v>5.69</v>
          </cell>
          <cell r="FH102">
            <v>5.4766666666666666</v>
          </cell>
          <cell r="FI102">
            <v>4.456666666666667</v>
          </cell>
          <cell r="FJ102">
            <v>4.0366666666666671</v>
          </cell>
          <cell r="FK102">
            <v>3.7466666666666666</v>
          </cell>
          <cell r="FL102">
            <v>3.0733333333333337</v>
          </cell>
          <cell r="FM102">
            <v>3.17</v>
          </cell>
          <cell r="FN102">
            <v>2.9766666666666666</v>
          </cell>
          <cell r="FO102">
            <v>3.06</v>
          </cell>
          <cell r="FP102">
            <v>3.0566666666666666</v>
          </cell>
          <cell r="FQ102">
            <v>3.08</v>
          </cell>
          <cell r="FR102">
            <v>3.3466666666666671</v>
          </cell>
          <cell r="FS102">
            <v>4.1566666666666672</v>
          </cell>
          <cell r="FT102">
            <v>4.6133333333333333</v>
          </cell>
          <cell r="FU102">
            <v>5.5333333333333341</v>
          </cell>
          <cell r="FV102">
            <v>5.94</v>
          </cell>
          <cell r="FW102">
            <v>5.79</v>
          </cell>
          <cell r="FX102">
            <v>5.4833333333333343</v>
          </cell>
          <cell r="FY102">
            <v>5.3733333333333322</v>
          </cell>
          <cell r="FZ102">
            <v>5.0699999999999994</v>
          </cell>
          <cell r="GA102">
            <v>5.16</v>
          </cell>
          <cell r="GB102">
            <v>5.2166666666666659</v>
          </cell>
          <cell r="GC102">
            <v>5.1433333333333335</v>
          </cell>
          <cell r="GD102">
            <v>5.2366666666666672</v>
          </cell>
          <cell r="GE102">
            <v>5.12</v>
          </cell>
          <cell r="GF102">
            <v>5.1933333333333342</v>
          </cell>
          <cell r="GG102">
            <v>5.2600000000000007</v>
          </cell>
          <cell r="GH102">
            <v>5.2233333333333336</v>
          </cell>
          <cell r="GI102">
            <v>5.0333333333333341</v>
          </cell>
          <cell r="GJ102">
            <v>4.7766666666666664</v>
          </cell>
          <cell r="GK102">
            <v>4.4466666666666663</v>
          </cell>
          <cell r="GL102">
            <v>4.5566666666666666</v>
          </cell>
          <cell r="GM102">
            <v>4.663333333333334</v>
          </cell>
          <cell r="GN102">
            <v>4.8466666666666667</v>
          </cell>
          <cell r="GO102">
            <v>5.2233333333333327</v>
          </cell>
          <cell r="GP102">
            <v>5.7866666666666662</v>
          </cell>
          <cell r="GQ102">
            <v>5.7733333333333334</v>
          </cell>
          <cell r="GR102">
            <v>6.2366666666666672</v>
          </cell>
          <cell r="GS102">
            <v>6.1566666666666663</v>
          </cell>
          <cell r="GT102">
            <v>4.706666666666667</v>
          </cell>
          <cell r="GU102">
            <v>3.686666666666667</v>
          </cell>
          <cell r="GV102">
            <v>3.0933333333333337</v>
          </cell>
          <cell r="GW102">
            <v>1.8533333333333335</v>
          </cell>
          <cell r="GX102">
            <v>1.7733333333333334</v>
          </cell>
          <cell r="GY102">
            <v>1.7166666666666668</v>
          </cell>
          <cell r="GZ102">
            <v>1.64</v>
          </cell>
          <cell r="HA102">
            <v>1.2966666666666666</v>
          </cell>
          <cell r="HB102">
            <v>1.1399999999999999</v>
          </cell>
          <cell r="HC102">
            <v>1.0133333333333334</v>
          </cell>
          <cell r="HD102">
            <v>0.94666666666666677</v>
          </cell>
          <cell r="HE102">
            <v>0.91666666666666663</v>
          </cell>
          <cell r="HF102">
            <v>0.92</v>
          </cell>
          <cell r="HG102">
            <v>1.1066666666666667</v>
          </cell>
          <cell r="HH102">
            <v>1.5599999999999998</v>
          </cell>
          <cell r="HI102">
            <v>2.08</v>
          </cell>
          <cell r="HJ102">
            <v>2.6433333333333331</v>
          </cell>
          <cell r="HK102">
            <v>2.9433333333333334</v>
          </cell>
          <cell r="HL102">
            <v>3.4166666666666665</v>
          </cell>
          <cell r="HM102">
            <v>3.9133333333333336</v>
          </cell>
          <cell r="HN102">
            <v>4.4666666666666659</v>
          </cell>
          <cell r="HO102">
            <v>4.7533333333333339</v>
          </cell>
          <cell r="HP102">
            <v>4.8866666666666667</v>
          </cell>
          <cell r="HQ102">
            <v>4.913333333333334</v>
          </cell>
          <cell r="HR102">
            <v>4.9666666666666668</v>
          </cell>
          <cell r="HS102">
            <v>4.6900000000000004</v>
          </cell>
          <cell r="HT102">
            <v>4.1500000000000004</v>
          </cell>
          <cell r="HU102">
            <v>3.4033333333333338</v>
          </cell>
          <cell r="HV102">
            <v>1.6966666666666665</v>
          </cell>
          <cell r="HW102">
            <v>1.71</v>
          </cell>
          <cell r="HX102">
            <v>1.4133333333333333</v>
          </cell>
          <cell r="HY102">
            <v>0.18666666666666668</v>
          </cell>
          <cell r="HZ102">
            <v>0.23666666666666666</v>
          </cell>
          <cell r="IA102">
            <v>0.15666666666666668</v>
          </cell>
          <cell r="IB102">
            <v>0.15666666666666665</v>
          </cell>
          <cell r="IC102">
            <v>5.6666666666666664E-2</v>
          </cell>
          <cell r="ID102">
            <v>0.12333333333333334</v>
          </cell>
          <cell r="IE102">
            <v>0.16666666666666666</v>
          </cell>
          <cell r="IF102">
            <v>0.15000000000000002</v>
          </cell>
          <cell r="IG102">
            <v>0.13666666666666669</v>
          </cell>
          <cell r="IH102">
            <v>0.13</v>
          </cell>
          <cell r="II102">
            <v>4.3333333333333335E-2</v>
          </cell>
          <cell r="IJ102">
            <v>6.0000000000000005E-2</v>
          </cell>
        </row>
        <row r="103">
          <cell r="N103">
            <v>2.44</v>
          </cell>
          <cell r="O103">
            <v>2.3466666666666667</v>
          </cell>
          <cell r="P103">
            <v>2.3466666666666667</v>
          </cell>
          <cell r="Q103">
            <v>2.4733333333333332</v>
          </cell>
          <cell r="R103">
            <v>2.6466666666666665</v>
          </cell>
          <cell r="S103">
            <v>2.7633333333333332</v>
          </cell>
          <cell r="T103">
            <v>2.9466666666666668</v>
          </cell>
          <cell r="U103">
            <v>2.91</v>
          </cell>
          <cell r="V103">
            <v>2.9</v>
          </cell>
          <cell r="W103">
            <v>3.0833333333333335</v>
          </cell>
          <cell r="X103">
            <v>3.2733333333333334</v>
          </cell>
          <cell r="Y103">
            <v>3.4733333333333332</v>
          </cell>
          <cell r="Z103">
            <v>3.4033333333333338</v>
          </cell>
          <cell r="AA103">
            <v>3.6266666666666669</v>
          </cell>
          <cell r="AB103">
            <v>3.9266666666666672</v>
          </cell>
          <cell r="AC103">
            <v>3.6333333333333333</v>
          </cell>
          <cell r="AD103">
            <v>3.0400000000000005</v>
          </cell>
          <cell r="AE103">
            <v>2.9233333333333333</v>
          </cell>
          <cell r="AF103">
            <v>3.5</v>
          </cell>
          <cell r="AG103">
            <v>3.8000000000000003</v>
          </cell>
          <cell r="AH103">
            <v>3.99</v>
          </cell>
          <cell r="AI103">
            <v>4.2566666666666668</v>
          </cell>
          <cell r="AJ103">
            <v>4.503333333333333</v>
          </cell>
          <cell r="AK103">
            <v>4.583333333333333</v>
          </cell>
          <cell r="AL103">
            <v>4.4866666666666672</v>
          </cell>
          <cell r="AM103">
            <v>4.2600000000000007</v>
          </cell>
          <cell r="AN103">
            <v>3.8333333333333335</v>
          </cell>
          <cell r="AO103">
            <v>3.8866666666666667</v>
          </cell>
          <cell r="AP103">
            <v>3.7866666666666666</v>
          </cell>
          <cell r="AQ103">
            <v>3.7900000000000005</v>
          </cell>
          <cell r="AR103">
            <v>3.98</v>
          </cell>
          <cell r="AS103">
            <v>3.9733333333333332</v>
          </cell>
          <cell r="AT103">
            <v>4.0166666666666666</v>
          </cell>
          <cell r="AU103">
            <v>3.8733333333333335</v>
          </cell>
          <cell r="AV103">
            <v>3.99</v>
          </cell>
          <cell r="AW103">
            <v>3.9033333333333329</v>
          </cell>
          <cell r="AX103">
            <v>3.8933333333333331</v>
          </cell>
          <cell r="AY103">
            <v>3.9633333333333334</v>
          </cell>
          <cell r="AZ103">
            <v>4.0333333333333332</v>
          </cell>
          <cell r="BA103">
            <v>4.12</v>
          </cell>
          <cell r="BB103">
            <v>4.18</v>
          </cell>
          <cell r="BC103">
            <v>4.2</v>
          </cell>
          <cell r="BD103">
            <v>4.1933333333333342</v>
          </cell>
          <cell r="BE103">
            <v>4.1733333333333329</v>
          </cell>
          <cell r="BF103">
            <v>4.2033333333333331</v>
          </cell>
          <cell r="BG103">
            <v>4.206666666666667</v>
          </cell>
          <cell r="BH103">
            <v>4.2466666666666661</v>
          </cell>
          <cell r="BI103">
            <v>4.4733333333333336</v>
          </cell>
          <cell r="BJ103">
            <v>4.7700000000000005</v>
          </cell>
          <cell r="BK103">
            <v>4.78</v>
          </cell>
          <cell r="BL103">
            <v>5.14</v>
          </cell>
          <cell r="BM103">
            <v>5.003333333333333</v>
          </cell>
          <cell r="BN103">
            <v>4.583333333333333</v>
          </cell>
          <cell r="BO103">
            <v>4.82</v>
          </cell>
          <cell r="BP103">
            <v>5.246666666666667</v>
          </cell>
          <cell r="BQ103">
            <v>5.6433333333333335</v>
          </cell>
          <cell r="BR103">
            <v>5.6099999999999994</v>
          </cell>
          <cell r="BS103">
            <v>5.7433333333333332</v>
          </cell>
          <cell r="BT103">
            <v>5.46</v>
          </cell>
          <cell r="BU103">
            <v>5.7700000000000005</v>
          </cell>
          <cell r="BV103">
            <v>6.1766666666666667</v>
          </cell>
          <cell r="BW103">
            <v>6.3533333333333344</v>
          </cell>
          <cell r="BX103">
            <v>6.8566666666666665</v>
          </cell>
          <cell r="BY103">
            <v>7.2966666666666669</v>
          </cell>
          <cell r="BZ103">
            <v>7.3666666666666671</v>
          </cell>
          <cell r="CA103">
            <v>7.7133333333333338</v>
          </cell>
          <cell r="CB103">
            <v>7.4600000000000009</v>
          </cell>
          <cell r="CC103">
            <v>6.8533333333333344</v>
          </cell>
          <cell r="CD103">
            <v>6.0166666666666666</v>
          </cell>
          <cell r="CE103">
            <v>6.246666666666667</v>
          </cell>
          <cell r="CF103">
            <v>6.4833333333333343</v>
          </cell>
          <cell r="CG103">
            <v>5.8900000000000006</v>
          </cell>
          <cell r="CH103">
            <v>6.0333333333333341</v>
          </cell>
          <cell r="CI103">
            <v>6.1433333333333335</v>
          </cell>
          <cell r="CJ103">
            <v>6.29</v>
          </cell>
          <cell r="CK103">
            <v>6.373333333333334</v>
          </cell>
          <cell r="CL103">
            <v>6.6033333333333344</v>
          </cell>
          <cell r="CM103">
            <v>6.8066666666666675</v>
          </cell>
          <cell r="CN103">
            <v>7.206666666666667</v>
          </cell>
          <cell r="CO103">
            <v>6.753333333333333</v>
          </cell>
          <cell r="CP103">
            <v>7.0533333333333337</v>
          </cell>
          <cell r="CQ103">
            <v>7.543333333333333</v>
          </cell>
          <cell r="CR103">
            <v>7.9633333333333338</v>
          </cell>
          <cell r="CS103">
            <v>7.669999999999999</v>
          </cell>
          <cell r="CT103">
            <v>7.54</v>
          </cell>
          <cell r="CU103">
            <v>8.0499999999999989</v>
          </cell>
          <cell r="CV103">
            <v>8.2966666666666669</v>
          </cell>
          <cell r="CW103">
            <v>8.0633333333333344</v>
          </cell>
          <cell r="CX103">
            <v>7.7533333333333339</v>
          </cell>
          <cell r="CY103">
            <v>7.7733333333333334</v>
          </cell>
          <cell r="CZ103">
            <v>7.73</v>
          </cell>
          <cell r="DA103">
            <v>7.19</v>
          </cell>
          <cell r="DB103">
            <v>7.3533333333333344</v>
          </cell>
          <cell r="DC103">
            <v>7.37</v>
          </cell>
          <cell r="DD103">
            <v>7.3566666666666665</v>
          </cell>
          <cell r="DE103">
            <v>7.5966666666666676</v>
          </cell>
          <cell r="DF103">
            <v>8.01</v>
          </cell>
          <cell r="DG103">
            <v>8.32</v>
          </cell>
          <cell r="DH103">
            <v>8.49</v>
          </cell>
          <cell r="DI103">
            <v>8.82</v>
          </cell>
          <cell r="DJ103">
            <v>9.1066666666666674</v>
          </cell>
          <cell r="DK103">
            <v>9.1133333333333333</v>
          </cell>
          <cell r="DL103">
            <v>9.1033333333333335</v>
          </cell>
          <cell r="DM103">
            <v>10.446666666666667</v>
          </cell>
          <cell r="DN103">
            <v>11.986666666666666</v>
          </cell>
          <cell r="DO103">
            <v>10.476666666666667</v>
          </cell>
          <cell r="DP103">
            <v>10.953333333333333</v>
          </cell>
          <cell r="DQ103">
            <v>12.423333333333332</v>
          </cell>
          <cell r="DR103">
            <v>12.959999999999999</v>
          </cell>
          <cell r="DS103">
            <v>13.75</v>
          </cell>
          <cell r="DT103">
            <v>14.846666666666666</v>
          </cell>
          <cell r="DU103">
            <v>14.086666666666666</v>
          </cell>
          <cell r="DV103">
            <v>14.293333333333331</v>
          </cell>
          <cell r="DW103">
            <v>13.930000000000001</v>
          </cell>
          <cell r="DX103">
            <v>13.116666666666667</v>
          </cell>
          <cell r="DY103">
            <v>10.666666666666666</v>
          </cell>
          <cell r="DZ103">
            <v>10.563333333333333</v>
          </cell>
          <cell r="EA103">
            <v>10.543333333333335</v>
          </cell>
          <cell r="EB103">
            <v>11.626666666666667</v>
          </cell>
          <cell r="EC103">
            <v>11.686666666666667</v>
          </cell>
          <cell r="ED103">
            <v>11.943333333333333</v>
          </cell>
          <cell r="EE103">
            <v>13.200000000000001</v>
          </cell>
          <cell r="EF103">
            <v>12.866666666666665</v>
          </cell>
          <cell r="EG103">
            <v>11.743333333333334</v>
          </cell>
          <cell r="EH103">
            <v>11.583333333333334</v>
          </cell>
          <cell r="EI103">
            <v>10.813333333333333</v>
          </cell>
          <cell r="EJ103">
            <v>10.336666666666668</v>
          </cell>
          <cell r="EK103">
            <v>9.76</v>
          </cell>
          <cell r="EL103">
            <v>8.5566666666666666</v>
          </cell>
          <cell r="EM103">
            <v>7.6033333333333326</v>
          </cell>
          <cell r="EN103">
            <v>7.3066666666666658</v>
          </cell>
          <cell r="EO103">
            <v>7.2633333333333328</v>
          </cell>
          <cell r="EP103">
            <v>7.1933333333333325</v>
          </cell>
          <cell r="EQ103">
            <v>8.3433333333333337</v>
          </cell>
          <cell r="ER103">
            <v>8.8766666666666669</v>
          </cell>
          <cell r="ES103">
            <v>9.1233333333333331</v>
          </cell>
          <cell r="ET103">
            <v>8.4166666666666679</v>
          </cell>
          <cell r="EU103">
            <v>8.9100000000000019</v>
          </cell>
          <cell r="EV103">
            <v>9.1</v>
          </cell>
          <cell r="EW103">
            <v>8.956666666666667</v>
          </cell>
          <cell r="EX103">
            <v>9.2066666666666652</v>
          </cell>
          <cell r="EY103">
            <v>8.7733333333333334</v>
          </cell>
          <cell r="EZ103">
            <v>8.1066666666666674</v>
          </cell>
          <cell r="FA103">
            <v>7.9066666666666663</v>
          </cell>
          <cell r="FB103">
            <v>8.4233333333333338</v>
          </cell>
          <cell r="FC103">
            <v>8.6766666666666676</v>
          </cell>
          <cell r="FD103">
            <v>8.7033333333333331</v>
          </cell>
          <cell r="FE103">
            <v>8.3966666666666665</v>
          </cell>
          <cell r="FF103">
            <v>8.0166666666666675</v>
          </cell>
          <cell r="FG103">
            <v>8.1300000000000008</v>
          </cell>
          <cell r="FH103">
            <v>7.94</v>
          </cell>
          <cell r="FI103">
            <v>7.3466666666666667</v>
          </cell>
          <cell r="FJ103">
            <v>7.3033333333333337</v>
          </cell>
          <cell r="FK103">
            <v>7.3766666666666678</v>
          </cell>
          <cell r="FL103">
            <v>6.6166666666666671</v>
          </cell>
          <cell r="FM103">
            <v>6.7433333333333332</v>
          </cell>
          <cell r="FN103">
            <v>6.28</v>
          </cell>
          <cell r="FO103">
            <v>5.9899999999999993</v>
          </cell>
          <cell r="FP103">
            <v>5.6166666666666671</v>
          </cell>
          <cell r="FQ103">
            <v>5.6066666666666665</v>
          </cell>
          <cell r="FR103">
            <v>6.0666666666666664</v>
          </cell>
          <cell r="FS103">
            <v>7.083333333333333</v>
          </cell>
          <cell r="FT103">
            <v>7.333333333333333</v>
          </cell>
          <cell r="FU103">
            <v>7.836666666666666</v>
          </cell>
          <cell r="FV103">
            <v>7.4833333333333334</v>
          </cell>
          <cell r="FW103">
            <v>6.62</v>
          </cell>
          <cell r="FX103">
            <v>6.3233333333333333</v>
          </cell>
          <cell r="FY103">
            <v>5.8933333333333335</v>
          </cell>
          <cell r="FZ103">
            <v>5.91</v>
          </cell>
          <cell r="GA103">
            <v>6.72</v>
          </cell>
          <cell r="GB103">
            <v>6.7800000000000011</v>
          </cell>
          <cell r="GC103">
            <v>6.3433333333333337</v>
          </cell>
          <cell r="GD103">
            <v>6.5633333333333335</v>
          </cell>
          <cell r="GE103">
            <v>6.6966666666666681</v>
          </cell>
          <cell r="GF103">
            <v>6.2433333333333332</v>
          </cell>
          <cell r="GG103">
            <v>5.9066666666666663</v>
          </cell>
          <cell r="GH103">
            <v>5.586666666666666</v>
          </cell>
          <cell r="GI103">
            <v>5.5966666666666667</v>
          </cell>
          <cell r="GJ103">
            <v>5.203333333333334</v>
          </cell>
          <cell r="GK103">
            <v>4.67</v>
          </cell>
          <cell r="GL103">
            <v>4.9833333333333334</v>
          </cell>
          <cell r="GM103">
            <v>5.5399999999999991</v>
          </cell>
          <cell r="GN103">
            <v>5.8833333333333329</v>
          </cell>
          <cell r="GO103">
            <v>6.1400000000000006</v>
          </cell>
          <cell r="GP103">
            <v>6.4799999999999995</v>
          </cell>
          <cell r="GQ103">
            <v>6.1766666666666667</v>
          </cell>
          <cell r="GR103">
            <v>5.8933333333333335</v>
          </cell>
          <cell r="GS103">
            <v>5.5666666666666673</v>
          </cell>
          <cell r="GT103">
            <v>5.0500000000000007</v>
          </cell>
          <cell r="GU103">
            <v>5.27</v>
          </cell>
          <cell r="GV103">
            <v>4.9800000000000004</v>
          </cell>
          <cell r="GW103">
            <v>4.7700000000000005</v>
          </cell>
          <cell r="GX103">
            <v>5.0766666666666671</v>
          </cell>
          <cell r="GY103">
            <v>5.1000000000000005</v>
          </cell>
          <cell r="GZ103">
            <v>4.2600000000000007</v>
          </cell>
          <cell r="HA103">
            <v>4.0066666666666668</v>
          </cell>
          <cell r="HB103">
            <v>3.92</v>
          </cell>
          <cell r="HC103">
            <v>3.6199999999999997</v>
          </cell>
          <cell r="HD103">
            <v>4.2333333333333334</v>
          </cell>
          <cell r="HE103">
            <v>4.2866666666666662</v>
          </cell>
          <cell r="HF103">
            <v>4.0200000000000005</v>
          </cell>
          <cell r="HG103">
            <v>4.6000000000000005</v>
          </cell>
          <cell r="HH103">
            <v>4.3033333333333337</v>
          </cell>
          <cell r="HI103">
            <v>4.1733333333333329</v>
          </cell>
          <cell r="HJ103">
            <v>4.2966666666666669</v>
          </cell>
          <cell r="HK103">
            <v>4.16</v>
          </cell>
          <cell r="HL103">
            <v>4.2133333333333338</v>
          </cell>
          <cell r="HM103">
            <v>4.4899999999999993</v>
          </cell>
          <cell r="HN103">
            <v>4.57</v>
          </cell>
          <cell r="HO103">
            <v>5.07</v>
          </cell>
          <cell r="HP103">
            <v>4.8966666666666656</v>
          </cell>
          <cell r="HQ103">
            <v>4.6300000000000008</v>
          </cell>
          <cell r="HR103">
            <v>4.6800000000000006</v>
          </cell>
          <cell r="HS103">
            <v>4.8466666666666676</v>
          </cell>
          <cell r="HT103">
            <v>4.7300000000000004</v>
          </cell>
          <cell r="HU103">
            <v>4.26</v>
          </cell>
          <cell r="HV103">
            <v>3.6633333333333336</v>
          </cell>
          <cell r="HW103">
            <v>3.8866666666666667</v>
          </cell>
          <cell r="HX103">
            <v>3.8633333333333333</v>
          </cell>
          <cell r="HY103">
            <v>3.2533333333333334</v>
          </cell>
          <cell r="HZ103">
            <v>2.7366666666666668</v>
          </cell>
          <cell r="IA103">
            <v>3.3133333333333339</v>
          </cell>
          <cell r="IB103">
            <v>3.5166666666666671</v>
          </cell>
          <cell r="IC103">
            <v>3.4599999999999995</v>
          </cell>
          <cell r="ID103">
            <v>3.7166666666666668</v>
          </cell>
          <cell r="IE103">
            <v>3.4899999999999998</v>
          </cell>
          <cell r="IF103">
            <v>2.7866666666666671</v>
          </cell>
          <cell r="IG103">
            <v>2.8633333333333333</v>
          </cell>
          <cell r="IH103">
            <v>3.4600000000000004</v>
          </cell>
          <cell r="II103">
            <v>3.2099999999999995</v>
          </cell>
          <cell r="IJ103">
            <v>3</v>
          </cell>
        </row>
        <row r="104">
          <cell r="N104">
            <v>2.9566666666666666</v>
          </cell>
          <cell r="O104">
            <v>2.8766666666666669</v>
          </cell>
          <cell r="P104">
            <v>2.8833333333333333</v>
          </cell>
          <cell r="Q104">
            <v>2.8866666666666667</v>
          </cell>
          <cell r="R104">
            <v>2.9600000000000004</v>
          </cell>
          <cell r="S104">
            <v>3.0333333333333337</v>
          </cell>
          <cell r="T104">
            <v>3.1</v>
          </cell>
          <cell r="U104">
            <v>3.1166666666666667</v>
          </cell>
          <cell r="V104">
            <v>3.0966666666666662</v>
          </cell>
          <cell r="W104">
            <v>3.2600000000000002</v>
          </cell>
          <cell r="X104">
            <v>3.4233333333333338</v>
          </cell>
          <cell r="Y104">
            <v>3.6766666666666663</v>
          </cell>
          <cell r="Z104">
            <v>3.6999999999999997</v>
          </cell>
          <cell r="AA104">
            <v>3.7733333333333334</v>
          </cell>
          <cell r="AB104">
            <v>4.07</v>
          </cell>
          <cell r="AC104">
            <v>3.9966666666666666</v>
          </cell>
          <cell r="AD104">
            <v>3.6066666666666669</v>
          </cell>
          <cell r="AE104">
            <v>3.58</v>
          </cell>
          <cell r="AF104">
            <v>3.8699999999999997</v>
          </cell>
          <cell r="AG104">
            <v>4.0933333333333328</v>
          </cell>
          <cell r="AH104">
            <v>4.13</v>
          </cell>
          <cell r="AI104">
            <v>4.3533333333333344</v>
          </cell>
          <cell r="AJ104">
            <v>4.4733333333333327</v>
          </cell>
          <cell r="AK104">
            <v>4.57</v>
          </cell>
          <cell r="AL104">
            <v>4.5533333333333337</v>
          </cell>
          <cell r="AM104">
            <v>4.4533333333333331</v>
          </cell>
          <cell r="AN104">
            <v>4.3133333333333335</v>
          </cell>
          <cell r="AO104">
            <v>4.32</v>
          </cell>
          <cell r="AP104">
            <v>4.2699999999999996</v>
          </cell>
          <cell r="AQ104">
            <v>4.2833333333333332</v>
          </cell>
          <cell r="AR104">
            <v>4.4366666666666665</v>
          </cell>
          <cell r="AS104">
            <v>4.4099999999999993</v>
          </cell>
          <cell r="AT104">
            <v>4.41</v>
          </cell>
          <cell r="AU104">
            <v>4.2966666666666669</v>
          </cell>
          <cell r="AV104">
            <v>4.3366666666666669</v>
          </cell>
          <cell r="AW104">
            <v>4.2566666666666668</v>
          </cell>
          <cell r="AX104">
            <v>4.1966666666666663</v>
          </cell>
          <cell r="AY104">
            <v>4.22</v>
          </cell>
          <cell r="AZ104">
            <v>4.2866666666666671</v>
          </cell>
          <cell r="BA104">
            <v>4.333333333333333</v>
          </cell>
          <cell r="BB104">
            <v>4.376666666666666</v>
          </cell>
          <cell r="BC104">
            <v>4.4066666666666672</v>
          </cell>
          <cell r="BD104">
            <v>4.41</v>
          </cell>
          <cell r="BE104">
            <v>4.43</v>
          </cell>
          <cell r="BF104">
            <v>4.42</v>
          </cell>
          <cell r="BG104">
            <v>4.4433333333333342</v>
          </cell>
          <cell r="BH104">
            <v>4.496666666666667</v>
          </cell>
          <cell r="BI104">
            <v>4.6133333333333333</v>
          </cell>
          <cell r="BJ104">
            <v>4.8133333333333335</v>
          </cell>
          <cell r="BK104">
            <v>5.0033333333333339</v>
          </cell>
          <cell r="BL104">
            <v>5.32</v>
          </cell>
          <cell r="BM104">
            <v>5.3833333333333337</v>
          </cell>
          <cell r="BN104">
            <v>5.12</v>
          </cell>
          <cell r="BO104">
            <v>5.2633333333333345</v>
          </cell>
          <cell r="BP104">
            <v>5.6166666666666671</v>
          </cell>
          <cell r="BQ104">
            <v>6.0266666666666673</v>
          </cell>
          <cell r="BR104">
            <v>6.126666666666666</v>
          </cell>
          <cell r="BS104">
            <v>6.2533333333333339</v>
          </cell>
          <cell r="BT104">
            <v>6.0766666666666671</v>
          </cell>
          <cell r="BU104">
            <v>6.2433333333333332</v>
          </cell>
          <cell r="BV104">
            <v>6.7</v>
          </cell>
          <cell r="BW104">
            <v>6.8866666666666667</v>
          </cell>
          <cell r="BX104">
            <v>7.0633333333333335</v>
          </cell>
          <cell r="BY104">
            <v>7.4666666666666659</v>
          </cell>
          <cell r="BZ104">
            <v>7.8933333333333335</v>
          </cell>
          <cell r="CA104">
            <v>8.14</v>
          </cell>
          <cell r="CB104">
            <v>8.2200000000000006</v>
          </cell>
          <cell r="CC104">
            <v>7.9066666666666663</v>
          </cell>
          <cell r="CD104">
            <v>7.2166666666666677</v>
          </cell>
          <cell r="CE104">
            <v>7.4733333333333336</v>
          </cell>
          <cell r="CF104">
            <v>7.5566666666666675</v>
          </cell>
          <cell r="CG104">
            <v>7.3</v>
          </cell>
          <cell r="CH104">
            <v>7.2333333333333343</v>
          </cell>
          <cell r="CI104">
            <v>7.2766666666666664</v>
          </cell>
          <cell r="CJ104">
            <v>7.206666666666667</v>
          </cell>
          <cell r="CK104">
            <v>7.1366666666666667</v>
          </cell>
          <cell r="CL104">
            <v>7.22</v>
          </cell>
          <cell r="CM104">
            <v>7.3066666666666675</v>
          </cell>
          <cell r="CN104">
            <v>7.586666666666666</v>
          </cell>
          <cell r="CO104">
            <v>7.6499999999999995</v>
          </cell>
          <cell r="CP104">
            <v>7.8966666666666656</v>
          </cell>
          <cell r="CQ104">
            <v>8.3633333333333351</v>
          </cell>
          <cell r="CR104">
            <v>8.9866666666666664</v>
          </cell>
          <cell r="CS104">
            <v>9.0166666666666675</v>
          </cell>
          <cell r="CT104">
            <v>8.7066666666666688</v>
          </cell>
          <cell r="CU104">
            <v>8.8733333333333331</v>
          </cell>
          <cell r="CV104">
            <v>8.913333333333334</v>
          </cell>
          <cell r="CW104">
            <v>8.81</v>
          </cell>
          <cell r="CX104">
            <v>8.5566666666666666</v>
          </cell>
          <cell r="CY104">
            <v>8.5333333333333332</v>
          </cell>
          <cell r="CZ104">
            <v>8.4633333333333329</v>
          </cell>
          <cell r="DA104">
            <v>8.1833333333333336</v>
          </cell>
          <cell r="DB104">
            <v>8.0333333333333332</v>
          </cell>
          <cell r="DC104">
            <v>8.0133333333333336</v>
          </cell>
          <cell r="DD104">
            <v>7.9466666666666681</v>
          </cell>
          <cell r="DE104">
            <v>8.1033333333333335</v>
          </cell>
          <cell r="DF104">
            <v>8.4500000000000011</v>
          </cell>
          <cell r="DG104">
            <v>8.67</v>
          </cell>
          <cell r="DH104">
            <v>8.7533333333333321</v>
          </cell>
          <cell r="DI104">
            <v>9.0266666666666673</v>
          </cell>
          <cell r="DJ104">
            <v>9.293333333333333</v>
          </cell>
          <cell r="DK104">
            <v>9.39</v>
          </cell>
          <cell r="DL104">
            <v>9.2899999999999991</v>
          </cell>
          <cell r="DM104">
            <v>10.543333333333335</v>
          </cell>
          <cell r="DN104">
            <v>12.143333333333333</v>
          </cell>
          <cell r="DO104">
            <v>11.203333333333333</v>
          </cell>
          <cell r="DP104">
            <v>11.576666666666668</v>
          </cell>
          <cell r="DQ104">
            <v>12.83</v>
          </cell>
          <cell r="DR104">
            <v>13.163333333333334</v>
          </cell>
          <cell r="DS104">
            <v>13.983333333333334</v>
          </cell>
          <cell r="DT104">
            <v>14.920000000000002</v>
          </cell>
          <cell r="DU104">
            <v>14.616666666666667</v>
          </cell>
          <cell r="DV104">
            <v>15.01</v>
          </cell>
          <cell r="DW104">
            <v>14.51</v>
          </cell>
          <cell r="DX104">
            <v>13.753333333333332</v>
          </cell>
          <cell r="DY104">
            <v>11.876666666666667</v>
          </cell>
          <cell r="DZ104">
            <v>11.843333333333334</v>
          </cell>
          <cell r="EA104">
            <v>11.57</v>
          </cell>
          <cell r="EB104">
            <v>12.343333333333334</v>
          </cell>
          <cell r="EC104">
            <v>12.410000000000002</v>
          </cell>
          <cell r="ED104">
            <v>12.283333333333333</v>
          </cell>
          <cell r="EE104">
            <v>13.213333333333333</v>
          </cell>
          <cell r="EF104">
            <v>12.99</v>
          </cell>
          <cell r="EG104">
            <v>12.350000000000001</v>
          </cell>
          <cell r="EH104">
            <v>12.256666666666668</v>
          </cell>
          <cell r="EI104">
            <v>11.63</v>
          </cell>
          <cell r="EJ104">
            <v>11.030000000000001</v>
          </cell>
          <cell r="EK104">
            <v>10.576666666666666</v>
          </cell>
          <cell r="EL104">
            <v>9.5733333333333324</v>
          </cell>
          <cell r="EM104">
            <v>9.0033333333333356</v>
          </cell>
          <cell r="EN104">
            <v>8.83</v>
          </cell>
          <cell r="EO104">
            <v>8.6766666666666676</v>
          </cell>
          <cell r="EP104">
            <v>8.3666666666666671</v>
          </cell>
          <cell r="EQ104">
            <v>9.1666666666666661</v>
          </cell>
          <cell r="ER104">
            <v>9.7566666666666659</v>
          </cell>
          <cell r="ES104">
            <v>10.213333333333333</v>
          </cell>
          <cell r="ET104">
            <v>9.5566666666666666</v>
          </cell>
          <cell r="EU104">
            <v>9.81</v>
          </cell>
          <cell r="EV104">
            <v>9.9633333333333329</v>
          </cell>
          <cell r="EW104">
            <v>9.51</v>
          </cell>
          <cell r="EX104">
            <v>9.6866666666666674</v>
          </cell>
          <cell r="EY104">
            <v>9.4866666666666664</v>
          </cell>
          <cell r="EZ104">
            <v>8.9666666666666668</v>
          </cell>
          <cell r="FA104">
            <v>8.89</v>
          </cell>
          <cell r="FB104">
            <v>9.1933333333333334</v>
          </cell>
          <cell r="FC104">
            <v>9.3966666666666665</v>
          </cell>
          <cell r="FD104">
            <v>9.4033333333333342</v>
          </cell>
          <cell r="FE104">
            <v>9.293333333333333</v>
          </cell>
          <cell r="FF104">
            <v>8.9333333333333336</v>
          </cell>
          <cell r="FG104">
            <v>8.9099999999999984</v>
          </cell>
          <cell r="FH104">
            <v>8.7866666666666671</v>
          </cell>
          <cell r="FI104">
            <v>8.4466666666666672</v>
          </cell>
          <cell r="FJ104">
            <v>8.2800000000000011</v>
          </cell>
          <cell r="FK104">
            <v>8.2766666666666655</v>
          </cell>
          <cell r="FL104">
            <v>7.9799999999999995</v>
          </cell>
          <cell r="FM104">
            <v>8.0233333333333334</v>
          </cell>
          <cell r="FN104">
            <v>7.7333333333333343</v>
          </cell>
          <cell r="FO104">
            <v>7.4066666666666663</v>
          </cell>
          <cell r="FP104">
            <v>6.8933333333333335</v>
          </cell>
          <cell r="FQ104">
            <v>6.8433333333333337</v>
          </cell>
          <cell r="FR104">
            <v>7.16</v>
          </cell>
          <cell r="FS104">
            <v>7.9466666666666663</v>
          </cell>
          <cell r="FT104">
            <v>8.1733333333333338</v>
          </cell>
          <cell r="FU104">
            <v>8.57</v>
          </cell>
          <cell r="FV104">
            <v>8.2799999999999994</v>
          </cell>
          <cell r="FW104">
            <v>7.66</v>
          </cell>
          <cell r="FX104">
            <v>7.4333333333333336</v>
          </cell>
          <cell r="FY104">
            <v>6.9866666666666672</v>
          </cell>
          <cell r="FZ104">
            <v>7.0500000000000007</v>
          </cell>
          <cell r="GA104">
            <v>7.61</v>
          </cell>
          <cell r="GB104">
            <v>7.59</v>
          </cell>
          <cell r="GC104">
            <v>7.23</v>
          </cell>
          <cell r="GD104">
            <v>7.4266666666666667</v>
          </cell>
          <cell r="GE104">
            <v>7.5733333333333333</v>
          </cell>
          <cell r="GF104">
            <v>7.169999999999999</v>
          </cell>
          <cell r="GG104">
            <v>6.8766666666666678</v>
          </cell>
          <cell r="GH104">
            <v>6.666666666666667</v>
          </cell>
          <cell r="GI104">
            <v>6.6366666666666667</v>
          </cell>
          <cell r="GJ104">
            <v>6.4899999999999993</v>
          </cell>
          <cell r="GK104">
            <v>6.333333333333333</v>
          </cell>
          <cell r="GL104">
            <v>6.4200000000000008</v>
          </cell>
          <cell r="GM104">
            <v>6.9333333333333336</v>
          </cell>
          <cell r="GN104">
            <v>7.3266666666666671</v>
          </cell>
          <cell r="GO104">
            <v>7.4866666666666672</v>
          </cell>
          <cell r="GP104">
            <v>7.7133333333333338</v>
          </cell>
          <cell r="GQ104">
            <v>7.7666666666666666</v>
          </cell>
          <cell r="GR104">
            <v>7.6066666666666665</v>
          </cell>
          <cell r="GS104">
            <v>7.4033333333333333</v>
          </cell>
          <cell r="GT104">
            <v>7.0766666666666671</v>
          </cell>
          <cell r="GU104">
            <v>7.2233333333333336</v>
          </cell>
          <cell r="GV104">
            <v>7.1066666666666665</v>
          </cell>
          <cell r="GW104">
            <v>6.9233333333333329</v>
          </cell>
          <cell r="GX104">
            <v>6.6233333333333322</v>
          </cell>
          <cell r="GY104">
            <v>6.7133333333333338</v>
          </cell>
          <cell r="GZ104">
            <v>6.3500000000000005</v>
          </cell>
          <cell r="HA104">
            <v>6.28</v>
          </cell>
          <cell r="HB104">
            <v>6.0033333333333339</v>
          </cell>
          <cell r="HC104">
            <v>5.31</v>
          </cell>
          <cell r="HD104">
            <v>5.6966666666666663</v>
          </cell>
          <cell r="HE104">
            <v>5.6566666666666672</v>
          </cell>
          <cell r="HF104">
            <v>5.4566666666666661</v>
          </cell>
          <cell r="HG104">
            <v>5.9266666666666667</v>
          </cell>
          <cell r="HH104">
            <v>5.6433333333333335</v>
          </cell>
          <cell r="HI104">
            <v>5.4866666666666672</v>
          </cell>
          <cell r="HJ104">
            <v>5.32</v>
          </cell>
          <cell r="HK104">
            <v>5.1466666666666674</v>
          </cell>
          <cell r="HL104">
            <v>5.0933333333333337</v>
          </cell>
          <cell r="HM104">
            <v>5.38</v>
          </cell>
          <cell r="HN104">
            <v>5.3900000000000006</v>
          </cell>
          <cell r="HO104">
            <v>5.8933333333333335</v>
          </cell>
          <cell r="HP104">
            <v>5.68</v>
          </cell>
          <cell r="HQ104">
            <v>5.3866666666666667</v>
          </cell>
          <cell r="HR104">
            <v>5.3633333333333333</v>
          </cell>
          <cell r="HS104">
            <v>5.5766666666666671</v>
          </cell>
          <cell r="HT104">
            <v>5.753333333333333</v>
          </cell>
          <cell r="HU104">
            <v>5.5300000000000011</v>
          </cell>
          <cell r="HV104">
            <v>5.4566666666666661</v>
          </cell>
          <cell r="HW104">
            <v>5.6000000000000005</v>
          </cell>
          <cell r="HX104">
            <v>5.6533333333333333</v>
          </cell>
          <cell r="HY104">
            <v>5.8166666666666664</v>
          </cell>
          <cell r="HZ104">
            <v>5.2733333333333334</v>
          </cell>
          <cell r="IA104">
            <v>5.5133333333333328</v>
          </cell>
          <cell r="IB104">
            <v>5.2666666666666666</v>
          </cell>
          <cell r="IC104">
            <v>5.2</v>
          </cell>
          <cell r="ID104">
            <v>5.293333333333333</v>
          </cell>
          <cell r="IE104">
            <v>5.043333333333333</v>
          </cell>
          <cell r="IF104">
            <v>4.580000000000001</v>
          </cell>
          <cell r="IG104">
            <v>4.8566666666666665</v>
          </cell>
          <cell r="IH104">
            <v>5.13</v>
          </cell>
          <cell r="II104">
            <v>5.0366666666666671</v>
          </cell>
          <cell r="IJ104">
            <v>4.93</v>
          </cell>
        </row>
        <row r="105">
          <cell r="N105">
            <v>3.61</v>
          </cell>
          <cell r="O105">
            <v>3.4766666666666666</v>
          </cell>
          <cell r="P105">
            <v>3.4866666666666668</v>
          </cell>
          <cell r="Q105">
            <v>3.4533333333333331</v>
          </cell>
          <cell r="R105">
            <v>3.4666666666666668</v>
          </cell>
          <cell r="S105">
            <v>3.5</v>
          </cell>
          <cell r="T105">
            <v>3.5566666666666666</v>
          </cell>
          <cell r="U105">
            <v>3.5966666666666662</v>
          </cell>
          <cell r="V105">
            <v>3.5933333333333333</v>
          </cell>
          <cell r="W105">
            <v>3.7233333333333332</v>
          </cell>
          <cell r="X105">
            <v>3.9333333333333336</v>
          </cell>
          <cell r="Y105">
            <v>4.2600000000000007</v>
          </cell>
          <cell r="Z105">
            <v>4.4633333333333338</v>
          </cell>
          <cell r="AA105">
            <v>4.53</v>
          </cell>
          <cell r="AB105">
            <v>4.8266666666666671</v>
          </cell>
          <cell r="AC105">
            <v>5.0366666666666662</v>
          </cell>
          <cell r="AD105">
            <v>4.7233333333333336</v>
          </cell>
          <cell r="AE105">
            <v>4.6133333333333333</v>
          </cell>
          <cell r="AF105">
            <v>4.6900000000000004</v>
          </cell>
          <cell r="AG105">
            <v>4.88</v>
          </cell>
          <cell r="AH105">
            <v>4.87</v>
          </cell>
          <cell r="AI105">
            <v>4.9533333333333331</v>
          </cell>
          <cell r="AJ105">
            <v>5.1166666666666663</v>
          </cell>
          <cell r="AK105">
            <v>5.2733333333333334</v>
          </cell>
          <cell r="AL105">
            <v>5.31</v>
          </cell>
          <cell r="AM105">
            <v>5.246666666666667</v>
          </cell>
          <cell r="AN105">
            <v>5.1033333333333335</v>
          </cell>
          <cell r="AO105">
            <v>5.0966666666666676</v>
          </cell>
          <cell r="AP105">
            <v>5.0633333333333335</v>
          </cell>
          <cell r="AQ105">
            <v>5.0166666666666666</v>
          </cell>
          <cell r="AR105">
            <v>5.1066666666666665</v>
          </cell>
          <cell r="AS105">
            <v>5.1133333333333333</v>
          </cell>
          <cell r="AT105">
            <v>5.0633333333333335</v>
          </cell>
          <cell r="AU105">
            <v>5.0133333333333328</v>
          </cell>
          <cell r="AV105">
            <v>5.0466666666666669</v>
          </cell>
          <cell r="AW105">
            <v>4.9566666666666661</v>
          </cell>
          <cell r="AX105">
            <v>4.8933333333333335</v>
          </cell>
          <cell r="AY105">
            <v>4.8533333333333335</v>
          </cell>
          <cell r="AZ105">
            <v>4.8366666666666669</v>
          </cell>
          <cell r="BA105">
            <v>4.84</v>
          </cell>
          <cell r="BB105">
            <v>4.83</v>
          </cell>
          <cell r="BC105">
            <v>4.8500000000000005</v>
          </cell>
          <cell r="BD105">
            <v>4.8233333333333333</v>
          </cell>
          <cell r="BE105">
            <v>4.8100000000000005</v>
          </cell>
          <cell r="BF105">
            <v>4.7866666666666662</v>
          </cell>
          <cell r="BG105">
            <v>4.82</v>
          </cell>
          <cell r="BH105">
            <v>4.8899999999999997</v>
          </cell>
          <cell r="BI105">
            <v>4.9666666666666659</v>
          </cell>
          <cell r="BJ105">
            <v>5.166666666666667</v>
          </cell>
          <cell r="BK105">
            <v>5.4899999999999993</v>
          </cell>
          <cell r="BL105">
            <v>5.8666666666666671</v>
          </cell>
          <cell r="BM105">
            <v>6.1366666666666667</v>
          </cell>
          <cell r="BN105">
            <v>5.88</v>
          </cell>
          <cell r="BO105">
            <v>5.9799999999999995</v>
          </cell>
          <cell r="BP105">
            <v>6.330000000000001</v>
          </cell>
          <cell r="BQ105">
            <v>6.7233333333333336</v>
          </cell>
          <cell r="BR105">
            <v>6.830000000000001</v>
          </cell>
          <cell r="BS105">
            <v>7.0233333333333334</v>
          </cell>
          <cell r="BT105">
            <v>6.8633333333333333</v>
          </cell>
          <cell r="BU105">
            <v>7.0266666666666664</v>
          </cell>
          <cell r="BV105">
            <v>7.3766666666666678</v>
          </cell>
          <cell r="BW105">
            <v>7.5866666666666669</v>
          </cell>
          <cell r="BX105">
            <v>7.916666666666667</v>
          </cell>
          <cell r="BY105">
            <v>8.3733333333333331</v>
          </cell>
          <cell r="BZ105">
            <v>8.7566666666666677</v>
          </cell>
          <cell r="CA105">
            <v>8.9766666666666666</v>
          </cell>
          <cell r="CB105">
            <v>9.41</v>
          </cell>
          <cell r="CC105">
            <v>9.2766666666666673</v>
          </cell>
          <cell r="CD105">
            <v>8.5300000000000011</v>
          </cell>
          <cell r="CE105">
            <v>8.6066666666666674</v>
          </cell>
          <cell r="CF105">
            <v>8.7033333333333331</v>
          </cell>
          <cell r="CG105">
            <v>8.413333333333334</v>
          </cell>
          <cell r="CH105">
            <v>8.2333333333333343</v>
          </cell>
          <cell r="CI105">
            <v>8.2233333333333327</v>
          </cell>
          <cell r="CJ105">
            <v>8.17</v>
          </cell>
          <cell r="CK105">
            <v>7.9933333333333332</v>
          </cell>
          <cell r="CL105">
            <v>7.9666666666666659</v>
          </cell>
          <cell r="CM105">
            <v>8.0933333333333337</v>
          </cell>
          <cell r="CN105">
            <v>8.4666666666666668</v>
          </cell>
          <cell r="CO105">
            <v>8.4366666666666656</v>
          </cell>
          <cell r="CP105">
            <v>8.543333333333333</v>
          </cell>
          <cell r="CQ105">
            <v>9.0633333333333344</v>
          </cell>
          <cell r="CR105">
            <v>9.81</v>
          </cell>
          <cell r="CS105">
            <v>10.57</v>
          </cell>
          <cell r="CT105">
            <v>10.646666666666667</v>
          </cell>
          <cell r="CU105">
            <v>10.63</v>
          </cell>
          <cell r="CV105">
            <v>10.583333333333334</v>
          </cell>
          <cell r="CW105">
            <v>10.58</v>
          </cell>
          <cell r="CX105">
            <v>10.256666666666666</v>
          </cell>
          <cell r="CY105">
            <v>9.8966666666666665</v>
          </cell>
          <cell r="CZ105">
            <v>9.6199999999999992</v>
          </cell>
          <cell r="DA105">
            <v>9.2133333333333347</v>
          </cell>
          <cell r="DB105">
            <v>9.1066666666666674</v>
          </cell>
          <cell r="DC105">
            <v>8.9966666666666661</v>
          </cell>
          <cell r="DD105">
            <v>8.83</v>
          </cell>
          <cell r="DE105">
            <v>8.9433333333333351</v>
          </cell>
          <cell r="DF105">
            <v>9.1966666666666672</v>
          </cell>
          <cell r="DG105">
            <v>9.4700000000000006</v>
          </cell>
          <cell r="DH105">
            <v>9.5</v>
          </cell>
          <cell r="DI105">
            <v>9.7866666666666671</v>
          </cell>
          <cell r="DJ105">
            <v>10.156666666666666</v>
          </cell>
          <cell r="DK105">
            <v>10.393333333333333</v>
          </cell>
          <cell r="DL105">
            <v>10.393333333333333</v>
          </cell>
          <cell r="DM105">
            <v>11.816666666666668</v>
          </cell>
          <cell r="DN105">
            <v>13.480000000000002</v>
          </cell>
          <cell r="DO105">
            <v>13.356666666666667</v>
          </cell>
          <cell r="DP105">
            <v>13.166666666666666</v>
          </cell>
          <cell r="DQ105">
            <v>14.670000000000002</v>
          </cell>
          <cell r="DR105">
            <v>15.246666666666668</v>
          </cell>
          <cell r="DS105">
            <v>15.770000000000001</v>
          </cell>
          <cell r="DT105">
            <v>16.47666666666667</v>
          </cell>
          <cell r="DU105">
            <v>16.683333333333334</v>
          </cell>
          <cell r="DV105">
            <v>17.033333333333335</v>
          </cell>
          <cell r="DW105">
            <v>16.78</v>
          </cell>
          <cell r="DX105">
            <v>16.250000000000004</v>
          </cell>
          <cell r="DY105">
            <v>14.39</v>
          </cell>
          <cell r="DZ105">
            <v>13.833333333333334</v>
          </cell>
          <cell r="EA105">
            <v>13.25</v>
          </cell>
          <cell r="EB105">
            <v>13.526666666666666</v>
          </cell>
          <cell r="EC105">
            <v>13.606666666666667</v>
          </cell>
          <cell r="ED105">
            <v>13.743333333333334</v>
          </cell>
          <cell r="EE105">
            <v>14.700000000000001</v>
          </cell>
          <cell r="EF105">
            <v>14.71</v>
          </cell>
          <cell r="EG105">
            <v>13.606666666666667</v>
          </cell>
          <cell r="EH105">
            <v>13.393333333333333</v>
          </cell>
          <cell r="EI105">
            <v>13.020000000000001</v>
          </cell>
          <cell r="EJ105">
            <v>12.469999999999999</v>
          </cell>
          <cell r="EK105">
            <v>11.976666666666667</v>
          </cell>
          <cell r="EL105">
            <v>11.016666666666666</v>
          </cell>
          <cell r="EM105">
            <v>10.273333333333333</v>
          </cell>
          <cell r="EN105">
            <v>10.18</v>
          </cell>
          <cell r="EO105">
            <v>10.093333333333334</v>
          </cell>
          <cell r="EP105">
            <v>9.66</v>
          </cell>
          <cell r="EQ105">
            <v>10.356666666666667</v>
          </cell>
          <cell r="ER105">
            <v>10.906666666666666</v>
          </cell>
          <cell r="ES105">
            <v>11.38</v>
          </cell>
          <cell r="ET105">
            <v>10.753333333333336</v>
          </cell>
          <cell r="EU105">
            <v>10.979999999999999</v>
          </cell>
          <cell r="EV105">
            <v>11.073333333333332</v>
          </cell>
          <cell r="EW105">
            <v>10.513333333333334</v>
          </cell>
          <cell r="EX105">
            <v>10.643333333333333</v>
          </cell>
          <cell r="EY105">
            <v>10.366666666666667</v>
          </cell>
          <cell r="EZ105">
            <v>9.8866666666666667</v>
          </cell>
          <cell r="FA105">
            <v>9.8133333333333344</v>
          </cell>
          <cell r="FB105">
            <v>10.096666666666666</v>
          </cell>
          <cell r="FC105">
            <v>10.31</v>
          </cell>
          <cell r="FD105">
            <v>10.416666666666666</v>
          </cell>
          <cell r="FE105">
            <v>10.596666666666666</v>
          </cell>
          <cell r="FF105">
            <v>10.203333333333335</v>
          </cell>
          <cell r="FG105">
            <v>9.92</v>
          </cell>
          <cell r="FH105">
            <v>9.6833333333333318</v>
          </cell>
          <cell r="FI105">
            <v>9.4</v>
          </cell>
          <cell r="FJ105">
            <v>9.2033333333333331</v>
          </cell>
          <cell r="FK105">
            <v>9.1300000000000008</v>
          </cell>
          <cell r="FL105">
            <v>8.7033333333333349</v>
          </cell>
          <cell r="FM105">
            <v>8.8699999999999992</v>
          </cell>
          <cell r="FN105">
            <v>8.4033333333333342</v>
          </cell>
          <cell r="FO105">
            <v>8.14</v>
          </cell>
          <cell r="FP105">
            <v>7.623333333333334</v>
          </cell>
          <cell r="FQ105">
            <v>7.5533333333333337</v>
          </cell>
          <cell r="FR105">
            <v>7.8466666666666667</v>
          </cell>
          <cell r="FS105">
            <v>8.5966666666666658</v>
          </cell>
          <cell r="FT105">
            <v>8.84</v>
          </cell>
          <cell r="FU105">
            <v>9.2066666666666688</v>
          </cell>
          <cell r="FV105">
            <v>8.8766666666666669</v>
          </cell>
          <cell r="FW105">
            <v>8.2333333333333325</v>
          </cell>
          <cell r="FX105">
            <v>8.0533333333333328</v>
          </cell>
          <cell r="FY105">
            <v>7.6400000000000006</v>
          </cell>
          <cell r="FZ105">
            <v>7.71</v>
          </cell>
          <cell r="GA105">
            <v>8.2966666666666669</v>
          </cell>
          <cell r="GB105">
            <v>8.2933333333333348</v>
          </cell>
          <cell r="GC105">
            <v>7.916666666666667</v>
          </cell>
          <cell r="GD105">
            <v>8.07</v>
          </cell>
          <cell r="GE105">
            <v>8.1866666666666656</v>
          </cell>
          <cell r="GF105">
            <v>7.7566666666666668</v>
          </cell>
          <cell r="GG105">
            <v>7.4366666666666674</v>
          </cell>
          <cell r="GH105">
            <v>7.2533333333333339</v>
          </cell>
          <cell r="GI105">
            <v>7.253333333333333</v>
          </cell>
          <cell r="GJ105">
            <v>7.1266666666666678</v>
          </cell>
          <cell r="GK105">
            <v>7.25</v>
          </cell>
          <cell r="GL105">
            <v>7.4033333333333333</v>
          </cell>
          <cell r="GM105">
            <v>7.7399999999999993</v>
          </cell>
          <cell r="GN105">
            <v>8.1</v>
          </cell>
          <cell r="GO105">
            <v>8.24</v>
          </cell>
          <cell r="GP105">
            <v>8.33</v>
          </cell>
          <cell r="GQ105">
            <v>8.5933333333333337</v>
          </cell>
          <cell r="GR105">
            <v>8.32</v>
          </cell>
          <cell r="GS105">
            <v>8.2133333333333329</v>
          </cell>
          <cell r="GT105">
            <v>7.88</v>
          </cell>
          <cell r="GU105">
            <v>8.0366666666666671</v>
          </cell>
          <cell r="GV105">
            <v>7.95</v>
          </cell>
          <cell r="GW105">
            <v>7.9233333333333347</v>
          </cell>
          <cell r="GX105">
            <v>7.956666666666667</v>
          </cell>
          <cell r="GY105">
            <v>8.0233333333333317</v>
          </cell>
          <cell r="GZ105">
            <v>7.6266666666666678</v>
          </cell>
          <cell r="HA105">
            <v>7.6000000000000005</v>
          </cell>
          <cell r="HB105">
            <v>7.12</v>
          </cell>
          <cell r="HC105">
            <v>6.4733333333333336</v>
          </cell>
          <cell r="HD105">
            <v>6.8066666666666658</v>
          </cell>
          <cell r="HE105">
            <v>6.663333333333334</v>
          </cell>
          <cell r="HF105">
            <v>6.2733333333333334</v>
          </cell>
          <cell r="HG105">
            <v>6.663333333333334</v>
          </cell>
          <cell r="HH105">
            <v>6.45</v>
          </cell>
          <cell r="HI105">
            <v>6.1866666666666674</v>
          </cell>
          <cell r="HJ105">
            <v>5.9666666666666659</v>
          </cell>
          <cell r="HK105">
            <v>5.9733333333333327</v>
          </cell>
          <cell r="HL105">
            <v>5.98</v>
          </cell>
          <cell r="HM105">
            <v>6.3366666666666669</v>
          </cell>
          <cell r="HN105">
            <v>6.3066666666666675</v>
          </cell>
          <cell r="HO105">
            <v>6.7366666666666672</v>
          </cell>
          <cell r="HP105">
            <v>6.5933333333333337</v>
          </cell>
          <cell r="HQ105">
            <v>6.28</v>
          </cell>
          <cell r="HR105">
            <v>6.2966666666666669</v>
          </cell>
          <cell r="HS105">
            <v>6.4933333333333332</v>
          </cell>
          <cell r="HT105">
            <v>6.63</v>
          </cell>
          <cell r="HU105">
            <v>6.5100000000000007</v>
          </cell>
          <cell r="HV105">
            <v>6.75</v>
          </cell>
          <cell r="HW105">
            <v>6.9899999999999993</v>
          </cell>
          <cell r="HX105">
            <v>7.206666666666667</v>
          </cell>
          <cell r="HY105">
            <v>8.8400000000000016</v>
          </cell>
          <cell r="HZ105">
            <v>8.2133333333333329</v>
          </cell>
          <cell r="IA105">
            <v>7.9833333333333343</v>
          </cell>
          <cell r="IB105">
            <v>6.66</v>
          </cell>
          <cell r="IC105">
            <v>6.3266666666666671</v>
          </cell>
          <cell r="ID105">
            <v>6.2866666666666662</v>
          </cell>
          <cell r="IE105">
            <v>6.1766666666666667</v>
          </cell>
          <cell r="IF105">
            <v>5.7766666666666664</v>
          </cell>
          <cell r="IG105">
            <v>5.913333333333334</v>
          </cell>
          <cell r="IH105">
            <v>6.09</v>
          </cell>
          <cell r="II105">
            <v>5.8500000000000005</v>
          </cell>
          <cell r="IJ105">
            <v>5.76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tschreibung von Monatswerten"/>
    </sheetNames>
    <sheetDataSet>
      <sheetData sheetId="0">
        <row r="19">
          <cell r="C19">
            <v>26.366666666666664</v>
          </cell>
          <cell r="D19">
            <v>27.866666666666671</v>
          </cell>
          <cell r="E19">
            <v>29.100000000000005</v>
          </cell>
          <cell r="F19">
            <v>30.766666666666669</v>
          </cell>
          <cell r="G19">
            <v>30.666666666666668</v>
          </cell>
          <cell r="H19">
            <v>30.166666666666668</v>
          </cell>
          <cell r="I19">
            <v>30.100000000000005</v>
          </cell>
          <cell r="J19">
            <v>29.866666666666664</v>
          </cell>
          <cell r="K19">
            <v>29.566666666666666</v>
          </cell>
          <cell r="L19">
            <v>29.666666666666668</v>
          </cell>
          <cell r="M19">
            <v>29.3</v>
          </cell>
          <cell r="N19">
            <v>29.133333333333336</v>
          </cell>
          <cell r="O19">
            <v>29.033333333333331</v>
          </cell>
          <cell r="P19">
            <v>29.366666666666671</v>
          </cell>
          <cell r="Q19">
            <v>29.166666666666668</v>
          </cell>
          <cell r="R19">
            <v>29.333333333333332</v>
          </cell>
          <cell r="S19">
            <v>29.333333333333339</v>
          </cell>
          <cell r="T19">
            <v>29.266666666666666</v>
          </cell>
          <cell r="U19">
            <v>29.100000000000005</v>
          </cell>
          <cell r="V19">
            <v>29.233333333333334</v>
          </cell>
          <cell r="W19">
            <v>29.233333333333334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"/>
      <sheetName val="q"/>
      <sheetName val="y"/>
    </sheetNames>
    <sheetDataSet>
      <sheetData sheetId="0">
        <row r="5">
          <cell r="B5">
            <v>23.61</v>
          </cell>
          <cell r="Q5">
            <v>26.1</v>
          </cell>
        </row>
        <row r="6">
          <cell r="B6">
            <v>23.64</v>
          </cell>
          <cell r="Q6">
            <v>26.1</v>
          </cell>
        </row>
        <row r="7">
          <cell r="B7">
            <v>23.650000000000002</v>
          </cell>
          <cell r="Q7">
            <v>26.1</v>
          </cell>
        </row>
        <row r="8">
          <cell r="B8">
            <v>23.77</v>
          </cell>
          <cell r="Q8">
            <v>26.400000000000002</v>
          </cell>
        </row>
        <row r="9">
          <cell r="B9">
            <v>23.88</v>
          </cell>
          <cell r="Q9">
            <v>26.6</v>
          </cell>
        </row>
        <row r="10">
          <cell r="B10">
            <v>24.07</v>
          </cell>
          <cell r="Q10">
            <v>27.3</v>
          </cell>
        </row>
        <row r="11">
          <cell r="B11">
            <v>24.2</v>
          </cell>
          <cell r="Q11">
            <v>27.900000000000002</v>
          </cell>
        </row>
        <row r="12">
          <cell r="B12">
            <v>24.34</v>
          </cell>
          <cell r="Q12">
            <v>28.400000000000002</v>
          </cell>
        </row>
        <row r="13">
          <cell r="B13">
            <v>24.5</v>
          </cell>
          <cell r="Q13">
            <v>28.6</v>
          </cell>
        </row>
        <row r="14">
          <cell r="B14">
            <v>24.6</v>
          </cell>
          <cell r="Q14">
            <v>29</v>
          </cell>
        </row>
        <row r="15">
          <cell r="B15">
            <v>24.98</v>
          </cell>
          <cell r="Q15">
            <v>29.700000000000003</v>
          </cell>
        </row>
        <row r="16">
          <cell r="B16">
            <v>25.38</v>
          </cell>
          <cell r="Q16">
            <v>30.5</v>
          </cell>
        </row>
        <row r="17">
          <cell r="B17">
            <v>25.830000000000002</v>
          </cell>
          <cell r="Q17">
            <v>30.900000000000002</v>
          </cell>
        </row>
        <row r="18">
          <cell r="B18">
            <v>25.88</v>
          </cell>
          <cell r="Q18">
            <v>30.900000000000002</v>
          </cell>
        </row>
        <row r="19">
          <cell r="B19">
            <v>25.92</v>
          </cell>
          <cell r="Q19">
            <v>30.8</v>
          </cell>
        </row>
        <row r="20">
          <cell r="B20">
            <v>25.990000000000002</v>
          </cell>
          <cell r="Q20">
            <v>30.700000000000003</v>
          </cell>
        </row>
        <row r="21">
          <cell r="B21">
            <v>25.93</v>
          </cell>
          <cell r="Q21">
            <v>30.5</v>
          </cell>
        </row>
        <row r="22">
          <cell r="B22">
            <v>25.91</v>
          </cell>
          <cell r="Q22">
            <v>30.3</v>
          </cell>
        </row>
        <row r="23">
          <cell r="B23">
            <v>25.86</v>
          </cell>
          <cell r="Q23">
            <v>30.1</v>
          </cell>
        </row>
        <row r="24">
          <cell r="B24">
            <v>26.03</v>
          </cell>
          <cell r="Q24">
            <v>30.1</v>
          </cell>
        </row>
        <row r="25">
          <cell r="B25">
            <v>26.16</v>
          </cell>
          <cell r="Q25">
            <v>30.1</v>
          </cell>
        </row>
        <row r="26">
          <cell r="B26">
            <v>26.32</v>
          </cell>
          <cell r="Q26">
            <v>30.1</v>
          </cell>
        </row>
        <row r="27">
          <cell r="B27">
            <v>26.47</v>
          </cell>
          <cell r="Q27">
            <v>30.1</v>
          </cell>
        </row>
        <row r="28">
          <cell r="B28">
            <v>26.45</v>
          </cell>
          <cell r="Q28">
            <v>30</v>
          </cell>
        </row>
        <row r="29">
          <cell r="B29">
            <v>26.41</v>
          </cell>
          <cell r="Q29">
            <v>29.8</v>
          </cell>
        </row>
        <row r="30">
          <cell r="B30">
            <v>26.39</v>
          </cell>
          <cell r="Q30">
            <v>29.8</v>
          </cell>
        </row>
        <row r="31">
          <cell r="B31">
            <v>26.46</v>
          </cell>
          <cell r="Q31">
            <v>29.6</v>
          </cell>
        </row>
        <row r="32">
          <cell r="B32">
            <v>26.47</v>
          </cell>
          <cell r="Q32">
            <v>29.6</v>
          </cell>
        </row>
        <row r="33">
          <cell r="B33">
            <v>26.53</v>
          </cell>
          <cell r="Q33">
            <v>29.5</v>
          </cell>
        </row>
        <row r="34">
          <cell r="B34">
            <v>26.68</v>
          </cell>
          <cell r="Q34">
            <v>29.6</v>
          </cell>
        </row>
        <row r="35">
          <cell r="B35">
            <v>26.69</v>
          </cell>
          <cell r="Q35">
            <v>29.8</v>
          </cell>
        </row>
        <row r="36">
          <cell r="B36">
            <v>26.63</v>
          </cell>
          <cell r="Q36">
            <v>29.6</v>
          </cell>
        </row>
        <row r="37">
          <cell r="B37">
            <v>26.69</v>
          </cell>
          <cell r="Q37">
            <v>29.5</v>
          </cell>
        </row>
        <row r="38">
          <cell r="B38">
            <v>26.69</v>
          </cell>
          <cell r="Q38">
            <v>29.3</v>
          </cell>
        </row>
        <row r="39">
          <cell r="B39">
            <v>26.71</v>
          </cell>
          <cell r="Q39">
            <v>29.1</v>
          </cell>
        </row>
        <row r="40">
          <cell r="B40">
            <v>26.64</v>
          </cell>
          <cell r="Q40">
            <v>29.1</v>
          </cell>
        </row>
        <row r="41">
          <cell r="B41">
            <v>26.59</v>
          </cell>
          <cell r="Q41">
            <v>29.1</v>
          </cell>
        </row>
        <row r="42">
          <cell r="B42">
            <v>26.63</v>
          </cell>
          <cell r="Q42">
            <v>29.200000000000003</v>
          </cell>
        </row>
        <row r="43">
          <cell r="B43">
            <v>26.69</v>
          </cell>
          <cell r="Q43">
            <v>29</v>
          </cell>
        </row>
        <row r="44">
          <cell r="B44">
            <v>26.7</v>
          </cell>
          <cell r="Q44">
            <v>29.1</v>
          </cell>
        </row>
        <row r="45">
          <cell r="B45">
            <v>26.77</v>
          </cell>
          <cell r="Q45">
            <v>29</v>
          </cell>
        </row>
        <row r="46">
          <cell r="B46">
            <v>26.79</v>
          </cell>
          <cell r="Q46">
            <v>29.400000000000002</v>
          </cell>
        </row>
        <row r="47">
          <cell r="B47">
            <v>26.85</v>
          </cell>
          <cell r="Q47">
            <v>29.3</v>
          </cell>
        </row>
        <row r="48">
          <cell r="B48">
            <v>26.89</v>
          </cell>
          <cell r="Q48">
            <v>29.400000000000002</v>
          </cell>
        </row>
        <row r="49">
          <cell r="B49">
            <v>26.95</v>
          </cell>
          <cell r="Q49">
            <v>29.200000000000003</v>
          </cell>
        </row>
        <row r="50">
          <cell r="B50">
            <v>26.85</v>
          </cell>
          <cell r="Q50">
            <v>29.1</v>
          </cell>
        </row>
        <row r="51">
          <cell r="B51">
            <v>26.87</v>
          </cell>
          <cell r="Q51">
            <v>29.200000000000003</v>
          </cell>
        </row>
        <row r="52">
          <cell r="B52">
            <v>26.94</v>
          </cell>
          <cell r="Q52">
            <v>29.400000000000002</v>
          </cell>
        </row>
        <row r="53">
          <cell r="B53">
            <v>26.990000000000002</v>
          </cell>
          <cell r="Q53">
            <v>29.3</v>
          </cell>
        </row>
        <row r="54">
          <cell r="B54">
            <v>26.93</v>
          </cell>
          <cell r="Q54">
            <v>29.3</v>
          </cell>
        </row>
        <row r="55">
          <cell r="B55">
            <v>26.86</v>
          </cell>
          <cell r="Q55">
            <v>29.400000000000002</v>
          </cell>
        </row>
        <row r="56">
          <cell r="B56">
            <v>26.93</v>
          </cell>
          <cell r="Q56">
            <v>29.400000000000002</v>
          </cell>
        </row>
        <row r="57">
          <cell r="B57">
            <v>26.94</v>
          </cell>
          <cell r="Q57">
            <v>29.200000000000003</v>
          </cell>
        </row>
        <row r="58">
          <cell r="B58">
            <v>26.86</v>
          </cell>
          <cell r="Q58">
            <v>29.3</v>
          </cell>
        </row>
        <row r="59">
          <cell r="B59">
            <v>26.85</v>
          </cell>
          <cell r="Q59">
            <v>29.3</v>
          </cell>
        </row>
        <row r="60">
          <cell r="B60">
            <v>26.810000000000002</v>
          </cell>
          <cell r="Q60">
            <v>29.200000000000003</v>
          </cell>
        </row>
        <row r="61">
          <cell r="B61">
            <v>26.72</v>
          </cell>
          <cell r="Q61">
            <v>29.1</v>
          </cell>
        </row>
        <row r="62">
          <cell r="B62">
            <v>26.78</v>
          </cell>
          <cell r="Q62">
            <v>29.200000000000003</v>
          </cell>
        </row>
        <row r="63">
          <cell r="B63">
            <v>26.77</v>
          </cell>
          <cell r="Q63">
            <v>29</v>
          </cell>
        </row>
        <row r="64">
          <cell r="B64">
            <v>26.77</v>
          </cell>
          <cell r="Q64">
            <v>29.200000000000003</v>
          </cell>
        </row>
        <row r="65">
          <cell r="B65">
            <v>26.82</v>
          </cell>
          <cell r="Q65">
            <v>29.3</v>
          </cell>
        </row>
        <row r="66">
          <cell r="B66">
            <v>26.79</v>
          </cell>
          <cell r="Q66">
            <v>29.200000000000003</v>
          </cell>
        </row>
        <row r="67">
          <cell r="B67">
            <v>26.79</v>
          </cell>
          <cell r="Q67">
            <v>29.3</v>
          </cell>
        </row>
        <row r="68">
          <cell r="B68">
            <v>26.77</v>
          </cell>
          <cell r="Q68">
            <v>29.1</v>
          </cell>
        </row>
        <row r="69">
          <cell r="B69">
            <v>26.71</v>
          </cell>
          <cell r="Q69">
            <v>29.3</v>
          </cell>
        </row>
        <row r="70">
          <cell r="B70">
            <v>26.76</v>
          </cell>
          <cell r="Q70">
            <v>29.3</v>
          </cell>
        </row>
        <row r="71">
          <cell r="B71">
            <v>26.72</v>
          </cell>
          <cell r="Q71">
            <v>29.400000000000002</v>
          </cell>
        </row>
        <row r="72">
          <cell r="B72">
            <v>26.85</v>
          </cell>
          <cell r="Q72">
            <v>29.6</v>
          </cell>
        </row>
        <row r="73">
          <cell r="B73">
            <v>26.82</v>
          </cell>
          <cell r="Q73">
            <v>29.6</v>
          </cell>
        </row>
        <row r="74">
          <cell r="B74">
            <v>26.88</v>
          </cell>
          <cell r="Q74">
            <v>29.5</v>
          </cell>
        </row>
        <row r="75">
          <cell r="B75">
            <v>26.87</v>
          </cell>
          <cell r="Q75">
            <v>29.5</v>
          </cell>
        </row>
        <row r="76">
          <cell r="B76">
            <v>26.830000000000002</v>
          </cell>
          <cell r="Q76">
            <v>29.700000000000003</v>
          </cell>
        </row>
        <row r="77">
          <cell r="B77">
            <v>26.86</v>
          </cell>
          <cell r="Q77">
            <v>29.8</v>
          </cell>
        </row>
        <row r="78">
          <cell r="B78">
            <v>26.89</v>
          </cell>
          <cell r="Q78">
            <v>29.900000000000002</v>
          </cell>
        </row>
        <row r="79">
          <cell r="B79">
            <v>26.93</v>
          </cell>
          <cell r="Q79">
            <v>30.1</v>
          </cell>
        </row>
        <row r="80">
          <cell r="B80">
            <v>27.03</v>
          </cell>
          <cell r="Q80">
            <v>30.3</v>
          </cell>
        </row>
        <row r="81">
          <cell r="B81">
            <v>27.150000000000002</v>
          </cell>
          <cell r="Q81">
            <v>30.3</v>
          </cell>
        </row>
        <row r="82">
          <cell r="B82">
            <v>27.29</v>
          </cell>
          <cell r="Q82">
            <v>30.200000000000003</v>
          </cell>
        </row>
        <row r="83">
          <cell r="B83">
            <v>27.310000000000002</v>
          </cell>
          <cell r="Q83">
            <v>30.400000000000002</v>
          </cell>
        </row>
        <row r="84">
          <cell r="B84">
            <v>27.35</v>
          </cell>
          <cell r="Q84">
            <v>30.6</v>
          </cell>
        </row>
        <row r="85">
          <cell r="B85">
            <v>27.51</v>
          </cell>
          <cell r="Q85">
            <v>30.6</v>
          </cell>
        </row>
        <row r="86">
          <cell r="B86">
            <v>27.51</v>
          </cell>
          <cell r="Q86">
            <v>30.700000000000003</v>
          </cell>
        </row>
        <row r="87">
          <cell r="B87">
            <v>27.63</v>
          </cell>
          <cell r="Q87">
            <v>30.8</v>
          </cell>
        </row>
        <row r="88">
          <cell r="B88">
            <v>27.67</v>
          </cell>
          <cell r="D88">
            <v>28.5</v>
          </cell>
          <cell r="Q88">
            <v>31</v>
          </cell>
        </row>
        <row r="89">
          <cell r="B89">
            <v>27.8</v>
          </cell>
          <cell r="D89">
            <v>28.6</v>
          </cell>
          <cell r="Q89">
            <v>31</v>
          </cell>
        </row>
        <row r="90">
          <cell r="B90">
            <v>27.86</v>
          </cell>
          <cell r="D90">
            <v>28.7</v>
          </cell>
          <cell r="Q90">
            <v>31</v>
          </cell>
        </row>
        <row r="91">
          <cell r="B91">
            <v>27.93</v>
          </cell>
          <cell r="D91">
            <v>28.8</v>
          </cell>
          <cell r="Q91">
            <v>31.1</v>
          </cell>
        </row>
        <row r="92">
          <cell r="B92">
            <v>28</v>
          </cell>
          <cell r="D92">
            <v>28.8</v>
          </cell>
          <cell r="Q92">
            <v>31</v>
          </cell>
        </row>
        <row r="93">
          <cell r="B93">
            <v>28.11</v>
          </cell>
          <cell r="D93">
            <v>28.900000000000002</v>
          </cell>
          <cell r="Q93">
            <v>31.1</v>
          </cell>
        </row>
        <row r="94">
          <cell r="B94">
            <v>28.19</v>
          </cell>
          <cell r="D94">
            <v>29</v>
          </cell>
          <cell r="Q94">
            <v>31.3</v>
          </cell>
        </row>
        <row r="95">
          <cell r="B95">
            <v>28.28</v>
          </cell>
          <cell r="D95">
            <v>29</v>
          </cell>
          <cell r="Q95">
            <v>31.400000000000002</v>
          </cell>
        </row>
        <row r="96">
          <cell r="B96">
            <v>28.32</v>
          </cell>
          <cell r="D96">
            <v>29.1</v>
          </cell>
          <cell r="Q96">
            <v>31.3</v>
          </cell>
        </row>
        <row r="97">
          <cell r="B97">
            <v>28.32</v>
          </cell>
          <cell r="D97">
            <v>29.2</v>
          </cell>
          <cell r="Q97">
            <v>31.200000000000003</v>
          </cell>
        </row>
        <row r="98">
          <cell r="B98">
            <v>28.41</v>
          </cell>
          <cell r="D98">
            <v>29.3</v>
          </cell>
          <cell r="Q98">
            <v>31.3</v>
          </cell>
        </row>
        <row r="99">
          <cell r="B99">
            <v>28.47</v>
          </cell>
          <cell r="D99">
            <v>29.3</v>
          </cell>
          <cell r="Q99">
            <v>31.400000000000002</v>
          </cell>
        </row>
        <row r="100">
          <cell r="B100">
            <v>28.64</v>
          </cell>
          <cell r="D100">
            <v>29.3</v>
          </cell>
          <cell r="Q100">
            <v>31.5</v>
          </cell>
        </row>
        <row r="101">
          <cell r="B101">
            <v>28.7</v>
          </cell>
          <cell r="D101">
            <v>29.400000000000002</v>
          </cell>
          <cell r="Q101">
            <v>31.5</v>
          </cell>
        </row>
        <row r="102">
          <cell r="B102">
            <v>28.87</v>
          </cell>
          <cell r="D102">
            <v>29.5</v>
          </cell>
          <cell r="Q102">
            <v>31.700000000000003</v>
          </cell>
        </row>
        <row r="103">
          <cell r="B103">
            <v>28.94</v>
          </cell>
          <cell r="D103">
            <v>29.5</v>
          </cell>
          <cell r="Q103">
            <v>31.6</v>
          </cell>
        </row>
        <row r="104">
          <cell r="B104">
            <v>28.94</v>
          </cell>
          <cell r="D104">
            <v>29.5</v>
          </cell>
          <cell r="Q104">
            <v>31.700000000000003</v>
          </cell>
        </row>
        <row r="105">
          <cell r="B105">
            <v>28.91</v>
          </cell>
          <cell r="D105">
            <v>29.6</v>
          </cell>
          <cell r="Q105">
            <v>31.6</v>
          </cell>
        </row>
        <row r="106">
          <cell r="B106">
            <v>28.89</v>
          </cell>
          <cell r="D106">
            <v>29.6</v>
          </cell>
          <cell r="Q106">
            <v>31.6</v>
          </cell>
        </row>
        <row r="107">
          <cell r="B107">
            <v>28.94</v>
          </cell>
          <cell r="D107">
            <v>29.6</v>
          </cell>
          <cell r="Q107">
            <v>31.6</v>
          </cell>
        </row>
        <row r="108">
          <cell r="B108">
            <v>28.91</v>
          </cell>
          <cell r="D108">
            <v>29.7</v>
          </cell>
          <cell r="Q108">
            <v>31.6</v>
          </cell>
        </row>
        <row r="109">
          <cell r="B109">
            <v>28.91</v>
          </cell>
          <cell r="D109">
            <v>29.7</v>
          </cell>
          <cell r="Q109">
            <v>31.5</v>
          </cell>
        </row>
        <row r="110">
          <cell r="B110">
            <v>28.95</v>
          </cell>
          <cell r="D110">
            <v>29.8</v>
          </cell>
          <cell r="Q110">
            <v>31.6</v>
          </cell>
        </row>
        <row r="111">
          <cell r="B111">
            <v>28.97</v>
          </cell>
          <cell r="D111">
            <v>29.900000000000002</v>
          </cell>
          <cell r="Q111">
            <v>31.6</v>
          </cell>
        </row>
        <row r="112">
          <cell r="B112">
            <v>29.01</v>
          </cell>
          <cell r="D112">
            <v>29.900000000000002</v>
          </cell>
          <cell r="Q112">
            <v>31.700000000000003</v>
          </cell>
        </row>
        <row r="113">
          <cell r="B113">
            <v>29</v>
          </cell>
          <cell r="D113">
            <v>29.900000000000002</v>
          </cell>
          <cell r="Q113">
            <v>31.700000000000003</v>
          </cell>
        </row>
        <row r="114">
          <cell r="B114">
            <v>28.97</v>
          </cell>
          <cell r="D114">
            <v>30</v>
          </cell>
          <cell r="Q114">
            <v>31.700000000000003</v>
          </cell>
        </row>
        <row r="115">
          <cell r="B115">
            <v>28.98</v>
          </cell>
          <cell r="D115">
            <v>30</v>
          </cell>
          <cell r="Q115">
            <v>31.8</v>
          </cell>
        </row>
        <row r="116">
          <cell r="B116">
            <v>29.04</v>
          </cell>
          <cell r="D116">
            <v>30.1</v>
          </cell>
          <cell r="Q116">
            <v>31.8</v>
          </cell>
        </row>
        <row r="117">
          <cell r="B117">
            <v>29.11</v>
          </cell>
          <cell r="D117">
            <v>30.2</v>
          </cell>
          <cell r="Q117">
            <v>31.700000000000003</v>
          </cell>
        </row>
        <row r="118">
          <cell r="B118">
            <v>29.150000000000002</v>
          </cell>
          <cell r="D118">
            <v>30.2</v>
          </cell>
          <cell r="Q118">
            <v>31.700000000000003</v>
          </cell>
        </row>
        <row r="119">
          <cell r="B119">
            <v>29.18</v>
          </cell>
          <cell r="D119">
            <v>30.2</v>
          </cell>
          <cell r="Q119">
            <v>31.6</v>
          </cell>
        </row>
        <row r="120">
          <cell r="B120">
            <v>29.25</v>
          </cell>
          <cell r="D120">
            <v>30.3</v>
          </cell>
          <cell r="Q120">
            <v>31.700000000000003</v>
          </cell>
        </row>
        <row r="121">
          <cell r="B121">
            <v>29.35</v>
          </cell>
          <cell r="D121">
            <v>30.400000000000002</v>
          </cell>
          <cell r="Q121">
            <v>31.6</v>
          </cell>
        </row>
        <row r="122">
          <cell r="B122">
            <v>29.35</v>
          </cell>
          <cell r="D122">
            <v>30.400000000000002</v>
          </cell>
          <cell r="Q122">
            <v>31.5</v>
          </cell>
        </row>
        <row r="123">
          <cell r="B123">
            <v>29.41</v>
          </cell>
          <cell r="D123">
            <v>30.5</v>
          </cell>
          <cell r="Q123">
            <v>31.5</v>
          </cell>
        </row>
        <row r="124">
          <cell r="B124">
            <v>29.37</v>
          </cell>
          <cell r="D124">
            <v>30.5</v>
          </cell>
          <cell r="Q124">
            <v>31.6</v>
          </cell>
        </row>
        <row r="125">
          <cell r="B125">
            <v>29.41</v>
          </cell>
          <cell r="D125">
            <v>30.6</v>
          </cell>
          <cell r="Q125">
            <v>31.6</v>
          </cell>
        </row>
        <row r="126">
          <cell r="B126">
            <v>29.41</v>
          </cell>
          <cell r="D126">
            <v>30.6</v>
          </cell>
          <cell r="Q126">
            <v>31.8</v>
          </cell>
        </row>
        <row r="127">
          <cell r="B127">
            <v>29.54</v>
          </cell>
          <cell r="D127">
            <v>30.6</v>
          </cell>
          <cell r="Q127">
            <v>31.8</v>
          </cell>
        </row>
        <row r="128">
          <cell r="B128">
            <v>29.57</v>
          </cell>
          <cell r="D128">
            <v>30.6</v>
          </cell>
          <cell r="Q128">
            <v>31.700000000000003</v>
          </cell>
        </row>
        <row r="129">
          <cell r="B129">
            <v>29.61</v>
          </cell>
          <cell r="D129">
            <v>30.7</v>
          </cell>
          <cell r="Q129">
            <v>31.700000000000003</v>
          </cell>
        </row>
        <row r="130">
          <cell r="B130">
            <v>29.55</v>
          </cell>
          <cell r="D130">
            <v>30.6</v>
          </cell>
          <cell r="Q130">
            <v>31.700000000000003</v>
          </cell>
        </row>
        <row r="131">
          <cell r="B131">
            <v>29.61</v>
          </cell>
          <cell r="D131">
            <v>30.6</v>
          </cell>
          <cell r="Q131">
            <v>31.6</v>
          </cell>
        </row>
        <row r="132">
          <cell r="B132">
            <v>29.61</v>
          </cell>
          <cell r="D132">
            <v>30.6</v>
          </cell>
          <cell r="Q132">
            <v>31.6</v>
          </cell>
        </row>
        <row r="133">
          <cell r="B133">
            <v>29.75</v>
          </cell>
          <cell r="D133">
            <v>30.8</v>
          </cell>
          <cell r="Q133">
            <v>31.700000000000003</v>
          </cell>
        </row>
        <row r="134">
          <cell r="B134">
            <v>29.78</v>
          </cell>
          <cell r="D134">
            <v>30.8</v>
          </cell>
          <cell r="Q134">
            <v>31.700000000000003</v>
          </cell>
        </row>
        <row r="135">
          <cell r="B135">
            <v>29.810000000000002</v>
          </cell>
          <cell r="D135">
            <v>30.7</v>
          </cell>
          <cell r="Q135">
            <v>31.700000000000003</v>
          </cell>
        </row>
        <row r="136">
          <cell r="B136">
            <v>29.84</v>
          </cell>
          <cell r="D136">
            <v>30.8</v>
          </cell>
          <cell r="Q136">
            <v>31.8</v>
          </cell>
        </row>
        <row r="137">
          <cell r="B137">
            <v>29.84</v>
          </cell>
          <cell r="D137">
            <v>30.8</v>
          </cell>
          <cell r="Q137">
            <v>31.8</v>
          </cell>
        </row>
        <row r="138">
          <cell r="B138">
            <v>29.84</v>
          </cell>
          <cell r="D138">
            <v>30.900000000000002</v>
          </cell>
          <cell r="Q138">
            <v>31.8</v>
          </cell>
        </row>
        <row r="139">
          <cell r="B139">
            <v>29.810000000000002</v>
          </cell>
          <cell r="D139">
            <v>30.900000000000002</v>
          </cell>
          <cell r="Q139">
            <v>31.6</v>
          </cell>
        </row>
        <row r="140">
          <cell r="B140">
            <v>29.84</v>
          </cell>
          <cell r="D140">
            <v>30.900000000000002</v>
          </cell>
          <cell r="Q140">
            <v>31.5</v>
          </cell>
        </row>
        <row r="141">
          <cell r="B141">
            <v>29.84</v>
          </cell>
          <cell r="D141">
            <v>31</v>
          </cell>
          <cell r="Q141">
            <v>31.3</v>
          </cell>
        </row>
        <row r="142">
          <cell r="B142">
            <v>29.92</v>
          </cell>
          <cell r="D142">
            <v>31</v>
          </cell>
          <cell r="Q142">
            <v>31.5</v>
          </cell>
        </row>
        <row r="143">
          <cell r="B143">
            <v>29.94</v>
          </cell>
          <cell r="D143">
            <v>31.1</v>
          </cell>
          <cell r="Q143">
            <v>31.5</v>
          </cell>
        </row>
        <row r="144">
          <cell r="B144">
            <v>29.98</v>
          </cell>
          <cell r="D144">
            <v>31.1</v>
          </cell>
          <cell r="Q144">
            <v>31.5</v>
          </cell>
        </row>
        <row r="145">
          <cell r="B145">
            <v>29.98</v>
          </cell>
          <cell r="D145">
            <v>31.1</v>
          </cell>
          <cell r="Q145">
            <v>31.5</v>
          </cell>
        </row>
        <row r="146">
          <cell r="B146">
            <v>29.98</v>
          </cell>
          <cell r="D146">
            <v>31.2</v>
          </cell>
          <cell r="Q146">
            <v>31.5</v>
          </cell>
        </row>
        <row r="147">
          <cell r="B147">
            <v>30.01</v>
          </cell>
          <cell r="D147">
            <v>31.2</v>
          </cell>
          <cell r="Q147">
            <v>31.6</v>
          </cell>
        </row>
        <row r="148">
          <cell r="B148">
            <v>30.04</v>
          </cell>
          <cell r="D148">
            <v>31.2</v>
          </cell>
          <cell r="Q148">
            <v>31.700000000000003</v>
          </cell>
        </row>
        <row r="149">
          <cell r="B149">
            <v>30.11</v>
          </cell>
          <cell r="D149">
            <v>31.2</v>
          </cell>
          <cell r="Q149">
            <v>31.700000000000003</v>
          </cell>
        </row>
        <row r="150">
          <cell r="B150">
            <v>30.17</v>
          </cell>
          <cell r="D150">
            <v>31.3</v>
          </cell>
          <cell r="Q150">
            <v>31.700000000000003</v>
          </cell>
        </row>
        <row r="151">
          <cell r="B151">
            <v>30.21</v>
          </cell>
          <cell r="D151">
            <v>31.3</v>
          </cell>
          <cell r="Q151">
            <v>31.6</v>
          </cell>
        </row>
        <row r="152">
          <cell r="B152">
            <v>30.240000000000002</v>
          </cell>
          <cell r="D152">
            <v>31.400000000000002</v>
          </cell>
          <cell r="Q152">
            <v>31.5</v>
          </cell>
        </row>
        <row r="153">
          <cell r="B153">
            <v>30.21</v>
          </cell>
          <cell r="D153">
            <v>31.400000000000002</v>
          </cell>
          <cell r="Q153">
            <v>31.5</v>
          </cell>
        </row>
        <row r="154">
          <cell r="B154">
            <v>30.22</v>
          </cell>
          <cell r="D154">
            <v>31.400000000000002</v>
          </cell>
          <cell r="Q154">
            <v>31.6</v>
          </cell>
        </row>
        <row r="155">
          <cell r="B155">
            <v>30.28</v>
          </cell>
          <cell r="D155">
            <v>31.5</v>
          </cell>
          <cell r="Q155">
            <v>31.6</v>
          </cell>
        </row>
        <row r="156">
          <cell r="B156">
            <v>30.42</v>
          </cell>
          <cell r="D156">
            <v>31.5</v>
          </cell>
          <cell r="Q156">
            <v>31.900000000000002</v>
          </cell>
        </row>
        <row r="157">
          <cell r="B157">
            <v>30.38</v>
          </cell>
          <cell r="D157">
            <v>31.5</v>
          </cell>
          <cell r="Q157">
            <v>31.700000000000003</v>
          </cell>
        </row>
        <row r="158">
          <cell r="B158">
            <v>30.38</v>
          </cell>
          <cell r="D158">
            <v>31.5</v>
          </cell>
          <cell r="Q158">
            <v>31.700000000000003</v>
          </cell>
        </row>
        <row r="159">
          <cell r="B159">
            <v>30.38</v>
          </cell>
          <cell r="D159">
            <v>31.6</v>
          </cell>
          <cell r="Q159">
            <v>31.6</v>
          </cell>
        </row>
        <row r="160">
          <cell r="B160">
            <v>30.44</v>
          </cell>
          <cell r="D160">
            <v>31.5</v>
          </cell>
          <cell r="Q160">
            <v>31.6</v>
          </cell>
        </row>
        <row r="161">
          <cell r="B161">
            <v>30.48</v>
          </cell>
          <cell r="D161">
            <v>31.6</v>
          </cell>
          <cell r="Q161">
            <v>31.5</v>
          </cell>
        </row>
        <row r="162">
          <cell r="B162">
            <v>30.51</v>
          </cell>
          <cell r="D162">
            <v>31.7</v>
          </cell>
          <cell r="Q162">
            <v>31.5</v>
          </cell>
        </row>
        <row r="163">
          <cell r="B163">
            <v>30.48</v>
          </cell>
          <cell r="D163">
            <v>31.7</v>
          </cell>
          <cell r="Q163">
            <v>31.400000000000002</v>
          </cell>
        </row>
        <row r="164">
          <cell r="B164">
            <v>30.51</v>
          </cell>
          <cell r="D164">
            <v>31.7</v>
          </cell>
          <cell r="Q164">
            <v>31.5</v>
          </cell>
        </row>
        <row r="165">
          <cell r="B165">
            <v>30.61</v>
          </cell>
          <cell r="D165">
            <v>31.8</v>
          </cell>
          <cell r="Q165">
            <v>31.6</v>
          </cell>
        </row>
        <row r="166">
          <cell r="B166">
            <v>30.69</v>
          </cell>
          <cell r="D166">
            <v>31.8</v>
          </cell>
          <cell r="Q166">
            <v>31.700000000000003</v>
          </cell>
        </row>
        <row r="167">
          <cell r="B167">
            <v>30.75</v>
          </cell>
          <cell r="D167">
            <v>31.900000000000002</v>
          </cell>
          <cell r="Q167">
            <v>31.6</v>
          </cell>
        </row>
        <row r="168">
          <cell r="B168">
            <v>30.72</v>
          </cell>
          <cell r="D168">
            <v>31.900000000000002</v>
          </cell>
          <cell r="Q168">
            <v>31.6</v>
          </cell>
        </row>
        <row r="169">
          <cell r="B169">
            <v>30.75</v>
          </cell>
          <cell r="D169">
            <v>32</v>
          </cell>
          <cell r="Q169">
            <v>31.6</v>
          </cell>
        </row>
        <row r="170">
          <cell r="B170">
            <v>30.78</v>
          </cell>
          <cell r="D170">
            <v>32</v>
          </cell>
          <cell r="Q170">
            <v>31.700000000000003</v>
          </cell>
        </row>
        <row r="171">
          <cell r="B171">
            <v>30.88</v>
          </cell>
          <cell r="D171">
            <v>32.1</v>
          </cell>
          <cell r="Q171">
            <v>31.6</v>
          </cell>
        </row>
        <row r="172">
          <cell r="B172">
            <v>30.94</v>
          </cell>
          <cell r="D172">
            <v>32.200000000000003</v>
          </cell>
          <cell r="Q172">
            <v>31.8</v>
          </cell>
        </row>
        <row r="173">
          <cell r="B173">
            <v>30.91</v>
          </cell>
          <cell r="D173">
            <v>32.200000000000003</v>
          </cell>
          <cell r="Q173">
            <v>31.6</v>
          </cell>
        </row>
        <row r="174">
          <cell r="B174">
            <v>30.94</v>
          </cell>
          <cell r="D174">
            <v>32.200000000000003</v>
          </cell>
          <cell r="Q174">
            <v>31.6</v>
          </cell>
        </row>
        <row r="175">
          <cell r="B175">
            <v>30.95</v>
          </cell>
          <cell r="D175">
            <v>32.200000000000003</v>
          </cell>
          <cell r="Q175">
            <v>31.6</v>
          </cell>
        </row>
        <row r="176">
          <cell r="B176">
            <v>30.98</v>
          </cell>
          <cell r="D176">
            <v>32.200000000000003</v>
          </cell>
          <cell r="Q176">
            <v>31.5</v>
          </cell>
        </row>
        <row r="177">
          <cell r="B177">
            <v>31.01</v>
          </cell>
          <cell r="D177">
            <v>32.299999999999997</v>
          </cell>
          <cell r="Q177">
            <v>31.5</v>
          </cell>
        </row>
        <row r="178">
          <cell r="B178">
            <v>31.02</v>
          </cell>
          <cell r="D178">
            <v>32.299999999999997</v>
          </cell>
          <cell r="Q178">
            <v>31.6</v>
          </cell>
        </row>
        <row r="179">
          <cell r="B179">
            <v>31.05</v>
          </cell>
          <cell r="D179">
            <v>32.299999999999997</v>
          </cell>
          <cell r="Q179">
            <v>31.6</v>
          </cell>
        </row>
        <row r="180">
          <cell r="B180">
            <v>31.080000000000002</v>
          </cell>
          <cell r="D180">
            <v>32.299999999999997</v>
          </cell>
          <cell r="Q180">
            <v>31.700000000000003</v>
          </cell>
        </row>
        <row r="181">
          <cell r="B181">
            <v>31.12</v>
          </cell>
          <cell r="D181">
            <v>32.4</v>
          </cell>
          <cell r="Q181">
            <v>31.700000000000003</v>
          </cell>
        </row>
        <row r="182">
          <cell r="B182">
            <v>31.21</v>
          </cell>
          <cell r="D182">
            <v>32.5</v>
          </cell>
          <cell r="Q182">
            <v>31.700000000000003</v>
          </cell>
        </row>
        <row r="183">
          <cell r="B183">
            <v>31.25</v>
          </cell>
          <cell r="D183">
            <v>32.5</v>
          </cell>
          <cell r="Q183">
            <v>31.700000000000003</v>
          </cell>
        </row>
        <row r="184">
          <cell r="B184">
            <v>31.28</v>
          </cell>
          <cell r="D184">
            <v>32.6</v>
          </cell>
          <cell r="Q184">
            <v>31.8</v>
          </cell>
        </row>
        <row r="185">
          <cell r="B185">
            <v>31.28</v>
          </cell>
          <cell r="D185">
            <v>32.6</v>
          </cell>
          <cell r="Q185">
            <v>31.900000000000002</v>
          </cell>
        </row>
        <row r="186">
          <cell r="B186">
            <v>31.310000000000002</v>
          </cell>
          <cell r="D186">
            <v>32.6</v>
          </cell>
          <cell r="Q186">
            <v>31.900000000000002</v>
          </cell>
        </row>
        <row r="187">
          <cell r="B187">
            <v>31.38</v>
          </cell>
          <cell r="D187">
            <v>32.700000000000003</v>
          </cell>
          <cell r="Q187">
            <v>32</v>
          </cell>
        </row>
        <row r="188">
          <cell r="B188">
            <v>31.48</v>
          </cell>
          <cell r="D188">
            <v>32.700000000000003</v>
          </cell>
          <cell r="Q188">
            <v>32.1</v>
          </cell>
        </row>
        <row r="189">
          <cell r="B189">
            <v>31.61</v>
          </cell>
          <cell r="D189">
            <v>32.700000000000003</v>
          </cell>
          <cell r="Q189">
            <v>32.4</v>
          </cell>
        </row>
        <row r="190">
          <cell r="B190">
            <v>31.580000000000002</v>
          </cell>
          <cell r="D190">
            <v>32.700000000000003</v>
          </cell>
          <cell r="Q190">
            <v>32.4</v>
          </cell>
        </row>
        <row r="191">
          <cell r="B191">
            <v>31.55</v>
          </cell>
          <cell r="D191">
            <v>32.700000000000003</v>
          </cell>
          <cell r="Q191">
            <v>32.4</v>
          </cell>
        </row>
        <row r="192">
          <cell r="B192">
            <v>31.62</v>
          </cell>
          <cell r="D192">
            <v>32.799999999999997</v>
          </cell>
          <cell r="Q192">
            <v>32.4</v>
          </cell>
        </row>
        <row r="193">
          <cell r="B193">
            <v>31.650000000000002</v>
          </cell>
          <cell r="D193">
            <v>32.799999999999997</v>
          </cell>
          <cell r="Q193">
            <v>32.5</v>
          </cell>
        </row>
        <row r="194">
          <cell r="B194">
            <v>31.75</v>
          </cell>
          <cell r="D194">
            <v>32.9</v>
          </cell>
          <cell r="Q194">
            <v>32.6</v>
          </cell>
        </row>
        <row r="195">
          <cell r="B195">
            <v>31.85</v>
          </cell>
          <cell r="D195">
            <v>33</v>
          </cell>
          <cell r="Q195">
            <v>32.800000000000004</v>
          </cell>
        </row>
        <row r="196">
          <cell r="B196">
            <v>31.88</v>
          </cell>
          <cell r="D196">
            <v>33</v>
          </cell>
          <cell r="Q196">
            <v>32.9</v>
          </cell>
        </row>
        <row r="197">
          <cell r="B197">
            <v>32.08</v>
          </cell>
          <cell r="D197">
            <v>33.1</v>
          </cell>
          <cell r="Q197">
            <v>33.200000000000003</v>
          </cell>
        </row>
        <row r="198">
          <cell r="B198">
            <v>32.18</v>
          </cell>
          <cell r="D198">
            <v>33.1</v>
          </cell>
          <cell r="Q198">
            <v>33.200000000000003</v>
          </cell>
        </row>
        <row r="199">
          <cell r="B199">
            <v>32.28</v>
          </cell>
          <cell r="D199">
            <v>33.299999999999997</v>
          </cell>
          <cell r="Q199">
            <v>33.200000000000003</v>
          </cell>
        </row>
        <row r="200">
          <cell r="B200">
            <v>32.35</v>
          </cell>
          <cell r="D200">
            <v>33.4</v>
          </cell>
          <cell r="Q200">
            <v>33.200000000000003</v>
          </cell>
        </row>
        <row r="201">
          <cell r="B201">
            <v>32.380000000000003</v>
          </cell>
          <cell r="D201">
            <v>33.5</v>
          </cell>
          <cell r="Q201">
            <v>33.300000000000004</v>
          </cell>
        </row>
        <row r="202">
          <cell r="B202">
            <v>32.450000000000003</v>
          </cell>
          <cell r="D202">
            <v>33.6</v>
          </cell>
          <cell r="Q202">
            <v>33.5</v>
          </cell>
        </row>
        <row r="203">
          <cell r="B203">
            <v>32.65</v>
          </cell>
          <cell r="D203">
            <v>33.700000000000003</v>
          </cell>
          <cell r="Q203">
            <v>33.6</v>
          </cell>
        </row>
        <row r="204">
          <cell r="B204">
            <v>32.75</v>
          </cell>
          <cell r="D204">
            <v>33.799999999999997</v>
          </cell>
          <cell r="Q204">
            <v>33.6</v>
          </cell>
        </row>
        <row r="205">
          <cell r="B205">
            <v>32.85</v>
          </cell>
          <cell r="D205">
            <v>34</v>
          </cell>
          <cell r="Q205">
            <v>33.4</v>
          </cell>
        </row>
        <row r="206">
          <cell r="B206">
            <v>32.880000000000003</v>
          </cell>
          <cell r="D206">
            <v>34</v>
          </cell>
          <cell r="Q206">
            <v>33.300000000000004</v>
          </cell>
        </row>
        <row r="207">
          <cell r="B207">
            <v>32.92</v>
          </cell>
          <cell r="D207">
            <v>34.1</v>
          </cell>
          <cell r="Q207">
            <v>33.300000000000004</v>
          </cell>
        </row>
        <row r="208">
          <cell r="B208">
            <v>32.9</v>
          </cell>
          <cell r="D208">
            <v>34.200000000000003</v>
          </cell>
          <cell r="Q208">
            <v>33.4</v>
          </cell>
        </row>
        <row r="209">
          <cell r="B209">
            <v>33</v>
          </cell>
          <cell r="D209">
            <v>34.200000000000003</v>
          </cell>
          <cell r="Q209">
            <v>33.4</v>
          </cell>
        </row>
        <row r="210">
          <cell r="B210">
            <v>33</v>
          </cell>
          <cell r="D210">
            <v>34.300000000000004</v>
          </cell>
          <cell r="Q210">
            <v>33.300000000000004</v>
          </cell>
        </row>
        <row r="211">
          <cell r="B211">
            <v>33.1</v>
          </cell>
          <cell r="D211">
            <v>34.4</v>
          </cell>
          <cell r="Q211">
            <v>33.1</v>
          </cell>
        </row>
        <row r="212">
          <cell r="B212">
            <v>33.1</v>
          </cell>
          <cell r="D212">
            <v>34.5</v>
          </cell>
          <cell r="Q212">
            <v>33.300000000000004</v>
          </cell>
        </row>
        <row r="213">
          <cell r="B213">
            <v>33.299999999999997</v>
          </cell>
          <cell r="D213">
            <v>34.6</v>
          </cell>
          <cell r="Q213">
            <v>33.5</v>
          </cell>
        </row>
        <row r="214">
          <cell r="B214">
            <v>33.4</v>
          </cell>
          <cell r="D214">
            <v>34.700000000000003</v>
          </cell>
          <cell r="Q214">
            <v>33.5</v>
          </cell>
        </row>
        <row r="215">
          <cell r="B215">
            <v>33.5</v>
          </cell>
          <cell r="D215">
            <v>34.9</v>
          </cell>
          <cell r="Q215">
            <v>33.4</v>
          </cell>
        </row>
        <row r="216">
          <cell r="B216">
            <v>33.6</v>
          </cell>
          <cell r="D216">
            <v>35</v>
          </cell>
          <cell r="Q216">
            <v>33.4</v>
          </cell>
        </row>
        <row r="217">
          <cell r="B217">
            <v>33.700000000000003</v>
          </cell>
          <cell r="D217">
            <v>35.1</v>
          </cell>
          <cell r="Q217">
            <v>33.4</v>
          </cell>
        </row>
        <row r="218">
          <cell r="B218">
            <v>33.9</v>
          </cell>
          <cell r="D218">
            <v>35.200000000000003</v>
          </cell>
          <cell r="Q218">
            <v>33.4</v>
          </cell>
        </row>
        <row r="219">
          <cell r="B219">
            <v>34</v>
          </cell>
          <cell r="D219">
            <v>35.4</v>
          </cell>
          <cell r="Q219">
            <v>33.700000000000003</v>
          </cell>
        </row>
        <row r="220">
          <cell r="B220">
            <v>34.1</v>
          </cell>
          <cell r="D220">
            <v>35.5</v>
          </cell>
          <cell r="Q220">
            <v>33.800000000000004</v>
          </cell>
        </row>
        <row r="221">
          <cell r="B221">
            <v>34.200000000000003</v>
          </cell>
          <cell r="D221">
            <v>35.700000000000003</v>
          </cell>
          <cell r="Q221">
            <v>34</v>
          </cell>
        </row>
        <row r="222">
          <cell r="B222">
            <v>34.300000000000004</v>
          </cell>
          <cell r="D222">
            <v>35.800000000000004</v>
          </cell>
          <cell r="Q222">
            <v>34.1</v>
          </cell>
        </row>
        <row r="223">
          <cell r="B223">
            <v>34.4</v>
          </cell>
          <cell r="D223">
            <v>35.9</v>
          </cell>
          <cell r="Q223">
            <v>34.1</v>
          </cell>
        </row>
        <row r="224">
          <cell r="B224">
            <v>34.5</v>
          </cell>
          <cell r="D224">
            <v>36</v>
          </cell>
          <cell r="Q224">
            <v>34.200000000000003</v>
          </cell>
        </row>
        <row r="225">
          <cell r="B225">
            <v>34.700000000000003</v>
          </cell>
          <cell r="D225">
            <v>36.200000000000003</v>
          </cell>
          <cell r="Q225">
            <v>34.200000000000003</v>
          </cell>
        </row>
        <row r="226">
          <cell r="B226">
            <v>34.9</v>
          </cell>
          <cell r="D226">
            <v>36.4</v>
          </cell>
          <cell r="Q226">
            <v>34.300000000000004</v>
          </cell>
        </row>
        <row r="227">
          <cell r="B227">
            <v>35</v>
          </cell>
          <cell r="D227">
            <v>36.5</v>
          </cell>
          <cell r="Q227">
            <v>34.200000000000003</v>
          </cell>
        </row>
        <row r="228">
          <cell r="B228">
            <v>35.1</v>
          </cell>
          <cell r="D228">
            <v>36.700000000000003</v>
          </cell>
          <cell r="Q228">
            <v>34.4</v>
          </cell>
        </row>
        <row r="229">
          <cell r="B229">
            <v>35.300000000000004</v>
          </cell>
          <cell r="D229">
            <v>36.9</v>
          </cell>
          <cell r="Q229">
            <v>34.4</v>
          </cell>
        </row>
        <row r="230">
          <cell r="B230">
            <v>35.4</v>
          </cell>
          <cell r="D230">
            <v>37.1</v>
          </cell>
          <cell r="Q230">
            <v>34.5</v>
          </cell>
        </row>
        <row r="231">
          <cell r="B231">
            <v>35.6</v>
          </cell>
          <cell r="D231">
            <v>37.200000000000003</v>
          </cell>
          <cell r="Q231">
            <v>34.6</v>
          </cell>
        </row>
        <row r="232">
          <cell r="B232">
            <v>35.700000000000003</v>
          </cell>
          <cell r="D232">
            <v>37.300000000000004</v>
          </cell>
          <cell r="Q232">
            <v>34.800000000000004</v>
          </cell>
        </row>
        <row r="233">
          <cell r="B233">
            <v>35.800000000000004</v>
          </cell>
          <cell r="D233">
            <v>37.6</v>
          </cell>
          <cell r="Q233">
            <v>35</v>
          </cell>
        </row>
        <row r="234">
          <cell r="B234">
            <v>36.1</v>
          </cell>
          <cell r="D234">
            <v>37.800000000000004</v>
          </cell>
          <cell r="Q234">
            <v>35.200000000000003</v>
          </cell>
        </row>
        <row r="235">
          <cell r="B235">
            <v>36.300000000000004</v>
          </cell>
          <cell r="D235">
            <v>38.1</v>
          </cell>
          <cell r="Q235">
            <v>35.300000000000004</v>
          </cell>
        </row>
        <row r="236">
          <cell r="B236">
            <v>36.4</v>
          </cell>
          <cell r="D236">
            <v>38.1</v>
          </cell>
          <cell r="Q236">
            <v>35.5</v>
          </cell>
        </row>
        <row r="237">
          <cell r="B237">
            <v>36.6</v>
          </cell>
          <cell r="D237">
            <v>38.300000000000004</v>
          </cell>
          <cell r="Q237">
            <v>35.700000000000003</v>
          </cell>
        </row>
        <row r="238">
          <cell r="B238">
            <v>36.800000000000004</v>
          </cell>
          <cell r="D238">
            <v>38.5</v>
          </cell>
          <cell r="Q238">
            <v>35.800000000000004</v>
          </cell>
        </row>
        <row r="239">
          <cell r="B239">
            <v>36.9</v>
          </cell>
          <cell r="D239">
            <v>38.700000000000003</v>
          </cell>
          <cell r="Q239">
            <v>35.700000000000003</v>
          </cell>
        </row>
        <row r="240">
          <cell r="B240">
            <v>37.1</v>
          </cell>
          <cell r="D240">
            <v>38.9</v>
          </cell>
          <cell r="Q240">
            <v>35.800000000000004</v>
          </cell>
        </row>
        <row r="241">
          <cell r="B241">
            <v>37.300000000000004</v>
          </cell>
          <cell r="D241">
            <v>39.1</v>
          </cell>
          <cell r="Q241">
            <v>35.9</v>
          </cell>
        </row>
        <row r="242">
          <cell r="B242">
            <v>37.5</v>
          </cell>
          <cell r="D242">
            <v>39.200000000000003</v>
          </cell>
          <cell r="Q242">
            <v>36.1</v>
          </cell>
        </row>
        <row r="243">
          <cell r="B243">
            <v>37.700000000000003</v>
          </cell>
          <cell r="D243">
            <v>39.4</v>
          </cell>
          <cell r="Q243">
            <v>36.300000000000004</v>
          </cell>
        </row>
        <row r="244">
          <cell r="B244">
            <v>37.9</v>
          </cell>
          <cell r="D244">
            <v>39.6</v>
          </cell>
          <cell r="Q244">
            <v>36.5</v>
          </cell>
        </row>
        <row r="245">
          <cell r="B245">
            <v>38.1</v>
          </cell>
          <cell r="D245">
            <v>39.800000000000004</v>
          </cell>
          <cell r="Q245">
            <v>36.700000000000003</v>
          </cell>
        </row>
        <row r="246">
          <cell r="B246">
            <v>38.300000000000004</v>
          </cell>
          <cell r="D246">
            <v>40.1</v>
          </cell>
          <cell r="Q246">
            <v>36.700000000000003</v>
          </cell>
        </row>
        <row r="247">
          <cell r="B247">
            <v>38.5</v>
          </cell>
          <cell r="D247">
            <v>40.4</v>
          </cell>
          <cell r="Q247">
            <v>36.800000000000004</v>
          </cell>
        </row>
        <row r="248">
          <cell r="B248">
            <v>38.6</v>
          </cell>
          <cell r="D248">
            <v>40.5</v>
          </cell>
          <cell r="Q248">
            <v>36.800000000000004</v>
          </cell>
        </row>
        <row r="249">
          <cell r="B249">
            <v>38.800000000000004</v>
          </cell>
          <cell r="D249">
            <v>40.800000000000004</v>
          </cell>
          <cell r="Q249">
            <v>36.9</v>
          </cell>
        </row>
        <row r="250">
          <cell r="B250">
            <v>38.9</v>
          </cell>
          <cell r="D250">
            <v>40.9</v>
          </cell>
          <cell r="Q250">
            <v>37.1</v>
          </cell>
        </row>
        <row r="251">
          <cell r="B251">
            <v>39</v>
          </cell>
          <cell r="D251">
            <v>41.1</v>
          </cell>
          <cell r="Q251">
            <v>36.9</v>
          </cell>
        </row>
        <row r="252">
          <cell r="B252">
            <v>39.200000000000003</v>
          </cell>
          <cell r="D252">
            <v>41.300000000000004</v>
          </cell>
          <cell r="Q252">
            <v>37.1</v>
          </cell>
        </row>
        <row r="253">
          <cell r="B253">
            <v>39.4</v>
          </cell>
          <cell r="D253">
            <v>41.5</v>
          </cell>
          <cell r="Q253">
            <v>37.1</v>
          </cell>
        </row>
        <row r="254">
          <cell r="B254">
            <v>39.6</v>
          </cell>
          <cell r="D254">
            <v>41.800000000000004</v>
          </cell>
          <cell r="Q254">
            <v>37.1</v>
          </cell>
        </row>
        <row r="255">
          <cell r="B255">
            <v>39.800000000000004</v>
          </cell>
          <cell r="D255">
            <v>42</v>
          </cell>
          <cell r="Q255">
            <v>37.1</v>
          </cell>
        </row>
        <row r="256">
          <cell r="B256">
            <v>39.9</v>
          </cell>
          <cell r="D256">
            <v>42.1</v>
          </cell>
          <cell r="Q256">
            <v>37.300000000000004</v>
          </cell>
        </row>
        <row r="257">
          <cell r="B257">
            <v>39.9</v>
          </cell>
          <cell r="D257">
            <v>42.2</v>
          </cell>
          <cell r="Q257">
            <v>37.700000000000003</v>
          </cell>
        </row>
        <row r="258">
          <cell r="B258">
            <v>40</v>
          </cell>
          <cell r="D258">
            <v>42.2</v>
          </cell>
          <cell r="Q258">
            <v>37.800000000000004</v>
          </cell>
        </row>
        <row r="259">
          <cell r="B259">
            <v>40.1</v>
          </cell>
          <cell r="D259">
            <v>42.4</v>
          </cell>
          <cell r="Q259">
            <v>37.9</v>
          </cell>
        </row>
        <row r="260">
          <cell r="B260">
            <v>40.300000000000004</v>
          </cell>
          <cell r="D260">
            <v>42.6</v>
          </cell>
          <cell r="Q260">
            <v>38.1</v>
          </cell>
        </row>
        <row r="261">
          <cell r="B261">
            <v>40.5</v>
          </cell>
          <cell r="D261">
            <v>42.800000000000004</v>
          </cell>
          <cell r="Q261">
            <v>38.200000000000003</v>
          </cell>
        </row>
        <row r="262">
          <cell r="B262">
            <v>40.6</v>
          </cell>
          <cell r="D262">
            <v>42.9</v>
          </cell>
          <cell r="Q262">
            <v>38.300000000000004</v>
          </cell>
        </row>
        <row r="263">
          <cell r="B263">
            <v>40.700000000000003</v>
          </cell>
          <cell r="D263">
            <v>43</v>
          </cell>
          <cell r="Q263">
            <v>38.5</v>
          </cell>
        </row>
        <row r="264">
          <cell r="B264">
            <v>40.800000000000004</v>
          </cell>
          <cell r="D264">
            <v>43</v>
          </cell>
          <cell r="Q264">
            <v>38.300000000000004</v>
          </cell>
        </row>
        <row r="265">
          <cell r="B265">
            <v>40.9</v>
          </cell>
          <cell r="D265">
            <v>43.1</v>
          </cell>
          <cell r="Q265">
            <v>38.300000000000004</v>
          </cell>
        </row>
        <row r="266">
          <cell r="B266">
            <v>41</v>
          </cell>
          <cell r="D266">
            <v>43.2</v>
          </cell>
          <cell r="Q266">
            <v>38.300000000000004</v>
          </cell>
        </row>
        <row r="267">
          <cell r="B267">
            <v>41.1</v>
          </cell>
          <cell r="D267">
            <v>43.300000000000004</v>
          </cell>
          <cell r="Q267">
            <v>38.6</v>
          </cell>
        </row>
        <row r="268">
          <cell r="B268">
            <v>41.2</v>
          </cell>
          <cell r="D268">
            <v>43.5</v>
          </cell>
          <cell r="Q268">
            <v>38.800000000000004</v>
          </cell>
        </row>
        <row r="269">
          <cell r="B269">
            <v>41.4</v>
          </cell>
          <cell r="D269">
            <v>43.6</v>
          </cell>
          <cell r="Q269">
            <v>39.200000000000003</v>
          </cell>
        </row>
        <row r="270">
          <cell r="B270">
            <v>41.4</v>
          </cell>
          <cell r="D270">
            <v>43.6</v>
          </cell>
          <cell r="Q270">
            <v>39.200000000000003</v>
          </cell>
        </row>
        <row r="271">
          <cell r="B271">
            <v>41.5</v>
          </cell>
          <cell r="D271">
            <v>43.800000000000004</v>
          </cell>
          <cell r="Q271">
            <v>39.300000000000004</v>
          </cell>
        </row>
        <row r="272">
          <cell r="B272">
            <v>41.6</v>
          </cell>
          <cell r="D272">
            <v>43.9</v>
          </cell>
          <cell r="Q272">
            <v>39.5</v>
          </cell>
        </row>
        <row r="273">
          <cell r="B273">
            <v>41.7</v>
          </cell>
          <cell r="D273">
            <v>44</v>
          </cell>
          <cell r="Q273">
            <v>39.700000000000003</v>
          </cell>
        </row>
        <row r="274">
          <cell r="B274">
            <v>41.800000000000004</v>
          </cell>
          <cell r="D274">
            <v>44.1</v>
          </cell>
          <cell r="Q274">
            <v>40</v>
          </cell>
        </row>
        <row r="275">
          <cell r="B275">
            <v>41.9</v>
          </cell>
          <cell r="D275">
            <v>44.300000000000004</v>
          </cell>
          <cell r="Q275">
            <v>40.1</v>
          </cell>
        </row>
        <row r="276">
          <cell r="B276">
            <v>42.1</v>
          </cell>
          <cell r="D276">
            <v>44.300000000000004</v>
          </cell>
          <cell r="Q276">
            <v>40.200000000000003</v>
          </cell>
        </row>
        <row r="277">
          <cell r="B277">
            <v>42.2</v>
          </cell>
          <cell r="D277">
            <v>44.4</v>
          </cell>
          <cell r="Q277">
            <v>40.1</v>
          </cell>
        </row>
        <row r="278">
          <cell r="B278">
            <v>42.4</v>
          </cell>
          <cell r="D278">
            <v>44.4</v>
          </cell>
          <cell r="Q278">
            <v>40.300000000000004</v>
          </cell>
        </row>
        <row r="279">
          <cell r="B279">
            <v>42.5</v>
          </cell>
          <cell r="D279">
            <v>44.6</v>
          </cell>
          <cell r="Q279">
            <v>41.1</v>
          </cell>
        </row>
        <row r="280">
          <cell r="B280">
            <v>42.7</v>
          </cell>
          <cell r="D280">
            <v>44.6</v>
          </cell>
          <cell r="Q280">
            <v>41.6</v>
          </cell>
        </row>
        <row r="281">
          <cell r="B281">
            <v>43</v>
          </cell>
          <cell r="D281">
            <v>44.800000000000004</v>
          </cell>
          <cell r="Q281">
            <v>42.400000000000006</v>
          </cell>
        </row>
        <row r="282">
          <cell r="B282">
            <v>43.4</v>
          </cell>
          <cell r="D282">
            <v>45</v>
          </cell>
          <cell r="Q282">
            <v>43.400000000000006</v>
          </cell>
        </row>
        <row r="283">
          <cell r="B283">
            <v>43.7</v>
          </cell>
          <cell r="D283">
            <v>45.1</v>
          </cell>
          <cell r="Q283">
            <v>43.6</v>
          </cell>
        </row>
        <row r="284">
          <cell r="B284">
            <v>43.9</v>
          </cell>
          <cell r="D284">
            <v>45.300000000000004</v>
          </cell>
          <cell r="Q284">
            <v>44.5</v>
          </cell>
        </row>
        <row r="285">
          <cell r="B285">
            <v>44.2</v>
          </cell>
          <cell r="D285">
            <v>45.4</v>
          </cell>
          <cell r="Q285">
            <v>45.5</v>
          </cell>
        </row>
        <row r="286">
          <cell r="B286">
            <v>44.2</v>
          </cell>
          <cell r="D286">
            <v>45.5</v>
          </cell>
          <cell r="Q286">
            <v>44.900000000000006</v>
          </cell>
        </row>
        <row r="287">
          <cell r="B287">
            <v>45</v>
          </cell>
          <cell r="D287">
            <v>45.7</v>
          </cell>
          <cell r="Q287">
            <v>47.5</v>
          </cell>
        </row>
        <row r="288">
          <cell r="B288">
            <v>45.2</v>
          </cell>
          <cell r="D288">
            <v>46</v>
          </cell>
          <cell r="Q288">
            <v>46.7</v>
          </cell>
        </row>
        <row r="289">
          <cell r="B289">
            <v>45.6</v>
          </cell>
          <cell r="D289">
            <v>46.300000000000004</v>
          </cell>
          <cell r="Q289">
            <v>46.300000000000004</v>
          </cell>
        </row>
        <row r="290">
          <cell r="B290">
            <v>45.9</v>
          </cell>
          <cell r="D290">
            <v>46.5</v>
          </cell>
          <cell r="Q290">
            <v>46.5</v>
          </cell>
        </row>
        <row r="291">
          <cell r="B291">
            <v>46.300000000000004</v>
          </cell>
          <cell r="D291">
            <v>46.7</v>
          </cell>
          <cell r="Q291">
            <v>47.400000000000006</v>
          </cell>
        </row>
        <row r="292">
          <cell r="B292">
            <v>46.800000000000004</v>
          </cell>
          <cell r="D292">
            <v>46.9</v>
          </cell>
          <cell r="Q292">
            <v>49</v>
          </cell>
        </row>
        <row r="293">
          <cell r="B293">
            <v>47.300000000000004</v>
          </cell>
          <cell r="D293">
            <v>47.2</v>
          </cell>
          <cell r="Q293">
            <v>50</v>
          </cell>
        </row>
        <row r="294">
          <cell r="B294">
            <v>47.800000000000004</v>
          </cell>
          <cell r="D294">
            <v>47.6</v>
          </cell>
          <cell r="Q294">
            <v>50.6</v>
          </cell>
        </row>
        <row r="295">
          <cell r="B295">
            <v>48.1</v>
          </cell>
          <cell r="D295">
            <v>47.9</v>
          </cell>
          <cell r="Q295">
            <v>51</v>
          </cell>
        </row>
        <row r="296">
          <cell r="B296">
            <v>48.6</v>
          </cell>
          <cell r="D296">
            <v>48.5</v>
          </cell>
          <cell r="Q296">
            <v>51.800000000000004</v>
          </cell>
        </row>
        <row r="297">
          <cell r="B297">
            <v>49</v>
          </cell>
          <cell r="D297">
            <v>49</v>
          </cell>
          <cell r="Q297">
            <v>52</v>
          </cell>
        </row>
        <row r="298">
          <cell r="B298">
            <v>49.300000000000004</v>
          </cell>
          <cell r="D298">
            <v>49.5</v>
          </cell>
          <cell r="Q298">
            <v>54</v>
          </cell>
        </row>
        <row r="299">
          <cell r="B299">
            <v>49.9</v>
          </cell>
          <cell r="D299">
            <v>50.2</v>
          </cell>
          <cell r="Q299">
            <v>55.900000000000006</v>
          </cell>
        </row>
        <row r="300">
          <cell r="B300">
            <v>50.6</v>
          </cell>
          <cell r="D300">
            <v>50.7</v>
          </cell>
          <cell r="Q300">
            <v>55.900000000000006</v>
          </cell>
        </row>
        <row r="301">
          <cell r="B301">
            <v>51</v>
          </cell>
          <cell r="D301">
            <v>51.2</v>
          </cell>
          <cell r="Q301">
            <v>56.900000000000006</v>
          </cell>
        </row>
        <row r="302">
          <cell r="B302">
            <v>51.5</v>
          </cell>
          <cell r="D302">
            <v>51.6</v>
          </cell>
          <cell r="Q302">
            <v>57.400000000000006</v>
          </cell>
        </row>
        <row r="303">
          <cell r="B303">
            <v>51.9</v>
          </cell>
          <cell r="D303">
            <v>52</v>
          </cell>
          <cell r="Q303">
            <v>57.300000000000004</v>
          </cell>
        </row>
        <row r="304">
          <cell r="B304">
            <v>52.300000000000004</v>
          </cell>
          <cell r="D304">
            <v>52.300000000000004</v>
          </cell>
          <cell r="Q304">
            <v>57.400000000000006</v>
          </cell>
        </row>
        <row r="305">
          <cell r="B305">
            <v>52.6</v>
          </cell>
          <cell r="D305">
            <v>52.800000000000004</v>
          </cell>
          <cell r="Q305">
            <v>57.2</v>
          </cell>
        </row>
        <row r="306">
          <cell r="B306">
            <v>52.800000000000004</v>
          </cell>
          <cell r="D306">
            <v>53</v>
          </cell>
          <cell r="Q306">
            <v>56.900000000000006</v>
          </cell>
        </row>
        <row r="307">
          <cell r="B307">
            <v>53</v>
          </cell>
          <cell r="D307">
            <v>53.300000000000004</v>
          </cell>
          <cell r="Q307">
            <v>57.5</v>
          </cell>
        </row>
        <row r="308">
          <cell r="B308">
            <v>53.1</v>
          </cell>
          <cell r="D308">
            <v>53.5</v>
          </cell>
          <cell r="Q308">
            <v>57.900000000000006</v>
          </cell>
        </row>
        <row r="309">
          <cell r="B309">
            <v>53.5</v>
          </cell>
          <cell r="D309">
            <v>53.800000000000004</v>
          </cell>
          <cell r="Q309">
            <v>58</v>
          </cell>
        </row>
        <row r="310">
          <cell r="B310">
            <v>54</v>
          </cell>
          <cell r="D310">
            <v>54</v>
          </cell>
          <cell r="Q310">
            <v>58.7</v>
          </cell>
        </row>
        <row r="311">
          <cell r="B311">
            <v>54.2</v>
          </cell>
          <cell r="D311">
            <v>54.2</v>
          </cell>
          <cell r="Q311">
            <v>59</v>
          </cell>
        </row>
        <row r="312">
          <cell r="B312">
            <v>54.6</v>
          </cell>
          <cell r="D312">
            <v>54.5</v>
          </cell>
          <cell r="Q312">
            <v>59.400000000000006</v>
          </cell>
        </row>
        <row r="313">
          <cell r="B313">
            <v>54.9</v>
          </cell>
          <cell r="D313">
            <v>54.800000000000004</v>
          </cell>
          <cell r="Q313">
            <v>59.800000000000004</v>
          </cell>
        </row>
        <row r="314">
          <cell r="B314">
            <v>55.300000000000004</v>
          </cell>
          <cell r="D314">
            <v>55.2</v>
          </cell>
          <cell r="Q314">
            <v>59.5</v>
          </cell>
        </row>
        <row r="315">
          <cell r="B315">
            <v>55.6</v>
          </cell>
          <cell r="D315">
            <v>55.5</v>
          </cell>
          <cell r="Q315">
            <v>59.7</v>
          </cell>
        </row>
        <row r="316">
          <cell r="B316">
            <v>55.800000000000004</v>
          </cell>
          <cell r="D316">
            <v>55.9</v>
          </cell>
          <cell r="Q316">
            <v>59.900000000000006</v>
          </cell>
        </row>
        <row r="317">
          <cell r="B317">
            <v>55.9</v>
          </cell>
          <cell r="D317">
            <v>56.2</v>
          </cell>
          <cell r="Q317">
            <v>59.900000000000006</v>
          </cell>
        </row>
        <row r="318">
          <cell r="B318">
            <v>56</v>
          </cell>
          <cell r="D318">
            <v>56.5</v>
          </cell>
          <cell r="Q318">
            <v>60</v>
          </cell>
        </row>
        <row r="319">
          <cell r="B319">
            <v>56.1</v>
          </cell>
          <cell r="D319">
            <v>56.7</v>
          </cell>
          <cell r="Q319">
            <v>60.6</v>
          </cell>
        </row>
        <row r="320">
          <cell r="B320">
            <v>56.4</v>
          </cell>
          <cell r="D320">
            <v>57</v>
          </cell>
          <cell r="Q320">
            <v>60.800000000000004</v>
          </cell>
        </row>
        <row r="321">
          <cell r="B321">
            <v>56.7</v>
          </cell>
          <cell r="D321">
            <v>57.2</v>
          </cell>
          <cell r="Q321">
            <v>61.2</v>
          </cell>
        </row>
        <row r="322">
          <cell r="B322">
            <v>57</v>
          </cell>
          <cell r="D322">
            <v>57.6</v>
          </cell>
          <cell r="Q322">
            <v>61.6</v>
          </cell>
        </row>
        <row r="323">
          <cell r="B323">
            <v>57.300000000000004</v>
          </cell>
          <cell r="D323">
            <v>57.9</v>
          </cell>
          <cell r="Q323">
            <v>61.400000000000006</v>
          </cell>
        </row>
        <row r="324">
          <cell r="B324">
            <v>57.6</v>
          </cell>
          <cell r="D324">
            <v>58.2</v>
          </cell>
          <cell r="Q324">
            <v>61.800000000000004</v>
          </cell>
        </row>
        <row r="325">
          <cell r="B325">
            <v>57.9</v>
          </cell>
          <cell r="D325">
            <v>58.5</v>
          </cell>
          <cell r="Q325">
            <v>61.900000000000006</v>
          </cell>
        </row>
        <row r="326">
          <cell r="B326">
            <v>58.1</v>
          </cell>
          <cell r="D326">
            <v>58.7</v>
          </cell>
          <cell r="Q326">
            <v>62</v>
          </cell>
        </row>
        <row r="327">
          <cell r="B327">
            <v>58.4</v>
          </cell>
          <cell r="D327">
            <v>58.9</v>
          </cell>
          <cell r="Q327">
            <v>62.5</v>
          </cell>
        </row>
        <row r="328">
          <cell r="B328">
            <v>58.7</v>
          </cell>
          <cell r="D328">
            <v>59.300000000000004</v>
          </cell>
          <cell r="Q328">
            <v>62.800000000000004</v>
          </cell>
        </row>
        <row r="329">
          <cell r="B329">
            <v>59.300000000000004</v>
          </cell>
          <cell r="D329">
            <v>59.7</v>
          </cell>
          <cell r="Q329">
            <v>63.5</v>
          </cell>
        </row>
        <row r="330">
          <cell r="B330">
            <v>59.6</v>
          </cell>
          <cell r="D330">
            <v>60</v>
          </cell>
          <cell r="Q330">
            <v>64.100000000000009</v>
          </cell>
        </row>
        <row r="331">
          <cell r="B331">
            <v>60</v>
          </cell>
          <cell r="D331">
            <v>60.300000000000004</v>
          </cell>
          <cell r="Q331">
            <v>64.900000000000006</v>
          </cell>
        </row>
        <row r="332">
          <cell r="B332">
            <v>60.2</v>
          </cell>
          <cell r="D332">
            <v>60.6</v>
          </cell>
          <cell r="Q332">
            <v>65.2</v>
          </cell>
        </row>
        <row r="333">
          <cell r="B333">
            <v>60.5</v>
          </cell>
          <cell r="D333">
            <v>61</v>
          </cell>
          <cell r="Q333">
            <v>65</v>
          </cell>
        </row>
        <row r="334">
          <cell r="B334">
            <v>60.800000000000004</v>
          </cell>
          <cell r="D334">
            <v>61.2</v>
          </cell>
          <cell r="Q334">
            <v>65.100000000000009</v>
          </cell>
        </row>
        <row r="335">
          <cell r="B335">
            <v>61.1</v>
          </cell>
          <cell r="D335">
            <v>61.5</v>
          </cell>
          <cell r="Q335">
            <v>65</v>
          </cell>
        </row>
        <row r="336">
          <cell r="B336">
            <v>61.300000000000004</v>
          </cell>
          <cell r="D336">
            <v>61.800000000000004</v>
          </cell>
          <cell r="Q336">
            <v>65.3</v>
          </cell>
        </row>
        <row r="337">
          <cell r="B337">
            <v>61.6</v>
          </cell>
          <cell r="D337">
            <v>62</v>
          </cell>
          <cell r="Q337">
            <v>65.600000000000009</v>
          </cell>
        </row>
        <row r="338">
          <cell r="B338">
            <v>62</v>
          </cell>
          <cell r="D338">
            <v>62.300000000000004</v>
          </cell>
          <cell r="Q338">
            <v>65.8</v>
          </cell>
        </row>
        <row r="339">
          <cell r="B339">
            <v>62.300000000000004</v>
          </cell>
          <cell r="D339">
            <v>62.7</v>
          </cell>
          <cell r="Q339">
            <v>66.2</v>
          </cell>
        </row>
        <row r="340">
          <cell r="B340">
            <v>62.7</v>
          </cell>
          <cell r="D340">
            <v>63.1</v>
          </cell>
          <cell r="Q340">
            <v>66.8</v>
          </cell>
        </row>
        <row r="341">
          <cell r="B341">
            <v>63</v>
          </cell>
          <cell r="D341">
            <v>63.4</v>
          </cell>
          <cell r="Q341">
            <v>67.5</v>
          </cell>
        </row>
        <row r="342">
          <cell r="B342">
            <v>63.4</v>
          </cell>
          <cell r="D342">
            <v>63.800000000000004</v>
          </cell>
          <cell r="Q342">
            <v>68.100000000000009</v>
          </cell>
        </row>
        <row r="343">
          <cell r="B343">
            <v>63.9</v>
          </cell>
          <cell r="D343">
            <v>64.3</v>
          </cell>
          <cell r="Q343">
            <v>69</v>
          </cell>
        </row>
        <row r="344">
          <cell r="B344">
            <v>64.5</v>
          </cell>
          <cell r="D344">
            <v>64.7</v>
          </cell>
          <cell r="Q344">
            <v>69.5</v>
          </cell>
        </row>
        <row r="345">
          <cell r="B345">
            <v>65</v>
          </cell>
          <cell r="D345">
            <v>65.2</v>
          </cell>
          <cell r="Q345">
            <v>70</v>
          </cell>
        </row>
        <row r="346">
          <cell r="B346">
            <v>65.5</v>
          </cell>
          <cell r="D346">
            <v>65.599999999999994</v>
          </cell>
          <cell r="Q346">
            <v>70.400000000000006</v>
          </cell>
        </row>
        <row r="347">
          <cell r="B347">
            <v>65.900000000000006</v>
          </cell>
          <cell r="D347">
            <v>66.099999999999994</v>
          </cell>
          <cell r="Q347">
            <v>70.400000000000006</v>
          </cell>
        </row>
        <row r="348">
          <cell r="B348">
            <v>66.5</v>
          </cell>
          <cell r="D348">
            <v>66.7</v>
          </cell>
          <cell r="Q348">
            <v>71</v>
          </cell>
        </row>
        <row r="349">
          <cell r="B349">
            <v>67.099999999999994</v>
          </cell>
          <cell r="D349">
            <v>67.2</v>
          </cell>
          <cell r="Q349">
            <v>71.8</v>
          </cell>
        </row>
        <row r="350">
          <cell r="B350">
            <v>67.5</v>
          </cell>
          <cell r="D350">
            <v>67.599999999999994</v>
          </cell>
          <cell r="Q350">
            <v>72.100000000000009</v>
          </cell>
        </row>
        <row r="351">
          <cell r="B351">
            <v>67.900000000000006</v>
          </cell>
          <cell r="D351">
            <v>68</v>
          </cell>
          <cell r="Q351">
            <v>72.7</v>
          </cell>
        </row>
        <row r="352">
          <cell r="B352">
            <v>68.5</v>
          </cell>
          <cell r="D352">
            <v>68.5</v>
          </cell>
          <cell r="Q352">
            <v>73.8</v>
          </cell>
        </row>
        <row r="353">
          <cell r="B353">
            <v>69.2</v>
          </cell>
          <cell r="D353">
            <v>69.2</v>
          </cell>
          <cell r="Q353">
            <v>74.900000000000006</v>
          </cell>
        </row>
        <row r="354">
          <cell r="B354">
            <v>69.900000000000006</v>
          </cell>
          <cell r="D354">
            <v>69.8</v>
          </cell>
          <cell r="Q354">
            <v>75.8</v>
          </cell>
        </row>
        <row r="355">
          <cell r="B355">
            <v>70.600000000000009</v>
          </cell>
          <cell r="D355">
            <v>70.3</v>
          </cell>
          <cell r="Q355">
            <v>76.900000000000006</v>
          </cell>
        </row>
        <row r="356">
          <cell r="B356">
            <v>71.400000000000006</v>
          </cell>
          <cell r="D356">
            <v>70.8</v>
          </cell>
          <cell r="Q356">
            <v>77.5</v>
          </cell>
        </row>
        <row r="357">
          <cell r="B357">
            <v>72.2</v>
          </cell>
          <cell r="D357">
            <v>71.3</v>
          </cell>
          <cell r="Q357">
            <v>78</v>
          </cell>
        </row>
        <row r="358">
          <cell r="B358">
            <v>73</v>
          </cell>
          <cell r="D358">
            <v>71.900000000000006</v>
          </cell>
          <cell r="Q358">
            <v>79.2</v>
          </cell>
        </row>
        <row r="359">
          <cell r="B359">
            <v>73.7</v>
          </cell>
          <cell r="D359">
            <v>72.7</v>
          </cell>
          <cell r="Q359">
            <v>79.600000000000009</v>
          </cell>
        </row>
        <row r="360">
          <cell r="B360">
            <v>74.400000000000006</v>
          </cell>
          <cell r="D360">
            <v>73.3</v>
          </cell>
          <cell r="Q360">
            <v>80.900000000000006</v>
          </cell>
        </row>
        <row r="361">
          <cell r="B361">
            <v>75.2</v>
          </cell>
          <cell r="D361">
            <v>74</v>
          </cell>
          <cell r="Q361">
            <v>82.100000000000009</v>
          </cell>
        </row>
        <row r="362">
          <cell r="B362">
            <v>76</v>
          </cell>
          <cell r="D362">
            <v>74.8</v>
          </cell>
          <cell r="Q362">
            <v>82.600000000000009</v>
          </cell>
        </row>
        <row r="363">
          <cell r="B363">
            <v>76.900000000000006</v>
          </cell>
          <cell r="D363">
            <v>75.7</v>
          </cell>
          <cell r="Q363">
            <v>83.4</v>
          </cell>
        </row>
        <row r="364">
          <cell r="B364">
            <v>78</v>
          </cell>
          <cell r="D364">
            <v>76.7</v>
          </cell>
          <cell r="Q364">
            <v>85.2</v>
          </cell>
        </row>
        <row r="365">
          <cell r="B365">
            <v>79</v>
          </cell>
          <cell r="D365">
            <v>77.5</v>
          </cell>
          <cell r="Q365">
            <v>86.9</v>
          </cell>
        </row>
        <row r="366">
          <cell r="B366">
            <v>80.100000000000009</v>
          </cell>
          <cell r="D366">
            <v>78.600000000000009</v>
          </cell>
          <cell r="Q366">
            <v>87.5</v>
          </cell>
        </row>
        <row r="367">
          <cell r="B367">
            <v>80.900000000000006</v>
          </cell>
          <cell r="D367">
            <v>79.5</v>
          </cell>
          <cell r="Q367">
            <v>87.800000000000011</v>
          </cell>
        </row>
        <row r="368">
          <cell r="B368">
            <v>81.7</v>
          </cell>
          <cell r="D368">
            <v>80.100000000000009</v>
          </cell>
          <cell r="Q368">
            <v>88.300000000000011</v>
          </cell>
        </row>
        <row r="369">
          <cell r="B369">
            <v>82.5</v>
          </cell>
          <cell r="D369">
            <v>81</v>
          </cell>
          <cell r="Q369">
            <v>88.7</v>
          </cell>
        </row>
        <row r="370">
          <cell r="B370">
            <v>82.600000000000009</v>
          </cell>
          <cell r="D370">
            <v>80.8</v>
          </cell>
          <cell r="Q370">
            <v>90.300000000000011</v>
          </cell>
        </row>
        <row r="371">
          <cell r="B371">
            <v>83.2</v>
          </cell>
          <cell r="D371">
            <v>81.3</v>
          </cell>
          <cell r="Q371">
            <v>91.5</v>
          </cell>
        </row>
        <row r="372">
          <cell r="B372">
            <v>83.9</v>
          </cell>
          <cell r="D372">
            <v>82.100000000000009</v>
          </cell>
          <cell r="Q372">
            <v>91.7</v>
          </cell>
        </row>
        <row r="373">
          <cell r="B373">
            <v>84.7</v>
          </cell>
          <cell r="D373">
            <v>83</v>
          </cell>
          <cell r="Q373">
            <v>92.800000000000011</v>
          </cell>
        </row>
        <row r="374">
          <cell r="B374">
            <v>85.600000000000009</v>
          </cell>
          <cell r="D374">
            <v>83.9</v>
          </cell>
          <cell r="Q374">
            <v>93.2</v>
          </cell>
        </row>
        <row r="375">
          <cell r="B375">
            <v>86.4</v>
          </cell>
          <cell r="D375">
            <v>84.9</v>
          </cell>
          <cell r="Q375">
            <v>93.800000000000011</v>
          </cell>
        </row>
        <row r="376">
          <cell r="B376">
            <v>87.2</v>
          </cell>
          <cell r="D376">
            <v>85.4</v>
          </cell>
          <cell r="Q376">
            <v>95.2</v>
          </cell>
        </row>
        <row r="377">
          <cell r="B377">
            <v>88</v>
          </cell>
          <cell r="D377">
            <v>85.9</v>
          </cell>
          <cell r="Q377">
            <v>96.100000000000009</v>
          </cell>
        </row>
        <row r="378">
          <cell r="B378">
            <v>88.600000000000009</v>
          </cell>
          <cell r="D378">
            <v>86.4</v>
          </cell>
          <cell r="Q378">
            <v>97</v>
          </cell>
        </row>
        <row r="379">
          <cell r="B379">
            <v>89.100000000000009</v>
          </cell>
          <cell r="D379">
            <v>87</v>
          </cell>
          <cell r="Q379">
            <v>98</v>
          </cell>
        </row>
        <row r="380">
          <cell r="B380">
            <v>89.7</v>
          </cell>
          <cell r="D380">
            <v>87.8</v>
          </cell>
          <cell r="Q380">
            <v>98.300000000000011</v>
          </cell>
        </row>
        <row r="381">
          <cell r="B381">
            <v>90.5</v>
          </cell>
          <cell r="D381">
            <v>88.600000000000009</v>
          </cell>
          <cell r="Q381">
            <v>98.5</v>
          </cell>
        </row>
        <row r="382">
          <cell r="B382">
            <v>91.5</v>
          </cell>
          <cell r="D382">
            <v>89.8</v>
          </cell>
          <cell r="Q382">
            <v>99</v>
          </cell>
        </row>
        <row r="383">
          <cell r="B383">
            <v>92.2</v>
          </cell>
          <cell r="D383">
            <v>90.7</v>
          </cell>
          <cell r="Q383">
            <v>99</v>
          </cell>
        </row>
        <row r="384">
          <cell r="B384">
            <v>93.100000000000009</v>
          </cell>
          <cell r="D384">
            <v>91.8</v>
          </cell>
          <cell r="Q384">
            <v>98.800000000000011</v>
          </cell>
        </row>
        <row r="385">
          <cell r="B385">
            <v>93.4</v>
          </cell>
          <cell r="D385">
            <v>92.100000000000009</v>
          </cell>
          <cell r="Q385">
            <v>98.9</v>
          </cell>
        </row>
        <row r="386">
          <cell r="B386">
            <v>93.8</v>
          </cell>
          <cell r="D386">
            <v>92.5</v>
          </cell>
          <cell r="Q386">
            <v>98.800000000000011</v>
          </cell>
        </row>
        <row r="387">
          <cell r="B387">
            <v>94.100000000000009</v>
          </cell>
          <cell r="D387">
            <v>93</v>
          </cell>
          <cell r="Q387">
            <v>98.800000000000011</v>
          </cell>
        </row>
        <row r="388">
          <cell r="B388">
            <v>94.4</v>
          </cell>
          <cell r="D388">
            <v>93.3</v>
          </cell>
          <cell r="Q388">
            <v>99.7</v>
          </cell>
        </row>
        <row r="389">
          <cell r="B389">
            <v>94.7</v>
          </cell>
          <cell r="D389">
            <v>93.8</v>
          </cell>
          <cell r="Q389">
            <v>99.800000000000011</v>
          </cell>
        </row>
        <row r="390">
          <cell r="B390">
            <v>94.7</v>
          </cell>
          <cell r="D390">
            <v>93.9</v>
          </cell>
          <cell r="Q390">
            <v>99.600000000000009</v>
          </cell>
        </row>
        <row r="391">
          <cell r="B391">
            <v>95</v>
          </cell>
          <cell r="D391">
            <v>94.7</v>
          </cell>
          <cell r="Q391">
            <v>99.600000000000009</v>
          </cell>
        </row>
        <row r="392">
          <cell r="B392">
            <v>95.9</v>
          </cell>
          <cell r="D392">
            <v>95.4</v>
          </cell>
          <cell r="Q392">
            <v>99.800000000000011</v>
          </cell>
        </row>
        <row r="393">
          <cell r="B393">
            <v>97</v>
          </cell>
          <cell r="D393">
            <v>96.100000000000009</v>
          </cell>
          <cell r="Q393">
            <v>100</v>
          </cell>
        </row>
        <row r="394">
          <cell r="B394">
            <v>97.5</v>
          </cell>
          <cell r="D394">
            <v>96.7</v>
          </cell>
          <cell r="Q394">
            <v>100.4</v>
          </cell>
        </row>
        <row r="395">
          <cell r="B395">
            <v>97.7</v>
          </cell>
          <cell r="D395">
            <v>97.100000000000009</v>
          </cell>
          <cell r="Q395">
            <v>100.30000000000001</v>
          </cell>
        </row>
        <row r="396">
          <cell r="B396">
            <v>97.7</v>
          </cell>
          <cell r="D396">
            <v>97.2</v>
          </cell>
          <cell r="Q396">
            <v>100</v>
          </cell>
        </row>
        <row r="397">
          <cell r="B397">
            <v>98.100000000000009</v>
          </cell>
          <cell r="D397">
            <v>97.5</v>
          </cell>
          <cell r="Q397">
            <v>100.2</v>
          </cell>
        </row>
        <row r="398">
          <cell r="B398">
            <v>98</v>
          </cell>
          <cell r="D398">
            <v>97.3</v>
          </cell>
          <cell r="Q398">
            <v>100.30000000000001</v>
          </cell>
        </row>
        <row r="399">
          <cell r="B399">
            <v>97.7</v>
          </cell>
          <cell r="D399">
            <v>97.2</v>
          </cell>
          <cell r="Q399">
            <v>100.5</v>
          </cell>
        </row>
        <row r="400">
          <cell r="B400">
            <v>97.9</v>
          </cell>
          <cell r="D400">
            <v>97.600000000000009</v>
          </cell>
          <cell r="Q400">
            <v>100.2</v>
          </cell>
        </row>
        <row r="401">
          <cell r="B401">
            <v>98</v>
          </cell>
          <cell r="D401">
            <v>98</v>
          </cell>
          <cell r="Q401">
            <v>100.5</v>
          </cell>
        </row>
        <row r="402">
          <cell r="B402">
            <v>98.100000000000009</v>
          </cell>
          <cell r="D402">
            <v>98.2</v>
          </cell>
          <cell r="Q402">
            <v>100.4</v>
          </cell>
        </row>
        <row r="403">
          <cell r="B403">
            <v>98.8</v>
          </cell>
          <cell r="D403">
            <v>98.600000000000009</v>
          </cell>
          <cell r="Q403">
            <v>100.4</v>
          </cell>
        </row>
        <row r="404">
          <cell r="B404">
            <v>99.2</v>
          </cell>
          <cell r="D404">
            <v>98.9</v>
          </cell>
          <cell r="Q404">
            <v>100.80000000000001</v>
          </cell>
        </row>
        <row r="405">
          <cell r="B405">
            <v>99.4</v>
          </cell>
          <cell r="D405">
            <v>99.2</v>
          </cell>
          <cell r="Q405">
            <v>101</v>
          </cell>
        </row>
        <row r="406">
          <cell r="B406">
            <v>99.8</v>
          </cell>
          <cell r="D406">
            <v>99.8</v>
          </cell>
          <cell r="Q406">
            <v>101.30000000000001</v>
          </cell>
        </row>
        <row r="407">
          <cell r="B407">
            <v>100.10000000000001</v>
          </cell>
          <cell r="D407">
            <v>100.10000000000001</v>
          </cell>
          <cell r="Q407">
            <v>101.80000000000001</v>
          </cell>
        </row>
        <row r="408">
          <cell r="B408">
            <v>100.4</v>
          </cell>
          <cell r="D408">
            <v>100.5</v>
          </cell>
          <cell r="Q408">
            <v>102</v>
          </cell>
        </row>
        <row r="409">
          <cell r="B409">
            <v>100.8</v>
          </cell>
          <cell r="D409">
            <v>101</v>
          </cell>
          <cell r="Q409">
            <v>102.2</v>
          </cell>
        </row>
        <row r="410">
          <cell r="B410">
            <v>101.10000000000001</v>
          </cell>
          <cell r="D410">
            <v>101.5</v>
          </cell>
          <cell r="Q410">
            <v>102.10000000000001</v>
          </cell>
        </row>
        <row r="411">
          <cell r="B411">
            <v>101.4</v>
          </cell>
          <cell r="D411">
            <v>101.8</v>
          </cell>
          <cell r="Q411">
            <v>102.30000000000001</v>
          </cell>
        </row>
        <row r="412">
          <cell r="B412">
            <v>102.10000000000001</v>
          </cell>
          <cell r="D412">
            <v>102.5</v>
          </cell>
          <cell r="Q412">
            <v>102.9</v>
          </cell>
        </row>
        <row r="413">
          <cell r="B413">
            <v>102.60000000000001</v>
          </cell>
          <cell r="D413">
            <v>102.8</v>
          </cell>
          <cell r="Q413">
            <v>103.2</v>
          </cell>
        </row>
        <row r="414">
          <cell r="B414">
            <v>102.9</v>
          </cell>
          <cell r="D414">
            <v>103.2</v>
          </cell>
          <cell r="Q414">
            <v>103.9</v>
          </cell>
        </row>
        <row r="415">
          <cell r="B415">
            <v>103.3</v>
          </cell>
          <cell r="D415">
            <v>103.7</v>
          </cell>
          <cell r="Q415">
            <v>104</v>
          </cell>
        </row>
        <row r="416">
          <cell r="B416">
            <v>103.5</v>
          </cell>
          <cell r="D416">
            <v>104.10000000000001</v>
          </cell>
          <cell r="Q416">
            <v>104.10000000000001</v>
          </cell>
        </row>
        <row r="417">
          <cell r="B417">
            <v>103.7</v>
          </cell>
          <cell r="D417">
            <v>104.5</v>
          </cell>
          <cell r="Q417">
            <v>104</v>
          </cell>
        </row>
        <row r="418">
          <cell r="B418">
            <v>104.10000000000001</v>
          </cell>
          <cell r="D418">
            <v>105</v>
          </cell>
          <cell r="Q418">
            <v>104.2</v>
          </cell>
        </row>
        <row r="419">
          <cell r="B419">
            <v>104.4</v>
          </cell>
          <cell r="D419">
            <v>105.4</v>
          </cell>
          <cell r="Q419">
            <v>103.80000000000001</v>
          </cell>
        </row>
        <row r="420">
          <cell r="B420">
            <v>104.7</v>
          </cell>
          <cell r="D420">
            <v>105.8</v>
          </cell>
          <cell r="Q420">
            <v>103.4</v>
          </cell>
        </row>
        <row r="421">
          <cell r="B421">
            <v>105.10000000000001</v>
          </cell>
          <cell r="D421">
            <v>106.2</v>
          </cell>
          <cell r="Q421">
            <v>103.4</v>
          </cell>
        </row>
        <row r="422">
          <cell r="B422">
            <v>105.3</v>
          </cell>
          <cell r="D422">
            <v>106.4</v>
          </cell>
          <cell r="Q422">
            <v>103.7</v>
          </cell>
        </row>
        <row r="423">
          <cell r="B423">
            <v>105.5</v>
          </cell>
          <cell r="D423">
            <v>106.8</v>
          </cell>
          <cell r="Q423">
            <v>103.5</v>
          </cell>
        </row>
        <row r="424">
          <cell r="B424">
            <v>105.7</v>
          </cell>
          <cell r="D424">
            <v>107.10000000000001</v>
          </cell>
          <cell r="Q424">
            <v>103.4</v>
          </cell>
        </row>
        <row r="425">
          <cell r="B425">
            <v>106.3</v>
          </cell>
          <cell r="D425">
            <v>107.7</v>
          </cell>
          <cell r="Q425">
            <v>103.30000000000001</v>
          </cell>
        </row>
        <row r="426">
          <cell r="B426">
            <v>106.8</v>
          </cell>
          <cell r="D426">
            <v>108.10000000000001</v>
          </cell>
          <cell r="Q426">
            <v>103.10000000000001</v>
          </cell>
        </row>
        <row r="427">
          <cell r="B427">
            <v>107</v>
          </cell>
          <cell r="D427">
            <v>108.4</v>
          </cell>
          <cell r="Q427">
            <v>103.30000000000001</v>
          </cell>
        </row>
        <row r="428">
          <cell r="B428">
            <v>107.2</v>
          </cell>
          <cell r="D428">
            <v>108.8</v>
          </cell>
          <cell r="Q428">
            <v>103.5</v>
          </cell>
        </row>
        <row r="429">
          <cell r="B429">
            <v>107.5</v>
          </cell>
          <cell r="D429">
            <v>109.10000000000001</v>
          </cell>
          <cell r="Q429">
            <v>103.30000000000001</v>
          </cell>
        </row>
        <row r="430">
          <cell r="B430">
            <v>107.7</v>
          </cell>
          <cell r="D430">
            <v>109.4</v>
          </cell>
          <cell r="Q430">
            <v>103.2</v>
          </cell>
        </row>
        <row r="431">
          <cell r="B431">
            <v>107.9</v>
          </cell>
          <cell r="D431">
            <v>109.8</v>
          </cell>
          <cell r="Q431">
            <v>102.7</v>
          </cell>
        </row>
        <row r="432">
          <cell r="B432">
            <v>108.10000000000001</v>
          </cell>
          <cell r="D432">
            <v>110</v>
          </cell>
          <cell r="Q432">
            <v>102.10000000000001</v>
          </cell>
        </row>
        <row r="433">
          <cell r="B433">
            <v>108.5</v>
          </cell>
          <cell r="D433">
            <v>110.5</v>
          </cell>
          <cell r="Q433">
            <v>102.9</v>
          </cell>
        </row>
        <row r="434">
          <cell r="B434">
            <v>109</v>
          </cell>
          <cell r="D434">
            <v>111.10000000000001</v>
          </cell>
          <cell r="Q434">
            <v>103.4</v>
          </cell>
        </row>
        <row r="435">
          <cell r="B435">
            <v>109.5</v>
          </cell>
          <cell r="D435">
            <v>111.4</v>
          </cell>
          <cell r="Q435">
            <v>103.60000000000001</v>
          </cell>
        </row>
        <row r="436">
          <cell r="B436">
            <v>109.9</v>
          </cell>
          <cell r="D436">
            <v>111.9</v>
          </cell>
          <cell r="Q436">
            <v>103.2</v>
          </cell>
        </row>
        <row r="437">
          <cell r="B437">
            <v>109.7</v>
          </cell>
          <cell r="D437">
            <v>112.2</v>
          </cell>
          <cell r="Q437">
            <v>101.7</v>
          </cell>
        </row>
        <row r="438">
          <cell r="B438">
            <v>109.10000000000001</v>
          </cell>
          <cell r="D438">
            <v>112.5</v>
          </cell>
          <cell r="Q438">
            <v>100.30000000000001</v>
          </cell>
        </row>
        <row r="439">
          <cell r="B439">
            <v>108.7</v>
          </cell>
          <cell r="D439">
            <v>112.9</v>
          </cell>
          <cell r="Q439">
            <v>99.600000000000009</v>
          </cell>
        </row>
        <row r="440">
          <cell r="B440">
            <v>109</v>
          </cell>
          <cell r="D440">
            <v>113.10000000000001</v>
          </cell>
          <cell r="Q440">
            <v>100</v>
          </cell>
        </row>
        <row r="441">
          <cell r="B441">
            <v>109.4</v>
          </cell>
          <cell r="D441">
            <v>113.4</v>
          </cell>
          <cell r="Q441">
            <v>99.9</v>
          </cell>
        </row>
        <row r="442">
          <cell r="B442">
            <v>109.5</v>
          </cell>
          <cell r="D442">
            <v>113.8</v>
          </cell>
          <cell r="Q442">
            <v>99.4</v>
          </cell>
        </row>
        <row r="443">
          <cell r="B443">
            <v>109.60000000000001</v>
          </cell>
          <cell r="D443">
            <v>114.2</v>
          </cell>
          <cell r="Q443">
            <v>99.300000000000011</v>
          </cell>
        </row>
        <row r="444">
          <cell r="B444">
            <v>110</v>
          </cell>
          <cell r="D444">
            <v>114.60000000000001</v>
          </cell>
          <cell r="Q444">
            <v>99.4</v>
          </cell>
        </row>
        <row r="445">
          <cell r="B445">
            <v>110.2</v>
          </cell>
          <cell r="D445">
            <v>115</v>
          </cell>
          <cell r="Q445">
            <v>99.7</v>
          </cell>
        </row>
        <row r="446">
          <cell r="B446">
            <v>110.4</v>
          </cell>
          <cell r="D446">
            <v>115.3</v>
          </cell>
          <cell r="Q446">
            <v>99.800000000000011</v>
          </cell>
        </row>
        <row r="447">
          <cell r="B447">
            <v>110.8</v>
          </cell>
          <cell r="D447">
            <v>115.60000000000001</v>
          </cell>
          <cell r="Q447">
            <v>99.7</v>
          </cell>
        </row>
        <row r="448">
          <cell r="B448">
            <v>111.4</v>
          </cell>
          <cell r="D448">
            <v>115.9</v>
          </cell>
          <cell r="O448">
            <v>62.82</v>
          </cell>
          <cell r="Q448">
            <v>100.5</v>
          </cell>
        </row>
        <row r="449">
          <cell r="B449">
            <v>111.8</v>
          </cell>
          <cell r="D449">
            <v>116.2</v>
          </cell>
          <cell r="O449">
            <v>63.39</v>
          </cell>
          <cell r="Q449">
            <v>101</v>
          </cell>
        </row>
        <row r="450">
          <cell r="B450">
            <v>112.2</v>
          </cell>
          <cell r="D450">
            <v>116.60000000000001</v>
          </cell>
          <cell r="O450">
            <v>63.870000000000005</v>
          </cell>
          <cell r="Q450">
            <v>101.2</v>
          </cell>
        </row>
        <row r="451">
          <cell r="B451">
            <v>112.7</v>
          </cell>
          <cell r="D451">
            <v>117.3</v>
          </cell>
          <cell r="O451">
            <v>64.570000000000007</v>
          </cell>
          <cell r="Q451">
            <v>101.9</v>
          </cell>
        </row>
        <row r="452">
          <cell r="B452">
            <v>113</v>
          </cell>
          <cell r="D452">
            <v>117.7</v>
          </cell>
          <cell r="O452">
            <v>65.56</v>
          </cell>
          <cell r="Q452">
            <v>102.60000000000001</v>
          </cell>
        </row>
        <row r="453">
          <cell r="B453">
            <v>113.5</v>
          </cell>
          <cell r="D453">
            <v>117.9</v>
          </cell>
          <cell r="O453">
            <v>66.59</v>
          </cell>
          <cell r="Q453">
            <v>103</v>
          </cell>
        </row>
        <row r="454">
          <cell r="B454">
            <v>113.8</v>
          </cell>
          <cell r="D454">
            <v>118.3</v>
          </cell>
          <cell r="O454">
            <v>67.540000000000006</v>
          </cell>
          <cell r="Q454">
            <v>103.5</v>
          </cell>
        </row>
        <row r="455">
          <cell r="B455">
            <v>114.3</v>
          </cell>
          <cell r="D455">
            <v>118.7</v>
          </cell>
          <cell r="O455">
            <v>68.25</v>
          </cell>
          <cell r="Q455">
            <v>103.80000000000001</v>
          </cell>
        </row>
        <row r="456">
          <cell r="B456">
            <v>114.7</v>
          </cell>
          <cell r="D456">
            <v>119.2</v>
          </cell>
          <cell r="O456">
            <v>68.87</v>
          </cell>
          <cell r="Q456">
            <v>103.7</v>
          </cell>
        </row>
        <row r="457">
          <cell r="B457">
            <v>115</v>
          </cell>
          <cell r="D457">
            <v>119.8</v>
          </cell>
          <cell r="O457">
            <v>69.42</v>
          </cell>
          <cell r="Q457">
            <v>104.10000000000001</v>
          </cell>
        </row>
        <row r="458">
          <cell r="B458">
            <v>115.4</v>
          </cell>
          <cell r="D458">
            <v>120.10000000000001</v>
          </cell>
          <cell r="O458">
            <v>69.760000000000005</v>
          </cell>
          <cell r="Q458">
            <v>104.2</v>
          </cell>
        </row>
        <row r="459">
          <cell r="B459">
            <v>115.60000000000001</v>
          </cell>
          <cell r="D459">
            <v>120.4</v>
          </cell>
          <cell r="O459">
            <v>70.22</v>
          </cell>
          <cell r="Q459">
            <v>104.2</v>
          </cell>
        </row>
        <row r="460">
          <cell r="B460">
            <v>116</v>
          </cell>
          <cell r="D460">
            <v>120.9</v>
          </cell>
          <cell r="O460">
            <v>70.45</v>
          </cell>
          <cell r="Q460">
            <v>104.60000000000001</v>
          </cell>
        </row>
        <row r="461">
          <cell r="B461">
            <v>116.2</v>
          </cell>
          <cell r="D461">
            <v>121.2</v>
          </cell>
          <cell r="O461">
            <v>70.77</v>
          </cell>
          <cell r="Q461">
            <v>104.80000000000001</v>
          </cell>
        </row>
        <row r="462">
          <cell r="B462">
            <v>116.5</v>
          </cell>
          <cell r="D462">
            <v>121.7</v>
          </cell>
          <cell r="O462">
            <v>71.12</v>
          </cell>
          <cell r="Q462">
            <v>104.9</v>
          </cell>
        </row>
        <row r="463">
          <cell r="B463">
            <v>117.2</v>
          </cell>
          <cell r="D463">
            <v>122.3</v>
          </cell>
          <cell r="O463">
            <v>71.650000000000006</v>
          </cell>
          <cell r="Q463">
            <v>105.80000000000001</v>
          </cell>
        </row>
        <row r="464">
          <cell r="B464">
            <v>117.5</v>
          </cell>
          <cell r="D464">
            <v>122.7</v>
          </cell>
          <cell r="O464">
            <v>72.48</v>
          </cell>
          <cell r="Q464">
            <v>106.5</v>
          </cell>
        </row>
        <row r="465">
          <cell r="B465">
            <v>118</v>
          </cell>
          <cell r="D465">
            <v>123.2</v>
          </cell>
          <cell r="O465">
            <v>73.63</v>
          </cell>
          <cell r="Q465">
            <v>107.2</v>
          </cell>
        </row>
        <row r="466">
          <cell r="B466">
            <v>118.5</v>
          </cell>
          <cell r="D466">
            <v>123.60000000000001</v>
          </cell>
          <cell r="O466">
            <v>74.81</v>
          </cell>
          <cell r="Q466">
            <v>107.9</v>
          </cell>
        </row>
        <row r="467">
          <cell r="B467">
            <v>119</v>
          </cell>
          <cell r="D467">
            <v>124</v>
          </cell>
          <cell r="O467">
            <v>75.7</v>
          </cell>
          <cell r="Q467">
            <v>108</v>
          </cell>
        </row>
        <row r="468">
          <cell r="B468">
            <v>119.5</v>
          </cell>
          <cell r="D468">
            <v>124.7</v>
          </cell>
          <cell r="O468">
            <v>76.400000000000006</v>
          </cell>
          <cell r="Q468">
            <v>108.10000000000001</v>
          </cell>
        </row>
        <row r="469">
          <cell r="B469">
            <v>119.9</v>
          </cell>
          <cell r="D469">
            <v>125.2</v>
          </cell>
          <cell r="O469">
            <v>76.900000000000006</v>
          </cell>
          <cell r="Q469">
            <v>108.2</v>
          </cell>
        </row>
        <row r="470">
          <cell r="B470">
            <v>120.3</v>
          </cell>
          <cell r="D470">
            <v>125.60000000000001</v>
          </cell>
          <cell r="O470">
            <v>77.28</v>
          </cell>
          <cell r="Q470">
            <v>108.30000000000001</v>
          </cell>
        </row>
        <row r="471">
          <cell r="B471">
            <v>120.7</v>
          </cell>
          <cell r="D471">
            <v>126</v>
          </cell>
          <cell r="O471">
            <v>77.58</v>
          </cell>
          <cell r="Q471">
            <v>109</v>
          </cell>
        </row>
        <row r="472">
          <cell r="B472">
            <v>121.2</v>
          </cell>
          <cell r="D472">
            <v>126.5</v>
          </cell>
          <cell r="O472">
            <v>77.989999999999995</v>
          </cell>
          <cell r="Q472">
            <v>110.5</v>
          </cell>
        </row>
        <row r="473">
          <cell r="B473">
            <v>121.60000000000001</v>
          </cell>
          <cell r="D473">
            <v>126.9</v>
          </cell>
          <cell r="O473">
            <v>78.36</v>
          </cell>
          <cell r="Q473">
            <v>110.80000000000001</v>
          </cell>
        </row>
        <row r="474">
          <cell r="B474">
            <v>122.2</v>
          </cell>
          <cell r="D474">
            <v>127.4</v>
          </cell>
          <cell r="O474">
            <v>79.12</v>
          </cell>
          <cell r="Q474">
            <v>111.5</v>
          </cell>
        </row>
        <row r="475">
          <cell r="B475">
            <v>123.10000000000001</v>
          </cell>
          <cell r="D475">
            <v>127.8</v>
          </cell>
          <cell r="O475">
            <v>79.83</v>
          </cell>
          <cell r="Q475">
            <v>112.30000000000001</v>
          </cell>
        </row>
        <row r="476">
          <cell r="B476">
            <v>123.7</v>
          </cell>
          <cell r="D476">
            <v>128.30000000000001</v>
          </cell>
          <cell r="O476">
            <v>80.52</v>
          </cell>
          <cell r="Q476">
            <v>113.2</v>
          </cell>
        </row>
        <row r="477">
          <cell r="B477">
            <v>124.10000000000001</v>
          </cell>
          <cell r="D477">
            <v>128.80000000000001</v>
          </cell>
          <cell r="O477">
            <v>81.239999999999995</v>
          </cell>
          <cell r="Q477">
            <v>112.9</v>
          </cell>
        </row>
        <row r="478">
          <cell r="B478">
            <v>124.5</v>
          </cell>
          <cell r="D478">
            <v>129.19999999999999</v>
          </cell>
          <cell r="O478">
            <v>81.66</v>
          </cell>
          <cell r="Q478">
            <v>112.80000000000001</v>
          </cell>
        </row>
        <row r="479">
          <cell r="B479">
            <v>124.5</v>
          </cell>
          <cell r="D479">
            <v>129.5</v>
          </cell>
          <cell r="O479">
            <v>82.08</v>
          </cell>
          <cell r="Q479">
            <v>112</v>
          </cell>
        </row>
        <row r="480">
          <cell r="B480">
            <v>124.8</v>
          </cell>
          <cell r="D480">
            <v>129.9</v>
          </cell>
          <cell r="O480">
            <v>82.25</v>
          </cell>
          <cell r="Q480">
            <v>112.4</v>
          </cell>
        </row>
        <row r="481">
          <cell r="B481">
            <v>125.4</v>
          </cell>
          <cell r="D481">
            <v>130.6</v>
          </cell>
          <cell r="O481">
            <v>82.44</v>
          </cell>
          <cell r="Q481">
            <v>112.80000000000001</v>
          </cell>
        </row>
        <row r="482">
          <cell r="B482">
            <v>125.9</v>
          </cell>
          <cell r="D482">
            <v>131.1</v>
          </cell>
          <cell r="O482">
            <v>82.43</v>
          </cell>
          <cell r="Q482">
            <v>112.7</v>
          </cell>
        </row>
        <row r="483">
          <cell r="B483">
            <v>126.3</v>
          </cell>
          <cell r="D483">
            <v>131.6</v>
          </cell>
          <cell r="O483">
            <v>82.350000000000009</v>
          </cell>
          <cell r="Q483">
            <v>113</v>
          </cell>
        </row>
        <row r="484">
          <cell r="B484">
            <v>127.5</v>
          </cell>
          <cell r="D484">
            <v>132.1</v>
          </cell>
          <cell r="O484">
            <v>82.29</v>
          </cell>
          <cell r="Q484">
            <v>114.9</v>
          </cell>
        </row>
        <row r="485">
          <cell r="B485">
            <v>128</v>
          </cell>
          <cell r="D485">
            <v>132.69999999999999</v>
          </cell>
          <cell r="O485">
            <v>82.15</v>
          </cell>
          <cell r="Q485">
            <v>114.4</v>
          </cell>
        </row>
        <row r="486">
          <cell r="B486">
            <v>128.6</v>
          </cell>
          <cell r="D486">
            <v>133.5</v>
          </cell>
          <cell r="O486">
            <v>82.02</v>
          </cell>
          <cell r="Q486">
            <v>114.2</v>
          </cell>
        </row>
        <row r="487">
          <cell r="B487">
            <v>128.9</v>
          </cell>
          <cell r="D487">
            <v>134</v>
          </cell>
          <cell r="O487">
            <v>82.05</v>
          </cell>
          <cell r="Q487">
            <v>114.10000000000001</v>
          </cell>
        </row>
        <row r="488">
          <cell r="B488">
            <v>129.1</v>
          </cell>
          <cell r="D488">
            <v>134.4</v>
          </cell>
          <cell r="O488">
            <v>82.01</v>
          </cell>
          <cell r="Q488">
            <v>114.60000000000001</v>
          </cell>
        </row>
        <row r="489">
          <cell r="B489">
            <v>129.9</v>
          </cell>
          <cell r="D489">
            <v>135.1</v>
          </cell>
          <cell r="O489">
            <v>82.19</v>
          </cell>
          <cell r="Q489">
            <v>114.30000000000001</v>
          </cell>
        </row>
        <row r="490">
          <cell r="B490">
            <v>130.5</v>
          </cell>
          <cell r="D490">
            <v>135.80000000000001</v>
          </cell>
          <cell r="O490">
            <v>82.100000000000009</v>
          </cell>
          <cell r="Q490">
            <v>114.5</v>
          </cell>
        </row>
        <row r="491">
          <cell r="B491">
            <v>131.6</v>
          </cell>
          <cell r="D491">
            <v>136.6</v>
          </cell>
          <cell r="O491">
            <v>81.86</v>
          </cell>
          <cell r="Q491">
            <v>116.5</v>
          </cell>
        </row>
        <row r="492">
          <cell r="B492">
            <v>132.5</v>
          </cell>
          <cell r="D492">
            <v>137.1</v>
          </cell>
          <cell r="O492">
            <v>81.39</v>
          </cell>
          <cell r="Q492">
            <v>118.4</v>
          </cell>
        </row>
        <row r="493">
          <cell r="B493">
            <v>133.4</v>
          </cell>
          <cell r="D493">
            <v>137.6</v>
          </cell>
          <cell r="O493">
            <v>80.84</v>
          </cell>
          <cell r="Q493">
            <v>120.80000000000001</v>
          </cell>
        </row>
        <row r="494">
          <cell r="B494">
            <v>133.69999999999999</v>
          </cell>
          <cell r="D494">
            <v>138</v>
          </cell>
          <cell r="O494">
            <v>80.09</v>
          </cell>
          <cell r="Q494">
            <v>120.10000000000001</v>
          </cell>
        </row>
        <row r="495">
          <cell r="B495">
            <v>134.19999999999999</v>
          </cell>
          <cell r="D495">
            <v>138.6</v>
          </cell>
          <cell r="O495">
            <v>79.38</v>
          </cell>
          <cell r="Q495">
            <v>118.7</v>
          </cell>
        </row>
        <row r="496">
          <cell r="B496">
            <v>134.69999999999999</v>
          </cell>
          <cell r="D496">
            <v>139.5</v>
          </cell>
          <cell r="O496">
            <v>78.53</v>
          </cell>
          <cell r="Q496">
            <v>119</v>
          </cell>
        </row>
        <row r="497">
          <cell r="B497">
            <v>134.80000000000001</v>
          </cell>
          <cell r="D497">
            <v>140.20000000000002</v>
          </cell>
          <cell r="O497">
            <v>77.77</v>
          </cell>
          <cell r="Q497">
            <v>117.2</v>
          </cell>
        </row>
        <row r="498">
          <cell r="B498">
            <v>134.80000000000001</v>
          </cell>
          <cell r="D498">
            <v>140.5</v>
          </cell>
          <cell r="O498">
            <v>77</v>
          </cell>
          <cell r="Q498">
            <v>116.2</v>
          </cell>
        </row>
        <row r="499">
          <cell r="B499">
            <v>135.1</v>
          </cell>
          <cell r="D499">
            <v>140.9</v>
          </cell>
          <cell r="O499">
            <v>76.86</v>
          </cell>
          <cell r="Q499">
            <v>116</v>
          </cell>
        </row>
        <row r="500">
          <cell r="B500">
            <v>135.6</v>
          </cell>
          <cell r="D500">
            <v>141.30000000000001</v>
          </cell>
          <cell r="O500">
            <v>77.31</v>
          </cell>
          <cell r="Q500">
            <v>116.5</v>
          </cell>
        </row>
        <row r="501">
          <cell r="B501">
            <v>136</v>
          </cell>
          <cell r="D501">
            <v>141.80000000000001</v>
          </cell>
          <cell r="O501">
            <v>78.02</v>
          </cell>
          <cell r="Q501">
            <v>116.4</v>
          </cell>
        </row>
        <row r="502">
          <cell r="B502">
            <v>136.19999999999999</v>
          </cell>
          <cell r="D502">
            <v>142.30000000000001</v>
          </cell>
          <cell r="O502">
            <v>78.61</v>
          </cell>
          <cell r="Q502">
            <v>116.10000000000001</v>
          </cell>
        </row>
        <row r="503">
          <cell r="B503">
            <v>136.6</v>
          </cell>
          <cell r="D503">
            <v>142.9</v>
          </cell>
          <cell r="O503">
            <v>78.930000000000007</v>
          </cell>
          <cell r="Q503">
            <v>116.2</v>
          </cell>
        </row>
        <row r="504">
          <cell r="B504">
            <v>137</v>
          </cell>
          <cell r="D504">
            <v>143.4</v>
          </cell>
          <cell r="O504">
            <v>78.88</v>
          </cell>
          <cell r="Q504">
            <v>116.10000000000001</v>
          </cell>
        </row>
        <row r="505">
          <cell r="B505">
            <v>137.20000000000002</v>
          </cell>
          <cell r="D505">
            <v>143.70000000000002</v>
          </cell>
          <cell r="O505">
            <v>78.680000000000007</v>
          </cell>
          <cell r="Q505">
            <v>116.4</v>
          </cell>
        </row>
        <row r="506">
          <cell r="B506">
            <v>137.80000000000001</v>
          </cell>
          <cell r="D506">
            <v>144.20000000000002</v>
          </cell>
          <cell r="O506">
            <v>78.31</v>
          </cell>
          <cell r="Q506">
            <v>116.4</v>
          </cell>
        </row>
        <row r="507">
          <cell r="B507">
            <v>138.20000000000002</v>
          </cell>
          <cell r="D507">
            <v>144.70000000000002</v>
          </cell>
          <cell r="O507">
            <v>77.989999999999995</v>
          </cell>
          <cell r="Q507">
            <v>115.9</v>
          </cell>
        </row>
        <row r="508">
          <cell r="B508">
            <v>138.30000000000001</v>
          </cell>
          <cell r="D508">
            <v>145.1</v>
          </cell>
          <cell r="O508">
            <v>77.739999999999995</v>
          </cell>
          <cell r="Q508">
            <v>115.60000000000001</v>
          </cell>
        </row>
        <row r="509">
          <cell r="B509">
            <v>138.6</v>
          </cell>
          <cell r="D509">
            <v>145.4</v>
          </cell>
          <cell r="O509">
            <v>77.510000000000005</v>
          </cell>
          <cell r="Q509">
            <v>116</v>
          </cell>
        </row>
        <row r="510">
          <cell r="B510">
            <v>139.1</v>
          </cell>
          <cell r="D510">
            <v>145.9</v>
          </cell>
          <cell r="O510">
            <v>77.31</v>
          </cell>
          <cell r="Q510">
            <v>116.10000000000001</v>
          </cell>
        </row>
        <row r="511">
          <cell r="B511">
            <v>139.4</v>
          </cell>
          <cell r="D511">
            <v>146.30000000000001</v>
          </cell>
          <cell r="O511">
            <v>77.36</v>
          </cell>
          <cell r="Q511">
            <v>116.30000000000001</v>
          </cell>
        </row>
        <row r="512">
          <cell r="B512">
            <v>139.70000000000002</v>
          </cell>
          <cell r="D512">
            <v>146.80000000000001</v>
          </cell>
          <cell r="O512">
            <v>77.62</v>
          </cell>
          <cell r="Q512">
            <v>117.2</v>
          </cell>
        </row>
        <row r="513">
          <cell r="B513">
            <v>140.1</v>
          </cell>
          <cell r="D513">
            <v>147.1</v>
          </cell>
          <cell r="O513">
            <v>77.94</v>
          </cell>
          <cell r="Q513">
            <v>118</v>
          </cell>
        </row>
        <row r="514">
          <cell r="B514">
            <v>140.5</v>
          </cell>
          <cell r="D514">
            <v>147.6</v>
          </cell>
          <cell r="O514">
            <v>77.95</v>
          </cell>
          <cell r="Q514">
            <v>117.9</v>
          </cell>
        </row>
        <row r="515">
          <cell r="B515">
            <v>140.80000000000001</v>
          </cell>
          <cell r="D515">
            <v>147.9</v>
          </cell>
          <cell r="O515">
            <v>77.989999999999995</v>
          </cell>
          <cell r="Q515">
            <v>117.7</v>
          </cell>
        </row>
        <row r="516">
          <cell r="B516">
            <v>141.1</v>
          </cell>
          <cell r="D516">
            <v>148.1</v>
          </cell>
          <cell r="O516">
            <v>77.760000000000005</v>
          </cell>
          <cell r="Q516">
            <v>118</v>
          </cell>
        </row>
        <row r="517">
          <cell r="B517">
            <v>141.70000000000002</v>
          </cell>
          <cell r="D517">
            <v>148.80000000000001</v>
          </cell>
          <cell r="O517">
            <v>77.45</v>
          </cell>
          <cell r="Q517">
            <v>118.10000000000001</v>
          </cell>
        </row>
        <row r="518">
          <cell r="B518">
            <v>142.1</v>
          </cell>
          <cell r="D518">
            <v>149.20000000000002</v>
          </cell>
          <cell r="O518">
            <v>77.09</v>
          </cell>
          <cell r="Q518">
            <v>117.80000000000001</v>
          </cell>
        </row>
        <row r="519">
          <cell r="B519">
            <v>142.30000000000001</v>
          </cell>
          <cell r="D519">
            <v>149.6</v>
          </cell>
          <cell r="O519">
            <v>76.680000000000007</v>
          </cell>
          <cell r="Q519">
            <v>117.60000000000001</v>
          </cell>
        </row>
        <row r="520">
          <cell r="B520">
            <v>142.80000000000001</v>
          </cell>
          <cell r="D520">
            <v>150.1</v>
          </cell>
          <cell r="O520">
            <v>76.56</v>
          </cell>
          <cell r="Q520">
            <v>118</v>
          </cell>
        </row>
        <row r="521">
          <cell r="B521">
            <v>143.1</v>
          </cell>
          <cell r="D521">
            <v>150.6</v>
          </cell>
          <cell r="O521">
            <v>76.28</v>
          </cell>
          <cell r="Q521">
            <v>118.4</v>
          </cell>
        </row>
        <row r="522">
          <cell r="B522">
            <v>143.30000000000001</v>
          </cell>
          <cell r="D522">
            <v>150.80000000000001</v>
          </cell>
          <cell r="O522">
            <v>75.91</v>
          </cell>
          <cell r="Q522">
            <v>118.7</v>
          </cell>
        </row>
        <row r="523">
          <cell r="B523">
            <v>143.80000000000001</v>
          </cell>
          <cell r="D523">
            <v>151.4</v>
          </cell>
          <cell r="O523">
            <v>75.83</v>
          </cell>
          <cell r="Q523">
            <v>119.30000000000001</v>
          </cell>
        </row>
        <row r="524">
          <cell r="B524">
            <v>144.20000000000002</v>
          </cell>
          <cell r="D524">
            <v>151.80000000000001</v>
          </cell>
          <cell r="O524">
            <v>76.040000000000006</v>
          </cell>
          <cell r="Q524">
            <v>119.7</v>
          </cell>
        </row>
        <row r="525">
          <cell r="B525">
            <v>144.30000000000001</v>
          </cell>
          <cell r="D525">
            <v>152.1</v>
          </cell>
          <cell r="O525">
            <v>76.510000000000005</v>
          </cell>
          <cell r="Q525">
            <v>119.5</v>
          </cell>
        </row>
        <row r="526">
          <cell r="B526">
            <v>144.5</v>
          </cell>
          <cell r="D526">
            <v>152.30000000000001</v>
          </cell>
          <cell r="O526">
            <v>76.61</v>
          </cell>
          <cell r="Q526">
            <v>119.2</v>
          </cell>
        </row>
        <row r="527">
          <cell r="B527">
            <v>144.80000000000001</v>
          </cell>
          <cell r="D527">
            <v>152.80000000000001</v>
          </cell>
          <cell r="O527">
            <v>76.59</v>
          </cell>
          <cell r="Q527">
            <v>118.7</v>
          </cell>
        </row>
        <row r="528">
          <cell r="B528">
            <v>145</v>
          </cell>
          <cell r="D528">
            <v>152.9</v>
          </cell>
          <cell r="O528">
            <v>76.47</v>
          </cell>
          <cell r="Q528">
            <v>118.7</v>
          </cell>
        </row>
        <row r="529">
          <cell r="B529">
            <v>145.6</v>
          </cell>
          <cell r="D529">
            <v>153.4</v>
          </cell>
          <cell r="O529">
            <v>76.22</v>
          </cell>
          <cell r="Q529">
            <v>119.10000000000001</v>
          </cell>
        </row>
        <row r="530">
          <cell r="B530">
            <v>146</v>
          </cell>
          <cell r="D530">
            <v>153.9</v>
          </cell>
          <cell r="O530">
            <v>76.02</v>
          </cell>
          <cell r="Q530">
            <v>119</v>
          </cell>
        </row>
        <row r="531">
          <cell r="B531">
            <v>146.30000000000001</v>
          </cell>
          <cell r="D531">
            <v>154.30000000000001</v>
          </cell>
          <cell r="O531">
            <v>75.710000000000008</v>
          </cell>
          <cell r="Q531">
            <v>118.60000000000001</v>
          </cell>
        </row>
        <row r="532">
          <cell r="B532">
            <v>146.30000000000001</v>
          </cell>
          <cell r="D532">
            <v>154.5</v>
          </cell>
          <cell r="O532">
            <v>75.710000000000008</v>
          </cell>
          <cell r="Q532">
            <v>119.10000000000001</v>
          </cell>
        </row>
        <row r="533">
          <cell r="B533">
            <v>146.70000000000002</v>
          </cell>
          <cell r="D533">
            <v>154.80000000000001</v>
          </cell>
          <cell r="O533">
            <v>75.63</v>
          </cell>
          <cell r="Q533">
            <v>119.30000000000001</v>
          </cell>
        </row>
        <row r="534">
          <cell r="B534">
            <v>147.1</v>
          </cell>
          <cell r="D534">
            <v>155.30000000000001</v>
          </cell>
          <cell r="O534">
            <v>75.73</v>
          </cell>
          <cell r="Q534">
            <v>119.7</v>
          </cell>
        </row>
        <row r="535">
          <cell r="B535">
            <v>147.20000000000002</v>
          </cell>
          <cell r="D535">
            <v>155.5</v>
          </cell>
          <cell r="O535">
            <v>76.03</v>
          </cell>
          <cell r="Q535">
            <v>119.7</v>
          </cell>
        </row>
        <row r="536">
          <cell r="B536">
            <v>147.5</v>
          </cell>
          <cell r="D536">
            <v>155.9</v>
          </cell>
          <cell r="O536">
            <v>76.489999999999995</v>
          </cell>
          <cell r="Q536">
            <v>119.9</v>
          </cell>
        </row>
        <row r="537">
          <cell r="B537">
            <v>147.9</v>
          </cell>
          <cell r="D537">
            <v>156.4</v>
          </cell>
          <cell r="O537">
            <v>77.040000000000006</v>
          </cell>
          <cell r="Q537">
            <v>120.5</v>
          </cell>
        </row>
        <row r="538">
          <cell r="B538">
            <v>148.4</v>
          </cell>
          <cell r="D538">
            <v>156.70000000000002</v>
          </cell>
          <cell r="O538">
            <v>77.400000000000006</v>
          </cell>
          <cell r="Q538">
            <v>120.7</v>
          </cell>
        </row>
        <row r="539">
          <cell r="B539">
            <v>149</v>
          </cell>
          <cell r="D539">
            <v>157.1</v>
          </cell>
          <cell r="O539">
            <v>77.64</v>
          </cell>
          <cell r="Q539">
            <v>121.2</v>
          </cell>
        </row>
        <row r="540">
          <cell r="B540">
            <v>149.30000000000001</v>
          </cell>
          <cell r="D540">
            <v>157.5</v>
          </cell>
          <cell r="O540">
            <v>77.570000000000007</v>
          </cell>
          <cell r="Q540">
            <v>121</v>
          </cell>
        </row>
        <row r="541">
          <cell r="B541">
            <v>149.4</v>
          </cell>
          <cell r="D541">
            <v>157.80000000000001</v>
          </cell>
          <cell r="O541">
            <v>77.5</v>
          </cell>
          <cell r="Q541">
            <v>120.9</v>
          </cell>
        </row>
        <row r="542">
          <cell r="B542">
            <v>149.80000000000001</v>
          </cell>
          <cell r="D542">
            <v>158.20000000000002</v>
          </cell>
          <cell r="O542">
            <v>77.23</v>
          </cell>
          <cell r="Q542">
            <v>121.5</v>
          </cell>
        </row>
        <row r="543">
          <cell r="B543">
            <v>150.1</v>
          </cell>
          <cell r="D543">
            <v>158.30000000000001</v>
          </cell>
          <cell r="O543">
            <v>76.989999999999995</v>
          </cell>
          <cell r="Q543">
            <v>121.9</v>
          </cell>
        </row>
        <row r="544">
          <cell r="B544">
            <v>150.5</v>
          </cell>
          <cell r="D544">
            <v>159</v>
          </cell>
          <cell r="O544">
            <v>76.820000000000007</v>
          </cell>
          <cell r="Q544">
            <v>122.9</v>
          </cell>
        </row>
        <row r="545">
          <cell r="B545">
            <v>150.9</v>
          </cell>
          <cell r="D545">
            <v>159.4</v>
          </cell>
          <cell r="O545">
            <v>76.64</v>
          </cell>
          <cell r="Q545">
            <v>123.5</v>
          </cell>
        </row>
        <row r="546">
          <cell r="B546">
            <v>151.20000000000002</v>
          </cell>
          <cell r="D546">
            <v>159.9</v>
          </cell>
          <cell r="O546">
            <v>76.38</v>
          </cell>
          <cell r="Q546">
            <v>123.9</v>
          </cell>
        </row>
        <row r="547">
          <cell r="B547">
            <v>151.80000000000001</v>
          </cell>
          <cell r="D547">
            <v>160.4</v>
          </cell>
          <cell r="O547">
            <v>76.36</v>
          </cell>
          <cell r="Q547">
            <v>124.60000000000001</v>
          </cell>
        </row>
        <row r="548">
          <cell r="B548">
            <v>152.1</v>
          </cell>
          <cell r="D548">
            <v>160.70000000000002</v>
          </cell>
          <cell r="O548">
            <v>76.600000000000009</v>
          </cell>
          <cell r="Q548">
            <v>124.9</v>
          </cell>
        </row>
        <row r="549">
          <cell r="B549">
            <v>152.4</v>
          </cell>
          <cell r="D549">
            <v>161.1</v>
          </cell>
          <cell r="O549">
            <v>76.94</v>
          </cell>
          <cell r="Q549">
            <v>125.30000000000001</v>
          </cell>
        </row>
        <row r="550">
          <cell r="B550">
            <v>152.6</v>
          </cell>
          <cell r="D550">
            <v>161.4</v>
          </cell>
          <cell r="O550">
            <v>77.260000000000005</v>
          </cell>
          <cell r="Q550">
            <v>125.30000000000001</v>
          </cell>
        </row>
        <row r="551">
          <cell r="B551">
            <v>152.9</v>
          </cell>
          <cell r="D551">
            <v>161.80000000000001</v>
          </cell>
          <cell r="O551">
            <v>77.47</v>
          </cell>
          <cell r="Q551">
            <v>125.10000000000001</v>
          </cell>
        </row>
        <row r="552">
          <cell r="B552">
            <v>153.1</v>
          </cell>
          <cell r="D552">
            <v>162.20000000000002</v>
          </cell>
          <cell r="O552">
            <v>77.430000000000007</v>
          </cell>
          <cell r="Q552">
            <v>125.2</v>
          </cell>
        </row>
        <row r="553">
          <cell r="B553">
            <v>153.5</v>
          </cell>
          <cell r="D553">
            <v>162.70000000000002</v>
          </cell>
          <cell r="O553">
            <v>77.260000000000005</v>
          </cell>
          <cell r="Q553">
            <v>125.30000000000001</v>
          </cell>
        </row>
        <row r="554">
          <cell r="B554">
            <v>153.70000000000002</v>
          </cell>
          <cell r="D554">
            <v>163</v>
          </cell>
          <cell r="O554">
            <v>76.95</v>
          </cell>
          <cell r="Q554">
            <v>125.4</v>
          </cell>
        </row>
        <row r="555">
          <cell r="B555">
            <v>153.9</v>
          </cell>
          <cell r="D555">
            <v>163.1</v>
          </cell>
          <cell r="O555">
            <v>76.680000000000007</v>
          </cell>
          <cell r="Q555">
            <v>125.7</v>
          </cell>
        </row>
        <row r="556">
          <cell r="B556">
            <v>154.70000000000002</v>
          </cell>
          <cell r="D556">
            <v>163.70000000000002</v>
          </cell>
          <cell r="O556">
            <v>76.56</v>
          </cell>
          <cell r="Q556">
            <v>126.30000000000001</v>
          </cell>
        </row>
        <row r="557">
          <cell r="B557">
            <v>155</v>
          </cell>
          <cell r="D557">
            <v>164</v>
          </cell>
          <cell r="O557">
            <v>76.44</v>
          </cell>
          <cell r="Q557">
            <v>126.2</v>
          </cell>
        </row>
        <row r="558">
          <cell r="B558">
            <v>155.5</v>
          </cell>
          <cell r="D558">
            <v>164.4</v>
          </cell>
          <cell r="O558">
            <v>76.489999999999995</v>
          </cell>
          <cell r="Q558">
            <v>126.4</v>
          </cell>
        </row>
        <row r="559">
          <cell r="B559">
            <v>156.1</v>
          </cell>
          <cell r="D559">
            <v>164.6</v>
          </cell>
          <cell r="O559">
            <v>76.84</v>
          </cell>
          <cell r="Q559">
            <v>127.4</v>
          </cell>
        </row>
        <row r="560">
          <cell r="B560">
            <v>156.4</v>
          </cell>
          <cell r="D560">
            <v>165</v>
          </cell>
          <cell r="O560">
            <v>77.33</v>
          </cell>
          <cell r="Q560">
            <v>128.1</v>
          </cell>
        </row>
        <row r="561">
          <cell r="B561">
            <v>156.70000000000002</v>
          </cell>
          <cell r="D561">
            <v>165.4</v>
          </cell>
          <cell r="O561">
            <v>77.78</v>
          </cell>
          <cell r="Q561">
            <v>128</v>
          </cell>
        </row>
        <row r="562">
          <cell r="B562">
            <v>157</v>
          </cell>
          <cell r="D562">
            <v>165.70000000000002</v>
          </cell>
          <cell r="O562">
            <v>78.100000000000009</v>
          </cell>
          <cell r="Q562">
            <v>128</v>
          </cell>
        </row>
        <row r="563">
          <cell r="B563">
            <v>157.20000000000002</v>
          </cell>
          <cell r="D563">
            <v>166</v>
          </cell>
          <cell r="O563">
            <v>78.36</v>
          </cell>
          <cell r="Q563">
            <v>128.30000000000001</v>
          </cell>
        </row>
        <row r="564">
          <cell r="B564">
            <v>157.70000000000002</v>
          </cell>
          <cell r="D564">
            <v>166.5</v>
          </cell>
          <cell r="O564">
            <v>78.37</v>
          </cell>
          <cell r="Q564">
            <v>128.20000000000002</v>
          </cell>
        </row>
        <row r="565">
          <cell r="B565">
            <v>158.20000000000002</v>
          </cell>
          <cell r="D565">
            <v>166.8</v>
          </cell>
          <cell r="O565">
            <v>78.36</v>
          </cell>
          <cell r="Q565">
            <v>128</v>
          </cell>
        </row>
        <row r="566">
          <cell r="B566">
            <v>158.70000000000002</v>
          </cell>
          <cell r="D566">
            <v>167.20000000000002</v>
          </cell>
          <cell r="O566">
            <v>78.23</v>
          </cell>
          <cell r="Q566">
            <v>128.20000000000002</v>
          </cell>
        </row>
        <row r="567">
          <cell r="B567">
            <v>159.1</v>
          </cell>
          <cell r="D567">
            <v>167.4</v>
          </cell>
          <cell r="O567">
            <v>78.12</v>
          </cell>
          <cell r="Q567">
            <v>129.1</v>
          </cell>
        </row>
        <row r="568">
          <cell r="B568">
            <v>159.4</v>
          </cell>
          <cell r="D568">
            <v>167.8</v>
          </cell>
          <cell r="O568">
            <v>78.08</v>
          </cell>
          <cell r="Q568">
            <v>129.70000000000002</v>
          </cell>
        </row>
        <row r="569">
          <cell r="B569">
            <v>159.70000000000002</v>
          </cell>
          <cell r="D569">
            <v>168.1</v>
          </cell>
          <cell r="O569">
            <v>77.98</v>
          </cell>
          <cell r="Q569">
            <v>128.5</v>
          </cell>
        </row>
        <row r="570">
          <cell r="B570">
            <v>159.80000000000001</v>
          </cell>
          <cell r="D570">
            <v>168.4</v>
          </cell>
          <cell r="O570">
            <v>78.290000000000006</v>
          </cell>
          <cell r="Q570">
            <v>127.30000000000001</v>
          </cell>
        </row>
        <row r="571">
          <cell r="B571">
            <v>159.9</v>
          </cell>
          <cell r="D571">
            <v>168.9</v>
          </cell>
          <cell r="O571">
            <v>78.760000000000005</v>
          </cell>
          <cell r="Q571">
            <v>127</v>
          </cell>
        </row>
        <row r="572">
          <cell r="B572">
            <v>159.9</v>
          </cell>
          <cell r="D572">
            <v>169.20000000000002</v>
          </cell>
          <cell r="O572">
            <v>79.42</v>
          </cell>
          <cell r="Q572">
            <v>127.4</v>
          </cell>
        </row>
        <row r="573">
          <cell r="B573">
            <v>160.20000000000002</v>
          </cell>
          <cell r="D573">
            <v>169.4</v>
          </cell>
          <cell r="O573">
            <v>80.25</v>
          </cell>
          <cell r="Q573">
            <v>127.2</v>
          </cell>
        </row>
        <row r="574">
          <cell r="B574">
            <v>160.4</v>
          </cell>
          <cell r="D574">
            <v>169.70000000000002</v>
          </cell>
          <cell r="O574">
            <v>80.86</v>
          </cell>
          <cell r="Q574">
            <v>126.9</v>
          </cell>
        </row>
        <row r="575">
          <cell r="B575">
            <v>160.80000000000001</v>
          </cell>
          <cell r="D575">
            <v>169.8</v>
          </cell>
          <cell r="O575">
            <v>81.41</v>
          </cell>
          <cell r="Q575">
            <v>127.2</v>
          </cell>
        </row>
        <row r="576">
          <cell r="B576">
            <v>161.20000000000002</v>
          </cell>
          <cell r="D576">
            <v>170.20000000000002</v>
          </cell>
          <cell r="O576">
            <v>81.570000000000007</v>
          </cell>
          <cell r="Q576">
            <v>127.5</v>
          </cell>
        </row>
        <row r="577">
          <cell r="B577">
            <v>161.5</v>
          </cell>
          <cell r="D577">
            <v>170.6</v>
          </cell>
          <cell r="O577">
            <v>81.83</v>
          </cell>
          <cell r="Q577">
            <v>127.80000000000001</v>
          </cell>
        </row>
        <row r="578">
          <cell r="B578">
            <v>161.70000000000002</v>
          </cell>
          <cell r="D578">
            <v>170.8</v>
          </cell>
          <cell r="O578">
            <v>81.98</v>
          </cell>
          <cell r="Q578">
            <v>127.9</v>
          </cell>
        </row>
        <row r="579">
          <cell r="B579">
            <v>161.80000000000001</v>
          </cell>
          <cell r="D579">
            <v>171.20000000000002</v>
          </cell>
          <cell r="O579">
            <v>82.31</v>
          </cell>
          <cell r="Q579">
            <v>126.80000000000001</v>
          </cell>
        </row>
        <row r="580">
          <cell r="B580">
            <v>162</v>
          </cell>
          <cell r="D580">
            <v>171.6</v>
          </cell>
          <cell r="O580">
            <v>82.7</v>
          </cell>
          <cell r="Q580">
            <v>125.4</v>
          </cell>
        </row>
        <row r="581">
          <cell r="B581">
            <v>162</v>
          </cell>
          <cell r="D581">
            <v>171.9</v>
          </cell>
          <cell r="O581">
            <v>83.13</v>
          </cell>
          <cell r="Q581">
            <v>125</v>
          </cell>
        </row>
        <row r="582">
          <cell r="B582">
            <v>162</v>
          </cell>
          <cell r="D582">
            <v>172.20000000000002</v>
          </cell>
          <cell r="O582">
            <v>83.87</v>
          </cell>
          <cell r="Q582">
            <v>124.7</v>
          </cell>
        </row>
        <row r="583">
          <cell r="B583">
            <v>162.20000000000002</v>
          </cell>
          <cell r="D583">
            <v>172.5</v>
          </cell>
          <cell r="O583">
            <v>84.69</v>
          </cell>
          <cell r="Q583">
            <v>124.9</v>
          </cell>
        </row>
        <row r="584">
          <cell r="B584">
            <v>162.6</v>
          </cell>
          <cell r="D584">
            <v>172.9</v>
          </cell>
          <cell r="O584">
            <v>85.77</v>
          </cell>
          <cell r="Q584">
            <v>125.10000000000001</v>
          </cell>
        </row>
        <row r="585">
          <cell r="B585">
            <v>162.80000000000001</v>
          </cell>
          <cell r="D585">
            <v>173.20000000000002</v>
          </cell>
          <cell r="O585">
            <v>87.03</v>
          </cell>
          <cell r="Q585">
            <v>124.80000000000001</v>
          </cell>
        </row>
        <row r="586">
          <cell r="B586">
            <v>163.20000000000002</v>
          </cell>
          <cell r="D586">
            <v>173.5</v>
          </cell>
          <cell r="O586">
            <v>88.14</v>
          </cell>
          <cell r="Q586">
            <v>124.9</v>
          </cell>
        </row>
        <row r="587">
          <cell r="B587">
            <v>163.4</v>
          </cell>
          <cell r="D587">
            <v>174</v>
          </cell>
          <cell r="O587">
            <v>89.01</v>
          </cell>
          <cell r="Q587">
            <v>124.2</v>
          </cell>
        </row>
        <row r="588">
          <cell r="B588">
            <v>163.5</v>
          </cell>
          <cell r="D588">
            <v>174.20000000000002</v>
          </cell>
          <cell r="O588">
            <v>89.58</v>
          </cell>
          <cell r="Q588">
            <v>123.80000000000001</v>
          </cell>
        </row>
        <row r="589">
          <cell r="B589">
            <v>163.9</v>
          </cell>
          <cell r="D589">
            <v>174.4</v>
          </cell>
          <cell r="O589">
            <v>89.8</v>
          </cell>
          <cell r="Q589">
            <v>124</v>
          </cell>
        </row>
        <row r="590">
          <cell r="B590">
            <v>164.1</v>
          </cell>
          <cell r="D590">
            <v>174.8</v>
          </cell>
          <cell r="O590">
            <v>89.76</v>
          </cell>
          <cell r="Q590">
            <v>123.60000000000001</v>
          </cell>
        </row>
        <row r="591">
          <cell r="B591">
            <v>164.4</v>
          </cell>
          <cell r="D591">
            <v>175.4</v>
          </cell>
          <cell r="O591">
            <v>89.820000000000007</v>
          </cell>
          <cell r="Q591">
            <v>122.80000000000001</v>
          </cell>
        </row>
        <row r="592">
          <cell r="B592">
            <v>164.70000000000002</v>
          </cell>
          <cell r="D592">
            <v>175.6</v>
          </cell>
          <cell r="O592">
            <v>90.06</v>
          </cell>
          <cell r="Q592">
            <v>122.9</v>
          </cell>
        </row>
        <row r="593">
          <cell r="B593">
            <v>164.70000000000002</v>
          </cell>
          <cell r="D593">
            <v>175.6</v>
          </cell>
          <cell r="O593">
            <v>90.48</v>
          </cell>
          <cell r="Q593">
            <v>122.30000000000001</v>
          </cell>
        </row>
        <row r="594">
          <cell r="B594">
            <v>164.8</v>
          </cell>
          <cell r="D594">
            <v>175.70000000000002</v>
          </cell>
          <cell r="O594">
            <v>91.31</v>
          </cell>
          <cell r="Q594">
            <v>122.60000000000001</v>
          </cell>
        </row>
        <row r="595">
          <cell r="B595">
            <v>165.9</v>
          </cell>
          <cell r="D595">
            <v>176.3</v>
          </cell>
          <cell r="O595">
            <v>92.55</v>
          </cell>
          <cell r="Q595">
            <v>123.60000000000001</v>
          </cell>
        </row>
        <row r="596">
          <cell r="B596">
            <v>166</v>
          </cell>
          <cell r="D596">
            <v>176.5</v>
          </cell>
          <cell r="O596">
            <v>93.69</v>
          </cell>
          <cell r="Q596">
            <v>124.7</v>
          </cell>
        </row>
        <row r="597">
          <cell r="B597">
            <v>166</v>
          </cell>
          <cell r="D597">
            <v>176.6</v>
          </cell>
          <cell r="O597">
            <v>95.100000000000009</v>
          </cell>
          <cell r="Q597">
            <v>125.2</v>
          </cell>
        </row>
        <row r="598">
          <cell r="B598">
            <v>166.70000000000002</v>
          </cell>
          <cell r="D598">
            <v>177.1</v>
          </cell>
          <cell r="O598">
            <v>96.28</v>
          </cell>
          <cell r="Q598">
            <v>125.7</v>
          </cell>
        </row>
        <row r="599">
          <cell r="B599">
            <v>167.1</v>
          </cell>
          <cell r="D599">
            <v>177.3</v>
          </cell>
          <cell r="O599">
            <v>97.31</v>
          </cell>
          <cell r="Q599">
            <v>126.9</v>
          </cell>
        </row>
        <row r="600">
          <cell r="B600">
            <v>167.8</v>
          </cell>
          <cell r="D600">
            <v>177.8</v>
          </cell>
          <cell r="O600">
            <v>97.990000000000009</v>
          </cell>
          <cell r="Q600">
            <v>128</v>
          </cell>
        </row>
        <row r="601">
          <cell r="B601">
            <v>168.1</v>
          </cell>
          <cell r="D601">
            <v>178.1</v>
          </cell>
          <cell r="O601">
            <v>98.48</v>
          </cell>
          <cell r="Q601">
            <v>127.7</v>
          </cell>
        </row>
        <row r="602">
          <cell r="B602">
            <v>168.4</v>
          </cell>
          <cell r="D602">
            <v>178.4</v>
          </cell>
          <cell r="O602">
            <v>98.94</v>
          </cell>
          <cell r="Q602">
            <v>128.30000000000001</v>
          </cell>
        </row>
        <row r="603">
          <cell r="B603">
            <v>168.8</v>
          </cell>
          <cell r="D603">
            <v>178.70000000000002</v>
          </cell>
          <cell r="O603">
            <v>99.51</v>
          </cell>
          <cell r="Q603">
            <v>127.80000000000001</v>
          </cell>
        </row>
        <row r="604">
          <cell r="B604">
            <v>169.3</v>
          </cell>
          <cell r="D604">
            <v>179.3</v>
          </cell>
          <cell r="O604">
            <v>100</v>
          </cell>
          <cell r="Q604">
            <v>128.30000000000001</v>
          </cell>
        </row>
        <row r="605">
          <cell r="B605">
            <v>170</v>
          </cell>
          <cell r="D605">
            <v>179.4</v>
          </cell>
          <cell r="O605">
            <v>100.81</v>
          </cell>
          <cell r="Q605">
            <v>129.80000000000001</v>
          </cell>
        </row>
        <row r="606">
          <cell r="B606">
            <v>171</v>
          </cell>
          <cell r="D606">
            <v>180</v>
          </cell>
          <cell r="O606">
            <v>102.24000000000001</v>
          </cell>
          <cell r="Q606">
            <v>130.80000000000001</v>
          </cell>
        </row>
        <row r="607">
          <cell r="B607">
            <v>170.9</v>
          </cell>
          <cell r="D607">
            <v>180.3</v>
          </cell>
          <cell r="O607">
            <v>104.01</v>
          </cell>
          <cell r="Q607">
            <v>130.70000000000002</v>
          </cell>
        </row>
        <row r="608">
          <cell r="B608">
            <v>171.20000000000002</v>
          </cell>
          <cell r="D608">
            <v>180.70000000000002</v>
          </cell>
          <cell r="O608">
            <v>105.98</v>
          </cell>
          <cell r="Q608">
            <v>131.6</v>
          </cell>
        </row>
        <row r="609">
          <cell r="B609">
            <v>172.20000000000002</v>
          </cell>
          <cell r="D609">
            <v>181.1</v>
          </cell>
          <cell r="O609">
            <v>107.83</v>
          </cell>
          <cell r="Q609">
            <v>133.80000000000001</v>
          </cell>
        </row>
        <row r="610">
          <cell r="B610">
            <v>172.70000000000002</v>
          </cell>
          <cell r="D610">
            <v>181.5</v>
          </cell>
          <cell r="O610">
            <v>109.02</v>
          </cell>
          <cell r="Q610">
            <v>133.70000000000002</v>
          </cell>
        </row>
        <row r="611">
          <cell r="B611">
            <v>172.70000000000002</v>
          </cell>
          <cell r="D611">
            <v>181.9</v>
          </cell>
          <cell r="O611">
            <v>110.07000000000001</v>
          </cell>
          <cell r="Q611">
            <v>132.9</v>
          </cell>
        </row>
        <row r="612">
          <cell r="B612">
            <v>173.6</v>
          </cell>
          <cell r="D612">
            <v>182.3</v>
          </cell>
          <cell r="O612">
            <v>110.9</v>
          </cell>
          <cell r="Q612">
            <v>134.70000000000002</v>
          </cell>
        </row>
        <row r="613">
          <cell r="B613">
            <v>173.9</v>
          </cell>
          <cell r="D613">
            <v>182.6</v>
          </cell>
          <cell r="O613">
            <v>111.75</v>
          </cell>
          <cell r="Q613">
            <v>135.4</v>
          </cell>
        </row>
        <row r="614">
          <cell r="B614">
            <v>174.20000000000002</v>
          </cell>
          <cell r="D614">
            <v>183.1</v>
          </cell>
          <cell r="O614">
            <v>112.60000000000001</v>
          </cell>
          <cell r="Q614">
            <v>135</v>
          </cell>
        </row>
        <row r="615">
          <cell r="B615">
            <v>174.6</v>
          </cell>
          <cell r="D615">
            <v>183.3</v>
          </cell>
          <cell r="O615">
            <v>113.56</v>
          </cell>
          <cell r="Q615">
            <v>136.20000000000002</v>
          </cell>
        </row>
        <row r="616">
          <cell r="B616">
            <v>175.6</v>
          </cell>
          <cell r="D616">
            <v>183.9</v>
          </cell>
          <cell r="O616">
            <v>114.58</v>
          </cell>
          <cell r="Q616">
            <v>140</v>
          </cell>
        </row>
        <row r="617">
          <cell r="B617">
            <v>176</v>
          </cell>
          <cell r="D617">
            <v>184.4</v>
          </cell>
          <cell r="O617">
            <v>115.45</v>
          </cell>
          <cell r="Q617">
            <v>137.4</v>
          </cell>
        </row>
        <row r="618">
          <cell r="B618">
            <v>176.1</v>
          </cell>
          <cell r="D618">
            <v>184.70000000000002</v>
          </cell>
          <cell r="O618">
            <v>116.69</v>
          </cell>
          <cell r="Q618">
            <v>135.9</v>
          </cell>
        </row>
        <row r="619">
          <cell r="B619">
            <v>176.4</v>
          </cell>
          <cell r="D619">
            <v>185.1</v>
          </cell>
          <cell r="O619">
            <v>117.94</v>
          </cell>
          <cell r="Q619">
            <v>136.4</v>
          </cell>
        </row>
        <row r="620">
          <cell r="B620">
            <v>177.3</v>
          </cell>
          <cell r="D620">
            <v>185.3</v>
          </cell>
          <cell r="O620">
            <v>118.94</v>
          </cell>
          <cell r="Q620">
            <v>136.80000000000001</v>
          </cell>
        </row>
        <row r="621">
          <cell r="B621">
            <v>177.70000000000002</v>
          </cell>
          <cell r="D621">
            <v>186</v>
          </cell>
          <cell r="O621">
            <v>120.03</v>
          </cell>
          <cell r="Q621">
            <v>135.5</v>
          </cell>
        </row>
        <row r="622">
          <cell r="B622">
            <v>177.4</v>
          </cell>
          <cell r="D622">
            <v>186.4</v>
          </cell>
          <cell r="O622">
            <v>121.01</v>
          </cell>
          <cell r="Q622">
            <v>133.4</v>
          </cell>
        </row>
        <row r="623">
          <cell r="B623">
            <v>177.4</v>
          </cell>
          <cell r="D623">
            <v>186.70000000000002</v>
          </cell>
          <cell r="O623">
            <v>121.99000000000001</v>
          </cell>
          <cell r="Q623">
            <v>133.4</v>
          </cell>
        </row>
        <row r="624">
          <cell r="B624">
            <v>178.1</v>
          </cell>
          <cell r="D624">
            <v>187.1</v>
          </cell>
          <cell r="O624">
            <v>122.89</v>
          </cell>
          <cell r="Q624">
            <v>133.30000000000001</v>
          </cell>
        </row>
        <row r="625">
          <cell r="B625">
            <v>177.6</v>
          </cell>
          <cell r="D625">
            <v>187.4</v>
          </cell>
          <cell r="O625">
            <v>123.46000000000001</v>
          </cell>
          <cell r="Q625">
            <v>130.30000000000001</v>
          </cell>
        </row>
        <row r="626">
          <cell r="B626">
            <v>177.5</v>
          </cell>
          <cell r="D626">
            <v>188.1</v>
          </cell>
          <cell r="O626">
            <v>123.78</v>
          </cell>
          <cell r="Q626">
            <v>129.80000000000001</v>
          </cell>
        </row>
        <row r="627">
          <cell r="B627">
            <v>177.4</v>
          </cell>
          <cell r="D627">
            <v>188.4</v>
          </cell>
          <cell r="O627">
            <v>123.64</v>
          </cell>
          <cell r="Q627">
            <v>128.1</v>
          </cell>
        </row>
        <row r="628">
          <cell r="B628">
            <v>177.70000000000002</v>
          </cell>
          <cell r="D628">
            <v>188.70000000000002</v>
          </cell>
          <cell r="O628">
            <v>123.93</v>
          </cell>
          <cell r="Q628">
            <v>128.5</v>
          </cell>
        </row>
        <row r="629">
          <cell r="B629">
            <v>178</v>
          </cell>
          <cell r="D629">
            <v>189.1</v>
          </cell>
          <cell r="O629">
            <v>124.45</v>
          </cell>
          <cell r="Q629">
            <v>128.4</v>
          </cell>
        </row>
        <row r="630">
          <cell r="B630">
            <v>178.5</v>
          </cell>
          <cell r="D630">
            <v>189.20000000000002</v>
          </cell>
          <cell r="O630">
            <v>125.92</v>
          </cell>
          <cell r="Q630">
            <v>129.80000000000001</v>
          </cell>
        </row>
        <row r="631">
          <cell r="B631">
            <v>179.3</v>
          </cell>
          <cell r="D631">
            <v>189.70000000000002</v>
          </cell>
          <cell r="O631">
            <v>127.95</v>
          </cell>
          <cell r="Q631">
            <v>130.80000000000001</v>
          </cell>
        </row>
        <row r="632">
          <cell r="B632">
            <v>179.5</v>
          </cell>
          <cell r="D632">
            <v>190</v>
          </cell>
          <cell r="O632">
            <v>130.33000000000001</v>
          </cell>
          <cell r="Q632">
            <v>130.80000000000001</v>
          </cell>
        </row>
        <row r="633">
          <cell r="B633">
            <v>179.6</v>
          </cell>
          <cell r="D633">
            <v>190.20000000000002</v>
          </cell>
          <cell r="O633">
            <v>132.76</v>
          </cell>
          <cell r="Q633">
            <v>130.9</v>
          </cell>
        </row>
        <row r="634">
          <cell r="B634">
            <v>180</v>
          </cell>
          <cell r="D634">
            <v>190.5</v>
          </cell>
          <cell r="O634">
            <v>135.04</v>
          </cell>
          <cell r="Q634">
            <v>131.20000000000002</v>
          </cell>
        </row>
        <row r="635">
          <cell r="B635">
            <v>180.5</v>
          </cell>
          <cell r="D635">
            <v>191.1</v>
          </cell>
          <cell r="O635">
            <v>137.04</v>
          </cell>
          <cell r="Q635">
            <v>131.5</v>
          </cell>
        </row>
        <row r="636">
          <cell r="B636">
            <v>180.8</v>
          </cell>
          <cell r="D636">
            <v>191.3</v>
          </cell>
          <cell r="O636">
            <v>138.62</v>
          </cell>
          <cell r="Q636">
            <v>132.30000000000001</v>
          </cell>
        </row>
        <row r="637">
          <cell r="B637">
            <v>181.20000000000002</v>
          </cell>
          <cell r="D637">
            <v>191.5</v>
          </cell>
          <cell r="O637">
            <v>140.12</v>
          </cell>
          <cell r="Q637">
            <v>133.20000000000002</v>
          </cell>
        </row>
        <row r="638">
          <cell r="B638">
            <v>181.5</v>
          </cell>
          <cell r="D638">
            <v>191.9</v>
          </cell>
          <cell r="O638">
            <v>141.26</v>
          </cell>
          <cell r="Q638">
            <v>133.1</v>
          </cell>
        </row>
        <row r="639">
          <cell r="B639">
            <v>181.8</v>
          </cell>
          <cell r="D639">
            <v>192.1</v>
          </cell>
          <cell r="O639">
            <v>142.18</v>
          </cell>
          <cell r="Q639">
            <v>132.9</v>
          </cell>
        </row>
        <row r="640">
          <cell r="B640">
            <v>182.6</v>
          </cell>
          <cell r="D640">
            <v>192.4</v>
          </cell>
          <cell r="O640">
            <v>142.86000000000001</v>
          </cell>
          <cell r="Q640">
            <v>135.30000000000001</v>
          </cell>
        </row>
        <row r="641">
          <cell r="B641">
            <v>183.6</v>
          </cell>
          <cell r="D641">
            <v>192.5</v>
          </cell>
          <cell r="O641">
            <v>143.59</v>
          </cell>
          <cell r="Q641">
            <v>137.6</v>
          </cell>
        </row>
        <row r="642">
          <cell r="B642">
            <v>183.9</v>
          </cell>
          <cell r="D642">
            <v>192.5</v>
          </cell>
          <cell r="O642">
            <v>144.84</v>
          </cell>
          <cell r="Q642">
            <v>141.20000000000002</v>
          </cell>
        </row>
        <row r="643">
          <cell r="B643">
            <v>183.20000000000002</v>
          </cell>
          <cell r="D643">
            <v>192.5</v>
          </cell>
          <cell r="O643">
            <v>146.45000000000002</v>
          </cell>
          <cell r="Q643">
            <v>136.80000000000001</v>
          </cell>
        </row>
        <row r="644">
          <cell r="B644">
            <v>182.9</v>
          </cell>
          <cell r="D644">
            <v>192.9</v>
          </cell>
          <cell r="O644">
            <v>148.17000000000002</v>
          </cell>
          <cell r="Q644">
            <v>136.70000000000002</v>
          </cell>
        </row>
        <row r="645">
          <cell r="B645">
            <v>183.1</v>
          </cell>
          <cell r="D645">
            <v>193</v>
          </cell>
          <cell r="O645">
            <v>149.70000000000002</v>
          </cell>
          <cell r="Q645">
            <v>138</v>
          </cell>
        </row>
        <row r="646">
          <cell r="B646">
            <v>183.70000000000002</v>
          </cell>
          <cell r="D646">
            <v>193.4</v>
          </cell>
          <cell r="O646">
            <v>151.65</v>
          </cell>
          <cell r="Q646">
            <v>137.70000000000002</v>
          </cell>
        </row>
        <row r="647">
          <cell r="B647">
            <v>184.5</v>
          </cell>
          <cell r="D647">
            <v>193.6</v>
          </cell>
          <cell r="O647">
            <v>153.61000000000001</v>
          </cell>
          <cell r="Q647">
            <v>138</v>
          </cell>
        </row>
        <row r="648">
          <cell r="B648">
            <v>185.1</v>
          </cell>
          <cell r="D648">
            <v>193.70000000000002</v>
          </cell>
          <cell r="O648">
            <v>155.77000000000001</v>
          </cell>
          <cell r="Q648">
            <v>138.5</v>
          </cell>
        </row>
        <row r="649">
          <cell r="B649">
            <v>184.9</v>
          </cell>
          <cell r="D649">
            <v>194</v>
          </cell>
          <cell r="O649">
            <v>157.71</v>
          </cell>
          <cell r="Q649">
            <v>139.30000000000001</v>
          </cell>
        </row>
        <row r="650">
          <cell r="B650">
            <v>185</v>
          </cell>
          <cell r="D650">
            <v>194</v>
          </cell>
          <cell r="O650">
            <v>159.55000000000001</v>
          </cell>
          <cell r="Q650">
            <v>138.9</v>
          </cell>
        </row>
        <row r="651">
          <cell r="B651">
            <v>185.5</v>
          </cell>
          <cell r="D651">
            <v>194.20000000000002</v>
          </cell>
          <cell r="O651">
            <v>161.27000000000001</v>
          </cell>
          <cell r="Q651">
            <v>139.5</v>
          </cell>
        </row>
        <row r="652">
          <cell r="B652">
            <v>186.3</v>
          </cell>
          <cell r="D652">
            <v>194.6</v>
          </cell>
          <cell r="O652">
            <v>162.9</v>
          </cell>
          <cell r="Q652">
            <v>141.4</v>
          </cell>
        </row>
        <row r="653">
          <cell r="B653">
            <v>186.70000000000002</v>
          </cell>
          <cell r="D653">
            <v>194.9</v>
          </cell>
          <cell r="O653">
            <v>164.82</v>
          </cell>
          <cell r="Q653">
            <v>142.1</v>
          </cell>
        </row>
        <row r="654">
          <cell r="B654">
            <v>187.1</v>
          </cell>
          <cell r="D654">
            <v>195.5</v>
          </cell>
          <cell r="O654">
            <v>167.91</v>
          </cell>
          <cell r="Q654">
            <v>143.1</v>
          </cell>
        </row>
        <row r="655">
          <cell r="B655">
            <v>187.4</v>
          </cell>
          <cell r="D655">
            <v>195.9</v>
          </cell>
          <cell r="O655">
            <v>171.58</v>
          </cell>
          <cell r="Q655">
            <v>144.80000000000001</v>
          </cell>
        </row>
        <row r="656">
          <cell r="B656">
            <v>188.20000000000002</v>
          </cell>
          <cell r="D656">
            <v>196.20000000000002</v>
          </cell>
          <cell r="O656">
            <v>175.43</v>
          </cell>
          <cell r="Q656">
            <v>146.80000000000001</v>
          </cell>
        </row>
        <row r="657">
          <cell r="B657">
            <v>188.9</v>
          </cell>
          <cell r="D657">
            <v>196.6</v>
          </cell>
          <cell r="O657">
            <v>179.45000000000002</v>
          </cell>
          <cell r="Q657">
            <v>147.20000000000002</v>
          </cell>
        </row>
        <row r="658">
          <cell r="B658">
            <v>189.1</v>
          </cell>
          <cell r="D658">
            <v>196.8</v>
          </cell>
          <cell r="O658">
            <v>182.69</v>
          </cell>
          <cell r="Q658">
            <v>147.4</v>
          </cell>
        </row>
        <row r="659">
          <cell r="B659">
            <v>189.20000000000002</v>
          </cell>
          <cell r="D659">
            <v>196.9</v>
          </cell>
          <cell r="O659">
            <v>184.95000000000002</v>
          </cell>
          <cell r="Q659">
            <v>148</v>
          </cell>
        </row>
        <row r="660">
          <cell r="B660">
            <v>189.8</v>
          </cell>
          <cell r="D660">
            <v>197.5</v>
          </cell>
          <cell r="O660">
            <v>186.91</v>
          </cell>
          <cell r="Q660">
            <v>147.70000000000002</v>
          </cell>
        </row>
        <row r="661">
          <cell r="B661">
            <v>190.8</v>
          </cell>
          <cell r="D661">
            <v>197.9</v>
          </cell>
          <cell r="O661">
            <v>188.65</v>
          </cell>
          <cell r="Q661">
            <v>150</v>
          </cell>
        </row>
        <row r="662">
          <cell r="B662">
            <v>191.70000000000002</v>
          </cell>
          <cell r="D662">
            <v>198.3</v>
          </cell>
          <cell r="O662">
            <v>190.08</v>
          </cell>
          <cell r="Q662">
            <v>151.4</v>
          </cell>
        </row>
        <row r="663">
          <cell r="B663">
            <v>191.70000000000002</v>
          </cell>
          <cell r="D663">
            <v>198.6</v>
          </cell>
          <cell r="O663">
            <v>191.42000000000002</v>
          </cell>
          <cell r="Q663">
            <v>150.20000000000002</v>
          </cell>
        </row>
        <row r="664">
          <cell r="B664">
            <v>191.6</v>
          </cell>
          <cell r="D664">
            <v>199</v>
          </cell>
          <cell r="O664">
            <v>193.35</v>
          </cell>
          <cell r="Q664">
            <v>150.9</v>
          </cell>
        </row>
        <row r="665">
          <cell r="B665">
            <v>192.4</v>
          </cell>
          <cell r="D665">
            <v>199.4</v>
          </cell>
          <cell r="O665">
            <v>195.87</v>
          </cell>
          <cell r="Q665">
            <v>151.6</v>
          </cell>
        </row>
        <row r="666">
          <cell r="B666">
            <v>193.1</v>
          </cell>
          <cell r="D666">
            <v>200.1</v>
          </cell>
          <cell r="O666">
            <v>199.21</v>
          </cell>
          <cell r="Q666">
            <v>153.70000000000002</v>
          </cell>
        </row>
        <row r="667">
          <cell r="B667">
            <v>193.70000000000002</v>
          </cell>
          <cell r="D667">
            <v>200.20000000000002</v>
          </cell>
          <cell r="O667">
            <v>202.51</v>
          </cell>
          <cell r="Q667">
            <v>155</v>
          </cell>
        </row>
        <row r="668">
          <cell r="B668">
            <v>193.6</v>
          </cell>
          <cell r="D668">
            <v>200.5</v>
          </cell>
          <cell r="O668">
            <v>205.76</v>
          </cell>
          <cell r="Q668">
            <v>154.30000000000001</v>
          </cell>
        </row>
        <row r="669">
          <cell r="B669">
            <v>193.70000000000002</v>
          </cell>
          <cell r="D669">
            <v>200.6</v>
          </cell>
          <cell r="O669">
            <v>208.86</v>
          </cell>
          <cell r="Q669">
            <v>154.30000000000001</v>
          </cell>
        </row>
        <row r="670">
          <cell r="B670">
            <v>194.9</v>
          </cell>
          <cell r="D670">
            <v>200.9</v>
          </cell>
          <cell r="O670">
            <v>211.65</v>
          </cell>
          <cell r="Q670">
            <v>156.30000000000001</v>
          </cell>
        </row>
        <row r="671">
          <cell r="B671">
            <v>196.1</v>
          </cell>
          <cell r="D671">
            <v>201.1</v>
          </cell>
          <cell r="O671">
            <v>214.13</v>
          </cell>
          <cell r="Q671">
            <v>157.60000000000002</v>
          </cell>
        </row>
        <row r="672">
          <cell r="B672">
            <v>198.8</v>
          </cell>
          <cell r="D672">
            <v>201.3</v>
          </cell>
          <cell r="O672">
            <v>216.77</v>
          </cell>
          <cell r="Q672">
            <v>162.20000000000002</v>
          </cell>
        </row>
        <row r="673">
          <cell r="B673">
            <v>199.1</v>
          </cell>
          <cell r="D673">
            <v>202</v>
          </cell>
          <cell r="O673">
            <v>219.07</v>
          </cell>
          <cell r="Q673">
            <v>166.20000000000002</v>
          </cell>
        </row>
        <row r="674">
          <cell r="B674">
            <v>198.1</v>
          </cell>
          <cell r="D674">
            <v>202.5</v>
          </cell>
          <cell r="O674">
            <v>220.81</v>
          </cell>
          <cell r="Q674">
            <v>163.70000000000002</v>
          </cell>
        </row>
        <row r="675">
          <cell r="B675">
            <v>198.1</v>
          </cell>
          <cell r="D675">
            <v>202.8</v>
          </cell>
          <cell r="O675">
            <v>221.91</v>
          </cell>
          <cell r="Q675">
            <v>163</v>
          </cell>
        </row>
        <row r="676">
          <cell r="B676">
            <v>199.3</v>
          </cell>
          <cell r="D676">
            <v>203.20000000000002</v>
          </cell>
          <cell r="O676">
            <v>222.46</v>
          </cell>
          <cell r="Q676">
            <v>164.3</v>
          </cell>
        </row>
        <row r="677">
          <cell r="B677">
            <v>199.4</v>
          </cell>
          <cell r="D677">
            <v>203.6</v>
          </cell>
          <cell r="O677">
            <v>223.38</v>
          </cell>
          <cell r="Q677">
            <v>161.80000000000001</v>
          </cell>
        </row>
        <row r="678">
          <cell r="B678">
            <v>199.70000000000002</v>
          </cell>
          <cell r="D678">
            <v>204.3</v>
          </cell>
          <cell r="O678">
            <v>223.75</v>
          </cell>
          <cell r="Q678">
            <v>162.20000000000002</v>
          </cell>
        </row>
        <row r="679">
          <cell r="B679">
            <v>200.70000000000002</v>
          </cell>
          <cell r="D679">
            <v>204.8</v>
          </cell>
          <cell r="O679">
            <v>224.99</v>
          </cell>
          <cell r="Q679">
            <v>164.3</v>
          </cell>
        </row>
        <row r="680">
          <cell r="B680">
            <v>201.3</v>
          </cell>
          <cell r="D680">
            <v>205.4</v>
          </cell>
          <cell r="O680">
            <v>225.99</v>
          </cell>
          <cell r="Q680">
            <v>165.8</v>
          </cell>
        </row>
        <row r="681">
          <cell r="B681">
            <v>201.8</v>
          </cell>
          <cell r="D681">
            <v>205.9</v>
          </cell>
          <cell r="O681">
            <v>226.29</v>
          </cell>
          <cell r="Q681">
            <v>166.10000000000002</v>
          </cell>
        </row>
        <row r="682">
          <cell r="B682">
            <v>202.9</v>
          </cell>
          <cell r="D682">
            <v>206.3</v>
          </cell>
          <cell r="O682">
            <v>226.17000000000002</v>
          </cell>
          <cell r="Q682">
            <v>166.8</v>
          </cell>
        </row>
        <row r="683">
          <cell r="B683">
            <v>203.8</v>
          </cell>
          <cell r="D683">
            <v>206.8</v>
          </cell>
          <cell r="O683">
            <v>225.54</v>
          </cell>
          <cell r="Q683">
            <v>167.9</v>
          </cell>
        </row>
        <row r="684">
          <cell r="B684">
            <v>202.8</v>
          </cell>
          <cell r="D684">
            <v>207.20000000000002</v>
          </cell>
          <cell r="O684">
            <v>225.1</v>
          </cell>
          <cell r="Q684">
            <v>165.4</v>
          </cell>
        </row>
        <row r="685">
          <cell r="B685">
            <v>201.9</v>
          </cell>
          <cell r="D685">
            <v>207.6</v>
          </cell>
          <cell r="O685">
            <v>224.74</v>
          </cell>
          <cell r="Q685">
            <v>162.20000000000002</v>
          </cell>
        </row>
        <row r="686">
          <cell r="B686">
            <v>202</v>
          </cell>
          <cell r="D686">
            <v>207.8</v>
          </cell>
          <cell r="O686">
            <v>223.94</v>
          </cell>
          <cell r="Q686">
            <v>164.60000000000002</v>
          </cell>
        </row>
        <row r="687">
          <cell r="B687">
            <v>203.1</v>
          </cell>
          <cell r="D687">
            <v>208.1</v>
          </cell>
          <cell r="O687">
            <v>222.39000000000001</v>
          </cell>
          <cell r="Q687">
            <v>165.60000000000002</v>
          </cell>
        </row>
        <row r="688">
          <cell r="B688">
            <v>203.37899999999999</v>
          </cell>
          <cell r="D688">
            <v>208.59300000000002</v>
          </cell>
          <cell r="O688">
            <v>221.31</v>
          </cell>
          <cell r="Q688">
            <v>164</v>
          </cell>
        </row>
        <row r="689">
          <cell r="B689">
            <v>204.238</v>
          </cell>
          <cell r="D689">
            <v>209.107</v>
          </cell>
          <cell r="O689">
            <v>220.46</v>
          </cell>
          <cell r="Q689">
            <v>166.8</v>
          </cell>
        </row>
        <row r="690">
          <cell r="B690">
            <v>205.24700000000001</v>
          </cell>
          <cell r="D690">
            <v>209.33100000000002</v>
          </cell>
          <cell r="O690">
            <v>219.67000000000002</v>
          </cell>
          <cell r="Q690">
            <v>169.3</v>
          </cell>
        </row>
        <row r="691">
          <cell r="B691">
            <v>206.01</v>
          </cell>
          <cell r="D691">
            <v>209.71700000000001</v>
          </cell>
          <cell r="O691">
            <v>218.94</v>
          </cell>
          <cell r="Q691">
            <v>171.4</v>
          </cell>
        </row>
        <row r="692">
          <cell r="B692">
            <v>206.81300000000002</v>
          </cell>
          <cell r="D692">
            <v>210.06399999999999</v>
          </cell>
          <cell r="O692">
            <v>218.34</v>
          </cell>
          <cell r="Q692">
            <v>173.3</v>
          </cell>
        </row>
        <row r="693">
          <cell r="B693">
            <v>207.16200000000001</v>
          </cell>
          <cell r="D693">
            <v>210.43299999999999</v>
          </cell>
          <cell r="O693">
            <v>217.37</v>
          </cell>
          <cell r="Q693">
            <v>173.8</v>
          </cell>
        </row>
        <row r="694">
          <cell r="B694">
            <v>207.655</v>
          </cell>
          <cell r="D694">
            <v>210.83799999999999</v>
          </cell>
          <cell r="O694">
            <v>216.3</v>
          </cell>
          <cell r="Q694">
            <v>175.10000000000002</v>
          </cell>
        </row>
        <row r="695">
          <cell r="B695">
            <v>207.68899999999999</v>
          </cell>
          <cell r="D695">
            <v>211.15299999999999</v>
          </cell>
          <cell r="O695">
            <v>214.63</v>
          </cell>
          <cell r="Q695">
            <v>172.4</v>
          </cell>
        </row>
        <row r="696">
          <cell r="B696">
            <v>208.46700000000001</v>
          </cell>
          <cell r="D696">
            <v>211.589</v>
          </cell>
          <cell r="O696">
            <v>212.73000000000002</v>
          </cell>
          <cell r="Q696">
            <v>173.5</v>
          </cell>
        </row>
        <row r="697">
          <cell r="B697">
            <v>209.15600000000001</v>
          </cell>
          <cell r="D697">
            <v>212.09300000000002</v>
          </cell>
          <cell r="O697">
            <v>209.76</v>
          </cell>
          <cell r="Q697">
            <v>174.70000000000002</v>
          </cell>
        </row>
        <row r="698">
          <cell r="B698">
            <v>210.81</v>
          </cell>
          <cell r="D698">
            <v>212.67000000000002</v>
          </cell>
          <cell r="O698">
            <v>205.26</v>
          </cell>
          <cell r="Q698">
            <v>179</v>
          </cell>
        </row>
        <row r="699">
          <cell r="B699">
            <v>211.416</v>
          </cell>
          <cell r="D699">
            <v>213.142</v>
          </cell>
          <cell r="O699">
            <v>200.67000000000002</v>
          </cell>
          <cell r="Q699">
            <v>178.60000000000002</v>
          </cell>
        </row>
        <row r="700">
          <cell r="B700">
            <v>212.18</v>
          </cell>
          <cell r="D700">
            <v>213.73500000000001</v>
          </cell>
          <cell r="O700">
            <v>196.07</v>
          </cell>
          <cell r="Q700">
            <v>181</v>
          </cell>
        </row>
        <row r="701">
          <cell r="B701">
            <v>212.684</v>
          </cell>
          <cell r="D701">
            <v>213.89099999999999</v>
          </cell>
          <cell r="O701">
            <v>190.6</v>
          </cell>
          <cell r="Q701">
            <v>182.70000000000002</v>
          </cell>
        </row>
        <row r="702">
          <cell r="B702">
            <v>213.464</v>
          </cell>
          <cell r="D702">
            <v>214.309</v>
          </cell>
          <cell r="O702">
            <v>186.12</v>
          </cell>
          <cell r="Q702">
            <v>187.9</v>
          </cell>
        </row>
        <row r="703">
          <cell r="B703">
            <v>214.11799999999999</v>
          </cell>
          <cell r="D703">
            <v>214.49600000000001</v>
          </cell>
          <cell r="O703">
            <v>183.35</v>
          </cell>
          <cell r="Q703">
            <v>190.9</v>
          </cell>
        </row>
        <row r="704">
          <cell r="B704">
            <v>215.304</v>
          </cell>
          <cell r="D704">
            <v>214.93800000000002</v>
          </cell>
          <cell r="O704">
            <v>181.56</v>
          </cell>
          <cell r="Q704">
            <v>196.60000000000002</v>
          </cell>
        </row>
        <row r="705">
          <cell r="B705">
            <v>217.23500000000001</v>
          </cell>
          <cell r="D705">
            <v>215.48600000000002</v>
          </cell>
          <cell r="O705">
            <v>180.52</v>
          </cell>
          <cell r="Q705">
            <v>200.5</v>
          </cell>
        </row>
        <row r="706">
          <cell r="B706">
            <v>219.13300000000001</v>
          </cell>
          <cell r="D706">
            <v>216.09399999999999</v>
          </cell>
          <cell r="O706">
            <v>178.67000000000002</v>
          </cell>
          <cell r="Q706">
            <v>205.5</v>
          </cell>
        </row>
        <row r="707">
          <cell r="B707">
            <v>218.78</v>
          </cell>
          <cell r="D707">
            <v>216.50200000000001</v>
          </cell>
          <cell r="O707">
            <v>176.71</v>
          </cell>
          <cell r="Q707">
            <v>199</v>
          </cell>
        </row>
        <row r="708">
          <cell r="B708">
            <v>218.852</v>
          </cell>
          <cell r="D708">
            <v>216.77600000000001</v>
          </cell>
          <cell r="O708">
            <v>173.35</v>
          </cell>
          <cell r="Q708">
            <v>196.9</v>
          </cell>
        </row>
        <row r="709">
          <cell r="B709">
            <v>216.93</v>
          </cell>
          <cell r="D709">
            <v>216.78700000000001</v>
          </cell>
          <cell r="O709">
            <v>169.67000000000002</v>
          </cell>
          <cell r="Q709">
            <v>186.4</v>
          </cell>
        </row>
        <row r="710">
          <cell r="B710">
            <v>213.00200000000001</v>
          </cell>
          <cell r="D710">
            <v>216.92099999999999</v>
          </cell>
          <cell r="O710">
            <v>165.95000000000002</v>
          </cell>
          <cell r="Q710">
            <v>176.8</v>
          </cell>
        </row>
        <row r="711">
          <cell r="B711">
            <v>211.327</v>
          </cell>
          <cell r="D711">
            <v>216.87</v>
          </cell>
          <cell r="O711">
            <v>162.09</v>
          </cell>
          <cell r="Q711">
            <v>170.9</v>
          </cell>
        </row>
        <row r="712">
          <cell r="B712">
            <v>211.90299999999999</v>
          </cell>
          <cell r="D712">
            <v>217.28399999999999</v>
          </cell>
          <cell r="O712">
            <v>157.96</v>
          </cell>
          <cell r="Q712">
            <v>171.20000000000002</v>
          </cell>
        </row>
        <row r="713">
          <cell r="B713">
            <v>212.87899999999999</v>
          </cell>
          <cell r="D713">
            <v>217.72499999999999</v>
          </cell>
          <cell r="O713">
            <v>154.61000000000001</v>
          </cell>
          <cell r="Q713">
            <v>169.3</v>
          </cell>
        </row>
        <row r="714">
          <cell r="B714">
            <v>212.572</v>
          </cell>
          <cell r="D714">
            <v>218.12200000000001</v>
          </cell>
          <cell r="O714">
            <v>151.47999999999999</v>
          </cell>
          <cell r="Q714">
            <v>168.10000000000002</v>
          </cell>
        </row>
        <row r="715">
          <cell r="B715">
            <v>212.79900000000001</v>
          </cell>
          <cell r="D715">
            <v>218.614</v>
          </cell>
          <cell r="O715">
            <v>150.44</v>
          </cell>
          <cell r="Q715">
            <v>169.10000000000002</v>
          </cell>
        </row>
        <row r="716">
          <cell r="B716">
            <v>213.078</v>
          </cell>
          <cell r="D716">
            <v>218.90600000000001</v>
          </cell>
          <cell r="O716">
            <v>151.19</v>
          </cell>
          <cell r="Q716">
            <v>170.8</v>
          </cell>
        </row>
        <row r="717">
          <cell r="B717">
            <v>214.52700000000002</v>
          </cell>
          <cell r="D717">
            <v>219.22800000000001</v>
          </cell>
          <cell r="O717">
            <v>153.35</v>
          </cell>
          <cell r="Q717">
            <v>174.10000000000002</v>
          </cell>
        </row>
        <row r="718">
          <cell r="B718">
            <v>214.78200000000001</v>
          </cell>
          <cell r="D718">
            <v>219.42699999999999</v>
          </cell>
          <cell r="O718">
            <v>155.95000000000002</v>
          </cell>
          <cell r="Q718">
            <v>172.5</v>
          </cell>
        </row>
        <row r="719">
          <cell r="B719">
            <v>215.51900000000001</v>
          </cell>
          <cell r="D719">
            <v>219.625</v>
          </cell>
          <cell r="O719">
            <v>158.07</v>
          </cell>
          <cell r="Q719">
            <v>175</v>
          </cell>
        </row>
        <row r="720">
          <cell r="B720">
            <v>215.95600000000002</v>
          </cell>
          <cell r="D720">
            <v>220.02</v>
          </cell>
          <cell r="O720">
            <v>158.77000000000001</v>
          </cell>
          <cell r="Q720">
            <v>174.10000000000002</v>
          </cell>
        </row>
        <row r="721">
          <cell r="B721">
            <v>216.44499999999999</v>
          </cell>
          <cell r="D721">
            <v>220.489</v>
          </cell>
          <cell r="O721">
            <v>158.68</v>
          </cell>
          <cell r="Q721">
            <v>175.20000000000002</v>
          </cell>
        </row>
        <row r="722">
          <cell r="B722">
            <v>216.95600000000002</v>
          </cell>
          <cell r="D722">
            <v>220.61600000000001</v>
          </cell>
          <cell r="O722">
            <v>158.33000000000001</v>
          </cell>
          <cell r="Q722">
            <v>177.4</v>
          </cell>
        </row>
        <row r="723">
          <cell r="B723">
            <v>217.15800000000002</v>
          </cell>
          <cell r="D723">
            <v>220.78300000000002</v>
          </cell>
          <cell r="O723">
            <v>158.16</v>
          </cell>
          <cell r="Q723">
            <v>178.10000000000002</v>
          </cell>
        </row>
        <row r="724">
          <cell r="B724">
            <v>217.458</v>
          </cell>
          <cell r="D724">
            <v>220.494</v>
          </cell>
          <cell r="O724">
            <v>157.87</v>
          </cell>
          <cell r="Q724">
            <v>181.9</v>
          </cell>
        </row>
        <row r="725">
          <cell r="B725">
            <v>217.56200000000001</v>
          </cell>
          <cell r="D725">
            <v>220.619</v>
          </cell>
          <cell r="O725">
            <v>156.85</v>
          </cell>
          <cell r="Q725">
            <v>181</v>
          </cell>
        </row>
        <row r="726">
          <cell r="B726">
            <v>217.61100000000002</v>
          </cell>
          <cell r="D726">
            <v>220.69499999999999</v>
          </cell>
          <cell r="O726">
            <v>156.21</v>
          </cell>
          <cell r="Q726">
            <v>183.3</v>
          </cell>
        </row>
        <row r="727">
          <cell r="B727">
            <v>217.625</v>
          </cell>
          <cell r="D727">
            <v>220.786</v>
          </cell>
          <cell r="O727">
            <v>157.36000000000001</v>
          </cell>
          <cell r="Q727">
            <v>184.4</v>
          </cell>
        </row>
        <row r="728">
          <cell r="B728">
            <v>217.32</v>
          </cell>
          <cell r="D728">
            <v>221.041</v>
          </cell>
          <cell r="O728">
            <v>159.41</v>
          </cell>
          <cell r="Q728">
            <v>184.8</v>
          </cell>
        </row>
        <row r="729">
          <cell r="B729">
            <v>216.86500000000001</v>
          </cell>
          <cell r="D729">
            <v>221.33100000000002</v>
          </cell>
          <cell r="O729">
            <v>161.06</v>
          </cell>
          <cell r="Q729">
            <v>183.5</v>
          </cell>
        </row>
        <row r="730">
          <cell r="B730">
            <v>217.62100000000001</v>
          </cell>
          <cell r="D730">
            <v>221.55700000000002</v>
          </cell>
          <cell r="O730">
            <v>162.24</v>
          </cell>
          <cell r="Q730">
            <v>184.10000000000002</v>
          </cell>
        </row>
        <row r="731">
          <cell r="B731">
            <v>218.06800000000001</v>
          </cell>
          <cell r="D731">
            <v>221.691</v>
          </cell>
          <cell r="O731">
            <v>162.01</v>
          </cell>
          <cell r="Q731">
            <v>184.9</v>
          </cell>
        </row>
        <row r="732">
          <cell r="B732">
            <v>218.42699999999999</v>
          </cell>
          <cell r="D732">
            <v>221.76500000000001</v>
          </cell>
          <cell r="O732">
            <v>161</v>
          </cell>
          <cell r="Q732">
            <v>184.9</v>
          </cell>
        </row>
        <row r="733">
          <cell r="B733">
            <v>218.97</v>
          </cell>
          <cell r="D733">
            <v>221.79500000000002</v>
          </cell>
          <cell r="O733">
            <v>158.88</v>
          </cell>
          <cell r="Q733">
            <v>186.60000000000002</v>
          </cell>
        </row>
        <row r="734">
          <cell r="B734">
            <v>219.24</v>
          </cell>
          <cell r="D734">
            <v>222.059</v>
          </cell>
          <cell r="O734">
            <v>157.45000000000002</v>
          </cell>
          <cell r="Q734">
            <v>187.70000000000002</v>
          </cell>
        </row>
        <row r="735">
          <cell r="B735">
            <v>220.18600000000001</v>
          </cell>
          <cell r="D735">
            <v>222.21</v>
          </cell>
          <cell r="O735">
            <v>155.97999999999999</v>
          </cell>
          <cell r="Q735">
            <v>189.70000000000002</v>
          </cell>
        </row>
        <row r="736">
          <cell r="B736">
            <v>221.06200000000001</v>
          </cell>
          <cell r="D736">
            <v>222.58700000000002</v>
          </cell>
          <cell r="O736">
            <v>154.26</v>
          </cell>
          <cell r="Q736">
            <v>192.70000000000002</v>
          </cell>
        </row>
        <row r="737">
          <cell r="B737">
            <v>222.27</v>
          </cell>
          <cell r="D737">
            <v>223.029</v>
          </cell>
          <cell r="O737">
            <v>152.36000000000001</v>
          </cell>
          <cell r="Q737">
            <v>195.8</v>
          </cell>
        </row>
        <row r="738">
          <cell r="B738">
            <v>223.49</v>
          </cell>
          <cell r="D738">
            <v>223.33100000000002</v>
          </cell>
          <cell r="O738">
            <v>150.89000000000001</v>
          </cell>
          <cell r="Q738">
            <v>199.20000000000002</v>
          </cell>
        </row>
        <row r="739">
          <cell r="B739">
            <v>224.43299999999999</v>
          </cell>
          <cell r="D739">
            <v>223.745</v>
          </cell>
          <cell r="O739">
            <v>151.82</v>
          </cell>
          <cell r="Q739">
            <v>203.10000000000002</v>
          </cell>
        </row>
        <row r="740">
          <cell r="B740">
            <v>224.804</v>
          </cell>
          <cell r="D740">
            <v>224.387</v>
          </cell>
          <cell r="O740">
            <v>153.31</v>
          </cell>
          <cell r="Q740">
            <v>204.10000000000002</v>
          </cell>
        </row>
        <row r="741">
          <cell r="B741">
            <v>224.304</v>
          </cell>
          <cell r="D741">
            <v>224.958</v>
          </cell>
          <cell r="O741">
            <v>154.70000000000002</v>
          </cell>
          <cell r="Q741">
            <v>204</v>
          </cell>
        </row>
        <row r="742">
          <cell r="B742">
            <v>225.42500000000001</v>
          </cell>
          <cell r="D742">
            <v>225.46299999999999</v>
          </cell>
          <cell r="O742">
            <v>155.99</v>
          </cell>
          <cell r="Q742">
            <v>204.60000000000002</v>
          </cell>
        </row>
        <row r="743">
          <cell r="B743">
            <v>226.268</v>
          </cell>
          <cell r="D743">
            <v>226.01400000000001</v>
          </cell>
          <cell r="O743">
            <v>156.36000000000001</v>
          </cell>
          <cell r="Q743">
            <v>203.20000000000002</v>
          </cell>
        </row>
        <row r="744">
          <cell r="B744">
            <v>226.95500000000001</v>
          </cell>
          <cell r="D744">
            <v>226.137</v>
          </cell>
          <cell r="O744" t="str">
            <v>NA</v>
          </cell>
          <cell r="Q744">
            <v>204</v>
          </cell>
        </row>
        <row r="745">
          <cell r="B745" t="str">
            <v>NA</v>
          </cell>
          <cell r="D745" t="str">
            <v>NA</v>
          </cell>
          <cell r="O745" t="str">
            <v>NA</v>
          </cell>
          <cell r="Q745" t="str">
            <v>NA</v>
          </cell>
        </row>
      </sheetData>
      <sheetData sheetId="1">
        <row r="3">
          <cell r="B3">
            <v>23.587</v>
          </cell>
          <cell r="C3">
            <v>23.766999999999999</v>
          </cell>
          <cell r="D3">
            <v>24.202999999999999</v>
          </cell>
          <cell r="E3">
            <v>24.693000000000001</v>
          </cell>
          <cell r="F3">
            <v>25.696999999999999</v>
          </cell>
          <cell r="G3">
            <v>25.946999999999999</v>
          </cell>
          <cell r="H3">
            <v>25.933</v>
          </cell>
          <cell r="I3">
            <v>26.317</v>
          </cell>
          <cell r="J3">
            <v>26.417000000000002</v>
          </cell>
          <cell r="K3">
            <v>26.487000000000002</v>
          </cell>
          <cell r="L3">
            <v>26.667000000000002</v>
          </cell>
          <cell r="M3">
            <v>26.696999999999999</v>
          </cell>
          <cell r="N3">
            <v>26.62</v>
          </cell>
          <cell r="O3">
            <v>26.72</v>
          </cell>
          <cell r="P3">
            <v>26.843</v>
          </cell>
          <cell r="Q3">
            <v>26.89</v>
          </cell>
          <cell r="R3">
            <v>26.952999999999999</v>
          </cell>
          <cell r="S3">
            <v>26.91</v>
          </cell>
          <cell r="T3">
            <v>26.84</v>
          </cell>
          <cell r="U3">
            <v>26.757000000000001</v>
          </cell>
          <cell r="V3">
            <v>26.792999999999999</v>
          </cell>
          <cell r="W3">
            <v>26.757000000000001</v>
          </cell>
          <cell r="X3">
            <v>26.777000000000001</v>
          </cell>
          <cell r="Y3">
            <v>26.856999999999999</v>
          </cell>
          <cell r="Z3">
            <v>26.86</v>
          </cell>
          <cell r="AA3">
            <v>27.036999999999999</v>
          </cell>
          <cell r="AB3">
            <v>27.317</v>
          </cell>
          <cell r="AC3">
            <v>27.55</v>
          </cell>
          <cell r="AD3">
            <v>27.777000000000001</v>
          </cell>
          <cell r="AE3">
            <v>28.013000000000002</v>
          </cell>
          <cell r="AF3">
            <v>28.263000000000002</v>
          </cell>
          <cell r="AG3">
            <v>28.400000000000002</v>
          </cell>
          <cell r="AH3">
            <v>28.737000000000002</v>
          </cell>
          <cell r="AI3">
            <v>28.93</v>
          </cell>
          <cell r="AJ3">
            <v>28.913</v>
          </cell>
          <cell r="AK3">
            <v>28.943000000000001</v>
          </cell>
          <cell r="AL3">
            <v>28.993000000000002</v>
          </cell>
          <cell r="AM3">
            <v>29.042999999999999</v>
          </cell>
          <cell r="AN3">
            <v>29.193000000000001</v>
          </cell>
          <cell r="AO3">
            <v>29.37</v>
          </cell>
          <cell r="AP3">
            <v>29.397000000000002</v>
          </cell>
          <cell r="AQ3">
            <v>29.573</v>
          </cell>
          <cell r="AR3">
            <v>29.59</v>
          </cell>
          <cell r="AS3">
            <v>29.78</v>
          </cell>
          <cell r="AT3">
            <v>29.84</v>
          </cell>
          <cell r="AU3">
            <v>29.830000000000002</v>
          </cell>
          <cell r="AV3">
            <v>29.946999999999999</v>
          </cell>
          <cell r="AW3">
            <v>29.990000000000002</v>
          </cell>
          <cell r="AX3">
            <v>30.106999999999999</v>
          </cell>
          <cell r="AY3">
            <v>30.22</v>
          </cell>
          <cell r="AZ3">
            <v>30.307000000000002</v>
          </cell>
          <cell r="BA3">
            <v>30.38</v>
          </cell>
          <cell r="BB3">
            <v>30.477</v>
          </cell>
          <cell r="BC3">
            <v>30.533000000000001</v>
          </cell>
          <cell r="BD3">
            <v>30.72</v>
          </cell>
          <cell r="BE3">
            <v>30.803000000000001</v>
          </cell>
          <cell r="BF3">
            <v>30.93</v>
          </cell>
          <cell r="BG3">
            <v>30.98</v>
          </cell>
          <cell r="BH3">
            <v>31.05</v>
          </cell>
          <cell r="BI3">
            <v>31.193000000000001</v>
          </cell>
          <cell r="BJ3">
            <v>31.29</v>
          </cell>
          <cell r="BK3">
            <v>31.490000000000002</v>
          </cell>
          <cell r="BL3">
            <v>31.583000000000002</v>
          </cell>
          <cell r="BM3">
            <v>31.75</v>
          </cell>
          <cell r="BN3">
            <v>32.047000000000004</v>
          </cell>
          <cell r="BO3">
            <v>32.337000000000003</v>
          </cell>
          <cell r="BP3">
            <v>32.616999999999997</v>
          </cell>
          <cell r="BQ3">
            <v>32.883000000000003</v>
          </cell>
          <cell r="BR3">
            <v>32.966999999999999</v>
          </cell>
          <cell r="BS3">
            <v>33.167000000000002</v>
          </cell>
          <cell r="BT3">
            <v>33.5</v>
          </cell>
          <cell r="BU3">
            <v>33.866999999999997</v>
          </cell>
          <cell r="BV3">
            <v>34.200000000000003</v>
          </cell>
          <cell r="BW3">
            <v>34.533000000000001</v>
          </cell>
          <cell r="BX3">
            <v>35</v>
          </cell>
          <cell r="BY3">
            <v>35.433</v>
          </cell>
          <cell r="BZ3">
            <v>35.866999999999997</v>
          </cell>
          <cell r="CA3">
            <v>36.433</v>
          </cell>
          <cell r="CB3">
            <v>36.933</v>
          </cell>
          <cell r="CC3">
            <v>37.5</v>
          </cell>
          <cell r="CD3">
            <v>38.1</v>
          </cell>
          <cell r="CE3">
            <v>38.633000000000003</v>
          </cell>
          <cell r="CF3">
            <v>39.033000000000001</v>
          </cell>
          <cell r="CG3">
            <v>39.6</v>
          </cell>
          <cell r="CH3">
            <v>39.933</v>
          </cell>
          <cell r="CI3">
            <v>40.300000000000004</v>
          </cell>
          <cell r="CJ3">
            <v>40.700000000000003</v>
          </cell>
          <cell r="CK3">
            <v>41</v>
          </cell>
          <cell r="CL3">
            <v>41.332999999999998</v>
          </cell>
          <cell r="CM3">
            <v>41.6</v>
          </cell>
          <cell r="CN3">
            <v>41.933</v>
          </cell>
          <cell r="CO3">
            <v>42.367000000000004</v>
          </cell>
          <cell r="CP3">
            <v>43.033000000000001</v>
          </cell>
          <cell r="CQ3">
            <v>43.933</v>
          </cell>
          <cell r="CR3">
            <v>44.800000000000004</v>
          </cell>
          <cell r="CS3">
            <v>45.933</v>
          </cell>
          <cell r="CT3">
            <v>47.300000000000004</v>
          </cell>
          <cell r="CU3">
            <v>48.567</v>
          </cell>
          <cell r="CV3">
            <v>49.933</v>
          </cell>
          <cell r="CW3">
            <v>51.466999999999999</v>
          </cell>
          <cell r="CX3">
            <v>52.567</v>
          </cell>
          <cell r="CY3">
            <v>53.2</v>
          </cell>
          <cell r="CZ3">
            <v>54.267000000000003</v>
          </cell>
          <cell r="DA3">
            <v>55.267000000000003</v>
          </cell>
          <cell r="DB3">
            <v>55.9</v>
          </cell>
          <cell r="DC3">
            <v>56.4</v>
          </cell>
          <cell r="DD3">
            <v>57.300000000000004</v>
          </cell>
          <cell r="DE3">
            <v>58.133000000000003</v>
          </cell>
          <cell r="DF3">
            <v>59.2</v>
          </cell>
          <cell r="DG3">
            <v>60.233000000000004</v>
          </cell>
          <cell r="DH3">
            <v>61.067</v>
          </cell>
          <cell r="DI3">
            <v>61.966999999999999</v>
          </cell>
          <cell r="DJ3">
            <v>63.033000000000001</v>
          </cell>
          <cell r="DK3">
            <v>64.466999999999999</v>
          </cell>
          <cell r="DL3">
            <v>65.966999999999999</v>
          </cell>
          <cell r="DM3">
            <v>67.5</v>
          </cell>
          <cell r="DN3">
            <v>69.2</v>
          </cell>
          <cell r="DO3">
            <v>71.400000000000006</v>
          </cell>
          <cell r="DP3">
            <v>73.7</v>
          </cell>
          <cell r="DQ3">
            <v>76.033000000000001</v>
          </cell>
          <cell r="DR3">
            <v>79.033000000000001</v>
          </cell>
          <cell r="DS3">
            <v>81.7</v>
          </cell>
          <cell r="DT3">
            <v>83.233000000000004</v>
          </cell>
          <cell r="DU3">
            <v>85.567000000000007</v>
          </cell>
          <cell r="DV3">
            <v>87.933000000000007</v>
          </cell>
          <cell r="DW3">
            <v>89.766999999999996</v>
          </cell>
          <cell r="DX3">
            <v>92.266999999999996</v>
          </cell>
          <cell r="DY3">
            <v>93.766999999999996</v>
          </cell>
          <cell r="DZ3">
            <v>94.600000000000009</v>
          </cell>
          <cell r="EA3">
            <v>95.966999999999999</v>
          </cell>
          <cell r="EB3">
            <v>97.632999999999996</v>
          </cell>
          <cell r="EC3">
            <v>97.933000000000007</v>
          </cell>
          <cell r="ED3">
            <v>98</v>
          </cell>
          <cell r="EE3">
            <v>99.132999999999996</v>
          </cell>
          <cell r="EF3">
            <v>100.10000000000001</v>
          </cell>
          <cell r="EG3">
            <v>101.10000000000001</v>
          </cell>
          <cell r="EH3">
            <v>102.533</v>
          </cell>
          <cell r="EI3">
            <v>103.5</v>
          </cell>
          <cell r="EJ3">
            <v>104.4</v>
          </cell>
          <cell r="EK3">
            <v>105.3</v>
          </cell>
          <cell r="EL3">
            <v>106.267</v>
          </cell>
          <cell r="EM3">
            <v>107.233</v>
          </cell>
          <cell r="EN3">
            <v>107.9</v>
          </cell>
          <cell r="EO3">
            <v>109</v>
          </cell>
          <cell r="EP3">
            <v>109.56700000000001</v>
          </cell>
          <cell r="EQ3">
            <v>109.033</v>
          </cell>
          <cell r="ER3">
            <v>109.7</v>
          </cell>
          <cell r="ES3">
            <v>110.467</v>
          </cell>
          <cell r="ET3">
            <v>111.8</v>
          </cell>
          <cell r="EU3">
            <v>113.06700000000001</v>
          </cell>
          <cell r="EV3">
            <v>114.267</v>
          </cell>
          <cell r="EW3">
            <v>115.333</v>
          </cell>
          <cell r="EX3">
            <v>116.233</v>
          </cell>
          <cell r="EY3">
            <v>117.56700000000001</v>
          </cell>
          <cell r="EZ3">
            <v>119</v>
          </cell>
          <cell r="FA3">
            <v>120.3</v>
          </cell>
          <cell r="FB3">
            <v>121.667</v>
          </cell>
          <cell r="FC3">
            <v>123.633</v>
          </cell>
          <cell r="FD3">
            <v>124.60000000000001</v>
          </cell>
          <cell r="FE3">
            <v>125.867</v>
          </cell>
          <cell r="FF3">
            <v>128.03300000000002</v>
          </cell>
          <cell r="FG3">
            <v>129.30000000000001</v>
          </cell>
          <cell r="FH3">
            <v>131.53300000000002</v>
          </cell>
          <cell r="FI3">
            <v>133.767</v>
          </cell>
          <cell r="FJ3">
            <v>134.767</v>
          </cell>
          <cell r="FK3">
            <v>135.56700000000001</v>
          </cell>
          <cell r="FL3">
            <v>136.6</v>
          </cell>
          <cell r="FM3">
            <v>137.733</v>
          </cell>
          <cell r="FN3">
            <v>138.667</v>
          </cell>
          <cell r="FO3">
            <v>139.733</v>
          </cell>
          <cell r="FP3">
            <v>140.80000000000001</v>
          </cell>
          <cell r="FQ3">
            <v>142.03300000000002</v>
          </cell>
          <cell r="FR3">
            <v>143.06700000000001</v>
          </cell>
          <cell r="FS3">
            <v>144.1</v>
          </cell>
          <cell r="FT3">
            <v>144.767</v>
          </cell>
          <cell r="FU3">
            <v>145.96700000000001</v>
          </cell>
          <cell r="FV3">
            <v>146.70000000000002</v>
          </cell>
          <cell r="FW3">
            <v>147.53300000000002</v>
          </cell>
          <cell r="FX3">
            <v>148.9</v>
          </cell>
          <cell r="FY3">
            <v>149.767</v>
          </cell>
          <cell r="FZ3">
            <v>150.86699999999999</v>
          </cell>
          <cell r="GA3">
            <v>152.1</v>
          </cell>
          <cell r="GB3">
            <v>152.86699999999999</v>
          </cell>
          <cell r="GC3">
            <v>153.70000000000002</v>
          </cell>
          <cell r="GD3">
            <v>155.06700000000001</v>
          </cell>
          <cell r="GE3">
            <v>156.4</v>
          </cell>
          <cell r="GF3">
            <v>157.30000000000001</v>
          </cell>
          <cell r="GG3">
            <v>158.667</v>
          </cell>
          <cell r="GH3">
            <v>159.63300000000001</v>
          </cell>
          <cell r="GI3">
            <v>160</v>
          </cell>
          <cell r="GJ3">
            <v>160.80000000000001</v>
          </cell>
          <cell r="GK3">
            <v>161.667</v>
          </cell>
          <cell r="GL3">
            <v>162</v>
          </cell>
          <cell r="GM3">
            <v>162.53300000000002</v>
          </cell>
          <cell r="GN3">
            <v>163.36699999999999</v>
          </cell>
          <cell r="GO3">
            <v>164.13300000000001</v>
          </cell>
          <cell r="GP3">
            <v>164.733</v>
          </cell>
          <cell r="GQ3">
            <v>165.96700000000001</v>
          </cell>
          <cell r="GR3">
            <v>167.20000000000002</v>
          </cell>
          <cell r="GS3">
            <v>168.43299999999999</v>
          </cell>
          <cell r="GT3">
            <v>170.1</v>
          </cell>
          <cell r="GU3">
            <v>171.43299999999999</v>
          </cell>
          <cell r="GV3">
            <v>173</v>
          </cell>
          <cell r="GW3">
            <v>174.233</v>
          </cell>
          <cell r="GX3">
            <v>175.9</v>
          </cell>
          <cell r="GY3">
            <v>177.13300000000001</v>
          </cell>
          <cell r="GZ3">
            <v>177.63300000000001</v>
          </cell>
          <cell r="HA3">
            <v>177.5</v>
          </cell>
          <cell r="HB3">
            <v>178.06700000000001</v>
          </cell>
          <cell r="HC3">
            <v>179.46700000000001</v>
          </cell>
          <cell r="HD3">
            <v>180.43299999999999</v>
          </cell>
          <cell r="HE3">
            <v>181.5</v>
          </cell>
          <cell r="HF3">
            <v>183.36699999999999</v>
          </cell>
          <cell r="HG3">
            <v>183.06700000000001</v>
          </cell>
          <cell r="HH3">
            <v>184.43299999999999</v>
          </cell>
          <cell r="HI3">
            <v>185.13300000000001</v>
          </cell>
          <cell r="HJ3">
            <v>186.70000000000002</v>
          </cell>
          <cell r="HK3">
            <v>188.167</v>
          </cell>
          <cell r="HL3">
            <v>189.36699999999999</v>
          </cell>
          <cell r="HM3">
            <v>191.4</v>
          </cell>
          <cell r="HN3">
            <v>192.36699999999999</v>
          </cell>
          <cell r="HO3">
            <v>193.667</v>
          </cell>
          <cell r="HP3">
            <v>196.6</v>
          </cell>
          <cell r="HQ3">
            <v>198.43299999999999</v>
          </cell>
          <cell r="HR3">
            <v>199.46700000000001</v>
          </cell>
          <cell r="HS3">
            <v>201.267</v>
          </cell>
          <cell r="HT3">
            <v>203.167</v>
          </cell>
          <cell r="HU3">
            <v>202.333</v>
          </cell>
          <cell r="HV3">
            <v>204.28800000000001</v>
          </cell>
          <cell r="HW3">
            <v>206.66200000000001</v>
          </cell>
          <cell r="HX3">
            <v>207.93700000000001</v>
          </cell>
          <cell r="HY3">
            <v>210.46100000000001</v>
          </cell>
          <cell r="HZ3">
            <v>212.77600000000001</v>
          </cell>
          <cell r="IA3">
            <v>215.55199999999999</v>
          </cell>
          <cell r="IB3">
            <v>218.922</v>
          </cell>
          <cell r="IC3">
            <v>213.75300000000001</v>
          </cell>
          <cell r="ID3">
            <v>212.45099999999999</v>
          </cell>
          <cell r="IE3">
            <v>213.46800000000002</v>
          </cell>
          <cell r="IF3">
            <v>215.41900000000001</v>
          </cell>
          <cell r="IG3">
            <v>216.85300000000001</v>
          </cell>
          <cell r="IH3">
            <v>217.54400000000001</v>
          </cell>
          <cell r="II3">
            <v>217.27</v>
          </cell>
          <cell r="IJ3">
            <v>218.03900000000002</v>
          </cell>
          <cell r="IK3">
            <v>219.465</v>
          </cell>
          <cell r="IL3">
            <v>222.274</v>
          </cell>
          <cell r="IM3">
            <v>224.51400000000001</v>
          </cell>
          <cell r="IN3">
            <v>226.21600000000001</v>
          </cell>
        </row>
        <row r="5">
          <cell r="AD5">
            <v>28.6</v>
          </cell>
          <cell r="AE5">
            <v>28.833000000000002</v>
          </cell>
          <cell r="AF5">
            <v>29.033000000000001</v>
          </cell>
          <cell r="AG5">
            <v>29.266999999999999</v>
          </cell>
          <cell r="AH5">
            <v>29.400000000000002</v>
          </cell>
          <cell r="AI5">
            <v>29.533000000000001</v>
          </cell>
          <cell r="AJ5">
            <v>29.632999999999999</v>
          </cell>
          <cell r="AK5">
            <v>29.8</v>
          </cell>
          <cell r="AL5">
            <v>29.933</v>
          </cell>
          <cell r="AM5">
            <v>30.1</v>
          </cell>
          <cell r="AN5">
            <v>30.233000000000001</v>
          </cell>
          <cell r="AO5">
            <v>30.433</v>
          </cell>
          <cell r="AP5">
            <v>30.567</v>
          </cell>
          <cell r="AQ5">
            <v>30.632999999999999</v>
          </cell>
          <cell r="AR5">
            <v>30.6</v>
          </cell>
          <cell r="AS5">
            <v>30.766999999999999</v>
          </cell>
          <cell r="AT5">
            <v>30.833000000000002</v>
          </cell>
          <cell r="AU5">
            <v>30.933</v>
          </cell>
          <cell r="AV5">
            <v>31.067</v>
          </cell>
          <cell r="AW5">
            <v>31.167000000000002</v>
          </cell>
          <cell r="AX5">
            <v>31.233000000000001</v>
          </cell>
          <cell r="AY5">
            <v>31.367000000000001</v>
          </cell>
          <cell r="AZ5">
            <v>31.467000000000002</v>
          </cell>
          <cell r="BA5">
            <v>31.533000000000001</v>
          </cell>
          <cell r="BB5">
            <v>31.6</v>
          </cell>
          <cell r="BC5">
            <v>31.733000000000001</v>
          </cell>
          <cell r="BD5">
            <v>31.867000000000001</v>
          </cell>
          <cell r="BE5">
            <v>32.033000000000001</v>
          </cell>
          <cell r="BF5">
            <v>32.200000000000003</v>
          </cell>
          <cell r="BG5">
            <v>32.233000000000004</v>
          </cell>
          <cell r="BH5">
            <v>32.299999999999997</v>
          </cell>
          <cell r="BI5">
            <v>32.466999999999999</v>
          </cell>
          <cell r="BJ5">
            <v>32.6</v>
          </cell>
          <cell r="BK5">
            <v>32.700000000000003</v>
          </cell>
          <cell r="BL5">
            <v>32.733000000000004</v>
          </cell>
          <cell r="BM5">
            <v>32.9</v>
          </cell>
          <cell r="BN5">
            <v>33.067</v>
          </cell>
          <cell r="BO5">
            <v>33.4</v>
          </cell>
          <cell r="BP5">
            <v>33.700000000000003</v>
          </cell>
          <cell r="BQ5">
            <v>34.033000000000001</v>
          </cell>
          <cell r="BR5">
            <v>34.233000000000004</v>
          </cell>
          <cell r="BS5">
            <v>34.5</v>
          </cell>
          <cell r="BT5">
            <v>34.866999999999997</v>
          </cell>
          <cell r="BU5">
            <v>35.233000000000004</v>
          </cell>
          <cell r="BV5">
            <v>35.667000000000002</v>
          </cell>
          <cell r="BW5">
            <v>36.033000000000001</v>
          </cell>
          <cell r="BX5">
            <v>36.533000000000001</v>
          </cell>
          <cell r="BY5">
            <v>37.067</v>
          </cell>
          <cell r="BZ5">
            <v>37.567</v>
          </cell>
          <cell r="CA5">
            <v>38.167000000000002</v>
          </cell>
          <cell r="CB5">
            <v>38.700000000000003</v>
          </cell>
          <cell r="CC5">
            <v>39.233000000000004</v>
          </cell>
          <cell r="CD5">
            <v>39.832999999999998</v>
          </cell>
          <cell r="CE5">
            <v>40.567</v>
          </cell>
          <cell r="CF5">
            <v>41.1</v>
          </cell>
          <cell r="CG5">
            <v>41.767000000000003</v>
          </cell>
          <cell r="CH5">
            <v>42.167000000000002</v>
          </cell>
          <cell r="CI5">
            <v>42.6</v>
          </cell>
          <cell r="CJ5">
            <v>42.966999999999999</v>
          </cell>
          <cell r="CK5">
            <v>43.2</v>
          </cell>
          <cell r="CL5">
            <v>43.567</v>
          </cell>
          <cell r="CM5">
            <v>43.9</v>
          </cell>
          <cell r="CN5">
            <v>44.233000000000004</v>
          </cell>
          <cell r="CO5">
            <v>44.466999999999999</v>
          </cell>
          <cell r="CP5">
            <v>44.800000000000004</v>
          </cell>
          <cell r="CQ5">
            <v>45.267000000000003</v>
          </cell>
          <cell r="CR5">
            <v>45.733000000000004</v>
          </cell>
          <cell r="CS5">
            <v>46.5</v>
          </cell>
          <cell r="CT5">
            <v>47.233000000000004</v>
          </cell>
          <cell r="CU5">
            <v>48.466999999999999</v>
          </cell>
          <cell r="CV5">
            <v>50.133000000000003</v>
          </cell>
          <cell r="CW5">
            <v>51.6</v>
          </cell>
          <cell r="CX5">
            <v>52.7</v>
          </cell>
          <cell r="CY5">
            <v>53.533000000000001</v>
          </cell>
          <cell r="CZ5">
            <v>54.233000000000004</v>
          </cell>
          <cell r="DA5">
            <v>55.167000000000002</v>
          </cell>
          <cell r="DB5">
            <v>56.2</v>
          </cell>
          <cell r="DC5">
            <v>56.966999999999999</v>
          </cell>
          <cell r="DD5">
            <v>57.9</v>
          </cell>
          <cell r="DE5">
            <v>58.7</v>
          </cell>
          <cell r="DF5">
            <v>59.667000000000002</v>
          </cell>
          <cell r="DG5">
            <v>60.633000000000003</v>
          </cell>
          <cell r="DH5">
            <v>61.5</v>
          </cell>
          <cell r="DI5">
            <v>62.332999999999998</v>
          </cell>
          <cell r="DJ5">
            <v>63.433</v>
          </cell>
          <cell r="DK5">
            <v>64.733000000000004</v>
          </cell>
          <cell r="DL5">
            <v>66.132999999999996</v>
          </cell>
          <cell r="DM5">
            <v>67.599999999999994</v>
          </cell>
          <cell r="DN5">
            <v>69.167000000000002</v>
          </cell>
          <cell r="DO5">
            <v>70.8</v>
          </cell>
          <cell r="DP5">
            <v>72.632999999999996</v>
          </cell>
          <cell r="DQ5">
            <v>74.832999999999998</v>
          </cell>
          <cell r="DR5">
            <v>77.600000000000009</v>
          </cell>
          <cell r="DS5">
            <v>80.2</v>
          </cell>
          <cell r="DT5">
            <v>81.400000000000006</v>
          </cell>
          <cell r="DU5">
            <v>83.933000000000007</v>
          </cell>
          <cell r="DV5">
            <v>85.9</v>
          </cell>
          <cell r="DW5">
            <v>87.8</v>
          </cell>
          <cell r="DX5">
            <v>90.766999999999996</v>
          </cell>
          <cell r="DY5">
            <v>92.533000000000001</v>
          </cell>
          <cell r="DZ5">
            <v>93.667000000000002</v>
          </cell>
          <cell r="EA5">
            <v>95.4</v>
          </cell>
          <cell r="EB5">
            <v>97</v>
          </cell>
          <cell r="EC5">
            <v>97.332999999999998</v>
          </cell>
          <cell r="ED5">
            <v>97.933000000000007</v>
          </cell>
          <cell r="EE5">
            <v>98.9</v>
          </cell>
          <cell r="EF5">
            <v>100.133</v>
          </cell>
          <cell r="EG5">
            <v>101.43300000000001</v>
          </cell>
          <cell r="EH5">
            <v>102.833</v>
          </cell>
          <cell r="EI5">
            <v>104.10000000000001</v>
          </cell>
          <cell r="EJ5">
            <v>105.4</v>
          </cell>
          <cell r="EK5">
            <v>106.467</v>
          </cell>
          <cell r="EL5">
            <v>107.633</v>
          </cell>
          <cell r="EM5">
            <v>108.767</v>
          </cell>
          <cell r="EN5">
            <v>109.733</v>
          </cell>
          <cell r="EO5">
            <v>111</v>
          </cell>
          <cell r="EP5">
            <v>112.2</v>
          </cell>
          <cell r="EQ5">
            <v>113.133</v>
          </cell>
          <cell r="ER5">
            <v>114.2</v>
          </cell>
          <cell r="ES5">
            <v>115.3</v>
          </cell>
          <cell r="ET5">
            <v>116.233</v>
          </cell>
          <cell r="EU5">
            <v>117.633</v>
          </cell>
          <cell r="EV5">
            <v>118.733</v>
          </cell>
          <cell r="EW5">
            <v>120.10000000000001</v>
          </cell>
          <cell r="EX5">
            <v>121.267</v>
          </cell>
          <cell r="EY5">
            <v>122.733</v>
          </cell>
          <cell r="EZ5">
            <v>124.10000000000001</v>
          </cell>
          <cell r="FA5">
            <v>125.60000000000001</v>
          </cell>
          <cell r="FB5">
            <v>126.93300000000001</v>
          </cell>
          <cell r="FC5">
            <v>128.30000000000001</v>
          </cell>
          <cell r="FD5">
            <v>129.53300000000002</v>
          </cell>
          <cell r="FE5">
            <v>131.1</v>
          </cell>
          <cell r="FF5">
            <v>132.767</v>
          </cell>
          <cell r="FG5">
            <v>134.5</v>
          </cell>
          <cell r="FH5">
            <v>136.5</v>
          </cell>
          <cell r="FI5">
            <v>138.06700000000001</v>
          </cell>
          <cell r="FJ5">
            <v>140.06700000000001</v>
          </cell>
          <cell r="FK5">
            <v>141.333</v>
          </cell>
          <cell r="FL5">
            <v>142.86699999999999</v>
          </cell>
          <cell r="FM5">
            <v>144.20000000000002</v>
          </cell>
          <cell r="FN5">
            <v>145.46700000000001</v>
          </cell>
          <cell r="FO5">
            <v>146.733</v>
          </cell>
          <cell r="FP5">
            <v>147.86699999999999</v>
          </cell>
          <cell r="FQ5">
            <v>149.20000000000002</v>
          </cell>
          <cell r="FR5">
            <v>150.5</v>
          </cell>
          <cell r="FS5">
            <v>151.767</v>
          </cell>
          <cell r="FT5">
            <v>152.667</v>
          </cell>
          <cell r="FU5">
            <v>153.86699999999999</v>
          </cell>
          <cell r="FV5">
            <v>154.86699999999999</v>
          </cell>
          <cell r="FW5">
            <v>155.93299999999999</v>
          </cell>
          <cell r="FX5">
            <v>157.1</v>
          </cell>
          <cell r="FY5">
            <v>158.1</v>
          </cell>
          <cell r="FZ5">
            <v>159.43299999999999</v>
          </cell>
          <cell r="GA5">
            <v>160.733</v>
          </cell>
          <cell r="GB5">
            <v>161.80000000000001</v>
          </cell>
          <cell r="GC5">
            <v>162.93299999999999</v>
          </cell>
          <cell r="GD5">
            <v>164.03300000000002</v>
          </cell>
          <cell r="GE5">
            <v>165</v>
          </cell>
          <cell r="GF5">
            <v>166.06700000000001</v>
          </cell>
          <cell r="GG5">
            <v>167.13300000000001</v>
          </cell>
          <cell r="GH5">
            <v>168.1</v>
          </cell>
          <cell r="GI5">
            <v>169.167</v>
          </cell>
          <cell r="GJ5">
            <v>169.9</v>
          </cell>
          <cell r="GK5">
            <v>170.86699999999999</v>
          </cell>
          <cell r="GL5">
            <v>171.9</v>
          </cell>
          <cell r="GM5">
            <v>172.86699999999999</v>
          </cell>
          <cell r="GN5">
            <v>173.9</v>
          </cell>
          <cell r="GO5">
            <v>174.86699999999999</v>
          </cell>
          <cell r="GP5">
            <v>175.63300000000001</v>
          </cell>
          <cell r="GQ5">
            <v>176.46700000000001</v>
          </cell>
          <cell r="GR5">
            <v>177.4</v>
          </cell>
          <cell r="GS5">
            <v>178.4</v>
          </cell>
          <cell r="GT5">
            <v>179.56700000000001</v>
          </cell>
          <cell r="GU5">
            <v>180.70000000000002</v>
          </cell>
          <cell r="GV5">
            <v>181.9</v>
          </cell>
          <cell r="GW5">
            <v>183</v>
          </cell>
          <cell r="GX5">
            <v>184.333</v>
          </cell>
          <cell r="GY5">
            <v>185.46700000000001</v>
          </cell>
          <cell r="GZ5">
            <v>186.733</v>
          </cell>
          <cell r="HA5">
            <v>187.96700000000001</v>
          </cell>
          <cell r="HB5">
            <v>189</v>
          </cell>
          <cell r="HC5">
            <v>189.96700000000001</v>
          </cell>
          <cell r="HD5">
            <v>190.96700000000001</v>
          </cell>
          <cell r="HE5">
            <v>191.833</v>
          </cell>
          <cell r="HF5">
            <v>192.46700000000001</v>
          </cell>
          <cell r="HG5">
            <v>192.8</v>
          </cell>
          <cell r="HH5">
            <v>193.56700000000001</v>
          </cell>
          <cell r="HI5">
            <v>194.06700000000001</v>
          </cell>
          <cell r="HJ5">
            <v>195</v>
          </cell>
          <cell r="HK5">
            <v>196.233</v>
          </cell>
          <cell r="HL5">
            <v>197.06700000000001</v>
          </cell>
          <cell r="HM5">
            <v>198.267</v>
          </cell>
          <cell r="HN5">
            <v>199.5</v>
          </cell>
          <cell r="HO5">
            <v>200.43299999999999</v>
          </cell>
          <cell r="HP5">
            <v>201.1</v>
          </cell>
          <cell r="HQ5">
            <v>202.43299999999999</v>
          </cell>
          <cell r="HR5">
            <v>203.70000000000002</v>
          </cell>
          <cell r="HS5">
            <v>205.36699999999999</v>
          </cell>
          <cell r="HT5">
            <v>206.767</v>
          </cell>
          <cell r="HU5">
            <v>207.833</v>
          </cell>
          <cell r="HV5">
            <v>209.01</v>
          </cell>
          <cell r="HW5">
            <v>210.071</v>
          </cell>
          <cell r="HX5">
            <v>211.19300000000001</v>
          </cell>
          <cell r="HY5">
            <v>212.63499999999999</v>
          </cell>
          <cell r="HZ5">
            <v>213.97800000000001</v>
          </cell>
          <cell r="IA5">
            <v>214.97300000000001</v>
          </cell>
          <cell r="IB5">
            <v>216.45699999999999</v>
          </cell>
          <cell r="IC5">
            <v>216.85900000000001</v>
          </cell>
          <cell r="ID5">
            <v>217.71</v>
          </cell>
          <cell r="IE5">
            <v>218.916</v>
          </cell>
          <cell r="IF5">
            <v>219.691</v>
          </cell>
          <cell r="IG5">
            <v>220.62899999999999</v>
          </cell>
          <cell r="IH5">
            <v>220.60300000000001</v>
          </cell>
          <cell r="II5">
            <v>221.053</v>
          </cell>
          <cell r="IJ5">
            <v>221.67099999999999</v>
          </cell>
          <cell r="IK5">
            <v>222.02100000000002</v>
          </cell>
          <cell r="IL5">
            <v>222.982</v>
          </cell>
          <cell r="IM5">
            <v>224.363</v>
          </cell>
          <cell r="IN5">
            <v>225.87100000000001</v>
          </cell>
        </row>
        <row r="10">
          <cell r="DJ10">
            <v>7.4</v>
          </cell>
          <cell r="DK10">
            <v>8.3000000000000007</v>
          </cell>
          <cell r="DL10">
            <v>8.9</v>
          </cell>
          <cell r="DM10">
            <v>8.6</v>
          </cell>
          <cell r="DN10">
            <v>10.4</v>
          </cell>
          <cell r="DO10">
            <v>11.700000000000001</v>
          </cell>
          <cell r="DP10">
            <v>11</v>
          </cell>
          <cell r="DQ10">
            <v>11</v>
          </cell>
          <cell r="DR10">
            <v>12.600000000000001</v>
          </cell>
          <cell r="DS10">
            <v>10.200000000000001</v>
          </cell>
          <cell r="DT10">
            <v>9.4</v>
          </cell>
          <cell r="DU10">
            <v>10.200000000000001</v>
          </cell>
          <cell r="DV10">
            <v>8.5</v>
          </cell>
          <cell r="DW10">
            <v>8.6</v>
          </cell>
          <cell r="DX10">
            <v>8</v>
          </cell>
          <cell r="DY10">
            <v>7.9</v>
          </cell>
          <cell r="DZ10">
            <v>6.2</v>
          </cell>
          <cell r="EA10">
            <v>5.2</v>
          </cell>
          <cell r="EB10">
            <v>5.8000000000000007</v>
          </cell>
          <cell r="EC10">
            <v>5.3000000000000007</v>
          </cell>
          <cell r="ED10">
            <v>4.1000000000000005</v>
          </cell>
          <cell r="EE10">
            <v>4.5</v>
          </cell>
          <cell r="EF10">
            <v>4.8000000000000007</v>
          </cell>
          <cell r="EG10">
            <v>5.1000000000000005</v>
          </cell>
          <cell r="EH10">
            <v>4.9000000000000004</v>
          </cell>
          <cell r="EI10">
            <v>5.3000000000000007</v>
          </cell>
          <cell r="EJ10">
            <v>4.4000000000000004</v>
          </cell>
          <cell r="EK10">
            <v>5</v>
          </cell>
          <cell r="EL10">
            <v>4.4000000000000004</v>
          </cell>
          <cell r="EM10">
            <v>4.8000000000000007</v>
          </cell>
          <cell r="EN10">
            <v>4.1000000000000005</v>
          </cell>
          <cell r="EO10">
            <v>4.7</v>
          </cell>
          <cell r="EP10">
            <v>3.6</v>
          </cell>
          <cell r="EQ10">
            <v>3.5</v>
          </cell>
          <cell r="ER10">
            <v>3.7</v>
          </cell>
          <cell r="ES10">
            <v>3.8000000000000003</v>
          </cell>
          <cell r="ET10">
            <v>3.9000000000000004</v>
          </cell>
          <cell r="EU10">
            <v>4.3</v>
          </cell>
          <cell r="EV10">
            <v>4.3</v>
          </cell>
          <cell r="EW10">
            <v>4</v>
          </cell>
          <cell r="EX10">
            <v>4.2</v>
          </cell>
          <cell r="EY10">
            <v>5</v>
          </cell>
          <cell r="EZ10">
            <v>5.5</v>
          </cell>
          <cell r="FA10">
            <v>5.2</v>
          </cell>
          <cell r="FB10">
            <v>5.2</v>
          </cell>
          <cell r="FC10">
            <v>5.3000000000000007</v>
          </cell>
          <cell r="FD10">
            <v>4.7</v>
          </cell>
          <cell r="FE10">
            <v>4.6000000000000005</v>
          </cell>
          <cell r="FF10">
            <v>5.1000000000000005</v>
          </cell>
          <cell r="FG10">
            <v>4.6000000000000005</v>
          </cell>
          <cell r="FH10">
            <v>5.5</v>
          </cell>
          <cell r="FI10">
            <v>5.6000000000000005</v>
          </cell>
          <cell r="FJ10">
            <v>4.6000000000000005</v>
          </cell>
          <cell r="FK10">
            <v>4.4000000000000004</v>
          </cell>
          <cell r="FL10">
            <v>3.8000000000000003</v>
          </cell>
          <cell r="FM10">
            <v>4.2</v>
          </cell>
          <cell r="FN10">
            <v>3.1</v>
          </cell>
          <cell r="FO10">
            <v>3.6</v>
          </cell>
          <cell r="FP10">
            <v>3.9000000000000004</v>
          </cell>
          <cell r="FQ10">
            <v>3.7</v>
          </cell>
          <cell r="FR10">
            <v>4.3</v>
          </cell>
          <cell r="FS10">
            <v>4.4000000000000004</v>
          </cell>
          <cell r="FT10">
            <v>4.6000000000000005</v>
          </cell>
          <cell r="FU10">
            <v>3.7</v>
          </cell>
          <cell r="FV10">
            <v>3.8000000000000003</v>
          </cell>
          <cell r="FW10">
            <v>4.1000000000000005</v>
          </cell>
          <cell r="FX10">
            <v>4.5</v>
          </cell>
          <cell r="FY10">
            <v>4.1000000000000005</v>
          </cell>
          <cell r="FZ10">
            <v>4.1000000000000005</v>
          </cell>
          <cell r="GA10">
            <v>4</v>
          </cell>
          <cell r="GB10">
            <v>3.9000000000000004</v>
          </cell>
          <cell r="GC10">
            <v>3.5</v>
          </cell>
          <cell r="GD10">
            <v>3.9000000000000004</v>
          </cell>
          <cell r="GE10">
            <v>4.5</v>
          </cell>
          <cell r="GF10">
            <v>4.2</v>
          </cell>
          <cell r="GG10">
            <v>4</v>
          </cell>
          <cell r="GH10">
            <v>3.8000000000000003</v>
          </cell>
          <cell r="GI10">
            <v>3.6</v>
          </cell>
          <cell r="GJ10">
            <v>3.4000000000000004</v>
          </cell>
          <cell r="GK10">
            <v>3.3000000000000003</v>
          </cell>
          <cell r="GL10">
            <v>2.8000000000000003</v>
          </cell>
          <cell r="GM10">
            <v>3</v>
          </cell>
          <cell r="GN10">
            <v>2.8000000000000003</v>
          </cell>
          <cell r="GO10">
            <v>2.7</v>
          </cell>
          <cell r="GP10">
            <v>3</v>
          </cell>
          <cell r="GQ10">
            <v>3.1</v>
          </cell>
          <cell r="GR10">
            <v>3.1</v>
          </cell>
          <cell r="GS10">
            <v>3.5</v>
          </cell>
          <cell r="GT10">
            <v>3.6</v>
          </cell>
          <cell r="GU10">
            <v>3.5</v>
          </cell>
          <cell r="GV10">
            <v>3.6</v>
          </cell>
          <cell r="GW10">
            <v>3.8000000000000003</v>
          </cell>
          <cell r="GX10">
            <v>3.4000000000000004</v>
          </cell>
          <cell r="GY10">
            <v>3.9000000000000004</v>
          </cell>
          <cell r="GZ10">
            <v>3.1</v>
          </cell>
          <cell r="HA10">
            <v>1.5</v>
          </cell>
          <cell r="HB10">
            <v>2.6</v>
          </cell>
          <cell r="HC10">
            <v>3.1</v>
          </cell>
          <cell r="HD10">
            <v>2.8000000000000003</v>
          </cell>
          <cell r="HE10">
            <v>2.7</v>
          </cell>
          <cell r="HF10">
            <v>3.2</v>
          </cell>
          <cell r="HG10">
            <v>2.6</v>
          </cell>
          <cell r="HH10">
            <v>2.8000000000000003</v>
          </cell>
          <cell r="HI10">
            <v>3</v>
          </cell>
          <cell r="HJ10">
            <v>3.1</v>
          </cell>
          <cell r="HK10">
            <v>4</v>
          </cell>
          <cell r="HL10">
            <v>3.3000000000000003</v>
          </cell>
          <cell r="HM10">
            <v>3.4000000000000004</v>
          </cell>
          <cell r="HN10">
            <v>3.6</v>
          </cell>
          <cell r="HO10">
            <v>3.9000000000000004</v>
          </cell>
          <cell r="HP10">
            <v>4.3</v>
          </cell>
          <cell r="HQ10">
            <v>4.6000000000000005</v>
          </cell>
          <cell r="HR10">
            <v>3.7</v>
          </cell>
          <cell r="HS10">
            <v>4.5</v>
          </cell>
          <cell r="HT10">
            <v>4</v>
          </cell>
          <cell r="HU10">
            <v>3.5</v>
          </cell>
          <cell r="HV10">
            <v>3.6</v>
          </cell>
          <cell r="HW10">
            <v>4.2</v>
          </cell>
          <cell r="HX10">
            <v>4.1000000000000005</v>
          </cell>
          <cell r="HY10">
            <v>4.1000000000000005</v>
          </cell>
          <cell r="HZ10">
            <v>4.2</v>
          </cell>
          <cell r="IA10">
            <v>6.4</v>
          </cell>
          <cell r="IB10">
            <v>5.4</v>
          </cell>
          <cell r="IC10">
            <v>3</v>
          </cell>
          <cell r="ID10">
            <v>2.4000000000000004</v>
          </cell>
          <cell r="IE10">
            <v>3.4000000000000004</v>
          </cell>
          <cell r="IF10">
            <v>3.1</v>
          </cell>
          <cell r="IG10">
            <v>3.1</v>
          </cell>
          <cell r="IH10">
            <v>3.5</v>
          </cell>
          <cell r="II10">
            <v>3.7</v>
          </cell>
          <cell r="IJ10">
            <v>3.2</v>
          </cell>
          <cell r="IK10">
            <v>3.6</v>
          </cell>
          <cell r="IL10">
            <v>4.6000000000000005</v>
          </cell>
          <cell r="IM10">
            <v>4.8000000000000007</v>
          </cell>
          <cell r="IN10">
            <v>4.4000000000000004</v>
          </cell>
        </row>
        <row r="18">
          <cell r="X18">
            <v>29.400000000000002</v>
          </cell>
          <cell r="Y18">
            <v>29.5</v>
          </cell>
          <cell r="Z18">
            <v>29.8</v>
          </cell>
          <cell r="AA18">
            <v>30.200000000000003</v>
          </cell>
          <cell r="AB18">
            <v>30.400000000000002</v>
          </cell>
          <cell r="AC18">
            <v>30.700000000000003</v>
          </cell>
          <cell r="AD18">
            <v>31</v>
          </cell>
          <cell r="AE18">
            <v>31.1</v>
          </cell>
          <cell r="AF18">
            <v>31.3</v>
          </cell>
          <cell r="AG18">
            <v>31.3</v>
          </cell>
          <cell r="AH18">
            <v>31.6</v>
          </cell>
          <cell r="AI18">
            <v>31.6</v>
          </cell>
          <cell r="AJ18">
            <v>31.6</v>
          </cell>
          <cell r="AK18">
            <v>31.6</v>
          </cell>
          <cell r="AL18">
            <v>31.700000000000003</v>
          </cell>
          <cell r="AM18">
            <v>31.8</v>
          </cell>
          <cell r="AN18">
            <v>31.700000000000003</v>
          </cell>
          <cell r="AO18">
            <v>31.5</v>
          </cell>
          <cell r="AP18">
            <v>31.700000000000003</v>
          </cell>
          <cell r="AQ18">
            <v>31.700000000000003</v>
          </cell>
          <cell r="AR18">
            <v>31.6</v>
          </cell>
          <cell r="AS18">
            <v>31.700000000000003</v>
          </cell>
          <cell r="AT18">
            <v>31.8</v>
          </cell>
          <cell r="AU18">
            <v>31.5</v>
          </cell>
          <cell r="AV18">
            <v>31.5</v>
          </cell>
          <cell r="AW18">
            <v>31.5</v>
          </cell>
          <cell r="AX18">
            <v>31.700000000000003</v>
          </cell>
          <cell r="AY18">
            <v>31.5</v>
          </cell>
          <cell r="AZ18">
            <v>31.700000000000003</v>
          </cell>
          <cell r="BA18">
            <v>31.700000000000003</v>
          </cell>
          <cell r="BB18">
            <v>31.5</v>
          </cell>
          <cell r="BC18">
            <v>31.5</v>
          </cell>
          <cell r="BD18">
            <v>31.6</v>
          </cell>
          <cell r="BE18">
            <v>31.6</v>
          </cell>
          <cell r="BF18">
            <v>31.700000000000003</v>
          </cell>
          <cell r="BG18">
            <v>31.5</v>
          </cell>
          <cell r="BH18">
            <v>31.6</v>
          </cell>
          <cell r="BI18">
            <v>31.700000000000003</v>
          </cell>
          <cell r="BJ18">
            <v>31.900000000000002</v>
          </cell>
          <cell r="BK18">
            <v>32.200000000000003</v>
          </cell>
          <cell r="BL18">
            <v>32.4</v>
          </cell>
          <cell r="BM18">
            <v>32.6</v>
          </cell>
          <cell r="BN18">
            <v>33.1</v>
          </cell>
          <cell r="BO18">
            <v>33.200000000000003</v>
          </cell>
          <cell r="BP18">
            <v>33.6</v>
          </cell>
          <cell r="BQ18">
            <v>33.300000000000004</v>
          </cell>
          <cell r="BR18">
            <v>33.4</v>
          </cell>
          <cell r="BS18">
            <v>33.300000000000004</v>
          </cell>
          <cell r="BT18">
            <v>33.4</v>
          </cell>
          <cell r="BU18">
            <v>33.5</v>
          </cell>
          <cell r="BV18">
            <v>34</v>
          </cell>
          <cell r="BW18">
            <v>34.200000000000003</v>
          </cell>
          <cell r="BX18">
            <v>34.300000000000004</v>
          </cell>
          <cell r="BY18">
            <v>34.5</v>
          </cell>
          <cell r="BZ18">
            <v>35</v>
          </cell>
          <cell r="CA18">
            <v>35.5</v>
          </cell>
          <cell r="CB18">
            <v>35.800000000000004</v>
          </cell>
          <cell r="CC18">
            <v>36.1</v>
          </cell>
          <cell r="CD18">
            <v>36.6</v>
          </cell>
          <cell r="CE18">
            <v>36.800000000000004</v>
          </cell>
          <cell r="CF18">
            <v>37</v>
          </cell>
          <cell r="CG18">
            <v>37.1</v>
          </cell>
          <cell r="CH18">
            <v>37.6</v>
          </cell>
          <cell r="CI18">
            <v>38.1</v>
          </cell>
          <cell r="CJ18">
            <v>38.400000000000006</v>
          </cell>
          <cell r="CK18">
            <v>38.400000000000006</v>
          </cell>
          <cell r="CL18">
            <v>39.1</v>
          </cell>
          <cell r="CM18">
            <v>39.5</v>
          </cell>
          <cell r="CN18">
            <v>40.1</v>
          </cell>
          <cell r="CO18">
            <v>40.5</v>
          </cell>
          <cell r="CP18">
            <v>42.5</v>
          </cell>
          <cell r="CQ18">
            <v>44.5</v>
          </cell>
          <cell r="CR18">
            <v>46.400000000000006</v>
          </cell>
          <cell r="CS18">
            <v>46.7</v>
          </cell>
          <cell r="CT18">
            <v>49.900000000000006</v>
          </cell>
          <cell r="CU18">
            <v>51.6</v>
          </cell>
          <cell r="CV18">
            <v>55.300000000000004</v>
          </cell>
          <cell r="CW18">
            <v>57.2</v>
          </cell>
          <cell r="CX18">
            <v>57.2</v>
          </cell>
          <cell r="CY18">
            <v>57.800000000000004</v>
          </cell>
          <cell r="CZ18">
            <v>59</v>
          </cell>
          <cell r="DA18">
            <v>59.7</v>
          </cell>
          <cell r="DB18">
            <v>59.900000000000006</v>
          </cell>
          <cell r="DC18">
            <v>60.900000000000006</v>
          </cell>
          <cell r="DD18">
            <v>61.6</v>
          </cell>
          <cell r="DE18">
            <v>62.1</v>
          </cell>
          <cell r="DF18">
            <v>63.5</v>
          </cell>
          <cell r="DG18">
            <v>65</v>
          </cell>
          <cell r="DH18">
            <v>65.100000000000009</v>
          </cell>
          <cell r="DI18">
            <v>65.900000000000006</v>
          </cell>
          <cell r="DJ18">
            <v>67.5</v>
          </cell>
          <cell r="DK18">
            <v>69.5</v>
          </cell>
          <cell r="DL18">
            <v>70.600000000000009</v>
          </cell>
          <cell r="DM18">
            <v>72.2</v>
          </cell>
          <cell r="DN18">
            <v>74.8</v>
          </cell>
          <cell r="DO18">
            <v>77.5</v>
          </cell>
          <cell r="DP18">
            <v>79.900000000000006</v>
          </cell>
          <cell r="DQ18">
            <v>82.7</v>
          </cell>
          <cell r="DR18">
            <v>86.5</v>
          </cell>
          <cell r="DS18">
            <v>88.300000000000011</v>
          </cell>
          <cell r="DT18">
            <v>91.2</v>
          </cell>
          <cell r="DU18">
            <v>93.300000000000011</v>
          </cell>
          <cell r="DV18">
            <v>96.100000000000009</v>
          </cell>
          <cell r="DW18">
            <v>98.300000000000011</v>
          </cell>
          <cell r="DX18">
            <v>98.9</v>
          </cell>
          <cell r="DY18">
            <v>98.800000000000011</v>
          </cell>
          <cell r="DZ18">
            <v>99.7</v>
          </cell>
          <cell r="EA18">
            <v>99.800000000000011</v>
          </cell>
          <cell r="EB18">
            <v>100.2</v>
          </cell>
          <cell r="EC18">
            <v>100.30000000000001</v>
          </cell>
          <cell r="ED18">
            <v>100.4</v>
          </cell>
          <cell r="EE18">
            <v>100.7</v>
          </cell>
          <cell r="EF18">
            <v>101.7</v>
          </cell>
          <cell r="EG18">
            <v>102.2</v>
          </cell>
          <cell r="EH18">
            <v>103.30000000000001</v>
          </cell>
          <cell r="EI18">
            <v>104</v>
          </cell>
          <cell r="EJ18">
            <v>103.80000000000001</v>
          </cell>
          <cell r="EK18">
            <v>103.5</v>
          </cell>
          <cell r="EL18">
            <v>103.30000000000001</v>
          </cell>
          <cell r="EM18">
            <v>103.4</v>
          </cell>
          <cell r="EN18">
            <v>102.7</v>
          </cell>
          <cell r="EO18">
            <v>103.30000000000001</v>
          </cell>
          <cell r="EP18">
            <v>101.7</v>
          </cell>
          <cell r="EQ18">
            <v>99.800000000000011</v>
          </cell>
          <cell r="ER18">
            <v>99.4</v>
          </cell>
          <cell r="ES18">
            <v>99.7</v>
          </cell>
          <cell r="ET18">
            <v>100.9</v>
          </cell>
          <cell r="EU18">
            <v>102.5</v>
          </cell>
          <cell r="EV18">
            <v>103.7</v>
          </cell>
          <cell r="EW18">
            <v>104.2</v>
          </cell>
          <cell r="EX18">
            <v>104.80000000000001</v>
          </cell>
          <cell r="EY18">
            <v>106.5</v>
          </cell>
          <cell r="EZ18">
            <v>108</v>
          </cell>
          <cell r="FA18">
            <v>108.5</v>
          </cell>
          <cell r="FB18">
            <v>110.9</v>
          </cell>
          <cell r="FC18">
            <v>112.80000000000001</v>
          </cell>
          <cell r="FD18">
            <v>112.4</v>
          </cell>
          <cell r="FE18">
            <v>112.80000000000001</v>
          </cell>
          <cell r="FF18">
            <v>114.5</v>
          </cell>
          <cell r="FG18">
            <v>114.30000000000001</v>
          </cell>
          <cell r="FH18">
            <v>116.5</v>
          </cell>
          <cell r="FI18">
            <v>119.9</v>
          </cell>
          <cell r="FJ18">
            <v>117.5</v>
          </cell>
          <cell r="FK18">
            <v>116.30000000000001</v>
          </cell>
          <cell r="FL18">
            <v>116.10000000000001</v>
          </cell>
          <cell r="FM18">
            <v>116.2</v>
          </cell>
          <cell r="FN18">
            <v>115.9</v>
          </cell>
          <cell r="FO18">
            <v>117.2</v>
          </cell>
          <cell r="FP18">
            <v>117.9</v>
          </cell>
          <cell r="FQ18">
            <v>117.80000000000001</v>
          </cell>
          <cell r="FR18">
            <v>118.4</v>
          </cell>
          <cell r="FS18">
            <v>119.5</v>
          </cell>
          <cell r="FT18">
            <v>118.9</v>
          </cell>
          <cell r="FU18">
            <v>118.9</v>
          </cell>
          <cell r="FV18">
            <v>119.4</v>
          </cell>
          <cell r="FW18">
            <v>120</v>
          </cell>
          <cell r="FX18">
            <v>121</v>
          </cell>
          <cell r="FY18">
            <v>121.4</v>
          </cell>
          <cell r="FZ18">
            <v>123.4</v>
          </cell>
          <cell r="GA18">
            <v>124.9</v>
          </cell>
          <cell r="GB18">
            <v>125.2</v>
          </cell>
          <cell r="GC18">
            <v>125.5</v>
          </cell>
          <cell r="GD18">
            <v>126.30000000000001</v>
          </cell>
          <cell r="GE18">
            <v>127.80000000000001</v>
          </cell>
          <cell r="GF18">
            <v>128.20000000000002</v>
          </cell>
          <cell r="GG18">
            <v>128.4</v>
          </cell>
          <cell r="GH18">
            <v>128.5</v>
          </cell>
          <cell r="GI18">
            <v>127.2</v>
          </cell>
          <cell r="GJ18">
            <v>127.2</v>
          </cell>
          <cell r="GK18">
            <v>127.5</v>
          </cell>
          <cell r="GL18">
            <v>125</v>
          </cell>
          <cell r="GM18">
            <v>124.9</v>
          </cell>
          <cell r="GN18">
            <v>124.30000000000001</v>
          </cell>
          <cell r="GO18">
            <v>123.5</v>
          </cell>
          <cell r="GP18">
            <v>122.60000000000001</v>
          </cell>
          <cell r="GQ18">
            <v>124.5</v>
          </cell>
          <cell r="GR18">
            <v>126.9</v>
          </cell>
          <cell r="GS18">
            <v>127.9</v>
          </cell>
          <cell r="GT18">
            <v>129.6</v>
          </cell>
          <cell r="GU18">
            <v>132</v>
          </cell>
          <cell r="GV18">
            <v>133.80000000000001</v>
          </cell>
          <cell r="GW18">
            <v>135.5</v>
          </cell>
          <cell r="GX18">
            <v>137.80000000000001</v>
          </cell>
          <cell r="GY18">
            <v>136.20000000000002</v>
          </cell>
          <cell r="GZ18">
            <v>133.4</v>
          </cell>
          <cell r="HA18">
            <v>129.4</v>
          </cell>
          <cell r="HB18">
            <v>128.9</v>
          </cell>
          <cell r="HC18">
            <v>130.80000000000001</v>
          </cell>
          <cell r="HD18">
            <v>131.70000000000002</v>
          </cell>
          <cell r="HE18">
            <v>133.1</v>
          </cell>
          <cell r="HF18">
            <v>138</v>
          </cell>
          <cell r="HG18">
            <v>137.20000000000002</v>
          </cell>
          <cell r="HH18">
            <v>138.1</v>
          </cell>
          <cell r="HI18">
            <v>139.20000000000002</v>
          </cell>
          <cell r="HJ18">
            <v>142.20000000000002</v>
          </cell>
          <cell r="HK18">
            <v>146.30000000000001</v>
          </cell>
          <cell r="HL18">
            <v>147.70000000000002</v>
          </cell>
          <cell r="HM18">
            <v>150.5</v>
          </cell>
          <cell r="HN18">
            <v>152.1</v>
          </cell>
          <cell r="HO18">
            <v>154.5</v>
          </cell>
          <cell r="HP18">
            <v>158.70000000000002</v>
          </cell>
          <cell r="HQ18">
            <v>164.3</v>
          </cell>
          <cell r="HR18">
            <v>162.80000000000001</v>
          </cell>
          <cell r="HS18">
            <v>165.4</v>
          </cell>
          <cell r="HT18">
            <v>166.70000000000002</v>
          </cell>
          <cell r="HU18">
            <v>164.10000000000002</v>
          </cell>
          <cell r="HV18">
            <v>166.70000000000002</v>
          </cell>
          <cell r="HW18">
            <v>172.8</v>
          </cell>
          <cell r="HX18">
            <v>173.70000000000002</v>
          </cell>
          <cell r="HY18">
            <v>177.4</v>
          </cell>
          <cell r="HZ18">
            <v>183.9</v>
          </cell>
          <cell r="IA18">
            <v>196</v>
          </cell>
          <cell r="IB18">
            <v>200.5</v>
          </cell>
          <cell r="IC18">
            <v>178</v>
          </cell>
          <cell r="ID18">
            <v>169.5</v>
          </cell>
          <cell r="IE18">
            <v>171.3</v>
          </cell>
          <cell r="IF18">
            <v>173.9</v>
          </cell>
          <cell r="IG18">
            <v>176.9</v>
          </cell>
          <cell r="IH18">
            <v>182.10000000000002</v>
          </cell>
          <cell r="II18">
            <v>184.20000000000002</v>
          </cell>
          <cell r="IJ18">
            <v>184.60000000000002</v>
          </cell>
          <cell r="IK18">
            <v>188</v>
          </cell>
          <cell r="IL18">
            <v>195.9</v>
          </cell>
          <cell r="IM18">
            <v>203.70000000000002</v>
          </cell>
          <cell r="IN18">
            <v>203.9</v>
          </cell>
        </row>
        <row r="23">
          <cell r="AD23">
            <v>2.08</v>
          </cell>
          <cell r="AE23">
            <v>2.08</v>
          </cell>
          <cell r="AF23">
            <v>2.08</v>
          </cell>
          <cell r="AG23">
            <v>2.08</v>
          </cell>
          <cell r="AH23">
            <v>2.21</v>
          </cell>
          <cell r="AI23">
            <v>2.21</v>
          </cell>
          <cell r="AJ23">
            <v>2.21</v>
          </cell>
          <cell r="AK23">
            <v>2.21</v>
          </cell>
          <cell r="AL23">
            <v>2.09</v>
          </cell>
          <cell r="AM23">
            <v>2.0300000000000002</v>
          </cell>
          <cell r="AN23">
            <v>2.0300000000000002</v>
          </cell>
          <cell r="AO23">
            <v>2.0300000000000002</v>
          </cell>
          <cell r="AP23">
            <v>1.93</v>
          </cell>
          <cell r="AQ23">
            <v>1.93</v>
          </cell>
          <cell r="AR23">
            <v>1.93</v>
          </cell>
          <cell r="AS23">
            <v>1.93</v>
          </cell>
          <cell r="AT23">
            <v>2.21</v>
          </cell>
          <cell r="AU23">
            <v>2.21</v>
          </cell>
          <cell r="AV23">
            <v>2.21</v>
          </cell>
          <cell r="AW23">
            <v>2.21</v>
          </cell>
          <cell r="AX23">
            <v>2.23</v>
          </cell>
          <cell r="AY23">
            <v>2.23</v>
          </cell>
          <cell r="AZ23">
            <v>2.23</v>
          </cell>
          <cell r="BA23">
            <v>2.23</v>
          </cell>
          <cell r="BB23">
            <v>2.23</v>
          </cell>
          <cell r="BC23">
            <v>2.23</v>
          </cell>
          <cell r="BD23">
            <v>2.23</v>
          </cell>
          <cell r="BE23">
            <v>2.23</v>
          </cell>
          <cell r="BF23">
            <v>2.23</v>
          </cell>
          <cell r="BG23">
            <v>2.23</v>
          </cell>
          <cell r="BH23">
            <v>2.23</v>
          </cell>
          <cell r="BI23">
            <v>2.23</v>
          </cell>
          <cell r="BJ23">
            <v>2.23</v>
          </cell>
          <cell r="BK23">
            <v>2.23</v>
          </cell>
          <cell r="BL23">
            <v>2.23</v>
          </cell>
          <cell r="BM23">
            <v>2.23</v>
          </cell>
          <cell r="BN23">
            <v>2.23</v>
          </cell>
          <cell r="BO23">
            <v>2.23</v>
          </cell>
          <cell r="BP23">
            <v>2.23</v>
          </cell>
          <cell r="BQ23">
            <v>2.23</v>
          </cell>
          <cell r="BR23">
            <v>2.23</v>
          </cell>
          <cell r="BS23">
            <v>2.23</v>
          </cell>
          <cell r="BT23">
            <v>2.23</v>
          </cell>
          <cell r="BU23">
            <v>2.23</v>
          </cell>
          <cell r="BV23">
            <v>2.23</v>
          </cell>
          <cell r="BW23">
            <v>2.23</v>
          </cell>
          <cell r="BX23">
            <v>2.23</v>
          </cell>
          <cell r="BY23">
            <v>2.23</v>
          </cell>
          <cell r="BZ23">
            <v>2.23</v>
          </cell>
          <cell r="CA23">
            <v>2.23</v>
          </cell>
          <cell r="CB23">
            <v>2.23</v>
          </cell>
          <cell r="CC23">
            <v>2.23</v>
          </cell>
          <cell r="CD23">
            <v>2.23</v>
          </cell>
          <cell r="CE23">
            <v>2.23</v>
          </cell>
          <cell r="CF23">
            <v>2.23</v>
          </cell>
          <cell r="CG23">
            <v>2.23</v>
          </cell>
          <cell r="CH23">
            <v>2.5500000000000003</v>
          </cell>
          <cell r="CI23">
            <v>3.45</v>
          </cell>
          <cell r="CJ23">
            <v>3.42</v>
          </cell>
          <cell r="CK23">
            <v>3.4</v>
          </cell>
          <cell r="CL23">
            <v>3.58</v>
          </cell>
          <cell r="CM23">
            <v>3.64</v>
          </cell>
          <cell r="CN23">
            <v>3.62</v>
          </cell>
          <cell r="CO23">
            <v>3.62</v>
          </cell>
          <cell r="CP23">
            <v>3.7800000000000002</v>
          </cell>
          <cell r="CQ23">
            <v>4.0999999999999996</v>
          </cell>
          <cell r="CR23">
            <v>4.53</v>
          </cell>
          <cell r="CS23">
            <v>4.6000000000000005</v>
          </cell>
          <cell r="CT23">
            <v>15.5</v>
          </cell>
          <cell r="CU23">
            <v>13</v>
          </cell>
          <cell r="CV23">
            <v>11.5</v>
          </cell>
          <cell r="CW23">
            <v>11.700000000000001</v>
          </cell>
          <cell r="CX23">
            <v>11.5</v>
          </cell>
          <cell r="CY23">
            <v>11.4</v>
          </cell>
          <cell r="CZ23">
            <v>11.5</v>
          </cell>
          <cell r="DA23">
            <v>11.6</v>
          </cell>
          <cell r="DB23">
            <v>12.9</v>
          </cell>
          <cell r="DC23">
            <v>12.950000000000001</v>
          </cell>
          <cell r="DD23">
            <v>13.15</v>
          </cell>
          <cell r="DE23">
            <v>13.56</v>
          </cell>
          <cell r="DF23">
            <v>14.450000000000001</v>
          </cell>
          <cell r="DG23">
            <v>14.450000000000001</v>
          </cell>
          <cell r="DH23">
            <v>14.280000000000001</v>
          </cell>
          <cell r="DI23">
            <v>14.05</v>
          </cell>
          <cell r="DJ23">
            <v>14</v>
          </cell>
          <cell r="DK23">
            <v>13.89</v>
          </cell>
          <cell r="DL23">
            <v>13.98</v>
          </cell>
          <cell r="DM23">
            <v>15.17</v>
          </cell>
          <cell r="DN23">
            <v>21.400000000000002</v>
          </cell>
          <cell r="DO23">
            <v>30.970000000000002</v>
          </cell>
          <cell r="DP23">
            <v>35.75</v>
          </cell>
          <cell r="DQ23">
            <v>40.33</v>
          </cell>
          <cell r="DR23">
            <v>38.92</v>
          </cell>
          <cell r="DS23">
            <v>38.22</v>
          </cell>
          <cell r="DT23">
            <v>34.800000000000004</v>
          </cell>
          <cell r="DU23">
            <v>39.630000000000003</v>
          </cell>
          <cell r="DV23">
            <v>39.119999999999997</v>
          </cell>
          <cell r="DW23">
            <v>35.21</v>
          </cell>
          <cell r="DX23">
            <v>35.590000000000003</v>
          </cell>
          <cell r="DY23">
            <v>36.79</v>
          </cell>
          <cell r="DZ23">
            <v>32.04</v>
          </cell>
          <cell r="EA23">
            <v>33.36</v>
          </cell>
          <cell r="EB23">
            <v>33.14</v>
          </cell>
          <cell r="EC23">
            <v>33.22</v>
          </cell>
          <cell r="ED23">
            <v>29.39</v>
          </cell>
          <cell r="EE23">
            <v>29.67</v>
          </cell>
          <cell r="EF23">
            <v>30.79</v>
          </cell>
          <cell r="EG23">
            <v>29.12</v>
          </cell>
          <cell r="EH23">
            <v>29.72</v>
          </cell>
          <cell r="EI23">
            <v>29.61</v>
          </cell>
          <cell r="EJ23">
            <v>28.1</v>
          </cell>
          <cell r="EK23">
            <v>27.5</v>
          </cell>
          <cell r="EL23">
            <v>27.82</v>
          </cell>
          <cell r="EM23">
            <v>27.060000000000002</v>
          </cell>
          <cell r="EN23">
            <v>27.34</v>
          </cell>
          <cell r="EO23">
            <v>28.28</v>
          </cell>
          <cell r="EP23">
            <v>17.8</v>
          </cell>
          <cell r="EQ23">
            <v>12.85</v>
          </cell>
          <cell r="ER23">
            <v>12.370000000000001</v>
          </cell>
          <cell r="ES23">
            <v>14.76</v>
          </cell>
          <cell r="ET23">
            <v>17.87</v>
          </cell>
          <cell r="EU23">
            <v>18.670000000000002</v>
          </cell>
          <cell r="EV23">
            <v>19.059999999999999</v>
          </cell>
          <cell r="EW23">
            <v>18.010000000000002</v>
          </cell>
          <cell r="EX23">
            <v>15.82</v>
          </cell>
          <cell r="EY23">
            <v>16.16</v>
          </cell>
          <cell r="EZ23">
            <v>14.35</v>
          </cell>
          <cell r="FA23">
            <v>13.530000000000001</v>
          </cell>
          <cell r="FB23">
            <v>17.53</v>
          </cell>
          <cell r="FC23">
            <v>18.64</v>
          </cell>
          <cell r="FD23">
            <v>17.55</v>
          </cell>
          <cell r="FE23">
            <v>19.2</v>
          </cell>
          <cell r="FF23">
            <v>19.72</v>
          </cell>
          <cell r="FG23">
            <v>16.38</v>
          </cell>
          <cell r="FH23">
            <v>26.36</v>
          </cell>
          <cell r="FI23">
            <v>32.369999999999997</v>
          </cell>
          <cell r="FJ23">
            <v>20.94</v>
          </cell>
          <cell r="FK23">
            <v>18.91</v>
          </cell>
          <cell r="FL23">
            <v>19.920000000000002</v>
          </cell>
          <cell r="FM23">
            <v>20.52</v>
          </cell>
          <cell r="FN23">
            <v>17.98</v>
          </cell>
          <cell r="FO23">
            <v>20.059999999999999</v>
          </cell>
          <cell r="FP23">
            <v>20.14</v>
          </cell>
          <cell r="FQ23">
            <v>19.260000000000002</v>
          </cell>
          <cell r="FR23">
            <v>18.27</v>
          </cell>
          <cell r="FS23">
            <v>18.330000000000002</v>
          </cell>
          <cell r="FT23">
            <v>16.600000000000001</v>
          </cell>
          <cell r="FU23">
            <v>15.15</v>
          </cell>
          <cell r="FV23">
            <v>13.94</v>
          </cell>
          <cell r="FW23">
            <v>16.21</v>
          </cell>
          <cell r="FX23">
            <v>17.02</v>
          </cell>
          <cell r="FY23">
            <v>16.670000000000002</v>
          </cell>
          <cell r="FZ23">
            <v>17.05</v>
          </cell>
          <cell r="GA23">
            <v>18.28</v>
          </cell>
          <cell r="GB23">
            <v>16.34</v>
          </cell>
          <cell r="GC23">
            <v>17.11</v>
          </cell>
          <cell r="GD23">
            <v>18.600000000000001</v>
          </cell>
          <cell r="GE23">
            <v>19.7</v>
          </cell>
          <cell r="GF23">
            <v>21.13</v>
          </cell>
          <cell r="GG23">
            <v>23.8</v>
          </cell>
          <cell r="GH23">
            <v>21.36</v>
          </cell>
          <cell r="GI23">
            <v>18.28</v>
          </cell>
          <cell r="GJ23">
            <v>18.650000000000002</v>
          </cell>
          <cell r="GK23">
            <v>18.95</v>
          </cell>
          <cell r="GL23">
            <v>14.450000000000001</v>
          </cell>
          <cell r="GM23">
            <v>13.790000000000001</v>
          </cell>
          <cell r="GN23">
            <v>12.77</v>
          </cell>
          <cell r="GO23">
            <v>11.5</v>
          </cell>
          <cell r="GP23">
            <v>11.5</v>
          </cell>
          <cell r="GQ23">
            <v>15.77</v>
          </cell>
          <cell r="GR23">
            <v>20.93</v>
          </cell>
          <cell r="GS23">
            <v>24.240000000000002</v>
          </cell>
          <cell r="GT23">
            <v>27.05</v>
          </cell>
          <cell r="GU23">
            <v>27.150000000000002</v>
          </cell>
          <cell r="GV23">
            <v>31.29</v>
          </cell>
          <cell r="GW23">
            <v>29.89</v>
          </cell>
          <cell r="GX23">
            <v>26.240000000000002</v>
          </cell>
          <cell r="GY23">
            <v>27.490000000000002</v>
          </cell>
          <cell r="GZ23">
            <v>25.52</v>
          </cell>
          <cell r="HA23">
            <v>19.61</v>
          </cell>
          <cell r="HB23">
            <v>21.52</v>
          </cell>
          <cell r="HC23">
            <v>25.29</v>
          </cell>
          <cell r="HD23">
            <v>26.95</v>
          </cell>
          <cell r="HE23">
            <v>26.7</v>
          </cell>
          <cell r="HF23">
            <v>31.21</v>
          </cell>
          <cell r="HG23">
            <v>26.1</v>
          </cell>
          <cell r="HH23">
            <v>28.42</v>
          </cell>
          <cell r="HI23">
            <v>29.38</v>
          </cell>
          <cell r="HJ23">
            <v>31.73</v>
          </cell>
          <cell r="HK23">
            <v>35.46</v>
          </cell>
          <cell r="HL23">
            <v>41.26</v>
          </cell>
          <cell r="HM23">
            <v>44.44</v>
          </cell>
          <cell r="HN23">
            <v>47.71</v>
          </cell>
          <cell r="HO23">
            <v>52.24</v>
          </cell>
          <cell r="HP23">
            <v>61.61</v>
          </cell>
          <cell r="HQ23">
            <v>57.17</v>
          </cell>
          <cell r="HR23">
            <v>62.29</v>
          </cell>
          <cell r="HS23">
            <v>70.03</v>
          </cell>
          <cell r="HT23">
            <v>70.02</v>
          </cell>
          <cell r="HU23">
            <v>60.06</v>
          </cell>
          <cell r="HV23">
            <v>58.2</v>
          </cell>
          <cell r="HW23">
            <v>68.680000000000007</v>
          </cell>
          <cell r="HX23">
            <v>74.739999999999995</v>
          </cell>
          <cell r="HY23">
            <v>88.92</v>
          </cell>
          <cell r="HZ23">
            <v>96.66</v>
          </cell>
          <cell r="IA23">
            <v>122.22</v>
          </cell>
          <cell r="IB23">
            <v>115.38</v>
          </cell>
          <cell r="IC23">
            <v>55.06</v>
          </cell>
          <cell r="ID23">
            <v>44.22</v>
          </cell>
          <cell r="IE23">
            <v>58.870000000000005</v>
          </cell>
          <cell r="IF23">
            <v>68.33</v>
          </cell>
          <cell r="IG23">
            <v>74.900000000000006</v>
          </cell>
          <cell r="IH23">
            <v>76.67</v>
          </cell>
          <cell r="II23">
            <v>78.850000000000009</v>
          </cell>
          <cell r="IJ23">
            <v>76.67</v>
          </cell>
          <cell r="IK23">
            <v>87.03</v>
          </cell>
          <cell r="IL23">
            <v>105.37</v>
          </cell>
          <cell r="IM23">
            <v>117.54</v>
          </cell>
          <cell r="IN23">
            <v>113.26</v>
          </cell>
        </row>
        <row r="24">
          <cell r="B24">
            <v>18.466999999999999</v>
          </cell>
          <cell r="C24">
            <v>18.442</v>
          </cell>
          <cell r="D24">
            <v>18.452999999999999</v>
          </cell>
          <cell r="E24">
            <v>18.757000000000001</v>
          </cell>
          <cell r="F24">
            <v>19.405000000000001</v>
          </cell>
          <cell r="G24">
            <v>19.827999999999999</v>
          </cell>
          <cell r="H24">
            <v>19.616</v>
          </cell>
          <cell r="I24">
            <v>19.852</v>
          </cell>
          <cell r="J24">
            <v>19.984999999999999</v>
          </cell>
          <cell r="K24">
            <v>20.211000000000002</v>
          </cell>
          <cell r="L24">
            <v>20.427</v>
          </cell>
          <cell r="M24">
            <v>20.606000000000002</v>
          </cell>
          <cell r="N24">
            <v>20.655000000000001</v>
          </cell>
          <cell r="O24">
            <v>20.701000000000001</v>
          </cell>
          <cell r="P24">
            <v>21.016000000000002</v>
          </cell>
          <cell r="Q24">
            <v>21.052</v>
          </cell>
          <cell r="R24">
            <v>21.198</v>
          </cell>
          <cell r="S24">
            <v>21.211000000000002</v>
          </cell>
          <cell r="T24">
            <v>20.933</v>
          </cell>
          <cell r="U24">
            <v>20.911999999999999</v>
          </cell>
          <cell r="V24">
            <v>20.522000000000002</v>
          </cell>
          <cell r="W24">
            <v>20.637</v>
          </cell>
          <cell r="X24">
            <v>20.672000000000001</v>
          </cell>
          <cell r="Y24">
            <v>21.052</v>
          </cell>
          <cell r="Z24">
            <v>21.696000000000002</v>
          </cell>
          <cell r="AA24">
            <v>22.024000000000001</v>
          </cell>
          <cell r="AB24">
            <v>22.257000000000001</v>
          </cell>
          <cell r="AC24">
            <v>22.295000000000002</v>
          </cell>
          <cell r="AD24">
            <v>22.599</v>
          </cell>
          <cell r="AE24">
            <v>22.808</v>
          </cell>
          <cell r="AF24">
            <v>22.775000000000002</v>
          </cell>
          <cell r="AG24">
            <v>22.943000000000001</v>
          </cell>
          <cell r="AH24">
            <v>23.361000000000001</v>
          </cell>
          <cell r="AI24">
            <v>23.093</v>
          </cell>
          <cell r="AJ24">
            <v>23.084</v>
          </cell>
          <cell r="AK24">
            <v>23.021000000000001</v>
          </cell>
          <cell r="AL24">
            <v>23.106000000000002</v>
          </cell>
          <cell r="AM24">
            <v>23.004999999999999</v>
          </cell>
          <cell r="AN24">
            <v>23.193000000000001</v>
          </cell>
          <cell r="AO24">
            <v>23.446999999999999</v>
          </cell>
          <cell r="AP24">
            <v>23.414999999999999</v>
          </cell>
          <cell r="AQ24">
            <v>23.771000000000001</v>
          </cell>
          <cell r="AR24">
            <v>23.702000000000002</v>
          </cell>
          <cell r="AS24">
            <v>24.103999999999999</v>
          </cell>
          <cell r="AT24">
            <v>24.082000000000001</v>
          </cell>
          <cell r="AU24">
            <v>23.795000000000002</v>
          </cell>
          <cell r="AV24">
            <v>23.721</v>
          </cell>
          <cell r="AW24">
            <v>23.731999999999999</v>
          </cell>
          <cell r="AX24">
            <v>23.739000000000001</v>
          </cell>
          <cell r="AY24">
            <v>23.876999999999999</v>
          </cell>
          <cell r="AZ24">
            <v>23.728999999999999</v>
          </cell>
          <cell r="BA24">
            <v>23.827000000000002</v>
          </cell>
          <cell r="BB24">
            <v>23.786999999999999</v>
          </cell>
          <cell r="BC24">
            <v>23.731999999999999</v>
          </cell>
          <cell r="BD24">
            <v>23.584</v>
          </cell>
          <cell r="BE24">
            <v>23.757000000000001</v>
          </cell>
          <cell r="BF24">
            <v>23.593</v>
          </cell>
          <cell r="BG24">
            <v>23.718</v>
          </cell>
          <cell r="BH24">
            <v>23.792000000000002</v>
          </cell>
          <cell r="BI24">
            <v>24.131</v>
          </cell>
          <cell r="BJ24">
            <v>23.932000000000002</v>
          </cell>
          <cell r="BK24">
            <v>24.030999999999999</v>
          </cell>
          <cell r="BL24">
            <v>23.775000000000002</v>
          </cell>
          <cell r="BM24">
            <v>23.678000000000001</v>
          </cell>
          <cell r="BN24">
            <v>23.815000000000001</v>
          </cell>
          <cell r="BO24">
            <v>24.376000000000001</v>
          </cell>
          <cell r="BP24">
            <v>24.733000000000001</v>
          </cell>
          <cell r="BQ24">
            <v>24.931000000000001</v>
          </cell>
          <cell r="BR24">
            <v>24.905000000000001</v>
          </cell>
          <cell r="BS24">
            <v>25.16</v>
          </cell>
          <cell r="BT24">
            <v>25.437000000000001</v>
          </cell>
          <cell r="BU24">
            <v>25.687999999999999</v>
          </cell>
          <cell r="BV24">
            <v>25.914000000000001</v>
          </cell>
          <cell r="BW24">
            <v>26.103999999999999</v>
          </cell>
          <cell r="BX24">
            <v>26.582000000000001</v>
          </cell>
          <cell r="BY24">
            <v>27.150000000000002</v>
          </cell>
          <cell r="BZ24">
            <v>27.184000000000001</v>
          </cell>
          <cell r="CA24">
            <v>27.904</v>
          </cell>
          <cell r="CB24">
            <v>28.42</v>
          </cell>
          <cell r="CC24">
            <v>29.094000000000001</v>
          </cell>
          <cell r="CD24">
            <v>29.533000000000001</v>
          </cell>
          <cell r="CE24">
            <v>29.565999999999999</v>
          </cell>
          <cell r="CF24">
            <v>29.602</v>
          </cell>
          <cell r="CG24">
            <v>30.161000000000001</v>
          </cell>
          <cell r="CH24">
            <v>29.856000000000002</v>
          </cell>
          <cell r="CI24">
            <v>30.189</v>
          </cell>
          <cell r="CJ24">
            <v>30.378</v>
          </cell>
          <cell r="CK24">
            <v>30.876000000000001</v>
          </cell>
          <cell r="CL24">
            <v>31.305</v>
          </cell>
          <cell r="CM24">
            <v>30.925000000000001</v>
          </cell>
          <cell r="CN24">
            <v>31.18</v>
          </cell>
          <cell r="CO24">
            <v>31.548000000000002</v>
          </cell>
          <cell r="CP24">
            <v>31.872</v>
          </cell>
          <cell r="CQ24">
            <v>32.264000000000003</v>
          </cell>
          <cell r="CR24">
            <v>33.39</v>
          </cell>
          <cell r="CS24">
            <v>33.930999999999997</v>
          </cell>
          <cell r="CT24">
            <v>35.072000000000003</v>
          </cell>
          <cell r="CU24">
            <v>36.035000000000004</v>
          </cell>
          <cell r="CV24">
            <v>37.487000000000002</v>
          </cell>
          <cell r="CW24">
            <v>38.04</v>
          </cell>
          <cell r="CX24">
            <v>38.660000000000004</v>
          </cell>
          <cell r="CY24">
            <v>38.770000000000003</v>
          </cell>
          <cell r="CZ24">
            <v>38.92</v>
          </cell>
          <cell r="DA24">
            <v>39.691000000000003</v>
          </cell>
          <cell r="DB24">
            <v>40.090000000000003</v>
          </cell>
          <cell r="DC24">
            <v>40.625999999999998</v>
          </cell>
          <cell r="DD24">
            <v>41.410000000000004</v>
          </cell>
          <cell r="DE24">
            <v>42.158000000000001</v>
          </cell>
          <cell r="DF24">
            <v>42.683</v>
          </cell>
          <cell r="DG24">
            <v>43.258000000000003</v>
          </cell>
          <cell r="DH24">
            <v>43.605000000000004</v>
          </cell>
          <cell r="DI24">
            <v>44.883000000000003</v>
          </cell>
          <cell r="DJ24">
            <v>46.619</v>
          </cell>
          <cell r="DK24">
            <v>46.195999999999998</v>
          </cell>
          <cell r="DL24">
            <v>46.838000000000001</v>
          </cell>
          <cell r="DM24">
            <v>47.792000000000002</v>
          </cell>
          <cell r="DN24">
            <v>49.544000000000004</v>
          </cell>
          <cell r="DO24">
            <v>50.774999999999999</v>
          </cell>
          <cell r="DP24">
            <v>51.936</v>
          </cell>
          <cell r="DQ24">
            <v>53.285000000000004</v>
          </cell>
          <cell r="DR24">
            <v>54.597999999999999</v>
          </cell>
          <cell r="DS24">
            <v>56.657000000000004</v>
          </cell>
          <cell r="DT24">
            <v>57.99</v>
          </cell>
          <cell r="DU24">
            <v>58.822000000000003</v>
          </cell>
          <cell r="DV24">
            <v>59.184000000000005</v>
          </cell>
          <cell r="DW24">
            <v>60.853000000000002</v>
          </cell>
          <cell r="DX24">
            <v>61.36</v>
          </cell>
          <cell r="DY24">
            <v>63.186</v>
          </cell>
          <cell r="DZ24">
            <v>65.242999999999995</v>
          </cell>
          <cell r="EA24">
            <v>65.692000000000007</v>
          </cell>
          <cell r="EB24">
            <v>66.597999999999999</v>
          </cell>
          <cell r="EC24">
            <v>66.807000000000002</v>
          </cell>
          <cell r="ED24">
            <v>66.783000000000001</v>
          </cell>
          <cell r="EE24">
            <v>66.207000000000008</v>
          </cell>
          <cell r="EF24">
            <v>66.218000000000004</v>
          </cell>
          <cell r="EG24">
            <v>66.543000000000006</v>
          </cell>
          <cell r="EH24">
            <v>67.031000000000006</v>
          </cell>
          <cell r="EI24">
            <v>67.061999999999998</v>
          </cell>
          <cell r="EJ24">
            <v>67.626000000000005</v>
          </cell>
          <cell r="EK24">
            <v>67.992999999999995</v>
          </cell>
          <cell r="EL24">
            <v>68.593000000000004</v>
          </cell>
          <cell r="EM24">
            <v>68.908000000000001</v>
          </cell>
          <cell r="EN24">
            <v>68.811000000000007</v>
          </cell>
          <cell r="EO24">
            <v>69.789000000000001</v>
          </cell>
          <cell r="EP24">
            <v>69.863</v>
          </cell>
          <cell r="EQ24">
            <v>70.097999999999999</v>
          </cell>
          <cell r="ER24">
            <v>70.498999999999995</v>
          </cell>
          <cell r="ES24">
            <v>71.597000000000008</v>
          </cell>
          <cell r="ET24">
            <v>72.418999999999997</v>
          </cell>
          <cell r="EU24">
            <v>72.463000000000008</v>
          </cell>
          <cell r="EV24">
            <v>73.144999999999996</v>
          </cell>
          <cell r="EW24">
            <v>73.375</v>
          </cell>
          <cell r="EX24">
            <v>74.489000000000004</v>
          </cell>
          <cell r="EY24">
            <v>75.281000000000006</v>
          </cell>
          <cell r="EZ24">
            <v>76.043000000000006</v>
          </cell>
          <cell r="FA24">
            <v>76.272000000000006</v>
          </cell>
          <cell r="FB24">
            <v>76.432000000000002</v>
          </cell>
          <cell r="FC24">
            <v>76.41</v>
          </cell>
          <cell r="FD24">
            <v>76.597999999999999</v>
          </cell>
          <cell r="FE24">
            <v>77.52</v>
          </cell>
          <cell r="FF24">
            <v>78.418000000000006</v>
          </cell>
          <cell r="FG24">
            <v>79.486999999999995</v>
          </cell>
          <cell r="FH24">
            <v>80.287000000000006</v>
          </cell>
          <cell r="FI24">
            <v>81.707000000000008</v>
          </cell>
          <cell r="FJ24">
            <v>82.218000000000004</v>
          </cell>
          <cell r="FK24">
            <v>82.545000000000002</v>
          </cell>
          <cell r="FL24">
            <v>82.981000000000009</v>
          </cell>
          <cell r="FM24">
            <v>83.463000000000008</v>
          </cell>
          <cell r="FN24">
            <v>83.519000000000005</v>
          </cell>
          <cell r="FO24">
            <v>83.513000000000005</v>
          </cell>
          <cell r="FP24">
            <v>83.960999999999999</v>
          </cell>
          <cell r="FQ24">
            <v>83.739000000000004</v>
          </cell>
          <cell r="FR24">
            <v>84.637</v>
          </cell>
          <cell r="FS24">
            <v>85.29</v>
          </cell>
          <cell r="FT24">
            <v>85.519000000000005</v>
          </cell>
          <cell r="FU24">
            <v>85.076999999999998</v>
          </cell>
          <cell r="FV24">
            <v>85.555999999999997</v>
          </cell>
          <cell r="FW24">
            <v>85.444000000000003</v>
          </cell>
          <cell r="FX24">
            <v>85.91</v>
          </cell>
          <cell r="FY24">
            <v>85.686999999999998</v>
          </cell>
          <cell r="FZ24">
            <v>86.876999999999995</v>
          </cell>
          <cell r="GA24">
            <v>87.251000000000005</v>
          </cell>
          <cell r="GB24">
            <v>87.644999999999996</v>
          </cell>
          <cell r="GC24">
            <v>87.691000000000003</v>
          </cell>
          <cell r="GD24">
            <v>87.626000000000005</v>
          </cell>
          <cell r="GE24">
            <v>87.42</v>
          </cell>
          <cell r="GF24">
            <v>87.891000000000005</v>
          </cell>
          <cell r="GG24">
            <v>88.141000000000005</v>
          </cell>
          <cell r="GH24">
            <v>88.921000000000006</v>
          </cell>
          <cell r="GI24">
            <v>88.539000000000001</v>
          </cell>
          <cell r="GJ24">
            <v>88.722000000000008</v>
          </cell>
          <cell r="GK24">
            <v>90.007000000000005</v>
          </cell>
          <cell r="GL24">
            <v>91.207000000000008</v>
          </cell>
          <cell r="GM24">
            <v>91.945999999999998</v>
          </cell>
          <cell r="GN24">
            <v>92.072000000000003</v>
          </cell>
          <cell r="GO24">
            <v>91.742999999999995</v>
          </cell>
          <cell r="GP24">
            <v>92.465000000000003</v>
          </cell>
          <cell r="GQ24">
            <v>92.545000000000002</v>
          </cell>
          <cell r="GR24">
            <v>92.570999999999998</v>
          </cell>
          <cell r="GS24">
            <v>92.866</v>
          </cell>
          <cell r="GT24">
            <v>96.528000000000006</v>
          </cell>
          <cell r="GU24">
            <v>94.725000000000009</v>
          </cell>
          <cell r="GV24">
            <v>96.692000000000007</v>
          </cell>
          <cell r="GW24">
            <v>96.322000000000003</v>
          </cell>
          <cell r="GX24">
            <v>98.924000000000007</v>
          </cell>
          <cell r="GY24">
            <v>97.593000000000004</v>
          </cell>
          <cell r="GZ24">
            <v>97.359000000000009</v>
          </cell>
          <cell r="HA24">
            <v>96.790999999999997</v>
          </cell>
          <cell r="HB24">
            <v>96</v>
          </cell>
          <cell r="HC24">
            <v>96.622</v>
          </cell>
          <cell r="HD24">
            <v>96.138000000000005</v>
          </cell>
          <cell r="HE24">
            <v>96.641999999999996</v>
          </cell>
          <cell r="HF24">
            <v>97.257999999999996</v>
          </cell>
          <cell r="HG24">
            <v>97.503</v>
          </cell>
          <cell r="HH24">
            <v>96.740000000000009</v>
          </cell>
          <cell r="HI24">
            <v>97.260999999999996</v>
          </cell>
          <cell r="HJ24">
            <v>96.492000000000004</v>
          </cell>
          <cell r="HK24">
            <v>97.222000000000008</v>
          </cell>
          <cell r="HL24">
            <v>98.548000000000002</v>
          </cell>
          <cell r="HM24">
            <v>99.094000000000008</v>
          </cell>
          <cell r="HN24">
            <v>98.915999999999997</v>
          </cell>
          <cell r="HO24">
            <v>99.709000000000003</v>
          </cell>
          <cell r="HP24">
            <v>100.334</v>
          </cell>
          <cell r="HQ24">
            <v>101.008</v>
          </cell>
          <cell r="HR24">
            <v>101.78700000000001</v>
          </cell>
          <cell r="HS24">
            <v>101.96900000000001</v>
          </cell>
          <cell r="HT24">
            <v>102.947</v>
          </cell>
          <cell r="HU24">
            <v>104.667</v>
          </cell>
          <cell r="HV24">
            <v>105.761</v>
          </cell>
          <cell r="HW24">
            <v>105.38200000000001</v>
          </cell>
          <cell r="HX24">
            <v>104.944</v>
          </cell>
          <cell r="HY24">
            <v>105.956</v>
          </cell>
          <cell r="HZ24">
            <v>108.01300000000001</v>
          </cell>
          <cell r="IA24">
            <v>107.13</v>
          </cell>
          <cell r="IB24">
            <v>108.271</v>
          </cell>
          <cell r="IC24">
            <v>109.60300000000001</v>
          </cell>
          <cell r="ID24">
            <v>108.47</v>
          </cell>
          <cell r="IE24">
            <v>108.111</v>
          </cell>
          <cell r="IF24">
            <v>107</v>
          </cell>
          <cell r="IG24">
            <v>105.935</v>
          </cell>
          <cell r="IH24">
            <v>105.148</v>
          </cell>
          <cell r="II24">
            <v>105.47500000000001</v>
          </cell>
          <cell r="IJ24">
            <v>105.384</v>
          </cell>
          <cell r="IK24">
            <v>105.04</v>
          </cell>
          <cell r="IL24">
            <v>106.792</v>
          </cell>
          <cell r="IM24">
            <v>107.584</v>
          </cell>
          <cell r="IN24">
            <v>106.92700000000001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"/>
      <sheetName val="q"/>
      <sheetName val="y"/>
    </sheetNames>
    <sheetDataSet>
      <sheetData sheetId="0">
        <row r="52">
          <cell r="B52">
            <v>-185</v>
          </cell>
        </row>
        <row r="53">
          <cell r="B53">
            <v>737</v>
          </cell>
        </row>
        <row r="54">
          <cell r="B54">
            <v>5879</v>
          </cell>
        </row>
        <row r="55">
          <cell r="B55">
            <v>-2545</v>
          </cell>
        </row>
        <row r="56">
          <cell r="B56">
            <v>-1611</v>
          </cell>
        </row>
        <row r="57">
          <cell r="B57">
            <v>3336</v>
          </cell>
        </row>
        <row r="58">
          <cell r="B58">
            <v>-2000</v>
          </cell>
        </row>
        <row r="59">
          <cell r="B59">
            <v>-2820</v>
          </cell>
        </row>
        <row r="60">
          <cell r="B60">
            <v>-68</v>
          </cell>
        </row>
        <row r="61">
          <cell r="B61">
            <v>-2218</v>
          </cell>
        </row>
        <row r="62">
          <cell r="B62">
            <v>359</v>
          </cell>
        </row>
        <row r="63">
          <cell r="B63">
            <v>-2546</v>
          </cell>
        </row>
        <row r="64">
          <cell r="B64">
            <v>-287</v>
          </cell>
        </row>
        <row r="65">
          <cell r="B65">
            <v>596</v>
          </cell>
        </row>
        <row r="66">
          <cell r="B66">
            <v>3847</v>
          </cell>
        </row>
        <row r="67">
          <cell r="B67">
            <v>-1496</v>
          </cell>
        </row>
        <row r="68">
          <cell r="B68">
            <v>-918</v>
          </cell>
        </row>
        <row r="69">
          <cell r="B69">
            <v>3372</v>
          </cell>
        </row>
        <row r="70">
          <cell r="B70">
            <v>-2617</v>
          </cell>
        </row>
        <row r="71">
          <cell r="B71">
            <v>-1491</v>
          </cell>
        </row>
        <row r="72">
          <cell r="B72">
            <v>158</v>
          </cell>
        </row>
        <row r="73">
          <cell r="B73">
            <v>-2663</v>
          </cell>
        </row>
        <row r="74">
          <cell r="B74">
            <v>-510</v>
          </cell>
        </row>
        <row r="75">
          <cell r="B75">
            <v>-762</v>
          </cell>
        </row>
        <row r="76">
          <cell r="B76">
            <v>-590</v>
          </cell>
        </row>
        <row r="77">
          <cell r="B77">
            <v>1245</v>
          </cell>
        </row>
        <row r="78">
          <cell r="B78">
            <v>5914</v>
          </cell>
        </row>
        <row r="79">
          <cell r="B79">
            <v>-1305</v>
          </cell>
        </row>
        <row r="80">
          <cell r="B80">
            <v>-417</v>
          </cell>
        </row>
        <row r="81">
          <cell r="B81">
            <v>4664</v>
          </cell>
        </row>
        <row r="82">
          <cell r="B82">
            <v>-2057</v>
          </cell>
        </row>
        <row r="83">
          <cell r="B83">
            <v>-948</v>
          </cell>
        </row>
        <row r="84">
          <cell r="B84">
            <v>1300</v>
          </cell>
        </row>
        <row r="85">
          <cell r="B85">
            <v>-2811</v>
          </cell>
        </row>
        <row r="86">
          <cell r="B86">
            <v>-912</v>
          </cell>
        </row>
        <row r="87">
          <cell r="B87">
            <v>-306</v>
          </cell>
        </row>
        <row r="88">
          <cell r="B88">
            <v>-1286</v>
          </cell>
        </row>
        <row r="89">
          <cell r="B89">
            <v>445</v>
          </cell>
        </row>
        <row r="90">
          <cell r="B90">
            <v>5153</v>
          </cell>
        </row>
        <row r="91">
          <cell r="B91">
            <v>-1731</v>
          </cell>
        </row>
        <row r="92">
          <cell r="B92">
            <v>-662</v>
          </cell>
        </row>
        <row r="93">
          <cell r="B93">
            <v>5409</v>
          </cell>
        </row>
        <row r="94">
          <cell r="B94">
            <v>-3290</v>
          </cell>
        </row>
        <row r="95">
          <cell r="B95">
            <v>-802</v>
          </cell>
        </row>
        <row r="96">
          <cell r="B96">
            <v>1558</v>
          </cell>
        </row>
        <row r="97">
          <cell r="B97">
            <v>-3370</v>
          </cell>
        </row>
        <row r="98">
          <cell r="B98">
            <v>-979</v>
          </cell>
        </row>
        <row r="99">
          <cell r="B99">
            <v>147</v>
          </cell>
        </row>
        <row r="100">
          <cell r="B100">
            <v>-1225</v>
          </cell>
        </row>
        <row r="101">
          <cell r="B101">
            <v>771</v>
          </cell>
        </row>
        <row r="102">
          <cell r="B102">
            <v>3752</v>
          </cell>
        </row>
        <row r="103">
          <cell r="B103">
            <v>-2626</v>
          </cell>
        </row>
        <row r="104">
          <cell r="B104">
            <v>-921</v>
          </cell>
        </row>
        <row r="105">
          <cell r="B105">
            <v>4164</v>
          </cell>
        </row>
        <row r="106">
          <cell r="B106">
            <v>-3667</v>
          </cell>
        </row>
        <row r="107">
          <cell r="B107">
            <v>-1360</v>
          </cell>
        </row>
        <row r="108">
          <cell r="B108">
            <v>575</v>
          </cell>
        </row>
        <row r="109">
          <cell r="B109">
            <v>-4375</v>
          </cell>
        </row>
        <row r="110">
          <cell r="B110">
            <v>-1275</v>
          </cell>
        </row>
        <row r="111">
          <cell r="B111">
            <v>-900</v>
          </cell>
        </row>
        <row r="112">
          <cell r="B112">
            <v>-2248</v>
          </cell>
        </row>
        <row r="113">
          <cell r="B113">
            <v>245</v>
          </cell>
        </row>
        <row r="114">
          <cell r="B114">
            <v>1965</v>
          </cell>
        </row>
        <row r="115">
          <cell r="B115">
            <v>-2169</v>
          </cell>
        </row>
        <row r="116">
          <cell r="B116">
            <v>-739</v>
          </cell>
        </row>
        <row r="117">
          <cell r="B117">
            <v>1523</v>
          </cell>
        </row>
        <row r="118">
          <cell r="B118">
            <v>-3311</v>
          </cell>
        </row>
        <row r="119">
          <cell r="B119">
            <v>-626</v>
          </cell>
        </row>
        <row r="120">
          <cell r="B120">
            <v>2129</v>
          </cell>
        </row>
        <row r="121">
          <cell r="B121">
            <v>-3845</v>
          </cell>
        </row>
        <row r="122">
          <cell r="B122">
            <v>-701</v>
          </cell>
        </row>
        <row r="123">
          <cell r="B123">
            <v>738</v>
          </cell>
        </row>
        <row r="124">
          <cell r="B124">
            <v>-1290</v>
          </cell>
        </row>
        <row r="125">
          <cell r="B125">
            <v>1095</v>
          </cell>
        </row>
        <row r="126">
          <cell r="B126">
            <v>3157</v>
          </cell>
        </row>
        <row r="127">
          <cell r="B127">
            <v>-968</v>
          </cell>
        </row>
        <row r="128">
          <cell r="B128">
            <v>477</v>
          </cell>
        </row>
        <row r="129">
          <cell r="B129">
            <v>4370</v>
          </cell>
        </row>
        <row r="130">
          <cell r="B130">
            <v>-3044</v>
          </cell>
        </row>
        <row r="131">
          <cell r="B131">
            <v>-349</v>
          </cell>
        </row>
        <row r="132">
          <cell r="B132">
            <v>2188</v>
          </cell>
        </row>
        <row r="133">
          <cell r="B133">
            <v>-4006</v>
          </cell>
        </row>
        <row r="134">
          <cell r="B134">
            <v>-473</v>
          </cell>
        </row>
        <row r="135">
          <cell r="B135">
            <v>796</v>
          </cell>
        </row>
        <row r="136">
          <cell r="B136">
            <v>-1624</v>
          </cell>
        </row>
        <row r="137">
          <cell r="B137">
            <v>301</v>
          </cell>
        </row>
        <row r="138">
          <cell r="B138">
            <v>1512</v>
          </cell>
        </row>
        <row r="139">
          <cell r="B139">
            <v>-1325</v>
          </cell>
        </row>
        <row r="140">
          <cell r="B140">
            <v>-702</v>
          </cell>
        </row>
        <row r="141">
          <cell r="B141">
            <v>2870</v>
          </cell>
        </row>
        <row r="142">
          <cell r="B142">
            <v>-3340</v>
          </cell>
        </row>
        <row r="143">
          <cell r="B143">
            <v>-1264</v>
          </cell>
        </row>
        <row r="144">
          <cell r="B144">
            <v>2174</v>
          </cell>
        </row>
        <row r="145">
          <cell r="B145">
            <v>-4655</v>
          </cell>
        </row>
        <row r="146">
          <cell r="B146">
            <v>-1061</v>
          </cell>
        </row>
        <row r="147">
          <cell r="B147">
            <v>807</v>
          </cell>
        </row>
        <row r="148">
          <cell r="B148">
            <v>-2038</v>
          </cell>
        </row>
        <row r="149">
          <cell r="B149">
            <v>-129</v>
          </cell>
        </row>
        <row r="150">
          <cell r="B150">
            <v>1355</v>
          </cell>
        </row>
        <row r="151">
          <cell r="B151">
            <v>-1535</v>
          </cell>
        </row>
        <row r="152">
          <cell r="B152">
            <v>-205</v>
          </cell>
        </row>
        <row r="153">
          <cell r="B153">
            <v>3513</v>
          </cell>
        </row>
        <row r="154">
          <cell r="B154">
            <v>-3686</v>
          </cell>
        </row>
        <row r="155">
          <cell r="B155">
            <v>-1452</v>
          </cell>
        </row>
        <row r="156">
          <cell r="B156">
            <v>2726</v>
          </cell>
        </row>
        <row r="157">
          <cell r="B157">
            <v>-5494</v>
          </cell>
        </row>
        <row r="158">
          <cell r="B158">
            <v>-1043</v>
          </cell>
        </row>
        <row r="159">
          <cell r="B159">
            <v>788</v>
          </cell>
        </row>
        <row r="160">
          <cell r="B160">
            <v>-2480</v>
          </cell>
        </row>
        <row r="161">
          <cell r="B161">
            <v>542</v>
          </cell>
        </row>
        <row r="162">
          <cell r="B162">
            <v>1857</v>
          </cell>
        </row>
        <row r="163">
          <cell r="B163">
            <v>-1855</v>
          </cell>
        </row>
        <row r="164">
          <cell r="B164">
            <v>-517</v>
          </cell>
        </row>
        <row r="165">
          <cell r="B165">
            <v>4346</v>
          </cell>
        </row>
        <row r="166">
          <cell r="B166">
            <v>-4316</v>
          </cell>
        </row>
        <row r="167">
          <cell r="B167">
            <v>-1015</v>
          </cell>
        </row>
        <row r="168">
          <cell r="B168">
            <v>2280</v>
          </cell>
        </row>
        <row r="169">
          <cell r="B169">
            <v>-5376</v>
          </cell>
        </row>
        <row r="170">
          <cell r="B170">
            <v>-653</v>
          </cell>
        </row>
        <row r="171">
          <cell r="B171">
            <v>514</v>
          </cell>
        </row>
        <row r="172">
          <cell r="B172">
            <v>-2639</v>
          </cell>
        </row>
        <row r="173">
          <cell r="B173">
            <v>526</v>
          </cell>
        </row>
        <row r="174">
          <cell r="B174">
            <v>2277</v>
          </cell>
        </row>
        <row r="175">
          <cell r="B175">
            <v>-1321</v>
          </cell>
        </row>
        <row r="176">
          <cell r="B176">
            <v>-1375</v>
          </cell>
        </row>
        <row r="177">
          <cell r="B177">
            <v>2874</v>
          </cell>
        </row>
        <row r="178">
          <cell r="B178">
            <v>-3923</v>
          </cell>
        </row>
        <row r="179">
          <cell r="B179">
            <v>-1430</v>
          </cell>
        </row>
        <row r="180">
          <cell r="B180">
            <v>1622</v>
          </cell>
        </row>
        <row r="181">
          <cell r="B181">
            <v>-4931</v>
          </cell>
        </row>
        <row r="182">
          <cell r="B182">
            <v>-14</v>
          </cell>
        </row>
        <row r="183">
          <cell r="B183">
            <v>86</v>
          </cell>
        </row>
        <row r="184">
          <cell r="B184">
            <v>-2034</v>
          </cell>
        </row>
        <row r="185">
          <cell r="B185">
            <v>372</v>
          </cell>
        </row>
        <row r="186">
          <cell r="B186">
            <v>3049</v>
          </cell>
        </row>
        <row r="187">
          <cell r="B187">
            <v>281</v>
          </cell>
        </row>
        <row r="188">
          <cell r="B188">
            <v>152</v>
          </cell>
        </row>
        <row r="189">
          <cell r="B189">
            <v>4334</v>
          </cell>
        </row>
        <row r="190">
          <cell r="B190">
            <v>-3433</v>
          </cell>
        </row>
        <row r="191">
          <cell r="B191">
            <v>-1640</v>
          </cell>
        </row>
        <row r="192">
          <cell r="B192">
            <v>1547</v>
          </cell>
        </row>
        <row r="193">
          <cell r="B193">
            <v>-5455</v>
          </cell>
        </row>
        <row r="194">
          <cell r="B194">
            <v>-999</v>
          </cell>
        </row>
        <row r="195">
          <cell r="B195">
            <v>127</v>
          </cell>
        </row>
        <row r="196">
          <cell r="B196">
            <v>-2356</v>
          </cell>
        </row>
        <row r="197">
          <cell r="B197">
            <v>179</v>
          </cell>
        </row>
        <row r="198">
          <cell r="B198">
            <v>1104</v>
          </cell>
        </row>
        <row r="199">
          <cell r="B199">
            <v>1567</v>
          </cell>
        </row>
        <row r="200">
          <cell r="B200">
            <v>-603</v>
          </cell>
        </row>
        <row r="201">
          <cell r="B201">
            <v>7712</v>
          </cell>
        </row>
        <row r="202">
          <cell r="B202">
            <v>-4461</v>
          </cell>
        </row>
        <row r="203">
          <cell r="B203">
            <v>-3845</v>
          </cell>
        </row>
        <row r="204">
          <cell r="B204">
            <v>592</v>
          </cell>
        </row>
        <row r="205">
          <cell r="B205">
            <v>-5166</v>
          </cell>
        </row>
        <row r="206">
          <cell r="B206">
            <v>-2992</v>
          </cell>
        </row>
        <row r="207">
          <cell r="B207">
            <v>1094</v>
          </cell>
        </row>
        <row r="208">
          <cell r="B208">
            <v>-601</v>
          </cell>
        </row>
        <row r="209">
          <cell r="B209">
            <v>-1702</v>
          </cell>
        </row>
        <row r="210">
          <cell r="B210">
            <v>-304</v>
          </cell>
        </row>
        <row r="211">
          <cell r="B211">
            <v>4070</v>
          </cell>
        </row>
        <row r="212">
          <cell r="B212">
            <v>-4626</v>
          </cell>
        </row>
        <row r="213">
          <cell r="B213">
            <v>8173</v>
          </cell>
        </row>
        <row r="214">
          <cell r="B214">
            <v>-5131</v>
          </cell>
        </row>
        <row r="215">
          <cell r="B215">
            <v>-5429</v>
          </cell>
        </row>
        <row r="216">
          <cell r="B216">
            <v>-64</v>
          </cell>
        </row>
        <row r="217">
          <cell r="B217">
            <v>-4707</v>
          </cell>
        </row>
        <row r="218">
          <cell r="B218">
            <v>-4201</v>
          </cell>
        </row>
        <row r="219">
          <cell r="B219">
            <v>532</v>
          </cell>
        </row>
        <row r="220">
          <cell r="B220">
            <v>-3365</v>
          </cell>
        </row>
        <row r="221">
          <cell r="B221">
            <v>-2363</v>
          </cell>
        </row>
        <row r="222">
          <cell r="B222">
            <v>-2996</v>
          </cell>
        </row>
        <row r="223">
          <cell r="B223">
            <v>3370</v>
          </cell>
        </row>
        <row r="224">
          <cell r="B224">
            <v>-4538</v>
          </cell>
        </row>
        <row r="225">
          <cell r="B225">
            <v>4077</v>
          </cell>
        </row>
        <row r="226">
          <cell r="B226">
            <v>-2192</v>
          </cell>
        </row>
        <row r="227">
          <cell r="B227">
            <v>-3531</v>
          </cell>
        </row>
        <row r="228">
          <cell r="B228">
            <v>2519</v>
          </cell>
        </row>
        <row r="229">
          <cell r="B229">
            <v>-6106</v>
          </cell>
        </row>
        <row r="230">
          <cell r="B230">
            <v>-2413</v>
          </cell>
        </row>
        <row r="231">
          <cell r="B231">
            <v>1434</v>
          </cell>
        </row>
        <row r="232">
          <cell r="B232">
            <v>88</v>
          </cell>
        </row>
        <row r="233">
          <cell r="B233">
            <v>-143</v>
          </cell>
        </row>
        <row r="234">
          <cell r="B234">
            <v>-1906</v>
          </cell>
        </row>
        <row r="235">
          <cell r="B235">
            <v>7635</v>
          </cell>
        </row>
        <row r="236">
          <cell r="B236">
            <v>-2430</v>
          </cell>
        </row>
        <row r="237">
          <cell r="B237">
            <v>10279</v>
          </cell>
        </row>
        <row r="238">
          <cell r="B238">
            <v>-3149</v>
          </cell>
        </row>
        <row r="239">
          <cell r="B239">
            <v>-2108</v>
          </cell>
        </row>
        <row r="240">
          <cell r="B240">
            <v>2784</v>
          </cell>
        </row>
        <row r="241">
          <cell r="B241">
            <v>-6101</v>
          </cell>
        </row>
        <row r="242">
          <cell r="B242">
            <v>-1144</v>
          </cell>
        </row>
        <row r="243">
          <cell r="B243">
            <v>1624</v>
          </cell>
        </row>
        <row r="244">
          <cell r="B244">
            <v>-98</v>
          </cell>
        </row>
        <row r="245">
          <cell r="B245">
            <v>40</v>
          </cell>
        </row>
        <row r="246">
          <cell r="B246">
            <v>-3423</v>
          </cell>
        </row>
        <row r="247">
          <cell r="B247">
            <v>3975</v>
          </cell>
        </row>
        <row r="248">
          <cell r="B248">
            <v>-2468</v>
          </cell>
        </row>
        <row r="249">
          <cell r="B249">
            <v>7222</v>
          </cell>
        </row>
        <row r="250">
          <cell r="B250">
            <v>-6650</v>
          </cell>
        </row>
        <row r="251">
          <cell r="B251">
            <v>-2380</v>
          </cell>
        </row>
        <row r="252">
          <cell r="B252">
            <v>1280</v>
          </cell>
        </row>
        <row r="253">
          <cell r="B253">
            <v>-6163</v>
          </cell>
        </row>
        <row r="254">
          <cell r="B254">
            <v>-2562</v>
          </cell>
        </row>
        <row r="255">
          <cell r="B255">
            <v>-158</v>
          </cell>
        </row>
        <row r="256">
          <cell r="B256">
            <v>-1353</v>
          </cell>
        </row>
        <row r="257">
          <cell r="B257">
            <v>-1398</v>
          </cell>
        </row>
        <row r="258">
          <cell r="B258">
            <v>-5443</v>
          </cell>
        </row>
        <row r="259">
          <cell r="B259">
            <v>3248</v>
          </cell>
        </row>
        <row r="260">
          <cell r="B260">
            <v>-3978</v>
          </cell>
        </row>
        <row r="261">
          <cell r="B261">
            <v>2523</v>
          </cell>
        </row>
        <row r="262">
          <cell r="B262">
            <v>-5347</v>
          </cell>
        </row>
        <row r="263">
          <cell r="B263">
            <v>-3940</v>
          </cell>
        </row>
        <row r="264">
          <cell r="B264">
            <v>1517</v>
          </cell>
        </row>
        <row r="265">
          <cell r="B265">
            <v>-6331</v>
          </cell>
        </row>
        <row r="266">
          <cell r="B266">
            <v>-3999</v>
          </cell>
        </row>
        <row r="267">
          <cell r="B267">
            <v>-274</v>
          </cell>
        </row>
        <row r="268">
          <cell r="B268">
            <v>-1876</v>
          </cell>
        </row>
        <row r="269">
          <cell r="B269">
            <v>-3523</v>
          </cell>
        </row>
        <row r="270">
          <cell r="B270">
            <v>-5105</v>
          </cell>
        </row>
        <row r="271">
          <cell r="B271">
            <v>5936</v>
          </cell>
        </row>
        <row r="272">
          <cell r="B272">
            <v>-2505</v>
          </cell>
        </row>
        <row r="273">
          <cell r="B273">
            <v>2218</v>
          </cell>
        </row>
        <row r="274">
          <cell r="B274">
            <v>-3292</v>
          </cell>
        </row>
        <row r="275">
          <cell r="B275">
            <v>-2587</v>
          </cell>
        </row>
        <row r="276">
          <cell r="B276">
            <v>3946</v>
          </cell>
        </row>
        <row r="277">
          <cell r="B277">
            <v>-5424</v>
          </cell>
        </row>
        <row r="278">
          <cell r="B278">
            <v>-4488</v>
          </cell>
        </row>
        <row r="279">
          <cell r="B279">
            <v>-672</v>
          </cell>
        </row>
        <row r="280">
          <cell r="B280">
            <v>-2533</v>
          </cell>
        </row>
        <row r="281">
          <cell r="B281">
            <v>-2030</v>
          </cell>
        </row>
        <row r="282">
          <cell r="B282">
            <v>-4905</v>
          </cell>
        </row>
        <row r="283">
          <cell r="B283">
            <v>3636</v>
          </cell>
        </row>
        <row r="284">
          <cell r="B284">
            <v>-3419</v>
          </cell>
        </row>
        <row r="285">
          <cell r="B285">
            <v>7467</v>
          </cell>
        </row>
        <row r="286">
          <cell r="B286">
            <v>-4507</v>
          </cell>
        </row>
        <row r="287">
          <cell r="B287">
            <v>-745</v>
          </cell>
        </row>
        <row r="288">
          <cell r="B288">
            <v>4173</v>
          </cell>
        </row>
        <row r="289">
          <cell r="B289">
            <v>-5463</v>
          </cell>
        </row>
        <row r="290">
          <cell r="B290">
            <v>-1873</v>
          </cell>
        </row>
        <row r="291">
          <cell r="B291">
            <v>2309</v>
          </cell>
        </row>
        <row r="292">
          <cell r="B292">
            <v>-189</v>
          </cell>
        </row>
        <row r="293">
          <cell r="B293">
            <v>-815</v>
          </cell>
        </row>
        <row r="294">
          <cell r="B294">
            <v>-6083</v>
          </cell>
        </row>
        <row r="295">
          <cell r="B295">
            <v>7441</v>
          </cell>
        </row>
        <row r="296">
          <cell r="B296">
            <v>-4794</v>
          </cell>
        </row>
        <row r="297">
          <cell r="B297">
            <v>7087</v>
          </cell>
        </row>
        <row r="298">
          <cell r="B298">
            <v>-3326</v>
          </cell>
        </row>
        <row r="299">
          <cell r="B299">
            <v>-894</v>
          </cell>
        </row>
        <row r="300">
          <cell r="B300">
            <v>2632</v>
          </cell>
        </row>
        <row r="301">
          <cell r="B301">
            <v>-6839</v>
          </cell>
        </row>
        <row r="302">
          <cell r="B302">
            <v>-2658</v>
          </cell>
        </row>
        <row r="303">
          <cell r="B303">
            <v>-2454</v>
          </cell>
        </row>
        <row r="304">
          <cell r="B304">
            <v>-3987</v>
          </cell>
        </row>
        <row r="305">
          <cell r="B305">
            <v>-5773</v>
          </cell>
        </row>
        <row r="306">
          <cell r="B306">
            <v>-8271</v>
          </cell>
        </row>
        <row r="307">
          <cell r="B307">
            <v>2262</v>
          </cell>
        </row>
        <row r="308">
          <cell r="B308">
            <v>-15816</v>
          </cell>
        </row>
        <row r="309">
          <cell r="B309">
            <v>1521</v>
          </cell>
        </row>
        <row r="310">
          <cell r="B310">
            <v>-11052</v>
          </cell>
        </row>
        <row r="311">
          <cell r="B311">
            <v>-7050</v>
          </cell>
        </row>
        <row r="312">
          <cell r="B312">
            <v>-429</v>
          </cell>
        </row>
        <row r="313">
          <cell r="B313">
            <v>-13177</v>
          </cell>
        </row>
        <row r="314">
          <cell r="B314">
            <v>-7730</v>
          </cell>
        </row>
        <row r="315">
          <cell r="B315">
            <v>-5928</v>
          </cell>
        </row>
        <row r="316">
          <cell r="B316">
            <v>-5114</v>
          </cell>
        </row>
        <row r="317">
          <cell r="B317">
            <v>-8958</v>
          </cell>
        </row>
        <row r="318">
          <cell r="B318">
            <v>-8765</v>
          </cell>
        </row>
        <row r="319">
          <cell r="B319">
            <v>791</v>
          </cell>
        </row>
        <row r="320">
          <cell r="B320">
            <v>-5732</v>
          </cell>
        </row>
        <row r="321">
          <cell r="B321">
            <v>6959</v>
          </cell>
        </row>
        <row r="322">
          <cell r="B322">
            <v>-11293</v>
          </cell>
        </row>
        <row r="323">
          <cell r="B323">
            <v>-2245</v>
          </cell>
        </row>
        <row r="324">
          <cell r="B324">
            <v>564</v>
          </cell>
        </row>
        <row r="325">
          <cell r="B325">
            <v>-12980</v>
          </cell>
        </row>
        <row r="326">
          <cell r="B326">
            <v>-7383</v>
          </cell>
        </row>
        <row r="327">
          <cell r="B327">
            <v>-2418</v>
          </cell>
        </row>
        <row r="328">
          <cell r="B328">
            <v>-2663</v>
          </cell>
        </row>
        <row r="329">
          <cell r="B329">
            <v>-6554</v>
          </cell>
        </row>
        <row r="330">
          <cell r="B330">
            <v>-9473</v>
          </cell>
        </row>
        <row r="331">
          <cell r="B331">
            <v>4469</v>
          </cell>
        </row>
        <row r="332">
          <cell r="B332">
            <v>-6042</v>
          </cell>
        </row>
        <row r="333">
          <cell r="B333">
            <v>10190</v>
          </cell>
        </row>
        <row r="334">
          <cell r="B334">
            <v>-8680</v>
          </cell>
        </row>
        <row r="335">
          <cell r="B335">
            <v>-5047</v>
          </cell>
        </row>
        <row r="336">
          <cell r="B336">
            <v>1541</v>
          </cell>
        </row>
        <row r="337">
          <cell r="B337">
            <v>-14663</v>
          </cell>
        </row>
        <row r="338">
          <cell r="B338">
            <v>-9268</v>
          </cell>
        </row>
        <row r="339">
          <cell r="B339">
            <v>-4852</v>
          </cell>
        </row>
        <row r="340">
          <cell r="B340">
            <v>-3717</v>
          </cell>
        </row>
        <row r="341">
          <cell r="B341">
            <v>-6993</v>
          </cell>
        </row>
        <row r="342">
          <cell r="B342">
            <v>-15125</v>
          </cell>
        </row>
        <row r="343">
          <cell r="B343">
            <v>6618</v>
          </cell>
        </row>
        <row r="344">
          <cell r="B344">
            <v>-1710</v>
          </cell>
        </row>
        <row r="345">
          <cell r="B345">
            <v>9014</v>
          </cell>
        </row>
        <row r="346">
          <cell r="B346">
            <v>-7275</v>
          </cell>
        </row>
        <row r="347">
          <cell r="B347">
            <v>-4575</v>
          </cell>
        </row>
        <row r="348">
          <cell r="B348">
            <v>3604</v>
          </cell>
        </row>
        <row r="349">
          <cell r="B349">
            <v>-14000</v>
          </cell>
        </row>
        <row r="350">
          <cell r="B350">
            <v>-5960</v>
          </cell>
        </row>
        <row r="351">
          <cell r="B351">
            <v>-12033</v>
          </cell>
        </row>
        <row r="352">
          <cell r="B352">
            <v>-2507</v>
          </cell>
        </row>
        <row r="353">
          <cell r="B353">
            <v>-5100</v>
          </cell>
        </row>
        <row r="354">
          <cell r="B354">
            <v>-12581</v>
          </cell>
        </row>
        <row r="355">
          <cell r="B355">
            <v>11478</v>
          </cell>
        </row>
        <row r="356">
          <cell r="B356">
            <v>-3331</v>
          </cell>
        </row>
        <row r="357">
          <cell r="B357">
            <v>13223</v>
          </cell>
        </row>
        <row r="358">
          <cell r="B358">
            <v>-7214</v>
          </cell>
        </row>
        <row r="359">
          <cell r="B359">
            <v>-15386</v>
          </cell>
        </row>
        <row r="360">
          <cell r="B360">
            <v>17759</v>
          </cell>
        </row>
        <row r="361">
          <cell r="B361">
            <v>-14630</v>
          </cell>
        </row>
        <row r="362">
          <cell r="B362">
            <v>-8495</v>
          </cell>
        </row>
        <row r="363">
          <cell r="B363">
            <v>-1354</v>
          </cell>
        </row>
        <row r="364">
          <cell r="B364">
            <v>-4448</v>
          </cell>
        </row>
        <row r="365">
          <cell r="B365">
            <v>-9285</v>
          </cell>
        </row>
        <row r="366">
          <cell r="B366">
            <v>-13108</v>
          </cell>
        </row>
        <row r="367">
          <cell r="B367">
            <v>9752</v>
          </cell>
        </row>
        <row r="368">
          <cell r="B368">
            <v>-14036</v>
          </cell>
        </row>
        <row r="369">
          <cell r="B369">
            <v>12368</v>
          </cell>
        </row>
        <row r="370">
          <cell r="B370">
            <v>-14994</v>
          </cell>
        </row>
        <row r="371">
          <cell r="B371">
            <v>-6956</v>
          </cell>
        </row>
        <row r="372">
          <cell r="B372">
            <v>5641</v>
          </cell>
        </row>
        <row r="373">
          <cell r="B373">
            <v>-16921</v>
          </cell>
        </row>
        <row r="374">
          <cell r="B374">
            <v>-8907</v>
          </cell>
        </row>
        <row r="375">
          <cell r="B375">
            <v>-1965</v>
          </cell>
        </row>
        <row r="376">
          <cell r="B376">
            <v>-12192</v>
          </cell>
        </row>
        <row r="377">
          <cell r="B377">
            <v>-15620</v>
          </cell>
        </row>
        <row r="378">
          <cell r="B378">
            <v>-9582</v>
          </cell>
        </row>
        <row r="379">
          <cell r="B379">
            <v>17190</v>
          </cell>
        </row>
        <row r="380">
          <cell r="B380">
            <v>-16171</v>
          </cell>
        </row>
        <row r="381">
          <cell r="B381">
            <v>15363</v>
          </cell>
        </row>
        <row r="382">
          <cell r="B382">
            <v>-10343</v>
          </cell>
        </row>
        <row r="383">
          <cell r="B383">
            <v>-5119</v>
          </cell>
        </row>
        <row r="384">
          <cell r="B384">
            <v>6335</v>
          </cell>
        </row>
        <row r="385">
          <cell r="B385">
            <v>-18105</v>
          </cell>
        </row>
        <row r="386">
          <cell r="B386">
            <v>-10642</v>
          </cell>
        </row>
        <row r="387">
          <cell r="B387">
            <v>-19468</v>
          </cell>
        </row>
        <row r="388">
          <cell r="B388">
            <v>9339</v>
          </cell>
        </row>
        <row r="389">
          <cell r="B389">
            <v>-14780</v>
          </cell>
        </row>
        <row r="390">
          <cell r="B390">
            <v>-18255</v>
          </cell>
        </row>
        <row r="391">
          <cell r="B391">
            <v>9704</v>
          </cell>
        </row>
        <row r="392">
          <cell r="B392">
            <v>-18930</v>
          </cell>
        </row>
        <row r="393">
          <cell r="B393">
            <v>6724</v>
          </cell>
        </row>
        <row r="394">
          <cell r="B394">
            <v>-19831</v>
          </cell>
        </row>
        <row r="395">
          <cell r="B395">
            <v>-14704</v>
          </cell>
        </row>
        <row r="396">
          <cell r="B396">
            <v>-1708</v>
          </cell>
        </row>
        <row r="397">
          <cell r="B397">
            <v>-26169</v>
          </cell>
        </row>
        <row r="398">
          <cell r="B398">
            <v>-24158</v>
          </cell>
        </row>
        <row r="399">
          <cell r="B399">
            <v>-17938</v>
          </cell>
        </row>
        <row r="400">
          <cell r="B400">
            <v>-9582</v>
          </cell>
        </row>
        <row r="401">
          <cell r="B401">
            <v>-25336</v>
          </cell>
        </row>
        <row r="402">
          <cell r="B402">
            <v>-26036</v>
          </cell>
        </row>
        <row r="403">
          <cell r="B403">
            <v>-3308</v>
          </cell>
        </row>
        <row r="404">
          <cell r="B404">
            <v>-29285</v>
          </cell>
        </row>
        <row r="405">
          <cell r="B405">
            <v>3401</v>
          </cell>
        </row>
        <row r="406">
          <cell r="B406">
            <v>-21412</v>
          </cell>
        </row>
        <row r="407">
          <cell r="B407">
            <v>-17477</v>
          </cell>
        </row>
        <row r="408">
          <cell r="B408">
            <v>1946</v>
          </cell>
        </row>
        <row r="409">
          <cell r="B409">
            <v>-25069</v>
          </cell>
        </row>
        <row r="410">
          <cell r="B410">
            <v>-21591</v>
          </cell>
        </row>
        <row r="411">
          <cell r="B411">
            <v>-16661</v>
          </cell>
        </row>
        <row r="412">
          <cell r="B412">
            <v>-5515</v>
          </cell>
        </row>
        <row r="413">
          <cell r="B413">
            <v>-20381</v>
          </cell>
        </row>
        <row r="414">
          <cell r="B414">
            <v>-28555</v>
          </cell>
        </row>
        <row r="415">
          <cell r="B415">
            <v>11493</v>
          </cell>
        </row>
        <row r="416">
          <cell r="B416">
            <v>-33932</v>
          </cell>
        </row>
        <row r="417">
          <cell r="B417">
            <v>-2000</v>
          </cell>
        </row>
        <row r="418">
          <cell r="B418">
            <v>-16416</v>
          </cell>
        </row>
        <row r="419">
          <cell r="B419">
            <v>-33498</v>
          </cell>
        </row>
        <row r="420">
          <cell r="B420">
            <v>16785</v>
          </cell>
        </row>
        <row r="421">
          <cell r="B421">
            <v>-28009</v>
          </cell>
        </row>
        <row r="422">
          <cell r="B422">
            <v>-28896</v>
          </cell>
        </row>
        <row r="423">
          <cell r="B423">
            <v>-14568</v>
          </cell>
        </row>
        <row r="424">
          <cell r="B424">
            <v>-7992</v>
          </cell>
        </row>
        <row r="425">
          <cell r="B425">
            <v>-21053</v>
          </cell>
        </row>
        <row r="426">
          <cell r="B426">
            <v>-29502</v>
          </cell>
        </row>
        <row r="427">
          <cell r="B427">
            <v>11386</v>
          </cell>
        </row>
        <row r="428">
          <cell r="B428">
            <v>-41997</v>
          </cell>
        </row>
        <row r="429">
          <cell r="B429">
            <v>-1408</v>
          </cell>
        </row>
        <row r="430">
          <cell r="B430">
            <v>-21533</v>
          </cell>
        </row>
        <row r="431">
          <cell r="B431">
            <v>-27597</v>
          </cell>
        </row>
        <row r="432">
          <cell r="B432">
            <v>-764</v>
          </cell>
        </row>
        <row r="433">
          <cell r="B433">
            <v>-27087</v>
          </cell>
        </row>
        <row r="434">
          <cell r="B434">
            <v>-33386</v>
          </cell>
        </row>
        <row r="435">
          <cell r="B435">
            <v>-14656</v>
          </cell>
        </row>
        <row r="436">
          <cell r="B436">
            <v>-6492</v>
          </cell>
        </row>
        <row r="437">
          <cell r="B437">
            <v>-24580</v>
          </cell>
        </row>
        <row r="438">
          <cell r="B438">
            <v>-30142</v>
          </cell>
        </row>
        <row r="439">
          <cell r="B439">
            <v>9928</v>
          </cell>
        </row>
        <row r="440">
          <cell r="B440">
            <v>-39396</v>
          </cell>
        </row>
        <row r="441">
          <cell r="B441">
            <v>-1044</v>
          </cell>
        </row>
        <row r="442">
          <cell r="B442">
            <v>-22304</v>
          </cell>
        </row>
        <row r="443">
          <cell r="B443">
            <v>-28056</v>
          </cell>
        </row>
        <row r="444">
          <cell r="B444">
            <v>-3926</v>
          </cell>
        </row>
        <row r="445">
          <cell r="B445">
            <v>-25290</v>
          </cell>
        </row>
        <row r="446">
          <cell r="B446">
            <v>-27087</v>
          </cell>
        </row>
        <row r="447">
          <cell r="B447">
            <v>-12369</v>
          </cell>
        </row>
        <row r="448">
          <cell r="B448">
            <v>-2157</v>
          </cell>
        </row>
        <row r="449">
          <cell r="B449">
            <v>-28379</v>
          </cell>
        </row>
        <row r="450">
          <cell r="B450">
            <v>-27931</v>
          </cell>
        </row>
        <row r="451">
          <cell r="B451">
            <v>38742</v>
          </cell>
        </row>
        <row r="452">
          <cell r="B452">
            <v>-35637</v>
          </cell>
        </row>
        <row r="453">
          <cell r="B453">
            <v>-623</v>
          </cell>
        </row>
        <row r="454">
          <cell r="B454">
            <v>-22339</v>
          </cell>
        </row>
        <row r="455">
          <cell r="B455">
            <v>-21796</v>
          </cell>
        </row>
        <row r="456">
          <cell r="B456">
            <v>15204</v>
          </cell>
        </row>
        <row r="457">
          <cell r="B457">
            <v>-30810</v>
          </cell>
        </row>
        <row r="458">
          <cell r="B458">
            <v>-27022</v>
          </cell>
        </row>
        <row r="459">
          <cell r="B459">
            <v>-24363</v>
          </cell>
        </row>
        <row r="460">
          <cell r="B460">
            <v>15896</v>
          </cell>
        </row>
        <row r="461">
          <cell r="B461">
            <v>-24065</v>
          </cell>
        </row>
        <row r="462">
          <cell r="B462">
            <v>-29283</v>
          </cell>
        </row>
        <row r="463">
          <cell r="B463">
            <v>13769</v>
          </cell>
        </row>
        <row r="464">
          <cell r="B464">
            <v>-22583</v>
          </cell>
        </row>
        <row r="465">
          <cell r="B465">
            <v>9134</v>
          </cell>
        </row>
        <row r="466">
          <cell r="B466">
            <v>-22918</v>
          </cell>
        </row>
        <row r="467">
          <cell r="B467">
            <v>-23079</v>
          </cell>
        </row>
        <row r="468">
          <cell r="B468">
            <v>10173</v>
          </cell>
        </row>
        <row r="469">
          <cell r="B469">
            <v>-27005</v>
          </cell>
        </row>
        <row r="470">
          <cell r="B470">
            <v>-29140</v>
          </cell>
        </row>
        <row r="471">
          <cell r="B471">
            <v>-12790</v>
          </cell>
        </row>
        <row r="472">
          <cell r="B472">
            <v>2797</v>
          </cell>
        </row>
        <row r="473">
          <cell r="B473">
            <v>-27871</v>
          </cell>
        </row>
        <row r="474">
          <cell r="B474">
            <v>-35784</v>
          </cell>
        </row>
        <row r="475">
          <cell r="B475">
            <v>40654</v>
          </cell>
        </row>
        <row r="476">
          <cell r="B476">
            <v>-25433</v>
          </cell>
        </row>
        <row r="477">
          <cell r="B477">
            <v>7785</v>
          </cell>
        </row>
        <row r="478">
          <cell r="B478">
            <v>-18237</v>
          </cell>
        </row>
        <row r="479">
          <cell r="B479">
            <v>-22150</v>
          </cell>
        </row>
        <row r="480">
          <cell r="B480">
            <v>-6146</v>
          </cell>
        </row>
        <row r="481">
          <cell r="B481">
            <v>-26084</v>
          </cell>
        </row>
        <row r="482">
          <cell r="B482">
            <v>-29732</v>
          </cell>
        </row>
        <row r="483">
          <cell r="B483">
            <v>-14772</v>
          </cell>
        </row>
        <row r="484">
          <cell r="B484">
            <v>8282</v>
          </cell>
        </row>
        <row r="485">
          <cell r="B485">
            <v>-35207</v>
          </cell>
        </row>
        <row r="486">
          <cell r="B486">
            <v>-53324</v>
          </cell>
        </row>
        <row r="487">
          <cell r="B487">
            <v>41829</v>
          </cell>
        </row>
        <row r="488">
          <cell r="B488">
            <v>-42482</v>
          </cell>
        </row>
        <row r="489">
          <cell r="B489">
            <v>-11105</v>
          </cell>
        </row>
        <row r="490">
          <cell r="B490">
            <v>-25924</v>
          </cell>
        </row>
        <row r="491">
          <cell r="B491">
            <v>-52719</v>
          </cell>
        </row>
        <row r="492">
          <cell r="B492">
            <v>20768</v>
          </cell>
        </row>
        <row r="493">
          <cell r="B493">
            <v>-31364</v>
          </cell>
        </row>
        <row r="494">
          <cell r="B494">
            <v>-47723</v>
          </cell>
        </row>
        <row r="495">
          <cell r="B495">
            <v>-7387</v>
          </cell>
        </row>
        <row r="496">
          <cell r="B496">
            <v>1650</v>
          </cell>
        </row>
        <row r="497">
          <cell r="B497">
            <v>-26191</v>
          </cell>
        </row>
        <row r="498">
          <cell r="B498">
            <v>-41173</v>
          </cell>
        </row>
        <row r="499">
          <cell r="B499">
            <v>30009</v>
          </cell>
        </row>
        <row r="500">
          <cell r="B500">
            <v>-53367</v>
          </cell>
        </row>
        <row r="501">
          <cell r="B501">
            <v>-2579</v>
          </cell>
        </row>
        <row r="502">
          <cell r="B502">
            <v>-40831</v>
          </cell>
        </row>
        <row r="503">
          <cell r="B503">
            <v>-43649</v>
          </cell>
        </row>
        <row r="504">
          <cell r="B504">
            <v>-6887</v>
          </cell>
        </row>
        <row r="505">
          <cell r="B505">
            <v>-36594</v>
          </cell>
        </row>
        <row r="506">
          <cell r="B506">
            <v>-44684</v>
          </cell>
        </row>
        <row r="507">
          <cell r="B507">
            <v>-2534</v>
          </cell>
        </row>
        <row r="508">
          <cell r="B508">
            <v>-15668</v>
          </cell>
        </row>
        <row r="509">
          <cell r="B509">
            <v>-49180</v>
          </cell>
        </row>
        <row r="510">
          <cell r="B510">
            <v>-50712</v>
          </cell>
        </row>
        <row r="511">
          <cell r="B511">
            <v>14603</v>
          </cell>
        </row>
        <row r="512">
          <cell r="B512">
            <v>-46773</v>
          </cell>
        </row>
        <row r="513">
          <cell r="B513">
            <v>3782</v>
          </cell>
        </row>
        <row r="514">
          <cell r="B514">
            <v>-43147</v>
          </cell>
        </row>
        <row r="515">
          <cell r="B515">
            <v>-24742</v>
          </cell>
        </row>
        <row r="516">
          <cell r="B516">
            <v>5310</v>
          </cell>
        </row>
        <row r="517">
          <cell r="B517">
            <v>-48792</v>
          </cell>
        </row>
        <row r="518">
          <cell r="B518">
            <v>-32726</v>
          </cell>
        </row>
        <row r="519">
          <cell r="B519">
            <v>-38947</v>
          </cell>
        </row>
        <row r="520">
          <cell r="B520">
            <v>29817</v>
          </cell>
        </row>
        <row r="521">
          <cell r="B521">
            <v>-48498</v>
          </cell>
        </row>
        <row r="522">
          <cell r="B522">
            <v>-43974</v>
          </cell>
        </row>
        <row r="523">
          <cell r="B523">
            <v>7817</v>
          </cell>
        </row>
        <row r="524">
          <cell r="B524">
            <v>-36963</v>
          </cell>
        </row>
        <row r="525">
          <cell r="B525">
            <v>11099</v>
          </cell>
        </row>
        <row r="526">
          <cell r="B526">
            <v>-39577</v>
          </cell>
        </row>
        <row r="527">
          <cell r="B527">
            <v>-23078</v>
          </cell>
        </row>
        <row r="528">
          <cell r="B528">
            <v>8517</v>
          </cell>
        </row>
        <row r="529">
          <cell r="B529">
            <v>-45422</v>
          </cell>
        </row>
        <row r="530">
          <cell r="B530">
            <v>-38381</v>
          </cell>
        </row>
        <row r="531">
          <cell r="B531">
            <v>-7705</v>
          </cell>
        </row>
        <row r="532">
          <cell r="B532">
            <v>15248</v>
          </cell>
        </row>
        <row r="533">
          <cell r="B533">
            <v>-41566</v>
          </cell>
        </row>
        <row r="534">
          <cell r="B534">
            <v>-32315</v>
          </cell>
        </row>
        <row r="535">
          <cell r="B535">
            <v>17454</v>
          </cell>
        </row>
        <row r="536">
          <cell r="B536">
            <v>-32057</v>
          </cell>
        </row>
        <row r="537">
          <cell r="B537">
            <v>14850</v>
          </cell>
        </row>
        <row r="538">
          <cell r="B538">
            <v>-33198</v>
          </cell>
        </row>
        <row r="539">
          <cell r="B539">
            <v>-24275</v>
          </cell>
        </row>
        <row r="540">
          <cell r="B540">
            <v>4266</v>
          </cell>
        </row>
        <row r="541">
          <cell r="B541">
            <v>-31343</v>
          </cell>
        </row>
        <row r="542">
          <cell r="B542">
            <v>-37243</v>
          </cell>
        </row>
        <row r="543">
          <cell r="B543">
            <v>-4803</v>
          </cell>
        </row>
        <row r="544">
          <cell r="B544">
            <v>15634</v>
          </cell>
        </row>
        <row r="545">
          <cell r="B545">
            <v>-38357</v>
          </cell>
        </row>
        <row r="546">
          <cell r="B546">
            <v>-50544</v>
          </cell>
        </row>
        <row r="547">
          <cell r="B547">
            <v>49722</v>
          </cell>
        </row>
        <row r="548">
          <cell r="B548">
            <v>-39555</v>
          </cell>
        </row>
        <row r="549">
          <cell r="B549">
            <v>12813</v>
          </cell>
        </row>
        <row r="550">
          <cell r="B550">
            <v>-13582</v>
          </cell>
        </row>
        <row r="551">
          <cell r="B551">
            <v>-33849</v>
          </cell>
        </row>
        <row r="552">
          <cell r="B552">
            <v>7191</v>
          </cell>
        </row>
        <row r="553">
          <cell r="B553">
            <v>-22758</v>
          </cell>
        </row>
        <row r="554">
          <cell r="B554">
            <v>-38452</v>
          </cell>
        </row>
        <row r="555">
          <cell r="B555">
            <v>5283</v>
          </cell>
        </row>
        <row r="556">
          <cell r="B556">
            <v>19456</v>
          </cell>
        </row>
        <row r="557">
          <cell r="B557">
            <v>-44346</v>
          </cell>
        </row>
        <row r="558">
          <cell r="B558">
            <v>-47071</v>
          </cell>
        </row>
        <row r="559">
          <cell r="B559">
            <v>72404</v>
          </cell>
        </row>
        <row r="560">
          <cell r="B560">
            <v>-53051</v>
          </cell>
        </row>
        <row r="561">
          <cell r="B561">
            <v>34340</v>
          </cell>
        </row>
        <row r="562">
          <cell r="B562">
            <v>-26856</v>
          </cell>
        </row>
        <row r="563">
          <cell r="B563">
            <v>-41831</v>
          </cell>
        </row>
        <row r="564">
          <cell r="B564">
            <v>35257</v>
          </cell>
        </row>
        <row r="565">
          <cell r="B565">
            <v>-39805</v>
          </cell>
        </row>
        <row r="566">
          <cell r="B566">
            <v>-37878</v>
          </cell>
        </row>
        <row r="567">
          <cell r="B567">
            <v>18490</v>
          </cell>
        </row>
        <row r="568">
          <cell r="B568">
            <v>13364</v>
          </cell>
        </row>
        <row r="569">
          <cell r="B569">
            <v>-44010</v>
          </cell>
        </row>
        <row r="570">
          <cell r="B570">
            <v>-21323</v>
          </cell>
        </row>
        <row r="571">
          <cell r="B571">
            <v>93939</v>
          </cell>
        </row>
        <row r="572">
          <cell r="B572">
            <v>-48494</v>
          </cell>
        </row>
        <row r="573">
          <cell r="B573">
            <v>54635</v>
          </cell>
        </row>
        <row r="574">
          <cell r="B574">
            <v>-25624</v>
          </cell>
        </row>
        <row r="575">
          <cell r="B575">
            <v>-35189</v>
          </cell>
        </row>
        <row r="576">
          <cell r="B576">
            <v>49940</v>
          </cell>
        </row>
        <row r="577">
          <cell r="B577">
            <v>-35968</v>
          </cell>
        </row>
        <row r="578">
          <cell r="B578">
            <v>-17349</v>
          </cell>
        </row>
        <row r="579">
          <cell r="B579">
            <v>13639</v>
          </cell>
        </row>
        <row r="580">
          <cell r="B580">
            <v>25379</v>
          </cell>
        </row>
        <row r="581">
          <cell r="B581">
            <v>-41750</v>
          </cell>
        </row>
        <row r="582">
          <cell r="B582">
            <v>-13813</v>
          </cell>
        </row>
        <row r="583">
          <cell r="B583">
            <v>124603</v>
          </cell>
        </row>
        <row r="584">
          <cell r="B584">
            <v>-38779</v>
          </cell>
        </row>
        <row r="585">
          <cell r="B585">
            <v>51106</v>
          </cell>
        </row>
        <row r="586">
          <cell r="B586">
            <v>-24084</v>
          </cell>
        </row>
        <row r="587">
          <cell r="B587">
            <v>-11166</v>
          </cell>
        </row>
        <row r="588">
          <cell r="B588">
            <v>37425</v>
          </cell>
        </row>
        <row r="589">
          <cell r="B589">
            <v>-32440</v>
          </cell>
        </row>
        <row r="590">
          <cell r="B590">
            <v>-16937</v>
          </cell>
        </row>
        <row r="591">
          <cell r="B591">
            <v>-5156</v>
          </cell>
        </row>
        <row r="592">
          <cell r="B592">
            <v>70505</v>
          </cell>
        </row>
        <row r="593">
          <cell r="B593">
            <v>-42337</v>
          </cell>
        </row>
        <row r="594">
          <cell r="B594">
            <v>-22409</v>
          </cell>
        </row>
        <row r="595">
          <cell r="B595">
            <v>113459</v>
          </cell>
        </row>
        <row r="596">
          <cell r="B596">
            <v>-23969</v>
          </cell>
        </row>
        <row r="597">
          <cell r="B597">
            <v>53568</v>
          </cell>
        </row>
        <row r="598">
          <cell r="B598">
            <v>-25164</v>
          </cell>
        </row>
        <row r="599">
          <cell r="B599">
            <v>-2803</v>
          </cell>
        </row>
        <row r="600">
          <cell r="B600">
            <v>58042</v>
          </cell>
        </row>
        <row r="601">
          <cell r="B601">
            <v>-26326</v>
          </cell>
        </row>
        <row r="602">
          <cell r="B602">
            <v>-27031</v>
          </cell>
        </row>
        <row r="603">
          <cell r="B603">
            <v>33081</v>
          </cell>
        </row>
        <row r="604">
          <cell r="B604">
            <v>62152</v>
          </cell>
        </row>
        <row r="605">
          <cell r="B605">
            <v>-41734</v>
          </cell>
        </row>
        <row r="606">
          <cell r="B606">
            <v>-35380</v>
          </cell>
        </row>
        <row r="607">
          <cell r="B607">
            <v>159497</v>
          </cell>
        </row>
        <row r="608">
          <cell r="B608">
            <v>-3611</v>
          </cell>
        </row>
        <row r="609">
          <cell r="B609">
            <v>55888</v>
          </cell>
        </row>
        <row r="610">
          <cell r="B610">
            <v>5061</v>
          </cell>
        </row>
        <row r="611">
          <cell r="B611">
            <v>-10427</v>
          </cell>
        </row>
        <row r="612">
          <cell r="B612">
            <v>65747</v>
          </cell>
        </row>
        <row r="613">
          <cell r="B613">
            <v>-11321</v>
          </cell>
        </row>
        <row r="614">
          <cell r="B614">
            <v>-23690</v>
          </cell>
        </row>
        <row r="615">
          <cell r="B615">
            <v>32666</v>
          </cell>
        </row>
        <row r="616">
          <cell r="B616">
            <v>76379</v>
          </cell>
        </row>
        <row r="617">
          <cell r="B617">
            <v>-48168</v>
          </cell>
        </row>
        <row r="618">
          <cell r="B618">
            <v>-50662</v>
          </cell>
        </row>
        <row r="619">
          <cell r="B619">
            <v>189796</v>
          </cell>
        </row>
        <row r="620">
          <cell r="B620">
            <v>-27919</v>
          </cell>
        </row>
        <row r="621">
          <cell r="B621">
            <v>31862</v>
          </cell>
        </row>
        <row r="622">
          <cell r="B622">
            <v>2820</v>
          </cell>
        </row>
        <row r="623">
          <cell r="B623">
            <v>-79990</v>
          </cell>
        </row>
        <row r="624">
          <cell r="B624">
            <v>35501</v>
          </cell>
        </row>
        <row r="625">
          <cell r="B625">
            <v>-7656</v>
          </cell>
        </row>
        <row r="626">
          <cell r="B626">
            <v>-54267</v>
          </cell>
        </row>
        <row r="627">
          <cell r="B627">
            <v>26567</v>
          </cell>
        </row>
        <row r="628">
          <cell r="B628">
            <v>43729</v>
          </cell>
        </row>
        <row r="629">
          <cell r="B629">
            <v>-76056</v>
          </cell>
        </row>
        <row r="630">
          <cell r="B630">
            <v>-64238</v>
          </cell>
        </row>
        <row r="631">
          <cell r="B631">
            <v>67170</v>
          </cell>
        </row>
        <row r="632">
          <cell r="B632">
            <v>-80631</v>
          </cell>
        </row>
        <row r="633">
          <cell r="B633">
            <v>29071</v>
          </cell>
        </row>
        <row r="634">
          <cell r="B634">
            <v>-29159</v>
          </cell>
        </row>
        <row r="635">
          <cell r="B635">
            <v>-54709</v>
          </cell>
        </row>
        <row r="636">
          <cell r="B636">
            <v>42388</v>
          </cell>
        </row>
        <row r="637">
          <cell r="B637">
            <v>-54072</v>
          </cell>
        </row>
        <row r="638">
          <cell r="B638">
            <v>-58883</v>
          </cell>
        </row>
        <row r="639">
          <cell r="B639">
            <v>4719</v>
          </cell>
        </row>
        <row r="640">
          <cell r="B640">
            <v>10633</v>
          </cell>
        </row>
        <row r="641">
          <cell r="B641">
            <v>-96663</v>
          </cell>
        </row>
        <row r="642">
          <cell r="B642">
            <v>-58877</v>
          </cell>
        </row>
        <row r="643">
          <cell r="B643">
            <v>51066</v>
          </cell>
        </row>
        <row r="644">
          <cell r="B644">
            <v>-88867</v>
          </cell>
        </row>
        <row r="645">
          <cell r="B645">
            <v>21230</v>
          </cell>
        </row>
        <row r="646">
          <cell r="B646">
            <v>-54240</v>
          </cell>
        </row>
        <row r="647">
          <cell r="B647">
            <v>-76587</v>
          </cell>
        </row>
        <row r="648">
          <cell r="B648">
            <v>23402</v>
          </cell>
        </row>
        <row r="649">
          <cell r="B649">
            <v>-69545</v>
          </cell>
        </row>
        <row r="650">
          <cell r="B650">
            <v>-42971</v>
          </cell>
        </row>
        <row r="651">
          <cell r="B651">
            <v>-17640</v>
          </cell>
        </row>
        <row r="652">
          <cell r="B652">
            <v>-1633</v>
          </cell>
        </row>
        <row r="653">
          <cell r="B653">
            <v>-96701</v>
          </cell>
        </row>
        <row r="654">
          <cell r="B654">
            <v>-72913</v>
          </cell>
        </row>
        <row r="655">
          <cell r="B655">
            <v>17578</v>
          </cell>
        </row>
        <row r="656">
          <cell r="B656">
            <v>-62463</v>
          </cell>
        </row>
        <row r="657">
          <cell r="B657">
            <v>19124</v>
          </cell>
        </row>
        <row r="658">
          <cell r="B658">
            <v>-69160</v>
          </cell>
        </row>
        <row r="659">
          <cell r="B659">
            <v>-41132</v>
          </cell>
        </row>
        <row r="660">
          <cell r="B660">
            <v>24611</v>
          </cell>
        </row>
        <row r="661">
          <cell r="B661">
            <v>-56618</v>
          </cell>
        </row>
        <row r="662">
          <cell r="B662">
            <v>-57170</v>
          </cell>
        </row>
        <row r="663">
          <cell r="B663">
            <v>-2561</v>
          </cell>
        </row>
        <row r="664">
          <cell r="B664">
            <v>8106</v>
          </cell>
        </row>
        <row r="665">
          <cell r="B665">
            <v>-113789</v>
          </cell>
        </row>
        <row r="666">
          <cell r="B666">
            <v>-71724</v>
          </cell>
        </row>
        <row r="667">
          <cell r="B667">
            <v>57924</v>
          </cell>
        </row>
        <row r="668">
          <cell r="B668">
            <v>-36190</v>
          </cell>
        </row>
        <row r="669">
          <cell r="B669">
            <v>22473</v>
          </cell>
        </row>
        <row r="670">
          <cell r="B670">
            <v>-53395</v>
          </cell>
        </row>
        <row r="671">
          <cell r="B671">
            <v>-51036</v>
          </cell>
        </row>
        <row r="672">
          <cell r="B672">
            <v>35234</v>
          </cell>
        </row>
        <row r="673">
          <cell r="B673">
            <v>-47277</v>
          </cell>
        </row>
        <row r="674">
          <cell r="B674">
            <v>-83072</v>
          </cell>
        </row>
        <row r="675">
          <cell r="B675">
            <v>10967</v>
          </cell>
        </row>
        <row r="676">
          <cell r="B676">
            <v>20964</v>
          </cell>
        </row>
        <row r="677">
          <cell r="B677">
            <v>-119237</v>
          </cell>
        </row>
        <row r="678">
          <cell r="B678">
            <v>-85281</v>
          </cell>
        </row>
        <row r="679">
          <cell r="B679">
            <v>118841</v>
          </cell>
        </row>
        <row r="680">
          <cell r="B680">
            <v>-42907</v>
          </cell>
        </row>
        <row r="681">
          <cell r="B681">
            <v>20517</v>
          </cell>
        </row>
        <row r="682">
          <cell r="B682">
            <v>-33164</v>
          </cell>
        </row>
        <row r="683">
          <cell r="B683">
            <v>-64717</v>
          </cell>
        </row>
        <row r="684">
          <cell r="B684">
            <v>56167</v>
          </cell>
        </row>
        <row r="685">
          <cell r="B685">
            <v>-49321</v>
          </cell>
        </row>
        <row r="686">
          <cell r="B686">
            <v>-73042</v>
          </cell>
        </row>
        <row r="687">
          <cell r="B687">
            <v>41961</v>
          </cell>
        </row>
        <row r="688">
          <cell r="B688">
            <v>38236</v>
          </cell>
        </row>
        <row r="689">
          <cell r="B689">
            <v>-119993</v>
          </cell>
        </row>
        <row r="690">
          <cell r="B690">
            <v>-96270</v>
          </cell>
        </row>
        <row r="691">
          <cell r="B691">
            <v>177674</v>
          </cell>
        </row>
        <row r="692">
          <cell r="B692">
            <v>-67699</v>
          </cell>
        </row>
        <row r="693">
          <cell r="B693">
            <v>27481</v>
          </cell>
        </row>
        <row r="694">
          <cell r="B694">
            <v>-36447</v>
          </cell>
        </row>
        <row r="695">
          <cell r="B695">
            <v>-116973</v>
          </cell>
        </row>
        <row r="696">
          <cell r="B696">
            <v>112866</v>
          </cell>
        </row>
        <row r="697">
          <cell r="B697">
            <v>-56838</v>
          </cell>
        </row>
        <row r="698">
          <cell r="B698">
            <v>-98238</v>
          </cell>
        </row>
        <row r="699">
          <cell r="B699">
            <v>48261</v>
          </cell>
        </row>
        <row r="700">
          <cell r="B700">
            <v>17839</v>
          </cell>
        </row>
        <row r="701">
          <cell r="B701">
            <v>-175563</v>
          </cell>
        </row>
        <row r="702">
          <cell r="B702">
            <v>-48212</v>
          </cell>
        </row>
        <row r="703">
          <cell r="B703">
            <v>159282</v>
          </cell>
        </row>
        <row r="704">
          <cell r="B704">
            <v>-165927</v>
          </cell>
        </row>
        <row r="705">
          <cell r="B705">
            <v>33547</v>
          </cell>
        </row>
        <row r="706">
          <cell r="B706">
            <v>-102767</v>
          </cell>
        </row>
        <row r="707">
          <cell r="B707">
            <v>-111914</v>
          </cell>
        </row>
        <row r="708">
          <cell r="B708">
            <v>45734</v>
          </cell>
        </row>
        <row r="709">
          <cell r="B709">
            <v>-155533</v>
          </cell>
        </row>
        <row r="710">
          <cell r="B710">
            <v>-125201</v>
          </cell>
        </row>
        <row r="711">
          <cell r="B711">
            <v>-51754</v>
          </cell>
        </row>
        <row r="712">
          <cell r="B712">
            <v>-63457</v>
          </cell>
        </row>
        <row r="713">
          <cell r="B713">
            <v>-193859</v>
          </cell>
        </row>
        <row r="714">
          <cell r="B714">
            <v>-191589</v>
          </cell>
        </row>
        <row r="715">
          <cell r="B715">
            <v>-20907</v>
          </cell>
        </row>
        <row r="716">
          <cell r="B716">
            <v>-189651</v>
          </cell>
        </row>
        <row r="717">
          <cell r="B717">
            <v>-94332</v>
          </cell>
        </row>
        <row r="718">
          <cell r="B718">
            <v>-180680</v>
          </cell>
        </row>
        <row r="719">
          <cell r="B719">
            <v>-103555</v>
          </cell>
        </row>
        <row r="720">
          <cell r="B720">
            <v>-45207</v>
          </cell>
        </row>
        <row r="721">
          <cell r="B721">
            <v>-176363</v>
          </cell>
        </row>
        <row r="722">
          <cell r="B722">
            <v>-120287</v>
          </cell>
        </row>
        <row r="723">
          <cell r="B723">
            <v>-91410</v>
          </cell>
        </row>
        <row r="724">
          <cell r="B724">
            <v>-42634</v>
          </cell>
        </row>
        <row r="725">
          <cell r="B725">
            <v>-220909</v>
          </cell>
        </row>
        <row r="726">
          <cell r="B726">
            <v>-65387</v>
          </cell>
        </row>
        <row r="727">
          <cell r="B727">
            <v>-82689</v>
          </cell>
        </row>
        <row r="728">
          <cell r="B728">
            <v>-135927</v>
          </cell>
        </row>
        <row r="729">
          <cell r="B729">
            <v>-68422</v>
          </cell>
        </row>
        <row r="730">
          <cell r="B730">
            <v>-165043</v>
          </cell>
        </row>
        <row r="731">
          <cell r="B731">
            <v>-90526</v>
          </cell>
        </row>
        <row r="732">
          <cell r="B732">
            <v>-34607</v>
          </cell>
        </row>
        <row r="733">
          <cell r="B733">
            <v>-140432</v>
          </cell>
        </row>
        <row r="734">
          <cell r="B734">
            <v>-150394</v>
          </cell>
        </row>
        <row r="735">
          <cell r="B735">
            <v>-78134</v>
          </cell>
        </row>
        <row r="736">
          <cell r="B736">
            <v>-49796</v>
          </cell>
        </row>
        <row r="737">
          <cell r="B737">
            <v>-222507</v>
          </cell>
        </row>
        <row r="738">
          <cell r="B738">
            <v>-188153</v>
          </cell>
        </row>
        <row r="739">
          <cell r="B739">
            <v>-40387</v>
          </cell>
        </row>
        <row r="740">
          <cell r="B740">
            <v>-57641</v>
          </cell>
        </row>
        <row r="741">
          <cell r="B741">
            <v>-43080</v>
          </cell>
        </row>
        <row r="742">
          <cell r="B742">
            <v>-129376</v>
          </cell>
        </row>
        <row r="743">
          <cell r="B743">
            <v>-134143</v>
          </cell>
        </row>
        <row r="744">
          <cell r="B744">
            <v>-64569</v>
          </cell>
        </row>
        <row r="745">
          <cell r="B745" t="str">
            <v>NA</v>
          </cell>
        </row>
      </sheetData>
      <sheetData sheetId="1">
        <row r="5">
          <cell r="B5">
            <v>-8.3000000000000007</v>
          </cell>
          <cell r="C5">
            <v>2.8000000000000003</v>
          </cell>
          <cell r="D5">
            <v>13.600000000000001</v>
          </cell>
          <cell r="E5">
            <v>14.200000000000001</v>
          </cell>
          <cell r="F5">
            <v>17.3</v>
          </cell>
          <cell r="G5">
            <v>10.100000000000001</v>
          </cell>
          <cell r="H5">
            <v>5.4</v>
          </cell>
          <cell r="I5">
            <v>6</v>
          </cell>
          <cell r="J5">
            <v>6.9</v>
          </cell>
          <cell r="K5">
            <v>3.4000000000000004</v>
          </cell>
          <cell r="L5">
            <v>1.1000000000000001</v>
          </cell>
          <cell r="M5">
            <v>3.5</v>
          </cell>
          <cell r="N5">
            <v>4.3</v>
          </cell>
          <cell r="O5">
            <v>2.6</v>
          </cell>
          <cell r="P5">
            <v>3.5</v>
          </cell>
          <cell r="Q5">
            <v>-3.2</v>
          </cell>
          <cell r="R5">
            <v>-3.4000000000000004</v>
          </cell>
          <cell r="S5">
            <v>-2</v>
          </cell>
          <cell r="T5">
            <v>-1.4000000000000001</v>
          </cell>
          <cell r="U5">
            <v>0</v>
          </cell>
          <cell r="V5">
            <v>3.5</v>
          </cell>
          <cell r="W5">
            <v>6.7</v>
          </cell>
          <cell r="X5">
            <v>4.8000000000000007</v>
          </cell>
          <cell r="Y5">
            <v>7.7</v>
          </cell>
          <cell r="Z5">
            <v>8.5</v>
          </cell>
          <cell r="AA5">
            <v>6.6000000000000005</v>
          </cell>
          <cell r="AB5">
            <v>7.7</v>
          </cell>
          <cell r="AC5">
            <v>7.2</v>
          </cell>
          <cell r="AD5">
            <v>6.1000000000000005</v>
          </cell>
          <cell r="AE5">
            <v>4.3</v>
          </cell>
          <cell r="AF5">
            <v>4.3</v>
          </cell>
          <cell r="AG5">
            <v>-1.6</v>
          </cell>
          <cell r="AH5">
            <v>-3.3000000000000003</v>
          </cell>
          <cell r="AI5">
            <v>-8.4</v>
          </cell>
          <cell r="AJ5">
            <v>-6.5</v>
          </cell>
          <cell r="AK5">
            <v>-3.6</v>
          </cell>
          <cell r="AL5">
            <v>3.1</v>
          </cell>
          <cell r="AM5">
            <v>5.1000000000000005</v>
          </cell>
          <cell r="AN5">
            <v>2.8000000000000003</v>
          </cell>
          <cell r="AO5">
            <v>2</v>
          </cell>
          <cell r="AP5">
            <v>11.600000000000001</v>
          </cell>
          <cell r="AQ5">
            <v>8.2000000000000011</v>
          </cell>
          <cell r="AR5">
            <v>6.6000000000000005</v>
          </cell>
          <cell r="AS5">
            <v>2.1</v>
          </cell>
          <cell r="AT5">
            <v>2.4000000000000004</v>
          </cell>
          <cell r="AU5">
            <v>0.70000000000000007</v>
          </cell>
          <cell r="AV5">
            <v>2.4000000000000004</v>
          </cell>
          <cell r="AW5">
            <v>4.6000000000000005</v>
          </cell>
          <cell r="AX5">
            <v>2.3000000000000003</v>
          </cell>
          <cell r="AY5">
            <v>2.1</v>
          </cell>
          <cell r="AZ5">
            <v>3</v>
          </cell>
          <cell r="BA5">
            <v>2.3000000000000003</v>
          </cell>
          <cell r="BB5">
            <v>4</v>
          </cell>
          <cell r="BC5">
            <v>6.2</v>
          </cell>
          <cell r="BD5">
            <v>5.8000000000000007</v>
          </cell>
          <cell r="BE5">
            <v>5.1000000000000005</v>
          </cell>
          <cell r="BF5">
            <v>1.9000000000000001</v>
          </cell>
          <cell r="BG5">
            <v>-2.7</v>
          </cell>
          <cell r="BH5">
            <v>1.2000000000000002</v>
          </cell>
          <cell r="BI5">
            <v>3.1</v>
          </cell>
          <cell r="BJ5">
            <v>7.5</v>
          </cell>
          <cell r="BK5">
            <v>6.7</v>
          </cell>
          <cell r="BL5">
            <v>-0.5</v>
          </cell>
          <cell r="BM5">
            <v>-0.70000000000000007</v>
          </cell>
          <cell r="BN5">
            <v>4.9000000000000004</v>
          </cell>
          <cell r="BO5">
            <v>3.4000000000000004</v>
          </cell>
          <cell r="BP5">
            <v>1.5</v>
          </cell>
          <cell r="BQ5">
            <v>-0.8</v>
          </cell>
          <cell r="BR5">
            <v>-9.6000000000000014</v>
          </cell>
          <cell r="BS5">
            <v>-10.4</v>
          </cell>
          <cell r="BT5">
            <v>-8.5</v>
          </cell>
          <cell r="BU5">
            <v>-8.9</v>
          </cell>
          <cell r="BV5">
            <v>-6</v>
          </cell>
          <cell r="BW5">
            <v>-7.5</v>
          </cell>
          <cell r="BX5">
            <v>1.4000000000000001</v>
          </cell>
          <cell r="BY5">
            <v>2.4000000000000004</v>
          </cell>
          <cell r="BZ5">
            <v>14.4</v>
          </cell>
          <cell r="CA5">
            <v>11.4</v>
          </cell>
          <cell r="CB5">
            <v>5.5</v>
          </cell>
          <cell r="CC5">
            <v>3</v>
          </cell>
          <cell r="CD5">
            <v>-2.5</v>
          </cell>
          <cell r="CE5">
            <v>-16.2</v>
          </cell>
          <cell r="CF5">
            <v>-19.700000000000003</v>
          </cell>
          <cell r="CG5">
            <v>-23.5</v>
          </cell>
          <cell r="CH5">
            <v>-23.900000000000002</v>
          </cell>
          <cell r="CI5">
            <v>-30.400000000000002</v>
          </cell>
          <cell r="CJ5">
            <v>-29.5</v>
          </cell>
          <cell r="CK5">
            <v>-31</v>
          </cell>
          <cell r="CL5">
            <v>-22.900000000000002</v>
          </cell>
          <cell r="CM5">
            <v>-28.200000000000003</v>
          </cell>
          <cell r="CN5">
            <v>-17.100000000000001</v>
          </cell>
          <cell r="CO5">
            <v>-31.400000000000002</v>
          </cell>
          <cell r="CP5">
            <v>-15.200000000000001</v>
          </cell>
          <cell r="CQ5">
            <v>-15.200000000000001</v>
          </cell>
          <cell r="CR5">
            <v>-10.600000000000001</v>
          </cell>
          <cell r="CS5">
            <v>-6.2</v>
          </cell>
          <cell r="CT5">
            <v>-8.9</v>
          </cell>
          <cell r="CU5">
            <v>-11.4</v>
          </cell>
          <cell r="CV5">
            <v>-11.3</v>
          </cell>
          <cell r="CW5">
            <v>-26.400000000000002</v>
          </cell>
          <cell r="CX5">
            <v>-48.5</v>
          </cell>
          <cell r="CY5">
            <v>-105.7</v>
          </cell>
          <cell r="CZ5">
            <v>-63.7</v>
          </cell>
          <cell r="DA5">
            <v>-64.600000000000009</v>
          </cell>
          <cell r="DB5">
            <v>-54.300000000000004</v>
          </cell>
          <cell r="DC5">
            <v>-50</v>
          </cell>
          <cell r="DD5">
            <v>-53.6</v>
          </cell>
          <cell r="DE5">
            <v>-56.800000000000004</v>
          </cell>
          <cell r="DF5">
            <v>-47.2</v>
          </cell>
          <cell r="DG5">
            <v>-41.300000000000004</v>
          </cell>
          <cell r="DH5">
            <v>-47.300000000000004</v>
          </cell>
          <cell r="DI5">
            <v>-48.7</v>
          </cell>
          <cell r="DJ5">
            <v>-48.6</v>
          </cell>
          <cell r="DK5">
            <v>-27.900000000000002</v>
          </cell>
          <cell r="DL5">
            <v>-21.900000000000002</v>
          </cell>
          <cell r="DM5">
            <v>-17.2</v>
          </cell>
          <cell r="DN5">
            <v>-8.7000000000000011</v>
          </cell>
          <cell r="DO5">
            <v>-8.9</v>
          </cell>
          <cell r="DP5">
            <v>-14.600000000000001</v>
          </cell>
          <cell r="DQ5">
            <v>-23.6</v>
          </cell>
          <cell r="DR5">
            <v>-33.700000000000003</v>
          </cell>
          <cell r="DS5">
            <v>-57.6</v>
          </cell>
          <cell r="DT5">
            <v>-71.8</v>
          </cell>
          <cell r="DU5">
            <v>-63.400000000000006</v>
          </cell>
          <cell r="DV5">
            <v>-42.6</v>
          </cell>
          <cell r="DW5">
            <v>-46.900000000000006</v>
          </cell>
          <cell r="DX5">
            <v>-54.6</v>
          </cell>
          <cell r="DY5">
            <v>-83</v>
          </cell>
          <cell r="DZ5">
            <v>-103.9</v>
          </cell>
          <cell r="EA5">
            <v>-109.4</v>
          </cell>
          <cell r="EB5">
            <v>-147.20000000000002</v>
          </cell>
          <cell r="EC5">
            <v>-180.60000000000002</v>
          </cell>
          <cell r="ED5">
            <v>-176.4</v>
          </cell>
          <cell r="EE5">
            <v>-172.60000000000002</v>
          </cell>
          <cell r="EF5">
            <v>-188.9</v>
          </cell>
          <cell r="EG5">
            <v>-167</v>
          </cell>
          <cell r="EH5">
            <v>-157</v>
          </cell>
          <cell r="EI5">
            <v>-167.3</v>
          </cell>
          <cell r="EJ5">
            <v>-175.20000000000002</v>
          </cell>
          <cell r="EK5">
            <v>-186.4</v>
          </cell>
          <cell r="EL5">
            <v>-150.70000000000002</v>
          </cell>
          <cell r="EM5">
            <v>-201</v>
          </cell>
          <cell r="EN5">
            <v>-178</v>
          </cell>
          <cell r="EO5">
            <v>-184.70000000000002</v>
          </cell>
          <cell r="EP5">
            <v>-184.20000000000002</v>
          </cell>
          <cell r="EQ5">
            <v>-205.70000000000002</v>
          </cell>
          <cell r="ER5">
            <v>-210.9</v>
          </cell>
          <cell r="ES5">
            <v>-177.70000000000002</v>
          </cell>
          <cell r="ET5">
            <v>-181.9</v>
          </cell>
          <cell r="EU5">
            <v>-127.80000000000001</v>
          </cell>
          <cell r="EV5">
            <v>-139</v>
          </cell>
          <cell r="EW5">
            <v>-148.70000000000002</v>
          </cell>
          <cell r="EX5">
            <v>-147.9</v>
          </cell>
          <cell r="EY5">
            <v>-137.9</v>
          </cell>
          <cell r="EZ5">
            <v>-130</v>
          </cell>
          <cell r="FA5">
            <v>-137.80000000000001</v>
          </cell>
          <cell r="FB5">
            <v>-115.4</v>
          </cell>
          <cell r="FC5">
            <v>-134.9</v>
          </cell>
          <cell r="FD5">
            <v>-140.80000000000001</v>
          </cell>
          <cell r="FE5">
            <v>-144.70000000000002</v>
          </cell>
          <cell r="FF5">
            <v>-171.3</v>
          </cell>
          <cell r="FG5">
            <v>-176.70000000000002</v>
          </cell>
          <cell r="FH5">
            <v>-172</v>
          </cell>
          <cell r="FI5">
            <v>-185.8</v>
          </cell>
          <cell r="FJ5">
            <v>-157.4</v>
          </cell>
          <cell r="FK5">
            <v>-217.10000000000002</v>
          </cell>
          <cell r="FL5">
            <v>-240.5</v>
          </cell>
          <cell r="FM5">
            <v>-258.7</v>
          </cell>
          <cell r="FN5">
            <v>-296</v>
          </cell>
          <cell r="FO5">
            <v>-302.2</v>
          </cell>
          <cell r="FP5">
            <v>-313.20000000000005</v>
          </cell>
          <cell r="FQ5">
            <v>-298.60000000000002</v>
          </cell>
          <cell r="FR5">
            <v>-312.10000000000002</v>
          </cell>
          <cell r="FS5">
            <v>-275.3</v>
          </cell>
          <cell r="FT5">
            <v>-282.2</v>
          </cell>
          <cell r="FU5">
            <v>-251.3</v>
          </cell>
          <cell r="FV5">
            <v>-236.4</v>
          </cell>
          <cell r="FW5">
            <v>-202.9</v>
          </cell>
          <cell r="FX5">
            <v>-220.60000000000002</v>
          </cell>
          <cell r="FY5">
            <v>-221.70000000000002</v>
          </cell>
          <cell r="FZ5">
            <v>-221.4</v>
          </cell>
          <cell r="GA5">
            <v>-206.20000000000002</v>
          </cell>
          <cell r="GB5">
            <v>-210.3</v>
          </cell>
          <cell r="GC5">
            <v>-186.70000000000002</v>
          </cell>
          <cell r="GD5">
            <v>-194.3</v>
          </cell>
          <cell r="GE5">
            <v>-149.5</v>
          </cell>
          <cell r="GF5">
            <v>-138.30000000000001</v>
          </cell>
          <cell r="GG5">
            <v>-110.80000000000001</v>
          </cell>
          <cell r="GH5">
            <v>-92.4</v>
          </cell>
          <cell r="GI5">
            <v>-71</v>
          </cell>
          <cell r="GJ5">
            <v>-35.6</v>
          </cell>
          <cell r="GK5">
            <v>-41.5</v>
          </cell>
          <cell r="GL5">
            <v>7.9</v>
          </cell>
          <cell r="GM5">
            <v>20.700000000000003</v>
          </cell>
          <cell r="GN5">
            <v>52.300000000000004</v>
          </cell>
          <cell r="GO5">
            <v>53.400000000000006</v>
          </cell>
          <cell r="GP5">
            <v>79.100000000000009</v>
          </cell>
          <cell r="GQ5">
            <v>96.100000000000009</v>
          </cell>
          <cell r="GR5">
            <v>103.5</v>
          </cell>
          <cell r="GS5">
            <v>116.60000000000001</v>
          </cell>
          <cell r="GT5">
            <v>205.3</v>
          </cell>
          <cell r="GU5">
            <v>175</v>
          </cell>
          <cell r="GV5">
            <v>181.8</v>
          </cell>
          <cell r="GW5">
            <v>178.8</v>
          </cell>
          <cell r="GX5">
            <v>159.4</v>
          </cell>
          <cell r="GY5">
            <v>119</v>
          </cell>
          <cell r="GZ5">
            <v>-104.4</v>
          </cell>
          <cell r="HA5">
            <v>-12</v>
          </cell>
          <cell r="HB5">
            <v>-205.4</v>
          </cell>
          <cell r="HC5">
            <v>-249.70000000000002</v>
          </cell>
          <cell r="HD5">
            <v>-262.90000000000003</v>
          </cell>
          <cell r="HE5">
            <v>-293</v>
          </cell>
          <cell r="HF5">
            <v>-300.60000000000002</v>
          </cell>
          <cell r="HG5">
            <v>-375</v>
          </cell>
          <cell r="HH5">
            <v>-451.40000000000003</v>
          </cell>
          <cell r="HI5">
            <v>-378.5</v>
          </cell>
          <cell r="HJ5">
            <v>-409.3</v>
          </cell>
          <cell r="HK5">
            <v>-384.40000000000003</v>
          </cell>
          <cell r="HL5">
            <v>-361.6</v>
          </cell>
          <cell r="HM5">
            <v>-362.5</v>
          </cell>
          <cell r="HN5">
            <v>-288.90000000000003</v>
          </cell>
          <cell r="HO5">
            <v>-288.10000000000002</v>
          </cell>
          <cell r="HP5">
            <v>-287.40000000000003</v>
          </cell>
          <cell r="HQ5">
            <v>-267.7</v>
          </cell>
          <cell r="HR5">
            <v>-207.3</v>
          </cell>
          <cell r="HS5">
            <v>-229.4</v>
          </cell>
          <cell r="HT5">
            <v>-215.5</v>
          </cell>
          <cell r="HU5">
            <v>-163</v>
          </cell>
          <cell r="HV5">
            <v>-201.60000000000002</v>
          </cell>
          <cell r="HW5">
            <v>-237.4</v>
          </cell>
          <cell r="HX5">
            <v>-265.2</v>
          </cell>
          <cell r="HY5">
            <v>-276.7</v>
          </cell>
          <cell r="HZ5">
            <v>-388.8</v>
          </cell>
          <cell r="IA5">
            <v>-764.40000000000009</v>
          </cell>
          <cell r="IB5">
            <v>-639.1</v>
          </cell>
          <cell r="IC5">
            <v>-661.7</v>
          </cell>
          <cell r="ID5">
            <v>-993.90000000000009</v>
          </cell>
          <cell r="IE5">
            <v>-1303</v>
          </cell>
          <cell r="IF5">
            <v>-1305.4000000000001</v>
          </cell>
          <cell r="IG5">
            <v>-1269.4000000000001</v>
          </cell>
          <cell r="IH5">
            <v>-1271.8000000000002</v>
          </cell>
          <cell r="II5">
            <v>-1278</v>
          </cell>
          <cell r="IJ5">
            <v>-1257.7</v>
          </cell>
          <cell r="IK5">
            <v>-1287.3000000000002</v>
          </cell>
          <cell r="IL5">
            <v>-1201.1000000000001</v>
          </cell>
          <cell r="IM5">
            <v>-1265.1000000000001</v>
          </cell>
          <cell r="IN5" t="str">
            <v>NA</v>
          </cell>
        </row>
      </sheetData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"/>
      <sheetName val="q"/>
      <sheetName val="y"/>
    </sheetNames>
    <sheetDataSet>
      <sheetData sheetId="0">
        <row r="4">
          <cell r="C4">
            <v>795</v>
          </cell>
          <cell r="D4">
            <v>592</v>
          </cell>
        </row>
        <row r="5">
          <cell r="C5">
            <v>792</v>
          </cell>
          <cell r="D5">
            <v>606</v>
          </cell>
        </row>
        <row r="6">
          <cell r="C6">
            <v>772</v>
          </cell>
          <cell r="D6">
            <v>577</v>
          </cell>
        </row>
        <row r="7">
          <cell r="C7">
            <v>786</v>
          </cell>
          <cell r="D7">
            <v>606</v>
          </cell>
        </row>
        <row r="8">
          <cell r="C8">
            <v>772</v>
          </cell>
          <cell r="D8">
            <v>636</v>
          </cell>
        </row>
        <row r="9">
          <cell r="C9">
            <v>831</v>
          </cell>
          <cell r="D9">
            <v>684</v>
          </cell>
        </row>
        <row r="10">
          <cell r="C10">
            <v>821</v>
          </cell>
          <cell r="D10">
            <v>787</v>
          </cell>
        </row>
        <row r="11">
          <cell r="C11">
            <v>813</v>
          </cell>
          <cell r="D11">
            <v>821</v>
          </cell>
        </row>
        <row r="12">
          <cell r="C12">
            <v>889</v>
          </cell>
          <cell r="D12">
            <v>955</v>
          </cell>
        </row>
        <row r="13">
          <cell r="C13">
            <v>893</v>
          </cell>
          <cell r="D13">
            <v>912</v>
          </cell>
        </row>
        <row r="14">
          <cell r="C14">
            <v>940</v>
          </cell>
          <cell r="D14">
            <v>876</v>
          </cell>
        </row>
        <row r="15">
          <cell r="C15">
            <v>915</v>
          </cell>
          <cell r="D15">
            <v>891</v>
          </cell>
        </row>
        <row r="16">
          <cell r="C16">
            <v>970</v>
          </cell>
          <cell r="D16">
            <v>939</v>
          </cell>
        </row>
        <row r="17">
          <cell r="C17">
            <v>1022</v>
          </cell>
          <cell r="D17">
            <v>927</v>
          </cell>
        </row>
        <row r="18">
          <cell r="C18">
            <v>1080</v>
          </cell>
          <cell r="D18">
            <v>997</v>
          </cell>
        </row>
        <row r="19">
          <cell r="C19">
            <v>1256</v>
          </cell>
          <cell r="D19">
            <v>1005</v>
          </cell>
        </row>
        <row r="20">
          <cell r="C20">
            <v>1133</v>
          </cell>
          <cell r="D20">
            <v>986</v>
          </cell>
        </row>
        <row r="21">
          <cell r="C21">
            <v>1132</v>
          </cell>
          <cell r="D21">
            <v>967</v>
          </cell>
        </row>
        <row r="22">
          <cell r="C22">
            <v>1234</v>
          </cell>
          <cell r="D22">
            <v>940</v>
          </cell>
        </row>
        <row r="23">
          <cell r="C23">
            <v>1233</v>
          </cell>
          <cell r="D23">
            <v>885</v>
          </cell>
        </row>
        <row r="24">
          <cell r="C24">
            <v>1233</v>
          </cell>
          <cell r="D24">
            <v>838</v>
          </cell>
        </row>
        <row r="25">
          <cell r="C25">
            <v>1101</v>
          </cell>
          <cell r="D25">
            <v>800</v>
          </cell>
        </row>
        <row r="26">
          <cell r="C26">
            <v>1273</v>
          </cell>
          <cell r="D26">
            <v>845</v>
          </cell>
        </row>
        <row r="27">
          <cell r="C27">
            <v>1309</v>
          </cell>
          <cell r="D27">
            <v>812</v>
          </cell>
        </row>
        <row r="28">
          <cell r="C28">
            <v>1250</v>
          </cell>
          <cell r="D28">
            <v>856</v>
          </cell>
        </row>
        <row r="29">
          <cell r="C29">
            <v>1236</v>
          </cell>
          <cell r="D29">
            <v>881</v>
          </cell>
        </row>
        <row r="30">
          <cell r="C30">
            <v>1281</v>
          </cell>
          <cell r="D30">
            <v>904</v>
          </cell>
        </row>
        <row r="31">
          <cell r="C31">
            <v>1138</v>
          </cell>
          <cell r="D31">
            <v>870</v>
          </cell>
        </row>
        <row r="32">
          <cell r="C32">
            <v>1129</v>
          </cell>
          <cell r="D32">
            <v>839</v>
          </cell>
        </row>
        <row r="33">
          <cell r="C33">
            <v>1063</v>
          </cell>
          <cell r="D33">
            <v>882</v>
          </cell>
        </row>
        <row r="34">
          <cell r="C34">
            <v>970</v>
          </cell>
          <cell r="D34">
            <v>846</v>
          </cell>
        </row>
        <row r="35">
          <cell r="C35">
            <v>1012</v>
          </cell>
          <cell r="D35">
            <v>897</v>
          </cell>
        </row>
        <row r="36">
          <cell r="C36">
            <v>1028</v>
          </cell>
          <cell r="D36">
            <v>915</v>
          </cell>
        </row>
        <row r="37">
          <cell r="C37">
            <v>1004</v>
          </cell>
          <cell r="D37">
            <v>899</v>
          </cell>
        </row>
        <row r="38">
          <cell r="C38">
            <v>1026</v>
          </cell>
          <cell r="D38">
            <v>904</v>
          </cell>
        </row>
        <row r="39">
          <cell r="C39">
            <v>1016</v>
          </cell>
          <cell r="D39">
            <v>978</v>
          </cell>
        </row>
        <row r="40">
          <cell r="C40">
            <v>1041</v>
          </cell>
          <cell r="D40">
            <v>904</v>
          </cell>
        </row>
        <row r="41">
          <cell r="C41">
            <v>971</v>
          </cell>
          <cell r="D41">
            <v>902</v>
          </cell>
        </row>
        <row r="42">
          <cell r="C42">
            <v>1001</v>
          </cell>
          <cell r="D42">
            <v>923</v>
          </cell>
        </row>
        <row r="43">
          <cell r="C43">
            <v>1024</v>
          </cell>
          <cell r="D43">
            <v>998</v>
          </cell>
        </row>
        <row r="44">
          <cell r="C44">
            <v>1008</v>
          </cell>
          <cell r="D44">
            <v>931</v>
          </cell>
        </row>
        <row r="45">
          <cell r="C45">
            <v>998</v>
          </cell>
          <cell r="D45">
            <v>913</v>
          </cell>
        </row>
        <row r="46">
          <cell r="C46">
            <v>1011</v>
          </cell>
          <cell r="D46">
            <v>899</v>
          </cell>
        </row>
        <row r="47">
          <cell r="C47">
            <v>1026</v>
          </cell>
          <cell r="D47">
            <v>910</v>
          </cell>
        </row>
        <row r="48">
          <cell r="C48">
            <v>1154</v>
          </cell>
          <cell r="D48">
            <v>968</v>
          </cell>
        </row>
        <row r="49">
          <cell r="C49">
            <v>951</v>
          </cell>
          <cell r="D49">
            <v>818</v>
          </cell>
        </row>
        <row r="50">
          <cell r="C50">
            <v>1035</v>
          </cell>
          <cell r="D50">
            <v>873</v>
          </cell>
        </row>
        <row r="51">
          <cell r="C51">
            <v>1073</v>
          </cell>
          <cell r="D51">
            <v>837</v>
          </cell>
        </row>
        <row r="52">
          <cell r="C52">
            <v>962</v>
          </cell>
          <cell r="D52">
            <v>855</v>
          </cell>
        </row>
        <row r="53">
          <cell r="C53">
            <v>1047</v>
          </cell>
          <cell r="D53">
            <v>852</v>
          </cell>
        </row>
        <row r="54">
          <cell r="C54">
            <v>862</v>
          </cell>
          <cell r="D54">
            <v>762</v>
          </cell>
        </row>
        <row r="55">
          <cell r="C55">
            <v>1196</v>
          </cell>
          <cell r="D55">
            <v>945</v>
          </cell>
        </row>
        <row r="56">
          <cell r="C56">
            <v>1087</v>
          </cell>
          <cell r="D56">
            <v>848</v>
          </cell>
        </row>
        <row r="57">
          <cell r="C57">
            <v>1091</v>
          </cell>
          <cell r="D57">
            <v>935</v>
          </cell>
        </row>
        <row r="58">
          <cell r="C58">
            <v>1076</v>
          </cell>
          <cell r="D58">
            <v>847</v>
          </cell>
        </row>
        <row r="59">
          <cell r="C59">
            <v>1067</v>
          </cell>
          <cell r="D59">
            <v>851</v>
          </cell>
        </row>
        <row r="60">
          <cell r="C60">
            <v>1056</v>
          </cell>
          <cell r="D60">
            <v>818</v>
          </cell>
        </row>
        <row r="61">
          <cell r="C61">
            <v>1111</v>
          </cell>
          <cell r="D61">
            <v>805</v>
          </cell>
        </row>
        <row r="62">
          <cell r="C62">
            <v>1147</v>
          </cell>
          <cell r="D62">
            <v>821</v>
          </cell>
        </row>
        <row r="63">
          <cell r="C63">
            <v>1130</v>
          </cell>
          <cell r="D63">
            <v>874</v>
          </cell>
        </row>
        <row r="64">
          <cell r="C64">
            <v>1168</v>
          </cell>
          <cell r="D64">
            <v>886</v>
          </cell>
        </row>
        <row r="65">
          <cell r="C65">
            <v>1198</v>
          </cell>
          <cell r="D65">
            <v>897</v>
          </cell>
        </row>
        <row r="66">
          <cell r="C66">
            <v>1159</v>
          </cell>
          <cell r="D66">
            <v>907</v>
          </cell>
        </row>
        <row r="67">
          <cell r="C67">
            <v>1113</v>
          </cell>
          <cell r="D67">
            <v>902</v>
          </cell>
        </row>
        <row r="68">
          <cell r="C68">
            <v>1132</v>
          </cell>
          <cell r="D68">
            <v>939</v>
          </cell>
        </row>
        <row r="69">
          <cell r="C69">
            <v>1170</v>
          </cell>
          <cell r="D69">
            <v>928</v>
          </cell>
        </row>
        <row r="70">
          <cell r="C70">
            <v>1223</v>
          </cell>
          <cell r="D70">
            <v>953</v>
          </cell>
        </row>
        <row r="71">
          <cell r="C71">
            <v>1215</v>
          </cell>
          <cell r="D71">
            <v>952</v>
          </cell>
        </row>
        <row r="72">
          <cell r="C72">
            <v>1235</v>
          </cell>
          <cell r="D72">
            <v>992</v>
          </cell>
        </row>
        <row r="73">
          <cell r="C73">
            <v>1260</v>
          </cell>
          <cell r="D73">
            <v>1045</v>
          </cell>
        </row>
        <row r="74">
          <cell r="C74">
            <v>1215</v>
          </cell>
          <cell r="D74">
            <v>1045</v>
          </cell>
        </row>
        <row r="75">
          <cell r="C75">
            <v>1226</v>
          </cell>
          <cell r="D75">
            <v>971</v>
          </cell>
        </row>
        <row r="76">
          <cell r="C76">
            <v>1289</v>
          </cell>
          <cell r="D76">
            <v>1045</v>
          </cell>
        </row>
        <row r="77">
          <cell r="C77">
            <v>1290</v>
          </cell>
          <cell r="D77">
            <v>1063</v>
          </cell>
        </row>
        <row r="78">
          <cell r="C78">
            <v>1348</v>
          </cell>
          <cell r="D78">
            <v>1034</v>
          </cell>
        </row>
        <row r="79">
          <cell r="C79">
            <v>1394</v>
          </cell>
          <cell r="D79">
            <v>1019</v>
          </cell>
        </row>
        <row r="80">
          <cell r="C80">
            <v>1413</v>
          </cell>
          <cell r="D80">
            <v>1040</v>
          </cell>
        </row>
        <row r="81">
          <cell r="C81">
            <v>1442</v>
          </cell>
          <cell r="D81">
            <v>1069</v>
          </cell>
        </row>
        <row r="82">
          <cell r="C82">
            <v>1412</v>
          </cell>
          <cell r="D82">
            <v>1063</v>
          </cell>
        </row>
        <row r="83">
          <cell r="C83">
            <v>1454</v>
          </cell>
          <cell r="D83">
            <v>1065</v>
          </cell>
        </row>
        <row r="84">
          <cell r="C84">
            <v>1586</v>
          </cell>
          <cell r="D84">
            <v>1132</v>
          </cell>
        </row>
        <row r="85">
          <cell r="C85">
            <v>1509</v>
          </cell>
          <cell r="D85">
            <v>1055</v>
          </cell>
        </row>
        <row r="86">
          <cell r="C86">
            <v>1360</v>
          </cell>
          <cell r="D86">
            <v>969</v>
          </cell>
        </row>
        <row r="87">
          <cell r="C87">
            <v>1836</v>
          </cell>
          <cell r="D87">
            <v>1050</v>
          </cell>
        </row>
        <row r="88">
          <cell r="C88">
            <v>1653</v>
          </cell>
          <cell r="D88">
            <v>1057</v>
          </cell>
        </row>
        <row r="89">
          <cell r="C89">
            <v>1577</v>
          </cell>
          <cell r="D89">
            <v>1056</v>
          </cell>
        </row>
        <row r="90">
          <cell r="C90">
            <v>1881</v>
          </cell>
          <cell r="D90">
            <v>1118</v>
          </cell>
        </row>
        <row r="91">
          <cell r="C91">
            <v>1739</v>
          </cell>
          <cell r="D91">
            <v>1100</v>
          </cell>
        </row>
        <row r="92">
          <cell r="C92">
            <v>1560</v>
          </cell>
          <cell r="D92">
            <v>1060</v>
          </cell>
        </row>
        <row r="93">
          <cell r="C93">
            <v>1674</v>
          </cell>
          <cell r="D93">
            <v>1058</v>
          </cell>
        </row>
        <row r="94">
          <cell r="C94">
            <v>1617</v>
          </cell>
          <cell r="D94">
            <v>1111</v>
          </cell>
        </row>
        <row r="95">
          <cell r="C95">
            <v>1617</v>
          </cell>
          <cell r="D95">
            <v>1099</v>
          </cell>
        </row>
        <row r="96">
          <cell r="C96">
            <v>1605</v>
          </cell>
          <cell r="D96">
            <v>1074</v>
          </cell>
        </row>
        <row r="97">
          <cell r="C97">
            <v>1546</v>
          </cell>
          <cell r="D97">
            <v>1086</v>
          </cell>
        </row>
        <row r="98">
          <cell r="C98">
            <v>1534</v>
          </cell>
          <cell r="D98">
            <v>1065</v>
          </cell>
        </row>
        <row r="99">
          <cell r="C99">
            <v>1493</v>
          </cell>
          <cell r="D99">
            <v>1080</v>
          </cell>
        </row>
        <row r="100">
          <cell r="C100">
            <v>1423</v>
          </cell>
          <cell r="D100">
            <v>1053</v>
          </cell>
        </row>
        <row r="101">
          <cell r="C101">
            <v>1322</v>
          </cell>
          <cell r="D101">
            <v>1022</v>
          </cell>
        </row>
        <row r="102">
          <cell r="C102">
            <v>1385</v>
          </cell>
          <cell r="D102">
            <v>1051</v>
          </cell>
        </row>
        <row r="103">
          <cell r="C103">
            <v>1364</v>
          </cell>
          <cell r="D103">
            <v>1051</v>
          </cell>
        </row>
        <row r="104">
          <cell r="C104">
            <v>1379</v>
          </cell>
          <cell r="D104">
            <v>1066</v>
          </cell>
        </row>
        <row r="105">
          <cell r="C105">
            <v>1337</v>
          </cell>
          <cell r="D105">
            <v>1037</v>
          </cell>
        </row>
        <row r="106">
          <cell r="C106">
            <v>1361</v>
          </cell>
          <cell r="D106">
            <v>1023</v>
          </cell>
        </row>
        <row r="107">
          <cell r="C107">
            <v>1365</v>
          </cell>
          <cell r="D107">
            <v>1046</v>
          </cell>
        </row>
        <row r="108">
          <cell r="C108">
            <v>1354</v>
          </cell>
          <cell r="D108">
            <v>1083</v>
          </cell>
        </row>
        <row r="109">
          <cell r="C109">
            <v>1349</v>
          </cell>
          <cell r="D109">
            <v>1091</v>
          </cell>
        </row>
        <row r="110">
          <cell r="C110">
            <v>1401</v>
          </cell>
          <cell r="D110">
            <v>1156</v>
          </cell>
        </row>
        <row r="111">
          <cell r="C111">
            <v>1339</v>
          </cell>
          <cell r="D111">
            <v>1139</v>
          </cell>
        </row>
        <row r="112">
          <cell r="C112">
            <v>1314</v>
          </cell>
          <cell r="D112">
            <v>1166</v>
          </cell>
        </row>
        <row r="113">
          <cell r="C113">
            <v>1256</v>
          </cell>
          <cell r="D113">
            <v>1202</v>
          </cell>
        </row>
        <row r="114">
          <cell r="C114">
            <v>1326</v>
          </cell>
          <cell r="D114">
            <v>1220</v>
          </cell>
        </row>
        <row r="115">
          <cell r="C115">
            <v>1305</v>
          </cell>
          <cell r="D115">
            <v>1218</v>
          </cell>
        </row>
        <row r="116">
          <cell r="C116">
            <v>1320</v>
          </cell>
          <cell r="D116">
            <v>1330</v>
          </cell>
        </row>
        <row r="117">
          <cell r="C117">
            <v>1357</v>
          </cell>
          <cell r="D117">
            <v>1301</v>
          </cell>
        </row>
        <row r="118">
          <cell r="C118">
            <v>1397</v>
          </cell>
          <cell r="D118">
            <v>1227</v>
          </cell>
        </row>
        <row r="119">
          <cell r="C119">
            <v>1432</v>
          </cell>
          <cell r="D119">
            <v>1289</v>
          </cell>
        </row>
        <row r="120">
          <cell r="C120">
            <v>1528</v>
          </cell>
          <cell r="D120">
            <v>1411</v>
          </cell>
        </row>
        <row r="121">
          <cell r="C121">
            <v>1328</v>
          </cell>
          <cell r="D121">
            <v>1184</v>
          </cell>
        </row>
        <row r="122">
          <cell r="C122">
            <v>1376</v>
          </cell>
          <cell r="D122">
            <v>1292</v>
          </cell>
        </row>
        <row r="123">
          <cell r="C123">
            <v>1493</v>
          </cell>
          <cell r="D123">
            <v>1353</v>
          </cell>
        </row>
        <row r="124">
          <cell r="C124">
            <v>2048</v>
          </cell>
          <cell r="D124">
            <v>1883</v>
          </cell>
        </row>
        <row r="125">
          <cell r="C125">
            <v>2068</v>
          </cell>
          <cell r="D125">
            <v>1989</v>
          </cell>
        </row>
        <row r="126">
          <cell r="C126">
            <v>2055</v>
          </cell>
          <cell r="D126">
            <v>1927</v>
          </cell>
        </row>
        <row r="127">
          <cell r="C127">
            <v>2199</v>
          </cell>
          <cell r="D127">
            <v>1988</v>
          </cell>
        </row>
        <row r="128">
          <cell r="C128">
            <v>2216</v>
          </cell>
          <cell r="D128">
            <v>1913</v>
          </cell>
        </row>
        <row r="129">
          <cell r="C129">
            <v>2215</v>
          </cell>
          <cell r="D129">
            <v>1911</v>
          </cell>
        </row>
        <row r="130">
          <cell r="C130">
            <v>2195</v>
          </cell>
          <cell r="D130">
            <v>1925</v>
          </cell>
        </row>
        <row r="131">
          <cell r="C131">
            <v>2144</v>
          </cell>
          <cell r="D131">
            <v>1902</v>
          </cell>
        </row>
        <row r="132">
          <cell r="C132">
            <v>2145</v>
          </cell>
          <cell r="D132">
            <v>1867</v>
          </cell>
        </row>
        <row r="133">
          <cell r="C133">
            <v>2212</v>
          </cell>
          <cell r="D133">
            <v>1828</v>
          </cell>
        </row>
        <row r="134">
          <cell r="C134">
            <v>2200</v>
          </cell>
          <cell r="D134">
            <v>1793</v>
          </cell>
        </row>
        <row r="135">
          <cell r="C135">
            <v>2158</v>
          </cell>
          <cell r="D135">
            <v>1773</v>
          </cell>
        </row>
        <row r="136">
          <cell r="C136">
            <v>2116</v>
          </cell>
          <cell r="D136">
            <v>1791</v>
          </cell>
        </row>
        <row r="137">
          <cell r="C137">
            <v>2202</v>
          </cell>
          <cell r="D137">
            <v>1791</v>
          </cell>
        </row>
        <row r="138">
          <cell r="C138">
            <v>2249</v>
          </cell>
          <cell r="D138">
            <v>1801</v>
          </cell>
        </row>
        <row r="139">
          <cell r="C139">
            <v>2223</v>
          </cell>
          <cell r="D139">
            <v>1799</v>
          </cell>
        </row>
        <row r="140">
          <cell r="C140">
            <v>2164</v>
          </cell>
          <cell r="D140">
            <v>1803</v>
          </cell>
        </row>
        <row r="141">
          <cell r="C141">
            <v>2207</v>
          </cell>
          <cell r="D141">
            <v>1821</v>
          </cell>
        </row>
        <row r="142">
          <cell r="C142">
            <v>2187</v>
          </cell>
          <cell r="D142">
            <v>1992</v>
          </cell>
        </row>
        <row r="143">
          <cell r="C143">
            <v>2184</v>
          </cell>
          <cell r="D143">
            <v>1876</v>
          </cell>
        </row>
        <row r="144">
          <cell r="C144">
            <v>2158</v>
          </cell>
          <cell r="D144">
            <v>1899</v>
          </cell>
        </row>
        <row r="145">
          <cell r="C145">
            <v>2339</v>
          </cell>
          <cell r="D145">
            <v>1944</v>
          </cell>
        </row>
        <row r="146">
          <cell r="C146">
            <v>2268</v>
          </cell>
          <cell r="D146">
            <v>1951</v>
          </cell>
        </row>
        <row r="147">
          <cell r="C147">
            <v>2230</v>
          </cell>
          <cell r="D147">
            <v>1972</v>
          </cell>
        </row>
        <row r="148">
          <cell r="C148">
            <v>2222</v>
          </cell>
          <cell r="D148">
            <v>1977</v>
          </cell>
        </row>
        <row r="149">
          <cell r="C149">
            <v>2374</v>
          </cell>
          <cell r="D149">
            <v>1982</v>
          </cell>
        </row>
        <row r="150">
          <cell r="C150">
            <v>2219</v>
          </cell>
          <cell r="D150">
            <v>1996</v>
          </cell>
        </row>
        <row r="151">
          <cell r="C151">
            <v>2472</v>
          </cell>
          <cell r="D151">
            <v>2032</v>
          </cell>
        </row>
        <row r="152">
          <cell r="C152">
            <v>2432</v>
          </cell>
          <cell r="D152">
            <v>2060</v>
          </cell>
        </row>
        <row r="153">
          <cell r="C153">
            <v>2545</v>
          </cell>
          <cell r="D153">
            <v>2019</v>
          </cell>
        </row>
        <row r="154">
          <cell r="C154">
            <v>2272</v>
          </cell>
          <cell r="D154">
            <v>2009</v>
          </cell>
        </row>
        <row r="155">
          <cell r="C155">
            <v>2231</v>
          </cell>
          <cell r="D155">
            <v>2015</v>
          </cell>
        </row>
        <row r="156">
          <cell r="C156">
            <v>2420</v>
          </cell>
          <cell r="D156">
            <v>2147</v>
          </cell>
        </row>
        <row r="157">
          <cell r="C157">
            <v>2112</v>
          </cell>
          <cell r="D157">
            <v>2025</v>
          </cell>
        </row>
        <row r="158">
          <cell r="C158">
            <v>2287</v>
          </cell>
          <cell r="D158">
            <v>2128</v>
          </cell>
        </row>
        <row r="159">
          <cell r="C159">
            <v>2381</v>
          </cell>
          <cell r="D159">
            <v>2089</v>
          </cell>
        </row>
        <row r="160">
          <cell r="C160">
            <v>1603</v>
          </cell>
          <cell r="D160">
            <v>1775</v>
          </cell>
        </row>
        <row r="161">
          <cell r="C161">
            <v>2759</v>
          </cell>
          <cell r="D161">
            <v>2196</v>
          </cell>
        </row>
        <row r="162">
          <cell r="C162">
            <v>2570</v>
          </cell>
          <cell r="D162">
            <v>2171</v>
          </cell>
        </row>
        <row r="163">
          <cell r="C163">
            <v>2644</v>
          </cell>
          <cell r="D163">
            <v>2101</v>
          </cell>
        </row>
        <row r="164">
          <cell r="C164">
            <v>2616</v>
          </cell>
          <cell r="D164">
            <v>2098</v>
          </cell>
        </row>
        <row r="165">
          <cell r="C165">
            <v>2554</v>
          </cell>
          <cell r="D165">
            <v>2121</v>
          </cell>
        </row>
        <row r="166">
          <cell r="C166">
            <v>2379</v>
          </cell>
          <cell r="D166">
            <v>2154</v>
          </cell>
        </row>
        <row r="167">
          <cell r="C167">
            <v>2452</v>
          </cell>
          <cell r="D167">
            <v>2214</v>
          </cell>
        </row>
        <row r="168">
          <cell r="C168">
            <v>2504</v>
          </cell>
          <cell r="D168">
            <v>2162</v>
          </cell>
        </row>
        <row r="169">
          <cell r="C169">
            <v>2520</v>
          </cell>
          <cell r="D169">
            <v>2165</v>
          </cell>
        </row>
        <row r="170">
          <cell r="C170">
            <v>2523</v>
          </cell>
          <cell r="D170">
            <v>2165</v>
          </cell>
        </row>
        <row r="171">
          <cell r="C171">
            <v>2636</v>
          </cell>
          <cell r="D171">
            <v>2194</v>
          </cell>
        </row>
        <row r="172">
          <cell r="C172">
            <v>2693</v>
          </cell>
          <cell r="D172">
            <v>2134</v>
          </cell>
        </row>
        <row r="173">
          <cell r="C173">
            <v>2717</v>
          </cell>
          <cell r="D173">
            <v>2175</v>
          </cell>
        </row>
        <row r="174">
          <cell r="C174">
            <v>2708</v>
          </cell>
          <cell r="D174">
            <v>2231</v>
          </cell>
        </row>
        <row r="175">
          <cell r="C175">
            <v>2777</v>
          </cell>
          <cell r="D175">
            <v>2239</v>
          </cell>
        </row>
        <row r="176">
          <cell r="C176">
            <v>2772</v>
          </cell>
          <cell r="D176">
            <v>2249</v>
          </cell>
        </row>
        <row r="177">
          <cell r="C177">
            <v>2776</v>
          </cell>
          <cell r="D177">
            <v>2239</v>
          </cell>
        </row>
        <row r="178">
          <cell r="C178">
            <v>2735</v>
          </cell>
          <cell r="D178">
            <v>2294</v>
          </cell>
        </row>
        <row r="179">
          <cell r="C179">
            <v>2712</v>
          </cell>
          <cell r="D179">
            <v>2303</v>
          </cell>
        </row>
        <row r="180">
          <cell r="C180">
            <v>2854</v>
          </cell>
          <cell r="D180">
            <v>2277</v>
          </cell>
        </row>
        <row r="181">
          <cell r="C181">
            <v>2811</v>
          </cell>
          <cell r="D181">
            <v>2279</v>
          </cell>
        </row>
        <row r="182">
          <cell r="C182">
            <v>2844</v>
          </cell>
          <cell r="D182">
            <v>2417</v>
          </cell>
        </row>
        <row r="183">
          <cell r="C183">
            <v>3055</v>
          </cell>
          <cell r="D183">
            <v>2384</v>
          </cell>
        </row>
        <row r="184">
          <cell r="C184">
            <v>1910</v>
          </cell>
          <cell r="D184">
            <v>1928</v>
          </cell>
        </row>
        <row r="185">
          <cell r="C185">
            <v>2305</v>
          </cell>
          <cell r="D185">
            <v>2335</v>
          </cell>
        </row>
        <row r="186">
          <cell r="C186">
            <v>3421</v>
          </cell>
          <cell r="D186">
            <v>2590</v>
          </cell>
        </row>
        <row r="187">
          <cell r="C187">
            <v>3222</v>
          </cell>
          <cell r="D187">
            <v>2567</v>
          </cell>
        </row>
        <row r="188">
          <cell r="C188">
            <v>3115</v>
          </cell>
          <cell r="D188">
            <v>2553</v>
          </cell>
        </row>
        <row r="189">
          <cell r="C189">
            <v>3051</v>
          </cell>
          <cell r="D189">
            <v>2604</v>
          </cell>
        </row>
        <row r="190">
          <cell r="C190">
            <v>3007</v>
          </cell>
          <cell r="D190">
            <v>2496</v>
          </cell>
        </row>
        <row r="191">
          <cell r="C191">
            <v>3036</v>
          </cell>
          <cell r="D191">
            <v>2579</v>
          </cell>
        </row>
        <row r="192">
          <cell r="C192">
            <v>2998</v>
          </cell>
          <cell r="D192">
            <v>2612</v>
          </cell>
        </row>
        <row r="193">
          <cell r="C193">
            <v>3086</v>
          </cell>
          <cell r="D193">
            <v>2683</v>
          </cell>
        </row>
        <row r="194">
          <cell r="C194">
            <v>3115</v>
          </cell>
          <cell r="D194">
            <v>2739</v>
          </cell>
        </row>
        <row r="195">
          <cell r="C195">
            <v>3099</v>
          </cell>
          <cell r="D195">
            <v>2709</v>
          </cell>
        </row>
        <row r="196">
          <cell r="C196">
            <v>3006</v>
          </cell>
          <cell r="D196">
            <v>2794</v>
          </cell>
        </row>
        <row r="197">
          <cell r="C197">
            <v>3061</v>
          </cell>
          <cell r="D197">
            <v>2841</v>
          </cell>
        </row>
        <row r="198">
          <cell r="C198">
            <v>3238</v>
          </cell>
          <cell r="D198">
            <v>2878</v>
          </cell>
        </row>
        <row r="199">
          <cell r="C199">
            <v>3218</v>
          </cell>
          <cell r="D199">
            <v>2957</v>
          </cell>
        </row>
        <row r="200">
          <cell r="C200">
            <v>3318</v>
          </cell>
          <cell r="D200">
            <v>2927</v>
          </cell>
        </row>
        <row r="201">
          <cell r="C201">
            <v>3386</v>
          </cell>
          <cell r="D201">
            <v>2969</v>
          </cell>
        </row>
        <row r="202">
          <cell r="C202">
            <v>3236</v>
          </cell>
          <cell r="D202">
            <v>3114</v>
          </cell>
        </row>
        <row r="203">
          <cell r="C203">
            <v>3227</v>
          </cell>
          <cell r="D203">
            <v>3035</v>
          </cell>
        </row>
        <row r="204">
          <cell r="C204">
            <v>3269</v>
          </cell>
          <cell r="D204">
            <v>3186</v>
          </cell>
        </row>
        <row r="205">
          <cell r="C205">
            <v>3445</v>
          </cell>
          <cell r="D205">
            <v>3209</v>
          </cell>
        </row>
        <row r="206">
          <cell r="C206">
            <v>3320</v>
          </cell>
          <cell r="D206">
            <v>3101</v>
          </cell>
        </row>
        <row r="207">
          <cell r="C207">
            <v>3296</v>
          </cell>
          <cell r="D207">
            <v>3102</v>
          </cell>
        </row>
        <row r="208">
          <cell r="C208">
            <v>3549</v>
          </cell>
          <cell r="D208">
            <v>3272</v>
          </cell>
        </row>
        <row r="209">
          <cell r="C209">
            <v>3492</v>
          </cell>
          <cell r="D209">
            <v>3171</v>
          </cell>
        </row>
        <row r="210">
          <cell r="C210">
            <v>3434</v>
          </cell>
          <cell r="D210">
            <v>3121</v>
          </cell>
        </row>
        <row r="211">
          <cell r="C211">
            <v>3497</v>
          </cell>
          <cell r="D211">
            <v>3193</v>
          </cell>
        </row>
        <row r="212">
          <cell r="C212">
            <v>3438</v>
          </cell>
          <cell r="D212">
            <v>3113</v>
          </cell>
        </row>
        <row r="213">
          <cell r="C213">
            <v>3471</v>
          </cell>
          <cell r="D213">
            <v>3179</v>
          </cell>
        </row>
        <row r="214">
          <cell r="C214">
            <v>3448</v>
          </cell>
          <cell r="D214">
            <v>3265</v>
          </cell>
        </row>
        <row r="215">
          <cell r="C215">
            <v>3413</v>
          </cell>
          <cell r="D215">
            <v>3165</v>
          </cell>
        </row>
        <row r="216">
          <cell r="C216">
            <v>3444</v>
          </cell>
          <cell r="D216">
            <v>3218</v>
          </cell>
        </row>
        <row r="217">
          <cell r="C217">
            <v>3325</v>
          </cell>
          <cell r="D217">
            <v>3239</v>
          </cell>
        </row>
        <row r="218">
          <cell r="C218">
            <v>3581</v>
          </cell>
          <cell r="D218">
            <v>3381</v>
          </cell>
        </row>
        <row r="219">
          <cell r="C219">
            <v>3587</v>
          </cell>
          <cell r="D219">
            <v>3478</v>
          </cell>
        </row>
        <row r="220">
          <cell r="C220">
            <v>3753</v>
          </cell>
          <cell r="D220">
            <v>3686</v>
          </cell>
        </row>
        <row r="221">
          <cell r="C221">
            <v>3714</v>
          </cell>
          <cell r="D221">
            <v>3591</v>
          </cell>
        </row>
        <row r="222">
          <cell r="C222">
            <v>3378</v>
          </cell>
          <cell r="D222">
            <v>3587</v>
          </cell>
        </row>
        <row r="223">
          <cell r="C223">
            <v>3834</v>
          </cell>
          <cell r="D223">
            <v>3601</v>
          </cell>
        </row>
        <row r="224">
          <cell r="C224">
            <v>3719</v>
          </cell>
          <cell r="D224">
            <v>3752</v>
          </cell>
        </row>
        <row r="225">
          <cell r="C225">
            <v>3849</v>
          </cell>
          <cell r="D225">
            <v>3789</v>
          </cell>
        </row>
        <row r="226">
          <cell r="C226">
            <v>3871</v>
          </cell>
          <cell r="D226">
            <v>3768</v>
          </cell>
        </row>
        <row r="227">
          <cell r="C227">
            <v>3963</v>
          </cell>
          <cell r="D227">
            <v>3915</v>
          </cell>
        </row>
        <row r="228">
          <cell r="C228">
            <v>4224</v>
          </cell>
          <cell r="D228">
            <v>3994</v>
          </cell>
        </row>
        <row r="229">
          <cell r="C229">
            <v>3674</v>
          </cell>
          <cell r="D229">
            <v>3798</v>
          </cell>
        </row>
        <row r="230">
          <cell r="C230">
            <v>4015</v>
          </cell>
          <cell r="D230">
            <v>3945</v>
          </cell>
        </row>
        <row r="231">
          <cell r="C231">
            <v>4020</v>
          </cell>
          <cell r="D231">
            <v>3970</v>
          </cell>
        </row>
        <row r="232">
          <cell r="C232">
            <v>3122</v>
          </cell>
          <cell r="D232">
            <v>3060</v>
          </cell>
        </row>
        <row r="233">
          <cell r="C233">
            <v>3227</v>
          </cell>
          <cell r="D233">
            <v>3730</v>
          </cell>
        </row>
        <row r="234">
          <cell r="C234">
            <v>4149</v>
          </cell>
          <cell r="D234">
            <v>4040</v>
          </cell>
        </row>
        <row r="235">
          <cell r="C235">
            <v>4412</v>
          </cell>
          <cell r="D235">
            <v>4284</v>
          </cell>
        </row>
        <row r="236">
          <cell r="C236">
            <v>4362</v>
          </cell>
          <cell r="D236">
            <v>4357</v>
          </cell>
        </row>
        <row r="237">
          <cell r="C237">
            <v>4273</v>
          </cell>
          <cell r="D237">
            <v>4253</v>
          </cell>
        </row>
        <row r="238">
          <cell r="C238">
            <v>4264</v>
          </cell>
          <cell r="D238">
            <v>4197</v>
          </cell>
        </row>
        <row r="239">
          <cell r="C239">
            <v>4448</v>
          </cell>
          <cell r="D239">
            <v>4286</v>
          </cell>
        </row>
        <row r="240">
          <cell r="C240">
            <v>4423</v>
          </cell>
          <cell r="D240">
            <v>4201</v>
          </cell>
        </row>
        <row r="241">
          <cell r="C241">
            <v>4473</v>
          </cell>
          <cell r="D241">
            <v>4352</v>
          </cell>
        </row>
        <row r="242">
          <cell r="C242">
            <v>4529</v>
          </cell>
          <cell r="D242">
            <v>4340</v>
          </cell>
        </row>
        <row r="243">
          <cell r="C243">
            <v>4411</v>
          </cell>
          <cell r="D243">
            <v>4238</v>
          </cell>
        </row>
        <row r="244">
          <cell r="C244">
            <v>4484</v>
          </cell>
          <cell r="D244">
            <v>4372</v>
          </cell>
        </row>
        <row r="245">
          <cell r="C245">
            <v>4624</v>
          </cell>
          <cell r="D245">
            <v>4429</v>
          </cell>
        </row>
        <row r="246">
          <cell r="C246">
            <v>4453</v>
          </cell>
          <cell r="D246">
            <v>4369</v>
          </cell>
        </row>
        <row r="247">
          <cell r="C247">
            <v>4625</v>
          </cell>
          <cell r="D247">
            <v>4492</v>
          </cell>
        </row>
        <row r="248">
          <cell r="C248">
            <v>4876</v>
          </cell>
          <cell r="D248">
            <v>4567</v>
          </cell>
        </row>
        <row r="249">
          <cell r="C249">
            <v>4942</v>
          </cell>
          <cell r="D249">
            <v>4495</v>
          </cell>
        </row>
        <row r="250">
          <cell r="C250">
            <v>4912</v>
          </cell>
          <cell r="D250">
            <v>4492</v>
          </cell>
        </row>
        <row r="251">
          <cell r="C251">
            <v>4799</v>
          </cell>
          <cell r="D251">
            <v>4584</v>
          </cell>
        </row>
        <row r="252">
          <cell r="C252">
            <v>4761</v>
          </cell>
          <cell r="D252">
            <v>4661</v>
          </cell>
        </row>
        <row r="253">
          <cell r="C253">
            <v>4910</v>
          </cell>
          <cell r="D253">
            <v>4721</v>
          </cell>
        </row>
        <row r="254">
          <cell r="C254">
            <v>4721</v>
          </cell>
          <cell r="D254">
            <v>4651</v>
          </cell>
        </row>
        <row r="255">
          <cell r="C255">
            <v>4791</v>
          </cell>
          <cell r="D255">
            <v>4625</v>
          </cell>
        </row>
        <row r="256">
          <cell r="C256">
            <v>4950</v>
          </cell>
          <cell r="D256">
            <v>4840</v>
          </cell>
        </row>
        <row r="257">
          <cell r="C257">
            <v>5043</v>
          </cell>
          <cell r="D257">
            <v>4805</v>
          </cell>
        </row>
        <row r="258">
          <cell r="C258">
            <v>5139</v>
          </cell>
          <cell r="D258">
            <v>4870</v>
          </cell>
        </row>
        <row r="259">
          <cell r="C259">
            <v>4993</v>
          </cell>
          <cell r="D259">
            <v>5063</v>
          </cell>
        </row>
        <row r="260">
          <cell r="C260">
            <v>5108</v>
          </cell>
          <cell r="D260">
            <v>5197</v>
          </cell>
        </row>
        <row r="261">
          <cell r="C261">
            <v>5034</v>
          </cell>
          <cell r="D261">
            <v>5326</v>
          </cell>
        </row>
        <row r="262">
          <cell r="C262">
            <v>4897</v>
          </cell>
          <cell r="D262">
            <v>5119</v>
          </cell>
        </row>
        <row r="263">
          <cell r="C263">
            <v>4990</v>
          </cell>
          <cell r="D263">
            <v>5200</v>
          </cell>
        </row>
        <row r="264">
          <cell r="C264">
            <v>5811</v>
          </cell>
          <cell r="D264">
            <v>5466</v>
          </cell>
        </row>
        <row r="265">
          <cell r="C265">
            <v>4086</v>
          </cell>
          <cell r="D265">
            <v>4785</v>
          </cell>
        </row>
        <row r="266">
          <cell r="C266">
            <v>4613</v>
          </cell>
          <cell r="D266">
            <v>4772</v>
          </cell>
        </row>
        <row r="267">
          <cell r="C267">
            <v>5298</v>
          </cell>
          <cell r="D267">
            <v>5485</v>
          </cell>
        </row>
        <row r="268">
          <cell r="C268">
            <v>5565</v>
          </cell>
          <cell r="D268">
            <v>5827</v>
          </cell>
        </row>
        <row r="269">
          <cell r="C269">
            <v>5315</v>
          </cell>
          <cell r="D269">
            <v>5864</v>
          </cell>
        </row>
        <row r="270">
          <cell r="C270">
            <v>5359</v>
          </cell>
          <cell r="D270">
            <v>5906</v>
          </cell>
        </row>
        <row r="271">
          <cell r="C271">
            <v>5231</v>
          </cell>
          <cell r="D271">
            <v>5826</v>
          </cell>
        </row>
        <row r="272">
          <cell r="C272">
            <v>5293</v>
          </cell>
          <cell r="D272">
            <v>5895</v>
          </cell>
        </row>
        <row r="273">
          <cell r="C273">
            <v>5382</v>
          </cell>
          <cell r="D273">
            <v>5877</v>
          </cell>
        </row>
        <row r="274">
          <cell r="C274">
            <v>5618</v>
          </cell>
          <cell r="D274">
            <v>5930</v>
          </cell>
        </row>
        <row r="275">
          <cell r="C275">
            <v>5740</v>
          </cell>
          <cell r="D275">
            <v>6091</v>
          </cell>
        </row>
        <row r="276">
          <cell r="C276">
            <v>5720</v>
          </cell>
          <cell r="D276">
            <v>5977</v>
          </cell>
        </row>
        <row r="277">
          <cell r="C277">
            <v>5817</v>
          </cell>
          <cell r="D277">
            <v>6195</v>
          </cell>
        </row>
        <row r="278">
          <cell r="C278">
            <v>5974</v>
          </cell>
          <cell r="D278">
            <v>6605</v>
          </cell>
        </row>
        <row r="279">
          <cell r="C279">
            <v>6059</v>
          </cell>
          <cell r="D279">
            <v>6459</v>
          </cell>
        </row>
        <row r="280">
          <cell r="C280">
            <v>6481</v>
          </cell>
          <cell r="D280">
            <v>6782</v>
          </cell>
        </row>
        <row r="281">
          <cell r="C281">
            <v>6596</v>
          </cell>
          <cell r="D281">
            <v>7021</v>
          </cell>
        </row>
        <row r="282">
          <cell r="C282">
            <v>6837</v>
          </cell>
          <cell r="D282">
            <v>6952</v>
          </cell>
        </row>
        <row r="283">
          <cell r="C283">
            <v>7103</v>
          </cell>
          <cell r="D283">
            <v>6940</v>
          </cell>
        </row>
        <row r="284">
          <cell r="C284">
            <v>7170</v>
          </cell>
          <cell r="D284">
            <v>7283</v>
          </cell>
        </row>
        <row r="285">
          <cell r="C285">
            <v>7337</v>
          </cell>
          <cell r="D285">
            <v>7355</v>
          </cell>
        </row>
        <row r="286">
          <cell r="C286">
            <v>7580</v>
          </cell>
          <cell r="D286">
            <v>7376</v>
          </cell>
        </row>
        <row r="287">
          <cell r="C287">
            <v>7757</v>
          </cell>
          <cell r="D287">
            <v>7557</v>
          </cell>
        </row>
        <row r="288">
          <cell r="C288">
            <v>8135</v>
          </cell>
          <cell r="D288">
            <v>7191</v>
          </cell>
        </row>
        <row r="289">
          <cell r="C289">
            <v>8345</v>
          </cell>
          <cell r="D289">
            <v>7612</v>
          </cell>
        </row>
        <row r="290">
          <cell r="C290">
            <v>8639</v>
          </cell>
          <cell r="D290">
            <v>8300</v>
          </cell>
        </row>
        <row r="291">
          <cell r="C291">
            <v>8709</v>
          </cell>
          <cell r="D291">
            <v>7907</v>
          </cell>
        </row>
        <row r="292">
          <cell r="C292">
            <v>8901</v>
          </cell>
          <cell r="D292">
            <v>8327</v>
          </cell>
        </row>
        <row r="293">
          <cell r="C293">
            <v>9279</v>
          </cell>
          <cell r="D293">
            <v>9196</v>
          </cell>
        </row>
        <row r="294">
          <cell r="C294">
            <v>9360</v>
          </cell>
          <cell r="D294">
            <v>9659</v>
          </cell>
        </row>
        <row r="295">
          <cell r="C295">
            <v>10013</v>
          </cell>
          <cell r="D295">
            <v>10023</v>
          </cell>
        </row>
        <row r="296">
          <cell r="C296">
            <v>9551</v>
          </cell>
          <cell r="D296">
            <v>10246</v>
          </cell>
        </row>
        <row r="297">
          <cell r="C297">
            <v>10223</v>
          </cell>
          <cell r="D297">
            <v>10656</v>
          </cell>
        </row>
        <row r="298">
          <cell r="C298">
            <v>10208</v>
          </cell>
          <cell r="D298">
            <v>11001</v>
          </cell>
        </row>
        <row r="299">
          <cell r="C299">
            <v>10324</v>
          </cell>
          <cell r="D299">
            <v>11291</v>
          </cell>
        </row>
        <row r="300">
          <cell r="C300">
            <v>10304</v>
          </cell>
          <cell r="D300">
            <v>10789</v>
          </cell>
        </row>
        <row r="301">
          <cell r="C301">
            <v>10707</v>
          </cell>
          <cell r="D301">
            <v>10918</v>
          </cell>
        </row>
        <row r="302">
          <cell r="C302">
            <v>10998</v>
          </cell>
          <cell r="D302">
            <v>11131</v>
          </cell>
        </row>
        <row r="303">
          <cell r="C303">
            <v>10885</v>
          </cell>
          <cell r="D303">
            <v>11539</v>
          </cell>
        </row>
        <row r="304">
          <cell r="C304">
            <v>11649</v>
          </cell>
          <cell r="D304">
            <v>12005</v>
          </cell>
        </row>
        <row r="305">
          <cell r="C305">
            <v>10963</v>
          </cell>
          <cell r="D305">
            <v>9993</v>
          </cell>
        </row>
        <row r="306">
          <cell r="C306">
            <v>10871</v>
          </cell>
          <cell r="D306">
            <v>9580</v>
          </cell>
        </row>
        <row r="307">
          <cell r="C307">
            <v>10987</v>
          </cell>
          <cell r="D307">
            <v>9988</v>
          </cell>
        </row>
        <row r="308">
          <cell r="C308">
            <v>10519</v>
          </cell>
          <cell r="D308">
            <v>9240</v>
          </cell>
        </row>
        <row r="309">
          <cell r="C309">
            <v>11027</v>
          </cell>
          <cell r="D309">
            <v>9081</v>
          </cell>
        </row>
        <row r="310">
          <cell r="C310">
            <v>10852</v>
          </cell>
          <cell r="D310">
            <v>9903</v>
          </cell>
        </row>
        <row r="311">
          <cell r="C311">
            <v>11005</v>
          </cell>
          <cell r="D311">
            <v>9959</v>
          </cell>
        </row>
        <row r="312">
          <cell r="C312">
            <v>11080</v>
          </cell>
          <cell r="D312">
            <v>10181</v>
          </cell>
        </row>
        <row r="313">
          <cell r="C313">
            <v>11363</v>
          </cell>
          <cell r="D313">
            <v>10443</v>
          </cell>
        </row>
        <row r="314">
          <cell r="C314">
            <v>11543</v>
          </cell>
          <cell r="D314">
            <v>10374</v>
          </cell>
        </row>
        <row r="315">
          <cell r="C315">
            <v>11397</v>
          </cell>
          <cell r="D315">
            <v>10580</v>
          </cell>
        </row>
        <row r="316">
          <cell r="C316">
            <v>11298</v>
          </cell>
          <cell r="D316">
            <v>11302</v>
          </cell>
        </row>
        <row r="317">
          <cell r="C317">
            <v>11120</v>
          </cell>
          <cell r="D317">
            <v>11263</v>
          </cell>
        </row>
        <row r="318">
          <cell r="C318">
            <v>11221</v>
          </cell>
          <cell r="D318">
            <v>11703</v>
          </cell>
        </row>
        <row r="319">
          <cell r="C319">
            <v>11600</v>
          </cell>
          <cell r="D319">
            <v>11933</v>
          </cell>
        </row>
        <row r="320">
          <cell r="C320">
            <v>11795</v>
          </cell>
          <cell r="D320">
            <v>11482</v>
          </cell>
        </row>
        <row r="321">
          <cell r="C321">
            <v>11958</v>
          </cell>
          <cell r="D321">
            <v>12571</v>
          </cell>
        </row>
        <row r="322">
          <cell r="C322">
            <v>12431</v>
          </cell>
          <cell r="D322">
            <v>13105</v>
          </cell>
        </row>
        <row r="323">
          <cell r="C323">
            <v>12268</v>
          </cell>
          <cell r="D323">
            <v>12815</v>
          </cell>
        </row>
        <row r="324">
          <cell r="C324">
            <v>12283</v>
          </cell>
          <cell r="D324">
            <v>13049</v>
          </cell>
        </row>
        <row r="325">
          <cell r="C325">
            <v>12260</v>
          </cell>
          <cell r="D325">
            <v>12969</v>
          </cell>
        </row>
        <row r="326">
          <cell r="C326">
            <v>12090</v>
          </cell>
          <cell r="D326">
            <v>13110</v>
          </cell>
        </row>
        <row r="327">
          <cell r="C327">
            <v>12938</v>
          </cell>
          <cell r="D327">
            <v>13725</v>
          </cell>
        </row>
        <row r="328">
          <cell r="C328">
            <v>12175</v>
          </cell>
          <cell r="D328">
            <v>12919</v>
          </cell>
        </row>
        <row r="329">
          <cell r="C329">
            <v>12398</v>
          </cell>
          <cell r="D329">
            <v>15215</v>
          </cell>
        </row>
        <row r="330">
          <cell r="C330">
            <v>12665</v>
          </cell>
          <cell r="D330">
            <v>15017</v>
          </cell>
        </row>
        <row r="331">
          <cell r="C331">
            <v>12589</v>
          </cell>
          <cell r="D331">
            <v>14440</v>
          </cell>
        </row>
        <row r="332">
          <cell r="C332">
            <v>13165</v>
          </cell>
          <cell r="D332">
            <v>13791</v>
          </cell>
        </row>
        <row r="333">
          <cell r="C333">
            <v>12730</v>
          </cell>
          <cell r="D333">
            <v>15989</v>
          </cell>
        </row>
        <row r="334">
          <cell r="C334">
            <v>13044</v>
          </cell>
          <cell r="D334">
            <v>14952</v>
          </cell>
        </row>
        <row r="335">
          <cell r="C335">
            <v>12362</v>
          </cell>
          <cell r="D335">
            <v>14828</v>
          </cell>
        </row>
        <row r="336">
          <cell r="C336">
            <v>13708</v>
          </cell>
          <cell r="D336">
            <v>15456</v>
          </cell>
        </row>
        <row r="337">
          <cell r="C337">
            <v>12063</v>
          </cell>
          <cell r="D337">
            <v>15374</v>
          </cell>
        </row>
        <row r="338">
          <cell r="C338">
            <v>12185</v>
          </cell>
          <cell r="D338">
            <v>15156</v>
          </cell>
        </row>
        <row r="339">
          <cell r="C339">
            <v>13700</v>
          </cell>
          <cell r="D339">
            <v>16039</v>
          </cell>
        </row>
        <row r="340">
          <cell r="C340">
            <v>12769</v>
          </cell>
          <cell r="D340">
            <v>16198</v>
          </cell>
        </row>
        <row r="341">
          <cell r="C341">
            <v>12847</v>
          </cell>
          <cell r="D341">
            <v>17154</v>
          </cell>
        </row>
        <row r="342">
          <cell r="C342">
            <v>14051</v>
          </cell>
          <cell r="D342">
            <v>16857</v>
          </cell>
        </row>
        <row r="343">
          <cell r="C343">
            <v>14556</v>
          </cell>
          <cell r="D343">
            <v>17362</v>
          </cell>
        </row>
        <row r="344">
          <cell r="C344">
            <v>14711</v>
          </cell>
          <cell r="D344">
            <v>16884</v>
          </cell>
        </row>
        <row r="345">
          <cell r="C345">
            <v>15192</v>
          </cell>
          <cell r="D345">
            <v>16815</v>
          </cell>
        </row>
        <row r="346">
          <cell r="C346">
            <v>14737</v>
          </cell>
          <cell r="D346">
            <v>17645</v>
          </cell>
        </row>
        <row r="347">
          <cell r="C347">
            <v>15359</v>
          </cell>
          <cell r="D347">
            <v>17161</v>
          </cell>
        </row>
        <row r="348">
          <cell r="C348">
            <v>16356</v>
          </cell>
          <cell r="D348">
            <v>17995</v>
          </cell>
        </row>
        <row r="349">
          <cell r="C349">
            <v>16130</v>
          </cell>
          <cell r="D349">
            <v>17945</v>
          </cell>
        </row>
        <row r="350">
          <cell r="C350">
            <v>16684</v>
          </cell>
          <cell r="D350">
            <v>18092</v>
          </cell>
        </row>
        <row r="351">
          <cell r="C351">
            <v>16523</v>
          </cell>
          <cell r="D351">
            <v>18154</v>
          </cell>
        </row>
        <row r="352">
          <cell r="C352">
            <v>16502</v>
          </cell>
          <cell r="D352">
            <v>19696</v>
          </cell>
        </row>
        <row r="353">
          <cell r="C353">
            <v>16848</v>
          </cell>
          <cell r="D353">
            <v>17802</v>
          </cell>
        </row>
        <row r="354">
          <cell r="C354">
            <v>17538</v>
          </cell>
          <cell r="D354">
            <v>18540</v>
          </cell>
        </row>
        <row r="355">
          <cell r="C355">
            <v>17226</v>
          </cell>
          <cell r="D355">
            <v>19048</v>
          </cell>
        </row>
        <row r="356">
          <cell r="C356">
            <v>17344</v>
          </cell>
          <cell r="D356">
            <v>19792</v>
          </cell>
        </row>
        <row r="357">
          <cell r="C357">
            <v>18066</v>
          </cell>
          <cell r="D357">
            <v>20188</v>
          </cell>
        </row>
        <row r="358">
          <cell r="C358">
            <v>19018</v>
          </cell>
          <cell r="D358">
            <v>20226</v>
          </cell>
        </row>
        <row r="359">
          <cell r="C359">
            <v>19066</v>
          </cell>
          <cell r="D359">
            <v>21769</v>
          </cell>
        </row>
        <row r="360">
          <cell r="C360">
            <v>19155</v>
          </cell>
          <cell r="D360">
            <v>21742</v>
          </cell>
        </row>
        <row r="361">
          <cell r="C361">
            <v>20159</v>
          </cell>
          <cell r="D361">
            <v>22521</v>
          </cell>
        </row>
        <row r="362">
          <cell r="C362">
            <v>20397</v>
          </cell>
          <cell r="D362">
            <v>22263</v>
          </cell>
        </row>
        <row r="363">
          <cell r="C363">
            <v>20212</v>
          </cell>
          <cell r="D363">
            <v>23406</v>
          </cell>
        </row>
        <row r="364">
          <cell r="C364">
            <v>21085</v>
          </cell>
          <cell r="D364">
            <v>24626</v>
          </cell>
        </row>
        <row r="365">
          <cell r="C365">
            <v>20650</v>
          </cell>
          <cell r="D365">
            <v>25279</v>
          </cell>
        </row>
        <row r="366">
          <cell r="C366">
            <v>21931</v>
          </cell>
          <cell r="D366">
            <v>24473</v>
          </cell>
        </row>
        <row r="367">
          <cell r="C367">
            <v>22397</v>
          </cell>
          <cell r="D367">
            <v>23200</v>
          </cell>
        </row>
        <row r="368">
          <cell r="C368">
            <v>21477</v>
          </cell>
          <cell r="D368">
            <v>24027</v>
          </cell>
        </row>
        <row r="369">
          <cell r="C369">
            <v>22270</v>
          </cell>
          <cell r="D369">
            <v>23796</v>
          </cell>
        </row>
        <row r="370">
          <cell r="C370">
            <v>22448</v>
          </cell>
          <cell r="D370">
            <v>22620</v>
          </cell>
        </row>
        <row r="371">
          <cell r="C371">
            <v>23267</v>
          </cell>
          <cell r="D371">
            <v>23150</v>
          </cell>
        </row>
        <row r="372">
          <cell r="C372">
            <v>23009</v>
          </cell>
          <cell r="D372">
            <v>23365</v>
          </cell>
        </row>
        <row r="373">
          <cell r="C373">
            <v>23402</v>
          </cell>
          <cell r="D373">
            <v>23914</v>
          </cell>
        </row>
        <row r="374">
          <cell r="C374">
            <v>22900</v>
          </cell>
          <cell r="D374">
            <v>23443</v>
          </cell>
        </row>
        <row r="375">
          <cell r="C375">
            <v>23436</v>
          </cell>
          <cell r="D375">
            <v>25014</v>
          </cell>
        </row>
        <row r="376">
          <cell r="C376">
            <v>23463</v>
          </cell>
          <cell r="D376">
            <v>26403</v>
          </cell>
        </row>
        <row r="377">
          <cell r="C377">
            <v>24349</v>
          </cell>
          <cell r="D377">
            <v>25703</v>
          </cell>
        </row>
        <row r="378">
          <cell r="C378">
            <v>25839</v>
          </cell>
          <cell r="D378">
            <v>24816</v>
          </cell>
        </row>
        <row r="379">
          <cell r="C379">
            <v>24583</v>
          </cell>
          <cell r="D379">
            <v>26065</v>
          </cell>
        </row>
        <row r="380">
          <cell r="C380">
            <v>23696</v>
          </cell>
          <cell r="D380">
            <v>25048</v>
          </cell>
        </row>
        <row r="381">
          <cell r="C381">
            <v>24547</v>
          </cell>
          <cell r="D381">
            <v>25821</v>
          </cell>
        </row>
        <row r="382">
          <cell r="C382">
            <v>24234</v>
          </cell>
          <cell r="D382">
            <v>23859</v>
          </cell>
        </row>
        <row r="383">
          <cell r="C383">
            <v>23976</v>
          </cell>
          <cell r="D383">
            <v>26987</v>
          </cell>
        </row>
        <row r="384">
          <cell r="C384">
            <v>24496</v>
          </cell>
          <cell r="D384">
            <v>25019</v>
          </cell>
        </row>
        <row r="385">
          <cell r="C385">
            <v>23978</v>
          </cell>
          <cell r="D385">
            <v>26897</v>
          </cell>
        </row>
        <row r="386">
          <cell r="C386">
            <v>23968</v>
          </cell>
          <cell r="D386">
            <v>26328</v>
          </cell>
        </row>
        <row r="387">
          <cell r="C387">
            <v>23700</v>
          </cell>
          <cell r="D387">
            <v>23566</v>
          </cell>
        </row>
        <row r="388">
          <cell r="C388">
            <v>23928</v>
          </cell>
          <cell r="D388">
            <v>26823</v>
          </cell>
        </row>
        <row r="389">
          <cell r="C389">
            <v>23958</v>
          </cell>
          <cell r="D389">
            <v>23820</v>
          </cell>
        </row>
        <row r="390">
          <cell r="C390">
            <v>23806</v>
          </cell>
          <cell r="D390">
            <v>24268</v>
          </cell>
        </row>
        <row r="391">
          <cell r="C391">
            <v>23401</v>
          </cell>
          <cell r="D391">
            <v>22079</v>
          </cell>
        </row>
        <row r="392">
          <cell r="C392">
            <v>23520</v>
          </cell>
          <cell r="D392">
            <v>24842</v>
          </cell>
        </row>
        <row r="393">
          <cell r="C393">
            <v>24219</v>
          </cell>
          <cell r="D393">
            <v>25552</v>
          </cell>
        </row>
        <row r="394">
          <cell r="C394">
            <v>23394</v>
          </cell>
          <cell r="D394">
            <v>24114</v>
          </cell>
        </row>
        <row r="395">
          <cell r="C395">
            <v>22797</v>
          </cell>
          <cell r="D395">
            <v>27195</v>
          </cell>
        </row>
        <row r="396">
          <cell r="C396">
            <v>22654</v>
          </cell>
          <cell r="D396">
            <v>24846</v>
          </cell>
        </row>
        <row r="397">
          <cell r="C397">
            <v>21957</v>
          </cell>
          <cell r="D397">
            <v>25376</v>
          </cell>
        </row>
        <row r="398">
          <cell r="C398">
            <v>21138</v>
          </cell>
          <cell r="D398">
            <v>23262</v>
          </cell>
        </row>
        <row r="399">
          <cell r="C399">
            <v>21633</v>
          </cell>
          <cell r="D399">
            <v>23524</v>
          </cell>
        </row>
        <row r="400">
          <cell r="C400">
            <v>22641</v>
          </cell>
          <cell r="D400">
            <v>24439</v>
          </cell>
        </row>
        <row r="401">
          <cell r="C401">
            <v>21721</v>
          </cell>
          <cell r="D401">
            <v>23116</v>
          </cell>
        </row>
        <row r="402">
          <cell r="C402">
            <v>22099</v>
          </cell>
          <cell r="D402">
            <v>23840</v>
          </cell>
        </row>
        <row r="403">
          <cell r="C403">
            <v>21451</v>
          </cell>
          <cell r="D403">
            <v>24426</v>
          </cell>
        </row>
        <row r="404">
          <cell r="C404">
            <v>21011</v>
          </cell>
          <cell r="D404">
            <v>25958</v>
          </cell>
        </row>
        <row r="405">
          <cell r="C405">
            <v>22315</v>
          </cell>
          <cell r="D405">
            <v>25428</v>
          </cell>
        </row>
        <row r="406">
          <cell r="C406">
            <v>21910</v>
          </cell>
          <cell r="D406">
            <v>26531</v>
          </cell>
        </row>
        <row r="407">
          <cell r="C407">
            <v>22006</v>
          </cell>
          <cell r="D407">
            <v>27417</v>
          </cell>
        </row>
        <row r="408">
          <cell r="C408">
            <v>22681</v>
          </cell>
          <cell r="D408">
            <v>27154</v>
          </cell>
        </row>
        <row r="409">
          <cell r="C409">
            <v>22248</v>
          </cell>
          <cell r="D409">
            <v>29106</v>
          </cell>
        </row>
        <row r="410">
          <cell r="C410">
            <v>22278</v>
          </cell>
          <cell r="D410">
            <v>27888</v>
          </cell>
        </row>
        <row r="411">
          <cell r="C411">
            <v>22513</v>
          </cell>
          <cell r="D411">
            <v>27749</v>
          </cell>
        </row>
        <row r="412">
          <cell r="C412">
            <v>23659</v>
          </cell>
          <cell r="D412">
            <v>31576</v>
          </cell>
        </row>
        <row r="413">
          <cell r="C413">
            <v>22978</v>
          </cell>
          <cell r="D413">
            <v>31792</v>
          </cell>
        </row>
        <row r="414">
          <cell r="C414">
            <v>23676</v>
          </cell>
          <cell r="D414">
            <v>32320</v>
          </cell>
        </row>
        <row r="415">
          <cell r="C415">
            <v>23519</v>
          </cell>
          <cell r="D415">
            <v>33695</v>
          </cell>
        </row>
        <row r="416">
          <cell r="C416">
            <v>23977</v>
          </cell>
          <cell r="D416">
            <v>31633</v>
          </cell>
        </row>
        <row r="417">
          <cell r="C417">
            <v>23704</v>
          </cell>
          <cell r="D417">
            <v>30897</v>
          </cell>
        </row>
        <row r="418">
          <cell r="C418">
            <v>25111</v>
          </cell>
          <cell r="D418">
            <v>37049</v>
          </cell>
        </row>
        <row r="419">
          <cell r="C419">
            <v>24080</v>
          </cell>
          <cell r="D419">
            <v>32581</v>
          </cell>
        </row>
        <row r="420">
          <cell r="C420">
            <v>24167</v>
          </cell>
          <cell r="D420">
            <v>34124</v>
          </cell>
        </row>
        <row r="421">
          <cell r="C421">
            <v>24339</v>
          </cell>
          <cell r="D421">
            <v>32631</v>
          </cell>
        </row>
        <row r="422">
          <cell r="C422">
            <v>24323</v>
          </cell>
          <cell r="D422">
            <v>33179</v>
          </cell>
        </row>
        <row r="423">
          <cell r="C423">
            <v>25070</v>
          </cell>
          <cell r="D423">
            <v>31781</v>
          </cell>
        </row>
        <row r="424">
          <cell r="C424">
            <v>25456</v>
          </cell>
          <cell r="D424">
            <v>34196</v>
          </cell>
        </row>
        <row r="425">
          <cell r="C425">
            <v>23908</v>
          </cell>
          <cell r="D425">
            <v>33884</v>
          </cell>
        </row>
        <row r="426">
          <cell r="C426">
            <v>24501</v>
          </cell>
          <cell r="D426">
            <v>34028</v>
          </cell>
        </row>
        <row r="427">
          <cell r="C427">
            <v>23829</v>
          </cell>
          <cell r="D427">
            <v>34382</v>
          </cell>
        </row>
        <row r="428">
          <cell r="C428">
            <v>23464</v>
          </cell>
          <cell r="D428">
            <v>34772</v>
          </cell>
        </row>
        <row r="429">
          <cell r="C429">
            <v>23488</v>
          </cell>
          <cell r="D429">
            <v>35512</v>
          </cell>
        </row>
        <row r="430">
          <cell r="C430">
            <v>23371</v>
          </cell>
          <cell r="D430">
            <v>32676</v>
          </cell>
        </row>
        <row r="431">
          <cell r="C431">
            <v>23382</v>
          </cell>
          <cell r="D431">
            <v>32129</v>
          </cell>
        </row>
        <row r="432">
          <cell r="C432">
            <v>23691</v>
          </cell>
          <cell r="D432">
            <v>37810</v>
          </cell>
        </row>
        <row r="433">
          <cell r="C433">
            <v>23601</v>
          </cell>
          <cell r="D433">
            <v>33836</v>
          </cell>
        </row>
        <row r="434">
          <cell r="C434">
            <v>24209</v>
          </cell>
          <cell r="D434">
            <v>36627</v>
          </cell>
        </row>
        <row r="435">
          <cell r="C435">
            <v>23257</v>
          </cell>
          <cell r="D435">
            <v>39130</v>
          </cell>
        </row>
        <row r="436">
          <cell r="C436">
            <v>25518</v>
          </cell>
          <cell r="D436">
            <v>37202</v>
          </cell>
        </row>
        <row r="437">
          <cell r="C437">
            <v>25481</v>
          </cell>
          <cell r="D437">
            <v>35468</v>
          </cell>
        </row>
        <row r="438">
          <cell r="C438">
            <v>24960</v>
          </cell>
          <cell r="D438">
            <v>35726</v>
          </cell>
        </row>
        <row r="439">
          <cell r="C439">
            <v>25686</v>
          </cell>
          <cell r="D439">
            <v>36622</v>
          </cell>
        </row>
        <row r="440">
          <cell r="C440">
            <v>25947</v>
          </cell>
          <cell r="D440">
            <v>35725</v>
          </cell>
        </row>
        <row r="441">
          <cell r="C441">
            <v>26962</v>
          </cell>
          <cell r="D441">
            <v>36295</v>
          </cell>
        </row>
        <row r="442">
          <cell r="C442">
            <v>27005</v>
          </cell>
          <cell r="D442">
            <v>37751</v>
          </cell>
        </row>
        <row r="443">
          <cell r="C443">
            <v>25244</v>
          </cell>
          <cell r="D443">
            <v>36904</v>
          </cell>
        </row>
        <row r="444">
          <cell r="C444">
            <v>25556</v>
          </cell>
          <cell r="D444">
            <v>38520</v>
          </cell>
        </row>
        <row r="445">
          <cell r="C445">
            <v>27281</v>
          </cell>
          <cell r="D445">
            <v>37848</v>
          </cell>
        </row>
        <row r="446">
          <cell r="C446">
            <v>26848</v>
          </cell>
          <cell r="D446">
            <v>39561</v>
          </cell>
        </row>
        <row r="447">
          <cell r="C447">
            <v>26808</v>
          </cell>
          <cell r="D447">
            <v>37657</v>
          </cell>
        </row>
        <row r="448">
          <cell r="C448">
            <v>26355</v>
          </cell>
          <cell r="D448">
            <v>39241</v>
          </cell>
        </row>
        <row r="449">
          <cell r="C449">
            <v>27349</v>
          </cell>
          <cell r="D449">
            <v>38238</v>
          </cell>
        </row>
        <row r="450">
          <cell r="C450">
            <v>27959</v>
          </cell>
          <cell r="D450">
            <v>39299</v>
          </cell>
        </row>
        <row r="451">
          <cell r="C451">
            <v>28429</v>
          </cell>
          <cell r="D451">
            <v>39794</v>
          </cell>
        </row>
        <row r="452">
          <cell r="C452">
            <v>28290</v>
          </cell>
          <cell r="D452">
            <v>40961</v>
          </cell>
        </row>
        <row r="453">
          <cell r="C453">
            <v>29560</v>
          </cell>
          <cell r="D453">
            <v>41618</v>
          </cell>
        </row>
        <row r="454">
          <cell r="C454">
            <v>30727</v>
          </cell>
          <cell r="D454">
            <v>42482</v>
          </cell>
        </row>
        <row r="455">
          <cell r="C455">
            <v>29100</v>
          </cell>
          <cell r="D455">
            <v>42061</v>
          </cell>
        </row>
        <row r="456">
          <cell r="C456">
            <v>29924</v>
          </cell>
          <cell r="D456">
            <v>41570</v>
          </cell>
        </row>
        <row r="457">
          <cell r="C457">
            <v>30509</v>
          </cell>
          <cell r="D457">
            <v>44250</v>
          </cell>
        </row>
        <row r="458">
          <cell r="C458">
            <v>31700</v>
          </cell>
          <cell r="D458">
            <v>43216</v>
          </cell>
        </row>
        <row r="459">
          <cell r="C459">
            <v>32560</v>
          </cell>
          <cell r="D459">
            <v>43755</v>
          </cell>
        </row>
        <row r="460">
          <cell r="C460">
            <v>32475</v>
          </cell>
          <cell r="D460">
            <v>42296</v>
          </cell>
        </row>
        <row r="461">
          <cell r="C461">
            <v>33333</v>
          </cell>
          <cell r="D461">
            <v>45214</v>
          </cell>
        </row>
        <row r="462">
          <cell r="C462">
            <v>36210</v>
          </cell>
          <cell r="D462">
            <v>44836</v>
          </cell>
        </row>
        <row r="463">
          <cell r="C463">
            <v>35382</v>
          </cell>
          <cell r="D463">
            <v>43342</v>
          </cell>
        </row>
        <row r="464">
          <cell r="C464">
            <v>36724</v>
          </cell>
          <cell r="D464">
            <v>44069</v>
          </cell>
        </row>
        <row r="465">
          <cell r="C465">
            <v>35773</v>
          </cell>
          <cell r="D465">
            <v>45671</v>
          </cell>
        </row>
        <row r="466">
          <cell r="C466">
            <v>35605</v>
          </cell>
          <cell r="D466">
            <v>43198</v>
          </cell>
        </row>
        <row r="467">
          <cell r="C467">
            <v>36788</v>
          </cell>
          <cell r="D467">
            <v>45886</v>
          </cell>
        </row>
        <row r="468">
          <cell r="C468">
            <v>36898</v>
          </cell>
          <cell r="D468">
            <v>44674</v>
          </cell>
        </row>
        <row r="469">
          <cell r="C469">
            <v>37571</v>
          </cell>
          <cell r="D469">
            <v>45223</v>
          </cell>
        </row>
        <row r="470">
          <cell r="C470">
            <v>37087</v>
          </cell>
          <cell r="D470">
            <v>46214</v>
          </cell>
        </row>
        <row r="471">
          <cell r="C471">
            <v>38563</v>
          </cell>
          <cell r="D471">
            <v>48187</v>
          </cell>
        </row>
        <row r="472">
          <cell r="C472">
            <v>38559</v>
          </cell>
          <cell r="D472">
            <v>45846</v>
          </cell>
        </row>
        <row r="473">
          <cell r="C473">
            <v>38672</v>
          </cell>
          <cell r="D473">
            <v>46895</v>
          </cell>
        </row>
        <row r="474">
          <cell r="C474">
            <v>40837</v>
          </cell>
          <cell r="D474">
            <v>48058</v>
          </cell>
        </row>
        <row r="475">
          <cell r="C475">
            <v>40911</v>
          </cell>
          <cell r="D475">
            <v>47039</v>
          </cell>
        </row>
        <row r="476">
          <cell r="C476">
            <v>41031</v>
          </cell>
          <cell r="D476">
            <v>49284</v>
          </cell>
        </row>
        <row r="477">
          <cell r="C477">
            <v>41637</v>
          </cell>
          <cell r="D477">
            <v>48155</v>
          </cell>
        </row>
        <row r="478">
          <cell r="C478">
            <v>40690</v>
          </cell>
          <cell r="D478">
            <v>47490</v>
          </cell>
        </row>
        <row r="479">
          <cell r="C479">
            <v>40924</v>
          </cell>
          <cell r="D479">
            <v>48656</v>
          </cell>
        </row>
        <row r="480">
          <cell r="C480">
            <v>41172</v>
          </cell>
          <cell r="D480">
            <v>47772</v>
          </cell>
        </row>
        <row r="481">
          <cell r="C481">
            <v>42162</v>
          </cell>
          <cell r="D481">
            <v>49693</v>
          </cell>
        </row>
        <row r="482">
          <cell r="C482">
            <v>41530</v>
          </cell>
          <cell r="D482">
            <v>49161</v>
          </cell>
        </row>
        <row r="483">
          <cell r="C483">
            <v>42525</v>
          </cell>
          <cell r="D483">
            <v>47096</v>
          </cell>
        </row>
        <row r="484">
          <cell r="C484">
            <v>43315</v>
          </cell>
          <cell r="D484">
            <v>50769</v>
          </cell>
        </row>
        <row r="485">
          <cell r="C485">
            <v>43412</v>
          </cell>
          <cell r="D485">
            <v>48553</v>
          </cell>
        </row>
        <row r="486">
          <cell r="C486">
            <v>44889</v>
          </cell>
          <cell r="D486">
            <v>51219</v>
          </cell>
        </row>
        <row r="487">
          <cell r="C487">
            <v>44092</v>
          </cell>
          <cell r="D487">
            <v>49373</v>
          </cell>
        </row>
        <row r="488">
          <cell r="C488">
            <v>44559</v>
          </cell>
          <cell r="D488">
            <v>50176</v>
          </cell>
        </row>
        <row r="489">
          <cell r="C489">
            <v>45741</v>
          </cell>
          <cell r="D489">
            <v>50263</v>
          </cell>
        </row>
        <row r="490">
          <cell r="C490">
            <v>44811</v>
          </cell>
          <cell r="D490">
            <v>51291</v>
          </cell>
        </row>
        <row r="491">
          <cell r="C491">
            <v>45065</v>
          </cell>
          <cell r="D491">
            <v>51771</v>
          </cell>
        </row>
        <row r="492">
          <cell r="C492">
            <v>44819</v>
          </cell>
          <cell r="D492">
            <v>51319</v>
          </cell>
        </row>
        <row r="493">
          <cell r="C493">
            <v>47666</v>
          </cell>
          <cell r="D493">
            <v>54152</v>
          </cell>
        </row>
        <row r="494">
          <cell r="C494">
            <v>46755</v>
          </cell>
          <cell r="D494">
            <v>53342</v>
          </cell>
        </row>
        <row r="495">
          <cell r="C495">
            <v>46974</v>
          </cell>
          <cell r="D495">
            <v>50262</v>
          </cell>
        </row>
        <row r="496">
          <cell r="C496">
            <v>46963</v>
          </cell>
          <cell r="D496">
            <v>51179</v>
          </cell>
        </row>
        <row r="497">
          <cell r="C497">
            <v>46310</v>
          </cell>
          <cell r="D497">
            <v>49309</v>
          </cell>
        </row>
        <row r="498">
          <cell r="C498">
            <v>47084</v>
          </cell>
          <cell r="D498">
            <v>48794</v>
          </cell>
        </row>
        <row r="499">
          <cell r="C499">
            <v>48887</v>
          </cell>
          <cell r="D499">
            <v>49589</v>
          </cell>
        </row>
        <row r="500">
          <cell r="C500">
            <v>48694</v>
          </cell>
          <cell r="D500">
            <v>50076</v>
          </cell>
        </row>
        <row r="501">
          <cell r="C501">
            <v>48511</v>
          </cell>
          <cell r="D501">
            <v>49663</v>
          </cell>
        </row>
        <row r="502">
          <cell r="C502">
            <v>48818</v>
          </cell>
          <cell r="D502">
            <v>50121</v>
          </cell>
        </row>
        <row r="503">
          <cell r="C503">
            <v>48805</v>
          </cell>
          <cell r="D503">
            <v>50610</v>
          </cell>
        </row>
        <row r="504">
          <cell r="C504">
            <v>49106</v>
          </cell>
          <cell r="D504">
            <v>51196</v>
          </cell>
        </row>
        <row r="505">
          <cell r="C505">
            <v>51193</v>
          </cell>
          <cell r="D505">
            <v>52496</v>
          </cell>
        </row>
        <row r="506">
          <cell r="C506">
            <v>51624</v>
          </cell>
          <cell r="D506">
            <v>51687</v>
          </cell>
        </row>
        <row r="507">
          <cell r="C507">
            <v>50158</v>
          </cell>
          <cell r="D507">
            <v>51829</v>
          </cell>
        </row>
        <row r="508">
          <cell r="C508">
            <v>50251</v>
          </cell>
          <cell r="D508">
            <v>52277</v>
          </cell>
        </row>
        <row r="509">
          <cell r="C509">
            <v>51682</v>
          </cell>
          <cell r="D509">
            <v>52513</v>
          </cell>
        </row>
        <row r="510">
          <cell r="C510">
            <v>50294</v>
          </cell>
          <cell r="D510">
            <v>52935</v>
          </cell>
        </row>
        <row r="511">
          <cell r="C511">
            <v>50302</v>
          </cell>
          <cell r="D511">
            <v>53411</v>
          </cell>
        </row>
        <row r="512">
          <cell r="C512">
            <v>50044</v>
          </cell>
          <cell r="D512">
            <v>53963</v>
          </cell>
        </row>
        <row r="513">
          <cell r="C513">
            <v>51727</v>
          </cell>
          <cell r="D513">
            <v>54551</v>
          </cell>
        </row>
        <row r="514">
          <cell r="C514">
            <v>52533</v>
          </cell>
          <cell r="D514">
            <v>55313</v>
          </cell>
        </row>
        <row r="515">
          <cell r="C515">
            <v>50940</v>
          </cell>
          <cell r="D515">
            <v>55395</v>
          </cell>
        </row>
        <row r="516">
          <cell r="C516">
            <v>51984</v>
          </cell>
          <cell r="D516">
            <v>55515</v>
          </cell>
        </row>
        <row r="517">
          <cell r="C517">
            <v>53035</v>
          </cell>
          <cell r="D517">
            <v>56556</v>
          </cell>
        </row>
        <row r="518">
          <cell r="C518">
            <v>52246</v>
          </cell>
          <cell r="D518">
            <v>56214</v>
          </cell>
        </row>
        <row r="519">
          <cell r="C519">
            <v>51843</v>
          </cell>
          <cell r="D519">
            <v>57446</v>
          </cell>
        </row>
        <row r="520">
          <cell r="C520">
            <v>52568</v>
          </cell>
          <cell r="D520">
            <v>56439</v>
          </cell>
        </row>
        <row r="521">
          <cell r="C521">
            <v>52480</v>
          </cell>
          <cell r="D521">
            <v>56076</v>
          </cell>
        </row>
        <row r="522">
          <cell r="C522">
            <v>53035</v>
          </cell>
          <cell r="D522">
            <v>59813</v>
          </cell>
        </row>
        <row r="523">
          <cell r="C523">
            <v>53139</v>
          </cell>
          <cell r="D523">
            <v>59584</v>
          </cell>
        </row>
        <row r="524">
          <cell r="C524">
            <v>54229</v>
          </cell>
          <cell r="D524">
            <v>58598</v>
          </cell>
        </row>
        <row r="525">
          <cell r="C525">
            <v>52346</v>
          </cell>
          <cell r="D525">
            <v>59275</v>
          </cell>
        </row>
        <row r="526">
          <cell r="C526">
            <v>52818</v>
          </cell>
          <cell r="D526">
            <v>59200</v>
          </cell>
        </row>
        <row r="527">
          <cell r="C527">
            <v>53224</v>
          </cell>
          <cell r="D527">
            <v>58805</v>
          </cell>
        </row>
        <row r="528">
          <cell r="C528">
            <v>53648</v>
          </cell>
          <cell r="D528">
            <v>60679</v>
          </cell>
        </row>
        <row r="529">
          <cell r="C529">
            <v>55476</v>
          </cell>
          <cell r="D529">
            <v>62069</v>
          </cell>
        </row>
        <row r="530">
          <cell r="C530">
            <v>54345</v>
          </cell>
          <cell r="D530">
            <v>61361</v>
          </cell>
        </row>
        <row r="531">
          <cell r="C531">
            <v>55552</v>
          </cell>
          <cell r="D531">
            <v>61271</v>
          </cell>
        </row>
        <row r="532">
          <cell r="C532">
            <v>55159</v>
          </cell>
          <cell r="D532">
            <v>61365</v>
          </cell>
        </row>
        <row r="533">
          <cell r="C533">
            <v>53729</v>
          </cell>
          <cell r="D533">
            <v>62974</v>
          </cell>
        </row>
        <row r="534">
          <cell r="C534">
            <v>58307</v>
          </cell>
          <cell r="D534">
            <v>64772</v>
          </cell>
        </row>
        <row r="535">
          <cell r="C535">
            <v>56436</v>
          </cell>
          <cell r="D535">
            <v>64323</v>
          </cell>
        </row>
        <row r="536">
          <cell r="C536">
            <v>57342</v>
          </cell>
          <cell r="D536">
            <v>65070</v>
          </cell>
        </row>
        <row r="537">
          <cell r="C537">
            <v>58451</v>
          </cell>
          <cell r="D537">
            <v>66831</v>
          </cell>
        </row>
        <row r="538">
          <cell r="C538">
            <v>58492</v>
          </cell>
          <cell r="D538">
            <v>67230</v>
          </cell>
        </row>
        <row r="539">
          <cell r="C539">
            <v>60407</v>
          </cell>
          <cell r="D539">
            <v>68710</v>
          </cell>
        </row>
        <row r="540">
          <cell r="C540">
            <v>60715</v>
          </cell>
          <cell r="D540">
            <v>69026</v>
          </cell>
        </row>
        <row r="541">
          <cell r="C541">
            <v>59861</v>
          </cell>
          <cell r="D541">
            <v>69019</v>
          </cell>
        </row>
        <row r="542">
          <cell r="C542">
            <v>61532</v>
          </cell>
          <cell r="D542">
            <v>71147</v>
          </cell>
        </row>
        <row r="543">
          <cell r="C543">
            <v>62825</v>
          </cell>
          <cell r="D543">
            <v>71281</v>
          </cell>
        </row>
        <row r="544">
          <cell r="C544">
            <v>63118</v>
          </cell>
          <cell r="D544">
            <v>72442</v>
          </cell>
        </row>
        <row r="545">
          <cell r="C545">
            <v>63077</v>
          </cell>
          <cell r="D545">
            <v>71894</v>
          </cell>
        </row>
        <row r="546">
          <cell r="C546">
            <v>64349</v>
          </cell>
          <cell r="D546">
            <v>74057</v>
          </cell>
        </row>
        <row r="547">
          <cell r="C547">
            <v>65074</v>
          </cell>
          <cell r="D547">
            <v>74682</v>
          </cell>
        </row>
        <row r="548">
          <cell r="C548">
            <v>65755</v>
          </cell>
          <cell r="D548">
            <v>74845</v>
          </cell>
        </row>
        <row r="549">
          <cell r="C549">
            <v>64855</v>
          </cell>
          <cell r="D549">
            <v>75478</v>
          </cell>
        </row>
        <row r="550">
          <cell r="C550">
            <v>66560</v>
          </cell>
          <cell r="D550">
            <v>74247</v>
          </cell>
        </row>
        <row r="551">
          <cell r="C551">
            <v>67469</v>
          </cell>
          <cell r="D551">
            <v>74173</v>
          </cell>
        </row>
        <row r="552">
          <cell r="C552">
            <v>68943</v>
          </cell>
          <cell r="D552">
            <v>74867</v>
          </cell>
        </row>
        <row r="553">
          <cell r="C553">
            <v>68105</v>
          </cell>
          <cell r="D553">
            <v>74219</v>
          </cell>
        </row>
        <row r="554">
          <cell r="C554">
            <v>68009</v>
          </cell>
          <cell r="D554">
            <v>74523</v>
          </cell>
        </row>
        <row r="555">
          <cell r="C555">
            <v>69071</v>
          </cell>
          <cell r="D555">
            <v>75342</v>
          </cell>
        </row>
        <row r="556">
          <cell r="C556">
            <v>68299</v>
          </cell>
          <cell r="D556">
            <v>76764</v>
          </cell>
        </row>
        <row r="557">
          <cell r="C557">
            <v>69899</v>
          </cell>
          <cell r="D557">
            <v>77217</v>
          </cell>
        </row>
        <row r="558">
          <cell r="C558">
            <v>69797</v>
          </cell>
          <cell r="D558">
            <v>77553</v>
          </cell>
        </row>
        <row r="559">
          <cell r="C559">
            <v>70126</v>
          </cell>
          <cell r="D559">
            <v>78870</v>
          </cell>
        </row>
        <row r="560">
          <cell r="C560">
            <v>71029</v>
          </cell>
          <cell r="D560">
            <v>80288</v>
          </cell>
        </row>
        <row r="561">
          <cell r="C561">
            <v>71056</v>
          </cell>
          <cell r="D561">
            <v>78516</v>
          </cell>
        </row>
        <row r="562">
          <cell r="C562">
            <v>69404</v>
          </cell>
          <cell r="D562">
            <v>79536</v>
          </cell>
        </row>
        <row r="563">
          <cell r="C563">
            <v>70563</v>
          </cell>
          <cell r="D563">
            <v>80919</v>
          </cell>
        </row>
        <row r="564">
          <cell r="C564">
            <v>70553</v>
          </cell>
          <cell r="D564">
            <v>80748</v>
          </cell>
        </row>
        <row r="565">
          <cell r="C565">
            <v>73769</v>
          </cell>
          <cell r="D565">
            <v>80404</v>
          </cell>
        </row>
        <row r="566">
          <cell r="C566">
            <v>74263</v>
          </cell>
          <cell r="D566">
            <v>81531</v>
          </cell>
        </row>
        <row r="567">
          <cell r="C567">
            <v>72842</v>
          </cell>
          <cell r="D567">
            <v>83317</v>
          </cell>
        </row>
        <row r="568">
          <cell r="C568">
            <v>72910</v>
          </cell>
          <cell r="D568">
            <v>84179</v>
          </cell>
        </row>
        <row r="569">
          <cell r="C569">
            <v>75225</v>
          </cell>
          <cell r="D569">
            <v>85001</v>
          </cell>
        </row>
        <row r="570">
          <cell r="C570">
            <v>77050</v>
          </cell>
          <cell r="D570">
            <v>85433</v>
          </cell>
        </row>
        <row r="571">
          <cell r="C571">
            <v>77769</v>
          </cell>
          <cell r="D571">
            <v>85855</v>
          </cell>
        </row>
        <row r="572">
          <cell r="C572">
            <v>77883</v>
          </cell>
          <cell r="D572">
            <v>86277</v>
          </cell>
        </row>
        <row r="573">
          <cell r="C573">
            <v>78889</v>
          </cell>
          <cell r="D573">
            <v>86043</v>
          </cell>
        </row>
        <row r="574">
          <cell r="C574">
            <v>80099</v>
          </cell>
          <cell r="D574">
            <v>87132</v>
          </cell>
        </row>
        <row r="575">
          <cell r="C575">
            <v>78622</v>
          </cell>
          <cell r="D575">
            <v>87365</v>
          </cell>
        </row>
        <row r="576">
          <cell r="C576">
            <v>79287</v>
          </cell>
          <cell r="D576">
            <v>88556</v>
          </cell>
        </row>
        <row r="577">
          <cell r="C577">
            <v>79383</v>
          </cell>
          <cell r="D577">
            <v>88472</v>
          </cell>
        </row>
        <row r="578">
          <cell r="C578">
            <v>78300</v>
          </cell>
          <cell r="D578">
            <v>88086</v>
          </cell>
        </row>
        <row r="579">
          <cell r="C579">
            <v>79038</v>
          </cell>
          <cell r="D579">
            <v>90327</v>
          </cell>
        </row>
        <row r="580">
          <cell r="C580">
            <v>79008</v>
          </cell>
          <cell r="D580">
            <v>89784</v>
          </cell>
        </row>
        <row r="581">
          <cell r="C581">
            <v>77931</v>
          </cell>
          <cell r="D581">
            <v>89495</v>
          </cell>
        </row>
        <row r="582">
          <cell r="C582">
            <v>78812</v>
          </cell>
          <cell r="D582">
            <v>91692</v>
          </cell>
        </row>
        <row r="583">
          <cell r="C583">
            <v>77626</v>
          </cell>
          <cell r="D583">
            <v>91566</v>
          </cell>
        </row>
        <row r="584">
          <cell r="C584">
            <v>77147</v>
          </cell>
          <cell r="D584">
            <v>91349</v>
          </cell>
        </row>
        <row r="585">
          <cell r="C585">
            <v>76961</v>
          </cell>
          <cell r="D585">
            <v>90208</v>
          </cell>
        </row>
        <row r="586">
          <cell r="C586">
            <v>76149</v>
          </cell>
          <cell r="D586">
            <v>90098</v>
          </cell>
        </row>
        <row r="587">
          <cell r="C587">
            <v>75512</v>
          </cell>
          <cell r="D587">
            <v>91540</v>
          </cell>
        </row>
        <row r="588">
          <cell r="C588">
            <v>77179</v>
          </cell>
          <cell r="D588">
            <v>91999</v>
          </cell>
        </row>
        <row r="589">
          <cell r="C589">
            <v>79351</v>
          </cell>
          <cell r="D589">
            <v>94166</v>
          </cell>
        </row>
        <row r="590">
          <cell r="C590">
            <v>79117</v>
          </cell>
          <cell r="D590">
            <v>94290</v>
          </cell>
        </row>
        <row r="591">
          <cell r="C591">
            <v>78382</v>
          </cell>
          <cell r="D591">
            <v>93127</v>
          </cell>
        </row>
        <row r="592">
          <cell r="C592">
            <v>77835</v>
          </cell>
          <cell r="D592">
            <v>93916</v>
          </cell>
        </row>
        <row r="593">
          <cell r="C593">
            <v>77436</v>
          </cell>
          <cell r="D593">
            <v>96292</v>
          </cell>
        </row>
        <row r="594">
          <cell r="C594">
            <v>78243</v>
          </cell>
          <cell r="D594">
            <v>96462</v>
          </cell>
        </row>
        <row r="595">
          <cell r="C595">
            <v>78716</v>
          </cell>
          <cell r="D595">
            <v>97346</v>
          </cell>
        </row>
        <row r="596">
          <cell r="C596">
            <v>78782</v>
          </cell>
          <cell r="D596">
            <v>99475</v>
          </cell>
        </row>
        <row r="597">
          <cell r="C597">
            <v>79070</v>
          </cell>
          <cell r="D597">
            <v>102692</v>
          </cell>
        </row>
        <row r="598">
          <cell r="C598">
            <v>80019</v>
          </cell>
          <cell r="D598">
            <v>104117</v>
          </cell>
        </row>
        <row r="599">
          <cell r="C599">
            <v>81508</v>
          </cell>
          <cell r="D599">
            <v>105125</v>
          </cell>
        </row>
        <row r="600">
          <cell r="C600">
            <v>82718</v>
          </cell>
          <cell r="D600">
            <v>106172</v>
          </cell>
        </row>
        <row r="601">
          <cell r="C601">
            <v>83410</v>
          </cell>
          <cell r="D601">
            <v>107225</v>
          </cell>
        </row>
        <row r="602">
          <cell r="C602">
            <v>84286</v>
          </cell>
          <cell r="D602">
            <v>109852</v>
          </cell>
        </row>
        <row r="603">
          <cell r="C603">
            <v>84983</v>
          </cell>
          <cell r="D603">
            <v>111493</v>
          </cell>
        </row>
        <row r="604">
          <cell r="C604">
            <v>85556</v>
          </cell>
          <cell r="D604">
            <v>112974</v>
          </cell>
        </row>
        <row r="605">
          <cell r="C605">
            <v>86055</v>
          </cell>
          <cell r="D605">
            <v>116395</v>
          </cell>
        </row>
        <row r="606">
          <cell r="C606">
            <v>87277</v>
          </cell>
          <cell r="D606">
            <v>118909</v>
          </cell>
        </row>
        <row r="607">
          <cell r="C607">
            <v>88643</v>
          </cell>
          <cell r="D607">
            <v>117703</v>
          </cell>
        </row>
        <row r="608">
          <cell r="C608">
            <v>87805</v>
          </cell>
          <cell r="D608">
            <v>117800</v>
          </cell>
        </row>
        <row r="609">
          <cell r="C609">
            <v>90549</v>
          </cell>
          <cell r="D609">
            <v>121727</v>
          </cell>
        </row>
        <row r="610">
          <cell r="C610">
            <v>90054</v>
          </cell>
          <cell r="D610">
            <v>121845</v>
          </cell>
        </row>
        <row r="611">
          <cell r="C611">
            <v>92058</v>
          </cell>
          <cell r="D611">
            <v>122314</v>
          </cell>
        </row>
        <row r="612">
          <cell r="C612">
            <v>91981</v>
          </cell>
          <cell r="D612">
            <v>126202</v>
          </cell>
        </row>
        <row r="613">
          <cell r="C613">
            <v>91330</v>
          </cell>
          <cell r="D613">
            <v>125056</v>
          </cell>
        </row>
        <row r="614">
          <cell r="C614">
            <v>91213</v>
          </cell>
          <cell r="D614">
            <v>124310</v>
          </cell>
        </row>
        <row r="615">
          <cell r="C615">
            <v>90260</v>
          </cell>
          <cell r="D615">
            <v>124296</v>
          </cell>
        </row>
        <row r="616">
          <cell r="C616">
            <v>90277</v>
          </cell>
          <cell r="D616">
            <v>125353</v>
          </cell>
        </row>
        <row r="617">
          <cell r="C617">
            <v>90282</v>
          </cell>
          <cell r="D617">
            <v>119616</v>
          </cell>
        </row>
        <row r="618">
          <cell r="C618">
            <v>88714</v>
          </cell>
          <cell r="D618">
            <v>121311</v>
          </cell>
        </row>
        <row r="619">
          <cell r="C619">
            <v>86988</v>
          </cell>
          <cell r="D619">
            <v>118303</v>
          </cell>
        </row>
        <row r="620">
          <cell r="C620">
            <v>87482</v>
          </cell>
          <cell r="D620">
            <v>115258</v>
          </cell>
        </row>
        <row r="621">
          <cell r="C621">
            <v>85265</v>
          </cell>
          <cell r="D621">
            <v>114645</v>
          </cell>
        </row>
        <row r="622">
          <cell r="C622">
            <v>82967</v>
          </cell>
          <cell r="D622">
            <v>113053</v>
          </cell>
        </row>
        <row r="623">
          <cell r="C623">
            <v>83730</v>
          </cell>
          <cell r="D623">
            <v>111968</v>
          </cell>
        </row>
        <row r="624">
          <cell r="C624">
            <v>77286</v>
          </cell>
          <cell r="D624">
            <v>108130</v>
          </cell>
        </row>
        <row r="625">
          <cell r="C625">
            <v>78114</v>
          </cell>
          <cell r="D625">
            <v>108839</v>
          </cell>
        </row>
        <row r="626">
          <cell r="C626">
            <v>78439</v>
          </cell>
          <cell r="D626">
            <v>108051</v>
          </cell>
        </row>
        <row r="627">
          <cell r="C627">
            <v>78180</v>
          </cell>
          <cell r="D627">
            <v>104966</v>
          </cell>
        </row>
        <row r="628">
          <cell r="C628">
            <v>78966</v>
          </cell>
          <cell r="D628">
            <v>108278</v>
          </cell>
        </row>
        <row r="629">
          <cell r="C629">
            <v>78910</v>
          </cell>
          <cell r="D629">
            <v>111015</v>
          </cell>
        </row>
        <row r="630">
          <cell r="C630">
            <v>79613</v>
          </cell>
          <cell r="D630">
            <v>110403</v>
          </cell>
        </row>
        <row r="631">
          <cell r="C631">
            <v>81500</v>
          </cell>
          <cell r="D631">
            <v>115071</v>
          </cell>
        </row>
        <row r="632">
          <cell r="C632">
            <v>81682</v>
          </cell>
          <cell r="D632">
            <v>115616</v>
          </cell>
        </row>
        <row r="633">
          <cell r="C633">
            <v>82705</v>
          </cell>
          <cell r="D633">
            <v>117716</v>
          </cell>
        </row>
        <row r="634">
          <cell r="C634">
            <v>83125</v>
          </cell>
          <cell r="D634">
            <v>117057</v>
          </cell>
        </row>
        <row r="635">
          <cell r="C635">
            <v>83484</v>
          </cell>
          <cell r="D635">
            <v>119318</v>
          </cell>
        </row>
        <row r="636">
          <cell r="C636">
            <v>82893</v>
          </cell>
          <cell r="D636">
            <v>119402</v>
          </cell>
        </row>
        <row r="637">
          <cell r="C637">
            <v>82565</v>
          </cell>
          <cell r="D637">
            <v>117222</v>
          </cell>
        </row>
        <row r="638">
          <cell r="C638">
            <v>83747</v>
          </cell>
          <cell r="D638">
            <v>122679</v>
          </cell>
        </row>
        <row r="639">
          <cell r="C639">
            <v>81686</v>
          </cell>
          <cell r="D639">
            <v>124531</v>
          </cell>
        </row>
        <row r="640">
          <cell r="C640">
            <v>82441</v>
          </cell>
          <cell r="D640">
            <v>123094</v>
          </cell>
        </row>
        <row r="641">
          <cell r="C641">
            <v>83105</v>
          </cell>
          <cell r="D641">
            <v>122293</v>
          </cell>
        </row>
        <row r="642">
          <cell r="C642">
            <v>82887</v>
          </cell>
          <cell r="D642">
            <v>126159</v>
          </cell>
        </row>
        <row r="643">
          <cell r="C643">
            <v>81475</v>
          </cell>
          <cell r="D643">
            <v>123465</v>
          </cell>
        </row>
        <row r="644">
          <cell r="C644">
            <v>82320</v>
          </cell>
          <cell r="D644">
            <v>123059</v>
          </cell>
        </row>
        <row r="645">
          <cell r="C645">
            <v>84804</v>
          </cell>
          <cell r="D645">
            <v>124420</v>
          </cell>
        </row>
        <row r="646">
          <cell r="C646">
            <v>85509</v>
          </cell>
          <cell r="D646">
            <v>126552</v>
          </cell>
        </row>
        <row r="647">
          <cell r="C647">
            <v>84374</v>
          </cell>
          <cell r="D647">
            <v>123827</v>
          </cell>
        </row>
        <row r="648">
          <cell r="C648">
            <v>86364</v>
          </cell>
          <cell r="D648">
            <v>127672</v>
          </cell>
        </row>
        <row r="649">
          <cell r="C649">
            <v>88601</v>
          </cell>
          <cell r="D649">
            <v>129403</v>
          </cell>
        </row>
        <row r="650">
          <cell r="C650">
            <v>90974</v>
          </cell>
          <cell r="D650">
            <v>130303</v>
          </cell>
        </row>
        <row r="651">
          <cell r="C651">
            <v>90664</v>
          </cell>
          <cell r="D651">
            <v>134257</v>
          </cell>
        </row>
        <row r="652">
          <cell r="C652">
            <v>90160</v>
          </cell>
          <cell r="D652">
            <v>134376</v>
          </cell>
        </row>
        <row r="653">
          <cell r="C653">
            <v>93854</v>
          </cell>
          <cell r="D653">
            <v>137818</v>
          </cell>
        </row>
        <row r="654">
          <cell r="C654">
            <v>96392</v>
          </cell>
          <cell r="D654">
            <v>142553</v>
          </cell>
        </row>
        <row r="655">
          <cell r="C655">
            <v>95847</v>
          </cell>
          <cell r="D655">
            <v>142720</v>
          </cell>
        </row>
        <row r="656">
          <cell r="C656">
            <v>97358</v>
          </cell>
          <cell r="D656">
            <v>145161</v>
          </cell>
        </row>
        <row r="657">
          <cell r="C657">
            <v>94969</v>
          </cell>
          <cell r="D657">
            <v>149400</v>
          </cell>
        </row>
        <row r="658">
          <cell r="C658">
            <v>96652</v>
          </cell>
          <cell r="D658">
            <v>147608</v>
          </cell>
        </row>
        <row r="659">
          <cell r="C659">
            <v>97106</v>
          </cell>
          <cell r="D659">
            <v>149974</v>
          </cell>
        </row>
        <row r="660">
          <cell r="C660">
            <v>98507</v>
          </cell>
          <cell r="D660">
            <v>149504</v>
          </cell>
        </row>
        <row r="661">
          <cell r="C661">
            <v>100005</v>
          </cell>
          <cell r="D661">
            <v>154588</v>
          </cell>
        </row>
        <row r="662">
          <cell r="C662">
            <v>99787</v>
          </cell>
          <cell r="D662">
            <v>158161</v>
          </cell>
        </row>
        <row r="663">
          <cell r="C663">
            <v>102509</v>
          </cell>
          <cell r="D663">
            <v>156639</v>
          </cell>
        </row>
        <row r="664">
          <cell r="C664">
            <v>102896</v>
          </cell>
          <cell r="D664">
            <v>158293</v>
          </cell>
        </row>
        <row r="665">
          <cell r="C665">
            <v>103705</v>
          </cell>
          <cell r="D665">
            <v>160960</v>
          </cell>
        </row>
        <row r="666">
          <cell r="C666">
            <v>104659</v>
          </cell>
          <cell r="D666">
            <v>157084</v>
          </cell>
        </row>
        <row r="667">
          <cell r="C667">
            <v>106976</v>
          </cell>
          <cell r="D667">
            <v>163773</v>
          </cell>
        </row>
        <row r="668">
          <cell r="C668">
            <v>106512</v>
          </cell>
          <cell r="D668">
            <v>162347</v>
          </cell>
        </row>
        <row r="669">
          <cell r="C669">
            <v>106613</v>
          </cell>
          <cell r="D669">
            <v>164346</v>
          </cell>
        </row>
        <row r="670">
          <cell r="C670">
            <v>106917</v>
          </cell>
          <cell r="D670">
            <v>164462</v>
          </cell>
        </row>
        <row r="671">
          <cell r="C671">
            <v>108293</v>
          </cell>
          <cell r="D671">
            <v>166130</v>
          </cell>
        </row>
        <row r="672">
          <cell r="C672">
            <v>107096</v>
          </cell>
          <cell r="D672">
            <v>171287</v>
          </cell>
        </row>
        <row r="673">
          <cell r="C673">
            <v>109570</v>
          </cell>
          <cell r="D673">
            <v>175998</v>
          </cell>
        </row>
        <row r="674">
          <cell r="C674">
            <v>110795</v>
          </cell>
          <cell r="D674">
            <v>174175</v>
          </cell>
        </row>
        <row r="675">
          <cell r="C675">
            <v>113410</v>
          </cell>
          <cell r="D675">
            <v>177210</v>
          </cell>
        </row>
        <row r="676">
          <cell r="C676">
            <v>114984</v>
          </cell>
          <cell r="D676">
            <v>181656</v>
          </cell>
        </row>
        <row r="677">
          <cell r="C677">
            <v>116033</v>
          </cell>
          <cell r="D677">
            <v>178153</v>
          </cell>
        </row>
        <row r="678">
          <cell r="C678">
            <v>118771</v>
          </cell>
          <cell r="D678">
            <v>180340</v>
          </cell>
        </row>
        <row r="679">
          <cell r="C679">
            <v>118913</v>
          </cell>
          <cell r="D679">
            <v>180862</v>
          </cell>
        </row>
        <row r="680">
          <cell r="C680">
            <v>120868</v>
          </cell>
          <cell r="D680">
            <v>184872</v>
          </cell>
        </row>
        <row r="681">
          <cell r="C681">
            <v>122397</v>
          </cell>
          <cell r="D681">
            <v>185196</v>
          </cell>
        </row>
        <row r="682">
          <cell r="C682">
            <v>120109</v>
          </cell>
          <cell r="D682">
            <v>186117</v>
          </cell>
        </row>
        <row r="683">
          <cell r="C683">
            <v>122585</v>
          </cell>
          <cell r="D683">
            <v>189936</v>
          </cell>
        </row>
        <row r="684">
          <cell r="C684">
            <v>123678</v>
          </cell>
          <cell r="D684">
            <v>187989</v>
          </cell>
        </row>
        <row r="685">
          <cell r="C685">
            <v>125669</v>
          </cell>
          <cell r="D685">
            <v>183807</v>
          </cell>
        </row>
        <row r="686">
          <cell r="C686">
            <v>127347</v>
          </cell>
          <cell r="D686">
            <v>184965</v>
          </cell>
        </row>
        <row r="687">
          <cell r="C687">
            <v>128468</v>
          </cell>
          <cell r="D687">
            <v>189217</v>
          </cell>
        </row>
        <row r="688">
          <cell r="C688">
            <v>129966</v>
          </cell>
          <cell r="D688">
            <v>187090</v>
          </cell>
        </row>
        <row r="689">
          <cell r="C689">
            <v>128166</v>
          </cell>
          <cell r="D689">
            <v>186339</v>
          </cell>
        </row>
        <row r="690">
          <cell r="C690">
            <v>133050</v>
          </cell>
          <cell r="D690">
            <v>194450</v>
          </cell>
        </row>
        <row r="691">
          <cell r="C691">
            <v>132443</v>
          </cell>
          <cell r="D691">
            <v>192261</v>
          </cell>
        </row>
        <row r="692">
          <cell r="C692">
            <v>135046</v>
          </cell>
          <cell r="D692">
            <v>193858</v>
          </cell>
        </row>
        <row r="693">
          <cell r="C693">
            <v>136561</v>
          </cell>
          <cell r="D693">
            <v>195658</v>
          </cell>
        </row>
        <row r="694">
          <cell r="C694">
            <v>138018</v>
          </cell>
          <cell r="D694">
            <v>197061</v>
          </cell>
        </row>
        <row r="695">
          <cell r="C695">
            <v>140908</v>
          </cell>
          <cell r="D695">
            <v>197017</v>
          </cell>
        </row>
        <row r="696">
          <cell r="C696">
            <v>141752</v>
          </cell>
          <cell r="D696">
            <v>198559</v>
          </cell>
        </row>
        <row r="697">
          <cell r="C697">
            <v>144743</v>
          </cell>
          <cell r="D697">
            <v>200343</v>
          </cell>
        </row>
        <row r="698">
          <cell r="C698">
            <v>146427</v>
          </cell>
          <cell r="D698">
            <v>205067</v>
          </cell>
        </row>
        <row r="699">
          <cell r="C699">
            <v>147480</v>
          </cell>
          <cell r="D699">
            <v>203585</v>
          </cell>
        </row>
        <row r="700">
          <cell r="C700">
            <v>150436</v>
          </cell>
          <cell r="D700">
            <v>210476</v>
          </cell>
        </row>
        <row r="701">
          <cell r="C701">
            <v>152571</v>
          </cell>
          <cell r="D701">
            <v>215830</v>
          </cell>
        </row>
        <row r="702">
          <cell r="C702">
            <v>152035</v>
          </cell>
          <cell r="D702">
            <v>211272</v>
          </cell>
        </row>
        <row r="703">
          <cell r="C703">
            <v>156571</v>
          </cell>
          <cell r="D703">
            <v>219212</v>
          </cell>
        </row>
        <row r="704">
          <cell r="C704">
            <v>158605</v>
          </cell>
          <cell r="D704">
            <v>219882</v>
          </cell>
        </row>
        <row r="705">
          <cell r="C705">
            <v>163598</v>
          </cell>
          <cell r="D705">
            <v>223526</v>
          </cell>
        </row>
        <row r="706">
          <cell r="C706">
            <v>165904</v>
          </cell>
          <cell r="D706">
            <v>231647</v>
          </cell>
        </row>
        <row r="707">
          <cell r="C707">
            <v>163356</v>
          </cell>
          <cell r="D707">
            <v>224256</v>
          </cell>
        </row>
        <row r="708">
          <cell r="C708">
            <v>153951</v>
          </cell>
          <cell r="D708">
            <v>213442</v>
          </cell>
        </row>
        <row r="709">
          <cell r="C709">
            <v>151503</v>
          </cell>
          <cell r="D709">
            <v>211044</v>
          </cell>
        </row>
        <row r="710">
          <cell r="C710">
            <v>142153</v>
          </cell>
          <cell r="D710">
            <v>186309</v>
          </cell>
        </row>
        <row r="711">
          <cell r="C711">
            <v>132000</v>
          </cell>
          <cell r="D711">
            <v>174126</v>
          </cell>
        </row>
        <row r="712">
          <cell r="C712">
            <v>125272</v>
          </cell>
          <cell r="D712">
            <v>162473</v>
          </cell>
        </row>
        <row r="713">
          <cell r="C713">
            <v>127001</v>
          </cell>
          <cell r="D713">
            <v>154034</v>
          </cell>
        </row>
        <row r="714">
          <cell r="C714">
            <v>126008</v>
          </cell>
          <cell r="D714">
            <v>154587</v>
          </cell>
        </row>
        <row r="715">
          <cell r="C715">
            <v>124160</v>
          </cell>
          <cell r="D715">
            <v>153331</v>
          </cell>
        </row>
        <row r="716">
          <cell r="C716">
            <v>125678</v>
          </cell>
          <cell r="D716">
            <v>151202</v>
          </cell>
        </row>
        <row r="717">
          <cell r="C717">
            <v>128183</v>
          </cell>
          <cell r="D717">
            <v>154872</v>
          </cell>
        </row>
        <row r="718">
          <cell r="C718">
            <v>129888</v>
          </cell>
          <cell r="D718">
            <v>163266</v>
          </cell>
        </row>
        <row r="719">
          <cell r="C719">
            <v>130756</v>
          </cell>
          <cell r="D719">
            <v>161781</v>
          </cell>
        </row>
        <row r="720">
          <cell r="C720">
            <v>135445</v>
          </cell>
          <cell r="D720">
            <v>170335</v>
          </cell>
        </row>
        <row r="721">
          <cell r="C721">
            <v>139422</v>
          </cell>
          <cell r="D721">
            <v>172219</v>
          </cell>
        </row>
        <row r="722">
          <cell r="C722">
            <v>139991</v>
          </cell>
          <cell r="D722">
            <v>176284</v>
          </cell>
        </row>
        <row r="723">
          <cell r="C723">
            <v>143234</v>
          </cell>
          <cell r="D723">
            <v>181924</v>
          </cell>
        </row>
        <row r="724">
          <cell r="C724">
            <v>143606</v>
          </cell>
          <cell r="D724">
            <v>181096</v>
          </cell>
        </row>
        <row r="725">
          <cell r="C725">
            <v>143974</v>
          </cell>
          <cell r="D725">
            <v>184985</v>
          </cell>
        </row>
        <row r="726">
          <cell r="C726">
            <v>148922</v>
          </cell>
          <cell r="D726">
            <v>190063</v>
          </cell>
        </row>
        <row r="727">
          <cell r="C727">
            <v>147732</v>
          </cell>
          <cell r="D727">
            <v>189198</v>
          </cell>
        </row>
        <row r="728">
          <cell r="C728">
            <v>152078</v>
          </cell>
          <cell r="D728">
            <v>194244</v>
          </cell>
        </row>
        <row r="729">
          <cell r="C729">
            <v>151324</v>
          </cell>
          <cell r="D729">
            <v>198214</v>
          </cell>
        </row>
        <row r="730">
          <cell r="C730">
            <v>154675</v>
          </cell>
          <cell r="D730">
            <v>196239</v>
          </cell>
        </row>
        <row r="731">
          <cell r="C731">
            <v>154867</v>
          </cell>
          <cell r="D731">
            <v>200403</v>
          </cell>
        </row>
        <row r="732">
          <cell r="C732">
            <v>155652</v>
          </cell>
          <cell r="D732">
            <v>199665</v>
          </cell>
        </row>
        <row r="733">
          <cell r="C733">
            <v>159503</v>
          </cell>
          <cell r="D733">
            <v>198956</v>
          </cell>
        </row>
        <row r="734">
          <cell r="C734">
            <v>161238</v>
          </cell>
          <cell r="D734">
            <v>200081</v>
          </cell>
        </row>
        <row r="735">
          <cell r="C735">
            <v>164006</v>
          </cell>
          <cell r="D735">
            <v>204459</v>
          </cell>
        </row>
        <row r="736">
          <cell r="C736">
            <v>167849</v>
          </cell>
          <cell r="D736">
            <v>215707</v>
          </cell>
        </row>
        <row r="737">
          <cell r="C737">
            <v>165727</v>
          </cell>
          <cell r="D737">
            <v>211444</v>
          </cell>
        </row>
        <row r="738">
          <cell r="C738">
            <v>173981</v>
          </cell>
          <cell r="D738">
            <v>220378</v>
          </cell>
        </row>
        <row r="739">
          <cell r="C739">
            <v>176267</v>
          </cell>
          <cell r="D739">
            <v>219509</v>
          </cell>
        </row>
        <row r="740">
          <cell r="C740">
            <v>175673</v>
          </cell>
          <cell r="D740">
            <v>225855</v>
          </cell>
        </row>
        <row r="741">
          <cell r="C741">
            <v>171802</v>
          </cell>
          <cell r="D741">
            <v>223372</v>
          </cell>
        </row>
        <row r="742">
          <cell r="C742">
            <v>177706</v>
          </cell>
          <cell r="D742">
            <v>223331</v>
          </cell>
        </row>
        <row r="743">
          <cell r="C743">
            <v>177611</v>
          </cell>
          <cell r="D743">
            <v>223220</v>
          </cell>
        </row>
        <row r="744">
          <cell r="C744" t="str">
            <v>NA</v>
          </cell>
          <cell r="D744" t="str">
            <v>NA</v>
          </cell>
        </row>
      </sheetData>
      <sheetData sheetId="1">
        <row r="6">
          <cell r="FN6">
            <v>108063</v>
          </cell>
          <cell r="FO6">
            <v>107941</v>
          </cell>
          <cell r="FP6">
            <v>110847</v>
          </cell>
          <cell r="FQ6">
            <v>112780</v>
          </cell>
          <cell r="FR6">
            <v>112099</v>
          </cell>
          <cell r="FS6">
            <v>113257</v>
          </cell>
          <cell r="FT6">
            <v>112982</v>
          </cell>
          <cell r="FU6">
            <v>118606</v>
          </cell>
          <cell r="FV6">
            <v>118833</v>
          </cell>
          <cell r="FW6">
            <v>122251</v>
          </cell>
          <cell r="FX6">
            <v>128947</v>
          </cell>
          <cell r="FY6">
            <v>132828</v>
          </cell>
          <cell r="FZ6">
            <v>138371</v>
          </cell>
          <cell r="GA6">
            <v>142521</v>
          </cell>
          <cell r="GB6">
            <v>146536</v>
          </cell>
          <cell r="GC6">
            <v>147777</v>
          </cell>
          <cell r="GD6">
            <v>150553</v>
          </cell>
          <cell r="GE6">
            <v>152861</v>
          </cell>
          <cell r="GF6">
            <v>151856</v>
          </cell>
          <cell r="GG6">
            <v>156844</v>
          </cell>
          <cell r="GH6">
            <v>162670</v>
          </cell>
          <cell r="GI6">
            <v>170249</v>
          </cell>
          <cell r="GJ6">
            <v>173154</v>
          </cell>
          <cell r="GK6">
            <v>172291</v>
          </cell>
          <cell r="GL6">
            <v>171061</v>
          </cell>
          <cell r="GM6">
            <v>165559</v>
          </cell>
          <cell r="GN6">
            <v>164053</v>
          </cell>
          <cell r="GO6">
            <v>169744</v>
          </cell>
          <cell r="GP6">
            <v>167904</v>
          </cell>
          <cell r="GQ6">
            <v>170270</v>
          </cell>
          <cell r="GR6">
            <v>176350</v>
          </cell>
          <cell r="GS6">
            <v>183695</v>
          </cell>
          <cell r="GT6">
            <v>188447</v>
          </cell>
          <cell r="GU6">
            <v>194625</v>
          </cell>
          <cell r="GV6">
            <v>201770</v>
          </cell>
          <cell r="GW6">
            <v>199939</v>
          </cell>
          <cell r="GX6">
            <v>196762</v>
          </cell>
          <cell r="GY6">
            <v>188487</v>
          </cell>
          <cell r="GZ6">
            <v>175917</v>
          </cell>
          <cell r="HA6">
            <v>170022</v>
          </cell>
          <cell r="HB6">
            <v>168672</v>
          </cell>
          <cell r="HC6">
            <v>175681</v>
          </cell>
          <cell r="HD6">
            <v>178288</v>
          </cell>
          <cell r="HE6">
            <v>174798</v>
          </cell>
          <cell r="HF6">
            <v>177427</v>
          </cell>
          <cell r="HG6">
            <v>178413</v>
          </cell>
          <cell r="HH6">
            <v>182186</v>
          </cell>
          <cell r="HI6">
            <v>191790</v>
          </cell>
          <cell r="HJ6">
            <v>197824</v>
          </cell>
          <cell r="HK6">
            <v>203915</v>
          </cell>
          <cell r="HL6">
            <v>207198</v>
          </cell>
          <cell r="HM6">
            <v>213050</v>
          </cell>
          <cell r="HN6">
            <v>219215</v>
          </cell>
          <cell r="HO6">
            <v>227630</v>
          </cell>
          <cell r="HP6">
            <v>228111</v>
          </cell>
          <cell r="HQ6">
            <v>236730</v>
          </cell>
          <cell r="HR6">
            <v>249308</v>
          </cell>
          <cell r="HS6">
            <v>257794</v>
          </cell>
          <cell r="HT6">
            <v>261991</v>
          </cell>
          <cell r="HU6">
            <v>270314</v>
          </cell>
          <cell r="HV6">
            <v>276492</v>
          </cell>
          <cell r="HW6">
            <v>285624</v>
          </cell>
          <cell r="HX6">
            <v>295341</v>
          </cell>
          <cell r="HY6">
            <v>306499</v>
          </cell>
          <cell r="HZ6">
            <v>323358</v>
          </cell>
          <cell r="IA6">
            <v>342620</v>
          </cell>
          <cell r="IB6">
            <v>346909</v>
          </cell>
          <cell r="IC6">
            <v>294612</v>
          </cell>
          <cell r="ID6">
            <v>254413</v>
          </cell>
          <cell r="IE6">
            <v>253887</v>
          </cell>
          <cell r="IF6">
            <v>270290</v>
          </cell>
          <cell r="IG6">
            <v>290901</v>
          </cell>
          <cell r="IH6">
            <v>304572</v>
          </cell>
          <cell r="II6">
            <v>315953</v>
          </cell>
          <cell r="IJ6">
            <v>325514</v>
          </cell>
          <cell r="IK6">
            <v>342660</v>
          </cell>
          <cell r="IL6">
            <v>361544</v>
          </cell>
          <cell r="IM6">
            <v>373085</v>
          </cell>
          <cell r="IN6" t="str">
            <v>NA</v>
          </cell>
        </row>
        <row r="9">
          <cell r="FN9">
            <v>44164</v>
          </cell>
          <cell r="FO9">
            <v>44132</v>
          </cell>
          <cell r="FP9">
            <v>44610</v>
          </cell>
          <cell r="FQ9">
            <v>44344</v>
          </cell>
          <cell r="FR9">
            <v>45984</v>
          </cell>
          <cell r="FS9">
            <v>46457</v>
          </cell>
          <cell r="FT9">
            <v>46708</v>
          </cell>
          <cell r="FU9">
            <v>46767</v>
          </cell>
          <cell r="FV9">
            <v>48362</v>
          </cell>
          <cell r="FW9">
            <v>49978</v>
          </cell>
          <cell r="FX9">
            <v>50667</v>
          </cell>
          <cell r="FY9">
            <v>51390</v>
          </cell>
          <cell r="FZ9">
            <v>52173</v>
          </cell>
          <cell r="GA9">
            <v>53163</v>
          </cell>
          <cell r="GB9">
            <v>56436</v>
          </cell>
          <cell r="GC9">
            <v>57408</v>
          </cell>
          <cell r="GD9">
            <v>57442</v>
          </cell>
          <cell r="GE9">
            <v>59350</v>
          </cell>
          <cell r="GF9">
            <v>58664</v>
          </cell>
          <cell r="GG9">
            <v>64030</v>
          </cell>
          <cell r="GH9">
            <v>62515</v>
          </cell>
          <cell r="GI9">
            <v>64292</v>
          </cell>
          <cell r="GJ9">
            <v>64854</v>
          </cell>
          <cell r="GK9">
            <v>64430</v>
          </cell>
          <cell r="GL9">
            <v>64690</v>
          </cell>
          <cell r="GM9">
            <v>66175</v>
          </cell>
          <cell r="GN9">
            <v>64787</v>
          </cell>
          <cell r="GO9">
            <v>67106</v>
          </cell>
          <cell r="GP9">
            <v>65610</v>
          </cell>
          <cell r="GQ9">
            <v>66299</v>
          </cell>
          <cell r="GR9">
            <v>67896</v>
          </cell>
          <cell r="GS9">
            <v>68983</v>
          </cell>
          <cell r="GT9">
            <v>70442</v>
          </cell>
          <cell r="GU9">
            <v>72372</v>
          </cell>
          <cell r="GV9">
            <v>72323</v>
          </cell>
          <cell r="GW9">
            <v>72864</v>
          </cell>
          <cell r="GX9">
            <v>72511</v>
          </cell>
          <cell r="GY9">
            <v>71248</v>
          </cell>
          <cell r="GZ9">
            <v>68065</v>
          </cell>
          <cell r="HA9">
            <v>64710</v>
          </cell>
          <cell r="HB9">
            <v>68817</v>
          </cell>
          <cell r="HC9">
            <v>70206</v>
          </cell>
          <cell r="HD9">
            <v>71215</v>
          </cell>
          <cell r="HE9">
            <v>73201</v>
          </cell>
          <cell r="HF9">
            <v>71006</v>
          </cell>
          <cell r="HG9">
            <v>70185</v>
          </cell>
          <cell r="HH9">
            <v>74061</v>
          </cell>
          <cell r="HI9">
            <v>78449</v>
          </cell>
          <cell r="HJ9">
            <v>82583</v>
          </cell>
          <cell r="HK9">
            <v>84259</v>
          </cell>
          <cell r="HL9">
            <v>85066</v>
          </cell>
          <cell r="HM9">
            <v>89252</v>
          </cell>
          <cell r="HN9">
            <v>92045</v>
          </cell>
          <cell r="HO9">
            <v>92471</v>
          </cell>
          <cell r="HP9">
            <v>94194</v>
          </cell>
          <cell r="HQ9">
            <v>97044</v>
          </cell>
          <cell r="HR9">
            <v>100481</v>
          </cell>
          <cell r="HS9">
            <v>104386</v>
          </cell>
          <cell r="HT9">
            <v>104381</v>
          </cell>
          <cell r="HU9">
            <v>111169</v>
          </cell>
          <cell r="HV9">
            <v>114691</v>
          </cell>
          <cell r="HW9">
            <v>118426</v>
          </cell>
          <cell r="HX9">
            <v>125336</v>
          </cell>
          <cell r="HY9">
            <v>132152</v>
          </cell>
          <cell r="HZ9">
            <v>131685</v>
          </cell>
          <cell r="IA9">
            <v>136154</v>
          </cell>
          <cell r="IB9">
            <v>136300</v>
          </cell>
          <cell r="IC9">
            <v>131044</v>
          </cell>
          <cell r="ID9">
            <v>123869</v>
          </cell>
          <cell r="IE9">
            <v>124134</v>
          </cell>
          <cell r="IF9">
            <v>125799</v>
          </cell>
          <cell r="IG9">
            <v>131746</v>
          </cell>
          <cell r="IH9">
            <v>131930</v>
          </cell>
          <cell r="II9">
            <v>135180</v>
          </cell>
          <cell r="IJ9">
            <v>139680</v>
          </cell>
          <cell r="IK9">
            <v>142088</v>
          </cell>
          <cell r="IL9">
            <v>146013</v>
          </cell>
          <cell r="IM9">
            <v>150657</v>
          </cell>
          <cell r="IN9" t="str">
            <v>NA</v>
          </cell>
        </row>
        <row r="20">
          <cell r="CP20">
            <v>100</v>
          </cell>
          <cell r="CQ20">
            <v>97.483000000000004</v>
          </cell>
          <cell r="CR20">
            <v>95.849000000000004</v>
          </cell>
          <cell r="CS20">
            <v>98.292000000000002</v>
          </cell>
          <cell r="CT20">
            <v>95.777000000000001</v>
          </cell>
          <cell r="CU20">
            <v>94.423000000000002</v>
          </cell>
          <cell r="CV20">
            <v>96.492000000000004</v>
          </cell>
          <cell r="CW20">
            <v>94.695999999999998</v>
          </cell>
          <cell r="CX20">
            <v>92.289000000000001</v>
          </cell>
          <cell r="CY20">
            <v>92.664000000000001</v>
          </cell>
          <cell r="CZ20">
            <v>96.555999999999997</v>
          </cell>
          <cell r="DA20">
            <v>96.352000000000004</v>
          </cell>
          <cell r="DB20">
            <v>94.504999999999995</v>
          </cell>
          <cell r="DC20">
            <v>94.558999999999997</v>
          </cell>
          <cell r="DD20">
            <v>94.378</v>
          </cell>
          <cell r="DE20">
            <v>94.445999999999998</v>
          </cell>
          <cell r="DF20">
            <v>94.278000000000006</v>
          </cell>
          <cell r="DG20">
            <v>93.66</v>
          </cell>
          <cell r="DH20">
            <v>92.707999999999998</v>
          </cell>
          <cell r="DI20">
            <v>89.704999999999998</v>
          </cell>
          <cell r="DJ20">
            <v>88.555999999999997</v>
          </cell>
          <cell r="DK20">
            <v>88.79</v>
          </cell>
          <cell r="DL20">
            <v>85.619</v>
          </cell>
          <cell r="DM20">
            <v>86.228999999999999</v>
          </cell>
          <cell r="DN20">
            <v>87.28</v>
          </cell>
          <cell r="DO20">
            <v>89.457000000000008</v>
          </cell>
          <cell r="DP20">
            <v>88.290999999999997</v>
          </cell>
          <cell r="DQ20">
            <v>89.588000000000008</v>
          </cell>
          <cell r="DR20">
            <v>92.483000000000004</v>
          </cell>
          <cell r="DS20">
            <v>88.923000000000002</v>
          </cell>
          <cell r="DT20">
            <v>88.135999999999996</v>
          </cell>
          <cell r="DU20">
            <v>90.620999999999995</v>
          </cell>
          <cell r="DV20">
            <v>92.302000000000007</v>
          </cell>
          <cell r="DW20">
            <v>98.347000000000008</v>
          </cell>
          <cell r="DX20">
            <v>99.947000000000003</v>
          </cell>
          <cell r="DY20">
            <v>97.197000000000003</v>
          </cell>
          <cell r="DZ20">
            <v>103.21600000000001</v>
          </cell>
          <cell r="EA20">
            <v>106.916</v>
          </cell>
          <cell r="EB20">
            <v>110.839</v>
          </cell>
          <cell r="EC20">
            <v>107.047</v>
          </cell>
          <cell r="ED20">
            <v>107.724</v>
          </cell>
          <cell r="EE20">
            <v>110.77500000000001</v>
          </cell>
          <cell r="EF20">
            <v>113.23700000000001</v>
          </cell>
          <cell r="EG20">
            <v>113.84400000000001</v>
          </cell>
          <cell r="EH20">
            <v>112.44800000000001</v>
          </cell>
          <cell r="EI20">
            <v>116.2</v>
          </cell>
          <cell r="EJ20">
            <v>122.188</v>
          </cell>
          <cell r="EK20">
            <v>123.401</v>
          </cell>
          <cell r="EL20">
            <v>128.43700000000001</v>
          </cell>
          <cell r="EM20">
            <v>124.94200000000001</v>
          </cell>
          <cell r="EN20">
            <v>122.37</v>
          </cell>
          <cell r="EO20">
            <v>115.79</v>
          </cell>
          <cell r="EP20">
            <v>109.36500000000001</v>
          </cell>
          <cell r="EQ20">
            <v>107.658</v>
          </cell>
          <cell r="ER20">
            <v>104.676</v>
          </cell>
          <cell r="ES20">
            <v>105.04900000000001</v>
          </cell>
          <cell r="ET20">
            <v>100.711</v>
          </cell>
          <cell r="EU20">
            <v>99.141000000000005</v>
          </cell>
          <cell r="EV20">
            <v>98.435000000000002</v>
          </cell>
          <cell r="EW20">
            <v>92.37</v>
          </cell>
          <cell r="EX20">
            <v>91.251000000000005</v>
          </cell>
          <cell r="EY20">
            <v>91.802999999999997</v>
          </cell>
          <cell r="EZ20">
            <v>94.731000000000009</v>
          </cell>
          <cell r="FA20">
            <v>89.847000000000008</v>
          </cell>
          <cell r="FB20">
            <v>92.731000000000009</v>
          </cell>
          <cell r="FC20">
            <v>96.225000000000009</v>
          </cell>
          <cell r="FD20">
            <v>95.408000000000001</v>
          </cell>
          <cell r="FE20">
            <v>93.174999999999997</v>
          </cell>
          <cell r="FF20">
            <v>94.102000000000004</v>
          </cell>
          <cell r="FG20">
            <v>93.307000000000002</v>
          </cell>
          <cell r="FH20">
            <v>89.349000000000004</v>
          </cell>
          <cell r="FI20">
            <v>88.231999999999999</v>
          </cell>
          <cell r="FJ20">
            <v>89.778000000000006</v>
          </cell>
          <cell r="FK20">
            <v>92.212000000000003</v>
          </cell>
          <cell r="FL20">
            <v>90</v>
          </cell>
          <cell r="FM20">
            <v>87.176000000000002</v>
          </cell>
          <cell r="FN20">
            <v>89.706000000000003</v>
          </cell>
          <cell r="FO20">
            <v>87.141000000000005</v>
          </cell>
          <cell r="FP20">
            <v>85.656000000000006</v>
          </cell>
          <cell r="FQ20">
            <v>89.983000000000004</v>
          </cell>
          <cell r="FR20">
            <v>90.070000000000007</v>
          </cell>
          <cell r="FS20">
            <v>88.394000000000005</v>
          </cell>
          <cell r="FT20">
            <v>88.096000000000004</v>
          </cell>
          <cell r="FU20">
            <v>89.314000000000007</v>
          </cell>
          <cell r="FV20">
            <v>90.817999999999998</v>
          </cell>
          <cell r="FW20">
            <v>89.606000000000009</v>
          </cell>
          <cell r="FX20">
            <v>87.024000000000001</v>
          </cell>
          <cell r="FY20">
            <v>88.125</v>
          </cell>
          <cell r="FZ20">
            <v>87.781999999999996</v>
          </cell>
          <cell r="GA20">
            <v>84.233999999999995</v>
          </cell>
          <cell r="GB20">
            <v>86.802000000000007</v>
          </cell>
          <cell r="GC20">
            <v>87.673000000000002</v>
          </cell>
          <cell r="GD20">
            <v>88.251000000000005</v>
          </cell>
          <cell r="GE20">
            <v>88.787000000000006</v>
          </cell>
          <cell r="GF20">
            <v>88.507999999999996</v>
          </cell>
          <cell r="GG20">
            <v>89.085000000000008</v>
          </cell>
          <cell r="GH20">
            <v>92.308999999999997</v>
          </cell>
          <cell r="GI20">
            <v>91.135000000000005</v>
          </cell>
          <cell r="GJ20">
            <v>93.953000000000003</v>
          </cell>
          <cell r="GK20">
            <v>99.362000000000009</v>
          </cell>
          <cell r="GL20">
            <v>100.06</v>
          </cell>
          <cell r="GM20">
            <v>102.727</v>
          </cell>
          <cell r="GN20">
            <v>102.837</v>
          </cell>
          <cell r="GO20">
            <v>98.710999999999999</v>
          </cell>
          <cell r="GP20">
            <v>101.089</v>
          </cell>
          <cell r="GQ20">
            <v>101.16500000000001</v>
          </cell>
          <cell r="GR20">
            <v>100.045</v>
          </cell>
          <cell r="GS20">
            <v>99.947000000000003</v>
          </cell>
          <cell r="GT20">
            <v>101.732</v>
          </cell>
          <cell r="GU20">
            <v>103.65900000000001</v>
          </cell>
          <cell r="GV20">
            <v>105.90300000000001</v>
          </cell>
          <cell r="GW20">
            <v>107.14700000000001</v>
          </cell>
          <cell r="GX20">
            <v>109.896</v>
          </cell>
          <cell r="GY20">
            <v>111.411</v>
          </cell>
          <cell r="GZ20">
            <v>110.18300000000001</v>
          </cell>
          <cell r="HA20">
            <v>110.95400000000001</v>
          </cell>
          <cell r="HB20">
            <v>112.252</v>
          </cell>
          <cell r="HC20">
            <v>109.15900000000001</v>
          </cell>
          <cell r="HD20">
            <v>109.75</v>
          </cell>
          <cell r="HE20">
            <v>108.69800000000001</v>
          </cell>
          <cell r="HF20">
            <v>107.004</v>
          </cell>
          <cell r="HG20">
            <v>101.827</v>
          </cell>
          <cell r="HH20">
            <v>103.376</v>
          </cell>
          <cell r="HI20">
            <v>99.292000000000002</v>
          </cell>
          <cell r="HJ20">
            <v>99.314000000000007</v>
          </cell>
          <cell r="HK20">
            <v>100.848</v>
          </cell>
          <cell r="HL20">
            <v>99.768000000000001</v>
          </cell>
          <cell r="HM20">
            <v>95.212000000000003</v>
          </cell>
          <cell r="HN20">
            <v>95.471000000000004</v>
          </cell>
          <cell r="HO20">
            <v>97.516000000000005</v>
          </cell>
          <cell r="HP20">
            <v>98.240000000000009</v>
          </cell>
          <cell r="HQ20">
            <v>98.441000000000003</v>
          </cell>
          <cell r="HR20">
            <v>97.674000000000007</v>
          </cell>
          <cell r="HS20">
            <v>96.513999999999996</v>
          </cell>
          <cell r="HT20">
            <v>95.936999999999998</v>
          </cell>
          <cell r="HU20">
            <v>94.045000000000002</v>
          </cell>
          <cell r="HV20">
            <v>94.548000000000002</v>
          </cell>
          <cell r="HW20">
            <v>92.501999999999995</v>
          </cell>
          <cell r="HX20">
            <v>90.289000000000001</v>
          </cell>
          <cell r="HY20">
            <v>87.923000000000002</v>
          </cell>
          <cell r="HZ20">
            <v>84.557000000000002</v>
          </cell>
          <cell r="IA20">
            <v>84.885999999999996</v>
          </cell>
          <cell r="IB20">
            <v>88.778999999999996</v>
          </cell>
          <cell r="IC20">
            <v>93.16</v>
          </cell>
          <cell r="ID20">
            <v>96.849000000000004</v>
          </cell>
          <cell r="IE20">
            <v>90.987000000000009</v>
          </cell>
          <cell r="IF20">
            <v>89.024000000000001</v>
          </cell>
          <cell r="IG20">
            <v>87.492000000000004</v>
          </cell>
          <cell r="IH20">
            <v>87.792000000000002</v>
          </cell>
          <cell r="II20">
            <v>89.588999999999999</v>
          </cell>
          <cell r="IJ20">
            <v>86.609000000000009</v>
          </cell>
          <cell r="IK20">
            <v>84.679000000000002</v>
          </cell>
          <cell r="IL20">
            <v>82.606999999999999</v>
          </cell>
          <cell r="IM20">
            <v>80.941000000000003</v>
          </cell>
          <cell r="IN20">
            <v>83.534000000000006</v>
          </cell>
        </row>
        <row r="21">
          <cell r="AT21">
            <v>22.6</v>
          </cell>
          <cell r="AU21">
            <v>22.900000000000002</v>
          </cell>
          <cell r="AV21">
            <v>23.2</v>
          </cell>
          <cell r="AW21">
            <v>23.6</v>
          </cell>
          <cell r="AX21">
            <v>24</v>
          </cell>
          <cell r="AY21">
            <v>24.2</v>
          </cell>
          <cell r="AZ21">
            <v>24.6</v>
          </cell>
          <cell r="BA21">
            <v>24.7</v>
          </cell>
          <cell r="BB21">
            <v>24.8</v>
          </cell>
          <cell r="BC21">
            <v>25.400000000000002</v>
          </cell>
          <cell r="BD21">
            <v>25.900000000000002</v>
          </cell>
          <cell r="BE21">
            <v>26.3</v>
          </cell>
          <cell r="BF21">
            <v>26.8</v>
          </cell>
          <cell r="BG21">
            <v>27.1</v>
          </cell>
          <cell r="BH21">
            <v>27.400000000000002</v>
          </cell>
          <cell r="BI21">
            <v>27.6</v>
          </cell>
          <cell r="BJ21">
            <v>28.2</v>
          </cell>
          <cell r="BK21">
            <v>28.5</v>
          </cell>
          <cell r="BL21">
            <v>28.900000000000002</v>
          </cell>
          <cell r="BM21">
            <v>29.400000000000002</v>
          </cell>
          <cell r="BN21">
            <v>29.900000000000002</v>
          </cell>
          <cell r="BO21">
            <v>30.3</v>
          </cell>
          <cell r="BP21">
            <v>30.6</v>
          </cell>
          <cell r="BQ21">
            <v>30.8</v>
          </cell>
          <cell r="BR21">
            <v>31.1</v>
          </cell>
          <cell r="BS21">
            <v>31.3</v>
          </cell>
          <cell r="BT21">
            <v>31.7</v>
          </cell>
          <cell r="BU21">
            <v>32</v>
          </cell>
          <cell r="BV21">
            <v>32.6</v>
          </cell>
          <cell r="BW21">
            <v>33</v>
          </cell>
          <cell r="BX21">
            <v>33.6</v>
          </cell>
          <cell r="BY21">
            <v>34.1</v>
          </cell>
          <cell r="BZ21">
            <v>34.6</v>
          </cell>
          <cell r="CA21">
            <v>35</v>
          </cell>
          <cell r="CB21">
            <v>35.4</v>
          </cell>
          <cell r="CC21">
            <v>35.700000000000003</v>
          </cell>
          <cell r="CD21">
            <v>36</v>
          </cell>
          <cell r="CE21">
            <v>36.4</v>
          </cell>
          <cell r="CF21">
            <v>36.9</v>
          </cell>
          <cell r="CG21">
            <v>36.9</v>
          </cell>
          <cell r="CH21">
            <v>37.200000000000003</v>
          </cell>
          <cell r="CI21">
            <v>37.6</v>
          </cell>
          <cell r="CJ21">
            <v>38.1</v>
          </cell>
          <cell r="CK21">
            <v>38.300000000000004</v>
          </cell>
          <cell r="CL21">
            <v>38.9</v>
          </cell>
          <cell r="CM21">
            <v>39.6</v>
          </cell>
          <cell r="CN21">
            <v>40.1</v>
          </cell>
          <cell r="CO21">
            <v>40.800000000000004</v>
          </cell>
          <cell r="CP21">
            <v>41.800000000000004</v>
          </cell>
          <cell r="CQ21">
            <v>42.2</v>
          </cell>
          <cell r="CR21">
            <v>42.4</v>
          </cell>
          <cell r="CS21">
            <v>42.9</v>
          </cell>
          <cell r="CT21">
            <v>42.7</v>
          </cell>
          <cell r="CU21">
            <v>42.9</v>
          </cell>
          <cell r="CV21">
            <v>42.9</v>
          </cell>
          <cell r="CW21">
            <v>42.6</v>
          </cell>
          <cell r="CX21">
            <v>42.4</v>
          </cell>
          <cell r="CY21">
            <v>42.6</v>
          </cell>
          <cell r="CZ21">
            <v>43.1</v>
          </cell>
          <cell r="DA21">
            <v>43.6</v>
          </cell>
          <cell r="DB21">
            <v>44.4</v>
          </cell>
          <cell r="DC21">
            <v>44.800000000000004</v>
          </cell>
          <cell r="DD21">
            <v>45.1</v>
          </cell>
          <cell r="DE21">
            <v>45.6</v>
          </cell>
          <cell r="DF21">
            <v>46</v>
          </cell>
          <cell r="DG21">
            <v>46.4</v>
          </cell>
          <cell r="DH21">
            <v>46.800000000000004</v>
          </cell>
          <cell r="DI21">
            <v>47.1</v>
          </cell>
          <cell r="DJ21">
            <v>47.5</v>
          </cell>
          <cell r="DK21">
            <v>48.5</v>
          </cell>
          <cell r="DL21">
            <v>48.9</v>
          </cell>
          <cell r="DM21">
            <v>49.5</v>
          </cell>
          <cell r="DN21">
            <v>49.800000000000004</v>
          </cell>
          <cell r="DO21">
            <v>50.300000000000004</v>
          </cell>
          <cell r="DP21">
            <v>50.6</v>
          </cell>
          <cell r="DQ21">
            <v>51</v>
          </cell>
          <cell r="DR21">
            <v>51.300000000000004</v>
          </cell>
          <cell r="DS21">
            <v>50.7</v>
          </cell>
          <cell r="DT21">
            <v>50.800000000000004</v>
          </cell>
          <cell r="DU21">
            <v>51.4</v>
          </cell>
          <cell r="DV21">
            <v>52</v>
          </cell>
          <cell r="DW21">
            <v>52</v>
          </cell>
          <cell r="DX21">
            <v>52.300000000000004</v>
          </cell>
          <cell r="DY21">
            <v>52.2</v>
          </cell>
          <cell r="DZ21">
            <v>52.1</v>
          </cell>
          <cell r="EA21">
            <v>52.2</v>
          </cell>
          <cell r="EB21">
            <v>52.1</v>
          </cell>
          <cell r="EC21">
            <v>52.2</v>
          </cell>
          <cell r="ED21">
            <v>52.6</v>
          </cell>
          <cell r="EE21">
            <v>53.2</v>
          </cell>
          <cell r="EF21">
            <v>53.800000000000004</v>
          </cell>
          <cell r="EG21">
            <v>54.6</v>
          </cell>
          <cell r="EH21">
            <v>55.4</v>
          </cell>
          <cell r="EI21">
            <v>55.800000000000004</v>
          </cell>
          <cell r="EJ21">
            <v>56.4</v>
          </cell>
          <cell r="EK21">
            <v>56.800000000000004</v>
          </cell>
          <cell r="EL21">
            <v>57.300000000000004</v>
          </cell>
          <cell r="EM21">
            <v>57.9</v>
          </cell>
          <cell r="EN21">
            <v>58.6</v>
          </cell>
          <cell r="EO21">
            <v>59.1</v>
          </cell>
          <cell r="EP21">
            <v>59.300000000000004</v>
          </cell>
          <cell r="EQ21">
            <v>59.7</v>
          </cell>
          <cell r="ER21">
            <v>60.1</v>
          </cell>
          <cell r="ES21">
            <v>60.4</v>
          </cell>
          <cell r="ET21">
            <v>60.5</v>
          </cell>
          <cell r="EU21">
            <v>61.4</v>
          </cell>
          <cell r="EV21">
            <v>62.1</v>
          </cell>
          <cell r="EW21">
            <v>63.2</v>
          </cell>
          <cell r="EX21">
            <v>63.7</v>
          </cell>
          <cell r="EY21">
            <v>64.2</v>
          </cell>
          <cell r="EZ21">
            <v>64.8</v>
          </cell>
          <cell r="FA21">
            <v>65.5</v>
          </cell>
          <cell r="FB21">
            <v>66.400000000000006</v>
          </cell>
          <cell r="FC21">
            <v>66.599999999999994</v>
          </cell>
          <cell r="FD21">
            <v>67.2</v>
          </cell>
          <cell r="FE21">
            <v>67.8</v>
          </cell>
          <cell r="FF21">
            <v>68.5</v>
          </cell>
          <cell r="FG21">
            <v>69.100000000000009</v>
          </cell>
          <cell r="FH21">
            <v>69.3</v>
          </cell>
          <cell r="FI21">
            <v>69.400000000000006</v>
          </cell>
          <cell r="FJ21">
            <v>69.400000000000006</v>
          </cell>
          <cell r="FK21">
            <v>69.8</v>
          </cell>
          <cell r="FL21">
            <v>69.900000000000006</v>
          </cell>
          <cell r="FM21">
            <v>70.3</v>
          </cell>
          <cell r="FN21">
            <v>70.900000000000006</v>
          </cell>
          <cell r="FO21">
            <v>71.100000000000009</v>
          </cell>
          <cell r="FP21">
            <v>71.400000000000006</v>
          </cell>
          <cell r="FQ21">
            <v>71.600000000000009</v>
          </cell>
          <cell r="FR21">
            <v>71.7</v>
          </cell>
          <cell r="FS21">
            <v>72</v>
          </cell>
          <cell r="FT21">
            <v>72.3</v>
          </cell>
          <cell r="FU21">
            <v>72.900000000000006</v>
          </cell>
          <cell r="FV21">
            <v>73.5</v>
          </cell>
          <cell r="FW21">
            <v>74</v>
          </cell>
          <cell r="FX21">
            <v>74.7</v>
          </cell>
          <cell r="FY21">
            <v>75.3</v>
          </cell>
          <cell r="FZ21">
            <v>75.5</v>
          </cell>
          <cell r="GA21">
            <v>75.7</v>
          </cell>
          <cell r="GB21">
            <v>76.3</v>
          </cell>
          <cell r="GC21">
            <v>76.7</v>
          </cell>
          <cell r="GD21">
            <v>77.100000000000009</v>
          </cell>
          <cell r="GE21">
            <v>78</v>
          </cell>
          <cell r="GF21">
            <v>78.600000000000009</v>
          </cell>
          <cell r="GG21">
            <v>79.3</v>
          </cell>
          <cell r="GH21">
            <v>79.900000000000006</v>
          </cell>
          <cell r="GI21">
            <v>80.900000000000006</v>
          </cell>
          <cell r="GJ21">
            <v>81.5</v>
          </cell>
          <cell r="GK21">
            <v>82.2</v>
          </cell>
          <cell r="GL21">
            <v>82.4</v>
          </cell>
          <cell r="GM21">
            <v>82.9</v>
          </cell>
          <cell r="GN21">
            <v>83.600000000000009</v>
          </cell>
          <cell r="GO21">
            <v>84.3</v>
          </cell>
          <cell r="GP21">
            <v>84.9</v>
          </cell>
          <cell r="GQ21">
            <v>85.5</v>
          </cell>
          <cell r="GR21">
            <v>86.5</v>
          </cell>
          <cell r="GS21">
            <v>87.8</v>
          </cell>
          <cell r="GT21">
            <v>88.600000000000009</v>
          </cell>
          <cell r="GU21">
            <v>89.8</v>
          </cell>
          <cell r="GV21">
            <v>90.2</v>
          </cell>
          <cell r="GW21">
            <v>90.7</v>
          </cell>
          <cell r="GX21">
            <v>90.8</v>
          </cell>
          <cell r="GY21">
            <v>91</v>
          </cell>
          <cell r="GZ21">
            <v>91</v>
          </cell>
          <cell r="HA21">
            <v>91.100000000000009</v>
          </cell>
          <cell r="HB21">
            <v>91.7</v>
          </cell>
          <cell r="HC21">
            <v>92.3</v>
          </cell>
          <cell r="HD21">
            <v>92.9</v>
          </cell>
          <cell r="HE21">
            <v>93.100000000000009</v>
          </cell>
          <cell r="HF21">
            <v>93.3</v>
          </cell>
          <cell r="HG21">
            <v>93.8</v>
          </cell>
          <cell r="HH21">
            <v>94.8</v>
          </cell>
          <cell r="HI21">
            <v>95.7</v>
          </cell>
          <cell r="HJ21">
            <v>96.5</v>
          </cell>
          <cell r="HK21">
            <v>97.100000000000009</v>
          </cell>
          <cell r="HL21">
            <v>97.600000000000009</v>
          </cell>
          <cell r="HM21">
            <v>98.2</v>
          </cell>
          <cell r="HN21">
            <v>98.9</v>
          </cell>
          <cell r="HO21">
            <v>99.600000000000009</v>
          </cell>
          <cell r="HP21">
            <v>100.4</v>
          </cell>
          <cell r="HQ21">
            <v>101.10000000000001</v>
          </cell>
          <cell r="HR21">
            <v>102.10000000000001</v>
          </cell>
          <cell r="HS21">
            <v>103</v>
          </cell>
          <cell r="HT21">
            <v>103.4</v>
          </cell>
          <cell r="HU21">
            <v>104.2</v>
          </cell>
          <cell r="HV21">
            <v>104.9</v>
          </cell>
          <cell r="HW21">
            <v>105.8</v>
          </cell>
          <cell r="HX21">
            <v>106.4</v>
          </cell>
          <cell r="HY21">
            <v>107.10000000000001</v>
          </cell>
          <cell r="HZ21">
            <v>107.3</v>
          </cell>
          <cell r="IA21">
            <v>107.10000000000001</v>
          </cell>
          <cell r="IB21">
            <v>106.3</v>
          </cell>
          <cell r="IC21">
            <v>104</v>
          </cell>
          <cell r="ID21">
            <v>101.4</v>
          </cell>
          <cell r="IE21">
            <v>101.60000000000001</v>
          </cell>
          <cell r="IF21">
            <v>102.3</v>
          </cell>
          <cell r="IG21">
            <v>103.10000000000001</v>
          </cell>
          <cell r="IH21">
            <v>104</v>
          </cell>
          <cell r="II21">
            <v>105</v>
          </cell>
          <cell r="IJ21">
            <v>105.7</v>
          </cell>
          <cell r="IK21">
            <v>106.2</v>
          </cell>
          <cell r="IL21">
            <v>106.5</v>
          </cell>
          <cell r="IM21">
            <v>106.9</v>
          </cell>
          <cell r="IN21" t="str">
            <v>NA</v>
          </cell>
        </row>
        <row r="22">
          <cell r="BW22">
            <v>259.47000000000003</v>
          </cell>
          <cell r="BX22">
            <v>275.14</v>
          </cell>
          <cell r="BY22">
            <v>283.05</v>
          </cell>
          <cell r="BZ22">
            <v>282.22000000000003</v>
          </cell>
          <cell r="CA22">
            <v>302.63</v>
          </cell>
          <cell r="CB22">
            <v>307.62</v>
          </cell>
          <cell r="CC22">
            <v>314.08</v>
          </cell>
          <cell r="CD22">
            <v>323.44</v>
          </cell>
          <cell r="CE22">
            <v>331.28000000000003</v>
          </cell>
          <cell r="CF22">
            <v>336.37</v>
          </cell>
          <cell r="CG22">
            <v>343.39</v>
          </cell>
          <cell r="CH22">
            <v>345.88</v>
          </cell>
          <cell r="CI22">
            <v>353.78000000000003</v>
          </cell>
          <cell r="CJ22">
            <v>362.40000000000003</v>
          </cell>
          <cell r="CK22">
            <v>357.7</v>
          </cell>
          <cell r="CL22">
            <v>375.13</v>
          </cell>
          <cell r="CM22">
            <v>379.48</v>
          </cell>
          <cell r="CN22">
            <v>389.67</v>
          </cell>
          <cell r="CO22">
            <v>411.51</v>
          </cell>
          <cell r="CP22">
            <v>425.1</v>
          </cell>
          <cell r="CQ22">
            <v>435.41</v>
          </cell>
          <cell r="CR22">
            <v>440.73</v>
          </cell>
          <cell r="CS22">
            <v>452.07</v>
          </cell>
          <cell r="CT22">
            <v>457.27</v>
          </cell>
          <cell r="CU22">
            <v>465.05</v>
          </cell>
          <cell r="CV22">
            <v>465.96000000000004</v>
          </cell>
          <cell r="CW22">
            <v>456.28000000000003</v>
          </cell>
          <cell r="CX22">
            <v>438.11</v>
          </cell>
          <cell r="CY22">
            <v>432.04</v>
          </cell>
          <cell r="CZ22">
            <v>440.69</v>
          </cell>
          <cell r="DA22">
            <v>459.03000000000003</v>
          </cell>
          <cell r="DB22">
            <v>473.31</v>
          </cell>
          <cell r="DC22">
            <v>489.07</v>
          </cell>
          <cell r="DD22">
            <v>501.46000000000004</v>
          </cell>
          <cell r="DE22">
            <v>509.1</v>
          </cell>
          <cell r="DF22">
            <v>510.49</v>
          </cell>
          <cell r="DG22">
            <v>518.75</v>
          </cell>
          <cell r="DH22">
            <v>522.28</v>
          </cell>
          <cell r="DI22">
            <v>526.01</v>
          </cell>
          <cell r="DJ22">
            <v>534.21</v>
          </cell>
          <cell r="DK22">
            <v>548.5</v>
          </cell>
          <cell r="DL22">
            <v>557.75</v>
          </cell>
          <cell r="DM22">
            <v>570.99</v>
          </cell>
          <cell r="DN22">
            <v>575.68000000000006</v>
          </cell>
          <cell r="DO22">
            <v>590.03</v>
          </cell>
          <cell r="DP22">
            <v>600.70000000000005</v>
          </cell>
          <cell r="DQ22">
            <v>612.04</v>
          </cell>
          <cell r="DR22">
            <v>624.16</v>
          </cell>
          <cell r="DS22">
            <v>612.34</v>
          </cell>
          <cell r="DT22">
            <v>606</v>
          </cell>
          <cell r="DU22">
            <v>614.87</v>
          </cell>
          <cell r="DV22">
            <v>624.33000000000004</v>
          </cell>
          <cell r="DW22">
            <v>637.03</v>
          </cell>
          <cell r="DX22">
            <v>642.83000000000004</v>
          </cell>
          <cell r="DY22">
            <v>647.94000000000005</v>
          </cell>
          <cell r="DZ22">
            <v>644.21</v>
          </cell>
          <cell r="EA22">
            <v>640.06000000000006</v>
          </cell>
          <cell r="EB22">
            <v>635.85</v>
          </cell>
          <cell r="EC22">
            <v>627.87</v>
          </cell>
          <cell r="ED22">
            <v>632.5</v>
          </cell>
          <cell r="EE22">
            <v>648.66</v>
          </cell>
          <cell r="EF22">
            <v>665.75</v>
          </cell>
          <cell r="EG22">
            <v>688.4</v>
          </cell>
          <cell r="EH22">
            <v>714.93000000000006</v>
          </cell>
          <cell r="EI22">
            <v>723.13</v>
          </cell>
          <cell r="EJ22">
            <v>744.32</v>
          </cell>
          <cell r="EK22">
            <v>752.68000000000006</v>
          </cell>
          <cell r="EL22">
            <v>768.98</v>
          </cell>
          <cell r="EM22">
            <v>774.94</v>
          </cell>
          <cell r="EN22">
            <v>776.58</v>
          </cell>
          <cell r="EO22">
            <v>792.91</v>
          </cell>
          <cell r="EP22">
            <v>791.46</v>
          </cell>
          <cell r="EQ22">
            <v>811.81000000000006</v>
          </cell>
          <cell r="ER22">
            <v>826.18000000000006</v>
          </cell>
          <cell r="ES22">
            <v>832.1</v>
          </cell>
          <cell r="ET22">
            <v>839.37</v>
          </cell>
          <cell r="EU22">
            <v>858.6</v>
          </cell>
          <cell r="EV22">
            <v>884.69</v>
          </cell>
          <cell r="EW22">
            <v>906.75</v>
          </cell>
          <cell r="EX22">
            <v>916.46</v>
          </cell>
          <cell r="EY22">
            <v>940.13</v>
          </cell>
          <cell r="EZ22">
            <v>967.75</v>
          </cell>
          <cell r="FA22">
            <v>988.11</v>
          </cell>
          <cell r="FB22">
            <v>1008.27</v>
          </cell>
          <cell r="FC22">
            <v>1022.88</v>
          </cell>
          <cell r="FD22">
            <v>1036.5899999999999</v>
          </cell>
          <cell r="FE22">
            <v>1046.3499999999999</v>
          </cell>
          <cell r="FF22">
            <v>1069.3399999999999</v>
          </cell>
          <cell r="FG22">
            <v>1079.42</v>
          </cell>
          <cell r="FH22">
            <v>1100.8900000000001</v>
          </cell>
          <cell r="FI22">
            <v>1113.73</v>
          </cell>
          <cell r="FJ22">
            <v>1118.3</v>
          </cell>
          <cell r="FK22">
            <v>1135.8800000000001</v>
          </cell>
          <cell r="FL22">
            <v>1161.1200000000001</v>
          </cell>
          <cell r="FM22">
            <v>1176.42</v>
          </cell>
          <cell r="FN22">
            <v>1205.8800000000001</v>
          </cell>
          <cell r="FO22">
            <v>1222.1000000000001</v>
          </cell>
          <cell r="FP22">
            <v>1233.06</v>
          </cell>
          <cell r="FQ22">
            <v>1251.18</v>
          </cell>
          <cell r="FR22">
            <v>1250.79</v>
          </cell>
          <cell r="FS22">
            <v>1266.19</v>
          </cell>
          <cell r="FT22">
            <v>1294.81</v>
          </cell>
          <cell r="FU22">
            <v>1325.3</v>
          </cell>
          <cell r="FV22">
            <v>1347.33</v>
          </cell>
          <cell r="FW22">
            <v>1393.8</v>
          </cell>
          <cell r="FX22">
            <v>1424.74</v>
          </cell>
          <cell r="FY22">
            <v>1481.1100000000001</v>
          </cell>
          <cell r="FZ22">
            <v>1515.29</v>
          </cell>
          <cell r="GA22">
            <v>1546.5900000000001</v>
          </cell>
          <cell r="GB22">
            <v>1574.02</v>
          </cell>
          <cell r="GC22">
            <v>1598.2</v>
          </cell>
          <cell r="GD22">
            <v>1640.05</v>
          </cell>
          <cell r="GE22">
            <v>1656.73</v>
          </cell>
          <cell r="GF22">
            <v>1697.54</v>
          </cell>
          <cell r="GG22">
            <v>1743.91</v>
          </cell>
          <cell r="GH22">
            <v>1788.76</v>
          </cell>
          <cell r="GI22">
            <v>1852.05</v>
          </cell>
          <cell r="GJ22">
            <v>1895.46</v>
          </cell>
          <cell r="GK22">
            <v>1931.66</v>
          </cell>
          <cell r="GL22">
            <v>1954.39</v>
          </cell>
          <cell r="GM22">
            <v>1959.82</v>
          </cell>
          <cell r="GN22">
            <v>1964.8600000000001</v>
          </cell>
          <cell r="GO22">
            <v>1974.17</v>
          </cell>
          <cell r="GP22">
            <v>1996.74</v>
          </cell>
          <cell r="GQ22">
            <v>2056.63</v>
          </cell>
          <cell r="GR22">
            <v>2122.0300000000002</v>
          </cell>
          <cell r="GS22">
            <v>2187.59</v>
          </cell>
          <cell r="GT22">
            <v>2276.2600000000002</v>
          </cell>
          <cell r="GU22">
            <v>2337.6799999999998</v>
          </cell>
          <cell r="GV22">
            <v>2404.1799999999998</v>
          </cell>
          <cell r="GW22">
            <v>2443.9900000000002</v>
          </cell>
          <cell r="GX22">
            <v>2434.92</v>
          </cell>
          <cell r="GY22">
            <v>2398.91</v>
          </cell>
          <cell r="GZ22">
            <v>2370.56</v>
          </cell>
          <cell r="HA22">
            <v>2361.79</v>
          </cell>
          <cell r="HB22">
            <v>2415.7000000000003</v>
          </cell>
          <cell r="HC22">
            <v>2489.25</v>
          </cell>
          <cell r="HD22">
            <v>2534.0300000000002</v>
          </cell>
          <cell r="HE22">
            <v>2560.89</v>
          </cell>
          <cell r="HF22">
            <v>2596.85</v>
          </cell>
          <cell r="HG22">
            <v>2600.14</v>
          </cell>
          <cell r="HH22">
            <v>2669.4700000000003</v>
          </cell>
          <cell r="HI22">
            <v>2766.6</v>
          </cell>
          <cell r="HJ22">
            <v>2844.2400000000002</v>
          </cell>
          <cell r="HK22">
            <v>2930.9700000000003</v>
          </cell>
          <cell r="HL22">
            <v>2980.25</v>
          </cell>
          <cell r="HM22">
            <v>3051.77</v>
          </cell>
          <cell r="HN22">
            <v>3072.34</v>
          </cell>
          <cell r="HO22">
            <v>3167.04</v>
          </cell>
          <cell r="HP22">
            <v>3235.75</v>
          </cell>
          <cell r="HQ22">
            <v>3315.8</v>
          </cell>
          <cell r="HR22">
            <v>3408.25</v>
          </cell>
          <cell r="HS22">
            <v>3472.7000000000003</v>
          </cell>
          <cell r="HT22">
            <v>3503.31</v>
          </cell>
          <cell r="HU22">
            <v>3582.57</v>
          </cell>
          <cell r="HV22">
            <v>3657.79</v>
          </cell>
          <cell r="HW22">
            <v>3709.56</v>
          </cell>
          <cell r="HX22">
            <v>3784.25</v>
          </cell>
          <cell r="HY22">
            <v>3848.9900000000002</v>
          </cell>
          <cell r="HZ22">
            <v>3916.96</v>
          </cell>
          <cell r="IA22">
            <v>3929.4500000000003</v>
          </cell>
          <cell r="IB22">
            <v>3911.02</v>
          </cell>
          <cell r="IC22">
            <v>3667.28</v>
          </cell>
          <cell r="ID22">
            <v>3346.9300000000003</v>
          </cell>
          <cell r="IE22">
            <v>3357.25</v>
          </cell>
          <cell r="IF22">
            <v>3474.76</v>
          </cell>
          <cell r="IG22">
            <v>3580.91</v>
          </cell>
          <cell r="IH22">
            <v>3700.25</v>
          </cell>
          <cell r="II22">
            <v>3844.58</v>
          </cell>
          <cell r="IJ22">
            <v>3918.23</v>
          </cell>
          <cell r="IK22">
            <v>3973.34</v>
          </cell>
          <cell r="IL22">
            <v>4053.8</v>
          </cell>
          <cell r="IM22">
            <v>4072.31</v>
          </cell>
          <cell r="IN22" t="str">
            <v>NA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"/>
    </sheetNames>
    <sheetDataSet>
      <sheetData sheetId="0">
        <row r="5">
          <cell r="H5">
            <v>2.58</v>
          </cell>
          <cell r="I5">
            <v>3.24</v>
          </cell>
          <cell r="AS5">
            <v>19.400000000000002</v>
          </cell>
        </row>
        <row r="6">
          <cell r="H6">
            <v>2.58</v>
          </cell>
          <cell r="I6">
            <v>3.24</v>
          </cell>
          <cell r="AS6">
            <v>19.700000000000003</v>
          </cell>
        </row>
        <row r="7">
          <cell r="H7">
            <v>2.6</v>
          </cell>
          <cell r="I7">
            <v>3.23</v>
          </cell>
          <cell r="AS7">
            <v>20.100000000000001</v>
          </cell>
        </row>
        <row r="8">
          <cell r="H8">
            <v>2.61</v>
          </cell>
          <cell r="I8">
            <v>3.25</v>
          </cell>
          <cell r="AS8">
            <v>20.6</v>
          </cell>
        </row>
        <row r="9">
          <cell r="H9">
            <v>2.62</v>
          </cell>
          <cell r="I9">
            <v>3.2800000000000002</v>
          </cell>
          <cell r="AS9">
            <v>21.1</v>
          </cell>
        </row>
        <row r="10">
          <cell r="H10">
            <v>2.65</v>
          </cell>
          <cell r="I10">
            <v>3.3200000000000003</v>
          </cell>
          <cell r="AS10">
            <v>22.1</v>
          </cell>
        </row>
        <row r="11">
          <cell r="H11">
            <v>2.61</v>
          </cell>
          <cell r="I11">
            <v>3.23</v>
          </cell>
          <cell r="AS11">
            <v>22.700000000000003</v>
          </cell>
        </row>
        <row r="12">
          <cell r="H12">
            <v>2.64</v>
          </cell>
          <cell r="I12">
            <v>3.21</v>
          </cell>
          <cell r="AS12">
            <v>23.200000000000003</v>
          </cell>
        </row>
        <row r="13">
          <cell r="H13">
            <v>2.67</v>
          </cell>
          <cell r="I13">
            <v>3.22</v>
          </cell>
          <cell r="AS13">
            <v>23.200000000000003</v>
          </cell>
        </row>
        <row r="14">
          <cell r="H14">
            <v>2.67</v>
          </cell>
          <cell r="I14">
            <v>3.22</v>
          </cell>
          <cell r="AS14">
            <v>23.3</v>
          </cell>
        </row>
        <row r="15">
          <cell r="H15">
            <v>2.67</v>
          </cell>
          <cell r="I15">
            <v>3.2</v>
          </cell>
          <cell r="AS15">
            <v>23.200000000000003</v>
          </cell>
        </row>
        <row r="16">
          <cell r="H16">
            <v>2.66</v>
          </cell>
          <cell r="I16">
            <v>3.17</v>
          </cell>
          <cell r="AS16">
            <v>23.8</v>
          </cell>
        </row>
        <row r="17">
          <cell r="H17">
            <v>2.66</v>
          </cell>
          <cell r="I17">
            <v>3.16</v>
          </cell>
          <cell r="AS17">
            <v>24.1</v>
          </cell>
        </row>
        <row r="18">
          <cell r="H18">
            <v>2.7800000000000002</v>
          </cell>
          <cell r="I18">
            <v>3.23</v>
          </cell>
          <cell r="AS18">
            <v>24.3</v>
          </cell>
        </row>
        <row r="19">
          <cell r="H19">
            <v>2.87</v>
          </cell>
          <cell r="I19">
            <v>3.35</v>
          </cell>
          <cell r="AS19">
            <v>24.1</v>
          </cell>
        </row>
        <row r="20">
          <cell r="H20">
            <v>2.89</v>
          </cell>
          <cell r="I20">
            <v>3.4</v>
          </cell>
          <cell r="AS20">
            <v>24</v>
          </cell>
        </row>
        <row r="21">
          <cell r="H21">
            <v>2.94</v>
          </cell>
          <cell r="I21">
            <v>3.49</v>
          </cell>
          <cell r="AS21">
            <v>23.8</v>
          </cell>
        </row>
        <row r="22">
          <cell r="H22">
            <v>2.94</v>
          </cell>
          <cell r="I22">
            <v>3.5300000000000002</v>
          </cell>
          <cell r="AS22">
            <v>23.700000000000003</v>
          </cell>
        </row>
        <row r="23">
          <cell r="H23">
            <v>2.88</v>
          </cell>
          <cell r="I23">
            <v>3.5</v>
          </cell>
          <cell r="AS23">
            <v>23.900000000000002</v>
          </cell>
        </row>
        <row r="24">
          <cell r="H24">
            <v>2.84</v>
          </cell>
          <cell r="I24">
            <v>3.46</v>
          </cell>
          <cell r="AS24">
            <v>24.1</v>
          </cell>
        </row>
        <row r="25">
          <cell r="H25">
            <v>2.89</v>
          </cell>
          <cell r="I25">
            <v>3.5</v>
          </cell>
          <cell r="AS25">
            <v>24.3</v>
          </cell>
        </row>
        <row r="26">
          <cell r="H26">
            <v>2.96</v>
          </cell>
          <cell r="I26">
            <v>3.56</v>
          </cell>
          <cell r="AS26">
            <v>24.6</v>
          </cell>
        </row>
        <row r="27">
          <cell r="H27">
            <v>3.0100000000000002</v>
          </cell>
          <cell r="I27">
            <v>3.61</v>
          </cell>
          <cell r="AS27">
            <v>24.6</v>
          </cell>
        </row>
        <row r="28">
          <cell r="H28">
            <v>2.98</v>
          </cell>
          <cell r="I28">
            <v>3.59</v>
          </cell>
          <cell r="AS28">
            <v>24.8</v>
          </cell>
        </row>
        <row r="29">
          <cell r="H29">
            <v>2.93</v>
          </cell>
          <cell r="I29">
            <v>3.5300000000000002</v>
          </cell>
          <cell r="AS29">
            <v>25.200000000000003</v>
          </cell>
        </row>
        <row r="30">
          <cell r="H30">
            <v>2.96</v>
          </cell>
          <cell r="I30">
            <v>3.5100000000000002</v>
          </cell>
          <cell r="AS30">
            <v>25.200000000000003</v>
          </cell>
        </row>
        <row r="31">
          <cell r="H31">
            <v>2.93</v>
          </cell>
          <cell r="I31">
            <v>3.5</v>
          </cell>
          <cell r="AS31">
            <v>25.5</v>
          </cell>
        </row>
        <row r="32">
          <cell r="H32">
            <v>2.93</v>
          </cell>
          <cell r="I32">
            <v>3.49</v>
          </cell>
          <cell r="AS32">
            <v>26.1</v>
          </cell>
        </row>
        <row r="33">
          <cell r="H33">
            <v>2.94</v>
          </cell>
          <cell r="I33">
            <v>3.5</v>
          </cell>
          <cell r="AS33">
            <v>26.8</v>
          </cell>
        </row>
        <row r="34">
          <cell r="H34">
            <v>2.95</v>
          </cell>
          <cell r="I34">
            <v>3.5</v>
          </cell>
          <cell r="AS34">
            <v>27.200000000000003</v>
          </cell>
        </row>
        <row r="35">
          <cell r="H35">
            <v>2.94</v>
          </cell>
          <cell r="I35">
            <v>3.5100000000000002</v>
          </cell>
          <cell r="AS35">
            <v>27.5</v>
          </cell>
        </row>
        <row r="36">
          <cell r="H36">
            <v>2.95</v>
          </cell>
          <cell r="I36">
            <v>3.52</v>
          </cell>
          <cell r="AS36">
            <v>27.900000000000002</v>
          </cell>
        </row>
        <row r="37">
          <cell r="H37">
            <v>3.0100000000000002</v>
          </cell>
          <cell r="I37">
            <v>3.54</v>
          </cell>
          <cell r="AS37">
            <v>28.5</v>
          </cell>
        </row>
        <row r="38">
          <cell r="H38">
            <v>2.98</v>
          </cell>
          <cell r="I38">
            <v>3.5300000000000002</v>
          </cell>
          <cell r="AS38">
            <v>29</v>
          </cell>
        </row>
        <row r="39">
          <cell r="H39">
            <v>2.97</v>
          </cell>
          <cell r="I39">
            <v>3.5100000000000002</v>
          </cell>
          <cell r="AS39">
            <v>29.700000000000003</v>
          </cell>
        </row>
        <row r="40">
          <cell r="H40">
            <v>3.02</v>
          </cell>
          <cell r="I40">
            <v>3.5100000000000002</v>
          </cell>
          <cell r="AS40">
            <v>30.5</v>
          </cell>
        </row>
        <row r="41">
          <cell r="H41">
            <v>3.0700000000000003</v>
          </cell>
          <cell r="I41">
            <v>3.5300000000000002</v>
          </cell>
          <cell r="AS41">
            <v>30.900000000000002</v>
          </cell>
        </row>
        <row r="42">
          <cell r="H42">
            <v>3.12</v>
          </cell>
          <cell r="I42">
            <v>3.5700000000000003</v>
          </cell>
          <cell r="AS42">
            <v>31.6</v>
          </cell>
        </row>
        <row r="43">
          <cell r="F43">
            <v>2.83</v>
          </cell>
          <cell r="H43">
            <v>3.23</v>
          </cell>
          <cell r="I43">
            <v>3.65</v>
          </cell>
          <cell r="AS43">
            <v>32.1</v>
          </cell>
        </row>
        <row r="44">
          <cell r="F44">
            <v>3.0500000000000003</v>
          </cell>
          <cell r="H44">
            <v>3.34</v>
          </cell>
          <cell r="I44">
            <v>3.7800000000000002</v>
          </cell>
          <cell r="AS44">
            <v>32.4</v>
          </cell>
        </row>
        <row r="45">
          <cell r="F45">
            <v>3.11</v>
          </cell>
          <cell r="H45">
            <v>3.4</v>
          </cell>
          <cell r="I45">
            <v>3.86</v>
          </cell>
          <cell r="AS45">
            <v>32.5</v>
          </cell>
        </row>
        <row r="46">
          <cell r="F46">
            <v>2.93</v>
          </cell>
          <cell r="H46">
            <v>3.2800000000000002</v>
          </cell>
          <cell r="I46">
            <v>3.86</v>
          </cell>
          <cell r="AS46">
            <v>32.800000000000004</v>
          </cell>
        </row>
        <row r="47">
          <cell r="F47">
            <v>2.95</v>
          </cell>
          <cell r="H47">
            <v>3.24</v>
          </cell>
          <cell r="I47">
            <v>3.85</v>
          </cell>
          <cell r="AS47">
            <v>33.1</v>
          </cell>
        </row>
        <row r="48">
          <cell r="F48">
            <v>2.87</v>
          </cell>
          <cell r="H48">
            <v>3.29</v>
          </cell>
          <cell r="I48">
            <v>3.88</v>
          </cell>
          <cell r="AS48">
            <v>33.300000000000004</v>
          </cell>
        </row>
        <row r="49">
          <cell r="F49">
            <v>2.66</v>
          </cell>
          <cell r="H49">
            <v>3.16</v>
          </cell>
          <cell r="I49">
            <v>3.8200000000000003</v>
          </cell>
          <cell r="AS49">
            <v>33.5</v>
          </cell>
        </row>
        <row r="50">
          <cell r="F50">
            <v>2.68</v>
          </cell>
          <cell r="H50">
            <v>3.11</v>
          </cell>
          <cell r="I50">
            <v>3.75</v>
          </cell>
          <cell r="AS50">
            <v>33.6</v>
          </cell>
        </row>
        <row r="51">
          <cell r="F51">
            <v>2.59</v>
          </cell>
          <cell r="H51">
            <v>3.13</v>
          </cell>
          <cell r="I51">
            <v>3.74</v>
          </cell>
          <cell r="AS51">
            <v>33.700000000000003</v>
          </cell>
        </row>
        <row r="52">
          <cell r="C52">
            <v>0.73</v>
          </cell>
          <cell r="F52">
            <v>2.48</v>
          </cell>
          <cell r="H52">
            <v>3.06</v>
          </cell>
          <cell r="I52">
            <v>3.71</v>
          </cell>
          <cell r="AS52">
            <v>34.1</v>
          </cell>
        </row>
        <row r="53">
          <cell r="C53">
            <v>1.51</v>
          </cell>
          <cell r="F53">
            <v>2.4700000000000002</v>
          </cell>
          <cell r="H53">
            <v>2.95</v>
          </cell>
          <cell r="I53">
            <v>3.61</v>
          </cell>
          <cell r="AS53">
            <v>33.700000000000003</v>
          </cell>
        </row>
        <row r="54">
          <cell r="C54">
            <v>1.26</v>
          </cell>
          <cell r="F54">
            <v>2.37</v>
          </cell>
          <cell r="H54">
            <v>2.86</v>
          </cell>
          <cell r="I54">
            <v>3.5100000000000002</v>
          </cell>
          <cell r="AS54">
            <v>33.5</v>
          </cell>
        </row>
        <row r="55">
          <cell r="C55">
            <v>0.85</v>
          </cell>
          <cell r="F55">
            <v>2.29</v>
          </cell>
          <cell r="H55">
            <v>2.85</v>
          </cell>
          <cell r="I55">
            <v>3.47</v>
          </cell>
          <cell r="AS55">
            <v>33.700000000000003</v>
          </cell>
        </row>
        <row r="56">
          <cell r="C56">
            <v>0.86</v>
          </cell>
          <cell r="F56">
            <v>2.37</v>
          </cell>
          <cell r="H56">
            <v>2.88</v>
          </cell>
          <cell r="I56">
            <v>3.47</v>
          </cell>
          <cell r="AS56">
            <v>33.700000000000003</v>
          </cell>
        </row>
        <row r="57">
          <cell r="C57">
            <v>0.69000000000000006</v>
          </cell>
          <cell r="F57">
            <v>2.38</v>
          </cell>
          <cell r="H57">
            <v>2.9</v>
          </cell>
          <cell r="I57">
            <v>3.49</v>
          </cell>
          <cell r="AS57">
            <v>33.800000000000004</v>
          </cell>
        </row>
        <row r="58">
          <cell r="C58">
            <v>0.8</v>
          </cell>
          <cell r="F58">
            <v>2.3000000000000003</v>
          </cell>
          <cell r="H58">
            <v>2.89</v>
          </cell>
          <cell r="I58">
            <v>3.5</v>
          </cell>
          <cell r="AS58">
            <v>34.1</v>
          </cell>
        </row>
        <row r="59">
          <cell r="C59">
            <v>1.22</v>
          </cell>
          <cell r="F59">
            <v>2.36</v>
          </cell>
          <cell r="H59">
            <v>2.87</v>
          </cell>
          <cell r="I59">
            <v>3.49</v>
          </cell>
          <cell r="AS59">
            <v>34</v>
          </cell>
        </row>
        <row r="60">
          <cell r="C60">
            <v>1.06</v>
          </cell>
          <cell r="F60">
            <v>2.38</v>
          </cell>
          <cell r="H60">
            <v>2.89</v>
          </cell>
          <cell r="I60">
            <v>3.47</v>
          </cell>
          <cell r="AS60">
            <v>34.1</v>
          </cell>
        </row>
        <row r="61">
          <cell r="C61">
            <v>0.85</v>
          </cell>
          <cell r="F61">
            <v>2.4300000000000002</v>
          </cell>
          <cell r="H61">
            <v>2.87</v>
          </cell>
          <cell r="I61">
            <v>3.46</v>
          </cell>
          <cell r="AS61">
            <v>34.4</v>
          </cell>
        </row>
        <row r="62">
          <cell r="C62">
            <v>0.83000000000000007</v>
          </cell>
          <cell r="F62">
            <v>2.48</v>
          </cell>
          <cell r="H62">
            <v>2.89</v>
          </cell>
          <cell r="I62">
            <v>3.45</v>
          </cell>
          <cell r="AS62">
            <v>34.6</v>
          </cell>
        </row>
        <row r="63">
          <cell r="C63">
            <v>1.28</v>
          </cell>
          <cell r="F63">
            <v>2.5100000000000002</v>
          </cell>
          <cell r="H63">
            <v>2.9</v>
          </cell>
          <cell r="I63">
            <v>3.45</v>
          </cell>
          <cell r="AS63">
            <v>35</v>
          </cell>
        </row>
        <row r="64">
          <cell r="C64">
            <v>1.3900000000000001</v>
          </cell>
          <cell r="F64">
            <v>2.61</v>
          </cell>
          <cell r="H64">
            <v>2.93</v>
          </cell>
          <cell r="I64">
            <v>3.45</v>
          </cell>
          <cell r="AS64">
            <v>35.4</v>
          </cell>
        </row>
        <row r="65">
          <cell r="C65">
            <v>1.29</v>
          </cell>
          <cell r="F65">
            <v>2.65</v>
          </cell>
          <cell r="H65">
            <v>2.93</v>
          </cell>
          <cell r="I65">
            <v>3.47</v>
          </cell>
          <cell r="AS65">
            <v>35.9</v>
          </cell>
        </row>
        <row r="66">
          <cell r="C66">
            <v>1.35</v>
          </cell>
          <cell r="F66">
            <v>2.68</v>
          </cell>
          <cell r="H66">
            <v>3.02</v>
          </cell>
          <cell r="I66">
            <v>3.48</v>
          </cell>
          <cell r="AS66">
            <v>36.5</v>
          </cell>
        </row>
        <row r="67">
          <cell r="C67">
            <v>1.43</v>
          </cell>
          <cell r="F67">
            <v>2.75</v>
          </cell>
          <cell r="H67">
            <v>3.0100000000000002</v>
          </cell>
          <cell r="I67">
            <v>3.49</v>
          </cell>
          <cell r="AS67">
            <v>37.200000000000003</v>
          </cell>
        </row>
        <row r="68">
          <cell r="C68">
            <v>1.43</v>
          </cell>
          <cell r="F68">
            <v>2.7600000000000002</v>
          </cell>
          <cell r="H68">
            <v>3.04</v>
          </cell>
          <cell r="I68">
            <v>3.5</v>
          </cell>
          <cell r="AS68">
            <v>37.700000000000003</v>
          </cell>
        </row>
        <row r="69">
          <cell r="C69">
            <v>1.6400000000000001</v>
          </cell>
          <cell r="F69">
            <v>2.7800000000000002</v>
          </cell>
          <cell r="H69">
            <v>3.0500000000000003</v>
          </cell>
          <cell r="I69">
            <v>3.5100000000000002</v>
          </cell>
          <cell r="AS69">
            <v>38.5</v>
          </cell>
        </row>
        <row r="70">
          <cell r="C70">
            <v>1.68</v>
          </cell>
          <cell r="F70">
            <v>2.9</v>
          </cell>
          <cell r="H70">
            <v>3.06</v>
          </cell>
          <cell r="I70">
            <v>3.52</v>
          </cell>
          <cell r="AS70">
            <v>39</v>
          </cell>
        </row>
        <row r="71">
          <cell r="C71">
            <v>1.96</v>
          </cell>
          <cell r="F71">
            <v>2.97</v>
          </cell>
          <cell r="H71">
            <v>3.11</v>
          </cell>
          <cell r="I71">
            <v>3.56</v>
          </cell>
          <cell r="AS71">
            <v>39.700000000000003</v>
          </cell>
        </row>
        <row r="72">
          <cell r="C72">
            <v>2.1800000000000002</v>
          </cell>
          <cell r="F72">
            <v>2.97</v>
          </cell>
          <cell r="H72">
            <v>3.13</v>
          </cell>
          <cell r="I72">
            <v>3.59</v>
          </cell>
          <cell r="AS72">
            <v>40.400000000000006</v>
          </cell>
        </row>
        <row r="73">
          <cell r="C73">
            <v>2.2400000000000002</v>
          </cell>
          <cell r="F73">
            <v>2.88</v>
          </cell>
          <cell r="H73">
            <v>3.1</v>
          </cell>
          <cell r="I73">
            <v>3.59</v>
          </cell>
          <cell r="AS73">
            <v>40.800000000000004</v>
          </cell>
        </row>
        <row r="74">
          <cell r="C74">
            <v>2.35</v>
          </cell>
          <cell r="F74">
            <v>2.89</v>
          </cell>
          <cell r="H74">
            <v>3.1</v>
          </cell>
          <cell r="I74">
            <v>3.58</v>
          </cell>
          <cell r="AS74">
            <v>41.400000000000006</v>
          </cell>
        </row>
        <row r="75">
          <cell r="C75">
            <v>2.48</v>
          </cell>
          <cell r="F75">
            <v>2.96</v>
          </cell>
          <cell r="H75">
            <v>3.15</v>
          </cell>
          <cell r="I75">
            <v>3.62</v>
          </cell>
          <cell r="AS75">
            <v>41.900000000000006</v>
          </cell>
        </row>
        <row r="76">
          <cell r="C76">
            <v>2.4500000000000002</v>
          </cell>
          <cell r="F76">
            <v>2.9</v>
          </cell>
          <cell r="H76">
            <v>3.11</v>
          </cell>
          <cell r="I76">
            <v>3.6</v>
          </cell>
          <cell r="AS76">
            <v>42.1</v>
          </cell>
        </row>
        <row r="77">
          <cell r="C77">
            <v>2.5</v>
          </cell>
          <cell r="F77">
            <v>2.84</v>
          </cell>
          <cell r="H77">
            <v>3.08</v>
          </cell>
          <cell r="I77">
            <v>3.58</v>
          </cell>
          <cell r="AS77">
            <v>42.6</v>
          </cell>
        </row>
        <row r="78">
          <cell r="C78">
            <v>2.5</v>
          </cell>
          <cell r="F78">
            <v>2.96</v>
          </cell>
          <cell r="H78">
            <v>3.1</v>
          </cell>
          <cell r="I78">
            <v>3.6</v>
          </cell>
          <cell r="AS78">
            <v>43.2</v>
          </cell>
        </row>
        <row r="79">
          <cell r="C79">
            <v>2.62</v>
          </cell>
          <cell r="F79">
            <v>3.18</v>
          </cell>
          <cell r="H79">
            <v>3.24</v>
          </cell>
          <cell r="I79">
            <v>3.68</v>
          </cell>
          <cell r="AS79">
            <v>43.400000000000006</v>
          </cell>
        </row>
        <row r="80">
          <cell r="C80">
            <v>2.75</v>
          </cell>
          <cell r="F80">
            <v>3.0700000000000003</v>
          </cell>
          <cell r="H80">
            <v>3.2800000000000002</v>
          </cell>
          <cell r="I80">
            <v>3.73</v>
          </cell>
          <cell r="AS80">
            <v>43.800000000000004</v>
          </cell>
        </row>
        <row r="81">
          <cell r="C81">
            <v>2.71</v>
          </cell>
          <cell r="F81">
            <v>3</v>
          </cell>
          <cell r="H81">
            <v>3.2600000000000002</v>
          </cell>
          <cell r="I81">
            <v>3.7600000000000002</v>
          </cell>
          <cell r="AS81">
            <v>44.1</v>
          </cell>
        </row>
        <row r="82">
          <cell r="C82">
            <v>2.75</v>
          </cell>
          <cell r="F82">
            <v>3.11</v>
          </cell>
          <cell r="H82">
            <v>3.2800000000000002</v>
          </cell>
          <cell r="I82">
            <v>3.8000000000000003</v>
          </cell>
          <cell r="AS82">
            <v>44.2</v>
          </cell>
        </row>
        <row r="83">
          <cell r="C83">
            <v>2.73</v>
          </cell>
          <cell r="F83">
            <v>3.33</v>
          </cell>
          <cell r="H83">
            <v>3.43</v>
          </cell>
          <cell r="I83">
            <v>3.93</v>
          </cell>
          <cell r="AS83">
            <v>44.5</v>
          </cell>
        </row>
        <row r="84">
          <cell r="C84">
            <v>2.95</v>
          </cell>
          <cell r="F84">
            <v>3.38</v>
          </cell>
          <cell r="H84">
            <v>3.56</v>
          </cell>
          <cell r="I84">
            <v>4.07</v>
          </cell>
          <cell r="AS84">
            <v>44.800000000000004</v>
          </cell>
        </row>
        <row r="85">
          <cell r="C85">
            <v>2.96</v>
          </cell>
          <cell r="F85">
            <v>3.34</v>
          </cell>
          <cell r="H85">
            <v>3.59</v>
          </cell>
          <cell r="I85">
            <v>4.17</v>
          </cell>
          <cell r="AS85">
            <v>44.900000000000006</v>
          </cell>
        </row>
        <row r="86">
          <cell r="C86">
            <v>2.88</v>
          </cell>
          <cell r="F86">
            <v>3.49</v>
          </cell>
          <cell r="H86">
            <v>3.69</v>
          </cell>
          <cell r="I86">
            <v>4.24</v>
          </cell>
          <cell r="AS86">
            <v>45.400000000000006</v>
          </cell>
        </row>
        <row r="87">
          <cell r="C87">
            <v>2.94</v>
          </cell>
          <cell r="F87">
            <v>3.59</v>
          </cell>
          <cell r="H87">
            <v>3.75</v>
          </cell>
          <cell r="I87">
            <v>4.37</v>
          </cell>
          <cell r="AS87">
            <v>45.400000000000006</v>
          </cell>
        </row>
        <row r="88">
          <cell r="C88">
            <v>2.84</v>
          </cell>
          <cell r="F88">
            <v>3.46</v>
          </cell>
          <cell r="H88">
            <v>3.77</v>
          </cell>
          <cell r="I88">
            <v>4.49</v>
          </cell>
          <cell r="AS88">
            <v>45.7</v>
          </cell>
        </row>
        <row r="89">
          <cell r="C89">
            <v>3</v>
          </cell>
          <cell r="F89">
            <v>3.34</v>
          </cell>
          <cell r="H89">
            <v>3.67</v>
          </cell>
          <cell r="I89">
            <v>4.47</v>
          </cell>
          <cell r="AS89">
            <v>46</v>
          </cell>
        </row>
        <row r="90">
          <cell r="C90">
            <v>2.96</v>
          </cell>
          <cell r="F90">
            <v>3.41</v>
          </cell>
          <cell r="H90">
            <v>3.66</v>
          </cell>
          <cell r="I90">
            <v>4.43</v>
          </cell>
          <cell r="AS90">
            <v>46.2</v>
          </cell>
        </row>
        <row r="91">
          <cell r="C91">
            <v>3</v>
          </cell>
          <cell r="F91">
            <v>3.48</v>
          </cell>
          <cell r="H91">
            <v>3.67</v>
          </cell>
          <cell r="I91">
            <v>4.4400000000000004</v>
          </cell>
          <cell r="AS91">
            <v>46.5</v>
          </cell>
        </row>
        <row r="92">
          <cell r="C92">
            <v>3</v>
          </cell>
          <cell r="F92">
            <v>3.6</v>
          </cell>
          <cell r="H92">
            <v>3.74</v>
          </cell>
          <cell r="I92">
            <v>4.5200000000000005</v>
          </cell>
          <cell r="AS92">
            <v>46.800000000000004</v>
          </cell>
        </row>
        <row r="93">
          <cell r="C93">
            <v>3</v>
          </cell>
          <cell r="F93">
            <v>3.8000000000000003</v>
          </cell>
          <cell r="H93">
            <v>3.91</v>
          </cell>
          <cell r="I93">
            <v>4.63</v>
          </cell>
          <cell r="AS93">
            <v>47</v>
          </cell>
        </row>
        <row r="94">
          <cell r="C94">
            <v>2.99</v>
          </cell>
          <cell r="F94">
            <v>3.93</v>
          </cell>
          <cell r="H94">
            <v>3.99</v>
          </cell>
          <cell r="I94">
            <v>4.7300000000000004</v>
          </cell>
          <cell r="AS94">
            <v>47.400000000000006</v>
          </cell>
        </row>
        <row r="95">
          <cell r="C95">
            <v>3.24</v>
          </cell>
          <cell r="F95">
            <v>3.93</v>
          </cell>
          <cell r="H95">
            <v>4.0999999999999996</v>
          </cell>
          <cell r="I95">
            <v>4.82</v>
          </cell>
          <cell r="AS95">
            <v>47.6</v>
          </cell>
        </row>
        <row r="96">
          <cell r="C96">
            <v>3.47</v>
          </cell>
          <cell r="F96">
            <v>3.92</v>
          </cell>
          <cell r="H96">
            <v>4.12</v>
          </cell>
          <cell r="I96">
            <v>4.93</v>
          </cell>
          <cell r="AS96">
            <v>47.7</v>
          </cell>
        </row>
        <row r="97">
          <cell r="C97">
            <v>3.5</v>
          </cell>
          <cell r="F97">
            <v>3.97</v>
          </cell>
          <cell r="H97">
            <v>4.0999999999999996</v>
          </cell>
          <cell r="I97">
            <v>4.99</v>
          </cell>
          <cell r="AS97">
            <v>47.900000000000006</v>
          </cell>
        </row>
        <row r="98">
          <cell r="C98">
            <v>3.2800000000000002</v>
          </cell>
          <cell r="F98">
            <v>3.72</v>
          </cell>
          <cell r="H98">
            <v>4.08</v>
          </cell>
          <cell r="I98">
            <v>5.09</v>
          </cell>
          <cell r="AS98">
            <v>48</v>
          </cell>
        </row>
        <row r="99">
          <cell r="C99">
            <v>2.98</v>
          </cell>
          <cell r="F99">
            <v>3.21</v>
          </cell>
          <cell r="H99">
            <v>3.81</v>
          </cell>
          <cell r="I99">
            <v>5.03</v>
          </cell>
          <cell r="AS99">
            <v>48.1</v>
          </cell>
        </row>
        <row r="100">
          <cell r="C100">
            <v>2.72</v>
          </cell>
          <cell r="F100">
            <v>3.09</v>
          </cell>
          <cell r="H100">
            <v>3.6</v>
          </cell>
          <cell r="I100">
            <v>4.83</v>
          </cell>
          <cell r="AS100">
            <v>48.300000000000004</v>
          </cell>
        </row>
        <row r="101">
          <cell r="C101">
            <v>1.67</v>
          </cell>
          <cell r="F101">
            <v>3.0500000000000003</v>
          </cell>
          <cell r="H101">
            <v>3.59</v>
          </cell>
          <cell r="I101">
            <v>4.66</v>
          </cell>
          <cell r="AS101">
            <v>48.1</v>
          </cell>
        </row>
        <row r="102">
          <cell r="C102">
            <v>1.2</v>
          </cell>
          <cell r="F102">
            <v>2.98</v>
          </cell>
          <cell r="H102">
            <v>3.63</v>
          </cell>
          <cell r="I102">
            <v>4.68</v>
          </cell>
          <cell r="AS102">
            <v>47.800000000000004</v>
          </cell>
        </row>
        <row r="103">
          <cell r="C103">
            <v>1.26</v>
          </cell>
          <cell r="F103">
            <v>2.88</v>
          </cell>
          <cell r="H103">
            <v>3.6</v>
          </cell>
          <cell r="I103">
            <v>4.67</v>
          </cell>
          <cell r="AS103">
            <v>47.7</v>
          </cell>
        </row>
        <row r="104">
          <cell r="C104">
            <v>0.63</v>
          </cell>
          <cell r="F104">
            <v>2.92</v>
          </cell>
          <cell r="H104">
            <v>3.5700000000000003</v>
          </cell>
          <cell r="I104">
            <v>4.62</v>
          </cell>
          <cell r="AS104">
            <v>47.6</v>
          </cell>
        </row>
        <row r="105">
          <cell r="C105">
            <v>0.93</v>
          </cell>
          <cell r="F105">
            <v>2.97</v>
          </cell>
          <cell r="H105">
            <v>3.5700000000000003</v>
          </cell>
          <cell r="I105">
            <v>4.55</v>
          </cell>
          <cell r="AS105">
            <v>47.5</v>
          </cell>
        </row>
        <row r="106">
          <cell r="C106">
            <v>0.68</v>
          </cell>
          <cell r="F106">
            <v>3.2</v>
          </cell>
          <cell r="H106">
            <v>3.67</v>
          </cell>
          <cell r="I106">
            <v>4.53</v>
          </cell>
          <cell r="AS106">
            <v>47.6</v>
          </cell>
        </row>
        <row r="107">
          <cell r="C107">
            <v>1.53</v>
          </cell>
          <cell r="F107">
            <v>3.54</v>
          </cell>
          <cell r="H107">
            <v>3.85</v>
          </cell>
          <cell r="I107">
            <v>4.67</v>
          </cell>
          <cell r="AS107">
            <v>47.6</v>
          </cell>
        </row>
        <row r="108">
          <cell r="C108">
            <v>1.76</v>
          </cell>
          <cell r="F108">
            <v>3.7600000000000002</v>
          </cell>
          <cell r="H108">
            <v>4.09</v>
          </cell>
          <cell r="I108">
            <v>4.87</v>
          </cell>
          <cell r="AS108">
            <v>47.7</v>
          </cell>
        </row>
        <row r="109">
          <cell r="C109">
            <v>1.8</v>
          </cell>
          <cell r="F109">
            <v>3.8000000000000003</v>
          </cell>
          <cell r="H109">
            <v>4.1100000000000003</v>
          </cell>
          <cell r="I109">
            <v>4.92</v>
          </cell>
          <cell r="AS109">
            <v>47.800000000000004</v>
          </cell>
        </row>
        <row r="110">
          <cell r="C110">
            <v>2.27</v>
          </cell>
          <cell r="F110">
            <v>3.74</v>
          </cell>
          <cell r="H110">
            <v>4.09</v>
          </cell>
          <cell r="I110">
            <v>4.87</v>
          </cell>
          <cell r="AS110">
            <v>48</v>
          </cell>
        </row>
        <row r="111">
          <cell r="C111">
            <v>2.42</v>
          </cell>
          <cell r="F111">
            <v>3.86</v>
          </cell>
          <cell r="H111">
            <v>4.08</v>
          </cell>
          <cell r="I111">
            <v>4.8500000000000005</v>
          </cell>
          <cell r="AS111">
            <v>48.400000000000006</v>
          </cell>
        </row>
        <row r="112">
          <cell r="C112">
            <v>2.48</v>
          </cell>
          <cell r="F112">
            <v>4.0200000000000005</v>
          </cell>
          <cell r="H112">
            <v>4.12</v>
          </cell>
          <cell r="I112">
            <v>4.87</v>
          </cell>
          <cell r="AS112">
            <v>49</v>
          </cell>
        </row>
        <row r="113">
          <cell r="C113">
            <v>2.4300000000000002</v>
          </cell>
          <cell r="F113">
            <v>3.96</v>
          </cell>
          <cell r="H113">
            <v>4.1399999999999997</v>
          </cell>
          <cell r="I113">
            <v>4.8899999999999997</v>
          </cell>
          <cell r="AS113">
            <v>49.5</v>
          </cell>
        </row>
        <row r="114">
          <cell r="C114">
            <v>2.8000000000000003</v>
          </cell>
          <cell r="F114">
            <v>3.99</v>
          </cell>
          <cell r="H114">
            <v>4.13</v>
          </cell>
          <cell r="I114">
            <v>4.8500000000000005</v>
          </cell>
          <cell r="AS114">
            <v>50</v>
          </cell>
        </row>
        <row r="115">
          <cell r="C115">
            <v>2.96</v>
          </cell>
          <cell r="F115">
            <v>4.12</v>
          </cell>
          <cell r="H115">
            <v>4.2300000000000004</v>
          </cell>
          <cell r="I115">
            <v>4.8600000000000003</v>
          </cell>
          <cell r="AS115">
            <v>50.5</v>
          </cell>
        </row>
        <row r="116">
          <cell r="C116">
            <v>2.9</v>
          </cell>
          <cell r="F116">
            <v>4.3100000000000005</v>
          </cell>
          <cell r="H116">
            <v>4.37</v>
          </cell>
          <cell r="I116">
            <v>4.96</v>
          </cell>
          <cell r="AS116">
            <v>51</v>
          </cell>
        </row>
        <row r="117">
          <cell r="C117">
            <v>3.39</v>
          </cell>
          <cell r="F117">
            <v>4.34</v>
          </cell>
          <cell r="H117">
            <v>4.46</v>
          </cell>
          <cell r="I117">
            <v>5.04</v>
          </cell>
          <cell r="AS117">
            <v>51.7</v>
          </cell>
        </row>
        <row r="118">
          <cell r="C118">
            <v>3.47</v>
          </cell>
          <cell r="F118">
            <v>4.4000000000000004</v>
          </cell>
          <cell r="H118">
            <v>4.47</v>
          </cell>
          <cell r="I118">
            <v>5.08</v>
          </cell>
          <cell r="AS118">
            <v>52.400000000000006</v>
          </cell>
        </row>
        <row r="119">
          <cell r="C119">
            <v>3.5</v>
          </cell>
          <cell r="F119">
            <v>4.43</v>
          </cell>
          <cell r="H119">
            <v>4.43</v>
          </cell>
          <cell r="I119">
            <v>5.09</v>
          </cell>
          <cell r="AS119">
            <v>53</v>
          </cell>
        </row>
        <row r="120">
          <cell r="C120">
            <v>3.7600000000000002</v>
          </cell>
          <cell r="F120">
            <v>4.68</v>
          </cell>
          <cell r="H120">
            <v>4.5200000000000005</v>
          </cell>
          <cell r="I120">
            <v>5.18</v>
          </cell>
          <cell r="AS120">
            <v>53.7</v>
          </cell>
        </row>
        <row r="121">
          <cell r="C121">
            <v>3.98</v>
          </cell>
          <cell r="F121">
            <v>4.53</v>
          </cell>
          <cell r="H121">
            <v>4.57</v>
          </cell>
          <cell r="I121">
            <v>5.28</v>
          </cell>
          <cell r="AS121">
            <v>54.400000000000006</v>
          </cell>
        </row>
        <row r="122">
          <cell r="C122">
            <v>4</v>
          </cell>
          <cell r="F122">
            <v>4.53</v>
          </cell>
          <cell r="H122">
            <v>4.5600000000000005</v>
          </cell>
          <cell r="I122">
            <v>5.26</v>
          </cell>
          <cell r="AS122">
            <v>54.800000000000004</v>
          </cell>
        </row>
        <row r="123">
          <cell r="C123">
            <v>3.99</v>
          </cell>
          <cell r="F123">
            <v>4.6900000000000004</v>
          </cell>
          <cell r="H123">
            <v>4.58</v>
          </cell>
          <cell r="I123">
            <v>5.28</v>
          </cell>
          <cell r="AS123">
            <v>56</v>
          </cell>
        </row>
        <row r="124">
          <cell r="C124">
            <v>3.99</v>
          </cell>
          <cell r="F124">
            <v>4.72</v>
          </cell>
          <cell r="H124">
            <v>4.6100000000000003</v>
          </cell>
          <cell r="I124">
            <v>5.34</v>
          </cell>
          <cell r="AS124">
            <v>56</v>
          </cell>
        </row>
        <row r="125">
          <cell r="C125">
            <v>3.97</v>
          </cell>
          <cell r="F125">
            <v>4.49</v>
          </cell>
          <cell r="H125">
            <v>4.5600000000000005</v>
          </cell>
          <cell r="I125">
            <v>5.34</v>
          </cell>
          <cell r="AS125">
            <v>56.400000000000006</v>
          </cell>
        </row>
        <row r="126">
          <cell r="C126">
            <v>3.84</v>
          </cell>
          <cell r="F126">
            <v>4.25</v>
          </cell>
          <cell r="H126">
            <v>4.49</v>
          </cell>
          <cell r="I126">
            <v>5.25</v>
          </cell>
          <cell r="AS126">
            <v>56.900000000000006</v>
          </cell>
        </row>
        <row r="127">
          <cell r="C127">
            <v>3.92</v>
          </cell>
          <cell r="F127">
            <v>4.28</v>
          </cell>
          <cell r="H127">
            <v>4.45</v>
          </cell>
          <cell r="I127">
            <v>5.2</v>
          </cell>
          <cell r="AS127">
            <v>57.7</v>
          </cell>
        </row>
        <row r="128">
          <cell r="C128">
            <v>3.85</v>
          </cell>
          <cell r="F128">
            <v>4.3500000000000005</v>
          </cell>
          <cell r="H128">
            <v>4.46</v>
          </cell>
          <cell r="I128">
            <v>5.28</v>
          </cell>
          <cell r="AS128">
            <v>58</v>
          </cell>
        </row>
        <row r="129">
          <cell r="C129">
            <v>3.3200000000000003</v>
          </cell>
          <cell r="F129">
            <v>4.1500000000000004</v>
          </cell>
          <cell r="H129">
            <v>4.45</v>
          </cell>
          <cell r="I129">
            <v>5.26</v>
          </cell>
          <cell r="AS129">
            <v>58.400000000000006</v>
          </cell>
        </row>
        <row r="130">
          <cell r="C130">
            <v>3.23</v>
          </cell>
          <cell r="F130">
            <v>3.9</v>
          </cell>
          <cell r="H130">
            <v>4.41</v>
          </cell>
          <cell r="I130">
            <v>5.22</v>
          </cell>
          <cell r="AS130">
            <v>58.7</v>
          </cell>
        </row>
        <row r="131">
          <cell r="C131">
            <v>2.98</v>
          </cell>
          <cell r="F131">
            <v>3.8000000000000003</v>
          </cell>
          <cell r="H131">
            <v>4.28</v>
          </cell>
          <cell r="I131">
            <v>5.08</v>
          </cell>
          <cell r="AS131">
            <v>58.900000000000006</v>
          </cell>
        </row>
        <row r="132">
          <cell r="C132">
            <v>2.6</v>
          </cell>
          <cell r="F132">
            <v>3.8000000000000003</v>
          </cell>
          <cell r="H132">
            <v>4.25</v>
          </cell>
          <cell r="I132">
            <v>5.01</v>
          </cell>
          <cell r="AS132">
            <v>59.400000000000006</v>
          </cell>
        </row>
        <row r="133">
          <cell r="C133">
            <v>2.4700000000000002</v>
          </cell>
          <cell r="F133">
            <v>3.89</v>
          </cell>
          <cell r="H133">
            <v>4.3</v>
          </cell>
          <cell r="I133">
            <v>5.1100000000000003</v>
          </cell>
          <cell r="AS133">
            <v>59.6</v>
          </cell>
        </row>
        <row r="134">
          <cell r="C134">
            <v>2.44</v>
          </cell>
          <cell r="F134">
            <v>3.93</v>
          </cell>
          <cell r="H134">
            <v>4.3100000000000005</v>
          </cell>
          <cell r="I134">
            <v>5.08</v>
          </cell>
          <cell r="AS134">
            <v>59.900000000000006</v>
          </cell>
        </row>
        <row r="135">
          <cell r="C135">
            <v>1.98</v>
          </cell>
          <cell r="F135">
            <v>3.84</v>
          </cell>
          <cell r="H135">
            <v>4.3500000000000005</v>
          </cell>
          <cell r="I135">
            <v>5.1000000000000005</v>
          </cell>
          <cell r="AS135">
            <v>60</v>
          </cell>
        </row>
        <row r="136">
          <cell r="C136">
            <v>1.45</v>
          </cell>
          <cell r="F136">
            <v>3.84</v>
          </cell>
          <cell r="H136">
            <v>4.32</v>
          </cell>
          <cell r="I136">
            <v>5.1000000000000005</v>
          </cell>
          <cell r="AS136">
            <v>60.7</v>
          </cell>
        </row>
        <row r="137">
          <cell r="C137">
            <v>2.54</v>
          </cell>
          <cell r="F137">
            <v>3.7800000000000002</v>
          </cell>
          <cell r="H137">
            <v>4.2700000000000005</v>
          </cell>
          <cell r="I137">
            <v>5.07</v>
          </cell>
          <cell r="AS137">
            <v>60.300000000000004</v>
          </cell>
        </row>
        <row r="138">
          <cell r="C138">
            <v>2.02</v>
          </cell>
          <cell r="F138">
            <v>3.74</v>
          </cell>
          <cell r="H138">
            <v>4.22</v>
          </cell>
          <cell r="I138">
            <v>5.0200000000000005</v>
          </cell>
          <cell r="AS138">
            <v>60.5</v>
          </cell>
        </row>
        <row r="139">
          <cell r="C139">
            <v>1.49</v>
          </cell>
          <cell r="F139">
            <v>3.7800000000000002</v>
          </cell>
          <cell r="H139">
            <v>4.25</v>
          </cell>
          <cell r="I139">
            <v>5.01</v>
          </cell>
          <cell r="AS139">
            <v>60.1</v>
          </cell>
        </row>
        <row r="140">
          <cell r="C140">
            <v>1.98</v>
          </cell>
          <cell r="F140">
            <v>3.71</v>
          </cell>
          <cell r="H140">
            <v>4.2700000000000005</v>
          </cell>
          <cell r="I140">
            <v>5.01</v>
          </cell>
          <cell r="AS140">
            <v>60.2</v>
          </cell>
        </row>
        <row r="141">
          <cell r="C141">
            <v>1.73</v>
          </cell>
          <cell r="F141">
            <v>3.88</v>
          </cell>
          <cell r="H141">
            <v>4.33</v>
          </cell>
          <cell r="I141">
            <v>5.03</v>
          </cell>
          <cell r="AS141">
            <v>60.300000000000004</v>
          </cell>
        </row>
        <row r="142">
          <cell r="C142">
            <v>1.17</v>
          </cell>
          <cell r="F142">
            <v>3.92</v>
          </cell>
          <cell r="H142">
            <v>4.41</v>
          </cell>
          <cell r="I142">
            <v>5.09</v>
          </cell>
          <cell r="AS142">
            <v>60.400000000000006</v>
          </cell>
        </row>
        <row r="143">
          <cell r="C143">
            <v>2</v>
          </cell>
          <cell r="F143">
            <v>4.04</v>
          </cell>
          <cell r="H143">
            <v>4.45</v>
          </cell>
          <cell r="I143">
            <v>5.1100000000000003</v>
          </cell>
          <cell r="AS143">
            <v>60.6</v>
          </cell>
        </row>
        <row r="144">
          <cell r="C144">
            <v>1.8800000000000001</v>
          </cell>
          <cell r="F144">
            <v>3.98</v>
          </cell>
          <cell r="H144">
            <v>4.45</v>
          </cell>
          <cell r="I144">
            <v>5.12</v>
          </cell>
          <cell r="AS144">
            <v>60.900000000000006</v>
          </cell>
        </row>
        <row r="145">
          <cell r="C145">
            <v>2.2600000000000002</v>
          </cell>
          <cell r="F145">
            <v>3.92</v>
          </cell>
          <cell r="H145">
            <v>4.42</v>
          </cell>
          <cell r="I145">
            <v>5.13</v>
          </cell>
          <cell r="AS145">
            <v>61.2</v>
          </cell>
        </row>
        <row r="146">
          <cell r="C146">
            <v>2.61</v>
          </cell>
          <cell r="F146">
            <v>3.94</v>
          </cell>
          <cell r="H146">
            <v>4.3899999999999997</v>
          </cell>
          <cell r="I146">
            <v>5.1100000000000003</v>
          </cell>
          <cell r="AS146">
            <v>61.7</v>
          </cell>
        </row>
        <row r="147">
          <cell r="C147">
            <v>2.33</v>
          </cell>
          <cell r="F147">
            <v>4.0600000000000005</v>
          </cell>
          <cell r="H147">
            <v>4.42</v>
          </cell>
          <cell r="I147">
            <v>5.1000000000000005</v>
          </cell>
          <cell r="AS147">
            <v>62.2</v>
          </cell>
        </row>
        <row r="148">
          <cell r="C148">
            <v>2.15</v>
          </cell>
          <cell r="F148">
            <v>4.08</v>
          </cell>
          <cell r="H148">
            <v>4.42</v>
          </cell>
          <cell r="I148">
            <v>5.08</v>
          </cell>
          <cell r="AS148">
            <v>62.300000000000004</v>
          </cell>
        </row>
        <row r="149">
          <cell r="C149">
            <v>2.37</v>
          </cell>
          <cell r="F149">
            <v>4.04</v>
          </cell>
          <cell r="H149">
            <v>4.42</v>
          </cell>
          <cell r="I149">
            <v>5.07</v>
          </cell>
          <cell r="AS149">
            <v>62.6</v>
          </cell>
        </row>
        <row r="150">
          <cell r="C150">
            <v>2.85</v>
          </cell>
          <cell r="F150">
            <v>3.93</v>
          </cell>
          <cell r="H150">
            <v>4.3899999999999997</v>
          </cell>
          <cell r="I150">
            <v>5.04</v>
          </cell>
          <cell r="AS150">
            <v>63.1</v>
          </cell>
        </row>
        <row r="151">
          <cell r="C151">
            <v>2.7800000000000002</v>
          </cell>
          <cell r="F151">
            <v>3.84</v>
          </cell>
          <cell r="H151">
            <v>4.33</v>
          </cell>
          <cell r="I151">
            <v>5.0200000000000005</v>
          </cell>
          <cell r="AS151">
            <v>63.900000000000006</v>
          </cell>
        </row>
        <row r="152">
          <cell r="C152">
            <v>2.36</v>
          </cell>
          <cell r="F152">
            <v>3.87</v>
          </cell>
          <cell r="H152">
            <v>4.28</v>
          </cell>
          <cell r="I152">
            <v>5</v>
          </cell>
          <cell r="AS152">
            <v>64.600000000000009</v>
          </cell>
        </row>
        <row r="153">
          <cell r="C153">
            <v>2.68</v>
          </cell>
          <cell r="F153">
            <v>3.91</v>
          </cell>
          <cell r="H153">
            <v>4.28</v>
          </cell>
          <cell r="I153">
            <v>5.0200000000000005</v>
          </cell>
          <cell r="AS153">
            <v>65.100000000000009</v>
          </cell>
        </row>
        <row r="154">
          <cell r="C154">
            <v>2.71</v>
          </cell>
          <cell r="F154">
            <v>4.01</v>
          </cell>
          <cell r="H154">
            <v>4.34</v>
          </cell>
          <cell r="I154">
            <v>5.05</v>
          </cell>
          <cell r="AS154">
            <v>65.5</v>
          </cell>
        </row>
        <row r="155">
          <cell r="C155">
            <v>2.93</v>
          </cell>
          <cell r="F155">
            <v>3.98</v>
          </cell>
          <cell r="H155">
            <v>4.3500000000000005</v>
          </cell>
          <cell r="I155">
            <v>5.0600000000000005</v>
          </cell>
          <cell r="AS155">
            <v>66.100000000000009</v>
          </cell>
        </row>
        <row r="156">
          <cell r="C156">
            <v>2.9</v>
          </cell>
          <cell r="F156">
            <v>3.98</v>
          </cell>
          <cell r="H156">
            <v>4.32</v>
          </cell>
          <cell r="I156">
            <v>5.03</v>
          </cell>
          <cell r="AS156">
            <v>66.400000000000006</v>
          </cell>
        </row>
        <row r="157">
          <cell r="C157">
            <v>2.9</v>
          </cell>
          <cell r="F157">
            <v>3.93</v>
          </cell>
          <cell r="H157">
            <v>4.28</v>
          </cell>
          <cell r="I157">
            <v>4.99</v>
          </cell>
          <cell r="AS157">
            <v>67</v>
          </cell>
        </row>
        <row r="158">
          <cell r="C158">
            <v>2.94</v>
          </cell>
          <cell r="F158">
            <v>3.92</v>
          </cell>
          <cell r="H158">
            <v>4.25</v>
          </cell>
          <cell r="I158">
            <v>4.96</v>
          </cell>
          <cell r="AS158">
            <v>67.600000000000009</v>
          </cell>
        </row>
        <row r="159">
          <cell r="C159">
            <v>2.93</v>
          </cell>
          <cell r="F159">
            <v>3.86</v>
          </cell>
          <cell r="H159">
            <v>4.24</v>
          </cell>
          <cell r="I159">
            <v>4.92</v>
          </cell>
          <cell r="AS159">
            <v>68.100000000000009</v>
          </cell>
        </row>
        <row r="160">
          <cell r="C160">
            <v>2.92</v>
          </cell>
          <cell r="F160">
            <v>3.83</v>
          </cell>
          <cell r="H160">
            <v>4.21</v>
          </cell>
          <cell r="I160">
            <v>4.91</v>
          </cell>
          <cell r="AS160">
            <v>68.7</v>
          </cell>
        </row>
        <row r="161">
          <cell r="C161">
            <v>3</v>
          </cell>
          <cell r="F161">
            <v>3.92</v>
          </cell>
          <cell r="H161">
            <v>4.1900000000000004</v>
          </cell>
          <cell r="I161">
            <v>4.8899999999999997</v>
          </cell>
          <cell r="AS161">
            <v>69.400000000000006</v>
          </cell>
        </row>
        <row r="162">
          <cell r="C162">
            <v>2.98</v>
          </cell>
          <cell r="F162">
            <v>3.93</v>
          </cell>
          <cell r="H162">
            <v>4.1900000000000004</v>
          </cell>
          <cell r="I162">
            <v>4.88</v>
          </cell>
          <cell r="AS162">
            <v>70.100000000000009</v>
          </cell>
        </row>
        <row r="163">
          <cell r="C163">
            <v>2.9</v>
          </cell>
          <cell r="F163">
            <v>3.97</v>
          </cell>
          <cell r="H163">
            <v>4.21</v>
          </cell>
          <cell r="I163">
            <v>4.87</v>
          </cell>
          <cell r="AS163">
            <v>70.8</v>
          </cell>
        </row>
        <row r="164">
          <cell r="C164">
            <v>3</v>
          </cell>
          <cell r="F164">
            <v>3.93</v>
          </cell>
          <cell r="H164">
            <v>4.22</v>
          </cell>
          <cell r="I164">
            <v>4.8500000000000005</v>
          </cell>
          <cell r="AS164">
            <v>71.3</v>
          </cell>
        </row>
        <row r="165">
          <cell r="C165">
            <v>2.99</v>
          </cell>
          <cell r="F165">
            <v>3.99</v>
          </cell>
          <cell r="H165">
            <v>4.2300000000000004</v>
          </cell>
          <cell r="I165">
            <v>4.84</v>
          </cell>
          <cell r="AS165">
            <v>71.900000000000006</v>
          </cell>
        </row>
        <row r="166">
          <cell r="C166">
            <v>3.02</v>
          </cell>
          <cell r="F166">
            <v>4.0200000000000005</v>
          </cell>
          <cell r="H166">
            <v>4.26</v>
          </cell>
          <cell r="I166">
            <v>4.84</v>
          </cell>
          <cell r="AS166">
            <v>72.7</v>
          </cell>
        </row>
        <row r="167">
          <cell r="C167">
            <v>3.49</v>
          </cell>
          <cell r="F167">
            <v>4</v>
          </cell>
          <cell r="H167">
            <v>4.29</v>
          </cell>
          <cell r="I167">
            <v>4.83</v>
          </cell>
          <cell r="AS167">
            <v>73.600000000000009</v>
          </cell>
        </row>
        <row r="168">
          <cell r="C168">
            <v>3.48</v>
          </cell>
          <cell r="F168">
            <v>4.08</v>
          </cell>
          <cell r="H168">
            <v>4.3100000000000005</v>
          </cell>
          <cell r="I168">
            <v>4.84</v>
          </cell>
          <cell r="AS168">
            <v>74.2</v>
          </cell>
        </row>
        <row r="169">
          <cell r="C169">
            <v>3.5</v>
          </cell>
          <cell r="F169">
            <v>4.1100000000000003</v>
          </cell>
          <cell r="H169">
            <v>4.32</v>
          </cell>
          <cell r="I169">
            <v>4.83</v>
          </cell>
          <cell r="AS169">
            <v>75.100000000000009</v>
          </cell>
        </row>
        <row r="170">
          <cell r="C170">
            <v>3.48</v>
          </cell>
          <cell r="F170">
            <v>4.12</v>
          </cell>
          <cell r="H170">
            <v>4.33</v>
          </cell>
          <cell r="I170">
            <v>4.84</v>
          </cell>
          <cell r="AS170">
            <v>75.600000000000009</v>
          </cell>
        </row>
        <row r="171">
          <cell r="C171">
            <v>3.38</v>
          </cell>
          <cell r="F171">
            <v>4.13</v>
          </cell>
          <cell r="H171">
            <v>4.3500000000000005</v>
          </cell>
          <cell r="I171">
            <v>4.8500000000000005</v>
          </cell>
          <cell r="AS171">
            <v>76.600000000000009</v>
          </cell>
        </row>
        <row r="172">
          <cell r="C172">
            <v>3.48</v>
          </cell>
          <cell r="F172">
            <v>4.17</v>
          </cell>
          <cell r="H172">
            <v>4.3899999999999997</v>
          </cell>
          <cell r="I172">
            <v>4.83</v>
          </cell>
          <cell r="AS172">
            <v>77.5</v>
          </cell>
        </row>
        <row r="173">
          <cell r="C173">
            <v>3.48</v>
          </cell>
          <cell r="F173">
            <v>4.1500000000000004</v>
          </cell>
          <cell r="H173">
            <v>4.3600000000000003</v>
          </cell>
          <cell r="I173">
            <v>4.83</v>
          </cell>
          <cell r="AS173">
            <v>78.300000000000011</v>
          </cell>
        </row>
        <row r="174">
          <cell r="C174">
            <v>3.43</v>
          </cell>
          <cell r="F174">
            <v>4.22</v>
          </cell>
          <cell r="H174">
            <v>4.38</v>
          </cell>
          <cell r="I174">
            <v>4.83</v>
          </cell>
          <cell r="AS174">
            <v>79.2</v>
          </cell>
        </row>
        <row r="175">
          <cell r="C175">
            <v>3.47</v>
          </cell>
          <cell r="F175">
            <v>4.2300000000000004</v>
          </cell>
          <cell r="H175">
            <v>4.4000000000000004</v>
          </cell>
          <cell r="I175">
            <v>4.8500000000000005</v>
          </cell>
          <cell r="AS175">
            <v>79.900000000000006</v>
          </cell>
        </row>
        <row r="176">
          <cell r="C176">
            <v>3.5</v>
          </cell>
          <cell r="F176">
            <v>4.2</v>
          </cell>
          <cell r="H176">
            <v>4.41</v>
          </cell>
          <cell r="I176">
            <v>4.8500000000000005</v>
          </cell>
          <cell r="AS176">
            <v>80.800000000000011</v>
          </cell>
        </row>
        <row r="177">
          <cell r="C177">
            <v>3.5</v>
          </cell>
          <cell r="F177">
            <v>4.17</v>
          </cell>
          <cell r="H177">
            <v>4.41</v>
          </cell>
          <cell r="I177">
            <v>4.8500000000000005</v>
          </cell>
          <cell r="AS177">
            <v>81.400000000000006</v>
          </cell>
        </row>
        <row r="178">
          <cell r="C178">
            <v>3.42</v>
          </cell>
          <cell r="F178">
            <v>4.1900000000000004</v>
          </cell>
          <cell r="H178">
            <v>4.4000000000000004</v>
          </cell>
          <cell r="I178">
            <v>4.83</v>
          </cell>
          <cell r="AS178">
            <v>82.300000000000011</v>
          </cell>
        </row>
        <row r="179">
          <cell r="C179">
            <v>3.5</v>
          </cell>
          <cell r="F179">
            <v>4.1900000000000004</v>
          </cell>
          <cell r="H179">
            <v>4.41</v>
          </cell>
          <cell r="I179">
            <v>4.82</v>
          </cell>
          <cell r="AS179">
            <v>83</v>
          </cell>
        </row>
        <row r="180">
          <cell r="C180">
            <v>3.45</v>
          </cell>
          <cell r="F180">
            <v>4.2</v>
          </cell>
          <cell r="H180">
            <v>4.42</v>
          </cell>
          <cell r="I180">
            <v>4.82</v>
          </cell>
          <cell r="AS180">
            <v>83.9</v>
          </cell>
        </row>
        <row r="181">
          <cell r="C181">
            <v>3.36</v>
          </cell>
          <cell r="F181">
            <v>4.1900000000000004</v>
          </cell>
          <cell r="H181">
            <v>4.42</v>
          </cell>
          <cell r="I181">
            <v>4.8100000000000005</v>
          </cell>
          <cell r="AS181">
            <v>84.5</v>
          </cell>
        </row>
        <row r="182">
          <cell r="C182">
            <v>3.52</v>
          </cell>
          <cell r="F182">
            <v>4.1500000000000004</v>
          </cell>
          <cell r="H182">
            <v>4.43</v>
          </cell>
          <cell r="I182">
            <v>4.8100000000000005</v>
          </cell>
          <cell r="AS182">
            <v>84.9</v>
          </cell>
        </row>
        <row r="183">
          <cell r="C183">
            <v>3.85</v>
          </cell>
          <cell r="F183">
            <v>4.18</v>
          </cell>
          <cell r="H183">
            <v>4.4400000000000004</v>
          </cell>
          <cell r="I183">
            <v>4.8100000000000005</v>
          </cell>
          <cell r="AS183">
            <v>86</v>
          </cell>
        </row>
        <row r="184">
          <cell r="C184">
            <v>3.9</v>
          </cell>
          <cell r="F184">
            <v>4.1900000000000004</v>
          </cell>
          <cell r="H184">
            <v>4.43</v>
          </cell>
          <cell r="I184">
            <v>4.8</v>
          </cell>
          <cell r="AS184">
            <v>87.2</v>
          </cell>
        </row>
        <row r="185">
          <cell r="C185">
            <v>3.98</v>
          </cell>
          <cell r="F185">
            <v>4.21</v>
          </cell>
          <cell r="H185">
            <v>4.41</v>
          </cell>
          <cell r="I185">
            <v>4.78</v>
          </cell>
          <cell r="AS185">
            <v>88.2</v>
          </cell>
        </row>
        <row r="186">
          <cell r="C186">
            <v>4.04</v>
          </cell>
          <cell r="F186">
            <v>4.21</v>
          </cell>
          <cell r="H186">
            <v>4.42</v>
          </cell>
          <cell r="I186">
            <v>4.78</v>
          </cell>
          <cell r="AS186">
            <v>88.9</v>
          </cell>
        </row>
        <row r="187">
          <cell r="C187">
            <v>4.09</v>
          </cell>
          <cell r="F187">
            <v>4.2</v>
          </cell>
          <cell r="H187">
            <v>4.43</v>
          </cell>
          <cell r="I187">
            <v>4.8</v>
          </cell>
          <cell r="AS187">
            <v>90</v>
          </cell>
        </row>
        <row r="188">
          <cell r="C188">
            <v>4.0999999999999996</v>
          </cell>
          <cell r="F188">
            <v>4.21</v>
          </cell>
          <cell r="H188">
            <v>4.4400000000000004</v>
          </cell>
          <cell r="I188">
            <v>4.8100000000000005</v>
          </cell>
          <cell r="AS188">
            <v>90.9</v>
          </cell>
        </row>
        <row r="189">
          <cell r="C189">
            <v>4.04</v>
          </cell>
          <cell r="F189">
            <v>4.21</v>
          </cell>
          <cell r="H189">
            <v>4.46</v>
          </cell>
          <cell r="I189">
            <v>4.8500000000000005</v>
          </cell>
          <cell r="AS189">
            <v>91.800000000000011</v>
          </cell>
        </row>
        <row r="190">
          <cell r="C190">
            <v>4.09</v>
          </cell>
          <cell r="F190">
            <v>4.2</v>
          </cell>
          <cell r="H190">
            <v>4.4800000000000004</v>
          </cell>
          <cell r="I190">
            <v>4.88</v>
          </cell>
          <cell r="AS190">
            <v>92.7</v>
          </cell>
        </row>
        <row r="191">
          <cell r="C191">
            <v>4.12</v>
          </cell>
          <cell r="F191">
            <v>4.25</v>
          </cell>
          <cell r="H191">
            <v>4.49</v>
          </cell>
          <cell r="I191">
            <v>4.88</v>
          </cell>
          <cell r="AS191">
            <v>93.300000000000011</v>
          </cell>
        </row>
        <row r="192">
          <cell r="C192">
            <v>4.01</v>
          </cell>
          <cell r="F192">
            <v>4.29</v>
          </cell>
          <cell r="H192">
            <v>4.5200000000000005</v>
          </cell>
          <cell r="I192">
            <v>4.91</v>
          </cell>
          <cell r="AS192">
            <v>94.100000000000009</v>
          </cell>
        </row>
        <row r="193">
          <cell r="C193">
            <v>4.08</v>
          </cell>
          <cell r="F193">
            <v>4.3500000000000005</v>
          </cell>
          <cell r="H193">
            <v>4.5600000000000005</v>
          </cell>
          <cell r="I193">
            <v>4.93</v>
          </cell>
          <cell r="AS193">
            <v>94.800000000000011</v>
          </cell>
        </row>
        <row r="194">
          <cell r="C194">
            <v>4.0999999999999996</v>
          </cell>
          <cell r="F194">
            <v>4.45</v>
          </cell>
          <cell r="H194">
            <v>4.6000000000000005</v>
          </cell>
          <cell r="I194">
            <v>4.95</v>
          </cell>
          <cell r="AS194">
            <v>95.4</v>
          </cell>
        </row>
        <row r="195">
          <cell r="C195">
            <v>4.32</v>
          </cell>
          <cell r="F195">
            <v>4.62</v>
          </cell>
          <cell r="H195">
            <v>4.68</v>
          </cell>
          <cell r="I195">
            <v>5.0200000000000005</v>
          </cell>
          <cell r="AS195">
            <v>96</v>
          </cell>
        </row>
        <row r="196">
          <cell r="C196">
            <v>4.42</v>
          </cell>
          <cell r="F196">
            <v>4.6100000000000003</v>
          </cell>
          <cell r="H196">
            <v>4.74</v>
          </cell>
          <cell r="I196">
            <v>5.0600000000000005</v>
          </cell>
          <cell r="AS196">
            <v>97</v>
          </cell>
        </row>
        <row r="197">
          <cell r="C197">
            <v>4.6000000000000005</v>
          </cell>
          <cell r="F197">
            <v>4.83</v>
          </cell>
          <cell r="H197">
            <v>4.78</v>
          </cell>
          <cell r="I197">
            <v>5.12</v>
          </cell>
          <cell r="AS197">
            <v>97.800000000000011</v>
          </cell>
        </row>
        <row r="198">
          <cell r="C198">
            <v>4.6500000000000004</v>
          </cell>
          <cell r="F198">
            <v>4.87</v>
          </cell>
          <cell r="H198">
            <v>4.92</v>
          </cell>
          <cell r="I198">
            <v>5.32</v>
          </cell>
          <cell r="AS198">
            <v>98.4</v>
          </cell>
        </row>
        <row r="199">
          <cell r="C199">
            <v>4.67</v>
          </cell>
          <cell r="F199">
            <v>4.75</v>
          </cell>
          <cell r="H199">
            <v>4.96</v>
          </cell>
          <cell r="I199">
            <v>5.41</v>
          </cell>
          <cell r="AS199">
            <v>98.800000000000011</v>
          </cell>
        </row>
        <row r="200">
          <cell r="C200">
            <v>4.9000000000000004</v>
          </cell>
          <cell r="F200">
            <v>4.78</v>
          </cell>
          <cell r="H200">
            <v>4.9800000000000004</v>
          </cell>
          <cell r="I200">
            <v>5.48</v>
          </cell>
          <cell r="AS200">
            <v>99.300000000000011</v>
          </cell>
        </row>
        <row r="201">
          <cell r="C201">
            <v>5.17</v>
          </cell>
          <cell r="F201">
            <v>4.8100000000000005</v>
          </cell>
          <cell r="H201">
            <v>5.07</v>
          </cell>
          <cell r="I201">
            <v>5.58</v>
          </cell>
          <cell r="AS201">
            <v>99.800000000000011</v>
          </cell>
        </row>
        <row r="202">
          <cell r="C202">
            <v>5.3</v>
          </cell>
          <cell r="F202">
            <v>5.0200000000000005</v>
          </cell>
          <cell r="H202">
            <v>5.16</v>
          </cell>
          <cell r="I202">
            <v>5.68</v>
          </cell>
          <cell r="AS202">
            <v>100.10000000000001</v>
          </cell>
        </row>
        <row r="203">
          <cell r="C203">
            <v>5.53</v>
          </cell>
          <cell r="F203">
            <v>5.22</v>
          </cell>
          <cell r="H203">
            <v>5.3100000000000005</v>
          </cell>
          <cell r="I203">
            <v>5.83</v>
          </cell>
          <cell r="AS203">
            <v>100.60000000000001</v>
          </cell>
        </row>
        <row r="204">
          <cell r="C204">
            <v>5.4</v>
          </cell>
          <cell r="F204">
            <v>5.18</v>
          </cell>
          <cell r="H204">
            <v>5.49</v>
          </cell>
          <cell r="I204">
            <v>6.09</v>
          </cell>
          <cell r="AS204">
            <v>100.7</v>
          </cell>
        </row>
        <row r="205">
          <cell r="C205">
            <v>5.53</v>
          </cell>
          <cell r="F205">
            <v>5.01</v>
          </cell>
          <cell r="H205">
            <v>5.41</v>
          </cell>
          <cell r="I205">
            <v>6.1000000000000005</v>
          </cell>
          <cell r="AS205">
            <v>101</v>
          </cell>
        </row>
        <row r="206">
          <cell r="C206">
            <v>5.76</v>
          </cell>
          <cell r="F206">
            <v>5.16</v>
          </cell>
          <cell r="H206">
            <v>5.3500000000000005</v>
          </cell>
          <cell r="I206">
            <v>6.13</v>
          </cell>
          <cell r="AS206">
            <v>101.4</v>
          </cell>
        </row>
        <row r="207">
          <cell r="C207">
            <v>5.4</v>
          </cell>
          <cell r="F207">
            <v>4.84</v>
          </cell>
          <cell r="H207">
            <v>5.39</v>
          </cell>
          <cell r="I207">
            <v>6.18</v>
          </cell>
          <cell r="AS207">
            <v>101.80000000000001</v>
          </cell>
        </row>
        <row r="208">
          <cell r="C208">
            <v>4.9400000000000004</v>
          </cell>
          <cell r="F208">
            <v>4.58</v>
          </cell>
          <cell r="H208">
            <v>5.2</v>
          </cell>
          <cell r="I208">
            <v>5.97</v>
          </cell>
          <cell r="AS208">
            <v>102.2</v>
          </cell>
        </row>
        <row r="209">
          <cell r="C209">
            <v>5</v>
          </cell>
          <cell r="F209">
            <v>4.63</v>
          </cell>
          <cell r="H209">
            <v>5.03</v>
          </cell>
          <cell r="I209">
            <v>5.82</v>
          </cell>
          <cell r="AS209">
            <v>102.4</v>
          </cell>
        </row>
        <row r="210">
          <cell r="C210">
            <v>4.53</v>
          </cell>
          <cell r="F210">
            <v>4.54</v>
          </cell>
          <cell r="H210">
            <v>5.13</v>
          </cell>
          <cell r="I210">
            <v>5.8500000000000005</v>
          </cell>
          <cell r="AS210">
            <v>102.7</v>
          </cell>
        </row>
        <row r="211">
          <cell r="C211">
            <v>4.05</v>
          </cell>
          <cell r="F211">
            <v>4.59</v>
          </cell>
          <cell r="H211">
            <v>5.1100000000000003</v>
          </cell>
          <cell r="I211">
            <v>5.83</v>
          </cell>
          <cell r="AS211">
            <v>102.9</v>
          </cell>
        </row>
        <row r="212">
          <cell r="C212">
            <v>3.94</v>
          </cell>
          <cell r="F212">
            <v>4.8500000000000005</v>
          </cell>
          <cell r="H212">
            <v>5.24</v>
          </cell>
          <cell r="I212">
            <v>5.96</v>
          </cell>
          <cell r="AS212">
            <v>103.2</v>
          </cell>
        </row>
        <row r="213">
          <cell r="C213">
            <v>3.98</v>
          </cell>
          <cell r="F213">
            <v>5.0200000000000005</v>
          </cell>
          <cell r="H213">
            <v>5.44</v>
          </cell>
          <cell r="I213">
            <v>6.15</v>
          </cell>
          <cell r="AS213">
            <v>103.7</v>
          </cell>
        </row>
        <row r="214">
          <cell r="C214">
            <v>3.79</v>
          </cell>
          <cell r="F214">
            <v>5.16</v>
          </cell>
          <cell r="H214">
            <v>5.58</v>
          </cell>
          <cell r="I214">
            <v>6.26</v>
          </cell>
          <cell r="AS214">
            <v>104.10000000000001</v>
          </cell>
        </row>
        <row r="215">
          <cell r="C215">
            <v>3.9</v>
          </cell>
          <cell r="F215">
            <v>5.28</v>
          </cell>
          <cell r="H215">
            <v>5.62</v>
          </cell>
          <cell r="I215">
            <v>6.33</v>
          </cell>
          <cell r="AS215">
            <v>104.7</v>
          </cell>
        </row>
        <row r="216">
          <cell r="C216">
            <v>3.99</v>
          </cell>
          <cell r="F216">
            <v>5.3</v>
          </cell>
          <cell r="H216">
            <v>5.65</v>
          </cell>
          <cell r="I216">
            <v>6.4</v>
          </cell>
          <cell r="AS216">
            <v>105.2</v>
          </cell>
        </row>
        <row r="217">
          <cell r="C217">
            <v>3.88</v>
          </cell>
          <cell r="F217">
            <v>5.48</v>
          </cell>
          <cell r="H217">
            <v>5.82</v>
          </cell>
          <cell r="I217">
            <v>6.5200000000000005</v>
          </cell>
          <cell r="AS217">
            <v>105.4</v>
          </cell>
        </row>
        <row r="218">
          <cell r="C218">
            <v>4.13</v>
          </cell>
          <cell r="F218">
            <v>5.75</v>
          </cell>
          <cell r="H218">
            <v>6.07</v>
          </cell>
          <cell r="I218">
            <v>6.72</v>
          </cell>
          <cell r="AS218">
            <v>106.30000000000001</v>
          </cell>
        </row>
        <row r="219">
          <cell r="C219">
            <v>4.51</v>
          </cell>
          <cell r="F219">
            <v>5.7</v>
          </cell>
          <cell r="H219">
            <v>6.19</v>
          </cell>
          <cell r="I219">
            <v>6.93</v>
          </cell>
          <cell r="AS219">
            <v>106.80000000000001</v>
          </cell>
        </row>
        <row r="220">
          <cell r="C220">
            <v>4.6000000000000005</v>
          </cell>
          <cell r="F220">
            <v>5.53</v>
          </cell>
          <cell r="H220">
            <v>6.17</v>
          </cell>
          <cell r="I220">
            <v>6.84</v>
          </cell>
          <cell r="AS220">
            <v>106.80000000000001</v>
          </cell>
        </row>
        <row r="221">
          <cell r="C221">
            <v>4.71</v>
          </cell>
          <cell r="F221">
            <v>5.5600000000000005</v>
          </cell>
          <cell r="H221">
            <v>6.1000000000000005</v>
          </cell>
          <cell r="I221">
            <v>6.8</v>
          </cell>
          <cell r="AS221">
            <v>107.9</v>
          </cell>
        </row>
        <row r="222">
          <cell r="C222">
            <v>5.05</v>
          </cell>
          <cell r="F222">
            <v>5.74</v>
          </cell>
          <cell r="H222">
            <v>6.11</v>
          </cell>
          <cell r="I222">
            <v>6.8500000000000005</v>
          </cell>
          <cell r="AS222">
            <v>108.7</v>
          </cell>
        </row>
        <row r="223">
          <cell r="C223">
            <v>5.76</v>
          </cell>
          <cell r="F223">
            <v>5.64</v>
          </cell>
          <cell r="H223">
            <v>6.21</v>
          </cell>
          <cell r="I223">
            <v>6.97</v>
          </cell>
          <cell r="AS223">
            <v>109.60000000000001</v>
          </cell>
        </row>
        <row r="224">
          <cell r="C224">
            <v>6.11</v>
          </cell>
          <cell r="F224">
            <v>5.87</v>
          </cell>
          <cell r="H224">
            <v>6.2700000000000005</v>
          </cell>
          <cell r="I224">
            <v>7.03</v>
          </cell>
          <cell r="AS224">
            <v>110.4</v>
          </cell>
        </row>
        <row r="225">
          <cell r="C225">
            <v>6.07</v>
          </cell>
          <cell r="F225">
            <v>5.72</v>
          </cell>
          <cell r="H225">
            <v>6.28</v>
          </cell>
          <cell r="I225">
            <v>7.07</v>
          </cell>
          <cell r="AS225">
            <v>111.10000000000001</v>
          </cell>
        </row>
        <row r="226">
          <cell r="C226">
            <v>6.0200000000000005</v>
          </cell>
          <cell r="F226">
            <v>5.5</v>
          </cell>
          <cell r="H226">
            <v>6.24</v>
          </cell>
          <cell r="I226">
            <v>6.98</v>
          </cell>
          <cell r="AS226">
            <v>112.10000000000001</v>
          </cell>
        </row>
        <row r="227">
          <cell r="C227">
            <v>6.03</v>
          </cell>
          <cell r="F227">
            <v>5.42</v>
          </cell>
          <cell r="H227">
            <v>6.0200000000000005</v>
          </cell>
          <cell r="I227">
            <v>6.82</v>
          </cell>
          <cell r="AS227">
            <v>112.80000000000001</v>
          </cell>
        </row>
        <row r="228">
          <cell r="C228">
            <v>5.78</v>
          </cell>
          <cell r="F228">
            <v>5.46</v>
          </cell>
          <cell r="H228">
            <v>5.97</v>
          </cell>
          <cell r="I228">
            <v>6.79</v>
          </cell>
          <cell r="AS228">
            <v>113.80000000000001</v>
          </cell>
        </row>
        <row r="229">
          <cell r="C229">
            <v>5.91</v>
          </cell>
          <cell r="F229">
            <v>5.58</v>
          </cell>
          <cell r="H229">
            <v>6.09</v>
          </cell>
          <cell r="I229">
            <v>6.84</v>
          </cell>
          <cell r="AS229">
            <v>115.2</v>
          </cell>
        </row>
        <row r="230">
          <cell r="C230">
            <v>5.82</v>
          </cell>
          <cell r="F230">
            <v>5.7</v>
          </cell>
          <cell r="H230">
            <v>6.19</v>
          </cell>
          <cell r="I230">
            <v>7.01</v>
          </cell>
          <cell r="AS230">
            <v>116.2</v>
          </cell>
        </row>
        <row r="231">
          <cell r="C231">
            <v>6.0200000000000005</v>
          </cell>
          <cell r="F231">
            <v>6.03</v>
          </cell>
          <cell r="H231">
            <v>6.45</v>
          </cell>
          <cell r="I231">
            <v>7.23</v>
          </cell>
          <cell r="AS231">
            <v>117.4</v>
          </cell>
        </row>
        <row r="232">
          <cell r="C232">
            <v>6.3</v>
          </cell>
          <cell r="F232">
            <v>6.04</v>
          </cell>
          <cell r="H232">
            <v>6.59</v>
          </cell>
          <cell r="I232">
            <v>7.32</v>
          </cell>
          <cell r="AS232">
            <v>118.2</v>
          </cell>
        </row>
        <row r="233">
          <cell r="C233">
            <v>6.61</v>
          </cell>
          <cell r="F233">
            <v>6.19</v>
          </cell>
          <cell r="H233">
            <v>6.66</v>
          </cell>
          <cell r="I233">
            <v>7.3</v>
          </cell>
          <cell r="AS233">
            <v>119.4</v>
          </cell>
        </row>
        <row r="234">
          <cell r="C234">
            <v>6.79</v>
          </cell>
          <cell r="F234">
            <v>6.3</v>
          </cell>
          <cell r="H234">
            <v>6.8500000000000005</v>
          </cell>
          <cell r="I234">
            <v>7.51</v>
          </cell>
          <cell r="AS234">
            <v>120.4</v>
          </cell>
        </row>
        <row r="235">
          <cell r="C235">
            <v>7.41</v>
          </cell>
          <cell r="F235">
            <v>6.17</v>
          </cell>
          <cell r="H235">
            <v>6.8900000000000006</v>
          </cell>
          <cell r="I235">
            <v>7.54</v>
          </cell>
          <cell r="AS235">
            <v>121.5</v>
          </cell>
        </row>
        <row r="236">
          <cell r="C236">
            <v>8.67</v>
          </cell>
          <cell r="F236">
            <v>6.32</v>
          </cell>
          <cell r="H236">
            <v>6.79</v>
          </cell>
          <cell r="I236">
            <v>7.5200000000000005</v>
          </cell>
          <cell r="AS236">
            <v>122.60000000000001</v>
          </cell>
        </row>
        <row r="237">
          <cell r="C237">
            <v>8.9</v>
          </cell>
          <cell r="F237">
            <v>6.57</v>
          </cell>
          <cell r="H237">
            <v>6.98</v>
          </cell>
          <cell r="I237">
            <v>7.7</v>
          </cell>
          <cell r="AS237">
            <v>123.4</v>
          </cell>
        </row>
        <row r="238">
          <cell r="C238">
            <v>8.61</v>
          </cell>
          <cell r="F238">
            <v>6.72</v>
          </cell>
          <cell r="H238">
            <v>7.08</v>
          </cell>
          <cell r="I238">
            <v>7.84</v>
          </cell>
          <cell r="AS238">
            <v>124</v>
          </cell>
        </row>
        <row r="239">
          <cell r="C239">
            <v>9.19</v>
          </cell>
          <cell r="F239">
            <v>6.69</v>
          </cell>
          <cell r="H239">
            <v>6.97</v>
          </cell>
          <cell r="I239">
            <v>7.86</v>
          </cell>
          <cell r="AS239">
            <v>124.60000000000001</v>
          </cell>
        </row>
        <row r="240">
          <cell r="C240">
            <v>9.15</v>
          </cell>
          <cell r="F240">
            <v>7.16</v>
          </cell>
          <cell r="H240">
            <v>7.1400000000000006</v>
          </cell>
          <cell r="I240">
            <v>8.0500000000000007</v>
          </cell>
          <cell r="AS240">
            <v>125.30000000000001</v>
          </cell>
        </row>
        <row r="241">
          <cell r="C241">
            <v>9</v>
          </cell>
          <cell r="F241">
            <v>7.1000000000000005</v>
          </cell>
          <cell r="H241">
            <v>7.33</v>
          </cell>
          <cell r="I241">
            <v>8.2200000000000006</v>
          </cell>
          <cell r="AS241">
            <v>126</v>
          </cell>
        </row>
        <row r="242">
          <cell r="C242">
            <v>8.85</v>
          </cell>
          <cell r="F242">
            <v>7.1400000000000006</v>
          </cell>
          <cell r="H242">
            <v>7.3500000000000005</v>
          </cell>
          <cell r="I242">
            <v>8.25</v>
          </cell>
          <cell r="AS242">
            <v>126.60000000000001</v>
          </cell>
        </row>
        <row r="243">
          <cell r="C243">
            <v>8.9700000000000006</v>
          </cell>
          <cell r="F243">
            <v>7.65</v>
          </cell>
          <cell r="H243">
            <v>7.72</v>
          </cell>
          <cell r="I243">
            <v>8.65</v>
          </cell>
          <cell r="AS243">
            <v>127.2</v>
          </cell>
        </row>
        <row r="244">
          <cell r="C244">
            <v>8.98</v>
          </cell>
          <cell r="F244">
            <v>7.79</v>
          </cell>
          <cell r="H244">
            <v>7.91</v>
          </cell>
          <cell r="I244">
            <v>8.86</v>
          </cell>
          <cell r="AS244">
            <v>127.80000000000001</v>
          </cell>
        </row>
        <row r="245">
          <cell r="C245">
            <v>8.98</v>
          </cell>
          <cell r="F245">
            <v>7.24</v>
          </cell>
          <cell r="H245">
            <v>7.9300000000000006</v>
          </cell>
          <cell r="I245">
            <v>8.7799999999999994</v>
          </cell>
          <cell r="AS245">
            <v>128.20000000000002</v>
          </cell>
        </row>
        <row r="246">
          <cell r="C246">
            <v>7.76</v>
          </cell>
          <cell r="F246">
            <v>7.07</v>
          </cell>
          <cell r="H246">
            <v>7.84</v>
          </cell>
          <cell r="I246">
            <v>8.6300000000000008</v>
          </cell>
          <cell r="AS246">
            <v>128.30000000000001</v>
          </cell>
        </row>
        <row r="247">
          <cell r="C247">
            <v>8.1</v>
          </cell>
          <cell r="F247">
            <v>7.3900000000000006</v>
          </cell>
          <cell r="H247">
            <v>7.83</v>
          </cell>
          <cell r="I247">
            <v>8.7000000000000011</v>
          </cell>
          <cell r="AS247">
            <v>128.4</v>
          </cell>
        </row>
        <row r="248">
          <cell r="C248">
            <v>7.94</v>
          </cell>
          <cell r="F248">
            <v>7.91</v>
          </cell>
          <cell r="H248">
            <v>8.11</v>
          </cell>
          <cell r="I248">
            <v>8.98</v>
          </cell>
          <cell r="AS248">
            <v>128.5</v>
          </cell>
        </row>
        <row r="249">
          <cell r="C249">
            <v>7.6000000000000005</v>
          </cell>
          <cell r="F249">
            <v>7.84</v>
          </cell>
          <cell r="H249">
            <v>8.48</v>
          </cell>
          <cell r="I249">
            <v>9.25</v>
          </cell>
          <cell r="AS249">
            <v>129.20000000000002</v>
          </cell>
        </row>
        <row r="250">
          <cell r="C250">
            <v>7.21</v>
          </cell>
          <cell r="F250">
            <v>7.46</v>
          </cell>
          <cell r="H250">
            <v>8.44</v>
          </cell>
          <cell r="I250">
            <v>9.4</v>
          </cell>
          <cell r="AS250">
            <v>129.9</v>
          </cell>
        </row>
        <row r="251">
          <cell r="C251">
            <v>6.61</v>
          </cell>
          <cell r="F251">
            <v>7.53</v>
          </cell>
          <cell r="H251">
            <v>8.1300000000000008</v>
          </cell>
          <cell r="I251">
            <v>9.44</v>
          </cell>
          <cell r="AS251">
            <v>130.20000000000002</v>
          </cell>
        </row>
        <row r="252">
          <cell r="C252">
            <v>6.29</v>
          </cell>
          <cell r="F252">
            <v>7.3900000000000006</v>
          </cell>
          <cell r="H252">
            <v>8.09</v>
          </cell>
          <cell r="I252">
            <v>9.39</v>
          </cell>
          <cell r="AS252">
            <v>130.9</v>
          </cell>
        </row>
        <row r="253">
          <cell r="C253">
            <v>6.2</v>
          </cell>
          <cell r="F253">
            <v>7.33</v>
          </cell>
          <cell r="H253">
            <v>8.0299999999999994</v>
          </cell>
          <cell r="I253">
            <v>9.33</v>
          </cell>
          <cell r="AS253">
            <v>131.1</v>
          </cell>
        </row>
        <row r="254">
          <cell r="C254">
            <v>5.6000000000000005</v>
          </cell>
          <cell r="F254">
            <v>6.84</v>
          </cell>
          <cell r="H254">
            <v>8.0500000000000007</v>
          </cell>
          <cell r="I254">
            <v>9.3800000000000008</v>
          </cell>
          <cell r="AS254">
            <v>130.80000000000001</v>
          </cell>
        </row>
        <row r="255">
          <cell r="C255">
            <v>4.9000000000000004</v>
          </cell>
          <cell r="F255">
            <v>6.3900000000000006</v>
          </cell>
          <cell r="H255">
            <v>7.6400000000000006</v>
          </cell>
          <cell r="I255">
            <v>9.120000000000001</v>
          </cell>
          <cell r="AS255">
            <v>131.6</v>
          </cell>
        </row>
        <row r="256">
          <cell r="C256">
            <v>4.1399999999999997</v>
          </cell>
          <cell r="F256">
            <v>6.24</v>
          </cell>
          <cell r="H256">
            <v>7.36</v>
          </cell>
          <cell r="I256">
            <v>8.74</v>
          </cell>
          <cell r="AS256">
            <v>134.20000000000002</v>
          </cell>
        </row>
        <row r="257">
          <cell r="C257">
            <v>3.72</v>
          </cell>
          <cell r="F257">
            <v>6.11</v>
          </cell>
          <cell r="H257">
            <v>7.08</v>
          </cell>
          <cell r="I257">
            <v>8.39</v>
          </cell>
          <cell r="AS257">
            <v>134.9</v>
          </cell>
        </row>
        <row r="258">
          <cell r="C258">
            <v>3.71</v>
          </cell>
          <cell r="F258">
            <v>5.7</v>
          </cell>
          <cell r="H258">
            <v>7.21</v>
          </cell>
          <cell r="I258">
            <v>8.4600000000000009</v>
          </cell>
          <cell r="AS258">
            <v>135.70000000000002</v>
          </cell>
        </row>
        <row r="259">
          <cell r="C259">
            <v>4.1500000000000004</v>
          </cell>
          <cell r="F259">
            <v>5.83</v>
          </cell>
          <cell r="H259">
            <v>7.25</v>
          </cell>
          <cell r="I259">
            <v>8.4499999999999993</v>
          </cell>
          <cell r="AS259">
            <v>137</v>
          </cell>
        </row>
        <row r="260">
          <cell r="C260">
            <v>4.63</v>
          </cell>
          <cell r="F260">
            <v>6.3900000000000006</v>
          </cell>
          <cell r="H260">
            <v>7.53</v>
          </cell>
          <cell r="I260">
            <v>8.620000000000001</v>
          </cell>
          <cell r="AS260">
            <v>137.80000000000001</v>
          </cell>
        </row>
        <row r="261">
          <cell r="C261">
            <v>4.91</v>
          </cell>
          <cell r="F261">
            <v>6.5200000000000005</v>
          </cell>
          <cell r="H261">
            <v>7.6400000000000006</v>
          </cell>
          <cell r="I261">
            <v>8.75</v>
          </cell>
          <cell r="AS261">
            <v>138.80000000000001</v>
          </cell>
        </row>
        <row r="262">
          <cell r="C262">
            <v>5.3100000000000005</v>
          </cell>
          <cell r="F262">
            <v>6.73</v>
          </cell>
          <cell r="H262">
            <v>7.6400000000000006</v>
          </cell>
          <cell r="I262">
            <v>8.76</v>
          </cell>
          <cell r="AS262">
            <v>139.9</v>
          </cell>
        </row>
        <row r="263">
          <cell r="C263">
            <v>5.5600000000000005</v>
          </cell>
          <cell r="F263">
            <v>6.58</v>
          </cell>
          <cell r="H263">
            <v>7.59</v>
          </cell>
          <cell r="I263">
            <v>8.76</v>
          </cell>
          <cell r="AS263">
            <v>141.30000000000001</v>
          </cell>
        </row>
        <row r="264">
          <cell r="C264">
            <v>5.55</v>
          </cell>
          <cell r="F264">
            <v>6.1400000000000006</v>
          </cell>
          <cell r="H264">
            <v>7.44</v>
          </cell>
          <cell r="I264">
            <v>8.59</v>
          </cell>
          <cell r="AS264">
            <v>142.80000000000001</v>
          </cell>
        </row>
        <row r="265">
          <cell r="C265">
            <v>5.2</v>
          </cell>
          <cell r="F265">
            <v>5.93</v>
          </cell>
          <cell r="H265">
            <v>7.3900000000000006</v>
          </cell>
          <cell r="I265">
            <v>8.48</v>
          </cell>
          <cell r="AS265">
            <v>143.9</v>
          </cell>
        </row>
        <row r="266">
          <cell r="C266">
            <v>4.91</v>
          </cell>
          <cell r="F266">
            <v>5.8100000000000005</v>
          </cell>
          <cell r="H266">
            <v>7.26</v>
          </cell>
          <cell r="I266">
            <v>8.3800000000000008</v>
          </cell>
          <cell r="AS266">
            <v>145.6</v>
          </cell>
        </row>
        <row r="267">
          <cell r="C267">
            <v>4.1399999999999997</v>
          </cell>
          <cell r="F267">
            <v>5.93</v>
          </cell>
          <cell r="H267">
            <v>7.25</v>
          </cell>
          <cell r="I267">
            <v>8.3800000000000008</v>
          </cell>
          <cell r="AS267">
            <v>146.9</v>
          </cell>
        </row>
        <row r="268">
          <cell r="B268">
            <v>3.38</v>
          </cell>
          <cell r="C268">
            <v>3.5</v>
          </cell>
          <cell r="F268">
            <v>5.95</v>
          </cell>
          <cell r="H268">
            <v>7.19</v>
          </cell>
          <cell r="I268">
            <v>8.23</v>
          </cell>
          <cell r="AS268">
            <v>147.70000000000002</v>
          </cell>
        </row>
        <row r="269">
          <cell r="B269">
            <v>3.2</v>
          </cell>
          <cell r="C269">
            <v>3.29</v>
          </cell>
          <cell r="F269">
            <v>6.08</v>
          </cell>
          <cell r="H269">
            <v>7.2700000000000005</v>
          </cell>
          <cell r="I269">
            <v>8.23</v>
          </cell>
          <cell r="AS269">
            <v>148.9</v>
          </cell>
        </row>
        <row r="270">
          <cell r="B270">
            <v>3.73</v>
          </cell>
          <cell r="C270">
            <v>3.83</v>
          </cell>
          <cell r="F270">
            <v>6.07</v>
          </cell>
          <cell r="H270">
            <v>7.24</v>
          </cell>
          <cell r="I270">
            <v>8.24</v>
          </cell>
          <cell r="AS270">
            <v>150.80000000000001</v>
          </cell>
        </row>
        <row r="271">
          <cell r="B271">
            <v>3.71</v>
          </cell>
          <cell r="C271">
            <v>4.17</v>
          </cell>
          <cell r="F271">
            <v>6.19</v>
          </cell>
          <cell r="H271">
            <v>7.3</v>
          </cell>
          <cell r="I271">
            <v>8.24</v>
          </cell>
          <cell r="AS271">
            <v>152.30000000000001</v>
          </cell>
        </row>
        <row r="272">
          <cell r="B272">
            <v>3.69</v>
          </cell>
          <cell r="C272">
            <v>4.2700000000000005</v>
          </cell>
          <cell r="F272">
            <v>6.13</v>
          </cell>
          <cell r="H272">
            <v>7.3</v>
          </cell>
          <cell r="I272">
            <v>8.23</v>
          </cell>
          <cell r="AS272">
            <v>154.20000000000002</v>
          </cell>
        </row>
        <row r="273">
          <cell r="B273">
            <v>3.91</v>
          </cell>
          <cell r="C273">
            <v>4.46</v>
          </cell>
          <cell r="F273">
            <v>6.11</v>
          </cell>
          <cell r="H273">
            <v>7.23</v>
          </cell>
          <cell r="I273">
            <v>8.1999999999999993</v>
          </cell>
          <cell r="AS273">
            <v>156.20000000000002</v>
          </cell>
        </row>
        <row r="274">
          <cell r="B274">
            <v>3.98</v>
          </cell>
          <cell r="C274">
            <v>4.55</v>
          </cell>
          <cell r="F274">
            <v>6.11</v>
          </cell>
          <cell r="H274">
            <v>7.21</v>
          </cell>
          <cell r="I274">
            <v>8.23</v>
          </cell>
          <cell r="AS274">
            <v>157.30000000000001</v>
          </cell>
        </row>
        <row r="275">
          <cell r="B275">
            <v>4.0200000000000005</v>
          </cell>
          <cell r="C275">
            <v>4.8</v>
          </cell>
          <cell r="F275">
            <v>6.21</v>
          </cell>
          <cell r="H275">
            <v>7.19</v>
          </cell>
          <cell r="I275">
            <v>8.19</v>
          </cell>
          <cell r="AS275">
            <v>158.9</v>
          </cell>
        </row>
        <row r="276">
          <cell r="B276">
            <v>4.66</v>
          </cell>
          <cell r="C276">
            <v>4.87</v>
          </cell>
          <cell r="F276">
            <v>6.55</v>
          </cell>
          <cell r="H276">
            <v>7.22</v>
          </cell>
          <cell r="I276">
            <v>8.09</v>
          </cell>
          <cell r="AS276">
            <v>160.60000000000002</v>
          </cell>
        </row>
        <row r="277">
          <cell r="B277">
            <v>4.74</v>
          </cell>
          <cell r="C277">
            <v>5.04</v>
          </cell>
          <cell r="F277">
            <v>6.48</v>
          </cell>
          <cell r="H277">
            <v>7.21</v>
          </cell>
          <cell r="I277">
            <v>8.06</v>
          </cell>
          <cell r="AS277">
            <v>162.20000000000002</v>
          </cell>
        </row>
        <row r="278">
          <cell r="B278">
            <v>4.78</v>
          </cell>
          <cell r="C278">
            <v>5.0600000000000005</v>
          </cell>
          <cell r="F278">
            <v>6.28</v>
          </cell>
          <cell r="H278">
            <v>7.12</v>
          </cell>
          <cell r="I278">
            <v>7.99</v>
          </cell>
          <cell r="AS278">
            <v>164.10000000000002</v>
          </cell>
        </row>
        <row r="279">
          <cell r="B279">
            <v>5.07</v>
          </cell>
          <cell r="C279">
            <v>5.33</v>
          </cell>
          <cell r="F279">
            <v>6.36</v>
          </cell>
          <cell r="H279">
            <v>7.08</v>
          </cell>
          <cell r="I279">
            <v>7.9300000000000006</v>
          </cell>
          <cell r="AS279">
            <v>166.20000000000002</v>
          </cell>
        </row>
        <row r="280">
          <cell r="B280">
            <v>5.41</v>
          </cell>
          <cell r="C280">
            <v>5.94</v>
          </cell>
          <cell r="F280">
            <v>6.46</v>
          </cell>
          <cell r="H280">
            <v>7.15</v>
          </cell>
          <cell r="I280">
            <v>7.9</v>
          </cell>
          <cell r="AS280">
            <v>169.3</v>
          </cell>
        </row>
        <row r="281">
          <cell r="B281">
            <v>5.6000000000000005</v>
          </cell>
          <cell r="C281">
            <v>6.58</v>
          </cell>
          <cell r="F281">
            <v>6.6400000000000006</v>
          </cell>
          <cell r="H281">
            <v>7.22</v>
          </cell>
          <cell r="I281">
            <v>7.97</v>
          </cell>
          <cell r="AS281">
            <v>171.60000000000002</v>
          </cell>
        </row>
        <row r="282">
          <cell r="B282">
            <v>6.09</v>
          </cell>
          <cell r="C282">
            <v>7.09</v>
          </cell>
          <cell r="F282">
            <v>6.71</v>
          </cell>
          <cell r="H282">
            <v>7.29</v>
          </cell>
          <cell r="I282">
            <v>8.0299999999999994</v>
          </cell>
          <cell r="AS282">
            <v>173.9</v>
          </cell>
        </row>
        <row r="283">
          <cell r="B283">
            <v>6.26</v>
          </cell>
          <cell r="C283">
            <v>7.12</v>
          </cell>
          <cell r="F283">
            <v>6.67</v>
          </cell>
          <cell r="H283">
            <v>7.26</v>
          </cell>
          <cell r="I283">
            <v>8.09</v>
          </cell>
          <cell r="AS283">
            <v>175.8</v>
          </cell>
        </row>
        <row r="284">
          <cell r="B284">
            <v>6.36</v>
          </cell>
          <cell r="C284">
            <v>7.84</v>
          </cell>
          <cell r="F284">
            <v>6.8500000000000005</v>
          </cell>
          <cell r="H284">
            <v>7.29</v>
          </cell>
          <cell r="I284">
            <v>8.06</v>
          </cell>
          <cell r="AS284">
            <v>178.10000000000002</v>
          </cell>
        </row>
        <row r="285">
          <cell r="B285">
            <v>7.19</v>
          </cell>
          <cell r="C285">
            <v>8.49</v>
          </cell>
          <cell r="F285">
            <v>6.9</v>
          </cell>
          <cell r="H285">
            <v>7.37</v>
          </cell>
          <cell r="I285">
            <v>8.1300000000000008</v>
          </cell>
          <cell r="AS285">
            <v>180.4</v>
          </cell>
        </row>
        <row r="286">
          <cell r="B286">
            <v>8.01</v>
          </cell>
          <cell r="C286">
            <v>10.4</v>
          </cell>
          <cell r="F286">
            <v>7.13</v>
          </cell>
          <cell r="H286">
            <v>7.45</v>
          </cell>
          <cell r="I286">
            <v>8.24</v>
          </cell>
          <cell r="AS286">
            <v>182.3</v>
          </cell>
        </row>
        <row r="287">
          <cell r="B287">
            <v>8.67</v>
          </cell>
          <cell r="C287">
            <v>10.5</v>
          </cell>
          <cell r="F287">
            <v>7.4</v>
          </cell>
          <cell r="H287">
            <v>7.68</v>
          </cell>
          <cell r="I287">
            <v>8.5299999999999994</v>
          </cell>
          <cell r="AS287">
            <v>184.3</v>
          </cell>
        </row>
        <row r="288">
          <cell r="B288">
            <v>8.2900000000000009</v>
          </cell>
          <cell r="C288">
            <v>10.78</v>
          </cell>
          <cell r="F288">
            <v>7.09</v>
          </cell>
          <cell r="H288">
            <v>7.63</v>
          </cell>
          <cell r="I288">
            <v>8.6300000000000008</v>
          </cell>
          <cell r="AS288">
            <v>185.3</v>
          </cell>
        </row>
        <row r="289">
          <cell r="B289">
            <v>7.22</v>
          </cell>
          <cell r="C289">
            <v>10.01</v>
          </cell>
          <cell r="F289">
            <v>6.79</v>
          </cell>
          <cell r="H289">
            <v>7.6000000000000005</v>
          </cell>
          <cell r="I289">
            <v>8.41</v>
          </cell>
          <cell r="AS289">
            <v>187.5</v>
          </cell>
        </row>
        <row r="290">
          <cell r="B290">
            <v>7.83</v>
          </cell>
          <cell r="C290">
            <v>10.029999999999999</v>
          </cell>
          <cell r="F290">
            <v>6.73</v>
          </cell>
          <cell r="H290">
            <v>7.67</v>
          </cell>
          <cell r="I290">
            <v>8.42</v>
          </cell>
          <cell r="AS290">
            <v>189.3</v>
          </cell>
        </row>
        <row r="291">
          <cell r="B291">
            <v>7.45</v>
          </cell>
          <cell r="C291">
            <v>9.9500000000000011</v>
          </cell>
          <cell r="F291">
            <v>6.74</v>
          </cell>
          <cell r="H291">
            <v>7.68</v>
          </cell>
          <cell r="I291">
            <v>8.48</v>
          </cell>
          <cell r="AS291">
            <v>190.10000000000002</v>
          </cell>
        </row>
        <row r="292">
          <cell r="B292">
            <v>7.7700000000000005</v>
          </cell>
          <cell r="C292">
            <v>9.65</v>
          </cell>
          <cell r="F292">
            <v>6.99</v>
          </cell>
          <cell r="H292">
            <v>7.83</v>
          </cell>
          <cell r="I292">
            <v>8.48</v>
          </cell>
          <cell r="AS292">
            <v>191.3</v>
          </cell>
        </row>
        <row r="293">
          <cell r="B293">
            <v>7.12</v>
          </cell>
          <cell r="C293">
            <v>8.9700000000000006</v>
          </cell>
          <cell r="F293">
            <v>6.96</v>
          </cell>
          <cell r="H293">
            <v>7.8500000000000005</v>
          </cell>
          <cell r="I293">
            <v>8.5299999999999994</v>
          </cell>
          <cell r="AS293">
            <v>192.5</v>
          </cell>
        </row>
        <row r="294">
          <cell r="B294">
            <v>7.96</v>
          </cell>
          <cell r="C294">
            <v>9.35</v>
          </cell>
          <cell r="F294">
            <v>7.21</v>
          </cell>
          <cell r="H294">
            <v>8.01</v>
          </cell>
          <cell r="I294">
            <v>8.620000000000001</v>
          </cell>
          <cell r="AS294">
            <v>193.4</v>
          </cell>
        </row>
        <row r="295">
          <cell r="B295">
            <v>8.33</v>
          </cell>
          <cell r="C295">
            <v>10.51</v>
          </cell>
          <cell r="F295">
            <v>7.51</v>
          </cell>
          <cell r="H295">
            <v>8.25</v>
          </cell>
          <cell r="I295">
            <v>8.870000000000001</v>
          </cell>
          <cell r="AS295">
            <v>194.60000000000002</v>
          </cell>
        </row>
        <row r="296">
          <cell r="B296">
            <v>8.23</v>
          </cell>
          <cell r="C296">
            <v>11.31</v>
          </cell>
          <cell r="F296">
            <v>7.58</v>
          </cell>
          <cell r="H296">
            <v>8.370000000000001</v>
          </cell>
          <cell r="I296">
            <v>9.0500000000000007</v>
          </cell>
          <cell r="AS296">
            <v>195.9</v>
          </cell>
        </row>
        <row r="297">
          <cell r="B297">
            <v>7.9</v>
          </cell>
          <cell r="C297">
            <v>11.93</v>
          </cell>
          <cell r="F297">
            <v>7.54</v>
          </cell>
          <cell r="H297">
            <v>8.4700000000000006</v>
          </cell>
          <cell r="I297">
            <v>9.27</v>
          </cell>
          <cell r="AS297">
            <v>196.9</v>
          </cell>
        </row>
        <row r="298">
          <cell r="B298">
            <v>7.55</v>
          </cell>
          <cell r="C298">
            <v>12.92</v>
          </cell>
          <cell r="F298">
            <v>7.8100000000000005</v>
          </cell>
          <cell r="H298">
            <v>8.7200000000000006</v>
          </cell>
          <cell r="I298">
            <v>9.48</v>
          </cell>
          <cell r="AS298">
            <v>198.3</v>
          </cell>
        </row>
        <row r="299">
          <cell r="B299">
            <v>8.9600000000000009</v>
          </cell>
          <cell r="C299">
            <v>12.01</v>
          </cell>
          <cell r="F299">
            <v>8.0400000000000009</v>
          </cell>
          <cell r="H299">
            <v>9</v>
          </cell>
          <cell r="I299">
            <v>9.77</v>
          </cell>
          <cell r="AS299">
            <v>199.3</v>
          </cell>
        </row>
        <row r="300">
          <cell r="B300">
            <v>8.06</v>
          </cell>
          <cell r="C300">
            <v>11.34</v>
          </cell>
          <cell r="F300">
            <v>8.0400000000000009</v>
          </cell>
          <cell r="H300">
            <v>9.24</v>
          </cell>
          <cell r="I300">
            <v>10.18</v>
          </cell>
          <cell r="AS300">
            <v>199.60000000000002</v>
          </cell>
        </row>
        <row r="301">
          <cell r="B301">
            <v>7.46</v>
          </cell>
          <cell r="C301">
            <v>10.06</v>
          </cell>
          <cell r="F301">
            <v>7.9</v>
          </cell>
          <cell r="H301">
            <v>9.27</v>
          </cell>
          <cell r="I301">
            <v>10.48</v>
          </cell>
          <cell r="AS301">
            <v>199.5</v>
          </cell>
        </row>
        <row r="302">
          <cell r="B302">
            <v>7.47</v>
          </cell>
          <cell r="C302">
            <v>9.4500000000000011</v>
          </cell>
          <cell r="F302">
            <v>7.68</v>
          </cell>
          <cell r="H302">
            <v>8.89</v>
          </cell>
          <cell r="I302">
            <v>10.6</v>
          </cell>
          <cell r="AS302">
            <v>199.3</v>
          </cell>
        </row>
        <row r="303">
          <cell r="B303">
            <v>7.15</v>
          </cell>
          <cell r="C303">
            <v>8.5299999999999994</v>
          </cell>
          <cell r="F303">
            <v>7.43</v>
          </cell>
          <cell r="H303">
            <v>8.89</v>
          </cell>
          <cell r="I303">
            <v>10.63</v>
          </cell>
          <cell r="AS303">
            <v>198.9</v>
          </cell>
        </row>
        <row r="304">
          <cell r="B304">
            <v>6.26</v>
          </cell>
          <cell r="C304">
            <v>7.13</v>
          </cell>
          <cell r="F304">
            <v>7.5</v>
          </cell>
          <cell r="H304">
            <v>8.83</v>
          </cell>
          <cell r="I304">
            <v>10.81</v>
          </cell>
          <cell r="AS304">
            <v>199.10000000000002</v>
          </cell>
        </row>
        <row r="305">
          <cell r="B305">
            <v>5.5</v>
          </cell>
          <cell r="C305">
            <v>6.24</v>
          </cell>
          <cell r="F305">
            <v>7.3900000000000006</v>
          </cell>
          <cell r="H305">
            <v>8.620000000000001</v>
          </cell>
          <cell r="I305">
            <v>10.65</v>
          </cell>
          <cell r="AS305">
            <v>199.5</v>
          </cell>
        </row>
        <row r="306">
          <cell r="B306">
            <v>5.49</v>
          </cell>
          <cell r="C306">
            <v>5.54</v>
          </cell>
          <cell r="F306">
            <v>7.73</v>
          </cell>
          <cell r="H306">
            <v>8.67</v>
          </cell>
          <cell r="I306">
            <v>10.48</v>
          </cell>
          <cell r="AS306">
            <v>199.10000000000002</v>
          </cell>
        </row>
        <row r="307">
          <cell r="B307">
            <v>5.61</v>
          </cell>
          <cell r="C307">
            <v>5.49</v>
          </cell>
          <cell r="F307">
            <v>8.23</v>
          </cell>
          <cell r="H307">
            <v>8.9500000000000011</v>
          </cell>
          <cell r="I307">
            <v>10.58</v>
          </cell>
          <cell r="AS307">
            <v>198.70000000000002</v>
          </cell>
        </row>
        <row r="308">
          <cell r="B308">
            <v>5.23</v>
          </cell>
          <cell r="C308">
            <v>5.22</v>
          </cell>
          <cell r="F308">
            <v>8.06</v>
          </cell>
          <cell r="H308">
            <v>8.9</v>
          </cell>
          <cell r="I308">
            <v>10.69</v>
          </cell>
          <cell r="AS308">
            <v>198.70000000000002</v>
          </cell>
        </row>
        <row r="309">
          <cell r="B309">
            <v>5.34</v>
          </cell>
          <cell r="C309">
            <v>5.55</v>
          </cell>
          <cell r="F309">
            <v>7.86</v>
          </cell>
          <cell r="H309">
            <v>8.77</v>
          </cell>
          <cell r="I309">
            <v>10.620000000000001</v>
          </cell>
          <cell r="AS309">
            <v>196</v>
          </cell>
        </row>
        <row r="310">
          <cell r="B310">
            <v>6.13</v>
          </cell>
          <cell r="C310">
            <v>6.1000000000000005</v>
          </cell>
          <cell r="F310">
            <v>8.06</v>
          </cell>
          <cell r="H310">
            <v>8.84</v>
          </cell>
          <cell r="I310">
            <v>10.55</v>
          </cell>
          <cell r="AS310">
            <v>197.60000000000002</v>
          </cell>
        </row>
        <row r="311">
          <cell r="B311">
            <v>6.44</v>
          </cell>
          <cell r="C311">
            <v>6.1400000000000006</v>
          </cell>
          <cell r="F311">
            <v>8.4</v>
          </cell>
          <cell r="H311">
            <v>8.9500000000000011</v>
          </cell>
          <cell r="I311">
            <v>10.59</v>
          </cell>
          <cell r="AS311">
            <v>198.20000000000002</v>
          </cell>
        </row>
        <row r="312">
          <cell r="B312">
            <v>6.42</v>
          </cell>
          <cell r="C312">
            <v>6.24</v>
          </cell>
          <cell r="F312">
            <v>8.43</v>
          </cell>
          <cell r="H312">
            <v>8.9500000000000011</v>
          </cell>
          <cell r="I312">
            <v>10.61</v>
          </cell>
          <cell r="AS312">
            <v>199.4</v>
          </cell>
        </row>
        <row r="313">
          <cell r="B313">
            <v>5.96</v>
          </cell>
          <cell r="C313">
            <v>5.82</v>
          </cell>
          <cell r="F313">
            <v>8.14</v>
          </cell>
          <cell r="H313">
            <v>8.86</v>
          </cell>
          <cell r="I313">
            <v>10.620000000000001</v>
          </cell>
          <cell r="AS313">
            <v>200.4</v>
          </cell>
        </row>
        <row r="314">
          <cell r="B314">
            <v>5.48</v>
          </cell>
          <cell r="C314">
            <v>5.22</v>
          </cell>
          <cell r="F314">
            <v>8.0500000000000007</v>
          </cell>
          <cell r="H314">
            <v>8.7799999999999994</v>
          </cell>
          <cell r="I314">
            <v>10.56</v>
          </cell>
          <cell r="AS314">
            <v>201.5</v>
          </cell>
        </row>
        <row r="315">
          <cell r="B315">
            <v>5.44</v>
          </cell>
          <cell r="C315">
            <v>5.2</v>
          </cell>
          <cell r="F315">
            <v>8</v>
          </cell>
          <cell r="H315">
            <v>8.7900000000000009</v>
          </cell>
          <cell r="I315">
            <v>10.56</v>
          </cell>
          <cell r="AS315">
            <v>204</v>
          </cell>
        </row>
        <row r="316">
          <cell r="B316">
            <v>4.87</v>
          </cell>
          <cell r="C316">
            <v>4.87</v>
          </cell>
          <cell r="F316">
            <v>7.74</v>
          </cell>
          <cell r="H316">
            <v>8.6</v>
          </cell>
          <cell r="I316">
            <v>10.41</v>
          </cell>
          <cell r="AS316">
            <v>205.5</v>
          </cell>
        </row>
        <row r="317">
          <cell r="B317">
            <v>4.88</v>
          </cell>
          <cell r="C317">
            <v>4.7700000000000005</v>
          </cell>
          <cell r="F317">
            <v>7.79</v>
          </cell>
          <cell r="H317">
            <v>8.5500000000000007</v>
          </cell>
          <cell r="I317">
            <v>10.24</v>
          </cell>
          <cell r="AS317">
            <v>206.70000000000002</v>
          </cell>
        </row>
        <row r="318">
          <cell r="B318">
            <v>5</v>
          </cell>
          <cell r="C318">
            <v>4.84</v>
          </cell>
          <cell r="F318">
            <v>7.73</v>
          </cell>
          <cell r="H318">
            <v>8.52</v>
          </cell>
          <cell r="I318">
            <v>10.120000000000001</v>
          </cell>
          <cell r="AS318">
            <v>208.3</v>
          </cell>
        </row>
        <row r="319">
          <cell r="B319">
            <v>4.8600000000000003</v>
          </cell>
          <cell r="C319">
            <v>4.82</v>
          </cell>
          <cell r="F319">
            <v>7.5600000000000005</v>
          </cell>
          <cell r="H319">
            <v>8.4</v>
          </cell>
          <cell r="I319">
            <v>9.94</v>
          </cell>
          <cell r="AS319">
            <v>210.5</v>
          </cell>
        </row>
        <row r="320">
          <cell r="B320">
            <v>5.2</v>
          </cell>
          <cell r="C320">
            <v>5.29</v>
          </cell>
          <cell r="F320">
            <v>7.9</v>
          </cell>
          <cell r="H320">
            <v>8.58</v>
          </cell>
          <cell r="I320">
            <v>9.86</v>
          </cell>
          <cell r="AS320">
            <v>211.4</v>
          </cell>
        </row>
        <row r="321">
          <cell r="B321">
            <v>5.41</v>
          </cell>
          <cell r="C321">
            <v>5.48</v>
          </cell>
          <cell r="F321">
            <v>7.86</v>
          </cell>
          <cell r="H321">
            <v>8.620000000000001</v>
          </cell>
          <cell r="I321">
            <v>9.89</v>
          </cell>
          <cell r="AS321">
            <v>213.20000000000002</v>
          </cell>
        </row>
        <row r="322">
          <cell r="B322">
            <v>5.23</v>
          </cell>
          <cell r="C322">
            <v>5.3100000000000005</v>
          </cell>
          <cell r="F322">
            <v>7.83</v>
          </cell>
          <cell r="H322">
            <v>8.56</v>
          </cell>
          <cell r="I322">
            <v>9.82</v>
          </cell>
          <cell r="AS322">
            <v>215.3</v>
          </cell>
        </row>
        <row r="323">
          <cell r="B323">
            <v>5.14</v>
          </cell>
          <cell r="C323">
            <v>5.29</v>
          </cell>
          <cell r="F323">
            <v>7.7700000000000005</v>
          </cell>
          <cell r="H323">
            <v>8.4499999999999993</v>
          </cell>
          <cell r="I323">
            <v>9.64</v>
          </cell>
          <cell r="AS323">
            <v>216.5</v>
          </cell>
        </row>
        <row r="324">
          <cell r="B324">
            <v>5.08</v>
          </cell>
          <cell r="C324">
            <v>5.25</v>
          </cell>
          <cell r="F324">
            <v>7.59</v>
          </cell>
          <cell r="H324">
            <v>8.3800000000000008</v>
          </cell>
          <cell r="I324">
            <v>9.4</v>
          </cell>
          <cell r="AS324">
            <v>218.70000000000002</v>
          </cell>
        </row>
        <row r="325">
          <cell r="B325">
            <v>4.92</v>
          </cell>
          <cell r="C325">
            <v>5.0200000000000005</v>
          </cell>
          <cell r="F325">
            <v>7.41</v>
          </cell>
          <cell r="H325">
            <v>8.32</v>
          </cell>
          <cell r="I325">
            <v>9.2900000000000009</v>
          </cell>
          <cell r="AS325">
            <v>220.9</v>
          </cell>
        </row>
        <row r="326">
          <cell r="B326">
            <v>4.3500000000000005</v>
          </cell>
          <cell r="C326">
            <v>4.95</v>
          </cell>
          <cell r="F326">
            <v>7.29</v>
          </cell>
          <cell r="H326">
            <v>8.25</v>
          </cell>
          <cell r="I326">
            <v>9.23</v>
          </cell>
          <cell r="AS326">
            <v>222.8</v>
          </cell>
        </row>
        <row r="327">
          <cell r="B327">
            <v>4.3500000000000005</v>
          </cell>
          <cell r="C327">
            <v>4.6500000000000004</v>
          </cell>
          <cell r="F327">
            <v>6.87</v>
          </cell>
          <cell r="H327">
            <v>7.98</v>
          </cell>
          <cell r="I327">
            <v>9.120000000000001</v>
          </cell>
          <cell r="AS327">
            <v>225.70000000000002</v>
          </cell>
        </row>
        <row r="328">
          <cell r="B328">
            <v>4.62</v>
          </cell>
          <cell r="C328">
            <v>4.6100000000000003</v>
          </cell>
          <cell r="F328">
            <v>7.21</v>
          </cell>
          <cell r="H328">
            <v>7.96</v>
          </cell>
          <cell r="I328">
            <v>9.08</v>
          </cell>
          <cell r="AS328">
            <v>225.70000000000002</v>
          </cell>
        </row>
        <row r="329">
          <cell r="B329">
            <v>4.67</v>
          </cell>
          <cell r="C329">
            <v>4.68</v>
          </cell>
          <cell r="F329">
            <v>7.3900000000000006</v>
          </cell>
          <cell r="H329">
            <v>8.0400000000000009</v>
          </cell>
          <cell r="I329">
            <v>9.120000000000001</v>
          </cell>
          <cell r="AS329">
            <v>228.5</v>
          </cell>
        </row>
        <row r="330">
          <cell r="B330">
            <v>4.53</v>
          </cell>
          <cell r="C330">
            <v>4.6900000000000004</v>
          </cell>
          <cell r="F330">
            <v>7.46</v>
          </cell>
          <cell r="H330">
            <v>8.1</v>
          </cell>
          <cell r="I330">
            <v>9.120000000000001</v>
          </cell>
          <cell r="AS330">
            <v>232.3</v>
          </cell>
        </row>
        <row r="331">
          <cell r="B331">
            <v>4.7</v>
          </cell>
          <cell r="C331">
            <v>4.7300000000000004</v>
          </cell>
          <cell r="F331">
            <v>7.37</v>
          </cell>
          <cell r="H331">
            <v>8.0400000000000009</v>
          </cell>
          <cell r="I331">
            <v>9.07</v>
          </cell>
          <cell r="AS331">
            <v>235.60000000000002</v>
          </cell>
        </row>
        <row r="332">
          <cell r="B332">
            <v>5.01</v>
          </cell>
          <cell r="C332">
            <v>5.3500000000000005</v>
          </cell>
          <cell r="F332">
            <v>7.46</v>
          </cell>
          <cell r="H332">
            <v>8.0500000000000007</v>
          </cell>
          <cell r="I332">
            <v>9.01</v>
          </cell>
          <cell r="AS332">
            <v>239</v>
          </cell>
        </row>
        <row r="333">
          <cell r="B333">
            <v>4.97</v>
          </cell>
          <cell r="C333">
            <v>5.39</v>
          </cell>
          <cell r="F333">
            <v>7.28</v>
          </cell>
          <cell r="H333">
            <v>7.95</v>
          </cell>
          <cell r="I333">
            <v>8.91</v>
          </cell>
          <cell r="AS333">
            <v>242.4</v>
          </cell>
        </row>
        <row r="334">
          <cell r="B334">
            <v>5.38</v>
          </cell>
          <cell r="C334">
            <v>5.42</v>
          </cell>
          <cell r="F334">
            <v>7.33</v>
          </cell>
          <cell r="H334">
            <v>7.94</v>
          </cell>
          <cell r="I334">
            <v>8.870000000000001</v>
          </cell>
          <cell r="AS334">
            <v>245.5</v>
          </cell>
        </row>
        <row r="335">
          <cell r="B335">
            <v>5.5600000000000005</v>
          </cell>
          <cell r="C335">
            <v>5.9</v>
          </cell>
          <cell r="F335">
            <v>7.4</v>
          </cell>
          <cell r="H335">
            <v>7.98</v>
          </cell>
          <cell r="I335">
            <v>8.82</v>
          </cell>
          <cell r="AS335">
            <v>248.5</v>
          </cell>
        </row>
        <row r="336">
          <cell r="B336">
            <v>5.89</v>
          </cell>
          <cell r="C336">
            <v>6.1400000000000006</v>
          </cell>
          <cell r="F336">
            <v>7.34</v>
          </cell>
          <cell r="H336">
            <v>7.92</v>
          </cell>
          <cell r="I336">
            <v>8.8000000000000007</v>
          </cell>
          <cell r="AS336">
            <v>251.3</v>
          </cell>
        </row>
        <row r="337">
          <cell r="B337">
            <v>6.1400000000000006</v>
          </cell>
          <cell r="C337">
            <v>6.47</v>
          </cell>
          <cell r="F337">
            <v>7.5200000000000005</v>
          </cell>
          <cell r="H337">
            <v>8.0400000000000009</v>
          </cell>
          <cell r="I337">
            <v>8.89</v>
          </cell>
          <cell r="AS337">
            <v>255.4</v>
          </cell>
        </row>
        <row r="338">
          <cell r="B338">
            <v>6.03</v>
          </cell>
          <cell r="C338">
            <v>6.51</v>
          </cell>
          <cell r="F338">
            <v>7.58</v>
          </cell>
          <cell r="H338">
            <v>8.08</v>
          </cell>
          <cell r="I338">
            <v>8.9500000000000011</v>
          </cell>
          <cell r="AS338">
            <v>258.8</v>
          </cell>
        </row>
        <row r="339">
          <cell r="B339">
            <v>6.1400000000000006</v>
          </cell>
          <cell r="C339">
            <v>6.5600000000000005</v>
          </cell>
          <cell r="F339">
            <v>7.69</v>
          </cell>
          <cell r="H339">
            <v>8.19</v>
          </cell>
          <cell r="I339">
            <v>8.99</v>
          </cell>
          <cell r="AS339">
            <v>260.60000000000002</v>
          </cell>
        </row>
        <row r="340">
          <cell r="B340">
            <v>6.3900000000000006</v>
          </cell>
          <cell r="C340">
            <v>6.7</v>
          </cell>
          <cell r="F340">
            <v>7.96</v>
          </cell>
          <cell r="H340">
            <v>8.41</v>
          </cell>
          <cell r="I340">
            <v>9.17</v>
          </cell>
          <cell r="AS340">
            <v>262.8</v>
          </cell>
        </row>
        <row r="341">
          <cell r="B341">
            <v>6.3900000000000006</v>
          </cell>
          <cell r="C341">
            <v>6.78</v>
          </cell>
          <cell r="F341">
            <v>8.0299999999999994</v>
          </cell>
          <cell r="H341">
            <v>8.4700000000000006</v>
          </cell>
          <cell r="I341">
            <v>9.2000000000000011</v>
          </cell>
          <cell r="AS341">
            <v>265.7</v>
          </cell>
        </row>
        <row r="342">
          <cell r="B342">
            <v>6.47</v>
          </cell>
          <cell r="C342">
            <v>6.79</v>
          </cell>
          <cell r="F342">
            <v>8.0400000000000009</v>
          </cell>
          <cell r="H342">
            <v>8.4700000000000006</v>
          </cell>
          <cell r="I342">
            <v>9.2200000000000006</v>
          </cell>
          <cell r="AS342">
            <v>270.3</v>
          </cell>
        </row>
        <row r="343">
          <cell r="B343">
            <v>6.34</v>
          </cell>
          <cell r="C343">
            <v>6.8900000000000006</v>
          </cell>
          <cell r="F343">
            <v>8.15</v>
          </cell>
          <cell r="H343">
            <v>8.56</v>
          </cell>
          <cell r="I343">
            <v>9.32</v>
          </cell>
          <cell r="AS343">
            <v>274.10000000000002</v>
          </cell>
        </row>
        <row r="344">
          <cell r="B344">
            <v>6.6400000000000006</v>
          </cell>
          <cell r="C344">
            <v>7.36</v>
          </cell>
          <cell r="F344">
            <v>8.35</v>
          </cell>
          <cell r="H344">
            <v>8.69</v>
          </cell>
          <cell r="I344">
            <v>9.49</v>
          </cell>
          <cell r="AS344">
            <v>279.3</v>
          </cell>
        </row>
        <row r="345">
          <cell r="B345">
            <v>7</v>
          </cell>
          <cell r="C345">
            <v>7.6000000000000005</v>
          </cell>
          <cell r="F345">
            <v>8.4600000000000009</v>
          </cell>
          <cell r="H345">
            <v>8.76</v>
          </cell>
          <cell r="I345">
            <v>9.6</v>
          </cell>
          <cell r="AS345">
            <v>285.10000000000002</v>
          </cell>
        </row>
        <row r="346">
          <cell r="B346">
            <v>6.71</v>
          </cell>
          <cell r="C346">
            <v>7.8100000000000005</v>
          </cell>
          <cell r="F346">
            <v>8.64</v>
          </cell>
          <cell r="H346">
            <v>8.8800000000000008</v>
          </cell>
          <cell r="I346">
            <v>9.6</v>
          </cell>
          <cell r="AS346">
            <v>288.8</v>
          </cell>
        </row>
        <row r="347">
          <cell r="B347">
            <v>7.53</v>
          </cell>
          <cell r="C347">
            <v>8.0400000000000009</v>
          </cell>
          <cell r="F347">
            <v>8.41</v>
          </cell>
          <cell r="H347">
            <v>8.69</v>
          </cell>
          <cell r="I347">
            <v>9.48</v>
          </cell>
          <cell r="AS347">
            <v>292.8</v>
          </cell>
        </row>
        <row r="348">
          <cell r="B348">
            <v>7.7700000000000005</v>
          </cell>
          <cell r="C348">
            <v>8.4499999999999993</v>
          </cell>
          <cell r="F348">
            <v>8.42</v>
          </cell>
          <cell r="H348">
            <v>8.69</v>
          </cell>
          <cell r="I348">
            <v>9.42</v>
          </cell>
          <cell r="AS348">
            <v>296.2</v>
          </cell>
        </row>
        <row r="349">
          <cell r="B349">
            <v>8.73</v>
          </cell>
          <cell r="C349">
            <v>8.9600000000000009</v>
          </cell>
          <cell r="F349">
            <v>8.64</v>
          </cell>
          <cell r="H349">
            <v>8.89</v>
          </cell>
          <cell r="I349">
            <v>9.59</v>
          </cell>
          <cell r="AS349">
            <v>298.8</v>
          </cell>
        </row>
        <row r="350">
          <cell r="B350">
            <v>8.99</v>
          </cell>
          <cell r="C350">
            <v>9.76</v>
          </cell>
          <cell r="F350">
            <v>8.81</v>
          </cell>
          <cell r="H350">
            <v>9.0299999999999994</v>
          </cell>
          <cell r="I350">
            <v>9.83</v>
          </cell>
          <cell r="AS350">
            <v>302.7</v>
          </cell>
        </row>
        <row r="351">
          <cell r="B351">
            <v>9.19</v>
          </cell>
          <cell r="C351">
            <v>10.029999999999999</v>
          </cell>
          <cell r="F351">
            <v>9.01</v>
          </cell>
          <cell r="H351">
            <v>9.16</v>
          </cell>
          <cell r="I351">
            <v>9.94</v>
          </cell>
          <cell r="AS351">
            <v>306.10000000000002</v>
          </cell>
        </row>
        <row r="352">
          <cell r="B352">
            <v>9.2900000000000009</v>
          </cell>
          <cell r="C352">
            <v>10.07</v>
          </cell>
          <cell r="F352">
            <v>9.1</v>
          </cell>
          <cell r="H352">
            <v>9.25</v>
          </cell>
          <cell r="I352">
            <v>10.130000000000001</v>
          </cell>
          <cell r="AS352">
            <v>309.90000000000003</v>
          </cell>
        </row>
        <row r="353">
          <cell r="B353">
            <v>9.42</v>
          </cell>
          <cell r="C353">
            <v>10.06</v>
          </cell>
          <cell r="F353">
            <v>9.1</v>
          </cell>
          <cell r="H353">
            <v>9.26</v>
          </cell>
          <cell r="I353">
            <v>10.08</v>
          </cell>
          <cell r="AS353">
            <v>313.5</v>
          </cell>
        </row>
        <row r="354">
          <cell r="B354">
            <v>9.41</v>
          </cell>
          <cell r="C354">
            <v>10.09</v>
          </cell>
          <cell r="F354">
            <v>9.120000000000001</v>
          </cell>
          <cell r="H354">
            <v>9.370000000000001</v>
          </cell>
          <cell r="I354">
            <v>10.26</v>
          </cell>
          <cell r="AS354">
            <v>317.20000000000005</v>
          </cell>
        </row>
        <row r="355">
          <cell r="B355">
            <v>9.5299999999999994</v>
          </cell>
          <cell r="C355">
            <v>10.01</v>
          </cell>
          <cell r="F355">
            <v>9.18</v>
          </cell>
          <cell r="H355">
            <v>9.3800000000000008</v>
          </cell>
          <cell r="I355">
            <v>10.33</v>
          </cell>
          <cell r="AS355">
            <v>320.90000000000003</v>
          </cell>
        </row>
        <row r="356">
          <cell r="B356">
            <v>9.58</v>
          </cell>
          <cell r="C356">
            <v>10.24</v>
          </cell>
          <cell r="F356">
            <v>9.25</v>
          </cell>
          <cell r="H356">
            <v>9.5</v>
          </cell>
          <cell r="I356">
            <v>10.47</v>
          </cell>
          <cell r="AS356">
            <v>325.20000000000005</v>
          </cell>
        </row>
        <row r="357">
          <cell r="B357">
            <v>8.93</v>
          </cell>
          <cell r="C357">
            <v>10.290000000000001</v>
          </cell>
          <cell r="F357">
            <v>8.91</v>
          </cell>
          <cell r="H357">
            <v>9.2900000000000009</v>
          </cell>
          <cell r="I357">
            <v>10.38</v>
          </cell>
          <cell r="AS357">
            <v>328.20000000000005</v>
          </cell>
        </row>
        <row r="358">
          <cell r="B358">
            <v>9.15</v>
          </cell>
          <cell r="C358">
            <v>10.47</v>
          </cell>
          <cell r="F358">
            <v>8.9500000000000011</v>
          </cell>
          <cell r="H358">
            <v>9.2000000000000011</v>
          </cell>
          <cell r="I358">
            <v>10.290000000000001</v>
          </cell>
          <cell r="AS358">
            <v>332</v>
          </cell>
        </row>
        <row r="359">
          <cell r="B359">
            <v>9.74</v>
          </cell>
          <cell r="C359">
            <v>10.94</v>
          </cell>
          <cell r="F359">
            <v>9.0299999999999994</v>
          </cell>
          <cell r="H359">
            <v>9.23</v>
          </cell>
          <cell r="I359">
            <v>10.35</v>
          </cell>
          <cell r="AS359">
            <v>335.8</v>
          </cell>
        </row>
        <row r="360">
          <cell r="B360">
            <v>10.18</v>
          </cell>
          <cell r="C360">
            <v>11.43</v>
          </cell>
          <cell r="F360">
            <v>9.33</v>
          </cell>
          <cell r="H360">
            <v>9.44</v>
          </cell>
          <cell r="I360">
            <v>10.540000000000001</v>
          </cell>
          <cell r="AS360">
            <v>339.40000000000003</v>
          </cell>
        </row>
        <row r="361">
          <cell r="B361">
            <v>12.02</v>
          </cell>
          <cell r="C361">
            <v>13.77</v>
          </cell>
          <cell r="F361">
            <v>10.3</v>
          </cell>
          <cell r="H361">
            <v>10.130000000000001</v>
          </cell>
          <cell r="I361">
            <v>11.4</v>
          </cell>
          <cell r="AS361">
            <v>343.3</v>
          </cell>
        </row>
        <row r="362">
          <cell r="B362">
            <v>11.85</v>
          </cell>
          <cell r="C362">
            <v>13.18</v>
          </cell>
          <cell r="F362">
            <v>10.65</v>
          </cell>
          <cell r="H362">
            <v>10.76</v>
          </cell>
          <cell r="I362">
            <v>11.99</v>
          </cell>
          <cell r="AS362">
            <v>346.40000000000003</v>
          </cell>
        </row>
        <row r="363">
          <cell r="B363">
            <v>12.36</v>
          </cell>
          <cell r="C363">
            <v>13.780000000000001</v>
          </cell>
          <cell r="F363">
            <v>10.39</v>
          </cell>
          <cell r="H363">
            <v>10.74</v>
          </cell>
          <cell r="I363">
            <v>12.06</v>
          </cell>
          <cell r="AS363">
            <v>348.6</v>
          </cell>
        </row>
        <row r="364">
          <cell r="B364">
            <v>11.92</v>
          </cell>
          <cell r="C364">
            <v>13.82</v>
          </cell>
          <cell r="F364">
            <v>10.8</v>
          </cell>
          <cell r="H364">
            <v>11.09</v>
          </cell>
          <cell r="I364">
            <v>12.42</v>
          </cell>
          <cell r="AS364">
            <v>350.5</v>
          </cell>
        </row>
        <row r="365">
          <cell r="B365">
            <v>14.63</v>
          </cell>
          <cell r="C365">
            <v>14.13</v>
          </cell>
          <cell r="F365">
            <v>12.41</v>
          </cell>
          <cell r="H365">
            <v>12.38</v>
          </cell>
          <cell r="I365">
            <v>13.57</v>
          </cell>
          <cell r="AS365">
            <v>353.1</v>
          </cell>
        </row>
        <row r="366">
          <cell r="B366">
            <v>14.35</v>
          </cell>
          <cell r="C366">
            <v>17.190000000000001</v>
          </cell>
          <cell r="F366">
            <v>12.75</v>
          </cell>
          <cell r="H366">
            <v>12.96</v>
          </cell>
          <cell r="I366">
            <v>14.450000000000001</v>
          </cell>
          <cell r="AS366">
            <v>353</v>
          </cell>
        </row>
        <row r="367">
          <cell r="B367">
            <v>10.68</v>
          </cell>
          <cell r="C367">
            <v>17.61</v>
          </cell>
          <cell r="F367">
            <v>11.47</v>
          </cell>
          <cell r="H367">
            <v>12.040000000000001</v>
          </cell>
          <cell r="I367">
            <v>14.19</v>
          </cell>
          <cell r="AS367">
            <v>351.3</v>
          </cell>
        </row>
        <row r="368">
          <cell r="B368">
            <v>7.94</v>
          </cell>
          <cell r="C368">
            <v>10.98</v>
          </cell>
          <cell r="F368">
            <v>10.18</v>
          </cell>
          <cell r="H368">
            <v>10.99</v>
          </cell>
          <cell r="I368">
            <v>13.17</v>
          </cell>
          <cell r="AS368">
            <v>348.6</v>
          </cell>
        </row>
        <row r="369">
          <cell r="B369">
            <v>8.15</v>
          </cell>
          <cell r="C369">
            <v>9.4700000000000006</v>
          </cell>
          <cell r="F369">
            <v>9.7799999999999994</v>
          </cell>
          <cell r="H369">
            <v>10.58</v>
          </cell>
          <cell r="I369">
            <v>12.71</v>
          </cell>
          <cell r="AS369">
            <v>346.70000000000005</v>
          </cell>
        </row>
        <row r="370">
          <cell r="B370">
            <v>8.4</v>
          </cell>
          <cell r="C370">
            <v>9.0299999999999994</v>
          </cell>
          <cell r="F370">
            <v>10.25</v>
          </cell>
          <cell r="H370">
            <v>11.07</v>
          </cell>
          <cell r="I370">
            <v>12.65</v>
          </cell>
          <cell r="AS370">
            <v>347.1</v>
          </cell>
        </row>
        <row r="371">
          <cell r="B371">
            <v>10.120000000000001</v>
          </cell>
          <cell r="C371">
            <v>9.61</v>
          </cell>
          <cell r="F371">
            <v>11.1</v>
          </cell>
          <cell r="H371">
            <v>11.64</v>
          </cell>
          <cell r="I371">
            <v>13.15</v>
          </cell>
          <cell r="AS371">
            <v>347.5</v>
          </cell>
        </row>
        <row r="372">
          <cell r="B372">
            <v>11.5</v>
          </cell>
          <cell r="C372">
            <v>10.870000000000001</v>
          </cell>
          <cell r="F372">
            <v>11.51</v>
          </cell>
          <cell r="H372">
            <v>12.02</v>
          </cell>
          <cell r="I372">
            <v>13.700000000000001</v>
          </cell>
          <cell r="AS372">
            <v>348.20000000000005</v>
          </cell>
        </row>
        <row r="373">
          <cell r="B373">
            <v>13.22</v>
          </cell>
          <cell r="C373">
            <v>12.81</v>
          </cell>
          <cell r="F373">
            <v>11.75</v>
          </cell>
          <cell r="H373">
            <v>12.31</v>
          </cell>
          <cell r="I373">
            <v>14.23</v>
          </cell>
          <cell r="AS373">
            <v>349.6</v>
          </cell>
        </row>
        <row r="374">
          <cell r="B374">
            <v>14.65</v>
          </cell>
          <cell r="C374">
            <v>15.85</v>
          </cell>
          <cell r="F374">
            <v>12.68</v>
          </cell>
          <cell r="H374">
            <v>12.97</v>
          </cell>
          <cell r="I374">
            <v>14.64</v>
          </cell>
          <cell r="AS374">
            <v>350</v>
          </cell>
        </row>
        <row r="375">
          <cell r="B375">
            <v>14.11</v>
          </cell>
          <cell r="C375">
            <v>18.900000000000002</v>
          </cell>
          <cell r="F375">
            <v>12.84</v>
          </cell>
          <cell r="H375">
            <v>13.21</v>
          </cell>
          <cell r="I375">
            <v>15.14</v>
          </cell>
          <cell r="AS375">
            <v>351.90000000000003</v>
          </cell>
        </row>
        <row r="376">
          <cell r="B376">
            <v>14.780000000000001</v>
          </cell>
          <cell r="C376">
            <v>19.080000000000002</v>
          </cell>
          <cell r="F376">
            <v>12.57</v>
          </cell>
          <cell r="H376">
            <v>12.81</v>
          </cell>
          <cell r="I376">
            <v>15.030000000000001</v>
          </cell>
          <cell r="AS376">
            <v>353</v>
          </cell>
        </row>
        <row r="377">
          <cell r="B377">
            <v>14.370000000000001</v>
          </cell>
          <cell r="C377">
            <v>15.93</v>
          </cell>
          <cell r="F377">
            <v>13.19</v>
          </cell>
          <cell r="H377">
            <v>13.35</v>
          </cell>
          <cell r="I377">
            <v>15.370000000000001</v>
          </cell>
          <cell r="AS377">
            <v>354.70000000000005</v>
          </cell>
        </row>
        <row r="378">
          <cell r="B378">
            <v>12.450000000000001</v>
          </cell>
          <cell r="C378">
            <v>14.700000000000001</v>
          </cell>
          <cell r="F378">
            <v>13.120000000000001</v>
          </cell>
          <cell r="H378">
            <v>13.33</v>
          </cell>
          <cell r="I378">
            <v>15.34</v>
          </cell>
          <cell r="AS378">
            <v>357.1</v>
          </cell>
        </row>
        <row r="379">
          <cell r="B379">
            <v>14.36</v>
          </cell>
          <cell r="C379">
            <v>15.72</v>
          </cell>
          <cell r="F379">
            <v>13.68</v>
          </cell>
          <cell r="H379">
            <v>13.88</v>
          </cell>
          <cell r="I379">
            <v>15.56</v>
          </cell>
          <cell r="AS379">
            <v>359.1</v>
          </cell>
        </row>
        <row r="380">
          <cell r="B380">
            <v>15.92</v>
          </cell>
          <cell r="C380">
            <v>18.52</v>
          </cell>
          <cell r="F380">
            <v>14.1</v>
          </cell>
          <cell r="H380">
            <v>14.32</v>
          </cell>
          <cell r="I380">
            <v>15.950000000000001</v>
          </cell>
          <cell r="AS380">
            <v>361.20000000000005</v>
          </cell>
        </row>
        <row r="381">
          <cell r="B381">
            <v>14.120000000000001</v>
          </cell>
          <cell r="C381">
            <v>19.100000000000001</v>
          </cell>
          <cell r="F381">
            <v>13.47</v>
          </cell>
          <cell r="H381">
            <v>13.75</v>
          </cell>
          <cell r="I381">
            <v>15.8</v>
          </cell>
          <cell r="AS381">
            <v>362.70000000000005</v>
          </cell>
        </row>
        <row r="382">
          <cell r="B382">
            <v>15.23</v>
          </cell>
          <cell r="C382">
            <v>19.04</v>
          </cell>
          <cell r="F382">
            <v>14.280000000000001</v>
          </cell>
          <cell r="H382">
            <v>14.38</v>
          </cell>
          <cell r="I382">
            <v>16.170000000000002</v>
          </cell>
          <cell r="AS382">
            <v>364.70000000000005</v>
          </cell>
        </row>
        <row r="383">
          <cell r="B383">
            <v>15.58</v>
          </cell>
          <cell r="C383">
            <v>17.82</v>
          </cell>
          <cell r="F383">
            <v>14.94</v>
          </cell>
          <cell r="H383">
            <v>14.89</v>
          </cell>
          <cell r="I383">
            <v>16.34</v>
          </cell>
          <cell r="AS383">
            <v>365.20000000000005</v>
          </cell>
        </row>
        <row r="384">
          <cell r="B384">
            <v>14.1</v>
          </cell>
          <cell r="C384">
            <v>15.870000000000001</v>
          </cell>
          <cell r="F384">
            <v>15.32</v>
          </cell>
          <cell r="H384">
            <v>15.49</v>
          </cell>
          <cell r="I384">
            <v>16.920000000000002</v>
          </cell>
          <cell r="AS384">
            <v>369.6</v>
          </cell>
        </row>
        <row r="385">
          <cell r="B385">
            <v>13.05</v>
          </cell>
          <cell r="C385">
            <v>15.08</v>
          </cell>
          <cell r="F385">
            <v>15.15</v>
          </cell>
          <cell r="H385">
            <v>15.4</v>
          </cell>
          <cell r="I385">
            <v>17.11</v>
          </cell>
          <cell r="AS385">
            <v>370.5</v>
          </cell>
        </row>
        <row r="386">
          <cell r="B386">
            <v>10.200000000000001</v>
          </cell>
          <cell r="C386">
            <v>13.31</v>
          </cell>
          <cell r="F386">
            <v>13.39</v>
          </cell>
          <cell r="H386">
            <v>14.22</v>
          </cell>
          <cell r="I386">
            <v>16.39</v>
          </cell>
          <cell r="AS386">
            <v>371.8</v>
          </cell>
        </row>
        <row r="387">
          <cell r="B387">
            <v>11.64</v>
          </cell>
          <cell r="C387">
            <v>12.370000000000001</v>
          </cell>
          <cell r="F387">
            <v>13.72</v>
          </cell>
          <cell r="H387">
            <v>14.23</v>
          </cell>
          <cell r="I387">
            <v>16.55</v>
          </cell>
          <cell r="AS387">
            <v>371.3</v>
          </cell>
        </row>
        <row r="388">
          <cell r="B388">
            <v>12.77</v>
          </cell>
          <cell r="C388">
            <v>13.22</v>
          </cell>
          <cell r="F388">
            <v>14.59</v>
          </cell>
          <cell r="H388">
            <v>15.18</v>
          </cell>
          <cell r="I388">
            <v>17.100000000000001</v>
          </cell>
          <cell r="AS388">
            <v>375.20000000000005</v>
          </cell>
        </row>
        <row r="389">
          <cell r="B389">
            <v>12.16</v>
          </cell>
          <cell r="C389">
            <v>14.780000000000001</v>
          </cell>
          <cell r="F389">
            <v>14.43</v>
          </cell>
          <cell r="H389">
            <v>15.27</v>
          </cell>
          <cell r="I389">
            <v>17.18</v>
          </cell>
          <cell r="AS389">
            <v>376.40000000000003</v>
          </cell>
        </row>
        <row r="390">
          <cell r="B390">
            <v>13.44</v>
          </cell>
          <cell r="C390">
            <v>14.68</v>
          </cell>
          <cell r="F390">
            <v>13.86</v>
          </cell>
          <cell r="H390">
            <v>14.58</v>
          </cell>
          <cell r="I390">
            <v>16.82</v>
          </cell>
          <cell r="AS390">
            <v>376.90000000000003</v>
          </cell>
        </row>
        <row r="391">
          <cell r="B391">
            <v>12.36</v>
          </cell>
          <cell r="C391">
            <v>14.94</v>
          </cell>
          <cell r="F391">
            <v>13.870000000000001</v>
          </cell>
          <cell r="H391">
            <v>14.46</v>
          </cell>
          <cell r="I391">
            <v>16.78</v>
          </cell>
          <cell r="AS391">
            <v>378.6</v>
          </cell>
        </row>
        <row r="392">
          <cell r="B392">
            <v>11.540000000000001</v>
          </cell>
          <cell r="C392">
            <v>14.450000000000001</v>
          </cell>
          <cell r="F392">
            <v>13.620000000000001</v>
          </cell>
          <cell r="H392">
            <v>14.26</v>
          </cell>
          <cell r="I392">
            <v>16.64</v>
          </cell>
          <cell r="AS392">
            <v>380.40000000000003</v>
          </cell>
        </row>
        <row r="393">
          <cell r="B393">
            <v>12.75</v>
          </cell>
          <cell r="C393">
            <v>14.15</v>
          </cell>
          <cell r="F393">
            <v>14.3</v>
          </cell>
          <cell r="H393">
            <v>14.81</v>
          </cell>
          <cell r="I393">
            <v>16.920000000000002</v>
          </cell>
          <cell r="AS393">
            <v>382</v>
          </cell>
        </row>
        <row r="394">
          <cell r="B394">
            <v>10.25</v>
          </cell>
          <cell r="C394">
            <v>12.59</v>
          </cell>
          <cell r="F394">
            <v>13.950000000000001</v>
          </cell>
          <cell r="H394">
            <v>14.61</v>
          </cell>
          <cell r="I394">
            <v>16.8</v>
          </cell>
          <cell r="AS394">
            <v>382.40000000000003</v>
          </cell>
        </row>
        <row r="395">
          <cell r="B395">
            <v>8.42</v>
          </cell>
          <cell r="C395">
            <v>10.120000000000001</v>
          </cell>
          <cell r="F395">
            <v>13.06</v>
          </cell>
          <cell r="H395">
            <v>13.71</v>
          </cell>
          <cell r="I395">
            <v>16.32</v>
          </cell>
          <cell r="AS395">
            <v>382.90000000000003</v>
          </cell>
        </row>
        <row r="396">
          <cell r="B396">
            <v>7.5600000000000005</v>
          </cell>
          <cell r="C396">
            <v>10.31</v>
          </cell>
          <cell r="F396">
            <v>12.34</v>
          </cell>
          <cell r="H396">
            <v>12.94</v>
          </cell>
          <cell r="I396">
            <v>15.63</v>
          </cell>
          <cell r="AS396">
            <v>384.40000000000003</v>
          </cell>
        </row>
        <row r="397">
          <cell r="B397">
            <v>7.86</v>
          </cell>
          <cell r="C397">
            <v>9.7100000000000009</v>
          </cell>
          <cell r="F397">
            <v>10.91</v>
          </cell>
          <cell r="H397">
            <v>12.120000000000001</v>
          </cell>
          <cell r="I397">
            <v>14.73</v>
          </cell>
          <cell r="AS397">
            <v>385</v>
          </cell>
        </row>
        <row r="398">
          <cell r="B398">
            <v>8.18</v>
          </cell>
          <cell r="C398">
            <v>9.2000000000000011</v>
          </cell>
          <cell r="F398">
            <v>10.55</v>
          </cell>
          <cell r="H398">
            <v>11.68</v>
          </cell>
          <cell r="I398">
            <v>14.3</v>
          </cell>
          <cell r="AS398">
            <v>386.8</v>
          </cell>
        </row>
        <row r="399">
          <cell r="B399">
            <v>7.9</v>
          </cell>
          <cell r="C399">
            <v>8.9500000000000011</v>
          </cell>
          <cell r="F399">
            <v>10.540000000000001</v>
          </cell>
          <cell r="H399">
            <v>11.83</v>
          </cell>
          <cell r="I399">
            <v>14.14</v>
          </cell>
          <cell r="AS399">
            <v>389.8</v>
          </cell>
        </row>
        <row r="400">
          <cell r="B400">
            <v>8.1</v>
          </cell>
          <cell r="C400">
            <v>8.68</v>
          </cell>
          <cell r="F400">
            <v>10.46</v>
          </cell>
          <cell r="H400">
            <v>11.790000000000001</v>
          </cell>
          <cell r="I400">
            <v>13.94</v>
          </cell>
          <cell r="AS400">
            <v>391.8</v>
          </cell>
        </row>
        <row r="401">
          <cell r="B401">
            <v>7.88</v>
          </cell>
          <cell r="C401">
            <v>8.51</v>
          </cell>
          <cell r="F401">
            <v>10.72</v>
          </cell>
          <cell r="H401">
            <v>12.01</v>
          </cell>
          <cell r="I401">
            <v>13.950000000000001</v>
          </cell>
          <cell r="AS401">
            <v>392.40000000000003</v>
          </cell>
        </row>
        <row r="402">
          <cell r="B402">
            <v>8.61</v>
          </cell>
          <cell r="C402">
            <v>8.77</v>
          </cell>
          <cell r="F402">
            <v>10.51</v>
          </cell>
          <cell r="H402">
            <v>11.73</v>
          </cell>
          <cell r="I402">
            <v>13.61</v>
          </cell>
          <cell r="AS402">
            <v>395.6</v>
          </cell>
        </row>
        <row r="403">
          <cell r="B403">
            <v>8.07</v>
          </cell>
          <cell r="C403">
            <v>8.8000000000000007</v>
          </cell>
          <cell r="F403">
            <v>10.4</v>
          </cell>
          <cell r="H403">
            <v>11.51</v>
          </cell>
          <cell r="I403">
            <v>13.290000000000001</v>
          </cell>
          <cell r="AS403">
            <v>398.40000000000003</v>
          </cell>
        </row>
        <row r="404">
          <cell r="B404">
            <v>8.56</v>
          </cell>
          <cell r="C404">
            <v>8.6300000000000008</v>
          </cell>
          <cell r="F404">
            <v>10.38</v>
          </cell>
          <cell r="H404">
            <v>11.46</v>
          </cell>
          <cell r="I404">
            <v>13.09</v>
          </cell>
          <cell r="AS404">
            <v>400</v>
          </cell>
        </row>
        <row r="405">
          <cell r="B405">
            <v>8.84</v>
          </cell>
          <cell r="C405">
            <v>8.98</v>
          </cell>
          <cell r="F405">
            <v>10.85</v>
          </cell>
          <cell r="H405">
            <v>11.74</v>
          </cell>
          <cell r="I405">
            <v>13.370000000000001</v>
          </cell>
          <cell r="AS405">
            <v>404.8</v>
          </cell>
        </row>
        <row r="406">
          <cell r="B406">
            <v>9.25</v>
          </cell>
          <cell r="C406">
            <v>9.370000000000001</v>
          </cell>
          <cell r="F406">
            <v>11.38</v>
          </cell>
          <cell r="H406">
            <v>12.15</v>
          </cell>
          <cell r="I406">
            <v>13.39</v>
          </cell>
          <cell r="AS406">
            <v>409.5</v>
          </cell>
        </row>
        <row r="407">
          <cell r="B407">
            <v>9.27</v>
          </cell>
          <cell r="C407">
            <v>9.56</v>
          </cell>
          <cell r="F407">
            <v>11.85</v>
          </cell>
          <cell r="H407">
            <v>12.51</v>
          </cell>
          <cell r="I407">
            <v>13.64</v>
          </cell>
          <cell r="AS407">
            <v>414</v>
          </cell>
        </row>
        <row r="408">
          <cell r="B408">
            <v>8.75</v>
          </cell>
          <cell r="C408">
            <v>9.4500000000000011</v>
          </cell>
          <cell r="F408">
            <v>11.65</v>
          </cell>
          <cell r="H408">
            <v>12.370000000000001</v>
          </cell>
          <cell r="I408">
            <v>13.55</v>
          </cell>
          <cell r="AS408">
            <v>417.8</v>
          </cell>
        </row>
        <row r="409">
          <cell r="B409">
            <v>8.4600000000000009</v>
          </cell>
          <cell r="C409">
            <v>9.48</v>
          </cell>
          <cell r="F409">
            <v>11.540000000000001</v>
          </cell>
          <cell r="H409">
            <v>12.25</v>
          </cell>
          <cell r="I409">
            <v>13.46</v>
          </cell>
          <cell r="AS409">
            <v>423.8</v>
          </cell>
        </row>
        <row r="410">
          <cell r="B410">
            <v>8.4700000000000006</v>
          </cell>
          <cell r="C410">
            <v>9.34</v>
          </cell>
          <cell r="F410">
            <v>11.69</v>
          </cell>
          <cell r="H410">
            <v>12.41</v>
          </cell>
          <cell r="I410">
            <v>13.61</v>
          </cell>
          <cell r="AS410">
            <v>430</v>
          </cell>
        </row>
        <row r="411">
          <cell r="B411">
            <v>8.9500000000000011</v>
          </cell>
          <cell r="C411">
            <v>9.4700000000000006</v>
          </cell>
          <cell r="F411">
            <v>11.83</v>
          </cell>
          <cell r="H411">
            <v>12.57</v>
          </cell>
          <cell r="I411">
            <v>13.75</v>
          </cell>
          <cell r="AS411">
            <v>437.1</v>
          </cell>
        </row>
        <row r="412">
          <cell r="B412">
            <v>8.8800000000000008</v>
          </cell>
          <cell r="C412">
            <v>9.56</v>
          </cell>
          <cell r="F412">
            <v>11.67</v>
          </cell>
          <cell r="H412">
            <v>12.200000000000001</v>
          </cell>
          <cell r="I412">
            <v>13.65</v>
          </cell>
          <cell r="AS412">
            <v>442</v>
          </cell>
        </row>
        <row r="413">
          <cell r="B413">
            <v>9.1300000000000008</v>
          </cell>
          <cell r="C413">
            <v>9.59</v>
          </cell>
          <cell r="F413">
            <v>11.84</v>
          </cell>
          <cell r="H413">
            <v>12.08</v>
          </cell>
          <cell r="I413">
            <v>13.59</v>
          </cell>
          <cell r="AS413">
            <v>451.90000000000003</v>
          </cell>
        </row>
        <row r="414">
          <cell r="B414">
            <v>9.7000000000000011</v>
          </cell>
          <cell r="C414">
            <v>9.91</v>
          </cell>
          <cell r="F414">
            <v>12.32</v>
          </cell>
          <cell r="H414">
            <v>12.57</v>
          </cell>
          <cell r="I414">
            <v>13.99</v>
          </cell>
          <cell r="AS414">
            <v>456.6</v>
          </cell>
        </row>
        <row r="415">
          <cell r="B415">
            <v>9.7200000000000006</v>
          </cell>
          <cell r="C415">
            <v>10.290000000000001</v>
          </cell>
          <cell r="F415">
            <v>12.63</v>
          </cell>
          <cell r="H415">
            <v>12.81</v>
          </cell>
          <cell r="I415">
            <v>14.31</v>
          </cell>
          <cell r="AS415">
            <v>462.1</v>
          </cell>
        </row>
        <row r="416">
          <cell r="B416">
            <v>9.74</v>
          </cell>
          <cell r="C416">
            <v>10.32</v>
          </cell>
          <cell r="F416">
            <v>13.41</v>
          </cell>
          <cell r="H416">
            <v>13.280000000000001</v>
          </cell>
          <cell r="I416">
            <v>14.74</v>
          </cell>
          <cell r="AS416">
            <v>472.40000000000003</v>
          </cell>
        </row>
        <row r="417">
          <cell r="B417">
            <v>9.9</v>
          </cell>
          <cell r="C417">
            <v>11.06</v>
          </cell>
          <cell r="F417">
            <v>13.56</v>
          </cell>
          <cell r="H417">
            <v>13.55</v>
          </cell>
          <cell r="I417">
            <v>15.05</v>
          </cell>
          <cell r="AS417">
            <v>481</v>
          </cell>
        </row>
        <row r="418">
          <cell r="B418">
            <v>10.4</v>
          </cell>
          <cell r="C418">
            <v>11.23</v>
          </cell>
          <cell r="F418">
            <v>13.36</v>
          </cell>
          <cell r="H418">
            <v>13.44</v>
          </cell>
          <cell r="I418">
            <v>15.15</v>
          </cell>
          <cell r="AS418">
            <v>487.1</v>
          </cell>
        </row>
        <row r="419">
          <cell r="B419">
            <v>10.71</v>
          </cell>
          <cell r="C419">
            <v>11.64</v>
          </cell>
          <cell r="F419">
            <v>12.72</v>
          </cell>
          <cell r="H419">
            <v>12.870000000000001</v>
          </cell>
          <cell r="I419">
            <v>14.63</v>
          </cell>
          <cell r="AS419">
            <v>494.1</v>
          </cell>
        </row>
        <row r="420">
          <cell r="B420">
            <v>10.220000000000001</v>
          </cell>
          <cell r="C420">
            <v>11.3</v>
          </cell>
          <cell r="F420">
            <v>12.52</v>
          </cell>
          <cell r="H420">
            <v>12.66</v>
          </cell>
          <cell r="I420">
            <v>14.35</v>
          </cell>
          <cell r="AS420">
            <v>498.5</v>
          </cell>
        </row>
        <row r="421">
          <cell r="B421">
            <v>8.99</v>
          </cell>
          <cell r="C421">
            <v>9.99</v>
          </cell>
          <cell r="F421">
            <v>12.16</v>
          </cell>
          <cell r="H421">
            <v>12.63</v>
          </cell>
          <cell r="I421">
            <v>13.94</v>
          </cell>
          <cell r="AS421">
            <v>504.70000000000005</v>
          </cell>
        </row>
        <row r="422">
          <cell r="B422">
            <v>8.42</v>
          </cell>
          <cell r="C422">
            <v>9.43</v>
          </cell>
          <cell r="F422">
            <v>11.57</v>
          </cell>
          <cell r="H422">
            <v>12.290000000000001</v>
          </cell>
          <cell r="I422">
            <v>13.48</v>
          </cell>
          <cell r="AS422">
            <v>510.20000000000005</v>
          </cell>
        </row>
        <row r="423">
          <cell r="B423">
            <v>7.84</v>
          </cell>
          <cell r="C423">
            <v>8.3800000000000008</v>
          </cell>
          <cell r="F423">
            <v>11.5</v>
          </cell>
          <cell r="H423">
            <v>12.13</v>
          </cell>
          <cell r="I423">
            <v>13.4</v>
          </cell>
          <cell r="AS423">
            <v>517.30000000000007</v>
          </cell>
        </row>
        <row r="424">
          <cell r="B424">
            <v>8.02</v>
          </cell>
          <cell r="C424">
            <v>8.35</v>
          </cell>
          <cell r="F424">
            <v>11.38</v>
          </cell>
          <cell r="H424">
            <v>12.08</v>
          </cell>
          <cell r="I424">
            <v>13.26</v>
          </cell>
          <cell r="AS424">
            <v>524</v>
          </cell>
        </row>
        <row r="425">
          <cell r="B425">
            <v>8.4600000000000009</v>
          </cell>
          <cell r="C425">
            <v>8.5</v>
          </cell>
          <cell r="F425">
            <v>11.51</v>
          </cell>
          <cell r="H425">
            <v>12.13</v>
          </cell>
          <cell r="I425">
            <v>13.23</v>
          </cell>
          <cell r="AS425">
            <v>532.4</v>
          </cell>
        </row>
        <row r="426">
          <cell r="B426">
            <v>8.15</v>
          </cell>
          <cell r="C426">
            <v>8.58</v>
          </cell>
          <cell r="F426">
            <v>11.86</v>
          </cell>
          <cell r="H426">
            <v>12.56</v>
          </cell>
          <cell r="I426">
            <v>13.69</v>
          </cell>
          <cell r="AS426">
            <v>541.80000000000007</v>
          </cell>
        </row>
        <row r="427">
          <cell r="B427">
            <v>7.83</v>
          </cell>
          <cell r="C427">
            <v>8.27</v>
          </cell>
          <cell r="F427">
            <v>11.43</v>
          </cell>
          <cell r="H427">
            <v>12.23</v>
          </cell>
          <cell r="I427">
            <v>13.51</v>
          </cell>
          <cell r="AS427">
            <v>549.30000000000007</v>
          </cell>
        </row>
        <row r="428">
          <cell r="B428">
            <v>7.17</v>
          </cell>
          <cell r="C428">
            <v>7.97</v>
          </cell>
          <cell r="F428">
            <v>10.85</v>
          </cell>
          <cell r="H428">
            <v>11.72</v>
          </cell>
          <cell r="I428">
            <v>13.15</v>
          </cell>
          <cell r="AS428">
            <v>555.80000000000007</v>
          </cell>
        </row>
        <row r="429">
          <cell r="B429">
            <v>6.83</v>
          </cell>
          <cell r="C429">
            <v>7.53</v>
          </cell>
          <cell r="F429">
            <v>10.16</v>
          </cell>
          <cell r="H429">
            <v>10.94</v>
          </cell>
          <cell r="I429">
            <v>12.4</v>
          </cell>
          <cell r="AS429">
            <v>561.20000000000005</v>
          </cell>
        </row>
        <row r="430">
          <cell r="B430">
            <v>7.25</v>
          </cell>
          <cell r="C430">
            <v>7.88</v>
          </cell>
          <cell r="F430">
            <v>10.31</v>
          </cell>
          <cell r="H430">
            <v>10.97</v>
          </cell>
          <cell r="I430">
            <v>12.43</v>
          </cell>
          <cell r="AS430">
            <v>567.70000000000005</v>
          </cell>
        </row>
        <row r="431">
          <cell r="B431">
            <v>7.37</v>
          </cell>
          <cell r="C431">
            <v>7.9</v>
          </cell>
          <cell r="F431">
            <v>10.33</v>
          </cell>
          <cell r="H431">
            <v>11.05</v>
          </cell>
          <cell r="I431">
            <v>12.5</v>
          </cell>
          <cell r="AS431">
            <v>573.30000000000007</v>
          </cell>
        </row>
        <row r="432">
          <cell r="B432">
            <v>7.26</v>
          </cell>
          <cell r="C432">
            <v>7.92</v>
          </cell>
          <cell r="F432">
            <v>10.370000000000001</v>
          </cell>
          <cell r="H432">
            <v>11.07</v>
          </cell>
          <cell r="I432">
            <v>12.48</v>
          </cell>
          <cell r="AS432">
            <v>582.1</v>
          </cell>
        </row>
        <row r="433">
          <cell r="B433">
            <v>7.41</v>
          </cell>
          <cell r="C433">
            <v>7.99</v>
          </cell>
          <cell r="F433">
            <v>10.24</v>
          </cell>
          <cell r="H433">
            <v>11.02</v>
          </cell>
          <cell r="I433">
            <v>12.36</v>
          </cell>
          <cell r="AS433">
            <v>588.30000000000007</v>
          </cell>
        </row>
        <row r="434">
          <cell r="B434">
            <v>7.3900000000000006</v>
          </cell>
          <cell r="C434">
            <v>8.0500000000000007</v>
          </cell>
          <cell r="F434">
            <v>9.7799999999999994</v>
          </cell>
          <cell r="H434">
            <v>10.55</v>
          </cell>
          <cell r="I434">
            <v>11.99</v>
          </cell>
          <cell r="AS434">
            <v>594.5</v>
          </cell>
        </row>
        <row r="435">
          <cell r="B435">
            <v>7.26</v>
          </cell>
          <cell r="C435">
            <v>8.27</v>
          </cell>
          <cell r="F435">
            <v>9.26</v>
          </cell>
          <cell r="H435">
            <v>10.16</v>
          </cell>
          <cell r="I435">
            <v>11.58</v>
          </cell>
          <cell r="AS435">
            <v>599.70000000000005</v>
          </cell>
        </row>
        <row r="436">
          <cell r="B436">
            <v>7.16</v>
          </cell>
          <cell r="C436">
            <v>8.14</v>
          </cell>
          <cell r="F436">
            <v>9.19</v>
          </cell>
          <cell r="H436">
            <v>10.050000000000001</v>
          </cell>
          <cell r="I436">
            <v>11.44</v>
          </cell>
          <cell r="AS436">
            <v>605.70000000000005</v>
          </cell>
        </row>
        <row r="437">
          <cell r="B437">
            <v>7.24</v>
          </cell>
          <cell r="C437">
            <v>7.86</v>
          </cell>
          <cell r="F437">
            <v>8.7000000000000011</v>
          </cell>
          <cell r="H437">
            <v>9.67</v>
          </cell>
          <cell r="I437">
            <v>11.11</v>
          </cell>
          <cell r="AS437">
            <v>610.70000000000005</v>
          </cell>
        </row>
        <row r="438">
          <cell r="B438">
            <v>6.54</v>
          </cell>
          <cell r="C438">
            <v>7.48</v>
          </cell>
          <cell r="F438">
            <v>7.78</v>
          </cell>
          <cell r="H438">
            <v>9</v>
          </cell>
          <cell r="I438">
            <v>10.5</v>
          </cell>
          <cell r="AS438">
            <v>613.4</v>
          </cell>
        </row>
        <row r="439">
          <cell r="B439">
            <v>6.2700000000000005</v>
          </cell>
          <cell r="C439">
            <v>6.99</v>
          </cell>
          <cell r="F439">
            <v>7.3</v>
          </cell>
          <cell r="H439">
            <v>8.7900000000000009</v>
          </cell>
          <cell r="I439">
            <v>10.19</v>
          </cell>
          <cell r="AS439">
            <v>619.70000000000005</v>
          </cell>
        </row>
        <row r="440">
          <cell r="B440">
            <v>6.28</v>
          </cell>
          <cell r="C440">
            <v>6.8500000000000005</v>
          </cell>
          <cell r="F440">
            <v>7.71</v>
          </cell>
          <cell r="H440">
            <v>9.09</v>
          </cell>
          <cell r="I440">
            <v>10.290000000000001</v>
          </cell>
          <cell r="AS440">
            <v>625.80000000000007</v>
          </cell>
        </row>
        <row r="441">
          <cell r="B441">
            <v>6.12</v>
          </cell>
          <cell r="C441">
            <v>6.92</v>
          </cell>
          <cell r="F441">
            <v>7.8</v>
          </cell>
          <cell r="H441">
            <v>9.1300000000000008</v>
          </cell>
          <cell r="I441">
            <v>10.34</v>
          </cell>
          <cell r="AS441">
            <v>630.1</v>
          </cell>
        </row>
        <row r="442">
          <cell r="B442">
            <v>5.96</v>
          </cell>
          <cell r="C442">
            <v>6.5600000000000005</v>
          </cell>
          <cell r="F442">
            <v>7.3</v>
          </cell>
          <cell r="H442">
            <v>8.8800000000000008</v>
          </cell>
          <cell r="I442">
            <v>10.16</v>
          </cell>
          <cell r="AS442">
            <v>635.20000000000005</v>
          </cell>
        </row>
        <row r="443">
          <cell r="B443">
            <v>5.32</v>
          </cell>
          <cell r="C443">
            <v>6.17</v>
          </cell>
          <cell r="F443">
            <v>7.17</v>
          </cell>
          <cell r="H443">
            <v>8.7200000000000006</v>
          </cell>
          <cell r="I443">
            <v>10.18</v>
          </cell>
          <cell r="AS443">
            <v>638.90000000000009</v>
          </cell>
        </row>
        <row r="444">
          <cell r="B444">
            <v>5.33</v>
          </cell>
          <cell r="C444">
            <v>5.89</v>
          </cell>
          <cell r="F444">
            <v>7.45</v>
          </cell>
          <cell r="H444">
            <v>8.89</v>
          </cell>
          <cell r="I444">
            <v>10.200000000000001</v>
          </cell>
          <cell r="AS444">
            <v>646</v>
          </cell>
        </row>
        <row r="445">
          <cell r="B445">
            <v>5.34</v>
          </cell>
          <cell r="C445">
            <v>5.8500000000000005</v>
          </cell>
          <cell r="F445">
            <v>7.43</v>
          </cell>
          <cell r="H445">
            <v>8.86</v>
          </cell>
          <cell r="I445">
            <v>10.24</v>
          </cell>
          <cell r="AS445">
            <v>653.80000000000007</v>
          </cell>
        </row>
        <row r="446">
          <cell r="B446">
            <v>5.53</v>
          </cell>
          <cell r="C446">
            <v>6.04</v>
          </cell>
          <cell r="F446">
            <v>7.25</v>
          </cell>
          <cell r="H446">
            <v>8.68</v>
          </cell>
          <cell r="I446">
            <v>10.07</v>
          </cell>
          <cell r="AS446">
            <v>653.80000000000007</v>
          </cell>
        </row>
        <row r="447">
          <cell r="B447">
            <v>5.84</v>
          </cell>
          <cell r="C447">
            <v>6.91</v>
          </cell>
          <cell r="F447">
            <v>7.11</v>
          </cell>
          <cell r="H447">
            <v>8.49</v>
          </cell>
          <cell r="I447">
            <v>9.9700000000000006</v>
          </cell>
          <cell r="AS447">
            <v>654.80000000000007</v>
          </cell>
        </row>
        <row r="448">
          <cell r="B448">
            <v>5.74</v>
          </cell>
          <cell r="C448">
            <v>6.43</v>
          </cell>
          <cell r="F448">
            <v>7.08</v>
          </cell>
          <cell r="H448">
            <v>8.36</v>
          </cell>
          <cell r="I448">
            <v>9.7200000000000006</v>
          </cell>
          <cell r="AS448">
            <v>653.30000000000007</v>
          </cell>
        </row>
        <row r="449">
          <cell r="B449">
            <v>5.6000000000000005</v>
          </cell>
          <cell r="C449">
            <v>6.1000000000000005</v>
          </cell>
          <cell r="F449">
            <v>7.25</v>
          </cell>
          <cell r="H449">
            <v>8.3800000000000008</v>
          </cell>
          <cell r="I449">
            <v>9.65</v>
          </cell>
          <cell r="AS449">
            <v>652.5</v>
          </cell>
        </row>
        <row r="450">
          <cell r="B450">
            <v>5.79</v>
          </cell>
          <cell r="C450">
            <v>6.13</v>
          </cell>
          <cell r="F450">
            <v>7.25</v>
          </cell>
          <cell r="H450">
            <v>8.36</v>
          </cell>
          <cell r="I450">
            <v>9.61</v>
          </cell>
          <cell r="AS450">
            <v>651.20000000000005</v>
          </cell>
        </row>
        <row r="451">
          <cell r="B451">
            <v>5.66</v>
          </cell>
          <cell r="C451">
            <v>6.37</v>
          </cell>
          <cell r="F451">
            <v>8.02</v>
          </cell>
          <cell r="H451">
            <v>8.85</v>
          </cell>
          <cell r="I451">
            <v>10.040000000000001</v>
          </cell>
          <cell r="AS451">
            <v>656.40000000000009</v>
          </cell>
        </row>
        <row r="452">
          <cell r="B452">
            <v>5.8100000000000005</v>
          </cell>
          <cell r="C452">
            <v>6.8500000000000005</v>
          </cell>
          <cell r="F452">
            <v>8.61</v>
          </cell>
          <cell r="H452">
            <v>9.33</v>
          </cell>
          <cell r="I452">
            <v>10.51</v>
          </cell>
          <cell r="AS452">
            <v>658.5</v>
          </cell>
        </row>
        <row r="453">
          <cell r="B453">
            <v>5.89</v>
          </cell>
          <cell r="C453">
            <v>6.73</v>
          </cell>
          <cell r="F453">
            <v>8.4</v>
          </cell>
          <cell r="H453">
            <v>9.32</v>
          </cell>
          <cell r="I453">
            <v>10.52</v>
          </cell>
          <cell r="AS453">
            <v>662.90000000000009</v>
          </cell>
        </row>
        <row r="454">
          <cell r="B454">
            <v>6.0600000000000005</v>
          </cell>
          <cell r="C454">
            <v>6.58</v>
          </cell>
          <cell r="F454">
            <v>8.4499999999999993</v>
          </cell>
          <cell r="H454">
            <v>9.42</v>
          </cell>
          <cell r="I454">
            <v>10.61</v>
          </cell>
          <cell r="AS454">
            <v>667.7</v>
          </cell>
        </row>
        <row r="455">
          <cell r="B455">
            <v>6.48</v>
          </cell>
          <cell r="C455">
            <v>6.73</v>
          </cell>
          <cell r="F455">
            <v>8.76</v>
          </cell>
          <cell r="H455">
            <v>9.67</v>
          </cell>
          <cell r="I455">
            <v>10.8</v>
          </cell>
          <cell r="AS455">
            <v>672.2</v>
          </cell>
        </row>
        <row r="456">
          <cell r="B456">
            <v>6.8100000000000005</v>
          </cell>
          <cell r="C456">
            <v>7.22</v>
          </cell>
          <cell r="F456">
            <v>9.42</v>
          </cell>
          <cell r="H456">
            <v>10.18</v>
          </cell>
          <cell r="I456">
            <v>11.31</v>
          </cell>
          <cell r="AS456">
            <v>676.2</v>
          </cell>
        </row>
        <row r="457">
          <cell r="B457">
            <v>5.18</v>
          </cell>
          <cell r="C457">
            <v>7.29</v>
          </cell>
          <cell r="F457">
            <v>9.52</v>
          </cell>
          <cell r="H457">
            <v>10.52</v>
          </cell>
          <cell r="I457">
            <v>11.620000000000001</v>
          </cell>
          <cell r="AS457">
            <v>681.2</v>
          </cell>
        </row>
        <row r="458">
          <cell r="B458">
            <v>5.39</v>
          </cell>
          <cell r="C458">
            <v>6.69</v>
          </cell>
          <cell r="F458">
            <v>8.86</v>
          </cell>
          <cell r="H458">
            <v>10.01</v>
          </cell>
          <cell r="I458">
            <v>11.23</v>
          </cell>
          <cell r="AS458">
            <v>684.7</v>
          </cell>
        </row>
        <row r="459">
          <cell r="B459">
            <v>5.8500000000000005</v>
          </cell>
          <cell r="C459">
            <v>6.7700000000000005</v>
          </cell>
          <cell r="F459">
            <v>8.99</v>
          </cell>
          <cell r="H459">
            <v>10.11</v>
          </cell>
          <cell r="I459">
            <v>11.290000000000001</v>
          </cell>
          <cell r="AS459">
            <v>686.30000000000007</v>
          </cell>
        </row>
        <row r="460">
          <cell r="B460">
            <v>5.8100000000000005</v>
          </cell>
          <cell r="C460">
            <v>6.83</v>
          </cell>
          <cell r="F460">
            <v>8.67</v>
          </cell>
          <cell r="H460">
            <v>9.8800000000000008</v>
          </cell>
          <cell r="I460">
            <v>11.07</v>
          </cell>
          <cell r="AS460">
            <v>692.30000000000007</v>
          </cell>
        </row>
        <row r="461">
          <cell r="B461">
            <v>5.78</v>
          </cell>
          <cell r="C461">
            <v>6.58</v>
          </cell>
          <cell r="F461">
            <v>8.2100000000000009</v>
          </cell>
          <cell r="H461">
            <v>9.4</v>
          </cell>
          <cell r="I461">
            <v>10.620000000000001</v>
          </cell>
          <cell r="AS461">
            <v>696.40000000000009</v>
          </cell>
        </row>
        <row r="462">
          <cell r="B462">
            <v>5.89</v>
          </cell>
          <cell r="C462">
            <v>6.58</v>
          </cell>
          <cell r="F462">
            <v>8.370000000000001</v>
          </cell>
          <cell r="H462">
            <v>9.39</v>
          </cell>
          <cell r="I462">
            <v>10.57</v>
          </cell>
          <cell r="AS462">
            <v>700.7</v>
          </cell>
        </row>
        <row r="463">
          <cell r="B463">
            <v>6.17</v>
          </cell>
          <cell r="C463">
            <v>6.87</v>
          </cell>
          <cell r="F463">
            <v>8.7200000000000006</v>
          </cell>
          <cell r="H463">
            <v>9.67</v>
          </cell>
          <cell r="I463">
            <v>10.9</v>
          </cell>
          <cell r="AS463">
            <v>705.90000000000009</v>
          </cell>
        </row>
        <row r="464">
          <cell r="B464">
            <v>6.62</v>
          </cell>
          <cell r="C464">
            <v>7.09</v>
          </cell>
          <cell r="F464">
            <v>9.09</v>
          </cell>
          <cell r="H464">
            <v>9.9</v>
          </cell>
          <cell r="I464">
            <v>11.040000000000001</v>
          </cell>
          <cell r="AS464">
            <v>710</v>
          </cell>
        </row>
        <row r="465">
          <cell r="B465">
            <v>6.75</v>
          </cell>
          <cell r="C465">
            <v>7.51</v>
          </cell>
          <cell r="F465">
            <v>8.92</v>
          </cell>
          <cell r="H465">
            <v>9.86</v>
          </cell>
          <cell r="I465">
            <v>11</v>
          </cell>
          <cell r="AS465">
            <v>713.2</v>
          </cell>
        </row>
        <row r="466">
          <cell r="B466">
            <v>7.17</v>
          </cell>
          <cell r="C466">
            <v>7.75</v>
          </cell>
          <cell r="F466">
            <v>9.06</v>
          </cell>
          <cell r="H466">
            <v>9.9600000000000009</v>
          </cell>
          <cell r="I466">
            <v>11.11</v>
          </cell>
          <cell r="AS466">
            <v>716.1</v>
          </cell>
        </row>
        <row r="467">
          <cell r="B467">
            <v>7.54</v>
          </cell>
          <cell r="C467">
            <v>8.01</v>
          </cell>
          <cell r="F467">
            <v>9.26</v>
          </cell>
          <cell r="H467">
            <v>10.11</v>
          </cell>
          <cell r="I467">
            <v>11.21</v>
          </cell>
          <cell r="AS467">
            <v>721.5</v>
          </cell>
        </row>
        <row r="468">
          <cell r="B468">
            <v>7.49</v>
          </cell>
          <cell r="C468">
            <v>8.19</v>
          </cell>
          <cell r="F468">
            <v>8.98</v>
          </cell>
          <cell r="H468">
            <v>9.82</v>
          </cell>
          <cell r="I468">
            <v>10.9</v>
          </cell>
          <cell r="AS468">
            <v>722.90000000000009</v>
          </cell>
        </row>
        <row r="469">
          <cell r="B469">
            <v>7.61</v>
          </cell>
          <cell r="C469">
            <v>8.3000000000000007</v>
          </cell>
          <cell r="F469">
            <v>8.8000000000000007</v>
          </cell>
          <cell r="H469">
            <v>9.51</v>
          </cell>
          <cell r="I469">
            <v>10.41</v>
          </cell>
          <cell r="AS469">
            <v>726.1</v>
          </cell>
        </row>
        <row r="470">
          <cell r="B470">
            <v>8.09</v>
          </cell>
          <cell r="C470">
            <v>8.35</v>
          </cell>
          <cell r="F470">
            <v>8.9600000000000009</v>
          </cell>
          <cell r="H470">
            <v>9.4500000000000011</v>
          </cell>
          <cell r="I470">
            <v>10.48</v>
          </cell>
          <cell r="AS470">
            <v>729.7</v>
          </cell>
        </row>
        <row r="471">
          <cell r="B471">
            <v>8.39</v>
          </cell>
          <cell r="C471">
            <v>8.76</v>
          </cell>
          <cell r="F471">
            <v>9.11</v>
          </cell>
          <cell r="H471">
            <v>9.57</v>
          </cell>
          <cell r="I471">
            <v>10.65</v>
          </cell>
          <cell r="AS471">
            <v>731.90000000000009</v>
          </cell>
        </row>
        <row r="472">
          <cell r="B472">
            <v>8.68</v>
          </cell>
          <cell r="C472">
            <v>9.120000000000001</v>
          </cell>
          <cell r="F472">
            <v>9.09</v>
          </cell>
          <cell r="H472">
            <v>9.620000000000001</v>
          </cell>
          <cell r="I472">
            <v>10.65</v>
          </cell>
          <cell r="AS472">
            <v>749</v>
          </cell>
        </row>
        <row r="473">
          <cell r="B473">
            <v>9.02</v>
          </cell>
          <cell r="C473">
            <v>9.36</v>
          </cell>
          <cell r="F473">
            <v>9.17</v>
          </cell>
          <cell r="H473">
            <v>9.64</v>
          </cell>
          <cell r="I473">
            <v>10.61</v>
          </cell>
          <cell r="AS473">
            <v>752.90000000000009</v>
          </cell>
        </row>
        <row r="474">
          <cell r="B474">
            <v>9.2000000000000011</v>
          </cell>
          <cell r="C474">
            <v>9.85</v>
          </cell>
          <cell r="F474">
            <v>9.36</v>
          </cell>
          <cell r="H474">
            <v>9.8000000000000007</v>
          </cell>
          <cell r="I474">
            <v>10.67</v>
          </cell>
          <cell r="AS474">
            <v>760</v>
          </cell>
        </row>
        <row r="475">
          <cell r="B475">
            <v>8.7000000000000011</v>
          </cell>
          <cell r="C475">
            <v>9.84</v>
          </cell>
          <cell r="F475">
            <v>9.18</v>
          </cell>
          <cell r="H475">
            <v>9.7900000000000009</v>
          </cell>
          <cell r="I475">
            <v>10.61</v>
          </cell>
          <cell r="AS475">
            <v>764.7</v>
          </cell>
        </row>
        <row r="476">
          <cell r="B476">
            <v>8.93</v>
          </cell>
          <cell r="C476">
            <v>9.81</v>
          </cell>
          <cell r="F476">
            <v>8.86</v>
          </cell>
          <cell r="H476">
            <v>9.57</v>
          </cell>
          <cell r="I476">
            <v>10.46</v>
          </cell>
          <cell r="AS476">
            <v>769.30000000000007</v>
          </cell>
        </row>
        <row r="477">
          <cell r="B477">
            <v>8.26</v>
          </cell>
          <cell r="C477">
            <v>9.5299999999999994</v>
          </cell>
          <cell r="F477">
            <v>8.2799999999999994</v>
          </cell>
          <cell r="H477">
            <v>9.1</v>
          </cell>
          <cell r="I477">
            <v>10.029999999999999</v>
          </cell>
          <cell r="AS477">
            <v>773.2</v>
          </cell>
        </row>
        <row r="478">
          <cell r="B478">
            <v>8.0500000000000007</v>
          </cell>
          <cell r="C478">
            <v>9.24</v>
          </cell>
          <cell r="F478">
            <v>8.02</v>
          </cell>
          <cell r="H478">
            <v>8.93</v>
          </cell>
          <cell r="I478">
            <v>9.870000000000001</v>
          </cell>
          <cell r="AS478">
            <v>776.30000000000007</v>
          </cell>
        </row>
        <row r="479">
          <cell r="B479">
            <v>8.17</v>
          </cell>
          <cell r="C479">
            <v>8.99</v>
          </cell>
          <cell r="F479">
            <v>8.11</v>
          </cell>
          <cell r="H479">
            <v>8.9600000000000009</v>
          </cell>
          <cell r="I479">
            <v>9.8800000000000008</v>
          </cell>
          <cell r="AS479">
            <v>778.90000000000009</v>
          </cell>
        </row>
        <row r="480">
          <cell r="B480">
            <v>8.14</v>
          </cell>
          <cell r="C480">
            <v>9.02</v>
          </cell>
          <cell r="F480">
            <v>8.19</v>
          </cell>
          <cell r="H480">
            <v>9.01</v>
          </cell>
          <cell r="I480">
            <v>9.91</v>
          </cell>
          <cell r="AS480">
            <v>781.80000000000007</v>
          </cell>
        </row>
        <row r="481">
          <cell r="B481">
            <v>8.0400000000000009</v>
          </cell>
          <cell r="C481">
            <v>8.84</v>
          </cell>
          <cell r="F481">
            <v>8.01</v>
          </cell>
          <cell r="H481">
            <v>8.92</v>
          </cell>
          <cell r="I481">
            <v>9.81</v>
          </cell>
          <cell r="AS481">
            <v>785.5</v>
          </cell>
        </row>
        <row r="482">
          <cell r="B482">
            <v>7.8500000000000005</v>
          </cell>
          <cell r="C482">
            <v>8.5500000000000007</v>
          </cell>
          <cell r="F482">
            <v>7.87</v>
          </cell>
          <cell r="H482">
            <v>8.89</v>
          </cell>
          <cell r="I482">
            <v>9.81</v>
          </cell>
          <cell r="AS482">
            <v>790.30000000000007</v>
          </cell>
        </row>
        <row r="483">
          <cell r="B483">
            <v>7.8500000000000005</v>
          </cell>
          <cell r="C483">
            <v>8.4499999999999993</v>
          </cell>
          <cell r="F483">
            <v>7.84</v>
          </cell>
          <cell r="H483">
            <v>8.86</v>
          </cell>
          <cell r="I483">
            <v>9.82</v>
          </cell>
          <cell r="AS483">
            <v>794.6</v>
          </cell>
        </row>
        <row r="484">
          <cell r="B484">
            <v>8</v>
          </cell>
          <cell r="C484">
            <v>8.23</v>
          </cell>
          <cell r="F484">
            <v>8.2100000000000009</v>
          </cell>
          <cell r="H484">
            <v>8.99</v>
          </cell>
          <cell r="I484">
            <v>9.94</v>
          </cell>
          <cell r="AS484">
            <v>797.7</v>
          </cell>
        </row>
        <row r="485">
          <cell r="B485">
            <v>8.0500000000000007</v>
          </cell>
          <cell r="C485">
            <v>8.24</v>
          </cell>
          <cell r="F485">
            <v>8.4700000000000006</v>
          </cell>
          <cell r="H485">
            <v>9.2200000000000006</v>
          </cell>
          <cell r="I485">
            <v>10.14</v>
          </cell>
          <cell r="AS485">
            <v>798.80000000000007</v>
          </cell>
        </row>
        <row r="486">
          <cell r="B486">
            <v>8.0500000000000007</v>
          </cell>
          <cell r="C486">
            <v>8.2799999999999994</v>
          </cell>
          <cell r="F486">
            <v>8.59</v>
          </cell>
          <cell r="H486">
            <v>9.370000000000001</v>
          </cell>
          <cell r="I486">
            <v>10.210000000000001</v>
          </cell>
          <cell r="AS486">
            <v>798.7</v>
          </cell>
        </row>
        <row r="487">
          <cell r="B487">
            <v>8.0500000000000007</v>
          </cell>
          <cell r="C487">
            <v>8.26</v>
          </cell>
          <cell r="F487">
            <v>8.7900000000000009</v>
          </cell>
          <cell r="H487">
            <v>9.4600000000000009</v>
          </cell>
          <cell r="I487">
            <v>10.3</v>
          </cell>
          <cell r="AS487">
            <v>798.7</v>
          </cell>
        </row>
        <row r="488">
          <cell r="B488">
            <v>8.01</v>
          </cell>
          <cell r="C488">
            <v>8.18</v>
          </cell>
          <cell r="F488">
            <v>8.76</v>
          </cell>
          <cell r="H488">
            <v>9.4700000000000006</v>
          </cell>
          <cell r="I488">
            <v>10.41</v>
          </cell>
          <cell r="AS488">
            <v>799.80000000000007</v>
          </cell>
        </row>
        <row r="489">
          <cell r="B489">
            <v>8</v>
          </cell>
          <cell r="C489">
            <v>8.2900000000000009</v>
          </cell>
          <cell r="F489">
            <v>8.48</v>
          </cell>
          <cell r="H489">
            <v>9.26</v>
          </cell>
          <cell r="I489">
            <v>10.220000000000001</v>
          </cell>
          <cell r="AS489">
            <v>802.90000000000009</v>
          </cell>
        </row>
        <row r="490">
          <cell r="B490">
            <v>7.73</v>
          </cell>
          <cell r="C490">
            <v>8.15</v>
          </cell>
          <cell r="F490">
            <v>8.4700000000000006</v>
          </cell>
          <cell r="H490">
            <v>9.24</v>
          </cell>
          <cell r="I490">
            <v>10.200000000000001</v>
          </cell>
          <cell r="AS490">
            <v>806.90000000000009</v>
          </cell>
        </row>
        <row r="491">
          <cell r="B491">
            <v>7.62</v>
          </cell>
          <cell r="C491">
            <v>8.1300000000000008</v>
          </cell>
          <cell r="F491">
            <v>8.75</v>
          </cell>
          <cell r="H491">
            <v>9.41</v>
          </cell>
          <cell r="I491">
            <v>10.41</v>
          </cell>
          <cell r="AS491">
            <v>808.80000000000007</v>
          </cell>
        </row>
        <row r="492">
          <cell r="B492">
            <v>7.37</v>
          </cell>
          <cell r="C492">
            <v>8.1999999999999993</v>
          </cell>
          <cell r="F492">
            <v>8.89</v>
          </cell>
          <cell r="H492">
            <v>9.56</v>
          </cell>
          <cell r="I492">
            <v>10.64</v>
          </cell>
          <cell r="AS492">
            <v>810.40000000000009</v>
          </cell>
        </row>
        <row r="493">
          <cell r="B493">
            <v>7.36</v>
          </cell>
          <cell r="C493">
            <v>8.11</v>
          </cell>
          <cell r="F493">
            <v>8.7200000000000006</v>
          </cell>
          <cell r="H493">
            <v>9.5299999999999994</v>
          </cell>
          <cell r="I493">
            <v>10.74</v>
          </cell>
          <cell r="AS493">
            <v>812.7</v>
          </cell>
        </row>
        <row r="494">
          <cell r="B494">
            <v>7.25</v>
          </cell>
          <cell r="C494">
            <v>7.8100000000000005</v>
          </cell>
          <cell r="F494">
            <v>8.39</v>
          </cell>
          <cell r="H494">
            <v>9.3000000000000007</v>
          </cell>
          <cell r="I494">
            <v>10.620000000000001</v>
          </cell>
          <cell r="AS494">
            <v>813.7</v>
          </cell>
        </row>
        <row r="495">
          <cell r="B495">
            <v>6.63</v>
          </cell>
          <cell r="C495">
            <v>7.3100000000000005</v>
          </cell>
          <cell r="F495">
            <v>8.08</v>
          </cell>
          <cell r="H495">
            <v>9.0500000000000007</v>
          </cell>
          <cell r="I495">
            <v>10.43</v>
          </cell>
          <cell r="AS495">
            <v>808.2</v>
          </cell>
        </row>
        <row r="496">
          <cell r="B496">
            <v>6.38</v>
          </cell>
          <cell r="C496">
            <v>6.91</v>
          </cell>
          <cell r="F496">
            <v>8.09</v>
          </cell>
          <cell r="H496">
            <v>9.0400000000000009</v>
          </cell>
          <cell r="I496">
            <v>10.450000000000001</v>
          </cell>
          <cell r="AS496">
            <v>806.6</v>
          </cell>
        </row>
        <row r="497">
          <cell r="B497">
            <v>6.2</v>
          </cell>
          <cell r="C497">
            <v>6.25</v>
          </cell>
          <cell r="F497">
            <v>7.8500000000000005</v>
          </cell>
          <cell r="H497">
            <v>8.83</v>
          </cell>
          <cell r="I497">
            <v>10.07</v>
          </cell>
          <cell r="AS497">
            <v>807</v>
          </cell>
        </row>
        <row r="498">
          <cell r="B498">
            <v>5.91</v>
          </cell>
          <cell r="C498">
            <v>6.12</v>
          </cell>
          <cell r="F498">
            <v>8.11</v>
          </cell>
          <cell r="H498">
            <v>8.93</v>
          </cell>
          <cell r="I498">
            <v>10.09</v>
          </cell>
          <cell r="AS498">
            <v>808.40000000000009</v>
          </cell>
        </row>
        <row r="499">
          <cell r="B499">
            <v>5.7</v>
          </cell>
          <cell r="C499">
            <v>5.91</v>
          </cell>
          <cell r="F499">
            <v>8.0400000000000009</v>
          </cell>
          <cell r="H499">
            <v>8.86</v>
          </cell>
          <cell r="I499">
            <v>9.94</v>
          </cell>
          <cell r="AS499">
            <v>807.80000000000007</v>
          </cell>
        </row>
        <row r="500">
          <cell r="B500">
            <v>5.68</v>
          </cell>
          <cell r="C500">
            <v>5.78</v>
          </cell>
          <cell r="F500">
            <v>8.07</v>
          </cell>
          <cell r="H500">
            <v>8.86</v>
          </cell>
          <cell r="I500">
            <v>9.86</v>
          </cell>
          <cell r="AS500">
            <v>807.80000000000007</v>
          </cell>
        </row>
        <row r="501">
          <cell r="B501">
            <v>5.69</v>
          </cell>
          <cell r="C501">
            <v>5.9</v>
          </cell>
          <cell r="F501">
            <v>8.2799999999999994</v>
          </cell>
          <cell r="H501">
            <v>9.01</v>
          </cell>
          <cell r="I501">
            <v>9.9600000000000009</v>
          </cell>
          <cell r="AS501">
            <v>806</v>
          </cell>
        </row>
        <row r="502">
          <cell r="B502">
            <v>5.69</v>
          </cell>
          <cell r="C502">
            <v>5.82</v>
          </cell>
          <cell r="F502">
            <v>8.27</v>
          </cell>
          <cell r="H502">
            <v>9</v>
          </cell>
          <cell r="I502">
            <v>9.89</v>
          </cell>
          <cell r="AS502">
            <v>804</v>
          </cell>
        </row>
        <row r="503">
          <cell r="B503">
            <v>5.48</v>
          </cell>
          <cell r="C503">
            <v>5.66</v>
          </cell>
          <cell r="F503">
            <v>7.9</v>
          </cell>
          <cell r="H503">
            <v>8.75</v>
          </cell>
          <cell r="I503">
            <v>9.65</v>
          </cell>
          <cell r="AS503">
            <v>802</v>
          </cell>
        </row>
        <row r="504">
          <cell r="B504">
            <v>5.26</v>
          </cell>
          <cell r="C504">
            <v>5.45</v>
          </cell>
          <cell r="F504">
            <v>7.65</v>
          </cell>
          <cell r="H504">
            <v>8.61</v>
          </cell>
          <cell r="I504">
            <v>9.51</v>
          </cell>
          <cell r="AS504">
            <v>800.90000000000009</v>
          </cell>
        </row>
        <row r="505">
          <cell r="B505">
            <v>4.95</v>
          </cell>
          <cell r="C505">
            <v>5.21</v>
          </cell>
          <cell r="F505">
            <v>7.53</v>
          </cell>
          <cell r="H505">
            <v>8.5500000000000007</v>
          </cell>
          <cell r="I505">
            <v>9.49</v>
          </cell>
          <cell r="AS505">
            <v>798.6</v>
          </cell>
        </row>
        <row r="506">
          <cell r="B506">
            <v>4.47</v>
          </cell>
          <cell r="C506">
            <v>4.8100000000000005</v>
          </cell>
          <cell r="F506">
            <v>7.42</v>
          </cell>
          <cell r="H506">
            <v>8.48</v>
          </cell>
          <cell r="I506">
            <v>9.4500000000000011</v>
          </cell>
          <cell r="AS506">
            <v>798.30000000000007</v>
          </cell>
        </row>
        <row r="507">
          <cell r="B507">
            <v>3.95</v>
          </cell>
          <cell r="C507">
            <v>4.43</v>
          </cell>
          <cell r="F507">
            <v>7.09</v>
          </cell>
          <cell r="H507">
            <v>8.31</v>
          </cell>
          <cell r="I507">
            <v>9.26</v>
          </cell>
          <cell r="AS507">
            <v>798</v>
          </cell>
        </row>
        <row r="508">
          <cell r="B508">
            <v>3.94</v>
          </cell>
          <cell r="C508">
            <v>4.03</v>
          </cell>
          <cell r="F508">
            <v>7.03</v>
          </cell>
          <cell r="H508">
            <v>8.1999999999999993</v>
          </cell>
          <cell r="I508">
            <v>9.1300000000000008</v>
          </cell>
          <cell r="AS508">
            <v>799</v>
          </cell>
        </row>
        <row r="509">
          <cell r="B509">
            <v>4.0200000000000005</v>
          </cell>
          <cell r="C509">
            <v>4.0600000000000005</v>
          </cell>
          <cell r="F509">
            <v>7.34</v>
          </cell>
          <cell r="H509">
            <v>8.2900000000000009</v>
          </cell>
          <cell r="I509">
            <v>9.23</v>
          </cell>
          <cell r="AS509">
            <v>799.6</v>
          </cell>
        </row>
        <row r="510">
          <cell r="B510">
            <v>4.1500000000000004</v>
          </cell>
          <cell r="C510">
            <v>3.98</v>
          </cell>
          <cell r="F510">
            <v>7.54</v>
          </cell>
          <cell r="H510">
            <v>8.35</v>
          </cell>
          <cell r="I510">
            <v>9.25</v>
          </cell>
          <cell r="AS510">
            <v>799.40000000000009</v>
          </cell>
        </row>
        <row r="511">
          <cell r="B511">
            <v>3.79</v>
          </cell>
          <cell r="C511">
            <v>3.73</v>
          </cell>
          <cell r="F511">
            <v>7.48</v>
          </cell>
          <cell r="H511">
            <v>8.33</v>
          </cell>
          <cell r="I511">
            <v>9.2100000000000009</v>
          </cell>
          <cell r="AS511">
            <v>797.7</v>
          </cell>
        </row>
        <row r="512">
          <cell r="B512">
            <v>3.8000000000000003</v>
          </cell>
          <cell r="C512">
            <v>3.8200000000000003</v>
          </cell>
          <cell r="F512">
            <v>7.3900000000000006</v>
          </cell>
          <cell r="H512">
            <v>8.2799999999999994</v>
          </cell>
          <cell r="I512">
            <v>9.1300000000000008</v>
          </cell>
          <cell r="AS512">
            <v>797.7</v>
          </cell>
        </row>
        <row r="513">
          <cell r="B513">
            <v>3.65</v>
          </cell>
          <cell r="C513">
            <v>3.7600000000000002</v>
          </cell>
          <cell r="F513">
            <v>7.26</v>
          </cell>
          <cell r="H513">
            <v>8.2200000000000006</v>
          </cell>
          <cell r="I513">
            <v>9.0500000000000007</v>
          </cell>
          <cell r="AS513">
            <v>797.30000000000007</v>
          </cell>
        </row>
        <row r="514">
          <cell r="B514">
            <v>3.25</v>
          </cell>
          <cell r="C514">
            <v>3.25</v>
          </cell>
          <cell r="F514">
            <v>6.84</v>
          </cell>
          <cell r="H514">
            <v>8.07</v>
          </cell>
          <cell r="I514">
            <v>8.84</v>
          </cell>
          <cell r="AS514">
            <v>798.1</v>
          </cell>
        </row>
        <row r="515">
          <cell r="B515">
            <v>3.23</v>
          </cell>
          <cell r="C515">
            <v>3.3000000000000003</v>
          </cell>
          <cell r="F515">
            <v>6.59</v>
          </cell>
          <cell r="H515">
            <v>7.95</v>
          </cell>
          <cell r="I515">
            <v>8.65</v>
          </cell>
          <cell r="AS515">
            <v>799.80000000000007</v>
          </cell>
        </row>
        <row r="516">
          <cell r="B516">
            <v>2.74</v>
          </cell>
          <cell r="C516">
            <v>3.22</v>
          </cell>
          <cell r="F516">
            <v>6.42</v>
          </cell>
          <cell r="H516">
            <v>7.92</v>
          </cell>
          <cell r="I516">
            <v>8.620000000000001</v>
          </cell>
          <cell r="AS516">
            <v>800.2</v>
          </cell>
        </row>
        <row r="517">
          <cell r="B517">
            <v>3.02</v>
          </cell>
          <cell r="C517">
            <v>3.1</v>
          </cell>
          <cell r="F517">
            <v>6.59</v>
          </cell>
          <cell r="H517">
            <v>7.99</v>
          </cell>
          <cell r="I517">
            <v>8.84</v>
          </cell>
          <cell r="AS517">
            <v>799.6</v>
          </cell>
        </row>
        <row r="518">
          <cell r="B518">
            <v>3.34</v>
          </cell>
          <cell r="C518">
            <v>3.09</v>
          </cell>
          <cell r="F518">
            <v>6.87</v>
          </cell>
          <cell r="H518">
            <v>8.1</v>
          </cell>
          <cell r="I518">
            <v>8.9600000000000009</v>
          </cell>
          <cell r="AS518">
            <v>802.7</v>
          </cell>
        </row>
        <row r="519">
          <cell r="B519">
            <v>3.15</v>
          </cell>
          <cell r="C519">
            <v>2.92</v>
          </cell>
          <cell r="F519">
            <v>6.7700000000000005</v>
          </cell>
          <cell r="H519">
            <v>7.98</v>
          </cell>
          <cell r="I519">
            <v>8.81</v>
          </cell>
          <cell r="AS519">
            <v>806.1</v>
          </cell>
        </row>
        <row r="520">
          <cell r="B520">
            <v>2.97</v>
          </cell>
          <cell r="C520">
            <v>3.02</v>
          </cell>
          <cell r="F520">
            <v>6.6000000000000005</v>
          </cell>
          <cell r="H520">
            <v>7.91</v>
          </cell>
          <cell r="I520">
            <v>8.67</v>
          </cell>
          <cell r="AS520">
            <v>809.30000000000007</v>
          </cell>
        </row>
        <row r="521">
          <cell r="B521">
            <v>3</v>
          </cell>
          <cell r="C521">
            <v>3.0300000000000002</v>
          </cell>
          <cell r="F521">
            <v>6.26</v>
          </cell>
          <cell r="H521">
            <v>7.71</v>
          </cell>
          <cell r="I521">
            <v>8.39</v>
          </cell>
          <cell r="AS521">
            <v>814.1</v>
          </cell>
        </row>
        <row r="522">
          <cell r="B522">
            <v>2.96</v>
          </cell>
          <cell r="C522">
            <v>3.0700000000000003</v>
          </cell>
          <cell r="F522">
            <v>5.98</v>
          </cell>
          <cell r="H522">
            <v>7.58</v>
          </cell>
          <cell r="I522">
            <v>8.15</v>
          </cell>
          <cell r="AS522">
            <v>813.7</v>
          </cell>
        </row>
        <row r="523">
          <cell r="B523">
            <v>2.95</v>
          </cell>
          <cell r="C523">
            <v>2.96</v>
          </cell>
          <cell r="F523">
            <v>5.97</v>
          </cell>
          <cell r="H523">
            <v>7.46</v>
          </cell>
          <cell r="I523">
            <v>8.14</v>
          </cell>
          <cell r="AS523">
            <v>819.80000000000007</v>
          </cell>
        </row>
        <row r="524">
          <cell r="B524">
            <v>3.13</v>
          </cell>
          <cell r="C524">
            <v>3</v>
          </cell>
          <cell r="F524">
            <v>6.04</v>
          </cell>
          <cell r="H524">
            <v>7.43</v>
          </cell>
          <cell r="I524">
            <v>8.2100000000000009</v>
          </cell>
          <cell r="AS524">
            <v>819.80000000000007</v>
          </cell>
        </row>
        <row r="525">
          <cell r="B525">
            <v>3.1</v>
          </cell>
          <cell r="C525">
            <v>3.04</v>
          </cell>
          <cell r="F525">
            <v>5.96</v>
          </cell>
          <cell r="H525">
            <v>7.33</v>
          </cell>
          <cell r="I525">
            <v>8.07</v>
          </cell>
          <cell r="AS525">
            <v>823.80000000000007</v>
          </cell>
        </row>
        <row r="526">
          <cell r="B526">
            <v>3.11</v>
          </cell>
          <cell r="C526">
            <v>3.06</v>
          </cell>
          <cell r="F526">
            <v>5.8100000000000005</v>
          </cell>
          <cell r="H526">
            <v>7.17</v>
          </cell>
          <cell r="I526">
            <v>7.9300000000000006</v>
          </cell>
          <cell r="AS526">
            <v>829.5</v>
          </cell>
        </row>
        <row r="527">
          <cell r="B527">
            <v>3.08</v>
          </cell>
          <cell r="C527">
            <v>3.0300000000000002</v>
          </cell>
          <cell r="F527">
            <v>5.68</v>
          </cell>
          <cell r="H527">
            <v>6.8500000000000005</v>
          </cell>
          <cell r="I527">
            <v>7.6000000000000005</v>
          </cell>
          <cell r="AS527">
            <v>834.2</v>
          </cell>
        </row>
        <row r="528">
          <cell r="B528">
            <v>2.98</v>
          </cell>
          <cell r="C528">
            <v>3.09</v>
          </cell>
          <cell r="F528">
            <v>5.36</v>
          </cell>
          <cell r="H528">
            <v>6.66</v>
          </cell>
          <cell r="I528">
            <v>7.34</v>
          </cell>
          <cell r="AS528">
            <v>840.6</v>
          </cell>
        </row>
        <row r="529">
          <cell r="B529">
            <v>3.09</v>
          </cell>
          <cell r="C529">
            <v>2.99</v>
          </cell>
          <cell r="F529">
            <v>5.33</v>
          </cell>
          <cell r="H529">
            <v>6.67</v>
          </cell>
          <cell r="I529">
            <v>7.3100000000000005</v>
          </cell>
          <cell r="AS529">
            <v>847.6</v>
          </cell>
        </row>
        <row r="530">
          <cell r="B530">
            <v>3.14</v>
          </cell>
          <cell r="C530">
            <v>3.02</v>
          </cell>
          <cell r="F530">
            <v>5.72</v>
          </cell>
          <cell r="H530">
            <v>6.93</v>
          </cell>
          <cell r="I530">
            <v>7.66</v>
          </cell>
          <cell r="AS530">
            <v>856.5</v>
          </cell>
        </row>
        <row r="531">
          <cell r="B531">
            <v>3.0100000000000002</v>
          </cell>
          <cell r="C531">
            <v>2.96</v>
          </cell>
          <cell r="F531">
            <v>5.7700000000000005</v>
          </cell>
          <cell r="H531">
            <v>6.93</v>
          </cell>
          <cell r="I531">
            <v>7.69</v>
          </cell>
          <cell r="AS531">
            <v>865.7</v>
          </cell>
        </row>
        <row r="532">
          <cell r="B532">
            <v>3.0300000000000002</v>
          </cell>
          <cell r="C532">
            <v>3.0500000000000003</v>
          </cell>
          <cell r="F532">
            <v>5.75</v>
          </cell>
          <cell r="H532">
            <v>6.92</v>
          </cell>
          <cell r="I532">
            <v>7.65</v>
          </cell>
          <cell r="AS532">
            <v>872</v>
          </cell>
        </row>
        <row r="533">
          <cell r="B533">
            <v>3.44</v>
          </cell>
          <cell r="C533">
            <v>3.25</v>
          </cell>
          <cell r="F533">
            <v>5.97</v>
          </cell>
          <cell r="H533">
            <v>7.08</v>
          </cell>
          <cell r="I533">
            <v>7.76</v>
          </cell>
          <cell r="AS533">
            <v>880.40000000000009</v>
          </cell>
        </row>
        <row r="534">
          <cell r="B534">
            <v>3.5700000000000003</v>
          </cell>
          <cell r="C534">
            <v>3.34</v>
          </cell>
          <cell r="F534">
            <v>6.48</v>
          </cell>
          <cell r="H534">
            <v>7.48</v>
          </cell>
          <cell r="I534">
            <v>8.1300000000000008</v>
          </cell>
          <cell r="AS534">
            <v>891.30000000000007</v>
          </cell>
        </row>
        <row r="535">
          <cell r="B535">
            <v>3.96</v>
          </cell>
          <cell r="C535">
            <v>3.56</v>
          </cell>
          <cell r="F535">
            <v>6.97</v>
          </cell>
          <cell r="H535">
            <v>7.88</v>
          </cell>
          <cell r="I535">
            <v>8.52</v>
          </cell>
          <cell r="AS535">
            <v>901</v>
          </cell>
        </row>
        <row r="536">
          <cell r="B536">
            <v>4.28</v>
          </cell>
          <cell r="C536">
            <v>4.01</v>
          </cell>
          <cell r="F536">
            <v>7.18</v>
          </cell>
          <cell r="H536">
            <v>7.99</v>
          </cell>
          <cell r="I536">
            <v>8.620000000000001</v>
          </cell>
          <cell r="AS536">
            <v>912.90000000000009</v>
          </cell>
        </row>
        <row r="537">
          <cell r="B537">
            <v>4.2300000000000004</v>
          </cell>
          <cell r="C537">
            <v>4.25</v>
          </cell>
          <cell r="F537">
            <v>7.1000000000000005</v>
          </cell>
          <cell r="H537">
            <v>7.97</v>
          </cell>
          <cell r="I537">
            <v>8.65</v>
          </cell>
          <cell r="AS537">
            <v>924.2</v>
          </cell>
        </row>
        <row r="538">
          <cell r="B538">
            <v>4.37</v>
          </cell>
          <cell r="C538">
            <v>4.26</v>
          </cell>
          <cell r="F538">
            <v>7.3</v>
          </cell>
          <cell r="H538">
            <v>8.11</v>
          </cell>
          <cell r="I538">
            <v>8.8000000000000007</v>
          </cell>
          <cell r="AS538">
            <v>931.1</v>
          </cell>
        </row>
        <row r="539">
          <cell r="B539">
            <v>4.68</v>
          </cell>
          <cell r="C539">
            <v>4.47</v>
          </cell>
          <cell r="F539">
            <v>7.24</v>
          </cell>
          <cell r="H539">
            <v>8.07</v>
          </cell>
          <cell r="I539">
            <v>8.74</v>
          </cell>
          <cell r="AS539">
            <v>944.80000000000007</v>
          </cell>
        </row>
        <row r="540">
          <cell r="B540">
            <v>4.79</v>
          </cell>
          <cell r="C540">
            <v>4.7300000000000004</v>
          </cell>
          <cell r="F540">
            <v>7.46</v>
          </cell>
          <cell r="H540">
            <v>8.34</v>
          </cell>
          <cell r="I540">
            <v>8.98</v>
          </cell>
          <cell r="AS540">
            <v>957.40000000000009</v>
          </cell>
        </row>
        <row r="541">
          <cell r="B541">
            <v>5.16</v>
          </cell>
          <cell r="C541">
            <v>4.76</v>
          </cell>
          <cell r="F541">
            <v>7.74</v>
          </cell>
          <cell r="H541">
            <v>8.57</v>
          </cell>
          <cell r="I541">
            <v>9.2000000000000011</v>
          </cell>
          <cell r="AS541">
            <v>968.5</v>
          </cell>
        </row>
        <row r="542">
          <cell r="B542">
            <v>5.74</v>
          </cell>
          <cell r="C542">
            <v>5.29</v>
          </cell>
          <cell r="F542">
            <v>7.96</v>
          </cell>
          <cell r="H542">
            <v>8.68</v>
          </cell>
          <cell r="I542">
            <v>9.32</v>
          </cell>
          <cell r="AS542">
            <v>981.40000000000009</v>
          </cell>
        </row>
        <row r="543">
          <cell r="B543">
            <v>5.7</v>
          </cell>
          <cell r="C543">
            <v>5.45</v>
          </cell>
          <cell r="F543">
            <v>7.8100000000000005</v>
          </cell>
          <cell r="H543">
            <v>8.4600000000000009</v>
          </cell>
          <cell r="I543">
            <v>9.1</v>
          </cell>
          <cell r="AS543">
            <v>997.30000000000007</v>
          </cell>
        </row>
        <row r="544">
          <cell r="B544">
            <v>6</v>
          </cell>
          <cell r="C544">
            <v>5.53</v>
          </cell>
          <cell r="F544">
            <v>7.78</v>
          </cell>
          <cell r="H544">
            <v>8.4600000000000009</v>
          </cell>
          <cell r="I544">
            <v>9.08</v>
          </cell>
          <cell r="AS544">
            <v>1010.4000000000001</v>
          </cell>
        </row>
        <row r="545">
          <cell r="B545">
            <v>5.94</v>
          </cell>
          <cell r="C545">
            <v>5.92</v>
          </cell>
          <cell r="F545">
            <v>7.47</v>
          </cell>
          <cell r="H545">
            <v>8.26</v>
          </cell>
          <cell r="I545">
            <v>8.85</v>
          </cell>
          <cell r="AS545">
            <v>1018.6</v>
          </cell>
        </row>
        <row r="546">
          <cell r="B546">
            <v>5.88</v>
          </cell>
          <cell r="C546">
            <v>5.98</v>
          </cell>
          <cell r="F546">
            <v>7.2</v>
          </cell>
          <cell r="H546">
            <v>8.120000000000001</v>
          </cell>
          <cell r="I546">
            <v>8.7000000000000011</v>
          </cell>
          <cell r="AS546">
            <v>1033.6000000000001</v>
          </cell>
        </row>
        <row r="547">
          <cell r="B547">
            <v>5.88</v>
          </cell>
          <cell r="C547">
            <v>6.05</v>
          </cell>
          <cell r="F547">
            <v>7.0600000000000005</v>
          </cell>
          <cell r="H547">
            <v>8.0299999999999994</v>
          </cell>
          <cell r="I547">
            <v>8.6</v>
          </cell>
          <cell r="AS547">
            <v>1043.7</v>
          </cell>
        </row>
        <row r="548">
          <cell r="B548">
            <v>5.83</v>
          </cell>
          <cell r="C548">
            <v>6.01</v>
          </cell>
          <cell r="F548">
            <v>6.63</v>
          </cell>
          <cell r="H548">
            <v>7.65</v>
          </cell>
          <cell r="I548">
            <v>8.1999999999999993</v>
          </cell>
          <cell r="AS548">
            <v>1057.5</v>
          </cell>
        </row>
        <row r="549">
          <cell r="B549">
            <v>5.66</v>
          </cell>
          <cell r="C549">
            <v>6</v>
          </cell>
          <cell r="F549">
            <v>6.17</v>
          </cell>
          <cell r="H549">
            <v>7.3</v>
          </cell>
          <cell r="I549">
            <v>7.9</v>
          </cell>
          <cell r="AS549">
            <v>1069.4000000000001</v>
          </cell>
        </row>
        <row r="550">
          <cell r="B550">
            <v>5.58</v>
          </cell>
          <cell r="C550">
            <v>5.8500000000000005</v>
          </cell>
          <cell r="F550">
            <v>6.28</v>
          </cell>
          <cell r="H550">
            <v>7.41</v>
          </cell>
          <cell r="I550">
            <v>8.0400000000000009</v>
          </cell>
          <cell r="AS550">
            <v>1077.7</v>
          </cell>
        </row>
        <row r="551">
          <cell r="B551">
            <v>5.45</v>
          </cell>
          <cell r="C551">
            <v>5.74</v>
          </cell>
          <cell r="F551">
            <v>6.49</v>
          </cell>
          <cell r="H551">
            <v>7.57</v>
          </cell>
          <cell r="I551">
            <v>8.19</v>
          </cell>
          <cell r="AS551">
            <v>1089.6000000000001</v>
          </cell>
        </row>
        <row r="552">
          <cell r="B552">
            <v>5.42</v>
          </cell>
          <cell r="C552">
            <v>5.8</v>
          </cell>
          <cell r="F552">
            <v>6.2</v>
          </cell>
          <cell r="H552">
            <v>7.32</v>
          </cell>
          <cell r="I552">
            <v>7.9300000000000006</v>
          </cell>
          <cell r="AS552">
            <v>1106.6000000000001</v>
          </cell>
        </row>
        <row r="553">
          <cell r="B553">
            <v>5.51</v>
          </cell>
          <cell r="C553">
            <v>5.76</v>
          </cell>
          <cell r="F553">
            <v>6.04</v>
          </cell>
          <cell r="H553">
            <v>7.12</v>
          </cell>
          <cell r="I553">
            <v>7.75</v>
          </cell>
          <cell r="AS553">
            <v>1113.5</v>
          </cell>
        </row>
        <row r="554">
          <cell r="B554">
            <v>5.53</v>
          </cell>
          <cell r="C554">
            <v>5.8</v>
          </cell>
          <cell r="F554">
            <v>5.93</v>
          </cell>
          <cell r="H554">
            <v>7.0200000000000005</v>
          </cell>
          <cell r="I554">
            <v>7.68</v>
          </cell>
          <cell r="AS554">
            <v>1132.2</v>
          </cell>
        </row>
        <row r="555">
          <cell r="B555">
            <v>5.08</v>
          </cell>
          <cell r="C555">
            <v>5.6000000000000005</v>
          </cell>
          <cell r="F555">
            <v>5.71</v>
          </cell>
          <cell r="H555">
            <v>6.82</v>
          </cell>
          <cell r="I555">
            <v>7.49</v>
          </cell>
          <cell r="AS555">
            <v>1140.7</v>
          </cell>
        </row>
        <row r="556">
          <cell r="B556">
            <v>5.05</v>
          </cell>
          <cell r="C556">
            <v>5.5600000000000005</v>
          </cell>
          <cell r="F556">
            <v>5.65</v>
          </cell>
          <cell r="H556">
            <v>6.8100000000000005</v>
          </cell>
          <cell r="I556">
            <v>7.47</v>
          </cell>
          <cell r="AS556">
            <v>1153.3</v>
          </cell>
        </row>
        <row r="557">
          <cell r="B557">
            <v>5.01</v>
          </cell>
          <cell r="C557">
            <v>5.22</v>
          </cell>
          <cell r="F557">
            <v>5.8100000000000005</v>
          </cell>
          <cell r="H557">
            <v>6.99</v>
          </cell>
          <cell r="I557">
            <v>7.63</v>
          </cell>
          <cell r="AS557">
            <v>1163.1000000000001</v>
          </cell>
        </row>
        <row r="558">
          <cell r="B558">
            <v>5.15</v>
          </cell>
          <cell r="C558">
            <v>5.3100000000000005</v>
          </cell>
          <cell r="F558">
            <v>6.2700000000000005</v>
          </cell>
          <cell r="H558">
            <v>7.3500000000000005</v>
          </cell>
          <cell r="I558">
            <v>8.0299999999999994</v>
          </cell>
          <cell r="AS558">
            <v>1171.7</v>
          </cell>
        </row>
        <row r="559">
          <cell r="B559">
            <v>5.15</v>
          </cell>
          <cell r="C559">
            <v>5.22</v>
          </cell>
          <cell r="F559">
            <v>6.51</v>
          </cell>
          <cell r="H559">
            <v>7.5</v>
          </cell>
          <cell r="I559">
            <v>8.19</v>
          </cell>
          <cell r="AS559">
            <v>1180.9000000000001</v>
          </cell>
        </row>
        <row r="560">
          <cell r="B560">
            <v>5.17</v>
          </cell>
          <cell r="C560">
            <v>5.24</v>
          </cell>
          <cell r="F560">
            <v>6.74</v>
          </cell>
          <cell r="H560">
            <v>7.62</v>
          </cell>
          <cell r="I560">
            <v>8.3000000000000007</v>
          </cell>
          <cell r="AS560">
            <v>1191.1000000000001</v>
          </cell>
        </row>
        <row r="561">
          <cell r="B561">
            <v>5.16</v>
          </cell>
          <cell r="C561">
            <v>5.2700000000000005</v>
          </cell>
          <cell r="F561">
            <v>6.91</v>
          </cell>
          <cell r="H561">
            <v>7.71</v>
          </cell>
          <cell r="I561">
            <v>8.4</v>
          </cell>
          <cell r="AS561">
            <v>1201</v>
          </cell>
        </row>
        <row r="562">
          <cell r="B562">
            <v>5.32</v>
          </cell>
          <cell r="C562">
            <v>5.4</v>
          </cell>
          <cell r="F562">
            <v>6.87</v>
          </cell>
          <cell r="H562">
            <v>7.65</v>
          </cell>
          <cell r="I562">
            <v>8.35</v>
          </cell>
          <cell r="AS562">
            <v>1211.9000000000001</v>
          </cell>
        </row>
        <row r="563">
          <cell r="B563">
            <v>5.29</v>
          </cell>
          <cell r="C563">
            <v>5.22</v>
          </cell>
          <cell r="F563">
            <v>6.6400000000000006</v>
          </cell>
          <cell r="H563">
            <v>7.46</v>
          </cell>
          <cell r="I563">
            <v>8.18</v>
          </cell>
          <cell r="AS563">
            <v>1220.5</v>
          </cell>
        </row>
        <row r="564">
          <cell r="B564">
            <v>5.04</v>
          </cell>
          <cell r="C564">
            <v>5.3</v>
          </cell>
          <cell r="F564">
            <v>6.83</v>
          </cell>
          <cell r="H564">
            <v>7.66</v>
          </cell>
          <cell r="I564">
            <v>8.35</v>
          </cell>
          <cell r="AS564">
            <v>1225.3</v>
          </cell>
        </row>
        <row r="565">
          <cell r="B565">
            <v>5.15</v>
          </cell>
          <cell r="C565">
            <v>5.24</v>
          </cell>
          <cell r="F565">
            <v>6.53</v>
          </cell>
          <cell r="H565">
            <v>7.3900000000000006</v>
          </cell>
          <cell r="I565">
            <v>8.07</v>
          </cell>
          <cell r="AS565">
            <v>1231.3000000000002</v>
          </cell>
        </row>
        <row r="566">
          <cell r="B566">
            <v>5.13</v>
          </cell>
          <cell r="C566">
            <v>5.3100000000000005</v>
          </cell>
          <cell r="F566">
            <v>6.2</v>
          </cell>
          <cell r="H566">
            <v>7.1000000000000005</v>
          </cell>
          <cell r="I566">
            <v>7.79</v>
          </cell>
          <cell r="AS566">
            <v>1242.4000000000001</v>
          </cell>
        </row>
        <row r="567">
          <cell r="B567">
            <v>5.15</v>
          </cell>
          <cell r="C567">
            <v>5.29</v>
          </cell>
          <cell r="F567">
            <v>6.3</v>
          </cell>
          <cell r="H567">
            <v>7.2</v>
          </cell>
          <cell r="I567">
            <v>7.8900000000000006</v>
          </cell>
          <cell r="AS567">
            <v>1253.4000000000001</v>
          </cell>
        </row>
        <row r="568">
          <cell r="B568">
            <v>5.15</v>
          </cell>
          <cell r="C568">
            <v>5.25</v>
          </cell>
          <cell r="F568">
            <v>6.58</v>
          </cell>
          <cell r="H568">
            <v>7.42</v>
          </cell>
          <cell r="I568">
            <v>8.09</v>
          </cell>
          <cell r="AS568">
            <v>1258.4000000000001</v>
          </cell>
        </row>
        <row r="569">
          <cell r="B569">
            <v>5.22</v>
          </cell>
          <cell r="C569">
            <v>5.19</v>
          </cell>
          <cell r="F569">
            <v>6.42</v>
          </cell>
          <cell r="H569">
            <v>7.3100000000000005</v>
          </cell>
          <cell r="I569">
            <v>7.94</v>
          </cell>
          <cell r="AS569">
            <v>1261.9000000000001</v>
          </cell>
        </row>
        <row r="570">
          <cell r="B570">
            <v>5.34</v>
          </cell>
          <cell r="C570">
            <v>5.39</v>
          </cell>
          <cell r="F570">
            <v>6.69</v>
          </cell>
          <cell r="H570">
            <v>7.55</v>
          </cell>
          <cell r="I570">
            <v>8.18</v>
          </cell>
          <cell r="AS570">
            <v>1264.1000000000001</v>
          </cell>
        </row>
        <row r="571">
          <cell r="B571">
            <v>5.24</v>
          </cell>
          <cell r="C571">
            <v>5.51</v>
          </cell>
          <cell r="F571">
            <v>6.8900000000000006</v>
          </cell>
          <cell r="H571">
            <v>7.73</v>
          </cell>
          <cell r="I571">
            <v>8.34</v>
          </cell>
          <cell r="AS571">
            <v>1274.1000000000001</v>
          </cell>
        </row>
        <row r="572">
          <cell r="B572">
            <v>4.95</v>
          </cell>
          <cell r="C572">
            <v>5.5</v>
          </cell>
          <cell r="F572">
            <v>6.71</v>
          </cell>
          <cell r="H572">
            <v>7.58</v>
          </cell>
          <cell r="I572">
            <v>8.1999999999999993</v>
          </cell>
          <cell r="AS572">
            <v>1278.7</v>
          </cell>
        </row>
        <row r="573">
          <cell r="B573">
            <v>5.17</v>
          </cell>
          <cell r="C573">
            <v>5.5600000000000005</v>
          </cell>
          <cell r="F573">
            <v>6.49</v>
          </cell>
          <cell r="H573">
            <v>7.41</v>
          </cell>
          <cell r="I573">
            <v>8.02</v>
          </cell>
          <cell r="AS573">
            <v>1282.9000000000001</v>
          </cell>
        </row>
        <row r="574">
          <cell r="B574">
            <v>5.24</v>
          </cell>
          <cell r="C574">
            <v>5.5200000000000005</v>
          </cell>
          <cell r="F574">
            <v>6.22</v>
          </cell>
          <cell r="H574">
            <v>7.1400000000000006</v>
          </cell>
          <cell r="I574">
            <v>7.75</v>
          </cell>
          <cell r="AS574">
            <v>1288.8000000000002</v>
          </cell>
        </row>
        <row r="575">
          <cell r="B575">
            <v>5.23</v>
          </cell>
          <cell r="C575">
            <v>5.54</v>
          </cell>
          <cell r="F575">
            <v>6.3</v>
          </cell>
          <cell r="H575">
            <v>7.22</v>
          </cell>
          <cell r="I575">
            <v>7.82</v>
          </cell>
          <cell r="AS575">
            <v>1294.2</v>
          </cell>
        </row>
        <row r="576">
          <cell r="B576">
            <v>5.1100000000000003</v>
          </cell>
          <cell r="C576">
            <v>5.54</v>
          </cell>
          <cell r="F576">
            <v>6.21</v>
          </cell>
          <cell r="H576">
            <v>7.15</v>
          </cell>
          <cell r="I576">
            <v>7.7</v>
          </cell>
          <cell r="AS576">
            <v>1301.6000000000001</v>
          </cell>
        </row>
        <row r="577">
          <cell r="B577">
            <v>5.2</v>
          </cell>
          <cell r="C577">
            <v>5.5</v>
          </cell>
          <cell r="F577">
            <v>6.03</v>
          </cell>
          <cell r="H577">
            <v>7</v>
          </cell>
          <cell r="I577">
            <v>7.57</v>
          </cell>
          <cell r="AS577">
            <v>1309.4000000000001</v>
          </cell>
        </row>
        <row r="578">
          <cell r="B578">
            <v>5.23</v>
          </cell>
          <cell r="C578">
            <v>5.5200000000000005</v>
          </cell>
          <cell r="F578">
            <v>5.88</v>
          </cell>
          <cell r="H578">
            <v>6.87</v>
          </cell>
          <cell r="I578">
            <v>7.42</v>
          </cell>
          <cell r="AS578">
            <v>1312.5</v>
          </cell>
        </row>
        <row r="579">
          <cell r="B579">
            <v>5.3500000000000005</v>
          </cell>
          <cell r="C579">
            <v>5.5</v>
          </cell>
          <cell r="F579">
            <v>5.8100000000000005</v>
          </cell>
          <cell r="H579">
            <v>6.76</v>
          </cell>
          <cell r="I579">
            <v>7.32</v>
          </cell>
          <cell r="AS579">
            <v>1324.8000000000002</v>
          </cell>
        </row>
        <row r="580">
          <cell r="B580">
            <v>5.18</v>
          </cell>
          <cell r="C580">
            <v>5.5600000000000005</v>
          </cell>
          <cell r="F580">
            <v>5.54</v>
          </cell>
          <cell r="H580">
            <v>6.61</v>
          </cell>
          <cell r="I580">
            <v>7.19</v>
          </cell>
          <cell r="AS580">
            <v>1320</v>
          </cell>
        </row>
        <row r="581">
          <cell r="B581">
            <v>5.33</v>
          </cell>
          <cell r="C581">
            <v>5.51</v>
          </cell>
          <cell r="F581">
            <v>5.57</v>
          </cell>
          <cell r="H581">
            <v>6.67</v>
          </cell>
          <cell r="I581">
            <v>7.25</v>
          </cell>
          <cell r="AS581">
            <v>1324.3000000000002</v>
          </cell>
        </row>
        <row r="582">
          <cell r="B582">
            <v>5.16</v>
          </cell>
          <cell r="C582">
            <v>5.49</v>
          </cell>
          <cell r="F582">
            <v>5.65</v>
          </cell>
          <cell r="H582">
            <v>6.72</v>
          </cell>
          <cell r="I582">
            <v>7.32</v>
          </cell>
          <cell r="AS582">
            <v>1332.9</v>
          </cell>
        </row>
        <row r="583">
          <cell r="B583">
            <v>4.9800000000000004</v>
          </cell>
          <cell r="C583">
            <v>5.45</v>
          </cell>
          <cell r="F583">
            <v>5.64</v>
          </cell>
          <cell r="H583">
            <v>6.69</v>
          </cell>
          <cell r="I583">
            <v>7.33</v>
          </cell>
          <cell r="AS583">
            <v>1360.5</v>
          </cell>
        </row>
        <row r="584">
          <cell r="B584">
            <v>5.0200000000000005</v>
          </cell>
          <cell r="C584">
            <v>5.49</v>
          </cell>
          <cell r="F584">
            <v>5.65</v>
          </cell>
          <cell r="H584">
            <v>6.69</v>
          </cell>
          <cell r="I584">
            <v>7.3</v>
          </cell>
          <cell r="AS584">
            <v>1363.1000000000001</v>
          </cell>
        </row>
        <row r="585">
          <cell r="B585">
            <v>5.1000000000000005</v>
          </cell>
          <cell r="C585">
            <v>5.5600000000000005</v>
          </cell>
          <cell r="F585">
            <v>5.5</v>
          </cell>
          <cell r="H585">
            <v>6.53</v>
          </cell>
          <cell r="I585">
            <v>7.13</v>
          </cell>
          <cell r="AS585">
            <v>1373.9</v>
          </cell>
        </row>
        <row r="586">
          <cell r="B586">
            <v>5.08</v>
          </cell>
          <cell r="C586">
            <v>5.54</v>
          </cell>
          <cell r="F586">
            <v>5.46</v>
          </cell>
          <cell r="H586">
            <v>6.55</v>
          </cell>
          <cell r="I586">
            <v>7.15</v>
          </cell>
          <cell r="AS586">
            <v>1380.7</v>
          </cell>
        </row>
        <row r="587">
          <cell r="B587">
            <v>4.8899999999999997</v>
          </cell>
          <cell r="C587">
            <v>5.55</v>
          </cell>
          <cell r="F587">
            <v>5.34</v>
          </cell>
          <cell r="H587">
            <v>6.5200000000000005</v>
          </cell>
          <cell r="I587">
            <v>7.1400000000000006</v>
          </cell>
          <cell r="AS587">
            <v>1386.7</v>
          </cell>
        </row>
        <row r="588">
          <cell r="B588">
            <v>4.3600000000000003</v>
          </cell>
          <cell r="C588">
            <v>5.51</v>
          </cell>
          <cell r="F588">
            <v>4.8100000000000005</v>
          </cell>
          <cell r="H588">
            <v>6.4</v>
          </cell>
          <cell r="I588">
            <v>7.09</v>
          </cell>
          <cell r="AS588">
            <v>1397.3000000000002</v>
          </cell>
        </row>
        <row r="589">
          <cell r="B589">
            <v>4.33</v>
          </cell>
          <cell r="C589">
            <v>5.07</v>
          </cell>
          <cell r="F589">
            <v>4.53</v>
          </cell>
          <cell r="H589">
            <v>6.37</v>
          </cell>
          <cell r="I589">
            <v>7.18</v>
          </cell>
          <cell r="AS589">
            <v>1405.4</v>
          </cell>
        </row>
        <row r="590">
          <cell r="B590">
            <v>4.54</v>
          </cell>
          <cell r="C590">
            <v>4.83</v>
          </cell>
          <cell r="F590">
            <v>4.83</v>
          </cell>
          <cell r="H590">
            <v>6.41</v>
          </cell>
          <cell r="I590">
            <v>7.34</v>
          </cell>
          <cell r="AS590">
            <v>1408.4</v>
          </cell>
        </row>
        <row r="591">
          <cell r="B591">
            <v>4.47</v>
          </cell>
          <cell r="C591">
            <v>4.68</v>
          </cell>
          <cell r="F591">
            <v>4.6500000000000004</v>
          </cell>
          <cell r="H591">
            <v>6.22</v>
          </cell>
          <cell r="I591">
            <v>7.23</v>
          </cell>
          <cell r="AS591">
            <v>1421</v>
          </cell>
        </row>
        <row r="592">
          <cell r="B592">
            <v>4.47</v>
          </cell>
          <cell r="C592">
            <v>4.63</v>
          </cell>
          <cell r="F592">
            <v>4.72</v>
          </cell>
          <cell r="H592">
            <v>6.24</v>
          </cell>
          <cell r="I592">
            <v>7.29</v>
          </cell>
          <cell r="AS592">
            <v>1431.2</v>
          </cell>
        </row>
        <row r="593">
          <cell r="B593">
            <v>4.7</v>
          </cell>
          <cell r="C593">
            <v>4.76</v>
          </cell>
          <cell r="F593">
            <v>5</v>
          </cell>
          <cell r="H593">
            <v>6.4</v>
          </cell>
          <cell r="I593">
            <v>7.3900000000000006</v>
          </cell>
          <cell r="AS593">
            <v>1441.3000000000002</v>
          </cell>
        </row>
        <row r="594">
          <cell r="B594">
            <v>4.5</v>
          </cell>
          <cell r="C594">
            <v>4.8100000000000005</v>
          </cell>
          <cell r="F594">
            <v>5.23</v>
          </cell>
          <cell r="H594">
            <v>6.62</v>
          </cell>
          <cell r="I594">
            <v>7.53</v>
          </cell>
          <cell r="AS594">
            <v>1450.9</v>
          </cell>
        </row>
        <row r="595">
          <cell r="B595">
            <v>4.55</v>
          </cell>
          <cell r="C595">
            <v>4.74</v>
          </cell>
          <cell r="F595">
            <v>5.18</v>
          </cell>
          <cell r="H595">
            <v>6.6400000000000006</v>
          </cell>
          <cell r="I595">
            <v>7.48</v>
          </cell>
          <cell r="AS595">
            <v>1457.7</v>
          </cell>
        </row>
        <row r="596">
          <cell r="B596">
            <v>4.66</v>
          </cell>
          <cell r="C596">
            <v>4.74</v>
          </cell>
          <cell r="F596">
            <v>5.54</v>
          </cell>
          <cell r="H596">
            <v>6.93</v>
          </cell>
          <cell r="I596">
            <v>7.72</v>
          </cell>
          <cell r="AS596">
            <v>1468.1000000000001</v>
          </cell>
        </row>
        <row r="597">
          <cell r="B597">
            <v>4.78</v>
          </cell>
          <cell r="C597">
            <v>4.76</v>
          </cell>
          <cell r="F597">
            <v>5.9</v>
          </cell>
          <cell r="H597">
            <v>7.23</v>
          </cell>
          <cell r="I597">
            <v>8.02</v>
          </cell>
          <cell r="AS597">
            <v>1479.3000000000002</v>
          </cell>
        </row>
        <row r="598">
          <cell r="B598">
            <v>4.75</v>
          </cell>
          <cell r="C598">
            <v>4.99</v>
          </cell>
          <cell r="F598">
            <v>5.79</v>
          </cell>
          <cell r="H598">
            <v>7.19</v>
          </cell>
          <cell r="I598">
            <v>7.95</v>
          </cell>
          <cell r="AS598">
            <v>1492.4</v>
          </cell>
        </row>
        <row r="599">
          <cell r="B599">
            <v>4.93</v>
          </cell>
          <cell r="C599">
            <v>5.07</v>
          </cell>
          <cell r="F599">
            <v>5.94</v>
          </cell>
          <cell r="H599">
            <v>7.4</v>
          </cell>
          <cell r="I599">
            <v>8.15</v>
          </cell>
          <cell r="AS599">
            <v>1503.2</v>
          </cell>
        </row>
        <row r="600">
          <cell r="B600">
            <v>4.8600000000000003</v>
          </cell>
          <cell r="C600">
            <v>5.22</v>
          </cell>
          <cell r="F600">
            <v>5.92</v>
          </cell>
          <cell r="H600">
            <v>7.3900000000000006</v>
          </cell>
          <cell r="I600">
            <v>8.1999999999999993</v>
          </cell>
          <cell r="AS600">
            <v>1511.1000000000001</v>
          </cell>
        </row>
        <row r="601">
          <cell r="B601">
            <v>5.13</v>
          </cell>
          <cell r="C601">
            <v>5.2</v>
          </cell>
          <cell r="F601">
            <v>6.11</v>
          </cell>
          <cell r="H601">
            <v>7.55</v>
          </cell>
          <cell r="I601">
            <v>8.3800000000000008</v>
          </cell>
          <cell r="AS601">
            <v>1517.3000000000002</v>
          </cell>
        </row>
        <row r="602">
          <cell r="B602">
            <v>5.32</v>
          </cell>
          <cell r="C602">
            <v>5.42</v>
          </cell>
          <cell r="F602">
            <v>6.03</v>
          </cell>
          <cell r="H602">
            <v>7.36</v>
          </cell>
          <cell r="I602">
            <v>8.15</v>
          </cell>
          <cell r="AS602">
            <v>1525.3000000000002</v>
          </cell>
        </row>
        <row r="603">
          <cell r="B603">
            <v>5.22</v>
          </cell>
          <cell r="C603">
            <v>5.3</v>
          </cell>
          <cell r="F603">
            <v>6.28</v>
          </cell>
          <cell r="H603">
            <v>7.55</v>
          </cell>
          <cell r="I603">
            <v>8.19</v>
          </cell>
          <cell r="AS603">
            <v>1531.1000000000001</v>
          </cell>
        </row>
        <row r="604">
          <cell r="B604">
            <v>5.68</v>
          </cell>
          <cell r="C604">
            <v>5.45</v>
          </cell>
          <cell r="F604">
            <v>6.66</v>
          </cell>
          <cell r="H604">
            <v>7.78</v>
          </cell>
          <cell r="I604">
            <v>8.33</v>
          </cell>
          <cell r="AS604">
            <v>1538.5</v>
          </cell>
        </row>
        <row r="605">
          <cell r="B605">
            <v>5.8</v>
          </cell>
          <cell r="C605">
            <v>5.73</v>
          </cell>
          <cell r="F605">
            <v>6.5200000000000005</v>
          </cell>
          <cell r="H605">
            <v>7.68</v>
          </cell>
          <cell r="I605">
            <v>8.2900000000000009</v>
          </cell>
          <cell r="AS605">
            <v>1549.2</v>
          </cell>
        </row>
        <row r="606">
          <cell r="B606">
            <v>5.88</v>
          </cell>
          <cell r="C606">
            <v>5.8500000000000005</v>
          </cell>
          <cell r="F606">
            <v>6.26</v>
          </cell>
          <cell r="H606">
            <v>7.68</v>
          </cell>
          <cell r="I606">
            <v>8.370000000000001</v>
          </cell>
          <cell r="AS606">
            <v>1561.5</v>
          </cell>
        </row>
        <row r="607">
          <cell r="B607">
            <v>5.8100000000000005</v>
          </cell>
          <cell r="C607">
            <v>6.0200000000000005</v>
          </cell>
          <cell r="F607">
            <v>5.99</v>
          </cell>
          <cell r="H607">
            <v>7.6400000000000006</v>
          </cell>
          <cell r="I607">
            <v>8.4</v>
          </cell>
          <cell r="AS607">
            <v>1570.5</v>
          </cell>
        </row>
        <row r="608">
          <cell r="B608">
            <v>5.64</v>
          </cell>
          <cell r="C608">
            <v>6.2700000000000005</v>
          </cell>
          <cell r="F608">
            <v>6.44</v>
          </cell>
          <cell r="H608">
            <v>7.99</v>
          </cell>
          <cell r="I608">
            <v>8.9</v>
          </cell>
          <cell r="AS608">
            <v>1583.5</v>
          </cell>
        </row>
        <row r="609">
          <cell r="B609">
            <v>5.87</v>
          </cell>
          <cell r="C609">
            <v>6.53</v>
          </cell>
          <cell r="F609">
            <v>6.1000000000000005</v>
          </cell>
          <cell r="H609">
            <v>7.67</v>
          </cell>
          <cell r="I609">
            <v>8.48</v>
          </cell>
          <cell r="AS609">
            <v>1609.5</v>
          </cell>
        </row>
        <row r="610">
          <cell r="B610">
            <v>6.2</v>
          </cell>
          <cell r="C610">
            <v>6.54</v>
          </cell>
          <cell r="F610">
            <v>6.05</v>
          </cell>
          <cell r="H610">
            <v>7.65</v>
          </cell>
          <cell r="I610">
            <v>8.35</v>
          </cell>
          <cell r="AS610">
            <v>1629.8000000000002</v>
          </cell>
        </row>
        <row r="611">
          <cell r="B611">
            <v>6.3</v>
          </cell>
          <cell r="C611">
            <v>6.5</v>
          </cell>
          <cell r="F611">
            <v>5.83</v>
          </cell>
          <cell r="H611">
            <v>7.55</v>
          </cell>
          <cell r="I611">
            <v>8.26</v>
          </cell>
          <cell r="AS611">
            <v>1651.6000000000001</v>
          </cell>
        </row>
        <row r="612">
          <cell r="B612">
            <v>6.21</v>
          </cell>
          <cell r="C612">
            <v>6.5200000000000005</v>
          </cell>
          <cell r="F612">
            <v>5.8</v>
          </cell>
          <cell r="H612">
            <v>7.62</v>
          </cell>
          <cell r="I612">
            <v>8.35</v>
          </cell>
          <cell r="AS612">
            <v>1669</v>
          </cell>
        </row>
        <row r="613">
          <cell r="B613">
            <v>6.37</v>
          </cell>
          <cell r="C613">
            <v>6.51</v>
          </cell>
          <cell r="F613">
            <v>5.74</v>
          </cell>
          <cell r="H613">
            <v>7.55</v>
          </cell>
          <cell r="I613">
            <v>8.34</v>
          </cell>
          <cell r="AS613">
            <v>1684.6000000000001</v>
          </cell>
        </row>
        <row r="614">
          <cell r="B614">
            <v>6.21</v>
          </cell>
          <cell r="C614">
            <v>6.51</v>
          </cell>
          <cell r="F614">
            <v>5.72</v>
          </cell>
          <cell r="H614">
            <v>7.45</v>
          </cell>
          <cell r="I614">
            <v>8.2799999999999994</v>
          </cell>
          <cell r="AS614">
            <v>1700.9</v>
          </cell>
        </row>
        <row r="615">
          <cell r="B615">
            <v>5.89</v>
          </cell>
          <cell r="C615">
            <v>6.4</v>
          </cell>
          <cell r="F615">
            <v>5.24</v>
          </cell>
          <cell r="H615">
            <v>7.21</v>
          </cell>
          <cell r="I615">
            <v>8.02</v>
          </cell>
          <cell r="AS615">
            <v>1717</v>
          </cell>
        </row>
        <row r="616">
          <cell r="B616">
            <v>4.99</v>
          </cell>
          <cell r="C616">
            <v>5.98</v>
          </cell>
          <cell r="F616">
            <v>5.16</v>
          </cell>
          <cell r="H616">
            <v>7.15</v>
          </cell>
          <cell r="I616">
            <v>7.9300000000000006</v>
          </cell>
          <cell r="AS616">
            <v>1729.9</v>
          </cell>
        </row>
        <row r="617">
          <cell r="B617">
            <v>4.84</v>
          </cell>
          <cell r="C617">
            <v>5.49</v>
          </cell>
          <cell r="F617">
            <v>5.1000000000000005</v>
          </cell>
          <cell r="H617">
            <v>7.1000000000000005</v>
          </cell>
          <cell r="I617">
            <v>7.87</v>
          </cell>
          <cell r="AS617">
            <v>1748.7</v>
          </cell>
        </row>
        <row r="618">
          <cell r="B618">
            <v>4.29</v>
          </cell>
          <cell r="C618">
            <v>5.3100000000000005</v>
          </cell>
          <cell r="F618">
            <v>4.8899999999999997</v>
          </cell>
          <cell r="H618">
            <v>6.98</v>
          </cell>
          <cell r="I618">
            <v>7.84</v>
          </cell>
          <cell r="AS618">
            <v>1760.5</v>
          </cell>
        </row>
        <row r="619">
          <cell r="B619">
            <v>3.89</v>
          </cell>
          <cell r="C619">
            <v>4.8</v>
          </cell>
          <cell r="F619">
            <v>5.14</v>
          </cell>
          <cell r="H619">
            <v>7.2</v>
          </cell>
          <cell r="I619">
            <v>8.07</v>
          </cell>
          <cell r="AS619">
            <v>1773.1000000000001</v>
          </cell>
        </row>
        <row r="620">
          <cell r="B620">
            <v>3.5500000000000003</v>
          </cell>
          <cell r="C620">
            <v>4.21</v>
          </cell>
          <cell r="F620">
            <v>5.39</v>
          </cell>
          <cell r="H620">
            <v>7.29</v>
          </cell>
          <cell r="I620">
            <v>8.07</v>
          </cell>
          <cell r="AS620">
            <v>1781.2</v>
          </cell>
        </row>
        <row r="621">
          <cell r="B621">
            <v>3.62</v>
          </cell>
          <cell r="C621">
            <v>3.97</v>
          </cell>
          <cell r="F621">
            <v>5.28</v>
          </cell>
          <cell r="H621">
            <v>7.18</v>
          </cell>
          <cell r="I621">
            <v>7.97</v>
          </cell>
          <cell r="AS621">
            <v>1792.4</v>
          </cell>
        </row>
        <row r="622">
          <cell r="B622">
            <v>3.54</v>
          </cell>
          <cell r="C622">
            <v>3.77</v>
          </cell>
          <cell r="F622">
            <v>5.24</v>
          </cell>
          <cell r="H622">
            <v>7.13</v>
          </cell>
          <cell r="I622">
            <v>7.97</v>
          </cell>
          <cell r="AS622">
            <v>1797.4</v>
          </cell>
        </row>
        <row r="623">
          <cell r="B623">
            <v>3.37</v>
          </cell>
          <cell r="C623">
            <v>3.65</v>
          </cell>
          <cell r="F623">
            <v>4.97</v>
          </cell>
          <cell r="H623">
            <v>7.0200000000000005</v>
          </cell>
          <cell r="I623">
            <v>7.8500000000000005</v>
          </cell>
          <cell r="AS623">
            <v>1806.4</v>
          </cell>
        </row>
        <row r="624">
          <cell r="B624">
            <v>2.37</v>
          </cell>
          <cell r="C624">
            <v>3.0700000000000003</v>
          </cell>
          <cell r="F624">
            <v>4.7300000000000004</v>
          </cell>
          <cell r="H624">
            <v>7.17</v>
          </cell>
          <cell r="I624">
            <v>8.0299999999999994</v>
          </cell>
          <cell r="AS624">
            <v>1814.3000000000002</v>
          </cell>
        </row>
        <row r="625">
          <cell r="B625">
            <v>2.0499999999999998</v>
          </cell>
          <cell r="C625">
            <v>2.4900000000000002</v>
          </cell>
          <cell r="F625">
            <v>4.57</v>
          </cell>
          <cell r="H625">
            <v>7.03</v>
          </cell>
          <cell r="I625">
            <v>7.91</v>
          </cell>
          <cell r="AS625">
            <v>1829.8000000000002</v>
          </cell>
        </row>
        <row r="626">
          <cell r="B626">
            <v>1.78</v>
          </cell>
          <cell r="C626">
            <v>2.09</v>
          </cell>
          <cell r="F626">
            <v>4.6500000000000004</v>
          </cell>
          <cell r="H626">
            <v>6.97</v>
          </cell>
          <cell r="I626">
            <v>7.8100000000000005</v>
          </cell>
          <cell r="AS626">
            <v>1857.8000000000002</v>
          </cell>
        </row>
        <row r="627">
          <cell r="B627">
            <v>1.73</v>
          </cell>
          <cell r="C627">
            <v>1.82</v>
          </cell>
          <cell r="F627">
            <v>5.09</v>
          </cell>
          <cell r="H627">
            <v>6.7700000000000005</v>
          </cell>
          <cell r="I627">
            <v>8.0500000000000007</v>
          </cell>
          <cell r="AS627">
            <v>1867.9</v>
          </cell>
        </row>
        <row r="628">
          <cell r="B628">
            <v>1.76</v>
          </cell>
          <cell r="C628">
            <v>1.73</v>
          </cell>
          <cell r="F628">
            <v>5.04</v>
          </cell>
          <cell r="H628">
            <v>6.55</v>
          </cell>
          <cell r="I628">
            <v>7.87</v>
          </cell>
          <cell r="AS628">
            <v>1867.4</v>
          </cell>
        </row>
        <row r="629">
          <cell r="B629">
            <v>1.77</v>
          </cell>
          <cell r="C629">
            <v>1.74</v>
          </cell>
          <cell r="F629">
            <v>4.91</v>
          </cell>
          <cell r="H629">
            <v>6.51</v>
          </cell>
          <cell r="I629">
            <v>7.8900000000000006</v>
          </cell>
          <cell r="AS629">
            <v>1881.9</v>
          </cell>
        </row>
        <row r="630">
          <cell r="B630">
            <v>1.79</v>
          </cell>
          <cell r="C630">
            <v>1.73</v>
          </cell>
          <cell r="F630">
            <v>5.28</v>
          </cell>
          <cell r="H630">
            <v>6.8100000000000005</v>
          </cell>
          <cell r="I630">
            <v>8.11</v>
          </cell>
          <cell r="AS630">
            <v>1894.7</v>
          </cell>
        </row>
        <row r="631">
          <cell r="B631">
            <v>1.75</v>
          </cell>
          <cell r="C631">
            <v>1.75</v>
          </cell>
          <cell r="F631">
            <v>5.21</v>
          </cell>
          <cell r="H631">
            <v>6.76</v>
          </cell>
          <cell r="I631">
            <v>8.0299999999999994</v>
          </cell>
          <cell r="AS631">
            <v>1904</v>
          </cell>
        </row>
        <row r="632">
          <cell r="B632">
            <v>1.73</v>
          </cell>
          <cell r="C632">
            <v>1.75</v>
          </cell>
          <cell r="F632">
            <v>5.16</v>
          </cell>
          <cell r="H632">
            <v>6.75</v>
          </cell>
          <cell r="I632">
            <v>8.09</v>
          </cell>
          <cell r="AS632">
            <v>1914.6000000000001</v>
          </cell>
        </row>
        <row r="633">
          <cell r="B633">
            <v>1.67</v>
          </cell>
          <cell r="C633">
            <v>1.75</v>
          </cell>
          <cell r="F633">
            <v>4.93</v>
          </cell>
          <cell r="H633">
            <v>6.63</v>
          </cell>
          <cell r="I633">
            <v>7.95</v>
          </cell>
          <cell r="AS633">
            <v>1927.2</v>
          </cell>
        </row>
        <row r="634">
          <cell r="B634">
            <v>1.68</v>
          </cell>
          <cell r="C634">
            <v>1.73</v>
          </cell>
          <cell r="F634">
            <v>4.6500000000000004</v>
          </cell>
          <cell r="H634">
            <v>6.53</v>
          </cell>
          <cell r="I634">
            <v>7.9</v>
          </cell>
          <cell r="AS634">
            <v>1939.2</v>
          </cell>
        </row>
        <row r="635">
          <cell r="B635">
            <v>1.6400000000000001</v>
          </cell>
          <cell r="C635">
            <v>1.74</v>
          </cell>
          <cell r="F635">
            <v>4.26</v>
          </cell>
          <cell r="H635">
            <v>6.37</v>
          </cell>
          <cell r="I635">
            <v>7.58</v>
          </cell>
          <cell r="AS635">
            <v>1947.5</v>
          </cell>
        </row>
        <row r="636">
          <cell r="B636">
            <v>1.6</v>
          </cell>
          <cell r="C636">
            <v>1.75</v>
          </cell>
          <cell r="F636">
            <v>3.87</v>
          </cell>
          <cell r="H636">
            <v>6.15</v>
          </cell>
          <cell r="I636">
            <v>7.4</v>
          </cell>
          <cell r="AS636">
            <v>1950.7</v>
          </cell>
        </row>
        <row r="637">
          <cell r="B637">
            <v>1.47</v>
          </cell>
          <cell r="C637">
            <v>1.75</v>
          </cell>
          <cell r="F637">
            <v>3.94</v>
          </cell>
          <cell r="H637">
            <v>6.32</v>
          </cell>
          <cell r="I637">
            <v>7.73</v>
          </cell>
          <cell r="AS637">
            <v>1957.2</v>
          </cell>
        </row>
        <row r="638">
          <cell r="B638">
            <v>1.23</v>
          </cell>
          <cell r="C638">
            <v>1.34</v>
          </cell>
          <cell r="F638">
            <v>4.05</v>
          </cell>
          <cell r="H638">
            <v>6.3100000000000005</v>
          </cell>
          <cell r="I638">
            <v>7.62</v>
          </cell>
          <cell r="AS638">
            <v>1965.2</v>
          </cell>
        </row>
        <row r="639">
          <cell r="B639">
            <v>1.19</v>
          </cell>
          <cell r="C639">
            <v>1.24</v>
          </cell>
          <cell r="F639">
            <v>4.03</v>
          </cell>
          <cell r="H639">
            <v>6.21</v>
          </cell>
          <cell r="I639">
            <v>7.45</v>
          </cell>
          <cell r="AS639">
            <v>1972.1000000000001</v>
          </cell>
        </row>
        <row r="640">
          <cell r="B640">
            <v>1.1500000000000001</v>
          </cell>
          <cell r="C640">
            <v>1.24</v>
          </cell>
          <cell r="F640">
            <v>4.05</v>
          </cell>
          <cell r="H640">
            <v>6.17</v>
          </cell>
          <cell r="I640">
            <v>7.3500000000000005</v>
          </cell>
          <cell r="AS640">
            <v>1982.6000000000001</v>
          </cell>
        </row>
        <row r="641">
          <cell r="B641">
            <v>1.18</v>
          </cell>
          <cell r="C641">
            <v>1.26</v>
          </cell>
          <cell r="F641">
            <v>3.9</v>
          </cell>
          <cell r="H641">
            <v>5.95</v>
          </cell>
          <cell r="I641">
            <v>7.0600000000000005</v>
          </cell>
          <cell r="AS641">
            <v>1993.4</v>
          </cell>
        </row>
        <row r="642">
          <cell r="B642">
            <v>1.0900000000000001</v>
          </cell>
          <cell r="C642">
            <v>1.25</v>
          </cell>
          <cell r="F642">
            <v>3.81</v>
          </cell>
          <cell r="H642">
            <v>5.89</v>
          </cell>
          <cell r="I642">
            <v>6.95</v>
          </cell>
          <cell r="AS642">
            <v>2001.2</v>
          </cell>
        </row>
        <row r="643">
          <cell r="B643">
            <v>1.1200000000000001</v>
          </cell>
          <cell r="C643">
            <v>1.26</v>
          </cell>
          <cell r="F643">
            <v>3.96</v>
          </cell>
          <cell r="H643">
            <v>5.74</v>
          </cell>
          <cell r="I643">
            <v>6.8500000000000005</v>
          </cell>
          <cell r="AS643">
            <v>2014.1000000000001</v>
          </cell>
        </row>
        <row r="644">
          <cell r="B644">
            <v>1.08</v>
          </cell>
          <cell r="C644">
            <v>1.26</v>
          </cell>
          <cell r="F644">
            <v>3.5700000000000003</v>
          </cell>
          <cell r="H644">
            <v>5.22</v>
          </cell>
          <cell r="I644">
            <v>6.38</v>
          </cell>
          <cell r="AS644">
            <v>2027.5</v>
          </cell>
        </row>
        <row r="645">
          <cell r="B645">
            <v>0.84</v>
          </cell>
          <cell r="C645">
            <v>1.22</v>
          </cell>
          <cell r="F645">
            <v>3.33</v>
          </cell>
          <cell r="H645">
            <v>4.97</v>
          </cell>
          <cell r="I645">
            <v>6.19</v>
          </cell>
          <cell r="AS645">
            <v>2033.3000000000002</v>
          </cell>
        </row>
        <row r="646">
          <cell r="B646">
            <v>0.95000000000000007</v>
          </cell>
          <cell r="C646">
            <v>1.01</v>
          </cell>
          <cell r="F646">
            <v>3.98</v>
          </cell>
          <cell r="H646">
            <v>5.49</v>
          </cell>
          <cell r="I646">
            <v>6.62</v>
          </cell>
          <cell r="AS646">
            <v>2040.1000000000001</v>
          </cell>
        </row>
        <row r="647">
          <cell r="B647">
            <v>0.96</v>
          </cell>
          <cell r="C647">
            <v>1.03</v>
          </cell>
          <cell r="F647">
            <v>4.45</v>
          </cell>
          <cell r="H647">
            <v>5.88</v>
          </cell>
          <cell r="I647">
            <v>7.01</v>
          </cell>
          <cell r="AS647">
            <v>2049.1</v>
          </cell>
        </row>
        <row r="648">
          <cell r="B648">
            <v>0.93</v>
          </cell>
          <cell r="C648">
            <v>1.01</v>
          </cell>
          <cell r="F648">
            <v>4.2700000000000005</v>
          </cell>
          <cell r="H648">
            <v>5.72</v>
          </cell>
          <cell r="I648">
            <v>6.79</v>
          </cell>
          <cell r="AS648">
            <v>2057.1</v>
          </cell>
        </row>
        <row r="649">
          <cell r="B649">
            <v>0.93</v>
          </cell>
          <cell r="C649">
            <v>1.01</v>
          </cell>
          <cell r="F649">
            <v>4.29</v>
          </cell>
          <cell r="H649">
            <v>5.7</v>
          </cell>
          <cell r="I649">
            <v>6.73</v>
          </cell>
          <cell r="AS649">
            <v>2065.5</v>
          </cell>
        </row>
        <row r="650">
          <cell r="B650">
            <v>0.91</v>
          </cell>
          <cell r="C650">
            <v>1</v>
          </cell>
          <cell r="F650">
            <v>4.3</v>
          </cell>
          <cell r="H650">
            <v>5.65</v>
          </cell>
          <cell r="I650">
            <v>6.66</v>
          </cell>
          <cell r="AS650">
            <v>2066.4</v>
          </cell>
        </row>
        <row r="651">
          <cell r="B651">
            <v>0.91</v>
          </cell>
          <cell r="C651">
            <v>0.98</v>
          </cell>
          <cell r="F651">
            <v>4.2700000000000005</v>
          </cell>
          <cell r="H651">
            <v>5.62</v>
          </cell>
          <cell r="I651">
            <v>6.6000000000000005</v>
          </cell>
          <cell r="AS651">
            <v>2077.4</v>
          </cell>
        </row>
        <row r="652">
          <cell r="B652">
            <v>0.9</v>
          </cell>
          <cell r="C652">
            <v>1</v>
          </cell>
          <cell r="F652">
            <v>4.1500000000000004</v>
          </cell>
          <cell r="H652">
            <v>5.54</v>
          </cell>
          <cell r="I652">
            <v>6.44</v>
          </cell>
          <cell r="AS652">
            <v>2088.2000000000003</v>
          </cell>
        </row>
        <row r="653">
          <cell r="B653">
            <v>0.93</v>
          </cell>
          <cell r="C653">
            <v>1.01</v>
          </cell>
          <cell r="F653">
            <v>4.08</v>
          </cell>
          <cell r="H653">
            <v>5.5</v>
          </cell>
          <cell r="I653">
            <v>6.2700000000000005</v>
          </cell>
          <cell r="AS653">
            <v>2095.3000000000002</v>
          </cell>
        </row>
        <row r="654">
          <cell r="B654">
            <v>0.93</v>
          </cell>
          <cell r="C654">
            <v>1</v>
          </cell>
          <cell r="F654">
            <v>3.83</v>
          </cell>
          <cell r="H654">
            <v>5.33</v>
          </cell>
          <cell r="I654">
            <v>6.11</v>
          </cell>
          <cell r="AS654">
            <v>2109.7000000000003</v>
          </cell>
        </row>
        <row r="655">
          <cell r="B655">
            <v>0.96</v>
          </cell>
          <cell r="C655">
            <v>1</v>
          </cell>
          <cell r="F655">
            <v>4.3500000000000005</v>
          </cell>
          <cell r="H655">
            <v>5.73</v>
          </cell>
          <cell r="I655">
            <v>6.46</v>
          </cell>
          <cell r="AS655">
            <v>2112.7000000000003</v>
          </cell>
        </row>
        <row r="656">
          <cell r="B656">
            <v>1.06</v>
          </cell>
          <cell r="C656">
            <v>1</v>
          </cell>
          <cell r="F656">
            <v>4.72</v>
          </cell>
          <cell r="H656">
            <v>6.04</v>
          </cell>
          <cell r="I656">
            <v>6.75</v>
          </cell>
          <cell r="AS656">
            <v>2120.8000000000002</v>
          </cell>
        </row>
        <row r="657">
          <cell r="B657">
            <v>1.3</v>
          </cell>
          <cell r="C657">
            <v>1.03</v>
          </cell>
          <cell r="F657">
            <v>4.7300000000000004</v>
          </cell>
          <cell r="H657">
            <v>6.01</v>
          </cell>
          <cell r="I657">
            <v>6.78</v>
          </cell>
          <cell r="AS657">
            <v>2128</v>
          </cell>
        </row>
        <row r="658">
          <cell r="B658">
            <v>1.41</v>
          </cell>
          <cell r="C658">
            <v>1.26</v>
          </cell>
          <cell r="F658">
            <v>4.5</v>
          </cell>
          <cell r="H658">
            <v>5.82</v>
          </cell>
          <cell r="I658">
            <v>6.62</v>
          </cell>
          <cell r="AS658">
            <v>2137.1</v>
          </cell>
        </row>
        <row r="659">
          <cell r="B659">
            <v>1.59</v>
          </cell>
          <cell r="C659">
            <v>1.43</v>
          </cell>
          <cell r="F659">
            <v>4.28</v>
          </cell>
          <cell r="H659">
            <v>5.65</v>
          </cell>
          <cell r="I659">
            <v>6.46</v>
          </cell>
          <cell r="AS659">
            <v>2143.4</v>
          </cell>
        </row>
        <row r="660">
          <cell r="B660">
            <v>1.68</v>
          </cell>
          <cell r="C660">
            <v>1.61</v>
          </cell>
          <cell r="F660">
            <v>4.13</v>
          </cell>
          <cell r="H660">
            <v>5.46</v>
          </cell>
          <cell r="I660">
            <v>6.2700000000000005</v>
          </cell>
          <cell r="AS660">
            <v>2160.1</v>
          </cell>
        </row>
        <row r="661">
          <cell r="B661">
            <v>1.87</v>
          </cell>
          <cell r="C661">
            <v>1.76</v>
          </cell>
          <cell r="F661">
            <v>4.0999999999999996</v>
          </cell>
          <cell r="H661">
            <v>5.47</v>
          </cell>
          <cell r="I661">
            <v>6.21</v>
          </cell>
          <cell r="AS661">
            <v>2176.7000000000003</v>
          </cell>
        </row>
        <row r="662">
          <cell r="B662">
            <v>2.19</v>
          </cell>
          <cell r="C662">
            <v>1.93</v>
          </cell>
          <cell r="F662">
            <v>4.1900000000000004</v>
          </cell>
          <cell r="H662">
            <v>5.5200000000000005</v>
          </cell>
          <cell r="I662">
            <v>6.2</v>
          </cell>
          <cell r="AS662">
            <v>2183.7000000000003</v>
          </cell>
        </row>
        <row r="663">
          <cell r="B663">
            <v>2.1800000000000002</v>
          </cell>
          <cell r="C663">
            <v>2.16</v>
          </cell>
          <cell r="F663">
            <v>4.2300000000000004</v>
          </cell>
          <cell r="H663">
            <v>5.47</v>
          </cell>
          <cell r="I663">
            <v>6.15</v>
          </cell>
          <cell r="AS663">
            <v>2192.2000000000003</v>
          </cell>
        </row>
        <row r="664">
          <cell r="B664">
            <v>2.48</v>
          </cell>
          <cell r="C664">
            <v>2.2800000000000002</v>
          </cell>
          <cell r="F664">
            <v>4.22</v>
          </cell>
          <cell r="H664">
            <v>5.36</v>
          </cell>
          <cell r="I664">
            <v>6.0200000000000005</v>
          </cell>
          <cell r="AS664">
            <v>2196.8000000000002</v>
          </cell>
        </row>
        <row r="665">
          <cell r="B665">
            <v>2.72</v>
          </cell>
          <cell r="C665">
            <v>2.5</v>
          </cell>
          <cell r="F665">
            <v>4.17</v>
          </cell>
          <cell r="H665">
            <v>5.2</v>
          </cell>
          <cell r="I665">
            <v>5.82</v>
          </cell>
          <cell r="AS665">
            <v>2211.6</v>
          </cell>
        </row>
        <row r="666">
          <cell r="B666">
            <v>2.73</v>
          </cell>
          <cell r="C666">
            <v>2.63</v>
          </cell>
          <cell r="F666">
            <v>4.5</v>
          </cell>
          <cell r="H666">
            <v>5.4</v>
          </cell>
          <cell r="I666">
            <v>6.0600000000000005</v>
          </cell>
          <cell r="AS666">
            <v>2220.2000000000003</v>
          </cell>
        </row>
        <row r="667">
          <cell r="B667">
            <v>2.84</v>
          </cell>
          <cell r="C667">
            <v>2.79</v>
          </cell>
          <cell r="F667">
            <v>4.34</v>
          </cell>
          <cell r="H667">
            <v>5.33</v>
          </cell>
          <cell r="I667">
            <v>6.05</v>
          </cell>
          <cell r="AS667">
            <v>2232.5</v>
          </cell>
        </row>
        <row r="668">
          <cell r="B668">
            <v>2.93</v>
          </cell>
          <cell r="C668">
            <v>3</v>
          </cell>
          <cell r="F668">
            <v>4.1399999999999997</v>
          </cell>
          <cell r="H668">
            <v>5.15</v>
          </cell>
          <cell r="I668">
            <v>6.01</v>
          </cell>
          <cell r="AS668">
            <v>2232.7000000000003</v>
          </cell>
        </row>
        <row r="669">
          <cell r="B669">
            <v>3.06</v>
          </cell>
          <cell r="C669">
            <v>3.04</v>
          </cell>
          <cell r="F669">
            <v>4</v>
          </cell>
          <cell r="H669">
            <v>4.96</v>
          </cell>
          <cell r="I669">
            <v>5.86</v>
          </cell>
          <cell r="AS669">
            <v>2247.8000000000002</v>
          </cell>
        </row>
        <row r="670">
          <cell r="B670">
            <v>3.34</v>
          </cell>
          <cell r="C670">
            <v>3.2600000000000002</v>
          </cell>
          <cell r="F670">
            <v>4.18</v>
          </cell>
          <cell r="H670">
            <v>5.0600000000000005</v>
          </cell>
          <cell r="I670">
            <v>5.95</v>
          </cell>
          <cell r="AS670">
            <v>2257.2000000000003</v>
          </cell>
        </row>
        <row r="671">
          <cell r="B671">
            <v>3.44</v>
          </cell>
          <cell r="C671">
            <v>3.5</v>
          </cell>
          <cell r="F671">
            <v>4.26</v>
          </cell>
          <cell r="H671">
            <v>5.09</v>
          </cell>
          <cell r="I671">
            <v>5.96</v>
          </cell>
          <cell r="AS671">
            <v>2267</v>
          </cell>
        </row>
        <row r="672">
          <cell r="B672">
            <v>3.47</v>
          </cell>
          <cell r="C672">
            <v>3.62</v>
          </cell>
          <cell r="F672">
            <v>4.2</v>
          </cell>
          <cell r="H672">
            <v>5.13</v>
          </cell>
          <cell r="I672">
            <v>6.03</v>
          </cell>
          <cell r="AS672">
            <v>2271.6</v>
          </cell>
        </row>
        <row r="673">
          <cell r="B673">
            <v>3.89</v>
          </cell>
          <cell r="C673">
            <v>3.7800000000000002</v>
          </cell>
          <cell r="F673">
            <v>4.46</v>
          </cell>
          <cell r="H673">
            <v>5.3500000000000005</v>
          </cell>
          <cell r="I673">
            <v>6.3</v>
          </cell>
          <cell r="AS673">
            <v>2276.8000000000002</v>
          </cell>
        </row>
        <row r="674">
          <cell r="B674">
            <v>3.86</v>
          </cell>
          <cell r="C674">
            <v>4</v>
          </cell>
          <cell r="F674">
            <v>4.54</v>
          </cell>
          <cell r="H674">
            <v>5.42</v>
          </cell>
          <cell r="I674">
            <v>6.3900000000000006</v>
          </cell>
          <cell r="AS674">
            <v>2283.7000000000003</v>
          </cell>
        </row>
        <row r="675">
          <cell r="B675">
            <v>3.99</v>
          </cell>
          <cell r="C675">
            <v>4.16</v>
          </cell>
          <cell r="F675">
            <v>4.47</v>
          </cell>
          <cell r="H675">
            <v>5.37</v>
          </cell>
          <cell r="I675">
            <v>6.32</v>
          </cell>
          <cell r="AS675">
            <v>2290.9</v>
          </cell>
        </row>
        <row r="676">
          <cell r="B676">
            <v>4.37</v>
          </cell>
          <cell r="C676">
            <v>4.29</v>
          </cell>
          <cell r="F676">
            <v>4.42</v>
          </cell>
          <cell r="H676">
            <v>5.29</v>
          </cell>
          <cell r="I676">
            <v>6.24</v>
          </cell>
          <cell r="AS676">
            <v>2299.2000000000003</v>
          </cell>
        </row>
        <row r="677">
          <cell r="B677">
            <v>4.51</v>
          </cell>
          <cell r="C677">
            <v>4.49</v>
          </cell>
          <cell r="F677">
            <v>4.57</v>
          </cell>
          <cell r="H677">
            <v>5.3500000000000005</v>
          </cell>
          <cell r="I677">
            <v>6.2700000000000005</v>
          </cell>
          <cell r="AS677">
            <v>2306.5</v>
          </cell>
        </row>
        <row r="678">
          <cell r="B678">
            <v>4.5200000000000005</v>
          </cell>
          <cell r="C678">
            <v>4.59</v>
          </cell>
          <cell r="F678">
            <v>4.72</v>
          </cell>
          <cell r="H678">
            <v>5.53</v>
          </cell>
          <cell r="I678">
            <v>6.41</v>
          </cell>
          <cell r="AS678">
            <v>2308.9</v>
          </cell>
        </row>
        <row r="679">
          <cell r="B679">
            <v>4.6500000000000004</v>
          </cell>
          <cell r="C679">
            <v>4.79</v>
          </cell>
          <cell r="F679">
            <v>4.99</v>
          </cell>
          <cell r="H679">
            <v>5.84</v>
          </cell>
          <cell r="I679">
            <v>6.68</v>
          </cell>
          <cell r="AS679">
            <v>2317.1</v>
          </cell>
        </row>
        <row r="680">
          <cell r="B680">
            <v>4.74</v>
          </cell>
          <cell r="C680">
            <v>4.9400000000000004</v>
          </cell>
          <cell r="F680">
            <v>5.1100000000000003</v>
          </cell>
          <cell r="H680">
            <v>5.95</v>
          </cell>
          <cell r="I680">
            <v>6.75</v>
          </cell>
          <cell r="AS680">
            <v>2329.4</v>
          </cell>
        </row>
        <row r="681">
          <cell r="B681">
            <v>4.87</v>
          </cell>
          <cell r="C681">
            <v>4.99</v>
          </cell>
          <cell r="F681">
            <v>5.1100000000000003</v>
          </cell>
          <cell r="H681">
            <v>5.89</v>
          </cell>
          <cell r="I681">
            <v>6.78</v>
          </cell>
          <cell r="AS681">
            <v>2331.9</v>
          </cell>
        </row>
        <row r="682">
          <cell r="B682">
            <v>4.97</v>
          </cell>
          <cell r="C682">
            <v>5.24</v>
          </cell>
          <cell r="F682">
            <v>5.09</v>
          </cell>
          <cell r="H682">
            <v>5.8500000000000005</v>
          </cell>
          <cell r="I682">
            <v>6.76</v>
          </cell>
          <cell r="AS682">
            <v>2341</v>
          </cell>
        </row>
        <row r="683">
          <cell r="B683">
            <v>4.92</v>
          </cell>
          <cell r="C683">
            <v>5.25</v>
          </cell>
          <cell r="F683">
            <v>4.88</v>
          </cell>
          <cell r="H683">
            <v>5.68</v>
          </cell>
          <cell r="I683">
            <v>6.59</v>
          </cell>
          <cell r="AS683">
            <v>2349.5</v>
          </cell>
        </row>
        <row r="684">
          <cell r="B684">
            <v>4.7700000000000005</v>
          </cell>
          <cell r="C684">
            <v>5.25</v>
          </cell>
          <cell r="F684">
            <v>4.72</v>
          </cell>
          <cell r="H684">
            <v>5.51</v>
          </cell>
          <cell r="I684">
            <v>6.43</v>
          </cell>
          <cell r="AS684">
            <v>2356</v>
          </cell>
        </row>
        <row r="685">
          <cell r="B685">
            <v>4.95</v>
          </cell>
          <cell r="C685">
            <v>5.25</v>
          </cell>
          <cell r="F685">
            <v>4.7300000000000004</v>
          </cell>
          <cell r="H685">
            <v>5.51</v>
          </cell>
          <cell r="I685">
            <v>6.42</v>
          </cell>
          <cell r="AS685">
            <v>2361</v>
          </cell>
        </row>
        <row r="686">
          <cell r="B686">
            <v>4.9000000000000004</v>
          </cell>
          <cell r="C686">
            <v>5.25</v>
          </cell>
          <cell r="F686">
            <v>4.6000000000000005</v>
          </cell>
          <cell r="H686">
            <v>5.33</v>
          </cell>
          <cell r="I686">
            <v>6.2</v>
          </cell>
          <cell r="AS686">
            <v>2376.1</v>
          </cell>
        </row>
        <row r="687">
          <cell r="B687">
            <v>4.8899999999999997</v>
          </cell>
          <cell r="C687">
            <v>5.24</v>
          </cell>
          <cell r="F687">
            <v>4.5600000000000005</v>
          </cell>
          <cell r="H687">
            <v>5.32</v>
          </cell>
          <cell r="I687">
            <v>6.22</v>
          </cell>
          <cell r="AS687">
            <v>2384.9</v>
          </cell>
        </row>
        <row r="688">
          <cell r="B688">
            <v>4.99</v>
          </cell>
          <cell r="C688">
            <v>5.25</v>
          </cell>
          <cell r="F688">
            <v>4.76</v>
          </cell>
          <cell r="H688">
            <v>5.4</v>
          </cell>
          <cell r="I688">
            <v>6.34</v>
          </cell>
          <cell r="AS688">
            <v>2389.8000000000002</v>
          </cell>
        </row>
        <row r="689">
          <cell r="B689">
            <v>5.01</v>
          </cell>
          <cell r="C689">
            <v>5.26</v>
          </cell>
          <cell r="F689">
            <v>4.72</v>
          </cell>
          <cell r="H689">
            <v>5.39</v>
          </cell>
          <cell r="I689">
            <v>6.28</v>
          </cell>
          <cell r="AS689">
            <v>2400.2000000000003</v>
          </cell>
        </row>
        <row r="690">
          <cell r="B690">
            <v>4.9000000000000004</v>
          </cell>
          <cell r="C690">
            <v>5.26</v>
          </cell>
          <cell r="F690">
            <v>4.5600000000000005</v>
          </cell>
          <cell r="H690">
            <v>5.3</v>
          </cell>
          <cell r="I690">
            <v>6.2700000000000005</v>
          </cell>
          <cell r="AS690">
            <v>2415</v>
          </cell>
        </row>
        <row r="691">
          <cell r="B691">
            <v>4.79</v>
          </cell>
          <cell r="C691">
            <v>5.25</v>
          </cell>
          <cell r="F691">
            <v>4.6900000000000004</v>
          </cell>
          <cell r="H691">
            <v>5.47</v>
          </cell>
          <cell r="I691">
            <v>6.3900000000000006</v>
          </cell>
          <cell r="AS691">
            <v>2422.2000000000003</v>
          </cell>
        </row>
        <row r="692">
          <cell r="B692">
            <v>4.6000000000000005</v>
          </cell>
          <cell r="C692">
            <v>5.25</v>
          </cell>
          <cell r="F692">
            <v>4.75</v>
          </cell>
          <cell r="H692">
            <v>5.47</v>
          </cell>
          <cell r="I692">
            <v>6.3900000000000006</v>
          </cell>
          <cell r="AS692">
            <v>2438.4</v>
          </cell>
        </row>
        <row r="693">
          <cell r="B693">
            <v>4.68</v>
          </cell>
          <cell r="C693">
            <v>5.25</v>
          </cell>
          <cell r="F693">
            <v>5.1000000000000005</v>
          </cell>
          <cell r="H693">
            <v>5.79</v>
          </cell>
          <cell r="I693">
            <v>6.7</v>
          </cell>
          <cell r="AS693">
            <v>2449</v>
          </cell>
        </row>
        <row r="694">
          <cell r="B694">
            <v>4.82</v>
          </cell>
          <cell r="C694">
            <v>5.26</v>
          </cell>
          <cell r="F694">
            <v>5</v>
          </cell>
          <cell r="H694">
            <v>5.73</v>
          </cell>
          <cell r="I694">
            <v>6.65</v>
          </cell>
          <cell r="AS694">
            <v>2461</v>
          </cell>
        </row>
        <row r="695">
          <cell r="B695">
            <v>3.91</v>
          </cell>
          <cell r="C695">
            <v>5.0200000000000005</v>
          </cell>
          <cell r="F695">
            <v>4.67</v>
          </cell>
          <cell r="H695">
            <v>5.79</v>
          </cell>
          <cell r="I695">
            <v>6.65</v>
          </cell>
          <cell r="AS695">
            <v>2478.6000000000004</v>
          </cell>
        </row>
        <row r="696">
          <cell r="B696">
            <v>3.72</v>
          </cell>
          <cell r="C696">
            <v>4.9400000000000004</v>
          </cell>
          <cell r="F696">
            <v>4.5200000000000005</v>
          </cell>
          <cell r="H696">
            <v>5.74</v>
          </cell>
          <cell r="I696">
            <v>6.59</v>
          </cell>
          <cell r="AS696">
            <v>2490.3000000000002</v>
          </cell>
        </row>
        <row r="697">
          <cell r="B697">
            <v>3.84</v>
          </cell>
          <cell r="C697">
            <v>4.76</v>
          </cell>
          <cell r="F697">
            <v>4.53</v>
          </cell>
          <cell r="H697">
            <v>5.66</v>
          </cell>
          <cell r="I697">
            <v>6.48</v>
          </cell>
          <cell r="AS697">
            <v>2501</v>
          </cell>
        </row>
        <row r="698">
          <cell r="B698">
            <v>3.08</v>
          </cell>
          <cell r="C698">
            <v>4.49</v>
          </cell>
          <cell r="F698">
            <v>4.1500000000000004</v>
          </cell>
          <cell r="H698">
            <v>5.44</v>
          </cell>
          <cell r="I698">
            <v>6.4</v>
          </cell>
          <cell r="AS698">
            <v>2514.8000000000002</v>
          </cell>
        </row>
        <row r="699">
          <cell r="B699">
            <v>3.29</v>
          </cell>
          <cell r="C699">
            <v>4.24</v>
          </cell>
          <cell r="F699">
            <v>4.0999999999999996</v>
          </cell>
          <cell r="H699">
            <v>5.49</v>
          </cell>
          <cell r="I699">
            <v>6.65</v>
          </cell>
          <cell r="AS699">
            <v>2522.5</v>
          </cell>
        </row>
        <row r="700">
          <cell r="B700">
            <v>1.92</v>
          </cell>
          <cell r="C700">
            <v>3.94</v>
          </cell>
          <cell r="F700">
            <v>3.74</v>
          </cell>
          <cell r="H700">
            <v>5.33</v>
          </cell>
          <cell r="I700">
            <v>6.54</v>
          </cell>
          <cell r="AS700">
            <v>2529.2000000000003</v>
          </cell>
        </row>
        <row r="701">
          <cell r="B701">
            <v>1.81</v>
          </cell>
          <cell r="C701">
            <v>2.98</v>
          </cell>
          <cell r="F701">
            <v>3.74</v>
          </cell>
          <cell r="H701">
            <v>5.53</v>
          </cell>
          <cell r="I701">
            <v>6.82</v>
          </cell>
          <cell r="AS701">
            <v>2540.7000000000003</v>
          </cell>
        </row>
        <row r="702">
          <cell r="B702">
            <v>1.36</v>
          </cell>
          <cell r="C702">
            <v>2.61</v>
          </cell>
          <cell r="F702">
            <v>3.5100000000000002</v>
          </cell>
          <cell r="H702">
            <v>5.51</v>
          </cell>
          <cell r="I702">
            <v>6.8900000000000006</v>
          </cell>
          <cell r="AS702">
            <v>2554</v>
          </cell>
        </row>
        <row r="703">
          <cell r="B703">
            <v>1.41</v>
          </cell>
          <cell r="C703">
            <v>2.2800000000000002</v>
          </cell>
          <cell r="F703">
            <v>3.68</v>
          </cell>
          <cell r="H703">
            <v>5.55</v>
          </cell>
          <cell r="I703">
            <v>6.97</v>
          </cell>
          <cell r="AS703">
            <v>2567.4</v>
          </cell>
        </row>
        <row r="704">
          <cell r="B704">
            <v>1.85</v>
          </cell>
          <cell r="C704">
            <v>1.98</v>
          </cell>
          <cell r="F704">
            <v>3.88</v>
          </cell>
          <cell r="H704">
            <v>5.57</v>
          </cell>
          <cell r="I704">
            <v>6.93</v>
          </cell>
          <cell r="AS704">
            <v>2568.7000000000003</v>
          </cell>
        </row>
        <row r="705">
          <cell r="B705">
            <v>1.87</v>
          </cell>
          <cell r="C705">
            <v>2</v>
          </cell>
          <cell r="F705">
            <v>4.0999999999999996</v>
          </cell>
          <cell r="H705">
            <v>5.68</v>
          </cell>
          <cell r="I705">
            <v>7.07</v>
          </cell>
          <cell r="AS705">
            <v>2576.6000000000004</v>
          </cell>
        </row>
        <row r="706">
          <cell r="B706">
            <v>1.6500000000000001</v>
          </cell>
          <cell r="C706">
            <v>2.0100000000000002</v>
          </cell>
          <cell r="F706">
            <v>4.01</v>
          </cell>
          <cell r="H706">
            <v>5.67</v>
          </cell>
          <cell r="I706">
            <v>7.16</v>
          </cell>
          <cell r="AS706">
            <v>2581.5</v>
          </cell>
        </row>
        <row r="707">
          <cell r="B707">
            <v>1.69</v>
          </cell>
          <cell r="C707">
            <v>2</v>
          </cell>
          <cell r="F707">
            <v>3.89</v>
          </cell>
          <cell r="H707">
            <v>5.64</v>
          </cell>
          <cell r="I707">
            <v>7.15</v>
          </cell>
          <cell r="AS707">
            <v>2572.7000000000003</v>
          </cell>
        </row>
        <row r="708">
          <cell r="B708">
            <v>0.9</v>
          </cell>
          <cell r="C708">
            <v>1.81</v>
          </cell>
          <cell r="F708">
            <v>3.69</v>
          </cell>
          <cell r="H708">
            <v>5.65</v>
          </cell>
          <cell r="I708">
            <v>7.3100000000000005</v>
          </cell>
          <cell r="AS708">
            <v>2575.1000000000004</v>
          </cell>
        </row>
        <row r="709">
          <cell r="B709">
            <v>0.44</v>
          </cell>
          <cell r="C709">
            <v>0.97</v>
          </cell>
          <cell r="F709">
            <v>3.81</v>
          </cell>
          <cell r="H709">
            <v>6.28</v>
          </cell>
          <cell r="I709">
            <v>8.8800000000000008</v>
          </cell>
          <cell r="AS709">
            <v>2571.4</v>
          </cell>
        </row>
        <row r="710">
          <cell r="B710">
            <v>0.01</v>
          </cell>
          <cell r="C710">
            <v>0.39</v>
          </cell>
          <cell r="F710">
            <v>3.5300000000000002</v>
          </cell>
          <cell r="H710">
            <v>6.12</v>
          </cell>
          <cell r="I710">
            <v>9.2100000000000009</v>
          </cell>
          <cell r="AS710">
            <v>2564.8000000000002</v>
          </cell>
        </row>
        <row r="711">
          <cell r="B711">
            <v>0.11</v>
          </cell>
          <cell r="C711">
            <v>0.16</v>
          </cell>
          <cell r="F711">
            <v>2.42</v>
          </cell>
          <cell r="H711">
            <v>5.05</v>
          </cell>
          <cell r="I711">
            <v>8.43</v>
          </cell>
          <cell r="AS711">
            <v>2561.8000000000002</v>
          </cell>
        </row>
        <row r="712">
          <cell r="B712">
            <v>0.24</v>
          </cell>
          <cell r="C712">
            <v>0.15</v>
          </cell>
          <cell r="F712">
            <v>2.52</v>
          </cell>
          <cell r="H712">
            <v>5.05</v>
          </cell>
          <cell r="I712">
            <v>8.14</v>
          </cell>
          <cell r="AS712">
            <v>2561.5</v>
          </cell>
        </row>
        <row r="713">
          <cell r="B713">
            <v>0.26</v>
          </cell>
          <cell r="C713">
            <v>0.22</v>
          </cell>
          <cell r="F713">
            <v>2.87</v>
          </cell>
          <cell r="H713">
            <v>5.2700000000000005</v>
          </cell>
          <cell r="I713">
            <v>8.08</v>
          </cell>
          <cell r="AS713">
            <v>2551.5</v>
          </cell>
        </row>
        <row r="714">
          <cell r="B714">
            <v>0.21</v>
          </cell>
          <cell r="C714">
            <v>0.18</v>
          </cell>
          <cell r="F714">
            <v>2.82</v>
          </cell>
          <cell r="H714">
            <v>5.5</v>
          </cell>
          <cell r="I714">
            <v>8.42</v>
          </cell>
          <cell r="AS714">
            <v>2539.2000000000003</v>
          </cell>
        </row>
        <row r="715">
          <cell r="B715">
            <v>0.14000000000000001</v>
          </cell>
          <cell r="C715">
            <v>0.15</v>
          </cell>
          <cell r="F715">
            <v>2.93</v>
          </cell>
          <cell r="H715">
            <v>5.39</v>
          </cell>
          <cell r="I715">
            <v>8.39</v>
          </cell>
          <cell r="AS715">
            <v>2526.3000000000002</v>
          </cell>
        </row>
        <row r="716">
          <cell r="B716">
            <v>0.14000000000000001</v>
          </cell>
          <cell r="C716">
            <v>0.18</v>
          </cell>
          <cell r="F716">
            <v>3.29</v>
          </cell>
          <cell r="H716">
            <v>5.54</v>
          </cell>
          <cell r="I716">
            <v>8.06</v>
          </cell>
          <cell r="AS716">
            <v>2520.6000000000004</v>
          </cell>
        </row>
        <row r="717">
          <cell r="B717">
            <v>0.19</v>
          </cell>
          <cell r="C717">
            <v>0.21</v>
          </cell>
          <cell r="F717">
            <v>3.72</v>
          </cell>
          <cell r="H717">
            <v>5.61</v>
          </cell>
          <cell r="I717">
            <v>7.5</v>
          </cell>
          <cell r="AS717">
            <v>2507.9</v>
          </cell>
        </row>
        <row r="718">
          <cell r="B718">
            <v>0.18</v>
          </cell>
          <cell r="C718">
            <v>0.16</v>
          </cell>
          <cell r="F718">
            <v>3.56</v>
          </cell>
          <cell r="H718">
            <v>5.41</v>
          </cell>
          <cell r="I718">
            <v>7.09</v>
          </cell>
          <cell r="AS718">
            <v>2496.6000000000004</v>
          </cell>
        </row>
        <row r="719">
          <cell r="B719">
            <v>0.15</v>
          </cell>
          <cell r="C719">
            <v>0.16</v>
          </cell>
          <cell r="F719">
            <v>3.59</v>
          </cell>
          <cell r="H719">
            <v>5.26</v>
          </cell>
          <cell r="I719">
            <v>6.58</v>
          </cell>
          <cell r="AS719">
            <v>2491</v>
          </cell>
        </row>
        <row r="720">
          <cell r="B720">
            <v>0.14000000000000001</v>
          </cell>
          <cell r="C720">
            <v>0.15</v>
          </cell>
          <cell r="F720">
            <v>3.4</v>
          </cell>
          <cell r="H720">
            <v>5.13</v>
          </cell>
          <cell r="I720">
            <v>6.3100000000000005</v>
          </cell>
          <cell r="AS720">
            <v>2482.5</v>
          </cell>
        </row>
        <row r="721">
          <cell r="B721">
            <v>0.05</v>
          </cell>
          <cell r="C721">
            <v>0.12</v>
          </cell>
          <cell r="F721">
            <v>3.39</v>
          </cell>
          <cell r="H721">
            <v>5.15</v>
          </cell>
          <cell r="I721">
            <v>6.29</v>
          </cell>
          <cell r="AS721">
            <v>2474.5</v>
          </cell>
        </row>
        <row r="722">
          <cell r="B722">
            <v>0.06</v>
          </cell>
          <cell r="C722">
            <v>0.12</v>
          </cell>
          <cell r="F722">
            <v>3.4</v>
          </cell>
          <cell r="H722">
            <v>5.19</v>
          </cell>
          <cell r="I722">
            <v>6.32</v>
          </cell>
          <cell r="AS722">
            <v>2456.2000000000003</v>
          </cell>
        </row>
        <row r="723">
          <cell r="B723">
            <v>0.06</v>
          </cell>
          <cell r="C723">
            <v>0.12</v>
          </cell>
          <cell r="F723">
            <v>3.59</v>
          </cell>
          <cell r="H723">
            <v>5.26</v>
          </cell>
          <cell r="I723">
            <v>6.37</v>
          </cell>
          <cell r="AS723">
            <v>2450.1</v>
          </cell>
        </row>
        <row r="724">
          <cell r="B724">
            <v>0.08</v>
          </cell>
          <cell r="C724">
            <v>0.11</v>
          </cell>
          <cell r="F724">
            <v>3.73</v>
          </cell>
          <cell r="H724">
            <v>5.26</v>
          </cell>
          <cell r="I724">
            <v>6.25</v>
          </cell>
          <cell r="AS724">
            <v>2445.6</v>
          </cell>
        </row>
        <row r="725">
          <cell r="B725">
            <v>0.13</v>
          </cell>
          <cell r="C725">
            <v>0.13</v>
          </cell>
          <cell r="F725">
            <v>3.69</v>
          </cell>
          <cell r="H725">
            <v>5.3500000000000005</v>
          </cell>
          <cell r="I725">
            <v>6.34</v>
          </cell>
          <cell r="AS725">
            <v>2435.7000000000003</v>
          </cell>
        </row>
        <row r="726">
          <cell r="B726">
            <v>0.16</v>
          </cell>
          <cell r="C726">
            <v>0.16</v>
          </cell>
          <cell r="F726">
            <v>3.73</v>
          </cell>
          <cell r="H726">
            <v>5.2700000000000005</v>
          </cell>
          <cell r="I726">
            <v>6.2700000000000005</v>
          </cell>
          <cell r="AS726">
            <v>2426.3000000000002</v>
          </cell>
        </row>
        <row r="727">
          <cell r="B727">
            <v>0.16</v>
          </cell>
          <cell r="C727">
            <v>0.2</v>
          </cell>
          <cell r="F727">
            <v>3.85</v>
          </cell>
          <cell r="H727">
            <v>5.29</v>
          </cell>
          <cell r="I727">
            <v>6.25</v>
          </cell>
          <cell r="AS727">
            <v>2415.8000000000002</v>
          </cell>
        </row>
        <row r="728">
          <cell r="B728">
            <v>0.16</v>
          </cell>
          <cell r="C728">
            <v>0.2</v>
          </cell>
          <cell r="F728">
            <v>3.42</v>
          </cell>
          <cell r="H728">
            <v>4.96</v>
          </cell>
          <cell r="I728">
            <v>6.05</v>
          </cell>
          <cell r="AS728">
            <v>2411.1</v>
          </cell>
        </row>
        <row r="729">
          <cell r="B729">
            <v>0.18</v>
          </cell>
          <cell r="C729">
            <v>0.18</v>
          </cell>
          <cell r="F729">
            <v>3.2</v>
          </cell>
          <cell r="H729">
            <v>4.88</v>
          </cell>
          <cell r="I729">
            <v>6.23</v>
          </cell>
          <cell r="AS729">
            <v>2406.4</v>
          </cell>
        </row>
        <row r="730">
          <cell r="B730">
            <v>0.15</v>
          </cell>
          <cell r="C730">
            <v>0.18</v>
          </cell>
          <cell r="F730">
            <v>3.0100000000000002</v>
          </cell>
          <cell r="H730">
            <v>4.72</v>
          </cell>
          <cell r="I730">
            <v>6.01</v>
          </cell>
          <cell r="AS730">
            <v>2399.4</v>
          </cell>
        </row>
        <row r="731">
          <cell r="B731">
            <v>0.14000000000000001</v>
          </cell>
          <cell r="C731">
            <v>0.19</v>
          </cell>
          <cell r="F731">
            <v>2.7</v>
          </cell>
          <cell r="H731">
            <v>4.49</v>
          </cell>
          <cell r="I731">
            <v>5.66</v>
          </cell>
          <cell r="AS731">
            <v>2394.9</v>
          </cell>
        </row>
        <row r="732">
          <cell r="B732">
            <v>0.16</v>
          </cell>
          <cell r="C732">
            <v>0.19</v>
          </cell>
          <cell r="F732">
            <v>2.65</v>
          </cell>
          <cell r="H732">
            <v>4.53</v>
          </cell>
          <cell r="I732">
            <v>5.66</v>
          </cell>
          <cell r="AS732">
            <v>2393.6</v>
          </cell>
        </row>
        <row r="733">
          <cell r="B733">
            <v>0.12</v>
          </cell>
          <cell r="C733">
            <v>0.19</v>
          </cell>
          <cell r="F733">
            <v>2.54</v>
          </cell>
          <cell r="H733">
            <v>4.68</v>
          </cell>
          <cell r="I733">
            <v>5.72</v>
          </cell>
          <cell r="AS733">
            <v>2399.5</v>
          </cell>
        </row>
        <row r="734">
          <cell r="B734">
            <v>0.17</v>
          </cell>
          <cell r="C734">
            <v>0.19</v>
          </cell>
          <cell r="F734">
            <v>2.7600000000000002</v>
          </cell>
          <cell r="H734">
            <v>4.87</v>
          </cell>
          <cell r="I734">
            <v>5.92</v>
          </cell>
          <cell r="AS734">
            <v>2402</v>
          </cell>
        </row>
        <row r="735">
          <cell r="B735">
            <v>0.12</v>
          </cell>
          <cell r="C735">
            <v>0.18</v>
          </cell>
          <cell r="F735">
            <v>3.29</v>
          </cell>
          <cell r="H735">
            <v>5.0200000000000005</v>
          </cell>
          <cell r="I735">
            <v>6.1000000000000005</v>
          </cell>
          <cell r="AS735">
            <v>2408.3000000000002</v>
          </cell>
        </row>
        <row r="736">
          <cell r="B736">
            <v>0.15</v>
          </cell>
          <cell r="C736">
            <v>0.17</v>
          </cell>
          <cell r="F736">
            <v>3.39</v>
          </cell>
          <cell r="H736">
            <v>5.04</v>
          </cell>
          <cell r="I736">
            <v>6.09</v>
          </cell>
          <cell r="AS736">
            <v>2408.9</v>
          </cell>
        </row>
        <row r="737">
          <cell r="B737">
            <v>0.15</v>
          </cell>
          <cell r="C737">
            <v>0.16</v>
          </cell>
          <cell r="F737">
            <v>3.58</v>
          </cell>
          <cell r="H737">
            <v>5.22</v>
          </cell>
          <cell r="I737">
            <v>6.15</v>
          </cell>
          <cell r="AS737">
            <v>2417.1</v>
          </cell>
        </row>
        <row r="738">
          <cell r="B738">
            <v>0.09</v>
          </cell>
          <cell r="C738">
            <v>0.14000000000000001</v>
          </cell>
          <cell r="F738">
            <v>3.41</v>
          </cell>
          <cell r="H738">
            <v>5.13</v>
          </cell>
          <cell r="I738">
            <v>6.03</v>
          </cell>
          <cell r="AS738">
            <v>2421.5</v>
          </cell>
        </row>
        <row r="739">
          <cell r="B739">
            <v>0.04</v>
          </cell>
          <cell r="C739">
            <v>0.1</v>
          </cell>
          <cell r="F739">
            <v>3.46</v>
          </cell>
          <cell r="H739">
            <v>5.16</v>
          </cell>
          <cell r="I739">
            <v>6.0200000000000005</v>
          </cell>
          <cell r="AS739">
            <v>2425.2000000000003</v>
          </cell>
        </row>
        <row r="740">
          <cell r="B740">
            <v>0.06</v>
          </cell>
          <cell r="C740">
            <v>0.09</v>
          </cell>
          <cell r="F740">
            <v>3.17</v>
          </cell>
          <cell r="H740">
            <v>4.96</v>
          </cell>
          <cell r="I740">
            <v>5.78</v>
          </cell>
          <cell r="AS740">
            <v>2431.2000000000003</v>
          </cell>
        </row>
        <row r="741">
          <cell r="B741">
            <v>0.03</v>
          </cell>
          <cell r="C741">
            <v>0.09</v>
          </cell>
          <cell r="F741">
            <v>3</v>
          </cell>
          <cell r="H741">
            <v>4.99</v>
          </cell>
          <cell r="I741">
            <v>5.75</v>
          </cell>
          <cell r="AS741">
            <v>2442.5</v>
          </cell>
        </row>
        <row r="742">
          <cell r="B742">
            <v>0.1</v>
          </cell>
          <cell r="C742">
            <v>7.0000000000000007E-2</v>
          </cell>
          <cell r="F742">
            <v>3</v>
          </cell>
          <cell r="H742">
            <v>4.93</v>
          </cell>
          <cell r="I742">
            <v>5.76</v>
          </cell>
          <cell r="AS742">
            <v>2454.5</v>
          </cell>
        </row>
        <row r="743">
          <cell r="B743">
            <v>0.02</v>
          </cell>
          <cell r="C743">
            <v>0.1</v>
          </cell>
          <cell r="F743">
            <v>2.3000000000000003</v>
          </cell>
          <cell r="H743">
            <v>4.37</v>
          </cell>
          <cell r="I743">
            <v>5.36</v>
          </cell>
          <cell r="AS743" t="str">
            <v>NA</v>
          </cell>
        </row>
        <row r="744">
          <cell r="B744">
            <v>0.01</v>
          </cell>
          <cell r="C744" t="str">
            <v>NA</v>
          </cell>
          <cell r="F744" t="str">
            <v>NA</v>
          </cell>
          <cell r="H744" t="str">
            <v>NA</v>
          </cell>
          <cell r="I744" t="str">
            <v>NA</v>
          </cell>
          <cell r="AS744" t="str">
            <v>NA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ment"/>
      <sheetName val="LaborForce"/>
      <sheetName val="Unemployment"/>
      <sheetName val="quarterly"/>
      <sheetName val="yearly"/>
    </sheetNames>
    <sheetDataSet>
      <sheetData sheetId="0">
        <row r="4">
          <cell r="B4">
            <v>54274</v>
          </cell>
        </row>
        <row r="5">
          <cell r="B5">
            <v>54513</v>
          </cell>
        </row>
        <row r="6">
          <cell r="B6">
            <v>54458</v>
          </cell>
        </row>
        <row r="7">
          <cell r="B7">
            <v>54812</v>
          </cell>
        </row>
        <row r="8">
          <cell r="B8">
            <v>54472</v>
          </cell>
        </row>
        <row r="9">
          <cell r="B9">
            <v>54347</v>
          </cell>
        </row>
        <row r="10">
          <cell r="B10">
            <v>54303</v>
          </cell>
        </row>
        <row r="11">
          <cell r="B11">
            <v>54272</v>
          </cell>
        </row>
        <row r="12">
          <cell r="B12">
            <v>54228</v>
          </cell>
        </row>
        <row r="13">
          <cell r="B13">
            <v>54144</v>
          </cell>
        </row>
        <row r="14">
          <cell r="B14">
            <v>53962</v>
          </cell>
        </row>
        <row r="15">
          <cell r="B15">
            <v>53743</v>
          </cell>
        </row>
        <row r="16">
          <cell r="B16">
            <v>53683</v>
          </cell>
        </row>
        <row r="17">
          <cell r="B17">
            <v>53556</v>
          </cell>
        </row>
        <row r="18">
          <cell r="B18">
            <v>53662</v>
          </cell>
        </row>
        <row r="19">
          <cell r="B19">
            <v>53626</v>
          </cell>
        </row>
        <row r="20">
          <cell r="B20">
            <v>53783</v>
          </cell>
        </row>
        <row r="21">
          <cell r="B21">
            <v>53977</v>
          </cell>
        </row>
        <row r="22">
          <cell r="B22">
            <v>54124</v>
          </cell>
        </row>
        <row r="23">
          <cell r="B23">
            <v>54299</v>
          </cell>
        </row>
        <row r="24">
          <cell r="B24">
            <v>54387</v>
          </cell>
        </row>
        <row r="25">
          <cell r="B25">
            <v>54521</v>
          </cell>
        </row>
        <row r="26">
          <cell r="B26">
            <v>54743</v>
          </cell>
        </row>
        <row r="27">
          <cell r="B27">
            <v>54871</v>
          </cell>
        </row>
        <row r="28">
          <cell r="B28">
            <v>54891</v>
          </cell>
        </row>
        <row r="29">
          <cell r="B29">
            <v>55187</v>
          </cell>
        </row>
        <row r="30">
          <cell r="B30">
            <v>55276</v>
          </cell>
        </row>
        <row r="31">
          <cell r="B31">
            <v>55601</v>
          </cell>
        </row>
        <row r="32">
          <cell r="B32">
            <v>55626</v>
          </cell>
        </row>
        <row r="33">
          <cell r="B33">
            <v>55644</v>
          </cell>
        </row>
        <row r="34">
          <cell r="B34">
            <v>55746</v>
          </cell>
        </row>
        <row r="35">
          <cell r="B35">
            <v>55838</v>
          </cell>
        </row>
        <row r="36">
          <cell r="B36">
            <v>55977</v>
          </cell>
        </row>
        <row r="37">
          <cell r="B37">
            <v>56041</v>
          </cell>
        </row>
        <row r="38">
          <cell r="B38">
            <v>56055</v>
          </cell>
        </row>
        <row r="39">
          <cell r="B39">
            <v>56027</v>
          </cell>
        </row>
        <row r="40">
          <cell r="B40">
            <v>56116</v>
          </cell>
        </row>
        <row r="41">
          <cell r="B41">
            <v>56231</v>
          </cell>
        </row>
        <row r="42">
          <cell r="B42">
            <v>56322</v>
          </cell>
        </row>
        <row r="43">
          <cell r="B43">
            <v>56580</v>
          </cell>
        </row>
        <row r="44">
          <cell r="B44">
            <v>56616</v>
          </cell>
        </row>
        <row r="45">
          <cell r="B45">
            <v>56658</v>
          </cell>
        </row>
        <row r="46">
          <cell r="B46">
            <v>56795</v>
          </cell>
        </row>
        <row r="47">
          <cell r="B47">
            <v>56910</v>
          </cell>
        </row>
        <row r="48">
          <cell r="B48">
            <v>57078</v>
          </cell>
        </row>
        <row r="49">
          <cell r="B49">
            <v>57284</v>
          </cell>
        </row>
        <row r="50">
          <cell r="B50">
            <v>57255</v>
          </cell>
        </row>
        <row r="51">
          <cell r="B51">
            <v>57360</v>
          </cell>
        </row>
        <row r="52">
          <cell r="B52">
            <v>57487</v>
          </cell>
        </row>
        <row r="53">
          <cell r="B53">
            <v>57752</v>
          </cell>
        </row>
        <row r="54">
          <cell r="B54">
            <v>57898</v>
          </cell>
        </row>
        <row r="55">
          <cell r="B55">
            <v>57923</v>
          </cell>
        </row>
        <row r="56">
          <cell r="B56">
            <v>58089</v>
          </cell>
        </row>
        <row r="57">
          <cell r="B57">
            <v>58221</v>
          </cell>
        </row>
        <row r="58">
          <cell r="B58">
            <v>58412</v>
          </cell>
        </row>
        <row r="59">
          <cell r="B59">
            <v>58620</v>
          </cell>
        </row>
        <row r="60">
          <cell r="B60">
            <v>58903</v>
          </cell>
        </row>
        <row r="61">
          <cell r="B61">
            <v>58794</v>
          </cell>
        </row>
        <row r="62">
          <cell r="B62">
            <v>59217</v>
          </cell>
        </row>
        <row r="63">
          <cell r="B63">
            <v>59420</v>
          </cell>
        </row>
        <row r="64">
          <cell r="B64">
            <v>59583</v>
          </cell>
        </row>
        <row r="65">
          <cell r="B65">
            <v>59800</v>
          </cell>
        </row>
        <row r="66">
          <cell r="B66">
            <v>60003</v>
          </cell>
        </row>
        <row r="67">
          <cell r="B67">
            <v>60258</v>
          </cell>
        </row>
        <row r="68">
          <cell r="B68">
            <v>60492</v>
          </cell>
        </row>
        <row r="69">
          <cell r="B69">
            <v>60690</v>
          </cell>
        </row>
        <row r="70">
          <cell r="B70">
            <v>60963</v>
          </cell>
        </row>
        <row r="71">
          <cell r="B71">
            <v>61228</v>
          </cell>
        </row>
        <row r="72">
          <cell r="B72">
            <v>61490</v>
          </cell>
        </row>
        <row r="73">
          <cell r="B73">
            <v>61718</v>
          </cell>
        </row>
        <row r="74">
          <cell r="B74">
            <v>61997</v>
          </cell>
        </row>
        <row r="75">
          <cell r="B75">
            <v>62321</v>
          </cell>
        </row>
        <row r="76">
          <cell r="B76">
            <v>62528</v>
          </cell>
        </row>
        <row r="77">
          <cell r="B77">
            <v>62796</v>
          </cell>
        </row>
        <row r="78">
          <cell r="B78">
            <v>63191</v>
          </cell>
        </row>
        <row r="79">
          <cell r="B79">
            <v>63436</v>
          </cell>
        </row>
        <row r="80">
          <cell r="B80">
            <v>63711</v>
          </cell>
        </row>
        <row r="81">
          <cell r="B81">
            <v>64110</v>
          </cell>
        </row>
        <row r="82">
          <cell r="B82">
            <v>64301</v>
          </cell>
        </row>
        <row r="83">
          <cell r="B83">
            <v>64507</v>
          </cell>
        </row>
        <row r="84">
          <cell r="B84">
            <v>64645</v>
          </cell>
        </row>
        <row r="85">
          <cell r="B85">
            <v>64854</v>
          </cell>
        </row>
        <row r="86">
          <cell r="B86">
            <v>65019</v>
          </cell>
        </row>
        <row r="87">
          <cell r="B87">
            <v>65199</v>
          </cell>
        </row>
        <row r="88">
          <cell r="B88">
            <v>65407</v>
          </cell>
        </row>
        <row r="89">
          <cell r="B89">
            <v>65427</v>
          </cell>
        </row>
        <row r="90">
          <cell r="B90">
            <v>65530</v>
          </cell>
        </row>
        <row r="91">
          <cell r="B91">
            <v>65467</v>
          </cell>
        </row>
        <row r="92">
          <cell r="B92">
            <v>65618</v>
          </cell>
        </row>
        <row r="93">
          <cell r="B93">
            <v>65750</v>
          </cell>
        </row>
        <row r="94">
          <cell r="B94">
            <v>65887</v>
          </cell>
        </row>
        <row r="95">
          <cell r="B95">
            <v>66142</v>
          </cell>
        </row>
        <row r="96">
          <cell r="B96">
            <v>66163</v>
          </cell>
        </row>
        <row r="97">
          <cell r="B97">
            <v>66225</v>
          </cell>
        </row>
        <row r="98">
          <cell r="B98">
            <v>66703</v>
          </cell>
        </row>
        <row r="99">
          <cell r="B99">
            <v>66900</v>
          </cell>
        </row>
        <row r="100">
          <cell r="B100">
            <v>66805</v>
          </cell>
        </row>
        <row r="101">
          <cell r="B101">
            <v>67214</v>
          </cell>
        </row>
        <row r="102">
          <cell r="B102">
            <v>67296</v>
          </cell>
        </row>
        <row r="103">
          <cell r="B103">
            <v>67555</v>
          </cell>
        </row>
        <row r="104">
          <cell r="B104">
            <v>67652</v>
          </cell>
        </row>
        <row r="105">
          <cell r="B105">
            <v>67904</v>
          </cell>
        </row>
        <row r="106">
          <cell r="B106">
            <v>68126</v>
          </cell>
        </row>
        <row r="107">
          <cell r="B107">
            <v>68328</v>
          </cell>
        </row>
        <row r="108">
          <cell r="B108">
            <v>68487</v>
          </cell>
        </row>
        <row r="109">
          <cell r="B109">
            <v>68720</v>
          </cell>
        </row>
        <row r="110">
          <cell r="B110">
            <v>68985</v>
          </cell>
        </row>
        <row r="111">
          <cell r="B111">
            <v>69245</v>
          </cell>
        </row>
        <row r="112">
          <cell r="B112">
            <v>69438</v>
          </cell>
        </row>
        <row r="113">
          <cell r="B113">
            <v>69698</v>
          </cell>
        </row>
        <row r="114">
          <cell r="B114">
            <v>69906</v>
          </cell>
        </row>
        <row r="115">
          <cell r="B115">
            <v>70072</v>
          </cell>
        </row>
        <row r="116">
          <cell r="B116">
            <v>70328</v>
          </cell>
        </row>
        <row r="117">
          <cell r="B117">
            <v>70636</v>
          </cell>
        </row>
        <row r="118">
          <cell r="B118">
            <v>70730</v>
          </cell>
        </row>
        <row r="119">
          <cell r="B119">
            <v>71005</v>
          </cell>
        </row>
        <row r="120">
          <cell r="B120">
            <v>70918</v>
          </cell>
        </row>
        <row r="121">
          <cell r="B121">
            <v>71119</v>
          </cell>
        </row>
        <row r="122">
          <cell r="B122">
            <v>71088</v>
          </cell>
        </row>
        <row r="123">
          <cell r="B123">
            <v>71240</v>
          </cell>
        </row>
        <row r="124">
          <cell r="B124">
            <v>71176</v>
          </cell>
        </row>
        <row r="125">
          <cell r="B125">
            <v>71302</v>
          </cell>
        </row>
        <row r="126">
          <cell r="B126">
            <v>71453</v>
          </cell>
        </row>
        <row r="127">
          <cell r="B127">
            <v>71348</v>
          </cell>
        </row>
        <row r="128">
          <cell r="B128">
            <v>71122</v>
          </cell>
        </row>
        <row r="129">
          <cell r="B129">
            <v>71028</v>
          </cell>
        </row>
        <row r="130">
          <cell r="B130">
            <v>71055</v>
          </cell>
        </row>
        <row r="131">
          <cell r="B131">
            <v>70932</v>
          </cell>
        </row>
        <row r="132">
          <cell r="B132">
            <v>70949</v>
          </cell>
        </row>
        <row r="133">
          <cell r="B133">
            <v>70519</v>
          </cell>
        </row>
        <row r="134">
          <cell r="B134">
            <v>70409</v>
          </cell>
        </row>
        <row r="135">
          <cell r="B135">
            <v>70790</v>
          </cell>
        </row>
        <row r="136">
          <cell r="B136">
            <v>70866</v>
          </cell>
        </row>
        <row r="137">
          <cell r="B137">
            <v>70805</v>
          </cell>
        </row>
        <row r="138">
          <cell r="B138">
            <v>70859</v>
          </cell>
        </row>
        <row r="139">
          <cell r="B139">
            <v>71037</v>
          </cell>
        </row>
        <row r="140">
          <cell r="B140">
            <v>71247</v>
          </cell>
        </row>
        <row r="141">
          <cell r="B141">
            <v>71253</v>
          </cell>
        </row>
        <row r="142">
          <cell r="B142">
            <v>71316</v>
          </cell>
        </row>
        <row r="143">
          <cell r="B143">
            <v>71368</v>
          </cell>
        </row>
        <row r="144">
          <cell r="B144">
            <v>71620</v>
          </cell>
        </row>
        <row r="145">
          <cell r="B145">
            <v>71642</v>
          </cell>
        </row>
        <row r="146">
          <cell r="B146">
            <v>71844</v>
          </cell>
        </row>
        <row r="147">
          <cell r="B147">
            <v>72108</v>
          </cell>
        </row>
        <row r="148">
          <cell r="B148">
            <v>72445</v>
          </cell>
        </row>
        <row r="149">
          <cell r="B149">
            <v>72652</v>
          </cell>
        </row>
        <row r="150">
          <cell r="B150">
            <v>72945</v>
          </cell>
        </row>
        <row r="151">
          <cell r="B151">
            <v>73163</v>
          </cell>
        </row>
        <row r="152">
          <cell r="B152">
            <v>73467</v>
          </cell>
        </row>
        <row r="153">
          <cell r="B153">
            <v>73760</v>
          </cell>
        </row>
        <row r="154">
          <cell r="B154">
            <v>73709</v>
          </cell>
        </row>
        <row r="155">
          <cell r="B155">
            <v>74137</v>
          </cell>
        </row>
        <row r="156">
          <cell r="B156">
            <v>74268</v>
          </cell>
        </row>
        <row r="157">
          <cell r="B157">
            <v>74672</v>
          </cell>
        </row>
        <row r="158">
          <cell r="B158">
            <v>74965</v>
          </cell>
        </row>
        <row r="159">
          <cell r="B159">
            <v>75270</v>
          </cell>
        </row>
        <row r="160">
          <cell r="B160">
            <v>75620</v>
          </cell>
        </row>
        <row r="161">
          <cell r="B161">
            <v>76017</v>
          </cell>
        </row>
        <row r="162">
          <cell r="B162">
            <v>76286</v>
          </cell>
        </row>
        <row r="163">
          <cell r="B163">
            <v>76456</v>
          </cell>
        </row>
        <row r="164">
          <cell r="B164">
            <v>76646</v>
          </cell>
        </row>
        <row r="165">
          <cell r="B165">
            <v>76886</v>
          </cell>
        </row>
        <row r="166">
          <cell r="B166">
            <v>76911</v>
          </cell>
        </row>
        <row r="167">
          <cell r="B167">
            <v>77166</v>
          </cell>
        </row>
        <row r="168">
          <cell r="B168">
            <v>77281</v>
          </cell>
        </row>
        <row r="169">
          <cell r="B169">
            <v>77605</v>
          </cell>
        </row>
        <row r="170">
          <cell r="B170">
            <v>77909</v>
          </cell>
        </row>
        <row r="171">
          <cell r="B171">
            <v>78035</v>
          </cell>
        </row>
        <row r="172">
          <cell r="B172">
            <v>78104</v>
          </cell>
        </row>
        <row r="173">
          <cell r="B173">
            <v>78253</v>
          </cell>
        </row>
        <row r="174">
          <cell r="B174">
            <v>78295</v>
          </cell>
        </row>
        <row r="175">
          <cell r="B175">
            <v>78384</v>
          </cell>
        </row>
        <row r="176">
          <cell r="B176">
            <v>78547</v>
          </cell>
        </row>
        <row r="177">
          <cell r="B177">
            <v>78602</v>
          </cell>
        </row>
        <row r="178">
          <cell r="B178">
            <v>78634</v>
          </cell>
        </row>
        <row r="179">
          <cell r="B179">
            <v>78619</v>
          </cell>
        </row>
        <row r="180">
          <cell r="B180">
            <v>78614</v>
          </cell>
        </row>
        <row r="181">
          <cell r="B181">
            <v>78627</v>
          </cell>
        </row>
        <row r="182">
          <cell r="B182">
            <v>78259</v>
          </cell>
        </row>
        <row r="183">
          <cell r="B183">
            <v>77657</v>
          </cell>
        </row>
        <row r="184">
          <cell r="B184">
            <v>77297</v>
          </cell>
        </row>
        <row r="185">
          <cell r="B185">
            <v>76919</v>
          </cell>
        </row>
        <row r="186">
          <cell r="B186">
            <v>76649</v>
          </cell>
        </row>
        <row r="187">
          <cell r="B187">
            <v>76463</v>
          </cell>
        </row>
        <row r="188">
          <cell r="B188">
            <v>76623</v>
          </cell>
        </row>
        <row r="189">
          <cell r="B189">
            <v>76519</v>
          </cell>
        </row>
        <row r="190">
          <cell r="B190">
            <v>76768</v>
          </cell>
        </row>
        <row r="191">
          <cell r="B191">
            <v>77154</v>
          </cell>
        </row>
        <row r="192">
          <cell r="B192">
            <v>77232</v>
          </cell>
        </row>
        <row r="193">
          <cell r="B193">
            <v>77535</v>
          </cell>
        </row>
        <row r="194">
          <cell r="B194">
            <v>77679</v>
          </cell>
        </row>
        <row r="195">
          <cell r="B195">
            <v>78017</v>
          </cell>
        </row>
        <row r="196">
          <cell r="B196">
            <v>78506</v>
          </cell>
        </row>
        <row r="197">
          <cell r="B197">
            <v>78817</v>
          </cell>
        </row>
        <row r="198">
          <cell r="B198">
            <v>79049</v>
          </cell>
        </row>
        <row r="199">
          <cell r="B199">
            <v>79293</v>
          </cell>
        </row>
        <row r="200">
          <cell r="B200">
            <v>79311</v>
          </cell>
        </row>
        <row r="201">
          <cell r="B201">
            <v>79376</v>
          </cell>
        </row>
        <row r="202">
          <cell r="B202">
            <v>79546</v>
          </cell>
        </row>
        <row r="203">
          <cell r="B203">
            <v>79704</v>
          </cell>
        </row>
        <row r="204">
          <cell r="B204">
            <v>79892</v>
          </cell>
        </row>
        <row r="205">
          <cell r="B205">
            <v>79905</v>
          </cell>
        </row>
        <row r="206">
          <cell r="B206">
            <v>80237</v>
          </cell>
        </row>
        <row r="207">
          <cell r="B207">
            <v>80448</v>
          </cell>
        </row>
        <row r="208">
          <cell r="B208">
            <v>80692</v>
          </cell>
        </row>
        <row r="209">
          <cell r="B209">
            <v>80987</v>
          </cell>
        </row>
        <row r="210">
          <cell r="B210">
            <v>81391</v>
          </cell>
        </row>
        <row r="211">
          <cell r="B211">
            <v>81730</v>
          </cell>
        </row>
        <row r="212">
          <cell r="B212">
            <v>82089</v>
          </cell>
        </row>
        <row r="213">
          <cell r="B213">
            <v>82488</v>
          </cell>
        </row>
        <row r="214">
          <cell r="B214">
            <v>82836</v>
          </cell>
        </row>
        <row r="215">
          <cell r="B215">
            <v>83074</v>
          </cell>
        </row>
        <row r="216">
          <cell r="B216">
            <v>83532</v>
          </cell>
        </row>
        <row r="217">
          <cell r="B217">
            <v>83794</v>
          </cell>
        </row>
        <row r="218">
          <cell r="B218">
            <v>84173</v>
          </cell>
        </row>
        <row r="219">
          <cell r="B219">
            <v>84408</v>
          </cell>
        </row>
        <row r="220">
          <cell r="B220">
            <v>84595</v>
          </cell>
        </row>
        <row r="221">
          <cell r="B221">
            <v>84948</v>
          </cell>
        </row>
        <row r="222">
          <cell r="B222">
            <v>85461</v>
          </cell>
        </row>
        <row r="223">
          <cell r="B223">
            <v>86163</v>
          </cell>
        </row>
        <row r="224">
          <cell r="B224">
            <v>86509</v>
          </cell>
        </row>
        <row r="225">
          <cell r="B225">
            <v>86951</v>
          </cell>
        </row>
        <row r="226">
          <cell r="B226">
            <v>87205</v>
          </cell>
        </row>
        <row r="227">
          <cell r="B227">
            <v>87481</v>
          </cell>
        </row>
        <row r="228">
          <cell r="B228">
            <v>87618</v>
          </cell>
        </row>
        <row r="229">
          <cell r="B229">
            <v>87954</v>
          </cell>
        </row>
        <row r="230">
          <cell r="B230">
            <v>88391</v>
          </cell>
        </row>
        <row r="231">
          <cell r="B231">
            <v>88674</v>
          </cell>
        </row>
        <row r="232">
          <cell r="B232">
            <v>88811</v>
          </cell>
        </row>
        <row r="233">
          <cell r="B233">
            <v>89054</v>
          </cell>
        </row>
        <row r="234">
          <cell r="B234">
            <v>89480</v>
          </cell>
        </row>
        <row r="235">
          <cell r="B235">
            <v>89418</v>
          </cell>
        </row>
        <row r="236">
          <cell r="B236">
            <v>89790</v>
          </cell>
        </row>
        <row r="237">
          <cell r="B237">
            <v>90108</v>
          </cell>
        </row>
        <row r="238">
          <cell r="B238">
            <v>90214</v>
          </cell>
        </row>
        <row r="239">
          <cell r="B239">
            <v>90296</v>
          </cell>
        </row>
        <row r="240">
          <cell r="B240">
            <v>90323</v>
          </cell>
        </row>
        <row r="241">
          <cell r="B241">
            <v>90480</v>
          </cell>
        </row>
        <row r="242">
          <cell r="B242">
            <v>90574</v>
          </cell>
        </row>
        <row r="243">
          <cell r="B243">
            <v>90669</v>
          </cell>
        </row>
        <row r="244">
          <cell r="B244">
            <v>90800</v>
          </cell>
        </row>
        <row r="245">
          <cell r="B245">
            <v>90879</v>
          </cell>
        </row>
        <row r="246">
          <cell r="B246">
            <v>90991</v>
          </cell>
        </row>
        <row r="247">
          <cell r="B247">
            <v>90846</v>
          </cell>
        </row>
        <row r="248">
          <cell r="B248">
            <v>90415</v>
          </cell>
        </row>
        <row r="249">
          <cell r="B249">
            <v>90095</v>
          </cell>
        </row>
        <row r="250">
          <cell r="B250">
            <v>89832</v>
          </cell>
        </row>
        <row r="251">
          <cell r="B251">
            <v>90092</v>
          </cell>
        </row>
        <row r="252">
          <cell r="B252">
            <v>90205</v>
          </cell>
        </row>
        <row r="253">
          <cell r="B253">
            <v>90485</v>
          </cell>
        </row>
        <row r="254">
          <cell r="B254">
            <v>90741</v>
          </cell>
        </row>
        <row r="255">
          <cell r="B255">
            <v>90936</v>
          </cell>
        </row>
        <row r="256">
          <cell r="B256">
            <v>91031</v>
          </cell>
        </row>
        <row r="257">
          <cell r="B257">
            <v>91098</v>
          </cell>
        </row>
        <row r="258">
          <cell r="B258">
            <v>91202</v>
          </cell>
        </row>
        <row r="259">
          <cell r="B259">
            <v>91276</v>
          </cell>
        </row>
        <row r="260">
          <cell r="B260">
            <v>91286</v>
          </cell>
        </row>
        <row r="261">
          <cell r="B261">
            <v>91482</v>
          </cell>
        </row>
        <row r="262">
          <cell r="B262">
            <v>91594</v>
          </cell>
        </row>
        <row r="263">
          <cell r="B263">
            <v>91558</v>
          </cell>
        </row>
        <row r="264">
          <cell r="B264">
            <v>91471</v>
          </cell>
        </row>
        <row r="265">
          <cell r="B265">
            <v>91371</v>
          </cell>
        </row>
        <row r="266">
          <cell r="B266">
            <v>91162</v>
          </cell>
        </row>
        <row r="267">
          <cell r="B267">
            <v>90884</v>
          </cell>
        </row>
        <row r="268">
          <cell r="B268">
            <v>90557</v>
          </cell>
        </row>
        <row r="269">
          <cell r="B269">
            <v>90551</v>
          </cell>
        </row>
        <row r="270">
          <cell r="B270">
            <v>90422</v>
          </cell>
        </row>
        <row r="271">
          <cell r="B271">
            <v>90141</v>
          </cell>
        </row>
        <row r="272">
          <cell r="B272">
            <v>90096</v>
          </cell>
        </row>
        <row r="273">
          <cell r="B273">
            <v>89853</v>
          </cell>
        </row>
        <row r="274">
          <cell r="B274">
            <v>89510</v>
          </cell>
        </row>
        <row r="275">
          <cell r="B275">
            <v>89352</v>
          </cell>
        </row>
        <row r="276">
          <cell r="B276">
            <v>89171</v>
          </cell>
        </row>
        <row r="277">
          <cell r="B277">
            <v>88894</v>
          </cell>
        </row>
        <row r="278">
          <cell r="B278">
            <v>88770</v>
          </cell>
        </row>
        <row r="279">
          <cell r="B279">
            <v>88756</v>
          </cell>
        </row>
        <row r="280">
          <cell r="B280">
            <v>88981</v>
          </cell>
        </row>
        <row r="281">
          <cell r="B281">
            <v>88903</v>
          </cell>
        </row>
        <row r="282">
          <cell r="B282">
            <v>89076</v>
          </cell>
        </row>
        <row r="283">
          <cell r="B283">
            <v>89352</v>
          </cell>
        </row>
        <row r="284">
          <cell r="B284">
            <v>89629</v>
          </cell>
        </row>
        <row r="285">
          <cell r="B285">
            <v>90007</v>
          </cell>
        </row>
        <row r="286">
          <cell r="B286">
            <v>90425</v>
          </cell>
        </row>
        <row r="287">
          <cell r="B287">
            <v>90117</v>
          </cell>
        </row>
        <row r="288">
          <cell r="B288">
            <v>91231</v>
          </cell>
        </row>
        <row r="289">
          <cell r="B289">
            <v>91502</v>
          </cell>
        </row>
        <row r="290">
          <cell r="B290">
            <v>91854</v>
          </cell>
        </row>
        <row r="291">
          <cell r="B291">
            <v>92210</v>
          </cell>
        </row>
        <row r="292">
          <cell r="B292">
            <v>92657</v>
          </cell>
        </row>
        <row r="293">
          <cell r="B293">
            <v>93136</v>
          </cell>
        </row>
        <row r="294">
          <cell r="B294">
            <v>93411</v>
          </cell>
        </row>
        <row r="295">
          <cell r="B295">
            <v>93774</v>
          </cell>
        </row>
        <row r="296">
          <cell r="B296">
            <v>94082</v>
          </cell>
        </row>
        <row r="297">
          <cell r="B297">
            <v>94461</v>
          </cell>
        </row>
        <row r="298">
          <cell r="B298">
            <v>94773</v>
          </cell>
        </row>
        <row r="299">
          <cell r="B299">
            <v>95014</v>
          </cell>
        </row>
        <row r="300">
          <cell r="B300">
            <v>95325</v>
          </cell>
        </row>
        <row r="301">
          <cell r="B301">
            <v>95611</v>
          </cell>
        </row>
        <row r="302">
          <cell r="B302">
            <v>95960</v>
          </cell>
        </row>
        <row r="303">
          <cell r="B303">
            <v>96087</v>
          </cell>
        </row>
        <row r="304">
          <cell r="B304">
            <v>96353</v>
          </cell>
        </row>
        <row r="305">
          <cell r="B305">
            <v>96477</v>
          </cell>
        </row>
        <row r="306">
          <cell r="B306">
            <v>96823</v>
          </cell>
        </row>
        <row r="307">
          <cell r="B307">
            <v>97018</v>
          </cell>
        </row>
        <row r="308">
          <cell r="B308">
            <v>97292</v>
          </cell>
        </row>
        <row r="309">
          <cell r="B309">
            <v>97437</v>
          </cell>
        </row>
        <row r="310">
          <cell r="B310">
            <v>97626</v>
          </cell>
        </row>
        <row r="311">
          <cell r="B311">
            <v>97819</v>
          </cell>
        </row>
        <row r="312">
          <cell r="B312">
            <v>98023</v>
          </cell>
        </row>
        <row r="313">
          <cell r="B313">
            <v>98210</v>
          </cell>
        </row>
        <row r="314">
          <cell r="B314">
            <v>98419</v>
          </cell>
        </row>
        <row r="315">
          <cell r="B315">
            <v>98587</v>
          </cell>
        </row>
        <row r="316">
          <cell r="B316">
            <v>98710</v>
          </cell>
        </row>
        <row r="317">
          <cell r="B317">
            <v>98817</v>
          </cell>
        </row>
        <row r="318">
          <cell r="B318">
            <v>98910</v>
          </cell>
        </row>
        <row r="319">
          <cell r="B319">
            <v>99098</v>
          </cell>
        </row>
        <row r="320">
          <cell r="B320">
            <v>99223</v>
          </cell>
        </row>
        <row r="321">
          <cell r="B321">
            <v>99130</v>
          </cell>
        </row>
        <row r="322">
          <cell r="B322">
            <v>99448</v>
          </cell>
        </row>
        <row r="323">
          <cell r="B323">
            <v>99561</v>
          </cell>
        </row>
        <row r="324">
          <cell r="B324">
            <v>99907</v>
          </cell>
        </row>
        <row r="325">
          <cell r="B325">
            <v>100094</v>
          </cell>
        </row>
        <row r="326">
          <cell r="B326">
            <v>100280</v>
          </cell>
        </row>
        <row r="327">
          <cell r="B327">
            <v>100484</v>
          </cell>
        </row>
        <row r="328">
          <cell r="B328">
            <v>100655</v>
          </cell>
        </row>
        <row r="329">
          <cell r="B329">
            <v>100887</v>
          </cell>
        </row>
        <row r="330">
          <cell r="B330">
            <v>101136</v>
          </cell>
        </row>
        <row r="331">
          <cell r="B331">
            <v>101474</v>
          </cell>
        </row>
        <row r="332">
          <cell r="B332">
            <v>101701</v>
          </cell>
        </row>
        <row r="333">
          <cell r="B333">
            <v>101872</v>
          </cell>
        </row>
        <row r="334">
          <cell r="B334">
            <v>102218</v>
          </cell>
        </row>
        <row r="335">
          <cell r="B335">
            <v>102388</v>
          </cell>
        </row>
        <row r="336">
          <cell r="B336">
            <v>102617</v>
          </cell>
        </row>
        <row r="337">
          <cell r="B337">
            <v>103109</v>
          </cell>
        </row>
        <row r="338">
          <cell r="B338">
            <v>103340</v>
          </cell>
        </row>
        <row r="339">
          <cell r="B339">
            <v>103634</v>
          </cell>
        </row>
        <row r="340">
          <cell r="B340">
            <v>103728</v>
          </cell>
        </row>
        <row r="341">
          <cell r="B341">
            <v>104180</v>
          </cell>
        </row>
        <row r="342">
          <cell r="B342">
            <v>104456</v>
          </cell>
        </row>
        <row r="343">
          <cell r="B343">
            <v>104701</v>
          </cell>
        </row>
        <row r="344">
          <cell r="B344">
            <v>104928</v>
          </cell>
        </row>
        <row r="345">
          <cell r="B345">
            <v>105291</v>
          </cell>
        </row>
        <row r="346">
          <cell r="B346">
            <v>105514</v>
          </cell>
        </row>
        <row r="347">
          <cell r="B347">
            <v>105635</v>
          </cell>
        </row>
        <row r="348">
          <cell r="B348">
            <v>105975</v>
          </cell>
        </row>
        <row r="349">
          <cell r="B349">
            <v>106243</v>
          </cell>
        </row>
        <row r="350">
          <cell r="B350">
            <v>106582</v>
          </cell>
        </row>
        <row r="351">
          <cell r="B351">
            <v>106871</v>
          </cell>
        </row>
        <row r="352">
          <cell r="B352">
            <v>107133</v>
          </cell>
        </row>
        <row r="353">
          <cell r="B353">
            <v>107391</v>
          </cell>
        </row>
        <row r="354">
          <cell r="B354">
            <v>107583</v>
          </cell>
        </row>
        <row r="355">
          <cell r="B355">
            <v>107756</v>
          </cell>
        </row>
        <row r="356">
          <cell r="B356">
            <v>107874</v>
          </cell>
        </row>
        <row r="357">
          <cell r="B357">
            <v>107991</v>
          </cell>
        </row>
        <row r="358">
          <cell r="B358">
            <v>108030</v>
          </cell>
        </row>
        <row r="359">
          <cell r="B359">
            <v>108077</v>
          </cell>
        </row>
        <row r="360">
          <cell r="B360">
            <v>108326</v>
          </cell>
        </row>
        <row r="361">
          <cell r="B361">
            <v>108437</v>
          </cell>
        </row>
        <row r="362">
          <cell r="B362">
            <v>108714</v>
          </cell>
        </row>
        <row r="363">
          <cell r="B363">
            <v>108809</v>
          </cell>
        </row>
        <row r="364">
          <cell r="B364">
            <v>109151</v>
          </cell>
        </row>
        <row r="365">
          <cell r="B365">
            <v>109396</v>
          </cell>
        </row>
        <row r="366">
          <cell r="B366">
            <v>109611</v>
          </cell>
        </row>
        <row r="367">
          <cell r="B367">
            <v>109651</v>
          </cell>
        </row>
        <row r="368">
          <cell r="B368">
            <v>109800</v>
          </cell>
        </row>
        <row r="369">
          <cell r="B369">
            <v>109817</v>
          </cell>
        </row>
        <row r="370">
          <cell r="B370">
            <v>109775</v>
          </cell>
        </row>
        <row r="371">
          <cell r="B371">
            <v>109567</v>
          </cell>
        </row>
        <row r="372">
          <cell r="B372">
            <v>109485</v>
          </cell>
        </row>
        <row r="373">
          <cell r="B373">
            <v>109324</v>
          </cell>
        </row>
        <row r="374">
          <cell r="B374">
            <v>109180</v>
          </cell>
        </row>
        <row r="375">
          <cell r="B375">
            <v>109120</v>
          </cell>
        </row>
        <row r="376">
          <cell r="B376">
            <v>109001</v>
          </cell>
        </row>
        <row r="377">
          <cell r="B377">
            <v>108695</v>
          </cell>
        </row>
        <row r="378">
          <cell r="B378">
            <v>108535</v>
          </cell>
        </row>
        <row r="379">
          <cell r="B379">
            <v>108324</v>
          </cell>
        </row>
        <row r="380">
          <cell r="B380">
            <v>108196</v>
          </cell>
        </row>
        <row r="381">
          <cell r="B381">
            <v>108283</v>
          </cell>
        </row>
        <row r="382">
          <cell r="B382">
            <v>108236</v>
          </cell>
        </row>
        <row r="383">
          <cell r="B383">
            <v>108251</v>
          </cell>
        </row>
        <row r="384">
          <cell r="B384">
            <v>108286</v>
          </cell>
        </row>
        <row r="385">
          <cell r="B385">
            <v>108298</v>
          </cell>
        </row>
        <row r="386">
          <cell r="B386">
            <v>108240</v>
          </cell>
        </row>
        <row r="387">
          <cell r="B387">
            <v>108263</v>
          </cell>
        </row>
        <row r="388">
          <cell r="B388">
            <v>108312</v>
          </cell>
        </row>
        <row r="389">
          <cell r="B389">
            <v>108246</v>
          </cell>
        </row>
        <row r="390">
          <cell r="B390">
            <v>108296</v>
          </cell>
        </row>
        <row r="391">
          <cell r="B391">
            <v>108454</v>
          </cell>
        </row>
        <row r="392">
          <cell r="B392">
            <v>108580</v>
          </cell>
        </row>
        <row r="393">
          <cell r="B393">
            <v>108640</v>
          </cell>
        </row>
        <row r="394">
          <cell r="B394">
            <v>108711</v>
          </cell>
        </row>
        <row r="395">
          <cell r="B395">
            <v>108852</v>
          </cell>
        </row>
        <row r="396">
          <cell r="B396">
            <v>108887</v>
          </cell>
        </row>
        <row r="397">
          <cell r="B397">
            <v>109064</v>
          </cell>
        </row>
        <row r="398">
          <cell r="B398">
            <v>109204</v>
          </cell>
        </row>
        <row r="399">
          <cell r="B399">
            <v>109415</v>
          </cell>
        </row>
        <row r="400">
          <cell r="B400">
            <v>109725</v>
          </cell>
        </row>
        <row r="401">
          <cell r="B401">
            <v>109967</v>
          </cell>
        </row>
        <row r="402">
          <cell r="B402">
            <v>109916</v>
          </cell>
        </row>
        <row r="403">
          <cell r="B403">
            <v>110225</v>
          </cell>
        </row>
        <row r="404">
          <cell r="B404">
            <v>110490</v>
          </cell>
        </row>
        <row r="405">
          <cell r="B405">
            <v>110663</v>
          </cell>
        </row>
        <row r="406">
          <cell r="B406">
            <v>110958</v>
          </cell>
        </row>
        <row r="407">
          <cell r="B407">
            <v>111119</v>
          </cell>
        </row>
        <row r="408">
          <cell r="B408">
            <v>111360</v>
          </cell>
        </row>
        <row r="409">
          <cell r="B409">
            <v>111637</v>
          </cell>
        </row>
        <row r="410">
          <cell r="B410">
            <v>111898</v>
          </cell>
        </row>
        <row r="411">
          <cell r="B411">
            <v>112206</v>
          </cell>
        </row>
        <row r="412">
          <cell r="B412">
            <v>112474</v>
          </cell>
        </row>
        <row r="413">
          <cell r="B413">
            <v>112675</v>
          </cell>
        </row>
        <row r="414">
          <cell r="B414">
            <v>113137</v>
          </cell>
        </row>
        <row r="415">
          <cell r="B415">
            <v>113490</v>
          </cell>
        </row>
        <row r="416">
          <cell r="B416">
            <v>113821</v>
          </cell>
        </row>
        <row r="417">
          <cell r="B417">
            <v>114136</v>
          </cell>
        </row>
        <row r="418">
          <cell r="B418">
            <v>114499</v>
          </cell>
        </row>
        <row r="419">
          <cell r="B419">
            <v>114799</v>
          </cell>
        </row>
        <row r="420">
          <cell r="B420">
            <v>115153</v>
          </cell>
        </row>
        <row r="421">
          <cell r="B421">
            <v>115360</v>
          </cell>
        </row>
        <row r="422">
          <cell r="B422">
            <v>115783</v>
          </cell>
        </row>
        <row r="423">
          <cell r="B423">
            <v>116057</v>
          </cell>
        </row>
        <row r="424">
          <cell r="B424">
            <v>116378</v>
          </cell>
        </row>
        <row r="425">
          <cell r="B425">
            <v>116587</v>
          </cell>
        </row>
        <row r="426">
          <cell r="B426">
            <v>116809</v>
          </cell>
        </row>
        <row r="427">
          <cell r="B427">
            <v>116971</v>
          </cell>
        </row>
        <row r="428">
          <cell r="B428">
            <v>116955</v>
          </cell>
        </row>
        <row r="429">
          <cell r="B429">
            <v>117186</v>
          </cell>
        </row>
        <row r="430">
          <cell r="B430">
            <v>117265</v>
          </cell>
        </row>
        <row r="431">
          <cell r="B431">
            <v>117536</v>
          </cell>
        </row>
        <row r="432">
          <cell r="B432">
            <v>117781</v>
          </cell>
        </row>
        <row r="433">
          <cell r="B433">
            <v>117928</v>
          </cell>
        </row>
        <row r="434">
          <cell r="B434">
            <v>118076</v>
          </cell>
        </row>
        <row r="435">
          <cell r="B435">
            <v>118207</v>
          </cell>
        </row>
        <row r="436">
          <cell r="B436">
            <v>118188</v>
          </cell>
        </row>
        <row r="437">
          <cell r="B437">
            <v>118622</v>
          </cell>
        </row>
        <row r="438">
          <cell r="B438">
            <v>118885</v>
          </cell>
        </row>
        <row r="439">
          <cell r="B439">
            <v>119046</v>
          </cell>
        </row>
        <row r="440">
          <cell r="B440">
            <v>119369</v>
          </cell>
        </row>
        <row r="441">
          <cell r="B441">
            <v>119647</v>
          </cell>
        </row>
        <row r="442">
          <cell r="B442">
            <v>119879</v>
          </cell>
        </row>
        <row r="443">
          <cell r="B443">
            <v>120075</v>
          </cell>
        </row>
        <row r="444">
          <cell r="B444">
            <v>120295</v>
          </cell>
        </row>
        <row r="445">
          <cell r="B445">
            <v>120538</v>
          </cell>
        </row>
        <row r="446">
          <cell r="B446">
            <v>120834</v>
          </cell>
        </row>
        <row r="447">
          <cell r="B447">
            <v>121001</v>
          </cell>
        </row>
        <row r="448">
          <cell r="B448">
            <v>121231</v>
          </cell>
        </row>
        <row r="449">
          <cell r="B449">
            <v>121532</v>
          </cell>
        </row>
        <row r="450">
          <cell r="B450">
            <v>121844</v>
          </cell>
        </row>
        <row r="451">
          <cell r="B451">
            <v>122135</v>
          </cell>
        </row>
        <row r="452">
          <cell r="B452">
            <v>122391</v>
          </cell>
        </row>
        <row r="453">
          <cell r="B453">
            <v>122644</v>
          </cell>
        </row>
        <row r="454">
          <cell r="B454">
            <v>122927</v>
          </cell>
        </row>
        <row r="455">
          <cell r="B455">
            <v>122909</v>
          </cell>
        </row>
        <row r="456">
          <cell r="B456">
            <v>123417</v>
          </cell>
        </row>
        <row r="457">
          <cell r="B457">
            <v>123756</v>
          </cell>
        </row>
        <row r="458">
          <cell r="B458">
            <v>124059</v>
          </cell>
        </row>
        <row r="459">
          <cell r="B459">
            <v>124358</v>
          </cell>
        </row>
        <row r="460">
          <cell r="B460">
            <v>124628</v>
          </cell>
        </row>
        <row r="461">
          <cell r="B461">
            <v>124817</v>
          </cell>
        </row>
        <row r="462">
          <cell r="B462">
            <v>124961</v>
          </cell>
        </row>
        <row r="463">
          <cell r="B463">
            <v>125238</v>
          </cell>
        </row>
        <row r="464">
          <cell r="B464">
            <v>125639</v>
          </cell>
        </row>
        <row r="465">
          <cell r="B465">
            <v>125851</v>
          </cell>
        </row>
        <row r="466">
          <cell r="B466">
            <v>125970</v>
          </cell>
        </row>
        <row r="467">
          <cell r="B467">
            <v>126322</v>
          </cell>
        </row>
        <row r="468">
          <cell r="B468">
            <v>126540</v>
          </cell>
        </row>
        <row r="469">
          <cell r="B469">
            <v>126733</v>
          </cell>
        </row>
        <row r="470">
          <cell r="B470">
            <v>127017</v>
          </cell>
        </row>
        <row r="471">
          <cell r="B471">
            <v>127359</v>
          </cell>
        </row>
        <row r="472">
          <cell r="B472">
            <v>127480</v>
          </cell>
        </row>
        <row r="473">
          <cell r="B473">
            <v>127890</v>
          </cell>
        </row>
        <row r="474">
          <cell r="B474">
            <v>127996</v>
          </cell>
        </row>
        <row r="475">
          <cell r="B475">
            <v>128372</v>
          </cell>
        </row>
        <row r="476">
          <cell r="B476">
            <v>128585</v>
          </cell>
        </row>
        <row r="477">
          <cell r="B477">
            <v>128851</v>
          </cell>
        </row>
        <row r="478">
          <cell r="B478">
            <v>129142</v>
          </cell>
        </row>
        <row r="479">
          <cell r="B479">
            <v>129334</v>
          </cell>
        </row>
        <row r="480">
          <cell r="B480">
            <v>129536</v>
          </cell>
        </row>
        <row r="481">
          <cell r="B481">
            <v>129944</v>
          </cell>
        </row>
        <row r="482">
          <cell r="B482">
            <v>130238</v>
          </cell>
        </row>
        <row r="483">
          <cell r="B483">
            <v>130532</v>
          </cell>
        </row>
        <row r="484">
          <cell r="B484">
            <v>130781</v>
          </cell>
        </row>
        <row r="485">
          <cell r="B485">
            <v>130902</v>
          </cell>
        </row>
        <row r="486">
          <cell r="B486">
            <v>131374</v>
          </cell>
        </row>
        <row r="487">
          <cell r="B487">
            <v>131660</v>
          </cell>
        </row>
        <row r="488">
          <cell r="B488">
            <v>131885</v>
          </cell>
        </row>
        <row r="489">
          <cell r="B489">
            <v>131839</v>
          </cell>
        </row>
        <row r="490">
          <cell r="B490">
            <v>132002</v>
          </cell>
        </row>
        <row r="491">
          <cell r="B491">
            <v>132005</v>
          </cell>
        </row>
        <row r="492">
          <cell r="B492">
            <v>132127</v>
          </cell>
        </row>
        <row r="493">
          <cell r="B493">
            <v>132116</v>
          </cell>
        </row>
        <row r="494">
          <cell r="B494">
            <v>132347</v>
          </cell>
        </row>
        <row r="495">
          <cell r="B495">
            <v>132485</v>
          </cell>
        </row>
        <row r="496">
          <cell r="B496">
            <v>132469</v>
          </cell>
        </row>
        <row r="497">
          <cell r="B497">
            <v>132530</v>
          </cell>
        </row>
        <row r="498">
          <cell r="B498">
            <v>132500</v>
          </cell>
        </row>
        <row r="499">
          <cell r="B499">
            <v>132219</v>
          </cell>
        </row>
        <row r="500">
          <cell r="B500">
            <v>132175</v>
          </cell>
        </row>
        <row r="501">
          <cell r="B501">
            <v>132047</v>
          </cell>
        </row>
        <row r="502">
          <cell r="B502">
            <v>131922</v>
          </cell>
        </row>
        <row r="503">
          <cell r="B503">
            <v>131762</v>
          </cell>
        </row>
        <row r="504">
          <cell r="B504">
            <v>131518</v>
          </cell>
        </row>
        <row r="505">
          <cell r="B505">
            <v>131193</v>
          </cell>
        </row>
        <row r="506">
          <cell r="B506">
            <v>130901</v>
          </cell>
        </row>
        <row r="507">
          <cell r="B507">
            <v>130723</v>
          </cell>
        </row>
        <row r="508">
          <cell r="B508">
            <v>130591</v>
          </cell>
        </row>
        <row r="509">
          <cell r="B509">
            <v>130444</v>
          </cell>
        </row>
        <row r="510">
          <cell r="B510">
            <v>130420</v>
          </cell>
        </row>
        <row r="511">
          <cell r="B511">
            <v>130335</v>
          </cell>
        </row>
        <row r="512">
          <cell r="B512">
            <v>130328</v>
          </cell>
        </row>
        <row r="513">
          <cell r="B513">
            <v>130373</v>
          </cell>
        </row>
        <row r="514">
          <cell r="B514">
            <v>130276</v>
          </cell>
        </row>
        <row r="515">
          <cell r="B515">
            <v>130260</v>
          </cell>
        </row>
        <row r="516">
          <cell r="B516">
            <v>130205</v>
          </cell>
        </row>
        <row r="517">
          <cell r="B517">
            <v>130331</v>
          </cell>
        </row>
        <row r="518">
          <cell r="B518">
            <v>130339</v>
          </cell>
        </row>
        <row r="519">
          <cell r="B519">
            <v>130183</v>
          </cell>
        </row>
        <row r="520">
          <cell r="B520">
            <v>130266</v>
          </cell>
        </row>
        <row r="521">
          <cell r="B521">
            <v>130108</v>
          </cell>
        </row>
        <row r="522">
          <cell r="B522">
            <v>129896</v>
          </cell>
        </row>
        <row r="523">
          <cell r="B523">
            <v>129847</v>
          </cell>
        </row>
        <row r="524">
          <cell r="B524">
            <v>129841</v>
          </cell>
        </row>
        <row r="525">
          <cell r="B525">
            <v>129839</v>
          </cell>
        </row>
        <row r="526">
          <cell r="B526">
            <v>129864</v>
          </cell>
        </row>
        <row r="527">
          <cell r="B527">
            <v>129822</v>
          </cell>
        </row>
        <row r="528">
          <cell r="B528">
            <v>129925</v>
          </cell>
        </row>
        <row r="529">
          <cell r="B529">
            <v>130128</v>
          </cell>
        </row>
        <row r="530">
          <cell r="B530">
            <v>130146</v>
          </cell>
        </row>
        <row r="531">
          <cell r="B531">
            <v>130270</v>
          </cell>
        </row>
        <row r="532">
          <cell r="B532">
            <v>130420</v>
          </cell>
        </row>
        <row r="533">
          <cell r="B533">
            <v>130463</v>
          </cell>
        </row>
        <row r="534">
          <cell r="B534">
            <v>130801</v>
          </cell>
        </row>
        <row r="535">
          <cell r="B535">
            <v>131051</v>
          </cell>
        </row>
        <row r="536">
          <cell r="B536">
            <v>131361</v>
          </cell>
        </row>
        <row r="537">
          <cell r="B537">
            <v>131442</v>
          </cell>
        </row>
        <row r="538">
          <cell r="B538">
            <v>131489</v>
          </cell>
        </row>
        <row r="539">
          <cell r="B539">
            <v>131610</v>
          </cell>
        </row>
        <row r="540">
          <cell r="B540">
            <v>131770</v>
          </cell>
        </row>
        <row r="541">
          <cell r="B541">
            <v>132121</v>
          </cell>
        </row>
        <row r="542">
          <cell r="B542">
            <v>132185</v>
          </cell>
        </row>
        <row r="543">
          <cell r="B543">
            <v>132317</v>
          </cell>
        </row>
        <row r="544">
          <cell r="B544">
            <v>132453</v>
          </cell>
        </row>
        <row r="545">
          <cell r="B545">
            <v>132693</v>
          </cell>
        </row>
        <row r="546">
          <cell r="B546">
            <v>132835</v>
          </cell>
        </row>
        <row r="547">
          <cell r="B547">
            <v>133195</v>
          </cell>
        </row>
        <row r="548">
          <cell r="B548">
            <v>133364</v>
          </cell>
        </row>
        <row r="549">
          <cell r="B549">
            <v>133610</v>
          </cell>
        </row>
        <row r="550">
          <cell r="B550">
            <v>133979</v>
          </cell>
        </row>
        <row r="551">
          <cell r="B551">
            <v>134174</v>
          </cell>
        </row>
        <row r="552">
          <cell r="B552">
            <v>134237</v>
          </cell>
        </row>
        <row r="553">
          <cell r="B553">
            <v>134321</v>
          </cell>
        </row>
        <row r="554">
          <cell r="B554">
            <v>134655</v>
          </cell>
        </row>
        <row r="555">
          <cell r="B555">
            <v>134813</v>
          </cell>
        </row>
        <row r="556">
          <cell r="B556">
            <v>135094</v>
          </cell>
        </row>
        <row r="557">
          <cell r="B557">
            <v>135411</v>
          </cell>
        </row>
        <row r="558">
          <cell r="B558">
            <v>135698</v>
          </cell>
        </row>
        <row r="559">
          <cell r="B559">
            <v>135880</v>
          </cell>
        </row>
        <row r="560">
          <cell r="B560">
            <v>135891</v>
          </cell>
        </row>
        <row r="561">
          <cell r="B561">
            <v>135971</v>
          </cell>
        </row>
        <row r="562">
          <cell r="B562">
            <v>136173</v>
          </cell>
        </row>
        <row r="563">
          <cell r="B563">
            <v>136358</v>
          </cell>
        </row>
        <row r="564">
          <cell r="B564">
            <v>136514</v>
          </cell>
        </row>
        <row r="565">
          <cell r="B565">
            <v>136506</v>
          </cell>
        </row>
        <row r="566">
          <cell r="B566">
            <v>136711</v>
          </cell>
        </row>
        <row r="567">
          <cell r="B567">
            <v>136891</v>
          </cell>
        </row>
        <row r="568">
          <cell r="B568">
            <v>137094</v>
          </cell>
        </row>
        <row r="569">
          <cell r="B569">
            <v>137182</v>
          </cell>
        </row>
        <row r="570">
          <cell r="B570">
            <v>137400</v>
          </cell>
        </row>
        <row r="571">
          <cell r="B571">
            <v>137479</v>
          </cell>
        </row>
        <row r="572">
          <cell r="B572">
            <v>137620</v>
          </cell>
        </row>
        <row r="573">
          <cell r="B573">
            <v>137687</v>
          </cell>
        </row>
        <row r="574">
          <cell r="B574">
            <v>137638</v>
          </cell>
        </row>
        <row r="575">
          <cell r="B575">
            <v>137612</v>
          </cell>
        </row>
        <row r="576">
          <cell r="B576">
            <v>137681</v>
          </cell>
        </row>
        <row r="577">
          <cell r="B577">
            <v>137772</v>
          </cell>
        </row>
        <row r="578">
          <cell r="B578">
            <v>137899</v>
          </cell>
        </row>
        <row r="579">
          <cell r="B579">
            <v>137983</v>
          </cell>
        </row>
        <row r="580">
          <cell r="B580">
            <v>137996</v>
          </cell>
          <cell r="AZ580">
            <v>4392</v>
          </cell>
        </row>
        <row r="581">
          <cell r="B581">
            <v>137913</v>
          </cell>
          <cell r="AZ581">
            <v>4080</v>
          </cell>
        </row>
        <row r="582">
          <cell r="B582">
            <v>137841</v>
          </cell>
          <cell r="AZ582">
            <v>4064</v>
          </cell>
        </row>
        <row r="583">
          <cell r="B583">
            <v>137656</v>
          </cell>
          <cell r="AZ583">
            <v>3673</v>
          </cell>
        </row>
        <row r="584">
          <cell r="B584">
            <v>137423</v>
          </cell>
          <cell r="AZ584">
            <v>3931</v>
          </cell>
        </row>
        <row r="585">
          <cell r="B585">
            <v>137245</v>
          </cell>
          <cell r="AZ585">
            <v>3681</v>
          </cell>
        </row>
        <row r="586">
          <cell r="B586">
            <v>137014</v>
          </cell>
          <cell r="AZ586">
            <v>3556</v>
          </cell>
        </row>
        <row r="587">
          <cell r="B587">
            <v>136747</v>
          </cell>
          <cell r="AZ587">
            <v>3516</v>
          </cell>
        </row>
        <row r="588">
          <cell r="B588">
            <v>136313</v>
          </cell>
          <cell r="AZ588">
            <v>3161</v>
          </cell>
        </row>
        <row r="589">
          <cell r="B589">
            <v>135804</v>
          </cell>
          <cell r="AZ589">
            <v>3039</v>
          </cell>
        </row>
        <row r="590">
          <cell r="B590">
            <v>135002</v>
          </cell>
          <cell r="AZ590">
            <v>3034</v>
          </cell>
        </row>
        <row r="591">
          <cell r="B591">
            <v>134383</v>
          </cell>
          <cell r="AZ591">
            <v>2938</v>
          </cell>
        </row>
        <row r="592">
          <cell r="B592">
            <v>133563</v>
          </cell>
          <cell r="AZ592">
            <v>2566</v>
          </cell>
        </row>
        <row r="593">
          <cell r="B593">
            <v>132837</v>
          </cell>
          <cell r="AZ593">
            <v>2771</v>
          </cell>
        </row>
        <row r="594">
          <cell r="B594">
            <v>132041</v>
          </cell>
          <cell r="AZ594">
            <v>2529</v>
          </cell>
        </row>
        <row r="595">
          <cell r="B595">
            <v>131381</v>
          </cell>
          <cell r="AZ595">
            <v>2237</v>
          </cell>
        </row>
        <row r="596">
          <cell r="B596">
            <v>130995</v>
          </cell>
          <cell r="AZ596">
            <v>2366</v>
          </cell>
        </row>
        <row r="597">
          <cell r="B597">
            <v>130493</v>
          </cell>
          <cell r="AZ597">
            <v>2423</v>
          </cell>
        </row>
        <row r="598">
          <cell r="B598">
            <v>130193</v>
          </cell>
          <cell r="AZ598">
            <v>2112</v>
          </cell>
        </row>
        <row r="599">
          <cell r="B599">
            <v>129962</v>
          </cell>
          <cell r="AZ599">
            <v>2202</v>
          </cell>
        </row>
        <row r="600">
          <cell r="B600">
            <v>129726</v>
          </cell>
          <cell r="AZ600">
            <v>2464</v>
          </cell>
        </row>
        <row r="601">
          <cell r="B601">
            <v>129505</v>
          </cell>
          <cell r="AZ601">
            <v>2307</v>
          </cell>
        </row>
        <row r="602">
          <cell r="B602">
            <v>129450</v>
          </cell>
          <cell r="AZ602">
            <v>2262</v>
          </cell>
        </row>
        <row r="603">
          <cell r="B603">
            <v>129320</v>
          </cell>
          <cell r="AZ603">
            <v>2376</v>
          </cell>
        </row>
        <row r="604">
          <cell r="B604">
            <v>129281</v>
          </cell>
          <cell r="AZ604">
            <v>2411</v>
          </cell>
        </row>
        <row r="605">
          <cell r="B605">
            <v>129246</v>
          </cell>
          <cell r="AZ605">
            <v>2523</v>
          </cell>
        </row>
        <row r="606">
          <cell r="B606">
            <v>129438</v>
          </cell>
          <cell r="AZ606">
            <v>2697</v>
          </cell>
        </row>
        <row r="607">
          <cell r="B607">
            <v>129715</v>
          </cell>
          <cell r="AZ607">
            <v>3043</v>
          </cell>
        </row>
        <row r="608">
          <cell r="B608">
            <v>130173</v>
          </cell>
          <cell r="AZ608">
            <v>2790</v>
          </cell>
        </row>
        <row r="609">
          <cell r="B609">
            <v>129981</v>
          </cell>
          <cell r="AZ609">
            <v>2685</v>
          </cell>
        </row>
        <row r="610">
          <cell r="B610">
            <v>129932</v>
          </cell>
          <cell r="AZ610">
            <v>2848</v>
          </cell>
        </row>
        <row r="611">
          <cell r="B611">
            <v>129873</v>
          </cell>
          <cell r="AZ611">
            <v>2862</v>
          </cell>
        </row>
        <row r="612">
          <cell r="B612">
            <v>129844</v>
          </cell>
          <cell r="AZ612">
            <v>2756</v>
          </cell>
        </row>
        <row r="613">
          <cell r="B613">
            <v>130015</v>
          </cell>
          <cell r="AZ613">
            <v>2905</v>
          </cell>
        </row>
        <row r="614">
          <cell r="B614">
            <v>130108</v>
          </cell>
          <cell r="AZ614">
            <v>2966</v>
          </cell>
        </row>
        <row r="615">
          <cell r="B615">
            <v>130260</v>
          </cell>
          <cell r="AZ615">
            <v>2921</v>
          </cell>
        </row>
        <row r="616">
          <cell r="B616">
            <v>130328</v>
          </cell>
          <cell r="AZ616">
            <v>2741</v>
          </cell>
        </row>
        <row r="617">
          <cell r="B617">
            <v>130563</v>
          </cell>
          <cell r="AZ617">
            <v>3025</v>
          </cell>
        </row>
        <row r="618">
          <cell r="B618">
            <v>130757</v>
          </cell>
          <cell r="AZ618">
            <v>3123</v>
          </cell>
        </row>
        <row r="619">
          <cell r="B619">
            <v>130974</v>
          </cell>
          <cell r="AZ619">
            <v>2953</v>
          </cell>
        </row>
        <row r="620">
          <cell r="B620">
            <v>131027</v>
          </cell>
          <cell r="AZ620">
            <v>3034</v>
          </cell>
        </row>
        <row r="621">
          <cell r="B621">
            <v>131047</v>
          </cell>
          <cell r="AZ621">
            <v>3169</v>
          </cell>
        </row>
        <row r="622">
          <cell r="B622">
            <v>131132</v>
          </cell>
          <cell r="AZ622">
            <v>3228</v>
          </cell>
        </row>
        <row r="623">
          <cell r="B623">
            <v>131132</v>
          </cell>
          <cell r="AZ623" t="str">
            <v>NA</v>
          </cell>
        </row>
        <row r="624">
          <cell r="B624" t="str">
            <v>NA</v>
          </cell>
          <cell r="AZ624" t="str">
            <v>NA</v>
          </cell>
        </row>
      </sheetData>
      <sheetData sheetId="1">
        <row r="3">
          <cell r="B3">
            <v>116594</v>
          </cell>
          <cell r="C3">
            <v>59.1</v>
          </cell>
        </row>
        <row r="4">
          <cell r="B4">
            <v>116702</v>
          </cell>
          <cell r="C4">
            <v>59.1</v>
          </cell>
        </row>
        <row r="5">
          <cell r="B5">
            <v>116827</v>
          </cell>
          <cell r="C5">
            <v>58.5</v>
          </cell>
        </row>
        <row r="6">
          <cell r="B6">
            <v>116910</v>
          </cell>
          <cell r="C6">
            <v>59.5</v>
          </cell>
        </row>
        <row r="7">
          <cell r="B7">
            <v>117033</v>
          </cell>
          <cell r="C7">
            <v>59.5</v>
          </cell>
        </row>
        <row r="8">
          <cell r="B8">
            <v>117167</v>
          </cell>
          <cell r="C8">
            <v>59.7</v>
          </cell>
        </row>
        <row r="9">
          <cell r="B9">
            <v>117281</v>
          </cell>
          <cell r="C9">
            <v>59.5</v>
          </cell>
        </row>
        <row r="10">
          <cell r="B10">
            <v>117431</v>
          </cell>
          <cell r="C10">
            <v>59.5</v>
          </cell>
        </row>
        <row r="11">
          <cell r="B11">
            <v>117521</v>
          </cell>
          <cell r="C11">
            <v>59.7</v>
          </cell>
        </row>
        <row r="12">
          <cell r="B12">
            <v>117643</v>
          </cell>
          <cell r="C12">
            <v>59.400000000000006</v>
          </cell>
        </row>
        <row r="13">
          <cell r="B13">
            <v>117829</v>
          </cell>
          <cell r="C13">
            <v>59.800000000000004</v>
          </cell>
        </row>
        <row r="14">
          <cell r="B14">
            <v>118001</v>
          </cell>
          <cell r="C14">
            <v>59.7</v>
          </cell>
        </row>
        <row r="15">
          <cell r="B15">
            <v>118155</v>
          </cell>
          <cell r="C15">
            <v>59.6</v>
          </cell>
        </row>
        <row r="16">
          <cell r="B16">
            <v>118250</v>
          </cell>
          <cell r="C16">
            <v>59.6</v>
          </cell>
        </row>
        <row r="17">
          <cell r="B17">
            <v>118358</v>
          </cell>
          <cell r="C17">
            <v>59.7</v>
          </cell>
        </row>
        <row r="18">
          <cell r="B18">
            <v>118503</v>
          </cell>
          <cell r="C18">
            <v>59.300000000000004</v>
          </cell>
        </row>
        <row r="19">
          <cell r="B19">
            <v>118638</v>
          </cell>
          <cell r="C19">
            <v>59.400000000000006</v>
          </cell>
        </row>
        <row r="20">
          <cell r="B20">
            <v>118767</v>
          </cell>
          <cell r="C20">
            <v>59.7</v>
          </cell>
        </row>
        <row r="21">
          <cell r="B21">
            <v>118889</v>
          </cell>
          <cell r="C21">
            <v>59.300000000000004</v>
          </cell>
        </row>
        <row r="22">
          <cell r="B22">
            <v>119006</v>
          </cell>
          <cell r="C22">
            <v>59.300000000000004</v>
          </cell>
        </row>
        <row r="23">
          <cell r="B23">
            <v>119107</v>
          </cell>
          <cell r="C23">
            <v>59</v>
          </cell>
        </row>
        <row r="24">
          <cell r="B24">
            <v>119202</v>
          </cell>
          <cell r="C24">
            <v>59.1</v>
          </cell>
        </row>
        <row r="25">
          <cell r="B25">
            <v>119153</v>
          </cell>
          <cell r="C25">
            <v>59.1</v>
          </cell>
        </row>
        <row r="26">
          <cell r="B26">
            <v>119214</v>
          </cell>
          <cell r="C26">
            <v>58.800000000000004</v>
          </cell>
        </row>
        <row r="27">
          <cell r="B27">
            <v>119300</v>
          </cell>
          <cell r="C27">
            <v>58.800000000000004</v>
          </cell>
        </row>
        <row r="28">
          <cell r="B28">
            <v>119360</v>
          </cell>
          <cell r="C28">
            <v>59</v>
          </cell>
        </row>
        <row r="29">
          <cell r="B29">
            <v>119476</v>
          </cell>
          <cell r="C29">
            <v>58.900000000000006</v>
          </cell>
        </row>
        <row r="30">
          <cell r="B30">
            <v>119702</v>
          </cell>
          <cell r="C30">
            <v>58.7</v>
          </cell>
        </row>
        <row r="31">
          <cell r="B31">
            <v>119813</v>
          </cell>
          <cell r="C31">
            <v>58.900000000000006</v>
          </cell>
        </row>
        <row r="32">
          <cell r="B32">
            <v>119943</v>
          </cell>
          <cell r="C32">
            <v>58.800000000000004</v>
          </cell>
        </row>
        <row r="33">
          <cell r="B33">
            <v>120128</v>
          </cell>
          <cell r="C33">
            <v>58.5</v>
          </cell>
        </row>
        <row r="34">
          <cell r="B34">
            <v>120323</v>
          </cell>
          <cell r="C34">
            <v>59</v>
          </cell>
        </row>
        <row r="35">
          <cell r="B35">
            <v>120653</v>
          </cell>
          <cell r="C35">
            <v>59</v>
          </cell>
        </row>
        <row r="36">
          <cell r="B36">
            <v>120856</v>
          </cell>
          <cell r="C36">
            <v>58.7</v>
          </cell>
        </row>
        <row r="37">
          <cell r="B37">
            <v>121045</v>
          </cell>
          <cell r="C37">
            <v>58.5</v>
          </cell>
        </row>
        <row r="38">
          <cell r="B38">
            <v>121236</v>
          </cell>
          <cell r="C38">
            <v>58.400000000000006</v>
          </cell>
        </row>
        <row r="39">
          <cell r="B39">
            <v>121463</v>
          </cell>
          <cell r="C39">
            <v>58.6</v>
          </cell>
        </row>
        <row r="40">
          <cell r="B40">
            <v>121633</v>
          </cell>
          <cell r="C40">
            <v>58.6</v>
          </cell>
        </row>
        <row r="41">
          <cell r="B41">
            <v>121824</v>
          </cell>
          <cell r="C41">
            <v>58.6</v>
          </cell>
        </row>
        <row r="42">
          <cell r="B42">
            <v>121986</v>
          </cell>
          <cell r="C42">
            <v>58.800000000000004</v>
          </cell>
        </row>
        <row r="43">
          <cell r="B43">
            <v>122162</v>
          </cell>
          <cell r="C43">
            <v>58.800000000000004</v>
          </cell>
        </row>
        <row r="44">
          <cell r="B44">
            <v>122352</v>
          </cell>
          <cell r="C44">
            <v>58.5</v>
          </cell>
        </row>
        <row r="45">
          <cell r="B45">
            <v>122521</v>
          </cell>
          <cell r="C45">
            <v>58.7</v>
          </cell>
        </row>
        <row r="46">
          <cell r="B46">
            <v>122667</v>
          </cell>
          <cell r="C46">
            <v>58.5</v>
          </cell>
        </row>
        <row r="47">
          <cell r="B47">
            <v>122821</v>
          </cell>
          <cell r="C47">
            <v>58.7</v>
          </cell>
        </row>
        <row r="48">
          <cell r="B48">
            <v>123014</v>
          </cell>
          <cell r="C48">
            <v>58.800000000000004</v>
          </cell>
        </row>
        <row r="49">
          <cell r="B49">
            <v>123192</v>
          </cell>
          <cell r="C49">
            <v>58.800000000000004</v>
          </cell>
        </row>
        <row r="50">
          <cell r="B50">
            <v>123360</v>
          </cell>
          <cell r="C50">
            <v>58.5</v>
          </cell>
        </row>
        <row r="51">
          <cell r="B51">
            <v>123560</v>
          </cell>
          <cell r="C51">
            <v>58.6</v>
          </cell>
        </row>
        <row r="52">
          <cell r="B52">
            <v>123707</v>
          </cell>
          <cell r="C52">
            <v>58.800000000000004</v>
          </cell>
        </row>
        <row r="53">
          <cell r="B53">
            <v>123857</v>
          </cell>
          <cell r="C53">
            <v>58.7</v>
          </cell>
        </row>
        <row r="54">
          <cell r="B54">
            <v>124019</v>
          </cell>
          <cell r="C54">
            <v>59.1</v>
          </cell>
        </row>
        <row r="55">
          <cell r="B55">
            <v>124204</v>
          </cell>
          <cell r="C55">
            <v>59.1</v>
          </cell>
        </row>
        <row r="56">
          <cell r="B56">
            <v>124386</v>
          </cell>
          <cell r="C56">
            <v>58.7</v>
          </cell>
        </row>
        <row r="57">
          <cell r="B57">
            <v>124567</v>
          </cell>
          <cell r="C57">
            <v>58.6</v>
          </cell>
        </row>
        <row r="58">
          <cell r="B58">
            <v>124731</v>
          </cell>
          <cell r="C58">
            <v>58.6</v>
          </cell>
        </row>
        <row r="59">
          <cell r="B59">
            <v>124920</v>
          </cell>
          <cell r="C59">
            <v>58.7</v>
          </cell>
        </row>
        <row r="60">
          <cell r="B60">
            <v>125108</v>
          </cell>
          <cell r="C60">
            <v>58.6</v>
          </cell>
        </row>
        <row r="61">
          <cell r="B61">
            <v>125291</v>
          </cell>
          <cell r="C61">
            <v>58.5</v>
          </cell>
        </row>
        <row r="62">
          <cell r="B62">
            <v>125468</v>
          </cell>
          <cell r="C62">
            <v>58.6</v>
          </cell>
        </row>
        <row r="63">
          <cell r="B63">
            <v>125647</v>
          </cell>
          <cell r="C63">
            <v>58.6</v>
          </cell>
        </row>
        <row r="64">
          <cell r="B64">
            <v>125810</v>
          </cell>
          <cell r="C64">
            <v>58.7</v>
          </cell>
        </row>
        <row r="65">
          <cell r="B65">
            <v>125985</v>
          </cell>
          <cell r="C65">
            <v>58.7</v>
          </cell>
        </row>
        <row r="66">
          <cell r="B66">
            <v>126155</v>
          </cell>
          <cell r="C66">
            <v>58.800000000000004</v>
          </cell>
        </row>
        <row r="67">
          <cell r="B67">
            <v>126320</v>
          </cell>
          <cell r="C67">
            <v>59</v>
          </cell>
        </row>
        <row r="68">
          <cell r="B68">
            <v>126499</v>
          </cell>
          <cell r="C68">
            <v>58.800000000000004</v>
          </cell>
        </row>
        <row r="69">
          <cell r="B69">
            <v>126573</v>
          </cell>
          <cell r="C69">
            <v>59.1</v>
          </cell>
        </row>
        <row r="70">
          <cell r="B70">
            <v>126756</v>
          </cell>
          <cell r="C70">
            <v>58.900000000000006</v>
          </cell>
        </row>
        <row r="71">
          <cell r="B71">
            <v>126906</v>
          </cell>
          <cell r="C71">
            <v>58.7</v>
          </cell>
        </row>
        <row r="72">
          <cell r="B72">
            <v>127043</v>
          </cell>
          <cell r="C72">
            <v>58.900000000000006</v>
          </cell>
        </row>
        <row r="73">
          <cell r="B73">
            <v>127171</v>
          </cell>
          <cell r="C73">
            <v>58.800000000000004</v>
          </cell>
        </row>
        <row r="74">
          <cell r="B74">
            <v>127294</v>
          </cell>
          <cell r="C74">
            <v>59</v>
          </cell>
        </row>
        <row r="75">
          <cell r="B75">
            <v>127394</v>
          </cell>
          <cell r="C75">
            <v>59</v>
          </cell>
        </row>
        <row r="76">
          <cell r="B76">
            <v>127514</v>
          </cell>
          <cell r="C76">
            <v>58.800000000000004</v>
          </cell>
        </row>
        <row r="77">
          <cell r="B77">
            <v>127626</v>
          </cell>
          <cell r="C77">
            <v>58.800000000000004</v>
          </cell>
        </row>
        <row r="78">
          <cell r="B78">
            <v>127744</v>
          </cell>
          <cell r="C78">
            <v>59</v>
          </cell>
        </row>
        <row r="79">
          <cell r="B79">
            <v>127879</v>
          </cell>
          <cell r="C79">
            <v>59</v>
          </cell>
        </row>
        <row r="80">
          <cell r="B80">
            <v>127983</v>
          </cell>
          <cell r="C80">
            <v>59.1</v>
          </cell>
        </row>
        <row r="81">
          <cell r="B81">
            <v>128102</v>
          </cell>
          <cell r="C81">
            <v>59.1</v>
          </cell>
        </row>
        <row r="82">
          <cell r="B82">
            <v>128240</v>
          </cell>
          <cell r="C82">
            <v>59.300000000000004</v>
          </cell>
        </row>
        <row r="83">
          <cell r="B83">
            <v>128359</v>
          </cell>
          <cell r="C83">
            <v>59.300000000000004</v>
          </cell>
        </row>
        <row r="84">
          <cell r="B84">
            <v>128494</v>
          </cell>
          <cell r="C84">
            <v>59.300000000000004</v>
          </cell>
        </row>
        <row r="85">
          <cell r="B85">
            <v>128627</v>
          </cell>
          <cell r="C85">
            <v>59.6</v>
          </cell>
        </row>
        <row r="86">
          <cell r="B86">
            <v>128730</v>
          </cell>
          <cell r="C86">
            <v>59.5</v>
          </cell>
        </row>
        <row r="87">
          <cell r="B87">
            <v>128909</v>
          </cell>
          <cell r="C87">
            <v>59.5</v>
          </cell>
        </row>
        <row r="88">
          <cell r="B88">
            <v>129032</v>
          </cell>
          <cell r="C88">
            <v>59.300000000000004</v>
          </cell>
        </row>
        <row r="89">
          <cell r="B89">
            <v>129190</v>
          </cell>
          <cell r="C89">
            <v>59.1</v>
          </cell>
        </row>
        <row r="90">
          <cell r="B90">
            <v>129344</v>
          </cell>
          <cell r="C90">
            <v>59.400000000000006</v>
          </cell>
        </row>
        <row r="91">
          <cell r="B91">
            <v>129515</v>
          </cell>
          <cell r="C91">
            <v>59.300000000000004</v>
          </cell>
        </row>
        <row r="92">
          <cell r="B92">
            <v>129722</v>
          </cell>
          <cell r="C92">
            <v>59.6</v>
          </cell>
        </row>
        <row r="93">
          <cell r="B93">
            <v>129918</v>
          </cell>
          <cell r="C93">
            <v>59.6</v>
          </cell>
        </row>
        <row r="94">
          <cell r="B94">
            <v>130187</v>
          </cell>
          <cell r="C94">
            <v>59.7</v>
          </cell>
        </row>
        <row r="95">
          <cell r="B95">
            <v>130392</v>
          </cell>
          <cell r="C95">
            <v>59.7</v>
          </cell>
        </row>
        <row r="96">
          <cell r="B96">
            <v>130582</v>
          </cell>
          <cell r="C96">
            <v>59.900000000000006</v>
          </cell>
        </row>
        <row r="97">
          <cell r="B97">
            <v>130754</v>
          </cell>
          <cell r="C97">
            <v>59.800000000000004</v>
          </cell>
        </row>
        <row r="98">
          <cell r="B98">
            <v>130936</v>
          </cell>
          <cell r="C98">
            <v>59.900000000000006</v>
          </cell>
        </row>
        <row r="99">
          <cell r="B99">
            <v>131112</v>
          </cell>
          <cell r="C99">
            <v>59.2</v>
          </cell>
        </row>
        <row r="100">
          <cell r="B100">
            <v>131277</v>
          </cell>
          <cell r="C100">
            <v>59.6</v>
          </cell>
        </row>
        <row r="101">
          <cell r="B101">
            <v>131412</v>
          </cell>
          <cell r="C101">
            <v>59.6</v>
          </cell>
        </row>
        <row r="102">
          <cell r="B102">
            <v>131553</v>
          </cell>
          <cell r="C102">
            <v>59.5</v>
          </cell>
        </row>
        <row r="103">
          <cell r="B103">
            <v>131712</v>
          </cell>
          <cell r="C103">
            <v>59.900000000000006</v>
          </cell>
        </row>
        <row r="104">
          <cell r="B104">
            <v>131872</v>
          </cell>
          <cell r="C104">
            <v>60</v>
          </cell>
        </row>
        <row r="105">
          <cell r="B105">
            <v>132053</v>
          </cell>
          <cell r="C105">
            <v>59.800000000000004</v>
          </cell>
        </row>
        <row r="106">
          <cell r="B106">
            <v>132251</v>
          </cell>
          <cell r="C106">
            <v>59.6</v>
          </cell>
        </row>
        <row r="107">
          <cell r="B107">
            <v>132446</v>
          </cell>
          <cell r="C107">
            <v>59.5</v>
          </cell>
        </row>
        <row r="108">
          <cell r="B108">
            <v>132617</v>
          </cell>
          <cell r="C108">
            <v>59.5</v>
          </cell>
        </row>
        <row r="109">
          <cell r="B109">
            <v>132903</v>
          </cell>
          <cell r="C109">
            <v>59.6</v>
          </cell>
        </row>
        <row r="110">
          <cell r="B110">
            <v>133120</v>
          </cell>
          <cell r="C110">
            <v>59.7</v>
          </cell>
        </row>
        <row r="111">
          <cell r="B111">
            <v>133324</v>
          </cell>
          <cell r="C111">
            <v>59.6</v>
          </cell>
        </row>
        <row r="112">
          <cell r="B112">
            <v>133465</v>
          </cell>
          <cell r="C112">
            <v>60</v>
          </cell>
        </row>
        <row r="113">
          <cell r="B113">
            <v>133638</v>
          </cell>
          <cell r="C113">
            <v>59.900000000000006</v>
          </cell>
        </row>
        <row r="114">
          <cell r="B114">
            <v>133821</v>
          </cell>
          <cell r="C114">
            <v>60</v>
          </cell>
        </row>
        <row r="115">
          <cell r="B115">
            <v>134027</v>
          </cell>
          <cell r="C115">
            <v>59.800000000000004</v>
          </cell>
        </row>
        <row r="116">
          <cell r="B116">
            <v>134213</v>
          </cell>
          <cell r="C116">
            <v>60.1</v>
          </cell>
        </row>
        <row r="117">
          <cell r="B117">
            <v>134414</v>
          </cell>
          <cell r="C117">
            <v>60.1</v>
          </cell>
        </row>
        <row r="118">
          <cell r="B118">
            <v>134597</v>
          </cell>
          <cell r="C118">
            <v>60.300000000000004</v>
          </cell>
        </row>
        <row r="119">
          <cell r="B119">
            <v>134774</v>
          </cell>
          <cell r="C119">
            <v>60.300000000000004</v>
          </cell>
        </row>
        <row r="120">
          <cell r="B120">
            <v>135012</v>
          </cell>
          <cell r="C120">
            <v>60.400000000000006</v>
          </cell>
        </row>
        <row r="121">
          <cell r="B121">
            <v>135239</v>
          </cell>
          <cell r="C121">
            <v>60.2</v>
          </cell>
        </row>
        <row r="122">
          <cell r="B122">
            <v>135489</v>
          </cell>
          <cell r="C122">
            <v>60.2</v>
          </cell>
        </row>
        <row r="123">
          <cell r="B123">
            <v>135713</v>
          </cell>
          <cell r="C123">
            <v>60.400000000000006</v>
          </cell>
        </row>
        <row r="124">
          <cell r="B124">
            <v>135957</v>
          </cell>
          <cell r="C124">
            <v>60.400000000000006</v>
          </cell>
        </row>
        <row r="125">
          <cell r="B125">
            <v>136179</v>
          </cell>
          <cell r="C125">
            <v>60.6</v>
          </cell>
        </row>
        <row r="126">
          <cell r="B126">
            <v>136416</v>
          </cell>
          <cell r="C126">
            <v>60.6</v>
          </cell>
        </row>
        <row r="127">
          <cell r="B127">
            <v>136686</v>
          </cell>
          <cell r="C127">
            <v>60.300000000000004</v>
          </cell>
        </row>
        <row r="128">
          <cell r="B128">
            <v>136927</v>
          </cell>
          <cell r="C128">
            <v>60.2</v>
          </cell>
        </row>
        <row r="129">
          <cell r="B129">
            <v>137196</v>
          </cell>
          <cell r="C129">
            <v>60.400000000000006</v>
          </cell>
        </row>
        <row r="130">
          <cell r="B130">
            <v>137456</v>
          </cell>
          <cell r="C130">
            <v>60.300000000000004</v>
          </cell>
        </row>
        <row r="131">
          <cell r="B131">
            <v>137717</v>
          </cell>
          <cell r="C131">
            <v>60.2</v>
          </cell>
        </row>
        <row r="132">
          <cell r="B132">
            <v>137988</v>
          </cell>
          <cell r="C132">
            <v>60.400000000000006</v>
          </cell>
        </row>
        <row r="133">
          <cell r="B133">
            <v>138264</v>
          </cell>
          <cell r="C133">
            <v>60.400000000000006</v>
          </cell>
        </row>
        <row r="134">
          <cell r="B134">
            <v>138529</v>
          </cell>
          <cell r="C134">
            <v>60.400000000000006</v>
          </cell>
        </row>
        <row r="135">
          <cell r="B135">
            <v>138795</v>
          </cell>
          <cell r="C135">
            <v>60.400000000000006</v>
          </cell>
        </row>
        <row r="136">
          <cell r="B136">
            <v>139020</v>
          </cell>
          <cell r="C136">
            <v>60.1</v>
          </cell>
        </row>
        <row r="137">
          <cell r="B137">
            <v>139284</v>
          </cell>
          <cell r="C137">
            <v>60</v>
          </cell>
        </row>
        <row r="138">
          <cell r="B138">
            <v>139565</v>
          </cell>
          <cell r="C138">
            <v>60.1</v>
          </cell>
        </row>
        <row r="139">
          <cell r="B139">
            <v>139826</v>
          </cell>
          <cell r="C139">
            <v>60.2</v>
          </cell>
        </row>
        <row r="140">
          <cell r="B140">
            <v>140090</v>
          </cell>
          <cell r="C140">
            <v>59.800000000000004</v>
          </cell>
        </row>
        <row r="141">
          <cell r="B141">
            <v>140343</v>
          </cell>
          <cell r="C141">
            <v>60.1</v>
          </cell>
        </row>
        <row r="142">
          <cell r="B142">
            <v>140596</v>
          </cell>
          <cell r="C142">
            <v>60.2</v>
          </cell>
        </row>
        <row r="143">
          <cell r="B143">
            <v>140868</v>
          </cell>
          <cell r="C143">
            <v>60.1</v>
          </cell>
        </row>
        <row r="144">
          <cell r="B144">
            <v>141146</v>
          </cell>
          <cell r="C144">
            <v>60.1</v>
          </cell>
        </row>
        <row r="145">
          <cell r="B145">
            <v>141393</v>
          </cell>
          <cell r="C145">
            <v>60.400000000000006</v>
          </cell>
        </row>
        <row r="146">
          <cell r="B146">
            <v>141666</v>
          </cell>
          <cell r="C146">
            <v>60.400000000000006</v>
          </cell>
        </row>
        <row r="147">
          <cell r="B147">
            <v>142736</v>
          </cell>
          <cell r="C147">
            <v>60.2</v>
          </cell>
        </row>
        <row r="148">
          <cell r="B148">
            <v>143016</v>
          </cell>
          <cell r="C148">
            <v>60.2</v>
          </cell>
        </row>
        <row r="149">
          <cell r="B149">
            <v>143262</v>
          </cell>
          <cell r="C149">
            <v>60.5</v>
          </cell>
        </row>
        <row r="150">
          <cell r="B150">
            <v>143483</v>
          </cell>
          <cell r="C150">
            <v>60.400000000000006</v>
          </cell>
        </row>
        <row r="151">
          <cell r="B151">
            <v>143759</v>
          </cell>
          <cell r="C151">
            <v>60.400000000000006</v>
          </cell>
        </row>
        <row r="152">
          <cell r="B152">
            <v>144032</v>
          </cell>
          <cell r="C152">
            <v>60.400000000000006</v>
          </cell>
        </row>
        <row r="153">
          <cell r="B153">
            <v>144285</v>
          </cell>
          <cell r="C153">
            <v>60.400000000000006</v>
          </cell>
        </row>
        <row r="154">
          <cell r="B154">
            <v>144522</v>
          </cell>
          <cell r="C154">
            <v>60.6</v>
          </cell>
        </row>
        <row r="155">
          <cell r="B155">
            <v>144761</v>
          </cell>
          <cell r="C155">
            <v>60.400000000000006</v>
          </cell>
        </row>
        <row r="156">
          <cell r="B156">
            <v>144988</v>
          </cell>
          <cell r="C156">
            <v>60.300000000000004</v>
          </cell>
        </row>
        <row r="157">
          <cell r="B157">
            <v>145211</v>
          </cell>
          <cell r="C157">
            <v>60.300000000000004</v>
          </cell>
        </row>
        <row r="158">
          <cell r="B158">
            <v>145445</v>
          </cell>
          <cell r="C158">
            <v>60.5</v>
          </cell>
        </row>
        <row r="159">
          <cell r="B159">
            <v>145719</v>
          </cell>
          <cell r="C159">
            <v>60</v>
          </cell>
        </row>
        <row r="160">
          <cell r="B160">
            <v>145943</v>
          </cell>
          <cell r="C160">
            <v>60.5</v>
          </cell>
        </row>
        <row r="161">
          <cell r="B161">
            <v>146230</v>
          </cell>
          <cell r="C161">
            <v>60.800000000000004</v>
          </cell>
        </row>
        <row r="162">
          <cell r="B162">
            <v>146458</v>
          </cell>
          <cell r="C162">
            <v>60.800000000000004</v>
          </cell>
        </row>
        <row r="163">
          <cell r="B163">
            <v>146719</v>
          </cell>
          <cell r="C163">
            <v>60.6</v>
          </cell>
        </row>
        <row r="164">
          <cell r="B164">
            <v>146980</v>
          </cell>
          <cell r="C164">
            <v>60.900000000000006</v>
          </cell>
        </row>
        <row r="165">
          <cell r="B165">
            <v>147233</v>
          </cell>
          <cell r="C165">
            <v>60.900000000000006</v>
          </cell>
        </row>
        <row r="166">
          <cell r="B166">
            <v>147472</v>
          </cell>
          <cell r="C166">
            <v>60.7</v>
          </cell>
        </row>
        <row r="167">
          <cell r="B167">
            <v>147730</v>
          </cell>
          <cell r="C167">
            <v>60.800000000000004</v>
          </cell>
        </row>
        <row r="168">
          <cell r="B168">
            <v>147979</v>
          </cell>
          <cell r="C168">
            <v>60.900000000000006</v>
          </cell>
        </row>
        <row r="169">
          <cell r="B169">
            <v>148219</v>
          </cell>
          <cell r="C169">
            <v>61.2</v>
          </cell>
        </row>
        <row r="170">
          <cell r="B170">
            <v>148478</v>
          </cell>
          <cell r="C170">
            <v>61.2</v>
          </cell>
        </row>
        <row r="171">
          <cell r="B171">
            <v>148754</v>
          </cell>
          <cell r="C171">
            <v>61.300000000000004</v>
          </cell>
        </row>
        <row r="172">
          <cell r="B172">
            <v>148982</v>
          </cell>
          <cell r="C172">
            <v>61.400000000000006</v>
          </cell>
        </row>
        <row r="173">
          <cell r="B173">
            <v>149225</v>
          </cell>
          <cell r="C173">
            <v>61.300000000000004</v>
          </cell>
        </row>
        <row r="174">
          <cell r="B174">
            <v>149478</v>
          </cell>
          <cell r="C174">
            <v>61.1</v>
          </cell>
        </row>
        <row r="175">
          <cell r="B175">
            <v>149751</v>
          </cell>
          <cell r="C175">
            <v>61.2</v>
          </cell>
        </row>
        <row r="176">
          <cell r="B176">
            <v>150011</v>
          </cell>
          <cell r="C176">
            <v>61.2</v>
          </cell>
        </row>
        <row r="177">
          <cell r="B177">
            <v>150249</v>
          </cell>
          <cell r="C177">
            <v>61.400000000000006</v>
          </cell>
        </row>
        <row r="178">
          <cell r="B178">
            <v>150493</v>
          </cell>
          <cell r="C178">
            <v>61.2</v>
          </cell>
        </row>
        <row r="179">
          <cell r="B179">
            <v>150753</v>
          </cell>
          <cell r="C179">
            <v>61.400000000000006</v>
          </cell>
        </row>
        <row r="180">
          <cell r="B180">
            <v>151009</v>
          </cell>
          <cell r="C180">
            <v>61.300000000000004</v>
          </cell>
        </row>
        <row r="181">
          <cell r="B181">
            <v>151255</v>
          </cell>
          <cell r="C181">
            <v>61.300000000000004</v>
          </cell>
        </row>
        <row r="182">
          <cell r="B182">
            <v>151494</v>
          </cell>
          <cell r="C182">
            <v>61.2</v>
          </cell>
        </row>
        <row r="183">
          <cell r="B183">
            <v>151754</v>
          </cell>
          <cell r="C183">
            <v>61.400000000000006</v>
          </cell>
        </row>
        <row r="184">
          <cell r="B184">
            <v>151989</v>
          </cell>
          <cell r="C184">
            <v>61</v>
          </cell>
        </row>
        <row r="185">
          <cell r="B185">
            <v>152216</v>
          </cell>
          <cell r="C185">
            <v>61.2</v>
          </cell>
        </row>
        <row r="186">
          <cell r="B186">
            <v>152443</v>
          </cell>
          <cell r="C186">
            <v>61.300000000000004</v>
          </cell>
        </row>
        <row r="187">
          <cell r="B187">
            <v>152704</v>
          </cell>
          <cell r="C187">
            <v>61.5</v>
          </cell>
        </row>
        <row r="188">
          <cell r="B188">
            <v>152975</v>
          </cell>
          <cell r="C188">
            <v>61.2</v>
          </cell>
        </row>
        <row r="189">
          <cell r="B189">
            <v>153309</v>
          </cell>
          <cell r="C189">
            <v>61.300000000000004</v>
          </cell>
        </row>
        <row r="190">
          <cell r="B190">
            <v>153579</v>
          </cell>
          <cell r="C190">
            <v>61.300000000000004</v>
          </cell>
        </row>
        <row r="191">
          <cell r="B191">
            <v>153848</v>
          </cell>
          <cell r="C191">
            <v>61.2</v>
          </cell>
        </row>
        <row r="192">
          <cell r="B192">
            <v>154083</v>
          </cell>
          <cell r="C192">
            <v>61.2</v>
          </cell>
        </row>
        <row r="193">
          <cell r="B193">
            <v>154338</v>
          </cell>
          <cell r="C193">
            <v>61.1</v>
          </cell>
        </row>
        <row r="194">
          <cell r="B194">
            <v>154590</v>
          </cell>
          <cell r="C194">
            <v>61.1</v>
          </cell>
        </row>
        <row r="195">
          <cell r="B195">
            <v>154853</v>
          </cell>
          <cell r="C195">
            <v>61.300000000000004</v>
          </cell>
        </row>
        <row r="196">
          <cell r="B196">
            <v>155066</v>
          </cell>
          <cell r="C196">
            <v>61.300000000000004</v>
          </cell>
        </row>
        <row r="197">
          <cell r="B197">
            <v>155306</v>
          </cell>
          <cell r="C197">
            <v>61.300000000000004</v>
          </cell>
        </row>
        <row r="198">
          <cell r="B198">
            <v>155529</v>
          </cell>
          <cell r="C198">
            <v>61.6</v>
          </cell>
        </row>
        <row r="199">
          <cell r="B199">
            <v>155765</v>
          </cell>
          <cell r="C199">
            <v>61.5</v>
          </cell>
        </row>
        <row r="200">
          <cell r="B200">
            <v>156026</v>
          </cell>
          <cell r="C200">
            <v>61.5</v>
          </cell>
        </row>
        <row r="201">
          <cell r="B201">
            <v>156276</v>
          </cell>
          <cell r="C201">
            <v>61.800000000000004</v>
          </cell>
        </row>
        <row r="202">
          <cell r="B202">
            <v>156525</v>
          </cell>
          <cell r="C202">
            <v>61.800000000000004</v>
          </cell>
        </row>
        <row r="203">
          <cell r="B203">
            <v>156779</v>
          </cell>
          <cell r="C203">
            <v>61.6</v>
          </cell>
        </row>
        <row r="204">
          <cell r="B204">
            <v>156993</v>
          </cell>
          <cell r="C204">
            <v>61.6</v>
          </cell>
        </row>
        <row r="205">
          <cell r="B205">
            <v>157235</v>
          </cell>
          <cell r="C205">
            <v>61.900000000000006</v>
          </cell>
        </row>
        <row r="206">
          <cell r="B206">
            <v>157438</v>
          </cell>
          <cell r="C206">
            <v>61.800000000000004</v>
          </cell>
        </row>
        <row r="207">
          <cell r="B207">
            <v>157688</v>
          </cell>
          <cell r="C207">
            <v>61.6</v>
          </cell>
        </row>
        <row r="208">
          <cell r="B208">
            <v>157913</v>
          </cell>
          <cell r="C208">
            <v>61.900000000000006</v>
          </cell>
        </row>
        <row r="209">
          <cell r="B209">
            <v>158131</v>
          </cell>
          <cell r="C209">
            <v>62</v>
          </cell>
        </row>
        <row r="210">
          <cell r="B210">
            <v>158371</v>
          </cell>
          <cell r="C210">
            <v>62.1</v>
          </cell>
        </row>
        <row r="211">
          <cell r="B211">
            <v>158657</v>
          </cell>
          <cell r="C211">
            <v>62.2</v>
          </cell>
        </row>
        <row r="212">
          <cell r="B212">
            <v>158928</v>
          </cell>
          <cell r="C212">
            <v>62.400000000000006</v>
          </cell>
        </row>
        <row r="213">
          <cell r="B213">
            <v>159185</v>
          </cell>
          <cell r="C213">
            <v>62.1</v>
          </cell>
        </row>
        <row r="214">
          <cell r="B214">
            <v>159430</v>
          </cell>
          <cell r="C214">
            <v>62.300000000000004</v>
          </cell>
        </row>
        <row r="215">
          <cell r="B215">
            <v>159674</v>
          </cell>
          <cell r="C215">
            <v>62.300000000000004</v>
          </cell>
        </row>
        <row r="216">
          <cell r="B216">
            <v>159915</v>
          </cell>
          <cell r="C216">
            <v>62.400000000000006</v>
          </cell>
        </row>
        <row r="217">
          <cell r="B217">
            <v>160129</v>
          </cell>
          <cell r="C217">
            <v>62.800000000000004</v>
          </cell>
        </row>
        <row r="218">
          <cell r="B218">
            <v>160376</v>
          </cell>
          <cell r="C218">
            <v>62.7</v>
          </cell>
        </row>
        <row r="219">
          <cell r="B219">
            <v>160617</v>
          </cell>
          <cell r="C219">
            <v>62.800000000000004</v>
          </cell>
        </row>
        <row r="220">
          <cell r="B220">
            <v>160831</v>
          </cell>
          <cell r="C220">
            <v>62.7</v>
          </cell>
        </row>
        <row r="221">
          <cell r="B221">
            <v>161038</v>
          </cell>
          <cell r="C221">
            <v>62.800000000000004</v>
          </cell>
        </row>
        <row r="222">
          <cell r="B222">
            <v>161263</v>
          </cell>
          <cell r="C222">
            <v>63</v>
          </cell>
        </row>
        <row r="223">
          <cell r="B223">
            <v>161518</v>
          </cell>
          <cell r="C223">
            <v>63.1</v>
          </cell>
        </row>
        <row r="224">
          <cell r="B224">
            <v>161794</v>
          </cell>
          <cell r="C224">
            <v>63.300000000000004</v>
          </cell>
        </row>
        <row r="225">
          <cell r="B225">
            <v>162034</v>
          </cell>
          <cell r="C225">
            <v>63.2</v>
          </cell>
        </row>
        <row r="226">
          <cell r="B226">
            <v>162259</v>
          </cell>
          <cell r="C226">
            <v>63.2</v>
          </cell>
        </row>
        <row r="227">
          <cell r="B227">
            <v>162502</v>
          </cell>
          <cell r="C227">
            <v>63.300000000000004</v>
          </cell>
        </row>
        <row r="228">
          <cell r="B228">
            <v>162783</v>
          </cell>
          <cell r="C228">
            <v>63.300000000000004</v>
          </cell>
        </row>
        <row r="229">
          <cell r="B229">
            <v>163017</v>
          </cell>
          <cell r="C229">
            <v>63.5</v>
          </cell>
        </row>
        <row r="230">
          <cell r="B230">
            <v>163272</v>
          </cell>
          <cell r="C230">
            <v>63.6</v>
          </cell>
        </row>
        <row r="231">
          <cell r="B231">
            <v>163516</v>
          </cell>
          <cell r="C231">
            <v>63.6</v>
          </cell>
        </row>
        <row r="232">
          <cell r="B232">
            <v>163726</v>
          </cell>
          <cell r="C232">
            <v>63.800000000000004</v>
          </cell>
        </row>
        <row r="233">
          <cell r="B233">
            <v>164027</v>
          </cell>
          <cell r="C233">
            <v>63.800000000000004</v>
          </cell>
        </row>
        <row r="234">
          <cell r="B234">
            <v>164162</v>
          </cell>
          <cell r="C234">
            <v>63.5</v>
          </cell>
        </row>
        <row r="235">
          <cell r="B235">
            <v>164459</v>
          </cell>
          <cell r="C235">
            <v>63.300000000000004</v>
          </cell>
        </row>
        <row r="236">
          <cell r="B236">
            <v>164720</v>
          </cell>
          <cell r="C236">
            <v>63.5</v>
          </cell>
        </row>
        <row r="237">
          <cell r="B237">
            <v>164970</v>
          </cell>
          <cell r="C237">
            <v>63.6</v>
          </cell>
        </row>
        <row r="238">
          <cell r="B238">
            <v>165198</v>
          </cell>
          <cell r="C238">
            <v>63.6</v>
          </cell>
        </row>
        <row r="239">
          <cell r="B239">
            <v>165431</v>
          </cell>
          <cell r="C239">
            <v>63.800000000000004</v>
          </cell>
        </row>
        <row r="240">
          <cell r="B240">
            <v>165813</v>
          </cell>
          <cell r="C240">
            <v>63.7</v>
          </cell>
        </row>
        <row r="241">
          <cell r="B241">
            <v>166051</v>
          </cell>
          <cell r="C241">
            <v>63.7</v>
          </cell>
        </row>
        <row r="242">
          <cell r="B242">
            <v>166300</v>
          </cell>
          <cell r="C242">
            <v>63.900000000000006</v>
          </cell>
        </row>
        <row r="243">
          <cell r="B243">
            <v>166544</v>
          </cell>
          <cell r="C243">
            <v>64</v>
          </cell>
        </row>
        <row r="244">
          <cell r="B244">
            <v>166759</v>
          </cell>
          <cell r="C244">
            <v>64</v>
          </cell>
        </row>
        <row r="245">
          <cell r="B245">
            <v>166984</v>
          </cell>
          <cell r="C245">
            <v>63.7</v>
          </cell>
        </row>
        <row r="246">
          <cell r="B246">
            <v>167197</v>
          </cell>
          <cell r="C246">
            <v>63.800000000000004</v>
          </cell>
        </row>
        <row r="247">
          <cell r="B247">
            <v>167407</v>
          </cell>
          <cell r="C247">
            <v>63.900000000000006</v>
          </cell>
        </row>
        <row r="248">
          <cell r="B248">
            <v>167643</v>
          </cell>
          <cell r="C248">
            <v>63.7</v>
          </cell>
        </row>
        <row r="249">
          <cell r="B249">
            <v>167932</v>
          </cell>
          <cell r="C249">
            <v>63.800000000000004</v>
          </cell>
        </row>
        <row r="250">
          <cell r="B250">
            <v>168103</v>
          </cell>
          <cell r="C250">
            <v>63.7</v>
          </cell>
        </row>
        <row r="251">
          <cell r="B251">
            <v>168297</v>
          </cell>
          <cell r="C251">
            <v>63.6</v>
          </cell>
        </row>
        <row r="252">
          <cell r="B252">
            <v>168503</v>
          </cell>
          <cell r="C252">
            <v>63.7</v>
          </cell>
        </row>
        <row r="253">
          <cell r="B253">
            <v>168695</v>
          </cell>
          <cell r="C253">
            <v>63.800000000000004</v>
          </cell>
        </row>
        <row r="254">
          <cell r="B254">
            <v>168883</v>
          </cell>
          <cell r="C254">
            <v>63.6</v>
          </cell>
        </row>
        <row r="255">
          <cell r="B255">
            <v>169104</v>
          </cell>
          <cell r="C255">
            <v>63.900000000000006</v>
          </cell>
        </row>
        <row r="256">
          <cell r="B256">
            <v>169280</v>
          </cell>
          <cell r="C256">
            <v>63.900000000000006</v>
          </cell>
        </row>
        <row r="257">
          <cell r="B257">
            <v>169453</v>
          </cell>
          <cell r="C257">
            <v>64.100000000000009</v>
          </cell>
        </row>
        <row r="258">
          <cell r="B258">
            <v>169641</v>
          </cell>
          <cell r="C258">
            <v>64.2</v>
          </cell>
        </row>
        <row r="259">
          <cell r="B259">
            <v>169829</v>
          </cell>
          <cell r="C259">
            <v>64.3</v>
          </cell>
        </row>
        <row r="260">
          <cell r="B260">
            <v>170042</v>
          </cell>
          <cell r="C260">
            <v>63.7</v>
          </cell>
        </row>
        <row r="261">
          <cell r="B261">
            <v>170246</v>
          </cell>
          <cell r="C261">
            <v>63.800000000000004</v>
          </cell>
        </row>
        <row r="262">
          <cell r="B262">
            <v>170399</v>
          </cell>
          <cell r="C262">
            <v>63.800000000000004</v>
          </cell>
        </row>
        <row r="263">
          <cell r="B263">
            <v>170593</v>
          </cell>
          <cell r="C263">
            <v>63.5</v>
          </cell>
        </row>
        <row r="264">
          <cell r="B264">
            <v>170809</v>
          </cell>
          <cell r="C264">
            <v>63.800000000000004</v>
          </cell>
        </row>
        <row r="265">
          <cell r="B265">
            <v>170996</v>
          </cell>
          <cell r="C265">
            <v>63.900000000000006</v>
          </cell>
        </row>
        <row r="266">
          <cell r="B266">
            <v>171166</v>
          </cell>
          <cell r="C266">
            <v>63.6</v>
          </cell>
        </row>
        <row r="267">
          <cell r="B267">
            <v>171335</v>
          </cell>
          <cell r="C267">
            <v>63.7</v>
          </cell>
        </row>
        <row r="268">
          <cell r="B268">
            <v>171489</v>
          </cell>
          <cell r="C268">
            <v>63.800000000000004</v>
          </cell>
        </row>
        <row r="269">
          <cell r="B269">
            <v>171667</v>
          </cell>
          <cell r="C269">
            <v>63.800000000000004</v>
          </cell>
        </row>
        <row r="270">
          <cell r="B270">
            <v>171844</v>
          </cell>
          <cell r="C270">
            <v>63.900000000000006</v>
          </cell>
        </row>
        <row r="271">
          <cell r="B271">
            <v>172026</v>
          </cell>
          <cell r="C271">
            <v>64.2</v>
          </cell>
        </row>
        <row r="272">
          <cell r="B272">
            <v>172190</v>
          </cell>
          <cell r="C272">
            <v>63.900000000000006</v>
          </cell>
        </row>
        <row r="273">
          <cell r="B273">
            <v>172364</v>
          </cell>
          <cell r="C273">
            <v>64</v>
          </cell>
        </row>
        <row r="274">
          <cell r="B274">
            <v>172511</v>
          </cell>
          <cell r="C274">
            <v>64.100000000000009</v>
          </cell>
        </row>
        <row r="275">
          <cell r="B275">
            <v>172690</v>
          </cell>
          <cell r="C275">
            <v>64.100000000000009</v>
          </cell>
        </row>
        <row r="276">
          <cell r="B276">
            <v>172881</v>
          </cell>
          <cell r="C276">
            <v>64.100000000000009</v>
          </cell>
        </row>
        <row r="277">
          <cell r="B277">
            <v>173058</v>
          </cell>
          <cell r="C277">
            <v>64.2</v>
          </cell>
        </row>
        <row r="278">
          <cell r="B278">
            <v>173199</v>
          </cell>
          <cell r="C278">
            <v>64.100000000000009</v>
          </cell>
        </row>
        <row r="279">
          <cell r="B279">
            <v>173354</v>
          </cell>
          <cell r="C279">
            <v>63.900000000000006</v>
          </cell>
        </row>
        <row r="280">
          <cell r="B280">
            <v>173505</v>
          </cell>
          <cell r="C280">
            <v>63.800000000000004</v>
          </cell>
        </row>
        <row r="281">
          <cell r="B281">
            <v>173656</v>
          </cell>
          <cell r="C281">
            <v>63.7</v>
          </cell>
        </row>
        <row r="282">
          <cell r="B282">
            <v>173794</v>
          </cell>
          <cell r="C282">
            <v>63.800000000000004</v>
          </cell>
        </row>
        <row r="283">
          <cell r="B283">
            <v>173953</v>
          </cell>
          <cell r="C283">
            <v>63.7</v>
          </cell>
        </row>
        <row r="284">
          <cell r="B284">
            <v>174125</v>
          </cell>
          <cell r="C284">
            <v>64.3</v>
          </cell>
        </row>
        <row r="285">
          <cell r="B285">
            <v>174306</v>
          </cell>
          <cell r="C285">
            <v>64.100000000000009</v>
          </cell>
        </row>
        <row r="286">
          <cell r="B286">
            <v>174440</v>
          </cell>
          <cell r="C286">
            <v>64.3</v>
          </cell>
        </row>
        <row r="287">
          <cell r="B287">
            <v>174602</v>
          </cell>
          <cell r="C287">
            <v>64.3</v>
          </cell>
        </row>
        <row r="288">
          <cell r="B288">
            <v>174779</v>
          </cell>
          <cell r="C288">
            <v>64</v>
          </cell>
        </row>
        <row r="289">
          <cell r="B289">
            <v>174951</v>
          </cell>
          <cell r="C289">
            <v>64.100000000000009</v>
          </cell>
        </row>
        <row r="290">
          <cell r="B290">
            <v>175121</v>
          </cell>
          <cell r="C290">
            <v>64.100000000000009</v>
          </cell>
        </row>
        <row r="291">
          <cell r="B291">
            <v>175533</v>
          </cell>
          <cell r="C291">
            <v>63.900000000000006</v>
          </cell>
        </row>
        <row r="292">
          <cell r="B292">
            <v>175679</v>
          </cell>
          <cell r="C292">
            <v>64.100000000000009</v>
          </cell>
        </row>
        <row r="293">
          <cell r="B293">
            <v>175824</v>
          </cell>
          <cell r="C293">
            <v>64.100000000000009</v>
          </cell>
        </row>
        <row r="294">
          <cell r="B294">
            <v>175969</v>
          </cell>
          <cell r="C294">
            <v>64.3</v>
          </cell>
        </row>
        <row r="295">
          <cell r="B295">
            <v>176123</v>
          </cell>
          <cell r="C295">
            <v>64.5</v>
          </cell>
        </row>
        <row r="296">
          <cell r="B296">
            <v>176284</v>
          </cell>
          <cell r="C296">
            <v>64.600000000000009</v>
          </cell>
        </row>
        <row r="297">
          <cell r="B297">
            <v>176440</v>
          </cell>
          <cell r="C297">
            <v>64.600000000000009</v>
          </cell>
        </row>
        <row r="298">
          <cell r="B298">
            <v>176583</v>
          </cell>
          <cell r="C298">
            <v>64.400000000000006</v>
          </cell>
        </row>
        <row r="299">
          <cell r="B299">
            <v>176763</v>
          </cell>
          <cell r="C299">
            <v>64.400000000000006</v>
          </cell>
        </row>
        <row r="300">
          <cell r="B300">
            <v>176956</v>
          </cell>
          <cell r="C300">
            <v>64.400000000000006</v>
          </cell>
        </row>
        <row r="301">
          <cell r="B301">
            <v>177135</v>
          </cell>
          <cell r="C301">
            <v>64.5</v>
          </cell>
        </row>
        <row r="302">
          <cell r="B302">
            <v>177306</v>
          </cell>
          <cell r="C302">
            <v>64.600000000000009</v>
          </cell>
        </row>
        <row r="303">
          <cell r="B303">
            <v>177384</v>
          </cell>
          <cell r="C303">
            <v>64.7</v>
          </cell>
        </row>
        <row r="304">
          <cell r="B304">
            <v>177516</v>
          </cell>
          <cell r="C304">
            <v>64.7</v>
          </cell>
        </row>
        <row r="305">
          <cell r="B305">
            <v>177667</v>
          </cell>
          <cell r="C305">
            <v>64.900000000000006</v>
          </cell>
        </row>
        <row r="306">
          <cell r="B306">
            <v>177799</v>
          </cell>
          <cell r="C306">
            <v>64.900000000000006</v>
          </cell>
        </row>
        <row r="307">
          <cell r="B307">
            <v>177944</v>
          </cell>
          <cell r="C307">
            <v>64.8</v>
          </cell>
        </row>
        <row r="308">
          <cell r="B308">
            <v>178096</v>
          </cell>
          <cell r="C308">
            <v>64.600000000000009</v>
          </cell>
        </row>
        <row r="309">
          <cell r="B309">
            <v>178263</v>
          </cell>
          <cell r="C309">
            <v>64.7</v>
          </cell>
        </row>
        <row r="310">
          <cell r="B310">
            <v>178405</v>
          </cell>
          <cell r="C310">
            <v>64.600000000000009</v>
          </cell>
        </row>
        <row r="311">
          <cell r="B311">
            <v>178572</v>
          </cell>
          <cell r="C311">
            <v>64.900000000000006</v>
          </cell>
        </row>
        <row r="312">
          <cell r="B312">
            <v>178770</v>
          </cell>
          <cell r="C312">
            <v>65</v>
          </cell>
        </row>
        <row r="313">
          <cell r="B313">
            <v>178940</v>
          </cell>
          <cell r="C313">
            <v>64.900000000000006</v>
          </cell>
        </row>
        <row r="314">
          <cell r="B314">
            <v>179112</v>
          </cell>
          <cell r="C314">
            <v>65</v>
          </cell>
        </row>
        <row r="315">
          <cell r="B315">
            <v>179670</v>
          </cell>
          <cell r="C315">
            <v>64.900000000000006</v>
          </cell>
        </row>
        <row r="316">
          <cell r="B316">
            <v>179821</v>
          </cell>
          <cell r="C316">
            <v>65</v>
          </cell>
        </row>
        <row r="317">
          <cell r="B317">
            <v>179985</v>
          </cell>
          <cell r="C317">
            <v>65.100000000000009</v>
          </cell>
        </row>
        <row r="318">
          <cell r="B318">
            <v>180148</v>
          </cell>
          <cell r="C318">
            <v>65.100000000000009</v>
          </cell>
        </row>
        <row r="319">
          <cell r="B319">
            <v>180311</v>
          </cell>
          <cell r="C319">
            <v>65.2</v>
          </cell>
        </row>
        <row r="320">
          <cell r="B320">
            <v>180503</v>
          </cell>
          <cell r="C320">
            <v>65.400000000000006</v>
          </cell>
        </row>
        <row r="321">
          <cell r="B321">
            <v>180682</v>
          </cell>
          <cell r="C321">
            <v>65.400000000000006</v>
          </cell>
        </row>
        <row r="322">
          <cell r="B322">
            <v>180828</v>
          </cell>
          <cell r="C322">
            <v>65.3</v>
          </cell>
        </row>
        <row r="323">
          <cell r="B323">
            <v>180997</v>
          </cell>
          <cell r="C323">
            <v>65.400000000000006</v>
          </cell>
        </row>
        <row r="324">
          <cell r="B324">
            <v>181186</v>
          </cell>
          <cell r="C324">
            <v>65.400000000000006</v>
          </cell>
        </row>
        <row r="325">
          <cell r="B325">
            <v>181363</v>
          </cell>
          <cell r="C325">
            <v>65.400000000000006</v>
          </cell>
        </row>
        <row r="326">
          <cell r="B326">
            <v>181547</v>
          </cell>
          <cell r="C326">
            <v>65.3</v>
          </cell>
        </row>
        <row r="327">
          <cell r="B327">
            <v>181827</v>
          </cell>
          <cell r="C327">
            <v>65.400000000000006</v>
          </cell>
        </row>
        <row r="328">
          <cell r="B328">
            <v>181998</v>
          </cell>
          <cell r="C328">
            <v>65.5</v>
          </cell>
        </row>
        <row r="329">
          <cell r="B329">
            <v>182179</v>
          </cell>
          <cell r="C329">
            <v>65.5</v>
          </cell>
        </row>
        <row r="330">
          <cell r="B330">
            <v>182344</v>
          </cell>
          <cell r="C330">
            <v>65.400000000000006</v>
          </cell>
        </row>
        <row r="331">
          <cell r="B331">
            <v>182533</v>
          </cell>
          <cell r="C331">
            <v>65.7</v>
          </cell>
        </row>
        <row r="332">
          <cell r="B332">
            <v>182703</v>
          </cell>
          <cell r="C332">
            <v>65.5</v>
          </cell>
        </row>
        <row r="333">
          <cell r="B333">
            <v>182885</v>
          </cell>
          <cell r="C333">
            <v>65.600000000000009</v>
          </cell>
        </row>
        <row r="334">
          <cell r="B334">
            <v>183002</v>
          </cell>
          <cell r="C334">
            <v>65.7</v>
          </cell>
        </row>
        <row r="335">
          <cell r="B335">
            <v>183161</v>
          </cell>
          <cell r="C335">
            <v>65.5</v>
          </cell>
        </row>
        <row r="336">
          <cell r="B336">
            <v>183311</v>
          </cell>
          <cell r="C336">
            <v>65.7</v>
          </cell>
        </row>
        <row r="337">
          <cell r="B337">
            <v>183470</v>
          </cell>
          <cell r="C337">
            <v>65.7</v>
          </cell>
        </row>
        <row r="338">
          <cell r="B338">
            <v>183620</v>
          </cell>
          <cell r="C338">
            <v>65.7</v>
          </cell>
        </row>
        <row r="339">
          <cell r="B339">
            <v>183822</v>
          </cell>
          <cell r="C339">
            <v>65.8</v>
          </cell>
        </row>
        <row r="340">
          <cell r="B340">
            <v>183969</v>
          </cell>
          <cell r="C340">
            <v>65.900000000000006</v>
          </cell>
        </row>
        <row r="341">
          <cell r="B341">
            <v>184111</v>
          </cell>
          <cell r="C341">
            <v>65.7</v>
          </cell>
        </row>
        <row r="342">
          <cell r="B342">
            <v>184232</v>
          </cell>
          <cell r="C342">
            <v>65.8</v>
          </cell>
        </row>
        <row r="343">
          <cell r="B343">
            <v>184374</v>
          </cell>
          <cell r="C343">
            <v>65.7</v>
          </cell>
        </row>
        <row r="344">
          <cell r="B344">
            <v>184562</v>
          </cell>
          <cell r="C344">
            <v>65.8</v>
          </cell>
        </row>
        <row r="345">
          <cell r="B345">
            <v>184729</v>
          </cell>
          <cell r="C345">
            <v>65.900000000000006</v>
          </cell>
        </row>
        <row r="346">
          <cell r="B346">
            <v>184830</v>
          </cell>
          <cell r="C346">
            <v>66.100000000000009</v>
          </cell>
        </row>
        <row r="347">
          <cell r="B347">
            <v>184962</v>
          </cell>
          <cell r="C347">
            <v>65.900000000000006</v>
          </cell>
        </row>
        <row r="348">
          <cell r="B348">
            <v>185114</v>
          </cell>
          <cell r="C348">
            <v>66</v>
          </cell>
        </row>
        <row r="349">
          <cell r="B349">
            <v>185244</v>
          </cell>
          <cell r="C349">
            <v>66.2</v>
          </cell>
        </row>
        <row r="350">
          <cell r="B350">
            <v>185402</v>
          </cell>
          <cell r="C350">
            <v>66.100000000000009</v>
          </cell>
        </row>
        <row r="351">
          <cell r="B351">
            <v>185644</v>
          </cell>
          <cell r="C351">
            <v>66.5</v>
          </cell>
        </row>
        <row r="352">
          <cell r="B352">
            <v>185777</v>
          </cell>
          <cell r="C352">
            <v>66.3</v>
          </cell>
        </row>
        <row r="353">
          <cell r="B353">
            <v>185897</v>
          </cell>
          <cell r="C353">
            <v>66.3</v>
          </cell>
        </row>
        <row r="354">
          <cell r="B354">
            <v>186024</v>
          </cell>
          <cell r="C354">
            <v>66.400000000000006</v>
          </cell>
        </row>
        <row r="355">
          <cell r="B355">
            <v>186181</v>
          </cell>
          <cell r="C355">
            <v>66.3</v>
          </cell>
        </row>
        <row r="356">
          <cell r="B356">
            <v>186329</v>
          </cell>
          <cell r="C356">
            <v>66.5</v>
          </cell>
        </row>
        <row r="357">
          <cell r="B357">
            <v>186483</v>
          </cell>
          <cell r="C357">
            <v>66.5</v>
          </cell>
        </row>
        <row r="358">
          <cell r="B358">
            <v>186598</v>
          </cell>
          <cell r="C358">
            <v>66.5</v>
          </cell>
        </row>
        <row r="359">
          <cell r="B359">
            <v>186726</v>
          </cell>
          <cell r="C359">
            <v>66.400000000000006</v>
          </cell>
        </row>
        <row r="360">
          <cell r="B360">
            <v>186871</v>
          </cell>
          <cell r="C360">
            <v>66.5</v>
          </cell>
        </row>
        <row r="361">
          <cell r="B361">
            <v>187017</v>
          </cell>
          <cell r="C361">
            <v>66.600000000000009</v>
          </cell>
        </row>
        <row r="362">
          <cell r="B362">
            <v>187165</v>
          </cell>
          <cell r="C362">
            <v>66.5</v>
          </cell>
        </row>
        <row r="363">
          <cell r="B363">
            <v>188413</v>
          </cell>
          <cell r="C363">
            <v>66.8</v>
          </cell>
        </row>
        <row r="364">
          <cell r="B364">
            <v>188516</v>
          </cell>
          <cell r="C364">
            <v>66.7</v>
          </cell>
        </row>
        <row r="365">
          <cell r="B365">
            <v>188630</v>
          </cell>
          <cell r="C365">
            <v>66.7</v>
          </cell>
        </row>
        <row r="366">
          <cell r="B366">
            <v>188778</v>
          </cell>
          <cell r="C366">
            <v>66.600000000000009</v>
          </cell>
        </row>
        <row r="367">
          <cell r="B367">
            <v>188913</v>
          </cell>
          <cell r="C367">
            <v>66.600000000000009</v>
          </cell>
        </row>
        <row r="368">
          <cell r="B368">
            <v>189058</v>
          </cell>
          <cell r="C368">
            <v>66.400000000000006</v>
          </cell>
        </row>
        <row r="369">
          <cell r="B369">
            <v>189188</v>
          </cell>
          <cell r="C369">
            <v>66.5</v>
          </cell>
        </row>
        <row r="370">
          <cell r="B370">
            <v>189342</v>
          </cell>
          <cell r="C370">
            <v>66.5</v>
          </cell>
        </row>
        <row r="371">
          <cell r="B371">
            <v>189528</v>
          </cell>
          <cell r="C371">
            <v>66.400000000000006</v>
          </cell>
        </row>
        <row r="372">
          <cell r="B372">
            <v>189710</v>
          </cell>
          <cell r="C372">
            <v>66.400000000000006</v>
          </cell>
        </row>
        <row r="373">
          <cell r="B373">
            <v>189872</v>
          </cell>
          <cell r="C373">
            <v>66.400000000000006</v>
          </cell>
        </row>
        <row r="374">
          <cell r="B374">
            <v>190017</v>
          </cell>
          <cell r="C374">
            <v>66.400000000000006</v>
          </cell>
        </row>
        <row r="375">
          <cell r="B375">
            <v>190163</v>
          </cell>
          <cell r="C375">
            <v>66.2</v>
          </cell>
        </row>
        <row r="376">
          <cell r="B376">
            <v>190271</v>
          </cell>
          <cell r="C376">
            <v>66.2</v>
          </cell>
        </row>
        <row r="377">
          <cell r="B377">
            <v>190381</v>
          </cell>
          <cell r="C377">
            <v>66.3</v>
          </cell>
        </row>
        <row r="378">
          <cell r="B378">
            <v>190517</v>
          </cell>
          <cell r="C378">
            <v>66.400000000000006</v>
          </cell>
        </row>
        <row r="379">
          <cell r="B379">
            <v>190650</v>
          </cell>
          <cell r="C379">
            <v>66.2</v>
          </cell>
        </row>
        <row r="380">
          <cell r="B380">
            <v>190800</v>
          </cell>
          <cell r="C380">
            <v>66.2</v>
          </cell>
        </row>
        <row r="381">
          <cell r="B381">
            <v>190946</v>
          </cell>
          <cell r="C381">
            <v>66.100000000000009</v>
          </cell>
        </row>
        <row r="382">
          <cell r="B382">
            <v>191116</v>
          </cell>
          <cell r="C382">
            <v>66</v>
          </cell>
        </row>
        <row r="383">
          <cell r="B383">
            <v>191302</v>
          </cell>
          <cell r="C383">
            <v>66.2</v>
          </cell>
        </row>
        <row r="384">
          <cell r="B384">
            <v>191497</v>
          </cell>
          <cell r="C384">
            <v>66.100000000000009</v>
          </cell>
        </row>
        <row r="385">
          <cell r="B385">
            <v>191657</v>
          </cell>
          <cell r="C385">
            <v>66.100000000000009</v>
          </cell>
        </row>
        <row r="386">
          <cell r="B386">
            <v>191798</v>
          </cell>
          <cell r="C386">
            <v>66</v>
          </cell>
        </row>
        <row r="387">
          <cell r="B387">
            <v>191953</v>
          </cell>
          <cell r="C387">
            <v>66.3</v>
          </cell>
        </row>
        <row r="388">
          <cell r="B388">
            <v>192067</v>
          </cell>
          <cell r="C388">
            <v>66.2</v>
          </cell>
        </row>
        <row r="389">
          <cell r="B389">
            <v>192204</v>
          </cell>
          <cell r="C389">
            <v>66.400000000000006</v>
          </cell>
        </row>
        <row r="390">
          <cell r="B390">
            <v>192354</v>
          </cell>
          <cell r="C390">
            <v>66.5</v>
          </cell>
        </row>
        <row r="391">
          <cell r="B391">
            <v>192503</v>
          </cell>
          <cell r="C391">
            <v>66.600000000000009</v>
          </cell>
        </row>
        <row r="392">
          <cell r="B392">
            <v>192663</v>
          </cell>
          <cell r="C392">
            <v>66.7</v>
          </cell>
        </row>
        <row r="393">
          <cell r="B393">
            <v>192826</v>
          </cell>
          <cell r="C393">
            <v>66.7</v>
          </cell>
        </row>
        <row r="394">
          <cell r="B394">
            <v>193018</v>
          </cell>
          <cell r="C394">
            <v>66.600000000000009</v>
          </cell>
        </row>
        <row r="395">
          <cell r="B395">
            <v>193229</v>
          </cell>
          <cell r="C395">
            <v>66.5</v>
          </cell>
        </row>
        <row r="396">
          <cell r="B396">
            <v>193442</v>
          </cell>
          <cell r="C396">
            <v>66.2</v>
          </cell>
        </row>
        <row r="397">
          <cell r="B397">
            <v>193621</v>
          </cell>
          <cell r="C397">
            <v>66.3</v>
          </cell>
        </row>
        <row r="398">
          <cell r="B398">
            <v>193784</v>
          </cell>
          <cell r="C398">
            <v>66.3</v>
          </cell>
        </row>
        <row r="399">
          <cell r="B399">
            <v>193962</v>
          </cell>
          <cell r="C399">
            <v>66.2</v>
          </cell>
        </row>
        <row r="400">
          <cell r="B400">
            <v>194108</v>
          </cell>
          <cell r="C400">
            <v>66.2</v>
          </cell>
        </row>
        <row r="401">
          <cell r="B401">
            <v>194248</v>
          </cell>
          <cell r="C401">
            <v>66.2</v>
          </cell>
        </row>
        <row r="402">
          <cell r="B402">
            <v>194398</v>
          </cell>
          <cell r="C402">
            <v>66.100000000000009</v>
          </cell>
        </row>
        <row r="403">
          <cell r="B403">
            <v>194549</v>
          </cell>
          <cell r="C403">
            <v>66.400000000000006</v>
          </cell>
        </row>
        <row r="404">
          <cell r="B404">
            <v>194719</v>
          </cell>
          <cell r="C404">
            <v>66.5</v>
          </cell>
        </row>
        <row r="405">
          <cell r="B405">
            <v>194882</v>
          </cell>
          <cell r="C405">
            <v>66.400000000000006</v>
          </cell>
        </row>
        <row r="406">
          <cell r="B406">
            <v>195063</v>
          </cell>
          <cell r="C406">
            <v>66.400000000000006</v>
          </cell>
        </row>
        <row r="407">
          <cell r="B407">
            <v>195259</v>
          </cell>
          <cell r="C407">
            <v>66.2</v>
          </cell>
        </row>
        <row r="408">
          <cell r="B408">
            <v>195444</v>
          </cell>
          <cell r="C408">
            <v>66.3</v>
          </cell>
        </row>
        <row r="409">
          <cell r="B409">
            <v>195625</v>
          </cell>
          <cell r="C409">
            <v>66.3</v>
          </cell>
        </row>
        <row r="410">
          <cell r="B410">
            <v>195794</v>
          </cell>
          <cell r="C410">
            <v>66.400000000000006</v>
          </cell>
        </row>
        <row r="411">
          <cell r="B411">
            <v>195953</v>
          </cell>
          <cell r="C411">
            <v>66.600000000000009</v>
          </cell>
        </row>
        <row r="412">
          <cell r="B412">
            <v>196090</v>
          </cell>
          <cell r="C412">
            <v>66.600000000000009</v>
          </cell>
        </row>
        <row r="413">
          <cell r="B413">
            <v>196213</v>
          </cell>
          <cell r="C413">
            <v>66.5</v>
          </cell>
        </row>
        <row r="414">
          <cell r="B414">
            <v>196363</v>
          </cell>
          <cell r="C414">
            <v>66.5</v>
          </cell>
        </row>
        <row r="415">
          <cell r="B415">
            <v>196510</v>
          </cell>
          <cell r="C415">
            <v>66.600000000000009</v>
          </cell>
        </row>
        <row r="416">
          <cell r="B416">
            <v>196693</v>
          </cell>
          <cell r="C416">
            <v>66.400000000000006</v>
          </cell>
        </row>
        <row r="417">
          <cell r="B417">
            <v>196859</v>
          </cell>
          <cell r="C417">
            <v>66.400000000000006</v>
          </cell>
        </row>
        <row r="418">
          <cell r="B418">
            <v>197043</v>
          </cell>
          <cell r="C418">
            <v>66.600000000000009</v>
          </cell>
        </row>
        <row r="419">
          <cell r="B419">
            <v>197248</v>
          </cell>
          <cell r="C419">
            <v>66.600000000000009</v>
          </cell>
        </row>
        <row r="420">
          <cell r="B420">
            <v>197430</v>
          </cell>
          <cell r="C420">
            <v>66.7</v>
          </cell>
        </row>
        <row r="421">
          <cell r="B421">
            <v>197607</v>
          </cell>
          <cell r="C421">
            <v>66.7</v>
          </cell>
        </row>
        <row r="422">
          <cell r="B422">
            <v>197765</v>
          </cell>
          <cell r="C422">
            <v>66.7</v>
          </cell>
        </row>
        <row r="423">
          <cell r="B423">
            <v>197753</v>
          </cell>
          <cell r="C423">
            <v>66.8</v>
          </cell>
        </row>
        <row r="424">
          <cell r="B424">
            <v>197886</v>
          </cell>
          <cell r="C424">
            <v>66.8</v>
          </cell>
        </row>
        <row r="425">
          <cell r="B425">
            <v>198007</v>
          </cell>
          <cell r="C425">
            <v>66.7</v>
          </cell>
        </row>
        <row r="426">
          <cell r="B426">
            <v>198148</v>
          </cell>
          <cell r="C426">
            <v>66.900000000000006</v>
          </cell>
        </row>
        <row r="427">
          <cell r="B427">
            <v>198286</v>
          </cell>
          <cell r="C427">
            <v>66.5</v>
          </cell>
        </row>
        <row r="428">
          <cell r="B428">
            <v>198452</v>
          </cell>
          <cell r="C428">
            <v>66.5</v>
          </cell>
        </row>
        <row r="429">
          <cell r="B429">
            <v>198615</v>
          </cell>
          <cell r="C429">
            <v>66.600000000000009</v>
          </cell>
        </row>
        <row r="430">
          <cell r="B430">
            <v>198801</v>
          </cell>
          <cell r="C430">
            <v>66.600000000000009</v>
          </cell>
        </row>
        <row r="431">
          <cell r="B431">
            <v>199005</v>
          </cell>
          <cell r="C431">
            <v>66.600000000000009</v>
          </cell>
        </row>
        <row r="432">
          <cell r="B432">
            <v>199192</v>
          </cell>
          <cell r="C432">
            <v>66.600000000000009</v>
          </cell>
        </row>
        <row r="433">
          <cell r="B433">
            <v>199355</v>
          </cell>
          <cell r="C433">
            <v>66.5</v>
          </cell>
        </row>
        <row r="434">
          <cell r="B434">
            <v>199508</v>
          </cell>
          <cell r="C434">
            <v>66.400000000000006</v>
          </cell>
        </row>
        <row r="435">
          <cell r="B435">
            <v>199634</v>
          </cell>
          <cell r="C435">
            <v>66.400000000000006</v>
          </cell>
        </row>
        <row r="436">
          <cell r="B436">
            <v>199772</v>
          </cell>
          <cell r="C436">
            <v>66.600000000000009</v>
          </cell>
        </row>
        <row r="437">
          <cell r="B437">
            <v>199921</v>
          </cell>
          <cell r="C437">
            <v>66.600000000000009</v>
          </cell>
        </row>
        <row r="438">
          <cell r="B438">
            <v>200101</v>
          </cell>
          <cell r="C438">
            <v>66.7</v>
          </cell>
        </row>
        <row r="439">
          <cell r="B439">
            <v>200278</v>
          </cell>
          <cell r="C439">
            <v>66.7</v>
          </cell>
        </row>
        <row r="440">
          <cell r="B440">
            <v>200459</v>
          </cell>
          <cell r="C440">
            <v>66.7</v>
          </cell>
        </row>
        <row r="441">
          <cell r="B441">
            <v>200641</v>
          </cell>
          <cell r="C441">
            <v>66.900000000000006</v>
          </cell>
        </row>
        <row r="442">
          <cell r="B442">
            <v>200847</v>
          </cell>
          <cell r="C442">
            <v>66.7</v>
          </cell>
        </row>
        <row r="443">
          <cell r="B443">
            <v>201060</v>
          </cell>
          <cell r="C443">
            <v>66.900000000000006</v>
          </cell>
        </row>
        <row r="444">
          <cell r="B444">
            <v>201273</v>
          </cell>
          <cell r="C444">
            <v>67</v>
          </cell>
        </row>
        <row r="445">
          <cell r="B445">
            <v>201463</v>
          </cell>
          <cell r="C445">
            <v>67</v>
          </cell>
        </row>
        <row r="446">
          <cell r="B446">
            <v>201636</v>
          </cell>
          <cell r="C446">
            <v>67</v>
          </cell>
        </row>
        <row r="447">
          <cell r="B447">
            <v>202285</v>
          </cell>
          <cell r="C447">
            <v>67</v>
          </cell>
        </row>
        <row r="448">
          <cell r="B448">
            <v>202388</v>
          </cell>
          <cell r="C448">
            <v>66.900000000000006</v>
          </cell>
        </row>
        <row r="449">
          <cell r="B449">
            <v>202513</v>
          </cell>
          <cell r="C449">
            <v>67.100000000000009</v>
          </cell>
        </row>
        <row r="450">
          <cell r="B450">
            <v>202674</v>
          </cell>
          <cell r="C450">
            <v>67.100000000000009</v>
          </cell>
        </row>
        <row r="451">
          <cell r="B451">
            <v>202832</v>
          </cell>
          <cell r="C451">
            <v>67.100000000000009</v>
          </cell>
        </row>
        <row r="452">
          <cell r="B452">
            <v>203000</v>
          </cell>
          <cell r="C452">
            <v>67.100000000000009</v>
          </cell>
        </row>
        <row r="453">
          <cell r="B453">
            <v>203166</v>
          </cell>
          <cell r="C453">
            <v>67.2</v>
          </cell>
        </row>
        <row r="454">
          <cell r="B454">
            <v>203364</v>
          </cell>
          <cell r="C454">
            <v>67.2</v>
          </cell>
        </row>
        <row r="455">
          <cell r="B455">
            <v>203570</v>
          </cell>
          <cell r="C455">
            <v>67.100000000000009</v>
          </cell>
        </row>
        <row r="456">
          <cell r="B456">
            <v>203767</v>
          </cell>
          <cell r="C456">
            <v>67.100000000000009</v>
          </cell>
        </row>
        <row r="457">
          <cell r="B457">
            <v>203941</v>
          </cell>
          <cell r="C457">
            <v>67.2</v>
          </cell>
        </row>
        <row r="458">
          <cell r="B458">
            <v>204098</v>
          </cell>
          <cell r="C458">
            <v>67.2</v>
          </cell>
        </row>
        <row r="459">
          <cell r="B459">
            <v>204238</v>
          </cell>
          <cell r="C459">
            <v>67.100000000000009</v>
          </cell>
        </row>
        <row r="460">
          <cell r="B460">
            <v>204400</v>
          </cell>
          <cell r="C460">
            <v>67.100000000000009</v>
          </cell>
        </row>
        <row r="461">
          <cell r="B461">
            <v>204546</v>
          </cell>
          <cell r="C461">
            <v>67.100000000000009</v>
          </cell>
        </row>
        <row r="462">
          <cell r="B462">
            <v>204731</v>
          </cell>
          <cell r="C462">
            <v>67</v>
          </cell>
        </row>
        <row r="463">
          <cell r="B463">
            <v>204899</v>
          </cell>
          <cell r="C463">
            <v>67</v>
          </cell>
        </row>
        <row r="464">
          <cell r="B464">
            <v>205085</v>
          </cell>
          <cell r="C464">
            <v>67</v>
          </cell>
        </row>
        <row r="465">
          <cell r="B465">
            <v>205270</v>
          </cell>
          <cell r="C465">
            <v>67</v>
          </cell>
        </row>
        <row r="466">
          <cell r="B466">
            <v>205479</v>
          </cell>
          <cell r="C466">
            <v>67</v>
          </cell>
        </row>
        <row r="467">
          <cell r="B467">
            <v>205699</v>
          </cell>
          <cell r="C467">
            <v>67.2</v>
          </cell>
        </row>
        <row r="468">
          <cell r="B468">
            <v>205919</v>
          </cell>
          <cell r="C468">
            <v>67.2</v>
          </cell>
        </row>
        <row r="469">
          <cell r="B469">
            <v>206104</v>
          </cell>
          <cell r="C469">
            <v>67.100000000000009</v>
          </cell>
        </row>
        <row r="470">
          <cell r="B470">
            <v>206270</v>
          </cell>
          <cell r="C470">
            <v>67.2</v>
          </cell>
        </row>
        <row r="471">
          <cell r="B471">
            <v>206719</v>
          </cell>
          <cell r="C471">
            <v>67.2</v>
          </cell>
        </row>
        <row r="472">
          <cell r="B472">
            <v>206873</v>
          </cell>
          <cell r="C472">
            <v>67.2</v>
          </cell>
        </row>
        <row r="473">
          <cell r="B473">
            <v>207036</v>
          </cell>
          <cell r="C473">
            <v>67</v>
          </cell>
        </row>
        <row r="474">
          <cell r="B474">
            <v>207236</v>
          </cell>
          <cell r="C474">
            <v>67.100000000000009</v>
          </cell>
        </row>
        <row r="475">
          <cell r="B475">
            <v>207427</v>
          </cell>
          <cell r="C475">
            <v>67.100000000000009</v>
          </cell>
        </row>
        <row r="476">
          <cell r="B476">
            <v>207632</v>
          </cell>
          <cell r="C476">
            <v>67.100000000000009</v>
          </cell>
        </row>
        <row r="477">
          <cell r="B477">
            <v>207828</v>
          </cell>
          <cell r="C477">
            <v>67.100000000000009</v>
          </cell>
        </row>
        <row r="478">
          <cell r="B478">
            <v>208038</v>
          </cell>
          <cell r="C478">
            <v>67</v>
          </cell>
        </row>
        <row r="479">
          <cell r="B479">
            <v>208265</v>
          </cell>
          <cell r="C479">
            <v>67</v>
          </cell>
        </row>
        <row r="480">
          <cell r="B480">
            <v>208483</v>
          </cell>
          <cell r="C480">
            <v>67</v>
          </cell>
        </row>
        <row r="481">
          <cell r="B481">
            <v>208666</v>
          </cell>
          <cell r="C481">
            <v>67.100000000000009</v>
          </cell>
        </row>
        <row r="482">
          <cell r="B482">
            <v>208832</v>
          </cell>
          <cell r="C482">
            <v>67.100000000000009</v>
          </cell>
        </row>
        <row r="483">
          <cell r="B483">
            <v>211410</v>
          </cell>
          <cell r="C483">
            <v>67.3</v>
          </cell>
        </row>
        <row r="484">
          <cell r="B484">
            <v>211576</v>
          </cell>
          <cell r="C484">
            <v>67.3</v>
          </cell>
        </row>
        <row r="485">
          <cell r="B485">
            <v>211772</v>
          </cell>
          <cell r="C485">
            <v>67.3</v>
          </cell>
        </row>
        <row r="486">
          <cell r="B486">
            <v>212018</v>
          </cell>
          <cell r="C486">
            <v>67.3</v>
          </cell>
        </row>
        <row r="487">
          <cell r="B487">
            <v>212242</v>
          </cell>
          <cell r="C487">
            <v>67.100000000000009</v>
          </cell>
        </row>
        <row r="488">
          <cell r="B488">
            <v>212466</v>
          </cell>
          <cell r="C488">
            <v>67.100000000000009</v>
          </cell>
        </row>
        <row r="489">
          <cell r="B489">
            <v>212677</v>
          </cell>
          <cell r="C489">
            <v>66.900000000000006</v>
          </cell>
        </row>
        <row r="490">
          <cell r="B490">
            <v>212916</v>
          </cell>
          <cell r="C490">
            <v>66.900000000000006</v>
          </cell>
        </row>
        <row r="491">
          <cell r="B491">
            <v>213163</v>
          </cell>
          <cell r="C491">
            <v>66.900000000000006</v>
          </cell>
        </row>
        <row r="492">
          <cell r="B492">
            <v>213405</v>
          </cell>
          <cell r="C492">
            <v>66.8</v>
          </cell>
        </row>
        <row r="493">
          <cell r="B493">
            <v>213540</v>
          </cell>
          <cell r="C493">
            <v>66.900000000000006</v>
          </cell>
        </row>
        <row r="494">
          <cell r="B494">
            <v>213736</v>
          </cell>
          <cell r="C494">
            <v>67</v>
          </cell>
        </row>
        <row r="495">
          <cell r="B495">
            <v>213888</v>
          </cell>
          <cell r="C495">
            <v>67.2</v>
          </cell>
        </row>
        <row r="496">
          <cell r="B496">
            <v>214110</v>
          </cell>
          <cell r="C496">
            <v>67.100000000000009</v>
          </cell>
        </row>
        <row r="497">
          <cell r="B497">
            <v>214305</v>
          </cell>
          <cell r="C497">
            <v>67.2</v>
          </cell>
        </row>
        <row r="498">
          <cell r="B498">
            <v>214525</v>
          </cell>
          <cell r="C498">
            <v>66.900000000000006</v>
          </cell>
        </row>
        <row r="499">
          <cell r="B499">
            <v>214732</v>
          </cell>
          <cell r="C499">
            <v>66.7</v>
          </cell>
        </row>
        <row r="500">
          <cell r="B500">
            <v>214950</v>
          </cell>
          <cell r="C500">
            <v>66.7</v>
          </cell>
        </row>
        <row r="501">
          <cell r="B501">
            <v>215180</v>
          </cell>
          <cell r="C501">
            <v>66.8</v>
          </cell>
        </row>
        <row r="502">
          <cell r="B502">
            <v>215420</v>
          </cell>
          <cell r="C502">
            <v>66.5</v>
          </cell>
        </row>
        <row r="503">
          <cell r="B503">
            <v>215665</v>
          </cell>
          <cell r="C503">
            <v>66.8</v>
          </cell>
        </row>
        <row r="504">
          <cell r="B504">
            <v>215903</v>
          </cell>
          <cell r="C504">
            <v>66.7</v>
          </cell>
        </row>
        <row r="505">
          <cell r="B505">
            <v>216117</v>
          </cell>
          <cell r="C505">
            <v>66.7</v>
          </cell>
        </row>
        <row r="506">
          <cell r="B506">
            <v>216315</v>
          </cell>
          <cell r="C506">
            <v>66.7</v>
          </cell>
        </row>
        <row r="507">
          <cell r="B507">
            <v>216506</v>
          </cell>
          <cell r="C507">
            <v>66.5</v>
          </cell>
        </row>
        <row r="508">
          <cell r="B508">
            <v>216663</v>
          </cell>
          <cell r="C508">
            <v>66.8</v>
          </cell>
        </row>
        <row r="509">
          <cell r="B509">
            <v>216823</v>
          </cell>
          <cell r="C509">
            <v>66.600000000000009</v>
          </cell>
        </row>
        <row r="510">
          <cell r="B510">
            <v>217006</v>
          </cell>
          <cell r="C510">
            <v>66.7</v>
          </cell>
        </row>
        <row r="511">
          <cell r="B511">
            <v>217198</v>
          </cell>
          <cell r="C511">
            <v>66.7</v>
          </cell>
        </row>
        <row r="512">
          <cell r="B512">
            <v>217407</v>
          </cell>
          <cell r="C512">
            <v>66.600000000000009</v>
          </cell>
        </row>
        <row r="513">
          <cell r="B513">
            <v>217630</v>
          </cell>
          <cell r="C513">
            <v>66.5</v>
          </cell>
        </row>
        <row r="514">
          <cell r="B514">
            <v>217866</v>
          </cell>
          <cell r="C514">
            <v>66.600000000000009</v>
          </cell>
        </row>
        <row r="515">
          <cell r="B515">
            <v>218107</v>
          </cell>
          <cell r="C515">
            <v>66.7</v>
          </cell>
        </row>
        <row r="516">
          <cell r="B516">
            <v>218340</v>
          </cell>
          <cell r="C516">
            <v>66.600000000000009</v>
          </cell>
        </row>
        <row r="517">
          <cell r="B517">
            <v>218548</v>
          </cell>
          <cell r="C517">
            <v>66.400000000000006</v>
          </cell>
        </row>
        <row r="518">
          <cell r="B518">
            <v>218741</v>
          </cell>
          <cell r="C518">
            <v>66.3</v>
          </cell>
        </row>
        <row r="519">
          <cell r="B519">
            <v>219897</v>
          </cell>
          <cell r="C519">
            <v>66.400000000000006</v>
          </cell>
        </row>
        <row r="520">
          <cell r="B520">
            <v>220114</v>
          </cell>
          <cell r="C520">
            <v>66.400000000000006</v>
          </cell>
        </row>
        <row r="521">
          <cell r="B521">
            <v>220317</v>
          </cell>
          <cell r="C521">
            <v>66.3</v>
          </cell>
        </row>
        <row r="522">
          <cell r="B522">
            <v>220540</v>
          </cell>
          <cell r="C522">
            <v>66.400000000000006</v>
          </cell>
        </row>
        <row r="523">
          <cell r="B523">
            <v>220768</v>
          </cell>
          <cell r="C523">
            <v>66.400000000000006</v>
          </cell>
        </row>
        <row r="524">
          <cell r="B524">
            <v>221014</v>
          </cell>
          <cell r="C524">
            <v>66.5</v>
          </cell>
        </row>
        <row r="525">
          <cell r="B525">
            <v>221252</v>
          </cell>
          <cell r="C525">
            <v>66.2</v>
          </cell>
        </row>
        <row r="526">
          <cell r="B526">
            <v>221507</v>
          </cell>
          <cell r="C526">
            <v>66.100000000000009</v>
          </cell>
        </row>
        <row r="527">
          <cell r="B527">
            <v>221779</v>
          </cell>
          <cell r="C527">
            <v>66.100000000000009</v>
          </cell>
        </row>
        <row r="528">
          <cell r="B528">
            <v>222039</v>
          </cell>
          <cell r="C528">
            <v>66.100000000000009</v>
          </cell>
        </row>
        <row r="529">
          <cell r="B529">
            <v>222279</v>
          </cell>
          <cell r="C529">
            <v>66.100000000000009</v>
          </cell>
        </row>
        <row r="530">
          <cell r="B530">
            <v>222509</v>
          </cell>
          <cell r="C530">
            <v>65.900000000000006</v>
          </cell>
        </row>
        <row r="531">
          <cell r="B531">
            <v>222161</v>
          </cell>
          <cell r="C531">
            <v>66.100000000000009</v>
          </cell>
        </row>
        <row r="532">
          <cell r="B532">
            <v>222357</v>
          </cell>
          <cell r="C532">
            <v>66</v>
          </cell>
        </row>
        <row r="533">
          <cell r="B533">
            <v>222550</v>
          </cell>
          <cell r="C533">
            <v>66</v>
          </cell>
        </row>
        <row r="534">
          <cell r="B534">
            <v>222757</v>
          </cell>
          <cell r="C534">
            <v>65.900000000000006</v>
          </cell>
        </row>
        <row r="535">
          <cell r="B535">
            <v>222967</v>
          </cell>
          <cell r="C535">
            <v>66</v>
          </cell>
        </row>
        <row r="536">
          <cell r="B536">
            <v>223196</v>
          </cell>
          <cell r="C536">
            <v>66.100000000000009</v>
          </cell>
        </row>
        <row r="537">
          <cell r="B537">
            <v>223422</v>
          </cell>
          <cell r="C537">
            <v>66.100000000000009</v>
          </cell>
        </row>
        <row r="538">
          <cell r="B538">
            <v>223677</v>
          </cell>
          <cell r="C538">
            <v>66</v>
          </cell>
        </row>
        <row r="539">
          <cell r="B539">
            <v>223941</v>
          </cell>
          <cell r="C539">
            <v>65.8</v>
          </cell>
        </row>
        <row r="540">
          <cell r="B540">
            <v>224192</v>
          </cell>
          <cell r="C540">
            <v>65.900000000000006</v>
          </cell>
        </row>
        <row r="541">
          <cell r="B541">
            <v>224422</v>
          </cell>
          <cell r="C541">
            <v>66</v>
          </cell>
        </row>
        <row r="542">
          <cell r="B542">
            <v>224640</v>
          </cell>
          <cell r="C542">
            <v>65.900000000000006</v>
          </cell>
        </row>
        <row r="543">
          <cell r="B543">
            <v>224837</v>
          </cell>
          <cell r="C543">
            <v>65.8</v>
          </cell>
        </row>
        <row r="544">
          <cell r="B544">
            <v>225041</v>
          </cell>
          <cell r="C544">
            <v>65.900000000000006</v>
          </cell>
        </row>
        <row r="545">
          <cell r="B545">
            <v>225236</v>
          </cell>
          <cell r="C545">
            <v>65.900000000000006</v>
          </cell>
        </row>
        <row r="546">
          <cell r="B546">
            <v>225441</v>
          </cell>
          <cell r="C546">
            <v>66.100000000000009</v>
          </cell>
        </row>
        <row r="547">
          <cell r="B547">
            <v>225670</v>
          </cell>
          <cell r="C547">
            <v>66.100000000000009</v>
          </cell>
        </row>
        <row r="548">
          <cell r="B548">
            <v>225911</v>
          </cell>
          <cell r="C548">
            <v>66.100000000000009</v>
          </cell>
        </row>
        <row r="549">
          <cell r="B549">
            <v>226153</v>
          </cell>
          <cell r="C549">
            <v>66.100000000000009</v>
          </cell>
        </row>
        <row r="550">
          <cell r="B550">
            <v>226421</v>
          </cell>
          <cell r="C550">
            <v>66.2</v>
          </cell>
        </row>
        <row r="551">
          <cell r="B551">
            <v>226693</v>
          </cell>
          <cell r="C551">
            <v>66.100000000000009</v>
          </cell>
        </row>
        <row r="552">
          <cell r="B552">
            <v>226959</v>
          </cell>
          <cell r="C552">
            <v>66.100000000000009</v>
          </cell>
        </row>
        <row r="553">
          <cell r="B553">
            <v>227204</v>
          </cell>
          <cell r="C553">
            <v>66</v>
          </cell>
        </row>
        <row r="554">
          <cell r="B554">
            <v>227425</v>
          </cell>
          <cell r="C554">
            <v>66</v>
          </cell>
        </row>
        <row r="555">
          <cell r="B555">
            <v>227553</v>
          </cell>
          <cell r="C555">
            <v>66</v>
          </cell>
        </row>
        <row r="556">
          <cell r="B556">
            <v>227763</v>
          </cell>
          <cell r="C556">
            <v>66.100000000000009</v>
          </cell>
        </row>
        <row r="557">
          <cell r="B557">
            <v>227975</v>
          </cell>
          <cell r="C557">
            <v>66.2</v>
          </cell>
        </row>
        <row r="558">
          <cell r="B558">
            <v>228199</v>
          </cell>
          <cell r="C558">
            <v>66.100000000000009</v>
          </cell>
        </row>
        <row r="559">
          <cell r="B559">
            <v>228428</v>
          </cell>
          <cell r="C559">
            <v>66.100000000000009</v>
          </cell>
        </row>
        <row r="560">
          <cell r="B560">
            <v>228671</v>
          </cell>
          <cell r="C560">
            <v>66.2</v>
          </cell>
        </row>
        <row r="561">
          <cell r="B561">
            <v>228912</v>
          </cell>
          <cell r="C561">
            <v>66.100000000000009</v>
          </cell>
        </row>
        <row r="562">
          <cell r="B562">
            <v>229167</v>
          </cell>
          <cell r="C562">
            <v>66.2</v>
          </cell>
        </row>
        <row r="563">
          <cell r="B563">
            <v>229420</v>
          </cell>
          <cell r="C563">
            <v>66.100000000000009</v>
          </cell>
        </row>
        <row r="564">
          <cell r="B564">
            <v>229675</v>
          </cell>
          <cell r="C564">
            <v>66.2</v>
          </cell>
        </row>
        <row r="565">
          <cell r="B565">
            <v>229905</v>
          </cell>
          <cell r="C565">
            <v>66.3</v>
          </cell>
        </row>
        <row r="566">
          <cell r="B566">
            <v>230108</v>
          </cell>
          <cell r="C566">
            <v>66.400000000000006</v>
          </cell>
        </row>
        <row r="567">
          <cell r="B567">
            <v>230650</v>
          </cell>
          <cell r="C567">
            <v>66.400000000000006</v>
          </cell>
        </row>
        <row r="568">
          <cell r="B568">
            <v>230834</v>
          </cell>
          <cell r="C568">
            <v>66.3</v>
          </cell>
        </row>
        <row r="569">
          <cell r="B569">
            <v>231034</v>
          </cell>
          <cell r="C569">
            <v>66.2</v>
          </cell>
        </row>
        <row r="570">
          <cell r="B570">
            <v>231253</v>
          </cell>
          <cell r="C570">
            <v>65.900000000000006</v>
          </cell>
        </row>
        <row r="571">
          <cell r="B571">
            <v>231480</v>
          </cell>
          <cell r="C571">
            <v>66</v>
          </cell>
        </row>
        <row r="572">
          <cell r="B572">
            <v>231713</v>
          </cell>
          <cell r="C572">
            <v>66</v>
          </cell>
        </row>
        <row r="573">
          <cell r="B573">
            <v>231958</v>
          </cell>
          <cell r="C573">
            <v>66</v>
          </cell>
        </row>
        <row r="574">
          <cell r="B574">
            <v>232211</v>
          </cell>
          <cell r="C574">
            <v>65.8</v>
          </cell>
        </row>
        <row r="575">
          <cell r="B575">
            <v>232461</v>
          </cell>
          <cell r="C575">
            <v>66</v>
          </cell>
        </row>
        <row r="576">
          <cell r="B576">
            <v>232715</v>
          </cell>
          <cell r="C576">
            <v>65.8</v>
          </cell>
        </row>
        <row r="577">
          <cell r="B577">
            <v>232939</v>
          </cell>
          <cell r="C577">
            <v>66</v>
          </cell>
        </row>
        <row r="578">
          <cell r="B578">
            <v>233156</v>
          </cell>
          <cell r="C578">
            <v>66</v>
          </cell>
        </row>
        <row r="579">
          <cell r="B579">
            <v>232616</v>
          </cell>
          <cell r="C579">
            <v>66.2</v>
          </cell>
        </row>
        <row r="580">
          <cell r="B580">
            <v>232809</v>
          </cell>
          <cell r="C580">
            <v>66</v>
          </cell>
        </row>
        <row r="581">
          <cell r="B581">
            <v>232995</v>
          </cell>
          <cell r="C581">
            <v>66.100000000000009</v>
          </cell>
        </row>
        <row r="582">
          <cell r="B582">
            <v>233198</v>
          </cell>
          <cell r="C582">
            <v>65.900000000000006</v>
          </cell>
        </row>
        <row r="583">
          <cell r="B583">
            <v>233405</v>
          </cell>
          <cell r="C583">
            <v>66.100000000000009</v>
          </cell>
        </row>
        <row r="584">
          <cell r="B584">
            <v>233627</v>
          </cell>
          <cell r="C584">
            <v>66.100000000000009</v>
          </cell>
        </row>
        <row r="585">
          <cell r="B585">
            <v>233864</v>
          </cell>
          <cell r="C585">
            <v>66</v>
          </cell>
        </row>
        <row r="586">
          <cell r="B586">
            <v>234107</v>
          </cell>
          <cell r="C586">
            <v>66.100000000000009</v>
          </cell>
        </row>
        <row r="587">
          <cell r="B587">
            <v>234360</v>
          </cell>
          <cell r="C587">
            <v>66</v>
          </cell>
        </row>
        <row r="588">
          <cell r="B588">
            <v>234612</v>
          </cell>
          <cell r="C588">
            <v>66</v>
          </cell>
        </row>
        <row r="589">
          <cell r="B589">
            <v>234828</v>
          </cell>
          <cell r="C589">
            <v>65.8</v>
          </cell>
        </row>
        <row r="590">
          <cell r="B590">
            <v>235035</v>
          </cell>
          <cell r="C590">
            <v>65.8</v>
          </cell>
        </row>
        <row r="591">
          <cell r="B591">
            <v>234739</v>
          </cell>
          <cell r="C591">
            <v>65.7</v>
          </cell>
        </row>
        <row r="592">
          <cell r="B592">
            <v>234913</v>
          </cell>
          <cell r="C592">
            <v>65.7</v>
          </cell>
        </row>
        <row r="593">
          <cell r="B593">
            <v>235086</v>
          </cell>
          <cell r="C593">
            <v>65.600000000000009</v>
          </cell>
        </row>
        <row r="594">
          <cell r="B594">
            <v>235271</v>
          </cell>
          <cell r="C594">
            <v>65.600000000000009</v>
          </cell>
        </row>
        <row r="595">
          <cell r="B595">
            <v>235452</v>
          </cell>
          <cell r="C595">
            <v>65.7</v>
          </cell>
        </row>
        <row r="596">
          <cell r="B596">
            <v>235655</v>
          </cell>
          <cell r="C596">
            <v>65.7</v>
          </cell>
        </row>
        <row r="597">
          <cell r="B597">
            <v>235870</v>
          </cell>
          <cell r="C597">
            <v>65.5</v>
          </cell>
        </row>
        <row r="598">
          <cell r="B598">
            <v>236087</v>
          </cell>
          <cell r="C598">
            <v>65.400000000000006</v>
          </cell>
        </row>
        <row r="599">
          <cell r="B599">
            <v>236322</v>
          </cell>
          <cell r="C599">
            <v>65.100000000000009</v>
          </cell>
        </row>
        <row r="600">
          <cell r="B600">
            <v>236550</v>
          </cell>
          <cell r="C600">
            <v>65.100000000000009</v>
          </cell>
        </row>
        <row r="601">
          <cell r="B601">
            <v>236743</v>
          </cell>
          <cell r="C601">
            <v>65</v>
          </cell>
        </row>
        <row r="602">
          <cell r="B602">
            <v>236924</v>
          </cell>
          <cell r="C602">
            <v>64.7</v>
          </cell>
        </row>
        <row r="603">
          <cell r="B603">
            <v>236832</v>
          </cell>
          <cell r="C603">
            <v>64.8</v>
          </cell>
        </row>
        <row r="604">
          <cell r="B604">
            <v>236998</v>
          </cell>
          <cell r="C604">
            <v>64.8</v>
          </cell>
        </row>
        <row r="605">
          <cell r="B605">
            <v>237159</v>
          </cell>
          <cell r="C605">
            <v>64.900000000000006</v>
          </cell>
        </row>
        <row r="606">
          <cell r="B606">
            <v>237329</v>
          </cell>
          <cell r="C606">
            <v>65.100000000000009</v>
          </cell>
        </row>
        <row r="607">
          <cell r="B607">
            <v>237499</v>
          </cell>
          <cell r="C607">
            <v>64.900000000000006</v>
          </cell>
        </row>
        <row r="608">
          <cell r="B608">
            <v>237690</v>
          </cell>
          <cell r="C608">
            <v>64.7</v>
          </cell>
        </row>
        <row r="609">
          <cell r="B609">
            <v>237890</v>
          </cell>
          <cell r="C609">
            <v>64.600000000000009</v>
          </cell>
        </row>
        <row r="610">
          <cell r="B610">
            <v>238099</v>
          </cell>
          <cell r="C610">
            <v>64.7</v>
          </cell>
        </row>
        <row r="611">
          <cell r="B611">
            <v>238322</v>
          </cell>
          <cell r="C611">
            <v>64.7</v>
          </cell>
        </row>
        <row r="612">
          <cell r="B612">
            <v>238530</v>
          </cell>
          <cell r="C612">
            <v>64.5</v>
          </cell>
        </row>
        <row r="613">
          <cell r="B613">
            <v>238715</v>
          </cell>
          <cell r="C613">
            <v>64.5</v>
          </cell>
        </row>
        <row r="614">
          <cell r="B614">
            <v>238889</v>
          </cell>
          <cell r="C614">
            <v>64.3</v>
          </cell>
        </row>
        <row r="615">
          <cell r="B615">
            <v>238704</v>
          </cell>
          <cell r="C615">
            <v>64.2</v>
          </cell>
        </row>
        <row r="616">
          <cell r="B616">
            <v>238851</v>
          </cell>
          <cell r="C616">
            <v>64.2</v>
          </cell>
        </row>
        <row r="617">
          <cell r="B617">
            <v>239000</v>
          </cell>
          <cell r="C617">
            <v>64.2</v>
          </cell>
        </row>
        <row r="618">
          <cell r="B618">
            <v>239146</v>
          </cell>
          <cell r="C618">
            <v>64.2</v>
          </cell>
        </row>
        <row r="619">
          <cell r="B619">
            <v>239313</v>
          </cell>
          <cell r="C619">
            <v>64.2</v>
          </cell>
        </row>
        <row r="620">
          <cell r="B620">
            <v>239489</v>
          </cell>
          <cell r="C620">
            <v>64.100000000000009</v>
          </cell>
        </row>
        <row r="621">
          <cell r="B621">
            <v>239671</v>
          </cell>
          <cell r="C621">
            <v>63.900000000000006</v>
          </cell>
        </row>
        <row r="622">
          <cell r="B622">
            <v>239871</v>
          </cell>
          <cell r="C622">
            <v>64</v>
          </cell>
        </row>
        <row r="623">
          <cell r="B623" t="str">
            <v>NA</v>
          </cell>
          <cell r="C623" t="str">
            <v>NA</v>
          </cell>
        </row>
      </sheetData>
      <sheetData sheetId="2">
        <row r="4">
          <cell r="B4">
            <v>5.2</v>
          </cell>
          <cell r="E4">
            <v>3615</v>
          </cell>
          <cell r="F4">
            <v>13.5</v>
          </cell>
          <cell r="N4">
            <v>1638</v>
          </cell>
          <cell r="O4">
            <v>1045</v>
          </cell>
          <cell r="P4">
            <v>915</v>
          </cell>
          <cell r="Q4">
            <v>465</v>
          </cell>
          <cell r="AB4">
            <v>282.60000000000002</v>
          </cell>
        </row>
        <row r="5">
          <cell r="B5">
            <v>4.8000000000000007</v>
          </cell>
          <cell r="E5">
            <v>3329</v>
          </cell>
          <cell r="F5">
            <v>13.100000000000001</v>
          </cell>
          <cell r="N5">
            <v>1431</v>
          </cell>
          <cell r="O5">
            <v>1034</v>
          </cell>
          <cell r="P5">
            <v>841</v>
          </cell>
          <cell r="Q5">
            <v>429</v>
          </cell>
          <cell r="AB5">
            <v>272.60000000000002</v>
          </cell>
        </row>
        <row r="6">
          <cell r="B6">
            <v>5.4</v>
          </cell>
          <cell r="E6">
            <v>3726</v>
          </cell>
          <cell r="F6">
            <v>13</v>
          </cell>
          <cell r="N6">
            <v>1666</v>
          </cell>
          <cell r="O6">
            <v>1120</v>
          </cell>
          <cell r="P6">
            <v>959</v>
          </cell>
          <cell r="Q6">
            <v>440</v>
          </cell>
          <cell r="AB6">
            <v>305.3</v>
          </cell>
        </row>
        <row r="7">
          <cell r="B7">
            <v>5.2</v>
          </cell>
          <cell r="E7">
            <v>3620</v>
          </cell>
          <cell r="F7">
            <v>12.600000000000001</v>
          </cell>
          <cell r="N7">
            <v>1735</v>
          </cell>
          <cell r="O7">
            <v>1002</v>
          </cell>
          <cell r="P7">
            <v>896</v>
          </cell>
          <cell r="Q7">
            <v>431</v>
          </cell>
          <cell r="AB7">
            <v>296</v>
          </cell>
        </row>
        <row r="8">
          <cell r="B8">
            <v>5.1000000000000005</v>
          </cell>
          <cell r="E8">
            <v>3569</v>
          </cell>
          <cell r="F8">
            <v>11.9</v>
          </cell>
          <cell r="N8">
            <v>1718</v>
          </cell>
          <cell r="O8">
            <v>1074</v>
          </cell>
          <cell r="P8">
            <v>797</v>
          </cell>
          <cell r="Q8">
            <v>389</v>
          </cell>
          <cell r="AB8">
            <v>318.10000000000002</v>
          </cell>
        </row>
        <row r="9">
          <cell r="B9">
            <v>5.4</v>
          </cell>
          <cell r="E9">
            <v>3766</v>
          </cell>
          <cell r="F9">
            <v>11.9</v>
          </cell>
          <cell r="N9">
            <v>1738</v>
          </cell>
          <cell r="O9">
            <v>1182</v>
          </cell>
          <cell r="P9">
            <v>854</v>
          </cell>
          <cell r="Q9">
            <v>396</v>
          </cell>
          <cell r="AB9">
            <v>323.8</v>
          </cell>
        </row>
        <row r="10">
          <cell r="B10">
            <v>5.5</v>
          </cell>
          <cell r="E10">
            <v>3836</v>
          </cell>
          <cell r="F10">
            <v>12.600000000000001</v>
          </cell>
          <cell r="N10">
            <v>1709</v>
          </cell>
          <cell r="O10">
            <v>1184</v>
          </cell>
          <cell r="P10">
            <v>921</v>
          </cell>
          <cell r="Q10">
            <v>400</v>
          </cell>
          <cell r="AB10">
            <v>337.70000000000005</v>
          </cell>
        </row>
        <row r="11">
          <cell r="B11">
            <v>5.6000000000000005</v>
          </cell>
          <cell r="E11">
            <v>3946</v>
          </cell>
          <cell r="F11">
            <v>12.200000000000001</v>
          </cell>
          <cell r="N11">
            <v>1746</v>
          </cell>
          <cell r="O11">
            <v>1287</v>
          </cell>
          <cell r="P11">
            <v>927</v>
          </cell>
          <cell r="Q11">
            <v>410</v>
          </cell>
          <cell r="AB11">
            <v>366.1</v>
          </cell>
        </row>
        <row r="12">
          <cell r="B12">
            <v>5.5</v>
          </cell>
          <cell r="E12">
            <v>3884</v>
          </cell>
          <cell r="F12">
            <v>12.9</v>
          </cell>
          <cell r="N12">
            <v>1677</v>
          </cell>
          <cell r="O12">
            <v>1213</v>
          </cell>
          <cell r="P12">
            <v>982</v>
          </cell>
          <cell r="Q12">
            <v>466</v>
          </cell>
          <cell r="AB12">
            <v>353.8</v>
          </cell>
        </row>
        <row r="13">
          <cell r="B13">
            <v>6.1000000000000005</v>
          </cell>
          <cell r="E13">
            <v>4252</v>
          </cell>
          <cell r="F13">
            <v>13.5</v>
          </cell>
          <cell r="N13">
            <v>1766</v>
          </cell>
          <cell r="O13">
            <v>1282</v>
          </cell>
          <cell r="P13">
            <v>1189</v>
          </cell>
          <cell r="Q13">
            <v>566</v>
          </cell>
          <cell r="AB13">
            <v>375.70000000000005</v>
          </cell>
        </row>
        <row r="14">
          <cell r="B14">
            <v>6.1000000000000005</v>
          </cell>
          <cell r="E14">
            <v>4330</v>
          </cell>
          <cell r="F14">
            <v>13.9</v>
          </cell>
          <cell r="N14">
            <v>1718</v>
          </cell>
          <cell r="O14">
            <v>1367</v>
          </cell>
          <cell r="P14">
            <v>1223</v>
          </cell>
          <cell r="Q14">
            <v>550</v>
          </cell>
          <cell r="AB14">
            <v>387.6</v>
          </cell>
        </row>
        <row r="15">
          <cell r="B15">
            <v>6.6000000000000005</v>
          </cell>
          <cell r="E15">
            <v>4617</v>
          </cell>
          <cell r="F15">
            <v>12.4</v>
          </cell>
          <cell r="N15">
            <v>2102</v>
          </cell>
          <cell r="O15">
            <v>1468</v>
          </cell>
          <cell r="P15">
            <v>1142</v>
          </cell>
          <cell r="Q15">
            <v>554</v>
          </cell>
          <cell r="AB15">
            <v>383.90000000000003</v>
          </cell>
        </row>
        <row r="16">
          <cell r="B16">
            <v>6.6000000000000005</v>
          </cell>
          <cell r="E16">
            <v>4671</v>
          </cell>
          <cell r="F16">
            <v>13.700000000000001</v>
          </cell>
          <cell r="N16">
            <v>1884</v>
          </cell>
          <cell r="O16">
            <v>1477</v>
          </cell>
          <cell r="P16">
            <v>1328</v>
          </cell>
          <cell r="Q16">
            <v>640</v>
          </cell>
          <cell r="AB16">
            <v>396</v>
          </cell>
        </row>
        <row r="17">
          <cell r="B17">
            <v>6.9</v>
          </cell>
          <cell r="E17">
            <v>4832</v>
          </cell>
          <cell r="F17">
            <v>13.600000000000001</v>
          </cell>
          <cell r="N17">
            <v>2037</v>
          </cell>
          <cell r="O17">
            <v>1407</v>
          </cell>
          <cell r="P17">
            <v>1416</v>
          </cell>
          <cell r="Q17">
            <v>665</v>
          </cell>
          <cell r="AB17">
            <v>432.6</v>
          </cell>
        </row>
        <row r="18">
          <cell r="B18">
            <v>6.9</v>
          </cell>
          <cell r="E18">
            <v>4853</v>
          </cell>
          <cell r="F18">
            <v>14.100000000000001</v>
          </cell>
          <cell r="N18">
            <v>1863</v>
          </cell>
          <cell r="O18">
            <v>1476</v>
          </cell>
          <cell r="P18">
            <v>1463</v>
          </cell>
          <cell r="Q18">
            <v>694</v>
          </cell>
          <cell r="AB18">
            <v>381.5</v>
          </cell>
        </row>
        <row r="19">
          <cell r="B19">
            <v>7</v>
          </cell>
          <cell r="E19">
            <v>4893</v>
          </cell>
          <cell r="F19">
            <v>15.5</v>
          </cell>
          <cell r="N19">
            <v>1729</v>
          </cell>
          <cell r="O19">
            <v>1427</v>
          </cell>
          <cell r="P19">
            <v>1598</v>
          </cell>
          <cell r="Q19">
            <v>802</v>
          </cell>
          <cell r="AB19">
            <v>383.8</v>
          </cell>
        </row>
        <row r="20">
          <cell r="B20">
            <v>7.1000000000000005</v>
          </cell>
          <cell r="E20">
            <v>5003</v>
          </cell>
          <cell r="F20">
            <v>15.600000000000001</v>
          </cell>
          <cell r="N20">
            <v>1748</v>
          </cell>
          <cell r="O20">
            <v>1432</v>
          </cell>
          <cell r="P20">
            <v>1686</v>
          </cell>
          <cell r="Q20">
            <v>859</v>
          </cell>
          <cell r="AB20">
            <v>360.5</v>
          </cell>
        </row>
        <row r="21">
          <cell r="B21">
            <v>6.9</v>
          </cell>
          <cell r="E21">
            <v>4885</v>
          </cell>
          <cell r="F21">
            <v>16.2</v>
          </cell>
          <cell r="N21">
            <v>1841</v>
          </cell>
          <cell r="O21">
            <v>1419</v>
          </cell>
          <cell r="P21">
            <v>1651</v>
          </cell>
          <cell r="Q21">
            <v>928</v>
          </cell>
          <cell r="AB21">
            <v>336.20000000000005</v>
          </cell>
        </row>
        <row r="22">
          <cell r="B22">
            <v>7</v>
          </cell>
          <cell r="E22">
            <v>4928</v>
          </cell>
          <cell r="F22">
            <v>17.3</v>
          </cell>
          <cell r="N22">
            <v>1789</v>
          </cell>
          <cell r="O22">
            <v>1356</v>
          </cell>
          <cell r="P22">
            <v>1830</v>
          </cell>
          <cell r="Q22">
            <v>991</v>
          </cell>
          <cell r="AB22">
            <v>350.90000000000003</v>
          </cell>
        </row>
        <row r="23">
          <cell r="B23">
            <v>6.6000000000000005</v>
          </cell>
          <cell r="E23">
            <v>4682</v>
          </cell>
          <cell r="F23">
            <v>17</v>
          </cell>
          <cell r="N23">
            <v>1701</v>
          </cell>
          <cell r="O23">
            <v>1387</v>
          </cell>
          <cell r="P23">
            <v>1649</v>
          </cell>
          <cell r="Q23">
            <v>900</v>
          </cell>
          <cell r="AB23">
            <v>318</v>
          </cell>
        </row>
        <row r="24">
          <cell r="B24">
            <v>6.7</v>
          </cell>
          <cell r="E24">
            <v>4676</v>
          </cell>
          <cell r="F24">
            <v>16.100000000000001</v>
          </cell>
          <cell r="N24">
            <v>1859</v>
          </cell>
          <cell r="O24">
            <v>1297</v>
          </cell>
          <cell r="P24">
            <v>1531</v>
          </cell>
          <cell r="Q24">
            <v>845</v>
          </cell>
          <cell r="AB24">
            <v>331.8</v>
          </cell>
        </row>
        <row r="25">
          <cell r="B25">
            <v>6.5</v>
          </cell>
          <cell r="E25">
            <v>4573</v>
          </cell>
          <cell r="F25">
            <v>15.9</v>
          </cell>
          <cell r="N25">
            <v>1811</v>
          </cell>
          <cell r="O25">
            <v>1288</v>
          </cell>
          <cell r="P25">
            <v>1481</v>
          </cell>
          <cell r="Q25">
            <v>822</v>
          </cell>
          <cell r="AB25">
            <v>306.40000000000003</v>
          </cell>
        </row>
        <row r="26">
          <cell r="B26">
            <v>6.1000000000000005</v>
          </cell>
          <cell r="E26">
            <v>4295</v>
          </cell>
          <cell r="F26">
            <v>17</v>
          </cell>
          <cell r="N26">
            <v>1638</v>
          </cell>
          <cell r="O26">
            <v>1269</v>
          </cell>
          <cell r="P26">
            <v>1388</v>
          </cell>
          <cell r="Q26">
            <v>766</v>
          </cell>
          <cell r="AB26">
            <v>306.8</v>
          </cell>
        </row>
        <row r="27">
          <cell r="B27">
            <v>6</v>
          </cell>
          <cell r="E27">
            <v>4177</v>
          </cell>
          <cell r="F27">
            <v>15.8</v>
          </cell>
          <cell r="N27">
            <v>1734</v>
          </cell>
          <cell r="O27">
            <v>1175</v>
          </cell>
          <cell r="P27">
            <v>1361</v>
          </cell>
          <cell r="Q27">
            <v>738</v>
          </cell>
          <cell r="AB27">
            <v>298.5</v>
          </cell>
        </row>
        <row r="28">
          <cell r="B28">
            <v>5.8000000000000007</v>
          </cell>
          <cell r="E28">
            <v>4081</v>
          </cell>
          <cell r="F28">
            <v>15.3</v>
          </cell>
          <cell r="N28">
            <v>1701</v>
          </cell>
          <cell r="O28">
            <v>1161</v>
          </cell>
          <cell r="P28">
            <v>1235</v>
          </cell>
          <cell r="Q28">
            <v>674</v>
          </cell>
          <cell r="AB28">
            <v>302.90000000000003</v>
          </cell>
        </row>
        <row r="29">
          <cell r="B29">
            <v>5.5</v>
          </cell>
          <cell r="E29">
            <v>3871</v>
          </cell>
          <cell r="F29">
            <v>16</v>
          </cell>
          <cell r="N29">
            <v>1504</v>
          </cell>
          <cell r="O29">
            <v>1118</v>
          </cell>
          <cell r="P29">
            <v>1244</v>
          </cell>
          <cell r="Q29">
            <v>683</v>
          </cell>
          <cell r="AB29">
            <v>297.40000000000003</v>
          </cell>
        </row>
        <row r="30">
          <cell r="B30">
            <v>5.6000000000000005</v>
          </cell>
          <cell r="E30">
            <v>3921</v>
          </cell>
          <cell r="F30">
            <v>15</v>
          </cell>
          <cell r="N30">
            <v>1721</v>
          </cell>
          <cell r="O30">
            <v>1049</v>
          </cell>
          <cell r="P30">
            <v>1162</v>
          </cell>
          <cell r="Q30">
            <v>639</v>
          </cell>
          <cell r="AB30">
            <v>289.3</v>
          </cell>
        </row>
        <row r="31">
          <cell r="B31">
            <v>5.6000000000000005</v>
          </cell>
          <cell r="E31">
            <v>3906</v>
          </cell>
          <cell r="F31">
            <v>14.9</v>
          </cell>
          <cell r="N31">
            <v>1629</v>
          </cell>
          <cell r="O31">
            <v>1105</v>
          </cell>
          <cell r="P31">
            <v>1122</v>
          </cell>
          <cell r="Q31">
            <v>623</v>
          </cell>
          <cell r="AB31">
            <v>285.2</v>
          </cell>
        </row>
        <row r="32">
          <cell r="B32">
            <v>5.5</v>
          </cell>
          <cell r="E32">
            <v>3863</v>
          </cell>
          <cell r="F32">
            <v>15.5</v>
          </cell>
          <cell r="N32">
            <v>1543</v>
          </cell>
          <cell r="O32">
            <v>1131</v>
          </cell>
          <cell r="P32">
            <v>1134</v>
          </cell>
          <cell r="Q32">
            <v>627</v>
          </cell>
          <cell r="AB32">
            <v>302.8</v>
          </cell>
        </row>
        <row r="33">
          <cell r="B33">
            <v>5.5</v>
          </cell>
          <cell r="E33">
            <v>3844</v>
          </cell>
          <cell r="F33">
            <v>15.100000000000001</v>
          </cell>
          <cell r="N33">
            <v>1598</v>
          </cell>
          <cell r="O33">
            <v>1101</v>
          </cell>
          <cell r="P33">
            <v>1079</v>
          </cell>
          <cell r="Q33">
            <v>573</v>
          </cell>
          <cell r="AB33">
            <v>306.2</v>
          </cell>
        </row>
        <row r="34">
          <cell r="B34">
            <v>5.4</v>
          </cell>
          <cell r="E34">
            <v>3819</v>
          </cell>
          <cell r="F34">
            <v>14.600000000000001</v>
          </cell>
          <cell r="N34">
            <v>1592</v>
          </cell>
          <cell r="O34">
            <v>1142</v>
          </cell>
          <cell r="P34">
            <v>1049</v>
          </cell>
          <cell r="Q34">
            <v>565</v>
          </cell>
          <cell r="AB34">
            <v>305.2</v>
          </cell>
        </row>
        <row r="35">
          <cell r="B35">
            <v>5.7</v>
          </cell>
          <cell r="E35">
            <v>4013</v>
          </cell>
          <cell r="F35">
            <v>14.5</v>
          </cell>
          <cell r="N35">
            <v>1731</v>
          </cell>
          <cell r="O35">
            <v>1238</v>
          </cell>
          <cell r="P35">
            <v>1081</v>
          </cell>
          <cell r="Q35">
            <v>596</v>
          </cell>
          <cell r="AB35">
            <v>307.3</v>
          </cell>
        </row>
        <row r="36">
          <cell r="B36">
            <v>5.6000000000000005</v>
          </cell>
          <cell r="E36">
            <v>3961</v>
          </cell>
          <cell r="F36">
            <v>14.100000000000001</v>
          </cell>
          <cell r="N36">
            <v>1749</v>
          </cell>
          <cell r="O36">
            <v>1192</v>
          </cell>
          <cell r="P36">
            <v>1096</v>
          </cell>
          <cell r="Q36">
            <v>529</v>
          </cell>
          <cell r="AB36">
            <v>302.40000000000003</v>
          </cell>
        </row>
        <row r="37">
          <cell r="B37">
            <v>5.4</v>
          </cell>
          <cell r="E37">
            <v>3803</v>
          </cell>
          <cell r="F37">
            <v>14.100000000000001</v>
          </cell>
          <cell r="N37">
            <v>1636</v>
          </cell>
          <cell r="O37">
            <v>1144</v>
          </cell>
          <cell r="P37">
            <v>1022</v>
          </cell>
          <cell r="Q37">
            <v>506</v>
          </cell>
          <cell r="AB37">
            <v>306.5</v>
          </cell>
        </row>
        <row r="38">
          <cell r="B38">
            <v>5.7</v>
          </cell>
          <cell r="E38">
            <v>4024</v>
          </cell>
          <cell r="F38">
            <v>13.3</v>
          </cell>
          <cell r="N38">
            <v>1838</v>
          </cell>
          <cell r="O38">
            <v>1076</v>
          </cell>
          <cell r="P38">
            <v>1051</v>
          </cell>
          <cell r="Q38">
            <v>440</v>
          </cell>
          <cell r="AB38">
            <v>301.3</v>
          </cell>
        </row>
        <row r="39">
          <cell r="B39">
            <v>5.5</v>
          </cell>
          <cell r="E39">
            <v>3907</v>
          </cell>
          <cell r="F39">
            <v>13.600000000000001</v>
          </cell>
          <cell r="N39">
            <v>1732</v>
          </cell>
          <cell r="O39">
            <v>1171</v>
          </cell>
          <cell r="P39">
            <v>1068</v>
          </cell>
          <cell r="Q39">
            <v>510</v>
          </cell>
          <cell r="AB39">
            <v>312</v>
          </cell>
        </row>
        <row r="40">
          <cell r="B40">
            <v>5.7</v>
          </cell>
          <cell r="E40">
            <v>4074</v>
          </cell>
          <cell r="F40">
            <v>13.8</v>
          </cell>
          <cell r="N40">
            <v>1730</v>
          </cell>
          <cell r="O40">
            <v>1253</v>
          </cell>
          <cell r="P40">
            <v>1122</v>
          </cell>
          <cell r="Q40">
            <v>544</v>
          </cell>
          <cell r="AB40">
            <v>311.90000000000003</v>
          </cell>
        </row>
        <row r="41">
          <cell r="B41">
            <v>5.9</v>
          </cell>
          <cell r="E41">
            <v>4238</v>
          </cell>
          <cell r="F41">
            <v>14.100000000000001</v>
          </cell>
          <cell r="N41">
            <v>1858</v>
          </cell>
          <cell r="O41">
            <v>1283</v>
          </cell>
          <cell r="P41">
            <v>1137</v>
          </cell>
          <cell r="Q41">
            <v>597</v>
          </cell>
          <cell r="AB41">
            <v>303.10000000000002</v>
          </cell>
        </row>
        <row r="42">
          <cell r="B42">
            <v>5.7</v>
          </cell>
          <cell r="E42">
            <v>4072</v>
          </cell>
          <cell r="F42">
            <v>14.5</v>
          </cell>
          <cell r="N42">
            <v>1701</v>
          </cell>
          <cell r="O42">
            <v>1266</v>
          </cell>
          <cell r="P42">
            <v>1087</v>
          </cell>
          <cell r="Q42">
            <v>599</v>
          </cell>
          <cell r="AB42">
            <v>289.60000000000002</v>
          </cell>
        </row>
        <row r="43">
          <cell r="B43">
            <v>5.7</v>
          </cell>
          <cell r="E43">
            <v>4055</v>
          </cell>
          <cell r="F43">
            <v>14.5</v>
          </cell>
          <cell r="N43">
            <v>1717</v>
          </cell>
          <cell r="O43">
            <v>1226</v>
          </cell>
          <cell r="P43">
            <v>1071</v>
          </cell>
          <cell r="Q43">
            <v>591</v>
          </cell>
          <cell r="AB43">
            <v>295.5</v>
          </cell>
        </row>
        <row r="44">
          <cell r="B44">
            <v>5.9</v>
          </cell>
          <cell r="E44">
            <v>4217</v>
          </cell>
          <cell r="F44">
            <v>14.5</v>
          </cell>
          <cell r="N44">
            <v>1870</v>
          </cell>
          <cell r="O44">
            <v>1160</v>
          </cell>
          <cell r="P44">
            <v>1157</v>
          </cell>
          <cell r="Q44">
            <v>605</v>
          </cell>
          <cell r="AB44">
            <v>289.7</v>
          </cell>
        </row>
        <row r="45">
          <cell r="B45">
            <v>5.6000000000000005</v>
          </cell>
          <cell r="E45">
            <v>3977</v>
          </cell>
          <cell r="F45">
            <v>14</v>
          </cell>
          <cell r="N45">
            <v>1719</v>
          </cell>
          <cell r="O45">
            <v>1259</v>
          </cell>
          <cell r="P45">
            <v>1067</v>
          </cell>
          <cell r="Q45">
            <v>500</v>
          </cell>
          <cell r="AB45">
            <v>285.7</v>
          </cell>
        </row>
        <row r="46">
          <cell r="B46">
            <v>5.6000000000000005</v>
          </cell>
          <cell r="E46">
            <v>4051</v>
          </cell>
          <cell r="F46">
            <v>14</v>
          </cell>
          <cell r="N46">
            <v>1693</v>
          </cell>
          <cell r="O46">
            <v>1289</v>
          </cell>
          <cell r="P46">
            <v>1070</v>
          </cell>
          <cell r="Q46">
            <v>548</v>
          </cell>
          <cell r="AB46">
            <v>283.90000000000003</v>
          </cell>
        </row>
        <row r="47">
          <cell r="B47">
            <v>5.4</v>
          </cell>
          <cell r="E47">
            <v>3878</v>
          </cell>
          <cell r="F47">
            <v>13.9</v>
          </cell>
          <cell r="N47">
            <v>1677</v>
          </cell>
          <cell r="O47">
            <v>1150</v>
          </cell>
          <cell r="P47">
            <v>1114</v>
          </cell>
          <cell r="Q47">
            <v>521</v>
          </cell>
          <cell r="AB47">
            <v>291.90000000000003</v>
          </cell>
        </row>
        <row r="48">
          <cell r="B48">
            <v>5.5</v>
          </cell>
          <cell r="E48">
            <v>3957</v>
          </cell>
          <cell r="F48">
            <v>14.200000000000001</v>
          </cell>
          <cell r="N48">
            <v>1695</v>
          </cell>
          <cell r="O48">
            <v>1225</v>
          </cell>
          <cell r="P48">
            <v>1069</v>
          </cell>
          <cell r="Q48">
            <v>559</v>
          </cell>
          <cell r="AB48">
            <v>287.2</v>
          </cell>
        </row>
        <row r="49">
          <cell r="B49">
            <v>5.5</v>
          </cell>
          <cell r="E49">
            <v>3987</v>
          </cell>
          <cell r="F49">
            <v>13.9</v>
          </cell>
          <cell r="N49">
            <v>1738</v>
          </cell>
          <cell r="O49">
            <v>1163</v>
          </cell>
          <cell r="P49">
            <v>1071</v>
          </cell>
          <cell r="Q49">
            <v>530</v>
          </cell>
          <cell r="AB49">
            <v>284.40000000000003</v>
          </cell>
        </row>
        <row r="50">
          <cell r="B50">
            <v>5.7</v>
          </cell>
          <cell r="E50">
            <v>4151</v>
          </cell>
          <cell r="F50">
            <v>13.3</v>
          </cell>
          <cell r="N50">
            <v>1859</v>
          </cell>
          <cell r="O50">
            <v>1227</v>
          </cell>
          <cell r="P50">
            <v>1054</v>
          </cell>
          <cell r="Q50">
            <v>521</v>
          </cell>
          <cell r="AB50">
            <v>278.3</v>
          </cell>
        </row>
        <row r="51">
          <cell r="B51">
            <v>5.5</v>
          </cell>
          <cell r="E51">
            <v>3975</v>
          </cell>
          <cell r="F51">
            <v>13.3</v>
          </cell>
          <cell r="N51">
            <v>1774</v>
          </cell>
          <cell r="O51">
            <v>1213</v>
          </cell>
          <cell r="P51">
            <v>1007</v>
          </cell>
          <cell r="Q51">
            <v>490</v>
          </cell>
          <cell r="AB51">
            <v>303.40000000000003</v>
          </cell>
        </row>
        <row r="52">
          <cell r="B52">
            <v>5.6000000000000005</v>
          </cell>
          <cell r="E52">
            <v>4029</v>
          </cell>
          <cell r="F52">
            <v>13.5</v>
          </cell>
          <cell r="N52">
            <v>1805</v>
          </cell>
          <cell r="O52">
            <v>1156</v>
          </cell>
          <cell r="P52">
            <v>1057</v>
          </cell>
          <cell r="Q52">
            <v>504</v>
          </cell>
          <cell r="AB52">
            <v>285.3</v>
          </cell>
        </row>
        <row r="53">
          <cell r="B53">
            <v>5.4</v>
          </cell>
          <cell r="E53">
            <v>3932</v>
          </cell>
          <cell r="F53">
            <v>13.200000000000001</v>
          </cell>
          <cell r="N53">
            <v>1708</v>
          </cell>
          <cell r="O53">
            <v>1216</v>
          </cell>
          <cell r="P53">
            <v>1015</v>
          </cell>
          <cell r="Q53">
            <v>487</v>
          </cell>
          <cell r="AB53">
            <v>271.8</v>
          </cell>
        </row>
        <row r="54">
          <cell r="B54">
            <v>5.4</v>
          </cell>
          <cell r="E54">
            <v>3950</v>
          </cell>
          <cell r="F54">
            <v>13.5</v>
          </cell>
          <cell r="N54">
            <v>1783</v>
          </cell>
          <cell r="O54">
            <v>1124</v>
          </cell>
          <cell r="P54">
            <v>1039</v>
          </cell>
          <cell r="Q54">
            <v>505</v>
          </cell>
          <cell r="AB54">
            <v>279.10000000000002</v>
          </cell>
        </row>
        <row r="55">
          <cell r="B55">
            <v>5.3000000000000007</v>
          </cell>
          <cell r="E55">
            <v>3918</v>
          </cell>
          <cell r="F55">
            <v>12.4</v>
          </cell>
          <cell r="N55">
            <v>1767</v>
          </cell>
          <cell r="O55">
            <v>1192</v>
          </cell>
          <cell r="P55">
            <v>934</v>
          </cell>
          <cell r="Q55">
            <v>470</v>
          </cell>
          <cell r="AB55">
            <v>266.8</v>
          </cell>
        </row>
        <row r="56">
          <cell r="B56">
            <v>5.1000000000000005</v>
          </cell>
          <cell r="E56">
            <v>3764</v>
          </cell>
          <cell r="F56">
            <v>13.600000000000001</v>
          </cell>
          <cell r="N56">
            <v>1681</v>
          </cell>
          <cell r="O56">
            <v>1094</v>
          </cell>
          <cell r="P56">
            <v>975</v>
          </cell>
          <cell r="Q56">
            <v>504</v>
          </cell>
          <cell r="AB56">
            <v>264.40000000000003</v>
          </cell>
        </row>
        <row r="57">
          <cell r="B57">
            <v>5.2</v>
          </cell>
          <cell r="E57">
            <v>3814</v>
          </cell>
          <cell r="F57">
            <v>13.600000000000001</v>
          </cell>
          <cell r="N57">
            <v>1719</v>
          </cell>
          <cell r="O57">
            <v>1109</v>
          </cell>
          <cell r="P57">
            <v>1047</v>
          </cell>
          <cell r="Q57">
            <v>508</v>
          </cell>
          <cell r="AB57">
            <v>258.40000000000003</v>
          </cell>
        </row>
        <row r="58">
          <cell r="B58">
            <v>4.9000000000000004</v>
          </cell>
          <cell r="E58">
            <v>3608</v>
          </cell>
          <cell r="F58">
            <v>14.700000000000001</v>
          </cell>
          <cell r="N58">
            <v>1486</v>
          </cell>
          <cell r="O58">
            <v>1112</v>
          </cell>
          <cell r="P58">
            <v>1002</v>
          </cell>
          <cell r="Q58">
            <v>523</v>
          </cell>
          <cell r="AB58">
            <v>261.40000000000003</v>
          </cell>
        </row>
        <row r="59">
          <cell r="B59">
            <v>5</v>
          </cell>
          <cell r="E59">
            <v>3655</v>
          </cell>
          <cell r="F59">
            <v>13</v>
          </cell>
          <cell r="N59">
            <v>1696</v>
          </cell>
          <cell r="O59">
            <v>1074</v>
          </cell>
          <cell r="P59">
            <v>934</v>
          </cell>
          <cell r="Q59">
            <v>508</v>
          </cell>
          <cell r="AB59">
            <v>245.8</v>
          </cell>
        </row>
        <row r="60">
          <cell r="B60">
            <v>5.1000000000000005</v>
          </cell>
          <cell r="E60">
            <v>3712</v>
          </cell>
          <cell r="F60">
            <v>12.700000000000001</v>
          </cell>
          <cell r="N60">
            <v>1703</v>
          </cell>
          <cell r="O60">
            <v>1097</v>
          </cell>
          <cell r="P60">
            <v>917</v>
          </cell>
          <cell r="Q60">
            <v>460</v>
          </cell>
          <cell r="AB60">
            <v>247.3</v>
          </cell>
        </row>
        <row r="61">
          <cell r="B61">
            <v>5.1000000000000005</v>
          </cell>
          <cell r="E61">
            <v>3726</v>
          </cell>
          <cell r="F61">
            <v>12.600000000000001</v>
          </cell>
          <cell r="N61">
            <v>1754</v>
          </cell>
          <cell r="O61">
            <v>1055</v>
          </cell>
          <cell r="P61">
            <v>903</v>
          </cell>
          <cell r="Q61">
            <v>433</v>
          </cell>
          <cell r="AB61">
            <v>251</v>
          </cell>
        </row>
        <row r="62">
          <cell r="B62">
            <v>4.8000000000000007</v>
          </cell>
          <cell r="E62">
            <v>3551</v>
          </cell>
          <cell r="F62">
            <v>14</v>
          </cell>
          <cell r="N62">
            <v>1596</v>
          </cell>
          <cell r="O62">
            <v>1047</v>
          </cell>
          <cell r="P62">
            <v>922</v>
          </cell>
          <cell r="Q62">
            <v>438</v>
          </cell>
          <cell r="AB62">
            <v>264.10000000000002</v>
          </cell>
        </row>
        <row r="63">
          <cell r="B63">
            <v>5</v>
          </cell>
          <cell r="E63">
            <v>3651</v>
          </cell>
          <cell r="F63">
            <v>12.700000000000001</v>
          </cell>
          <cell r="N63">
            <v>1672</v>
          </cell>
          <cell r="O63">
            <v>1057</v>
          </cell>
          <cell r="P63">
            <v>873</v>
          </cell>
          <cell r="Q63">
            <v>429</v>
          </cell>
          <cell r="AB63">
            <v>252.9</v>
          </cell>
        </row>
        <row r="64">
          <cell r="B64">
            <v>4.9000000000000004</v>
          </cell>
          <cell r="E64">
            <v>3572</v>
          </cell>
          <cell r="F64">
            <v>12.200000000000001</v>
          </cell>
          <cell r="N64">
            <v>1626</v>
          </cell>
          <cell r="O64">
            <v>1092</v>
          </cell>
          <cell r="P64">
            <v>793</v>
          </cell>
          <cell r="Q64">
            <v>389</v>
          </cell>
          <cell r="AB64">
            <v>244.70000000000002</v>
          </cell>
        </row>
        <row r="65">
          <cell r="B65">
            <v>5.1000000000000005</v>
          </cell>
          <cell r="E65">
            <v>3730</v>
          </cell>
          <cell r="F65">
            <v>12.600000000000001</v>
          </cell>
          <cell r="N65">
            <v>1743</v>
          </cell>
          <cell r="O65">
            <v>1090</v>
          </cell>
          <cell r="P65">
            <v>919</v>
          </cell>
          <cell r="Q65">
            <v>412</v>
          </cell>
          <cell r="AB65">
            <v>249.9</v>
          </cell>
        </row>
        <row r="66">
          <cell r="B66">
            <v>4.7</v>
          </cell>
          <cell r="E66">
            <v>3510</v>
          </cell>
          <cell r="F66">
            <v>12</v>
          </cell>
          <cell r="N66">
            <v>1702</v>
          </cell>
          <cell r="O66">
            <v>1029</v>
          </cell>
          <cell r="P66">
            <v>796</v>
          </cell>
          <cell r="Q66">
            <v>359</v>
          </cell>
          <cell r="AB66">
            <v>239</v>
          </cell>
        </row>
        <row r="67">
          <cell r="B67">
            <v>4.8000000000000007</v>
          </cell>
          <cell r="E67">
            <v>3595</v>
          </cell>
          <cell r="F67">
            <v>11.4</v>
          </cell>
          <cell r="N67">
            <v>1747</v>
          </cell>
          <cell r="O67">
            <v>1018</v>
          </cell>
          <cell r="P67">
            <v>796</v>
          </cell>
          <cell r="Q67">
            <v>368</v>
          </cell>
          <cell r="AB67">
            <v>239.20000000000002</v>
          </cell>
        </row>
        <row r="68">
          <cell r="B68">
            <v>4.6000000000000005</v>
          </cell>
          <cell r="E68">
            <v>3432</v>
          </cell>
          <cell r="F68">
            <v>11.100000000000001</v>
          </cell>
          <cell r="N68">
            <v>1670</v>
          </cell>
          <cell r="O68">
            <v>1043</v>
          </cell>
          <cell r="P68">
            <v>736</v>
          </cell>
          <cell r="Q68">
            <v>351</v>
          </cell>
          <cell r="AB68">
            <v>225.20000000000002</v>
          </cell>
        </row>
        <row r="69">
          <cell r="B69">
            <v>4.6000000000000005</v>
          </cell>
          <cell r="E69">
            <v>3387</v>
          </cell>
          <cell r="F69">
            <v>11.600000000000001</v>
          </cell>
          <cell r="N69">
            <v>1656</v>
          </cell>
          <cell r="O69">
            <v>1009</v>
          </cell>
          <cell r="P69">
            <v>786</v>
          </cell>
          <cell r="Q69">
            <v>369</v>
          </cell>
          <cell r="AB69">
            <v>226</v>
          </cell>
        </row>
        <row r="70">
          <cell r="B70">
            <v>4.4000000000000004</v>
          </cell>
          <cell r="E70">
            <v>3301</v>
          </cell>
          <cell r="F70">
            <v>11.600000000000001</v>
          </cell>
          <cell r="N70">
            <v>1654</v>
          </cell>
          <cell r="O70">
            <v>959</v>
          </cell>
          <cell r="P70">
            <v>683</v>
          </cell>
          <cell r="Q70">
            <v>324</v>
          </cell>
          <cell r="AB70">
            <v>232.4</v>
          </cell>
        </row>
        <row r="71">
          <cell r="B71">
            <v>4.4000000000000004</v>
          </cell>
          <cell r="E71">
            <v>3254</v>
          </cell>
          <cell r="F71">
            <v>11.9</v>
          </cell>
          <cell r="N71">
            <v>1613</v>
          </cell>
          <cell r="O71">
            <v>940</v>
          </cell>
          <cell r="P71">
            <v>733</v>
          </cell>
          <cell r="Q71">
            <v>327</v>
          </cell>
          <cell r="AB71">
            <v>249.70000000000002</v>
          </cell>
        </row>
        <row r="72">
          <cell r="B72">
            <v>4.3</v>
          </cell>
          <cell r="E72">
            <v>3216</v>
          </cell>
          <cell r="F72">
            <v>11.9</v>
          </cell>
          <cell r="N72">
            <v>1627</v>
          </cell>
          <cell r="O72">
            <v>860</v>
          </cell>
          <cell r="P72">
            <v>732</v>
          </cell>
          <cell r="Q72">
            <v>356</v>
          </cell>
          <cell r="AB72">
            <v>219.9</v>
          </cell>
        </row>
        <row r="73">
          <cell r="B73">
            <v>4.2</v>
          </cell>
          <cell r="E73">
            <v>3143</v>
          </cell>
          <cell r="F73">
            <v>12.100000000000001</v>
          </cell>
          <cell r="N73">
            <v>1533</v>
          </cell>
          <cell r="O73">
            <v>920</v>
          </cell>
          <cell r="P73">
            <v>672</v>
          </cell>
          <cell r="Q73">
            <v>336</v>
          </cell>
          <cell r="AB73">
            <v>210.3</v>
          </cell>
        </row>
        <row r="74">
          <cell r="B74">
            <v>4.1000000000000005</v>
          </cell>
          <cell r="E74">
            <v>3073</v>
          </cell>
          <cell r="F74">
            <v>11.700000000000001</v>
          </cell>
          <cell r="N74">
            <v>1531</v>
          </cell>
          <cell r="O74">
            <v>895</v>
          </cell>
          <cell r="P74">
            <v>645</v>
          </cell>
          <cell r="Q74">
            <v>311</v>
          </cell>
          <cell r="AB74">
            <v>214</v>
          </cell>
        </row>
        <row r="75">
          <cell r="B75">
            <v>4</v>
          </cell>
          <cell r="E75">
            <v>3031</v>
          </cell>
          <cell r="F75">
            <v>11.4</v>
          </cell>
          <cell r="N75">
            <v>1436</v>
          </cell>
          <cell r="O75">
            <v>857</v>
          </cell>
          <cell r="P75">
            <v>659</v>
          </cell>
          <cell r="Q75">
            <v>293</v>
          </cell>
          <cell r="AB75">
            <v>208</v>
          </cell>
        </row>
        <row r="76">
          <cell r="B76">
            <v>4</v>
          </cell>
          <cell r="E76">
            <v>2988</v>
          </cell>
          <cell r="F76">
            <v>11.9</v>
          </cell>
          <cell r="N76">
            <v>1523</v>
          </cell>
          <cell r="O76">
            <v>777</v>
          </cell>
          <cell r="P76">
            <v>623</v>
          </cell>
          <cell r="Q76">
            <v>290</v>
          </cell>
          <cell r="AB76">
            <v>223.4</v>
          </cell>
        </row>
        <row r="77">
          <cell r="B77">
            <v>3.8000000000000003</v>
          </cell>
          <cell r="E77">
            <v>2820</v>
          </cell>
          <cell r="F77">
            <v>11.200000000000001</v>
          </cell>
          <cell r="N77">
            <v>1505</v>
          </cell>
          <cell r="O77">
            <v>758</v>
          </cell>
          <cell r="P77">
            <v>594</v>
          </cell>
          <cell r="Q77">
            <v>270</v>
          </cell>
          <cell r="AB77">
            <v>220.10000000000002</v>
          </cell>
        </row>
        <row r="78">
          <cell r="B78">
            <v>3.8000000000000003</v>
          </cell>
          <cell r="E78">
            <v>2887</v>
          </cell>
          <cell r="F78">
            <v>11.100000000000001</v>
          </cell>
          <cell r="N78">
            <v>1523</v>
          </cell>
          <cell r="O78">
            <v>814</v>
          </cell>
          <cell r="P78">
            <v>583</v>
          </cell>
          <cell r="Q78">
            <v>268</v>
          </cell>
          <cell r="AB78">
            <v>183.20000000000002</v>
          </cell>
        </row>
        <row r="79">
          <cell r="B79">
            <v>3.8000000000000003</v>
          </cell>
          <cell r="E79">
            <v>2828</v>
          </cell>
          <cell r="F79">
            <v>10.8</v>
          </cell>
          <cell r="N79">
            <v>1563</v>
          </cell>
          <cell r="O79">
            <v>653</v>
          </cell>
          <cell r="P79">
            <v>575</v>
          </cell>
          <cell r="Q79">
            <v>251</v>
          </cell>
          <cell r="AB79">
            <v>179.9</v>
          </cell>
        </row>
        <row r="80">
          <cell r="B80">
            <v>3.9000000000000004</v>
          </cell>
          <cell r="E80">
            <v>2950</v>
          </cell>
          <cell r="F80">
            <v>10.200000000000001</v>
          </cell>
          <cell r="N80">
            <v>1631</v>
          </cell>
          <cell r="O80">
            <v>821</v>
          </cell>
          <cell r="P80">
            <v>534</v>
          </cell>
          <cell r="Q80">
            <v>285</v>
          </cell>
          <cell r="AB80">
            <v>193</v>
          </cell>
        </row>
        <row r="81">
          <cell r="B81">
            <v>3.8000000000000003</v>
          </cell>
          <cell r="E81">
            <v>2872</v>
          </cell>
          <cell r="F81">
            <v>9.7000000000000011</v>
          </cell>
          <cell r="N81">
            <v>1647</v>
          </cell>
          <cell r="O81">
            <v>779</v>
          </cell>
          <cell r="P81">
            <v>475</v>
          </cell>
          <cell r="Q81">
            <v>230</v>
          </cell>
          <cell r="AB81">
            <v>195.60000000000002</v>
          </cell>
        </row>
        <row r="82">
          <cell r="B82">
            <v>3.8000000000000003</v>
          </cell>
          <cell r="E82">
            <v>2876</v>
          </cell>
          <cell r="F82">
            <v>9.7000000000000011</v>
          </cell>
          <cell r="N82">
            <v>1640</v>
          </cell>
          <cell r="O82">
            <v>809</v>
          </cell>
          <cell r="P82">
            <v>427</v>
          </cell>
          <cell r="Q82">
            <v>209</v>
          </cell>
          <cell r="AB82">
            <v>200.3</v>
          </cell>
        </row>
        <row r="83">
          <cell r="B83">
            <v>3.8000000000000003</v>
          </cell>
          <cell r="E83">
            <v>2900</v>
          </cell>
          <cell r="F83">
            <v>9.8000000000000007</v>
          </cell>
          <cell r="N83">
            <v>1622</v>
          </cell>
          <cell r="O83">
            <v>827</v>
          </cell>
          <cell r="P83">
            <v>464</v>
          </cell>
          <cell r="Q83">
            <v>205</v>
          </cell>
          <cell r="AB83">
            <v>196</v>
          </cell>
        </row>
        <row r="84">
          <cell r="B84">
            <v>3.7</v>
          </cell>
          <cell r="E84">
            <v>2798</v>
          </cell>
          <cell r="F84">
            <v>10.100000000000001</v>
          </cell>
          <cell r="N84">
            <v>1555</v>
          </cell>
          <cell r="O84">
            <v>793</v>
          </cell>
          <cell r="P84">
            <v>488</v>
          </cell>
          <cell r="Q84">
            <v>202</v>
          </cell>
          <cell r="AB84">
            <v>198.9</v>
          </cell>
        </row>
        <row r="85">
          <cell r="B85">
            <v>3.7</v>
          </cell>
          <cell r="E85">
            <v>2798</v>
          </cell>
          <cell r="F85">
            <v>10.3</v>
          </cell>
          <cell r="N85">
            <v>1541</v>
          </cell>
          <cell r="O85">
            <v>780</v>
          </cell>
          <cell r="P85">
            <v>494</v>
          </cell>
          <cell r="Q85">
            <v>221</v>
          </cell>
          <cell r="AB85">
            <v>204</v>
          </cell>
        </row>
        <row r="86">
          <cell r="B86">
            <v>3.6</v>
          </cell>
          <cell r="E86">
            <v>2770</v>
          </cell>
          <cell r="F86">
            <v>9.7000000000000011</v>
          </cell>
          <cell r="N86">
            <v>1499</v>
          </cell>
          <cell r="O86">
            <v>776</v>
          </cell>
          <cell r="P86">
            <v>464</v>
          </cell>
          <cell r="Q86">
            <v>200</v>
          </cell>
          <cell r="AB86">
            <v>209.70000000000002</v>
          </cell>
        </row>
        <row r="87">
          <cell r="B87">
            <v>3.8000000000000003</v>
          </cell>
          <cell r="E87">
            <v>2912</v>
          </cell>
          <cell r="F87">
            <v>9.5</v>
          </cell>
          <cell r="N87">
            <v>1582</v>
          </cell>
          <cell r="O87">
            <v>745</v>
          </cell>
          <cell r="P87">
            <v>488</v>
          </cell>
          <cell r="Q87">
            <v>210</v>
          </cell>
          <cell r="AB87">
            <v>220.9</v>
          </cell>
        </row>
        <row r="88">
          <cell r="B88">
            <v>3.9000000000000004</v>
          </cell>
          <cell r="E88">
            <v>2968</v>
          </cell>
          <cell r="F88">
            <v>9.3000000000000007</v>
          </cell>
          <cell r="N88">
            <v>1608</v>
          </cell>
          <cell r="O88">
            <v>854</v>
          </cell>
          <cell r="P88">
            <v>489</v>
          </cell>
          <cell r="Q88">
            <v>203</v>
          </cell>
          <cell r="AB88">
            <v>208.70000000000002</v>
          </cell>
        </row>
        <row r="89">
          <cell r="B89">
            <v>3.8000000000000003</v>
          </cell>
          <cell r="E89">
            <v>2915</v>
          </cell>
          <cell r="F89">
            <v>9.2000000000000011</v>
          </cell>
          <cell r="N89">
            <v>1596</v>
          </cell>
          <cell r="O89">
            <v>862</v>
          </cell>
          <cell r="P89">
            <v>459</v>
          </cell>
          <cell r="Q89">
            <v>201</v>
          </cell>
          <cell r="AC89">
            <v>204</v>
          </cell>
        </row>
        <row r="90">
          <cell r="B90">
            <v>3.8000000000000003</v>
          </cell>
          <cell r="E90">
            <v>2889</v>
          </cell>
          <cell r="F90">
            <v>8.9</v>
          </cell>
          <cell r="N90">
            <v>1586</v>
          </cell>
          <cell r="O90">
            <v>869</v>
          </cell>
          <cell r="P90">
            <v>436</v>
          </cell>
          <cell r="Q90">
            <v>180</v>
          </cell>
          <cell r="AC90">
            <v>242</v>
          </cell>
        </row>
        <row r="91">
          <cell r="B91">
            <v>3.8000000000000003</v>
          </cell>
          <cell r="E91">
            <v>2895</v>
          </cell>
          <cell r="F91">
            <v>8.8000000000000007</v>
          </cell>
          <cell r="N91">
            <v>1547</v>
          </cell>
          <cell r="O91">
            <v>896</v>
          </cell>
          <cell r="P91">
            <v>428</v>
          </cell>
          <cell r="Q91">
            <v>174</v>
          </cell>
          <cell r="AC91">
            <v>259</v>
          </cell>
        </row>
        <row r="92">
          <cell r="B92">
            <v>3.8000000000000003</v>
          </cell>
          <cell r="E92">
            <v>2929</v>
          </cell>
          <cell r="F92">
            <v>8.7000000000000011</v>
          </cell>
          <cell r="N92">
            <v>1581</v>
          </cell>
          <cell r="O92">
            <v>905</v>
          </cell>
          <cell r="P92">
            <v>417</v>
          </cell>
          <cell r="Q92">
            <v>153</v>
          </cell>
          <cell r="AC92">
            <v>255</v>
          </cell>
        </row>
        <row r="93">
          <cell r="B93">
            <v>3.9000000000000004</v>
          </cell>
          <cell r="E93">
            <v>2992</v>
          </cell>
          <cell r="F93">
            <v>8.3000000000000007</v>
          </cell>
          <cell r="N93">
            <v>1704</v>
          </cell>
          <cell r="O93">
            <v>883</v>
          </cell>
          <cell r="P93">
            <v>422</v>
          </cell>
          <cell r="Q93">
            <v>150</v>
          </cell>
          <cell r="AC93">
            <v>228</v>
          </cell>
        </row>
        <row r="94">
          <cell r="B94">
            <v>3.8000000000000003</v>
          </cell>
          <cell r="E94">
            <v>2944</v>
          </cell>
          <cell r="F94">
            <v>8.3000000000000007</v>
          </cell>
          <cell r="G94">
            <v>4.5</v>
          </cell>
          <cell r="N94">
            <v>1642</v>
          </cell>
          <cell r="O94">
            <v>863</v>
          </cell>
          <cell r="P94">
            <v>412</v>
          </cell>
          <cell r="Q94">
            <v>151</v>
          </cell>
          <cell r="AC94">
            <v>209</v>
          </cell>
        </row>
        <row r="95">
          <cell r="B95">
            <v>3.8000000000000003</v>
          </cell>
          <cell r="E95">
            <v>2945</v>
          </cell>
          <cell r="F95">
            <v>8.9</v>
          </cell>
          <cell r="G95">
            <v>4.7</v>
          </cell>
          <cell r="N95">
            <v>1595</v>
          </cell>
          <cell r="O95">
            <v>928</v>
          </cell>
          <cell r="P95">
            <v>441</v>
          </cell>
          <cell r="Q95">
            <v>200</v>
          </cell>
          <cell r="AC95">
            <v>209</v>
          </cell>
        </row>
        <row r="96">
          <cell r="B96">
            <v>3.8000000000000003</v>
          </cell>
          <cell r="E96">
            <v>2958</v>
          </cell>
          <cell r="F96">
            <v>8.4</v>
          </cell>
          <cell r="G96">
            <v>4.6000000000000005</v>
          </cell>
          <cell r="N96">
            <v>1667</v>
          </cell>
          <cell r="O96">
            <v>895</v>
          </cell>
          <cell r="P96">
            <v>448</v>
          </cell>
          <cell r="Q96">
            <v>162</v>
          </cell>
          <cell r="AC96">
            <v>218</v>
          </cell>
        </row>
        <row r="97">
          <cell r="B97">
            <v>4</v>
          </cell>
          <cell r="E97">
            <v>3143</v>
          </cell>
          <cell r="F97">
            <v>8.7000000000000011</v>
          </cell>
          <cell r="G97">
            <v>4.9000000000000004</v>
          </cell>
          <cell r="N97">
            <v>1730</v>
          </cell>
          <cell r="O97">
            <v>962</v>
          </cell>
          <cell r="P97">
            <v>472</v>
          </cell>
          <cell r="Q97">
            <v>178</v>
          </cell>
          <cell r="AC97">
            <v>204</v>
          </cell>
        </row>
        <row r="98">
          <cell r="B98">
            <v>3.9000000000000004</v>
          </cell>
          <cell r="E98">
            <v>3066</v>
          </cell>
          <cell r="F98">
            <v>8.9</v>
          </cell>
          <cell r="G98">
            <v>4.7</v>
          </cell>
          <cell r="N98">
            <v>1680</v>
          </cell>
          <cell r="O98">
            <v>905</v>
          </cell>
          <cell r="P98">
            <v>490</v>
          </cell>
          <cell r="Q98">
            <v>182</v>
          </cell>
          <cell r="AC98">
            <v>207</v>
          </cell>
        </row>
        <row r="99">
          <cell r="B99">
            <v>3.8000000000000003</v>
          </cell>
          <cell r="E99">
            <v>3018</v>
          </cell>
          <cell r="F99">
            <v>8.6</v>
          </cell>
          <cell r="G99">
            <v>4.8000000000000007</v>
          </cell>
          <cell r="N99">
            <v>1616</v>
          </cell>
          <cell r="O99">
            <v>920</v>
          </cell>
          <cell r="P99">
            <v>485</v>
          </cell>
          <cell r="Q99">
            <v>195</v>
          </cell>
          <cell r="AC99">
            <v>196</v>
          </cell>
        </row>
        <row r="100">
          <cell r="B100">
            <v>3.7</v>
          </cell>
          <cell r="E100">
            <v>2878</v>
          </cell>
          <cell r="F100">
            <v>9.4</v>
          </cell>
          <cell r="G100">
            <v>5.1000000000000005</v>
          </cell>
          <cell r="N100">
            <v>1458</v>
          </cell>
          <cell r="O100">
            <v>904</v>
          </cell>
          <cell r="P100">
            <v>503</v>
          </cell>
          <cell r="Q100">
            <v>190</v>
          </cell>
          <cell r="AC100">
            <v>216</v>
          </cell>
        </row>
        <row r="101">
          <cell r="B101">
            <v>3.8000000000000003</v>
          </cell>
          <cell r="E101">
            <v>3001</v>
          </cell>
          <cell r="F101">
            <v>8.7000000000000011</v>
          </cell>
          <cell r="G101">
            <v>4.5</v>
          </cell>
          <cell r="N101">
            <v>1710</v>
          </cell>
          <cell r="O101">
            <v>845</v>
          </cell>
          <cell r="P101">
            <v>468</v>
          </cell>
          <cell r="Q101">
            <v>179</v>
          </cell>
          <cell r="AC101">
            <v>198</v>
          </cell>
        </row>
        <row r="102">
          <cell r="B102">
            <v>3.7</v>
          </cell>
          <cell r="E102">
            <v>2877</v>
          </cell>
          <cell r="F102">
            <v>8.5</v>
          </cell>
          <cell r="G102">
            <v>4.1000000000000005</v>
          </cell>
          <cell r="N102">
            <v>1651</v>
          </cell>
          <cell r="O102">
            <v>784</v>
          </cell>
          <cell r="P102">
            <v>447</v>
          </cell>
          <cell r="Q102">
            <v>179</v>
          </cell>
          <cell r="AC102">
            <v>190</v>
          </cell>
        </row>
        <row r="103">
          <cell r="B103">
            <v>3.5</v>
          </cell>
          <cell r="E103">
            <v>2709</v>
          </cell>
          <cell r="F103">
            <v>8.7000000000000011</v>
          </cell>
          <cell r="G103">
            <v>4.6000000000000005</v>
          </cell>
          <cell r="N103">
            <v>1436</v>
          </cell>
          <cell r="O103">
            <v>856</v>
          </cell>
          <cell r="P103">
            <v>393</v>
          </cell>
          <cell r="Q103">
            <v>149</v>
          </cell>
          <cell r="AC103">
            <v>192</v>
          </cell>
        </row>
        <row r="104">
          <cell r="B104">
            <v>3.5</v>
          </cell>
          <cell r="E104">
            <v>2740</v>
          </cell>
          <cell r="F104">
            <v>8.2000000000000011</v>
          </cell>
          <cell r="G104">
            <v>4.4000000000000004</v>
          </cell>
          <cell r="N104">
            <v>1567</v>
          </cell>
          <cell r="O104">
            <v>745</v>
          </cell>
          <cell r="P104">
            <v>395</v>
          </cell>
          <cell r="Q104">
            <v>136</v>
          </cell>
          <cell r="AC104">
            <v>251</v>
          </cell>
        </row>
        <row r="105">
          <cell r="B105">
            <v>3.7</v>
          </cell>
          <cell r="E105">
            <v>2938</v>
          </cell>
          <cell r="F105">
            <v>7.9</v>
          </cell>
          <cell r="G105">
            <v>4.4000000000000004</v>
          </cell>
          <cell r="N105">
            <v>1755</v>
          </cell>
          <cell r="O105">
            <v>816</v>
          </cell>
          <cell r="P105">
            <v>405</v>
          </cell>
          <cell r="Q105">
            <v>162</v>
          </cell>
          <cell r="AC105">
            <v>199</v>
          </cell>
        </row>
        <row r="106">
          <cell r="B106">
            <v>3.7</v>
          </cell>
          <cell r="E106">
            <v>2883</v>
          </cell>
          <cell r="F106">
            <v>8.4</v>
          </cell>
          <cell r="G106">
            <v>4.5</v>
          </cell>
          <cell r="N106">
            <v>1647</v>
          </cell>
          <cell r="O106">
            <v>831</v>
          </cell>
          <cell r="P106">
            <v>426</v>
          </cell>
          <cell r="Q106">
            <v>159</v>
          </cell>
          <cell r="AC106">
            <v>194</v>
          </cell>
        </row>
        <row r="107">
          <cell r="B107">
            <v>3.5</v>
          </cell>
          <cell r="E107">
            <v>2768</v>
          </cell>
          <cell r="F107">
            <v>8.3000000000000007</v>
          </cell>
          <cell r="G107">
            <v>4.2</v>
          </cell>
          <cell r="N107">
            <v>1645</v>
          </cell>
          <cell r="O107">
            <v>765</v>
          </cell>
          <cell r="P107">
            <v>393</v>
          </cell>
          <cell r="Q107">
            <v>153</v>
          </cell>
          <cell r="AC107">
            <v>205</v>
          </cell>
        </row>
        <row r="108">
          <cell r="B108">
            <v>3.4000000000000004</v>
          </cell>
          <cell r="E108">
            <v>2686</v>
          </cell>
          <cell r="F108">
            <v>8.2000000000000011</v>
          </cell>
          <cell r="G108">
            <v>4.6000000000000005</v>
          </cell>
          <cell r="N108">
            <v>1534</v>
          </cell>
          <cell r="O108">
            <v>781</v>
          </cell>
          <cell r="P108">
            <v>375</v>
          </cell>
          <cell r="Q108">
            <v>132</v>
          </cell>
          <cell r="AC108">
            <v>188</v>
          </cell>
        </row>
        <row r="109">
          <cell r="B109">
            <v>3.4000000000000004</v>
          </cell>
          <cell r="E109">
            <v>2689</v>
          </cell>
          <cell r="F109">
            <v>8.4</v>
          </cell>
          <cell r="G109">
            <v>4.8000000000000007</v>
          </cell>
          <cell r="N109">
            <v>1507</v>
          </cell>
          <cell r="O109">
            <v>799</v>
          </cell>
          <cell r="P109">
            <v>386</v>
          </cell>
          <cell r="Q109">
            <v>134</v>
          </cell>
          <cell r="AC109">
            <v>189</v>
          </cell>
        </row>
        <row r="110">
          <cell r="B110">
            <v>3.4000000000000004</v>
          </cell>
          <cell r="E110">
            <v>2715</v>
          </cell>
          <cell r="F110">
            <v>8.1</v>
          </cell>
          <cell r="G110">
            <v>4.4000000000000004</v>
          </cell>
          <cell r="N110">
            <v>1593</v>
          </cell>
          <cell r="O110">
            <v>768</v>
          </cell>
          <cell r="P110">
            <v>357</v>
          </cell>
          <cell r="Q110">
            <v>131</v>
          </cell>
          <cell r="AC110">
            <v>181</v>
          </cell>
        </row>
        <row r="111">
          <cell r="B111">
            <v>3.4000000000000004</v>
          </cell>
          <cell r="E111">
            <v>2685</v>
          </cell>
          <cell r="F111">
            <v>8.2000000000000011</v>
          </cell>
          <cell r="G111">
            <v>4.4000000000000004</v>
          </cell>
          <cell r="N111">
            <v>1527</v>
          </cell>
          <cell r="O111">
            <v>800</v>
          </cell>
          <cell r="P111">
            <v>351</v>
          </cell>
          <cell r="Q111">
            <v>160</v>
          </cell>
          <cell r="AC111">
            <v>162</v>
          </cell>
        </row>
        <row r="112">
          <cell r="B112">
            <v>3.4000000000000004</v>
          </cell>
          <cell r="E112">
            <v>2718</v>
          </cell>
          <cell r="F112">
            <v>8.1</v>
          </cell>
          <cell r="G112">
            <v>4.4000000000000004</v>
          </cell>
          <cell r="N112">
            <v>1554</v>
          </cell>
          <cell r="O112">
            <v>785</v>
          </cell>
          <cell r="P112">
            <v>339</v>
          </cell>
          <cell r="Q112">
            <v>130</v>
          </cell>
          <cell r="AC112">
            <v>223</v>
          </cell>
        </row>
        <row r="113">
          <cell r="B113">
            <v>3.4000000000000004</v>
          </cell>
          <cell r="E113">
            <v>2692</v>
          </cell>
          <cell r="F113">
            <v>7.9</v>
          </cell>
          <cell r="G113">
            <v>4.9000000000000004</v>
          </cell>
          <cell r="N113">
            <v>1442</v>
          </cell>
          <cell r="O113">
            <v>863</v>
          </cell>
          <cell r="P113">
            <v>358</v>
          </cell>
          <cell r="Q113">
            <v>115</v>
          </cell>
          <cell r="AC113">
            <v>203</v>
          </cell>
        </row>
        <row r="114">
          <cell r="B114">
            <v>3.4000000000000004</v>
          </cell>
          <cell r="E114">
            <v>2712</v>
          </cell>
          <cell r="F114">
            <v>7.9</v>
          </cell>
          <cell r="G114">
            <v>4</v>
          </cell>
          <cell r="N114">
            <v>1603</v>
          </cell>
          <cell r="O114">
            <v>770</v>
          </cell>
          <cell r="P114">
            <v>353</v>
          </cell>
          <cell r="Q114">
            <v>119</v>
          </cell>
          <cell r="AC114">
            <v>201</v>
          </cell>
        </row>
        <row r="115">
          <cell r="B115">
            <v>3.4000000000000004</v>
          </cell>
          <cell r="E115">
            <v>2758</v>
          </cell>
          <cell r="F115">
            <v>7.9</v>
          </cell>
          <cell r="G115">
            <v>4</v>
          </cell>
          <cell r="N115">
            <v>1600</v>
          </cell>
          <cell r="O115">
            <v>764</v>
          </cell>
          <cell r="P115">
            <v>386</v>
          </cell>
          <cell r="Q115">
            <v>133</v>
          </cell>
          <cell r="AC115">
            <v>183</v>
          </cell>
        </row>
        <row r="116">
          <cell r="B116">
            <v>3.4000000000000004</v>
          </cell>
          <cell r="E116">
            <v>2713</v>
          </cell>
          <cell r="F116">
            <v>7.9</v>
          </cell>
          <cell r="G116">
            <v>4.2</v>
          </cell>
          <cell r="N116">
            <v>1649</v>
          </cell>
          <cell r="O116">
            <v>657</v>
          </cell>
          <cell r="P116">
            <v>387</v>
          </cell>
          <cell r="Q116">
            <v>126</v>
          </cell>
          <cell r="AC116">
            <v>177</v>
          </cell>
        </row>
        <row r="117">
          <cell r="B117">
            <v>3.5</v>
          </cell>
          <cell r="E117">
            <v>2816</v>
          </cell>
          <cell r="F117">
            <v>7.7</v>
          </cell>
          <cell r="G117">
            <v>4.4000000000000004</v>
          </cell>
          <cell r="N117">
            <v>1664</v>
          </cell>
          <cell r="O117">
            <v>799</v>
          </cell>
          <cell r="P117">
            <v>368</v>
          </cell>
          <cell r="Q117">
            <v>124</v>
          </cell>
          <cell r="AC117">
            <v>187</v>
          </cell>
        </row>
        <row r="118">
          <cell r="B118">
            <v>3.5</v>
          </cell>
          <cell r="E118">
            <v>2868</v>
          </cell>
          <cell r="F118">
            <v>7.8000000000000007</v>
          </cell>
          <cell r="G118">
            <v>4.4000000000000004</v>
          </cell>
          <cell r="N118">
            <v>1686</v>
          </cell>
          <cell r="O118">
            <v>816</v>
          </cell>
          <cell r="P118">
            <v>377</v>
          </cell>
          <cell r="Q118">
            <v>160</v>
          </cell>
          <cell r="AC118">
            <v>203</v>
          </cell>
        </row>
        <row r="119">
          <cell r="B119">
            <v>3.5</v>
          </cell>
          <cell r="E119">
            <v>2856</v>
          </cell>
          <cell r="F119">
            <v>7.9</v>
          </cell>
          <cell r="G119">
            <v>4.4000000000000004</v>
          </cell>
          <cell r="N119">
            <v>1637</v>
          </cell>
          <cell r="O119">
            <v>865</v>
          </cell>
          <cell r="P119">
            <v>373</v>
          </cell>
          <cell r="Q119">
            <v>132</v>
          </cell>
          <cell r="AC119">
            <v>196</v>
          </cell>
        </row>
        <row r="120">
          <cell r="B120">
            <v>3.7</v>
          </cell>
          <cell r="E120">
            <v>3040</v>
          </cell>
          <cell r="F120">
            <v>8</v>
          </cell>
          <cell r="G120">
            <v>4.7</v>
          </cell>
          <cell r="N120">
            <v>1693</v>
          </cell>
          <cell r="O120">
            <v>963</v>
          </cell>
          <cell r="P120">
            <v>391</v>
          </cell>
          <cell r="Q120">
            <v>148</v>
          </cell>
          <cell r="AC120">
            <v>195</v>
          </cell>
        </row>
        <row r="121">
          <cell r="B121">
            <v>3.7</v>
          </cell>
          <cell r="E121">
            <v>3049</v>
          </cell>
          <cell r="F121">
            <v>7.6000000000000005</v>
          </cell>
          <cell r="G121">
            <v>4.5</v>
          </cell>
          <cell r="N121">
            <v>1814</v>
          </cell>
          <cell r="O121">
            <v>853</v>
          </cell>
          <cell r="P121">
            <v>374</v>
          </cell>
          <cell r="Q121">
            <v>136</v>
          </cell>
          <cell r="AC121">
            <v>193</v>
          </cell>
        </row>
        <row r="122">
          <cell r="B122">
            <v>3.5</v>
          </cell>
          <cell r="E122">
            <v>2856</v>
          </cell>
          <cell r="F122">
            <v>8</v>
          </cell>
          <cell r="G122">
            <v>4.8000000000000007</v>
          </cell>
          <cell r="N122">
            <v>1580</v>
          </cell>
          <cell r="O122">
            <v>888</v>
          </cell>
          <cell r="P122">
            <v>392</v>
          </cell>
          <cell r="Q122">
            <v>146</v>
          </cell>
          <cell r="AC122">
            <v>198</v>
          </cell>
        </row>
        <row r="123">
          <cell r="B123">
            <v>3.5</v>
          </cell>
          <cell r="E123">
            <v>2884</v>
          </cell>
          <cell r="F123">
            <v>8</v>
          </cell>
          <cell r="G123">
            <v>4.6000000000000005</v>
          </cell>
          <cell r="N123">
            <v>1585</v>
          </cell>
          <cell r="O123">
            <v>883</v>
          </cell>
          <cell r="P123">
            <v>413</v>
          </cell>
          <cell r="Q123">
            <v>132</v>
          </cell>
          <cell r="AC123">
            <v>202</v>
          </cell>
        </row>
        <row r="124">
          <cell r="B124">
            <v>3.9000000000000004</v>
          </cell>
          <cell r="E124">
            <v>3201</v>
          </cell>
          <cell r="F124">
            <v>7.9</v>
          </cell>
          <cell r="G124">
            <v>4.6000000000000005</v>
          </cell>
          <cell r="N124">
            <v>1800</v>
          </cell>
          <cell r="O124">
            <v>933</v>
          </cell>
          <cell r="P124">
            <v>431</v>
          </cell>
          <cell r="Q124">
            <v>143</v>
          </cell>
          <cell r="AC124">
            <v>223</v>
          </cell>
        </row>
        <row r="125">
          <cell r="B125">
            <v>4.2</v>
          </cell>
          <cell r="E125">
            <v>3453</v>
          </cell>
          <cell r="F125">
            <v>8</v>
          </cell>
          <cell r="G125">
            <v>4.5</v>
          </cell>
          <cell r="N125">
            <v>1950</v>
          </cell>
          <cell r="O125">
            <v>1048</v>
          </cell>
          <cell r="P125">
            <v>470</v>
          </cell>
          <cell r="Q125">
            <v>161</v>
          </cell>
          <cell r="AC125">
            <v>239</v>
          </cell>
        </row>
        <row r="126">
          <cell r="B126">
            <v>4.4000000000000004</v>
          </cell>
          <cell r="E126">
            <v>3635</v>
          </cell>
          <cell r="F126">
            <v>8.3000000000000007</v>
          </cell>
          <cell r="G126">
            <v>4.6000000000000005</v>
          </cell>
          <cell r="N126">
            <v>1978</v>
          </cell>
          <cell r="O126">
            <v>1133</v>
          </cell>
          <cell r="P126">
            <v>534</v>
          </cell>
          <cell r="Q126">
            <v>181</v>
          </cell>
          <cell r="AC126">
            <v>242</v>
          </cell>
        </row>
        <row r="127">
          <cell r="B127">
            <v>4.6000000000000005</v>
          </cell>
          <cell r="E127">
            <v>3797</v>
          </cell>
          <cell r="F127">
            <v>8.2000000000000011</v>
          </cell>
          <cell r="G127">
            <v>4.1000000000000005</v>
          </cell>
          <cell r="N127">
            <v>2139</v>
          </cell>
          <cell r="O127">
            <v>1106</v>
          </cell>
          <cell r="P127">
            <v>602</v>
          </cell>
          <cell r="Q127">
            <v>202</v>
          </cell>
          <cell r="AC127">
            <v>276</v>
          </cell>
        </row>
        <row r="128">
          <cell r="B128">
            <v>4.8000000000000007</v>
          </cell>
          <cell r="E128">
            <v>3919</v>
          </cell>
          <cell r="F128">
            <v>8.6</v>
          </cell>
          <cell r="G128">
            <v>4.7</v>
          </cell>
          <cell r="N128">
            <v>2109</v>
          </cell>
          <cell r="O128">
            <v>1241</v>
          </cell>
          <cell r="P128">
            <v>591</v>
          </cell>
          <cell r="Q128">
            <v>231</v>
          </cell>
          <cell r="AC128">
            <v>334</v>
          </cell>
        </row>
        <row r="129">
          <cell r="B129">
            <v>4.9000000000000004</v>
          </cell>
          <cell r="E129">
            <v>4071</v>
          </cell>
          <cell r="F129">
            <v>8.6</v>
          </cell>
          <cell r="G129">
            <v>4.9000000000000004</v>
          </cell>
          <cell r="N129">
            <v>2100</v>
          </cell>
          <cell r="O129">
            <v>1290</v>
          </cell>
          <cell r="P129">
            <v>657</v>
          </cell>
          <cell r="Q129">
            <v>224</v>
          </cell>
          <cell r="AC129">
            <v>301</v>
          </cell>
        </row>
        <row r="130">
          <cell r="B130">
            <v>5</v>
          </cell>
          <cell r="E130">
            <v>4175</v>
          </cell>
          <cell r="F130">
            <v>8.9</v>
          </cell>
          <cell r="G130">
            <v>5.1000000000000005</v>
          </cell>
          <cell r="N130">
            <v>2132</v>
          </cell>
          <cell r="O130">
            <v>1329</v>
          </cell>
          <cell r="P130">
            <v>662</v>
          </cell>
          <cell r="Q130">
            <v>234</v>
          </cell>
          <cell r="AC130">
            <v>291</v>
          </cell>
        </row>
        <row r="131">
          <cell r="B131">
            <v>5.1000000000000005</v>
          </cell>
          <cell r="E131">
            <v>4256</v>
          </cell>
          <cell r="F131">
            <v>8.8000000000000007</v>
          </cell>
          <cell r="G131">
            <v>5.4</v>
          </cell>
          <cell r="N131">
            <v>2182</v>
          </cell>
          <cell r="O131">
            <v>1348</v>
          </cell>
          <cell r="P131">
            <v>705</v>
          </cell>
          <cell r="Q131">
            <v>251</v>
          </cell>
          <cell r="AC131">
            <v>261</v>
          </cell>
        </row>
        <row r="132">
          <cell r="B132">
            <v>5.4</v>
          </cell>
          <cell r="E132">
            <v>4456</v>
          </cell>
          <cell r="F132">
            <v>8.9</v>
          </cell>
          <cell r="G132">
            <v>5.2</v>
          </cell>
          <cell r="N132">
            <v>2235</v>
          </cell>
          <cell r="O132">
            <v>1448</v>
          </cell>
          <cell r="P132">
            <v>788</v>
          </cell>
          <cell r="Q132">
            <v>281</v>
          </cell>
          <cell r="AC132">
            <v>297</v>
          </cell>
        </row>
        <row r="133">
          <cell r="B133">
            <v>5.5</v>
          </cell>
          <cell r="E133">
            <v>4591</v>
          </cell>
          <cell r="F133">
            <v>8.7000000000000011</v>
          </cell>
          <cell r="G133">
            <v>5.2</v>
          </cell>
          <cell r="N133">
            <v>2386</v>
          </cell>
          <cell r="O133">
            <v>1470</v>
          </cell>
          <cell r="P133">
            <v>771</v>
          </cell>
          <cell r="Q133">
            <v>259</v>
          </cell>
          <cell r="AC133">
            <v>333</v>
          </cell>
        </row>
        <row r="134">
          <cell r="B134">
            <v>5.9</v>
          </cell>
          <cell r="E134">
            <v>4898</v>
          </cell>
          <cell r="F134">
            <v>9.3000000000000007</v>
          </cell>
          <cell r="G134">
            <v>5.6000000000000005</v>
          </cell>
          <cell r="N134">
            <v>2338</v>
          </cell>
          <cell r="O134">
            <v>1713</v>
          </cell>
          <cell r="P134">
            <v>871</v>
          </cell>
          <cell r="Q134">
            <v>332</v>
          </cell>
          <cell r="AC134">
            <v>327</v>
          </cell>
        </row>
        <row r="135">
          <cell r="B135">
            <v>6.1000000000000005</v>
          </cell>
          <cell r="E135">
            <v>5076</v>
          </cell>
          <cell r="F135">
            <v>9.8000000000000007</v>
          </cell>
          <cell r="G135">
            <v>5.9</v>
          </cell>
          <cell r="N135">
            <v>2369</v>
          </cell>
          <cell r="O135">
            <v>1586</v>
          </cell>
          <cell r="P135">
            <v>1102</v>
          </cell>
          <cell r="Q135">
            <v>383</v>
          </cell>
          <cell r="AC135">
            <v>337</v>
          </cell>
        </row>
        <row r="136">
          <cell r="B136">
            <v>5.9</v>
          </cell>
          <cell r="E136">
            <v>4986</v>
          </cell>
          <cell r="F136">
            <v>10.5</v>
          </cell>
          <cell r="G136">
            <v>6.2</v>
          </cell>
          <cell r="N136">
            <v>2302</v>
          </cell>
          <cell r="O136">
            <v>1626</v>
          </cell>
          <cell r="P136">
            <v>1113</v>
          </cell>
          <cell r="Q136">
            <v>430</v>
          </cell>
          <cell r="AC136">
            <v>303</v>
          </cell>
        </row>
        <row r="137">
          <cell r="B137">
            <v>5.9</v>
          </cell>
          <cell r="E137">
            <v>4903</v>
          </cell>
          <cell r="F137">
            <v>10.4</v>
          </cell>
          <cell r="G137">
            <v>6.3000000000000007</v>
          </cell>
          <cell r="N137">
            <v>2178</v>
          </cell>
          <cell r="O137">
            <v>1633</v>
          </cell>
          <cell r="P137">
            <v>1068</v>
          </cell>
          <cell r="Q137">
            <v>448</v>
          </cell>
          <cell r="AC137">
            <v>292</v>
          </cell>
        </row>
        <row r="138">
          <cell r="B138">
            <v>6</v>
          </cell>
          <cell r="E138">
            <v>4987</v>
          </cell>
          <cell r="F138">
            <v>10.600000000000001</v>
          </cell>
          <cell r="G138">
            <v>6.4</v>
          </cell>
          <cell r="N138">
            <v>2144</v>
          </cell>
          <cell r="O138">
            <v>1637</v>
          </cell>
          <cell r="P138">
            <v>1098</v>
          </cell>
          <cell r="Q138">
            <v>453</v>
          </cell>
          <cell r="AC138">
            <v>290</v>
          </cell>
        </row>
        <row r="139">
          <cell r="B139">
            <v>5.9</v>
          </cell>
          <cell r="E139">
            <v>4959</v>
          </cell>
          <cell r="F139">
            <v>10.9</v>
          </cell>
          <cell r="G139">
            <v>6.5</v>
          </cell>
          <cell r="N139">
            <v>2206</v>
          </cell>
          <cell r="O139">
            <v>1575</v>
          </cell>
          <cell r="P139">
            <v>1149</v>
          </cell>
          <cell r="Q139">
            <v>454</v>
          </cell>
          <cell r="AC139">
            <v>300</v>
          </cell>
        </row>
        <row r="140">
          <cell r="B140">
            <v>5.9</v>
          </cell>
          <cell r="E140">
            <v>4996</v>
          </cell>
          <cell r="F140">
            <v>11.200000000000001</v>
          </cell>
          <cell r="G140">
            <v>6.7</v>
          </cell>
          <cell r="N140">
            <v>2229</v>
          </cell>
          <cell r="O140">
            <v>1566</v>
          </cell>
          <cell r="P140">
            <v>1173</v>
          </cell>
          <cell r="Q140">
            <v>508</v>
          </cell>
          <cell r="AC140">
            <v>290</v>
          </cell>
        </row>
        <row r="141">
          <cell r="B141">
            <v>5.9</v>
          </cell>
          <cell r="E141">
            <v>4949</v>
          </cell>
          <cell r="F141">
            <v>11.600000000000001</v>
          </cell>
          <cell r="G141">
            <v>5.7</v>
          </cell>
          <cell r="N141">
            <v>2180</v>
          </cell>
          <cell r="O141">
            <v>1606</v>
          </cell>
          <cell r="P141">
            <v>1167</v>
          </cell>
          <cell r="Q141">
            <v>541</v>
          </cell>
          <cell r="AC141">
            <v>299</v>
          </cell>
        </row>
        <row r="142">
          <cell r="B142">
            <v>6</v>
          </cell>
          <cell r="E142">
            <v>5035</v>
          </cell>
          <cell r="F142">
            <v>11.5</v>
          </cell>
          <cell r="G142">
            <v>6.2</v>
          </cell>
          <cell r="N142">
            <v>2210</v>
          </cell>
          <cell r="O142">
            <v>1549</v>
          </cell>
          <cell r="P142">
            <v>1251</v>
          </cell>
          <cell r="Q142">
            <v>567</v>
          </cell>
          <cell r="AC142">
            <v>291</v>
          </cell>
        </row>
        <row r="143">
          <cell r="B143">
            <v>6.1000000000000005</v>
          </cell>
          <cell r="E143">
            <v>5134</v>
          </cell>
          <cell r="F143">
            <v>11.5</v>
          </cell>
          <cell r="G143">
            <v>6.4</v>
          </cell>
          <cell r="N143">
            <v>2337</v>
          </cell>
          <cell r="O143">
            <v>1568</v>
          </cell>
          <cell r="P143">
            <v>1261</v>
          </cell>
          <cell r="Q143">
            <v>550</v>
          </cell>
          <cell r="AC143">
            <v>308</v>
          </cell>
        </row>
        <row r="144">
          <cell r="B144">
            <v>6</v>
          </cell>
          <cell r="E144">
            <v>5042</v>
          </cell>
          <cell r="F144">
            <v>11.9</v>
          </cell>
          <cell r="G144">
            <v>5.8000000000000007</v>
          </cell>
          <cell r="N144">
            <v>2301</v>
          </cell>
          <cell r="O144">
            <v>1568</v>
          </cell>
          <cell r="P144">
            <v>1239</v>
          </cell>
          <cell r="Q144">
            <v>563</v>
          </cell>
          <cell r="AC144">
            <v>307</v>
          </cell>
        </row>
        <row r="145">
          <cell r="B145">
            <v>5.8000000000000007</v>
          </cell>
          <cell r="E145">
            <v>4954</v>
          </cell>
          <cell r="F145">
            <v>12.600000000000001</v>
          </cell>
          <cell r="G145">
            <v>6.5</v>
          </cell>
          <cell r="N145">
            <v>2222</v>
          </cell>
          <cell r="O145">
            <v>1546</v>
          </cell>
          <cell r="P145">
            <v>1268</v>
          </cell>
          <cell r="Q145">
            <v>591</v>
          </cell>
          <cell r="AC145">
            <v>299</v>
          </cell>
        </row>
        <row r="146">
          <cell r="B146">
            <v>6</v>
          </cell>
          <cell r="E146">
            <v>5161</v>
          </cell>
          <cell r="F146">
            <v>12</v>
          </cell>
          <cell r="G146">
            <v>6.4</v>
          </cell>
          <cell r="N146">
            <v>2304</v>
          </cell>
          <cell r="O146">
            <v>1629</v>
          </cell>
          <cell r="P146">
            <v>1277</v>
          </cell>
          <cell r="Q146">
            <v>581</v>
          </cell>
          <cell r="AC146">
            <v>283</v>
          </cell>
        </row>
        <row r="147">
          <cell r="B147">
            <v>6</v>
          </cell>
          <cell r="E147">
            <v>5154</v>
          </cell>
          <cell r="F147">
            <v>11.5</v>
          </cell>
          <cell r="G147">
            <v>6.2</v>
          </cell>
          <cell r="N147">
            <v>2320</v>
          </cell>
          <cell r="O147">
            <v>1518</v>
          </cell>
          <cell r="P147">
            <v>1283</v>
          </cell>
          <cell r="Q147">
            <v>583</v>
          </cell>
          <cell r="AC147">
            <v>278</v>
          </cell>
        </row>
        <row r="148">
          <cell r="B148">
            <v>5.8000000000000007</v>
          </cell>
          <cell r="E148">
            <v>5019</v>
          </cell>
          <cell r="F148">
            <v>12.100000000000001</v>
          </cell>
          <cell r="G148">
            <v>6.2</v>
          </cell>
          <cell r="N148">
            <v>2324</v>
          </cell>
          <cell r="O148">
            <v>1489</v>
          </cell>
          <cell r="P148">
            <v>1257</v>
          </cell>
          <cell r="Q148">
            <v>593</v>
          </cell>
          <cell r="AC148">
            <v>279</v>
          </cell>
        </row>
        <row r="149">
          <cell r="B149">
            <v>5.7</v>
          </cell>
          <cell r="E149">
            <v>4928</v>
          </cell>
          <cell r="F149">
            <v>12.4</v>
          </cell>
          <cell r="G149">
            <v>6.6000000000000005</v>
          </cell>
          <cell r="N149">
            <v>2111</v>
          </cell>
          <cell r="O149">
            <v>1470</v>
          </cell>
          <cell r="P149">
            <v>1292</v>
          </cell>
          <cell r="Q149">
            <v>651</v>
          </cell>
          <cell r="AC149">
            <v>269</v>
          </cell>
        </row>
        <row r="150">
          <cell r="B150">
            <v>5.8000000000000007</v>
          </cell>
          <cell r="E150">
            <v>5038</v>
          </cell>
          <cell r="F150">
            <v>12.3</v>
          </cell>
          <cell r="G150">
            <v>6.6000000000000005</v>
          </cell>
          <cell r="N150">
            <v>2303</v>
          </cell>
          <cell r="O150">
            <v>1418</v>
          </cell>
          <cell r="P150">
            <v>1232</v>
          </cell>
          <cell r="Q150">
            <v>632</v>
          </cell>
          <cell r="AC150">
            <v>254</v>
          </cell>
        </row>
        <row r="151">
          <cell r="B151">
            <v>5.7</v>
          </cell>
          <cell r="E151">
            <v>4959</v>
          </cell>
          <cell r="F151">
            <v>12.4</v>
          </cell>
          <cell r="G151">
            <v>6.7</v>
          </cell>
          <cell r="N151">
            <v>2229</v>
          </cell>
          <cell r="O151">
            <v>1500</v>
          </cell>
          <cell r="P151">
            <v>1203</v>
          </cell>
          <cell r="Q151">
            <v>673</v>
          </cell>
          <cell r="AC151">
            <v>258</v>
          </cell>
        </row>
        <row r="152">
          <cell r="B152">
            <v>5.7</v>
          </cell>
          <cell r="E152">
            <v>4922</v>
          </cell>
          <cell r="F152">
            <v>12.3</v>
          </cell>
          <cell r="G152">
            <v>6.6000000000000005</v>
          </cell>
          <cell r="N152">
            <v>2192</v>
          </cell>
          <cell r="O152">
            <v>1534</v>
          </cell>
          <cell r="P152">
            <v>1168</v>
          </cell>
          <cell r="Q152">
            <v>580</v>
          </cell>
          <cell r="AC152">
            <v>265</v>
          </cell>
        </row>
        <row r="153">
          <cell r="B153">
            <v>5.7</v>
          </cell>
          <cell r="E153">
            <v>4923</v>
          </cell>
          <cell r="F153">
            <v>12.4</v>
          </cell>
          <cell r="G153">
            <v>5.4</v>
          </cell>
          <cell r="N153">
            <v>2279</v>
          </cell>
          <cell r="O153">
            <v>1489</v>
          </cell>
          <cell r="P153">
            <v>1141</v>
          </cell>
          <cell r="Q153">
            <v>550</v>
          </cell>
          <cell r="AC153">
            <v>267</v>
          </cell>
        </row>
        <row r="154">
          <cell r="B154">
            <v>5.6000000000000005</v>
          </cell>
          <cell r="E154">
            <v>4913</v>
          </cell>
          <cell r="F154">
            <v>11.8</v>
          </cell>
          <cell r="G154">
            <v>6.1000000000000005</v>
          </cell>
          <cell r="N154">
            <v>2248</v>
          </cell>
          <cell r="O154">
            <v>1515</v>
          </cell>
          <cell r="P154">
            <v>1154</v>
          </cell>
          <cell r="Q154">
            <v>519</v>
          </cell>
          <cell r="AC154">
            <v>350</v>
          </cell>
        </row>
        <row r="155">
          <cell r="B155">
            <v>5.6000000000000005</v>
          </cell>
          <cell r="E155">
            <v>4939</v>
          </cell>
          <cell r="F155">
            <v>11.8</v>
          </cell>
          <cell r="G155">
            <v>6</v>
          </cell>
          <cell r="N155">
            <v>2285</v>
          </cell>
          <cell r="O155">
            <v>1541</v>
          </cell>
          <cell r="P155">
            <v>1156</v>
          </cell>
          <cell r="Q155">
            <v>537</v>
          </cell>
          <cell r="AC155">
            <v>247</v>
          </cell>
        </row>
        <row r="156">
          <cell r="B156">
            <v>5.5</v>
          </cell>
          <cell r="E156">
            <v>4849</v>
          </cell>
          <cell r="F156">
            <v>12.100000000000001</v>
          </cell>
          <cell r="G156">
            <v>5.6000000000000005</v>
          </cell>
          <cell r="N156">
            <v>2353</v>
          </cell>
          <cell r="O156">
            <v>1390</v>
          </cell>
          <cell r="P156">
            <v>1131</v>
          </cell>
          <cell r="Q156">
            <v>548</v>
          </cell>
          <cell r="AC156">
            <v>258</v>
          </cell>
        </row>
        <row r="157">
          <cell r="B157">
            <v>5.6000000000000005</v>
          </cell>
          <cell r="E157">
            <v>4875</v>
          </cell>
          <cell r="F157">
            <v>11.700000000000001</v>
          </cell>
          <cell r="G157">
            <v>5.7</v>
          </cell>
          <cell r="N157">
            <v>2351</v>
          </cell>
          <cell r="O157">
            <v>1472</v>
          </cell>
          <cell r="P157">
            <v>1123</v>
          </cell>
          <cell r="Q157">
            <v>522</v>
          </cell>
          <cell r="AC157">
            <v>251</v>
          </cell>
        </row>
        <row r="158">
          <cell r="B158">
            <v>5.3000000000000007</v>
          </cell>
          <cell r="E158">
            <v>4602</v>
          </cell>
          <cell r="F158">
            <v>11.4</v>
          </cell>
          <cell r="G158">
            <v>5.7</v>
          </cell>
          <cell r="N158">
            <v>2191</v>
          </cell>
          <cell r="O158">
            <v>1386</v>
          </cell>
          <cell r="P158">
            <v>1040</v>
          </cell>
          <cell r="Q158">
            <v>470</v>
          </cell>
          <cell r="AC158">
            <v>234</v>
          </cell>
        </row>
        <row r="159">
          <cell r="B159">
            <v>5.2</v>
          </cell>
          <cell r="E159">
            <v>4543</v>
          </cell>
          <cell r="F159">
            <v>11.4</v>
          </cell>
          <cell r="G159">
            <v>6.1000000000000005</v>
          </cell>
          <cell r="N159">
            <v>2003</v>
          </cell>
          <cell r="O159">
            <v>1460</v>
          </cell>
          <cell r="P159">
            <v>1006</v>
          </cell>
          <cell r="Q159">
            <v>455</v>
          </cell>
          <cell r="AC159">
            <v>226</v>
          </cell>
        </row>
        <row r="160">
          <cell r="B160">
            <v>4.9000000000000004</v>
          </cell>
          <cell r="E160">
            <v>4326</v>
          </cell>
          <cell r="F160">
            <v>11</v>
          </cell>
          <cell r="G160">
            <v>5.7</v>
          </cell>
          <cell r="N160">
            <v>2035</v>
          </cell>
          <cell r="O160">
            <v>1344</v>
          </cell>
          <cell r="P160">
            <v>947</v>
          </cell>
          <cell r="Q160">
            <v>410</v>
          </cell>
          <cell r="AC160">
            <v>225</v>
          </cell>
        </row>
        <row r="161">
          <cell r="B161">
            <v>5</v>
          </cell>
          <cell r="E161">
            <v>4452</v>
          </cell>
          <cell r="F161">
            <v>10.5</v>
          </cell>
          <cell r="G161">
            <v>5.2</v>
          </cell>
          <cell r="N161">
            <v>2259</v>
          </cell>
          <cell r="O161">
            <v>1263</v>
          </cell>
          <cell r="P161">
            <v>894</v>
          </cell>
          <cell r="Q161">
            <v>372</v>
          </cell>
          <cell r="AC161">
            <v>214</v>
          </cell>
        </row>
        <row r="162">
          <cell r="B162">
            <v>4.9000000000000004</v>
          </cell>
          <cell r="E162">
            <v>4394</v>
          </cell>
          <cell r="F162">
            <v>10.600000000000001</v>
          </cell>
          <cell r="G162">
            <v>5.5</v>
          </cell>
          <cell r="N162">
            <v>2136</v>
          </cell>
          <cell r="O162">
            <v>1340</v>
          </cell>
          <cell r="P162">
            <v>889</v>
          </cell>
          <cell r="Q162">
            <v>388</v>
          </cell>
          <cell r="AC162">
            <v>218</v>
          </cell>
        </row>
        <row r="163">
          <cell r="B163">
            <v>5</v>
          </cell>
          <cell r="E163">
            <v>4459</v>
          </cell>
          <cell r="F163">
            <v>10</v>
          </cell>
          <cell r="G163">
            <v>5</v>
          </cell>
          <cell r="N163">
            <v>2260</v>
          </cell>
          <cell r="O163">
            <v>1474</v>
          </cell>
          <cell r="P163">
            <v>809</v>
          </cell>
          <cell r="Q163">
            <v>340</v>
          </cell>
          <cell r="AC163">
            <v>222</v>
          </cell>
        </row>
        <row r="164">
          <cell r="B164">
            <v>4.9000000000000004</v>
          </cell>
          <cell r="E164">
            <v>4329</v>
          </cell>
          <cell r="F164">
            <v>10.100000000000001</v>
          </cell>
          <cell r="G164">
            <v>4.9000000000000004</v>
          </cell>
          <cell r="N164">
            <v>2223</v>
          </cell>
          <cell r="O164">
            <v>1320</v>
          </cell>
          <cell r="P164">
            <v>816</v>
          </cell>
          <cell r="Q164">
            <v>349</v>
          </cell>
          <cell r="AC164">
            <v>236</v>
          </cell>
        </row>
        <row r="165">
          <cell r="B165">
            <v>4.9000000000000004</v>
          </cell>
          <cell r="E165">
            <v>4363</v>
          </cell>
          <cell r="F165">
            <v>9.6000000000000014</v>
          </cell>
          <cell r="G165">
            <v>5</v>
          </cell>
          <cell r="N165">
            <v>2322</v>
          </cell>
          <cell r="O165">
            <v>1248</v>
          </cell>
          <cell r="P165">
            <v>779</v>
          </cell>
          <cell r="Q165">
            <v>325</v>
          </cell>
          <cell r="AC165">
            <v>232</v>
          </cell>
        </row>
        <row r="166">
          <cell r="B166">
            <v>4.8000000000000007</v>
          </cell>
          <cell r="E166">
            <v>4305</v>
          </cell>
          <cell r="F166">
            <v>9.6000000000000014</v>
          </cell>
          <cell r="G166">
            <v>5.2</v>
          </cell>
          <cell r="N166">
            <v>2271</v>
          </cell>
          <cell r="O166">
            <v>1314</v>
          </cell>
          <cell r="P166">
            <v>756</v>
          </cell>
          <cell r="Q166">
            <v>282</v>
          </cell>
          <cell r="AC166">
            <v>237</v>
          </cell>
        </row>
        <row r="167">
          <cell r="B167">
            <v>4.8000000000000007</v>
          </cell>
          <cell r="E167">
            <v>4305</v>
          </cell>
          <cell r="F167">
            <v>9.8000000000000007</v>
          </cell>
          <cell r="G167">
            <v>4.9000000000000004</v>
          </cell>
          <cell r="N167">
            <v>2290</v>
          </cell>
          <cell r="O167">
            <v>1260</v>
          </cell>
          <cell r="P167">
            <v>788</v>
          </cell>
          <cell r="Q167">
            <v>334</v>
          </cell>
          <cell r="AC167">
            <v>250</v>
          </cell>
        </row>
        <row r="168">
          <cell r="B168">
            <v>4.8000000000000007</v>
          </cell>
          <cell r="E168">
            <v>4350</v>
          </cell>
          <cell r="F168">
            <v>9.4</v>
          </cell>
          <cell r="G168">
            <v>5.4</v>
          </cell>
          <cell r="N168">
            <v>2211</v>
          </cell>
          <cell r="O168">
            <v>1346</v>
          </cell>
          <cell r="P168">
            <v>785</v>
          </cell>
          <cell r="Q168">
            <v>295</v>
          </cell>
          <cell r="AC168">
            <v>242</v>
          </cell>
        </row>
        <row r="169">
          <cell r="B169">
            <v>4.6000000000000005</v>
          </cell>
          <cell r="E169">
            <v>4144</v>
          </cell>
          <cell r="F169">
            <v>10.200000000000001</v>
          </cell>
          <cell r="G169">
            <v>5.5</v>
          </cell>
          <cell r="N169">
            <v>2063</v>
          </cell>
          <cell r="O169">
            <v>1321</v>
          </cell>
          <cell r="P169">
            <v>793</v>
          </cell>
          <cell r="Q169">
            <v>336</v>
          </cell>
          <cell r="AC169">
            <v>249</v>
          </cell>
        </row>
        <row r="170">
          <cell r="B170">
            <v>4.8000000000000007</v>
          </cell>
          <cell r="E170">
            <v>4396</v>
          </cell>
          <cell r="F170">
            <v>9.9</v>
          </cell>
          <cell r="G170">
            <v>5.1000000000000005</v>
          </cell>
          <cell r="N170">
            <v>2288</v>
          </cell>
          <cell r="O170">
            <v>1256</v>
          </cell>
          <cell r="P170">
            <v>832</v>
          </cell>
          <cell r="Q170">
            <v>350</v>
          </cell>
          <cell r="AC170">
            <v>235</v>
          </cell>
        </row>
        <row r="171">
          <cell r="B171">
            <v>4.9000000000000004</v>
          </cell>
          <cell r="E171">
            <v>4489</v>
          </cell>
          <cell r="F171">
            <v>9.5</v>
          </cell>
          <cell r="G171">
            <v>4.7</v>
          </cell>
          <cell r="N171">
            <v>2332</v>
          </cell>
          <cell r="O171">
            <v>1310</v>
          </cell>
          <cell r="P171">
            <v>767</v>
          </cell>
          <cell r="Q171">
            <v>328</v>
          </cell>
          <cell r="AC171">
            <v>256</v>
          </cell>
        </row>
        <row r="172">
          <cell r="B172">
            <v>5.1000000000000005</v>
          </cell>
          <cell r="E172">
            <v>4644</v>
          </cell>
          <cell r="F172">
            <v>9.5</v>
          </cell>
          <cell r="G172">
            <v>5</v>
          </cell>
          <cell r="N172">
            <v>2400</v>
          </cell>
          <cell r="O172">
            <v>1404</v>
          </cell>
          <cell r="P172">
            <v>799</v>
          </cell>
          <cell r="Q172">
            <v>332</v>
          </cell>
          <cell r="AC172">
            <v>300</v>
          </cell>
        </row>
        <row r="173">
          <cell r="B173">
            <v>5.2</v>
          </cell>
          <cell r="E173">
            <v>4731</v>
          </cell>
          <cell r="F173">
            <v>9.6000000000000014</v>
          </cell>
          <cell r="G173">
            <v>5.1000000000000005</v>
          </cell>
          <cell r="N173">
            <v>2432</v>
          </cell>
          <cell r="O173">
            <v>1426</v>
          </cell>
          <cell r="P173">
            <v>829</v>
          </cell>
          <cell r="Q173">
            <v>334</v>
          </cell>
          <cell r="AC173">
            <v>302</v>
          </cell>
        </row>
        <row r="174">
          <cell r="B174">
            <v>5.1000000000000005</v>
          </cell>
          <cell r="E174">
            <v>4634</v>
          </cell>
          <cell r="F174">
            <v>9.7000000000000011</v>
          </cell>
          <cell r="G174">
            <v>4.8000000000000007</v>
          </cell>
          <cell r="N174">
            <v>2413</v>
          </cell>
          <cell r="O174">
            <v>1403</v>
          </cell>
          <cell r="P174">
            <v>849</v>
          </cell>
          <cell r="Q174">
            <v>330</v>
          </cell>
          <cell r="AC174">
            <v>301</v>
          </cell>
        </row>
        <row r="175">
          <cell r="B175">
            <v>5.1000000000000005</v>
          </cell>
          <cell r="E175">
            <v>4618</v>
          </cell>
          <cell r="F175">
            <v>9.8000000000000007</v>
          </cell>
          <cell r="G175">
            <v>5</v>
          </cell>
          <cell r="N175">
            <v>2337</v>
          </cell>
          <cell r="O175">
            <v>1456</v>
          </cell>
          <cell r="P175">
            <v>889</v>
          </cell>
          <cell r="Q175">
            <v>354</v>
          </cell>
          <cell r="AC175">
            <v>323</v>
          </cell>
        </row>
        <row r="176">
          <cell r="B176">
            <v>5.1000000000000005</v>
          </cell>
          <cell r="E176">
            <v>4705</v>
          </cell>
          <cell r="F176">
            <v>9.6000000000000014</v>
          </cell>
          <cell r="G176">
            <v>4.6000000000000005</v>
          </cell>
          <cell r="N176">
            <v>2457</v>
          </cell>
          <cell r="O176">
            <v>1409</v>
          </cell>
          <cell r="P176">
            <v>880</v>
          </cell>
          <cell r="Q176">
            <v>356</v>
          </cell>
          <cell r="AC176">
            <v>283</v>
          </cell>
        </row>
        <row r="177">
          <cell r="B177">
            <v>5.4</v>
          </cell>
          <cell r="E177">
            <v>4927</v>
          </cell>
          <cell r="F177">
            <v>9.7000000000000011</v>
          </cell>
          <cell r="G177">
            <v>5.3000000000000007</v>
          </cell>
          <cell r="N177">
            <v>2497</v>
          </cell>
          <cell r="O177">
            <v>1517</v>
          </cell>
          <cell r="P177">
            <v>926</v>
          </cell>
          <cell r="Q177">
            <v>367</v>
          </cell>
          <cell r="AC177">
            <v>278</v>
          </cell>
        </row>
        <row r="178">
          <cell r="B178">
            <v>5.5</v>
          </cell>
          <cell r="E178">
            <v>5063</v>
          </cell>
          <cell r="F178">
            <v>9.9</v>
          </cell>
          <cell r="G178">
            <v>5.7</v>
          </cell>
          <cell r="N178">
            <v>2526</v>
          </cell>
          <cell r="O178">
            <v>1602</v>
          </cell>
          <cell r="P178">
            <v>924</v>
          </cell>
          <cell r="Q178">
            <v>387</v>
          </cell>
          <cell r="AC178">
            <v>325</v>
          </cell>
        </row>
        <row r="179">
          <cell r="B179">
            <v>5.5</v>
          </cell>
          <cell r="E179">
            <v>5022</v>
          </cell>
          <cell r="F179">
            <v>9.8000000000000007</v>
          </cell>
          <cell r="G179">
            <v>5</v>
          </cell>
          <cell r="N179">
            <v>2609</v>
          </cell>
          <cell r="O179">
            <v>1483</v>
          </cell>
          <cell r="P179">
            <v>960</v>
          </cell>
          <cell r="Q179">
            <v>388</v>
          </cell>
          <cell r="AC179">
            <v>320</v>
          </cell>
        </row>
        <row r="180">
          <cell r="B180">
            <v>5.9</v>
          </cell>
          <cell r="E180">
            <v>5437</v>
          </cell>
          <cell r="F180">
            <v>9.6000000000000014</v>
          </cell>
          <cell r="G180">
            <v>5.3000000000000007</v>
          </cell>
          <cell r="N180">
            <v>2723</v>
          </cell>
          <cell r="O180">
            <v>1680</v>
          </cell>
          <cell r="P180">
            <v>1021</v>
          </cell>
          <cell r="Q180">
            <v>391</v>
          </cell>
          <cell r="AC180">
            <v>350</v>
          </cell>
        </row>
        <row r="181">
          <cell r="B181">
            <v>6</v>
          </cell>
          <cell r="E181">
            <v>5523</v>
          </cell>
          <cell r="F181">
            <v>9.9</v>
          </cell>
          <cell r="G181">
            <v>5.5</v>
          </cell>
          <cell r="N181">
            <v>2723</v>
          </cell>
          <cell r="O181">
            <v>1770</v>
          </cell>
          <cell r="P181">
            <v>1072</v>
          </cell>
          <cell r="Q181">
            <v>398</v>
          </cell>
          <cell r="AC181">
            <v>366</v>
          </cell>
        </row>
        <row r="182">
          <cell r="B182">
            <v>6.6000000000000005</v>
          </cell>
          <cell r="E182">
            <v>6140</v>
          </cell>
          <cell r="F182">
            <v>9.6000000000000014</v>
          </cell>
          <cell r="G182">
            <v>5.2</v>
          </cell>
          <cell r="N182">
            <v>3052</v>
          </cell>
          <cell r="O182">
            <v>1918</v>
          </cell>
          <cell r="P182">
            <v>1128</v>
          </cell>
          <cell r="Q182">
            <v>430</v>
          </cell>
          <cell r="AC182">
            <v>406</v>
          </cell>
        </row>
        <row r="183">
          <cell r="B183">
            <v>7.2</v>
          </cell>
          <cell r="E183">
            <v>6636</v>
          </cell>
          <cell r="F183">
            <v>10.100000000000001</v>
          </cell>
          <cell r="G183">
            <v>5.7</v>
          </cell>
          <cell r="N183">
            <v>3125</v>
          </cell>
          <cell r="O183">
            <v>2151</v>
          </cell>
          <cell r="P183">
            <v>1326</v>
          </cell>
          <cell r="Q183">
            <v>538</v>
          </cell>
          <cell r="AC183">
            <v>474</v>
          </cell>
        </row>
        <row r="184">
          <cell r="B184">
            <v>8.1</v>
          </cell>
          <cell r="E184">
            <v>7501</v>
          </cell>
          <cell r="F184">
            <v>10.700000000000001</v>
          </cell>
          <cell r="G184">
            <v>6.3000000000000007</v>
          </cell>
          <cell r="N184">
            <v>3293</v>
          </cell>
          <cell r="O184">
            <v>2646</v>
          </cell>
          <cell r="P184">
            <v>1555</v>
          </cell>
          <cell r="Q184">
            <v>625</v>
          </cell>
          <cell r="AC184">
            <v>537</v>
          </cell>
        </row>
        <row r="185">
          <cell r="B185">
            <v>8.1</v>
          </cell>
          <cell r="E185">
            <v>7520</v>
          </cell>
          <cell r="F185">
            <v>11.700000000000001</v>
          </cell>
          <cell r="G185">
            <v>7.1000000000000005</v>
          </cell>
          <cell r="N185">
            <v>2947</v>
          </cell>
          <cell r="O185">
            <v>2616</v>
          </cell>
          <cell r="P185">
            <v>1841</v>
          </cell>
          <cell r="Q185">
            <v>717</v>
          </cell>
          <cell r="AC185">
            <v>559</v>
          </cell>
        </row>
        <row r="186">
          <cell r="B186">
            <v>8.6</v>
          </cell>
          <cell r="E186">
            <v>7978</v>
          </cell>
          <cell r="F186">
            <v>11.8</v>
          </cell>
          <cell r="G186">
            <v>7.2</v>
          </cell>
          <cell r="N186">
            <v>3193</v>
          </cell>
          <cell r="O186">
            <v>2630</v>
          </cell>
          <cell r="P186">
            <v>2074</v>
          </cell>
          <cell r="Q186">
            <v>769</v>
          </cell>
          <cell r="AC186">
            <v>546</v>
          </cell>
        </row>
        <row r="187">
          <cell r="B187">
            <v>8.8000000000000007</v>
          </cell>
          <cell r="E187">
            <v>8210</v>
          </cell>
          <cell r="F187">
            <v>12.9</v>
          </cell>
          <cell r="G187">
            <v>8.7000000000000011</v>
          </cell>
          <cell r="N187">
            <v>2915</v>
          </cell>
          <cell r="O187">
            <v>2719</v>
          </cell>
          <cell r="P187">
            <v>2442</v>
          </cell>
          <cell r="Q187">
            <v>964</v>
          </cell>
          <cell r="AC187">
            <v>555</v>
          </cell>
        </row>
        <row r="188">
          <cell r="B188">
            <v>9</v>
          </cell>
          <cell r="E188">
            <v>8433</v>
          </cell>
          <cell r="F188">
            <v>13.4</v>
          </cell>
          <cell r="G188">
            <v>9.4</v>
          </cell>
          <cell r="N188">
            <v>3051</v>
          </cell>
          <cell r="O188">
            <v>2692</v>
          </cell>
          <cell r="P188">
            <v>2643</v>
          </cell>
          <cell r="Q188">
            <v>1089</v>
          </cell>
          <cell r="AC188">
            <v>513</v>
          </cell>
        </row>
        <row r="189">
          <cell r="B189">
            <v>8.8000000000000007</v>
          </cell>
          <cell r="E189">
            <v>8220</v>
          </cell>
          <cell r="F189">
            <v>15.3</v>
          </cell>
          <cell r="G189">
            <v>8.8000000000000007</v>
          </cell>
          <cell r="N189">
            <v>2872</v>
          </cell>
          <cell r="O189">
            <v>2526</v>
          </cell>
          <cell r="P189">
            <v>2843</v>
          </cell>
          <cell r="Q189">
            <v>1305</v>
          </cell>
          <cell r="AC189">
            <v>475</v>
          </cell>
        </row>
        <row r="190">
          <cell r="B190">
            <v>8.6</v>
          </cell>
          <cell r="E190">
            <v>8127</v>
          </cell>
          <cell r="F190">
            <v>15</v>
          </cell>
          <cell r="G190">
            <v>8.6</v>
          </cell>
          <cell r="N190">
            <v>2882</v>
          </cell>
          <cell r="O190">
            <v>2268</v>
          </cell>
          <cell r="P190">
            <v>2943</v>
          </cell>
          <cell r="Q190">
            <v>1401</v>
          </cell>
          <cell r="AC190">
            <v>459</v>
          </cell>
        </row>
        <row r="191">
          <cell r="B191">
            <v>8.4</v>
          </cell>
          <cell r="E191">
            <v>7928</v>
          </cell>
          <cell r="F191">
            <v>15.600000000000001</v>
          </cell>
          <cell r="G191">
            <v>9.2000000000000011</v>
          </cell>
          <cell r="N191">
            <v>2808</v>
          </cell>
          <cell r="O191">
            <v>2371</v>
          </cell>
          <cell r="P191">
            <v>2862</v>
          </cell>
          <cell r="Q191">
            <v>1472</v>
          </cell>
          <cell r="AC191">
            <v>454</v>
          </cell>
        </row>
        <row r="192">
          <cell r="B192">
            <v>8.4</v>
          </cell>
          <cell r="E192">
            <v>7923</v>
          </cell>
          <cell r="F192">
            <v>16.100000000000001</v>
          </cell>
          <cell r="G192">
            <v>9.2000000000000011</v>
          </cell>
          <cell r="N192">
            <v>2878</v>
          </cell>
          <cell r="O192">
            <v>2357</v>
          </cell>
          <cell r="P192">
            <v>2906</v>
          </cell>
          <cell r="Q192">
            <v>1598</v>
          </cell>
          <cell r="AC192">
            <v>446</v>
          </cell>
        </row>
        <row r="193">
          <cell r="B193">
            <v>8.4</v>
          </cell>
          <cell r="E193">
            <v>7897</v>
          </cell>
          <cell r="F193">
            <v>15.4</v>
          </cell>
          <cell r="G193">
            <v>8.6</v>
          </cell>
          <cell r="N193">
            <v>2962</v>
          </cell>
          <cell r="O193">
            <v>2392</v>
          </cell>
          <cell r="P193">
            <v>2689</v>
          </cell>
          <cell r="Q193">
            <v>1448</v>
          </cell>
          <cell r="AC193">
            <v>445</v>
          </cell>
        </row>
        <row r="194">
          <cell r="B194">
            <v>8.3000000000000007</v>
          </cell>
          <cell r="E194">
            <v>7794</v>
          </cell>
          <cell r="F194">
            <v>16.600000000000001</v>
          </cell>
          <cell r="G194">
            <v>9.5</v>
          </cell>
          <cell r="N194">
            <v>2718</v>
          </cell>
          <cell r="O194">
            <v>2345</v>
          </cell>
          <cell r="P194">
            <v>2789</v>
          </cell>
          <cell r="Q194">
            <v>1645</v>
          </cell>
          <cell r="AC194">
            <v>414</v>
          </cell>
        </row>
        <row r="195">
          <cell r="B195">
            <v>8.2000000000000011</v>
          </cell>
          <cell r="E195">
            <v>7744</v>
          </cell>
          <cell r="F195">
            <v>16.5</v>
          </cell>
          <cell r="G195">
            <v>9</v>
          </cell>
          <cell r="N195">
            <v>2762</v>
          </cell>
          <cell r="O195">
            <v>2191</v>
          </cell>
          <cell r="P195">
            <v>2868</v>
          </cell>
          <cell r="Q195">
            <v>1586</v>
          </cell>
          <cell r="AC195">
            <v>387</v>
          </cell>
        </row>
        <row r="196">
          <cell r="B196">
            <v>7.9</v>
          </cell>
          <cell r="E196">
            <v>7534</v>
          </cell>
          <cell r="F196">
            <v>16.600000000000001</v>
          </cell>
          <cell r="G196">
            <v>9</v>
          </cell>
          <cell r="N196">
            <v>2749</v>
          </cell>
          <cell r="O196">
            <v>2154</v>
          </cell>
          <cell r="P196">
            <v>2713</v>
          </cell>
          <cell r="Q196">
            <v>1581</v>
          </cell>
          <cell r="AC196">
            <v>391</v>
          </cell>
        </row>
        <row r="197">
          <cell r="B197">
            <v>7.7</v>
          </cell>
          <cell r="E197">
            <v>7326</v>
          </cell>
          <cell r="F197">
            <v>16.3</v>
          </cell>
          <cell r="G197">
            <v>8.2000000000000011</v>
          </cell>
          <cell r="N197">
            <v>2799</v>
          </cell>
          <cell r="O197">
            <v>1980</v>
          </cell>
          <cell r="P197">
            <v>2519</v>
          </cell>
          <cell r="Q197">
            <v>1533</v>
          </cell>
          <cell r="AC197">
            <v>359</v>
          </cell>
        </row>
        <row r="198">
          <cell r="B198">
            <v>7.6000000000000005</v>
          </cell>
          <cell r="E198">
            <v>7230</v>
          </cell>
          <cell r="F198">
            <v>16.5</v>
          </cell>
          <cell r="G198">
            <v>8.7000000000000011</v>
          </cell>
          <cell r="N198">
            <v>2628</v>
          </cell>
          <cell r="O198">
            <v>1995</v>
          </cell>
          <cell r="P198">
            <v>2441</v>
          </cell>
          <cell r="Q198">
            <v>1460</v>
          </cell>
          <cell r="AC198">
            <v>349</v>
          </cell>
        </row>
        <row r="199">
          <cell r="B199">
            <v>7.7</v>
          </cell>
          <cell r="E199">
            <v>7330</v>
          </cell>
          <cell r="F199">
            <v>15.9</v>
          </cell>
          <cell r="G199">
            <v>8.2000000000000011</v>
          </cell>
          <cell r="N199">
            <v>2938</v>
          </cell>
          <cell r="O199">
            <v>2011</v>
          </cell>
          <cell r="P199">
            <v>2210</v>
          </cell>
          <cell r="Q199">
            <v>1409</v>
          </cell>
          <cell r="AC199">
            <v>366</v>
          </cell>
        </row>
        <row r="200">
          <cell r="B200">
            <v>7.4</v>
          </cell>
          <cell r="E200">
            <v>7053</v>
          </cell>
          <cell r="F200">
            <v>15</v>
          </cell>
          <cell r="G200">
            <v>8.3000000000000007</v>
          </cell>
          <cell r="N200">
            <v>2795</v>
          </cell>
          <cell r="O200">
            <v>2049</v>
          </cell>
          <cell r="P200">
            <v>2115</v>
          </cell>
          <cell r="Q200">
            <v>1219</v>
          </cell>
          <cell r="AC200">
            <v>385</v>
          </cell>
        </row>
        <row r="201">
          <cell r="B201">
            <v>7.6000000000000005</v>
          </cell>
          <cell r="E201">
            <v>7322</v>
          </cell>
          <cell r="F201">
            <v>16.900000000000002</v>
          </cell>
          <cell r="G201">
            <v>7.8000000000000007</v>
          </cell>
          <cell r="N201">
            <v>2787</v>
          </cell>
          <cell r="O201">
            <v>2281</v>
          </cell>
          <cell r="P201">
            <v>2332</v>
          </cell>
          <cell r="Q201">
            <v>1353</v>
          </cell>
          <cell r="AC201">
            <v>402</v>
          </cell>
        </row>
        <row r="202">
          <cell r="B202">
            <v>7.8000000000000007</v>
          </cell>
          <cell r="E202">
            <v>7490</v>
          </cell>
          <cell r="F202">
            <v>15.700000000000001</v>
          </cell>
          <cell r="G202">
            <v>7.7</v>
          </cell>
          <cell r="N202">
            <v>2965</v>
          </cell>
          <cell r="O202">
            <v>2181</v>
          </cell>
          <cell r="P202">
            <v>2316</v>
          </cell>
          <cell r="Q202">
            <v>1250</v>
          </cell>
          <cell r="AC202">
            <v>387</v>
          </cell>
        </row>
        <row r="203">
          <cell r="B203">
            <v>7.8000000000000007</v>
          </cell>
          <cell r="E203">
            <v>7518</v>
          </cell>
          <cell r="F203">
            <v>15.600000000000001</v>
          </cell>
          <cell r="G203">
            <v>7.9</v>
          </cell>
          <cell r="N203">
            <v>2893</v>
          </cell>
          <cell r="O203">
            <v>2323</v>
          </cell>
          <cell r="P203">
            <v>2378</v>
          </cell>
          <cell r="Q203">
            <v>1280</v>
          </cell>
          <cell r="AC203">
            <v>388</v>
          </cell>
        </row>
        <row r="204">
          <cell r="B204">
            <v>7.6000000000000005</v>
          </cell>
          <cell r="E204">
            <v>7380</v>
          </cell>
          <cell r="F204">
            <v>15.200000000000001</v>
          </cell>
          <cell r="G204">
            <v>7.8000000000000007</v>
          </cell>
          <cell r="N204">
            <v>2910</v>
          </cell>
          <cell r="O204">
            <v>2329</v>
          </cell>
          <cell r="P204">
            <v>2296</v>
          </cell>
          <cell r="Q204">
            <v>1204</v>
          </cell>
          <cell r="AC204">
            <v>394</v>
          </cell>
        </row>
        <row r="205">
          <cell r="B205">
            <v>7.7</v>
          </cell>
          <cell r="E205">
            <v>7430</v>
          </cell>
          <cell r="F205">
            <v>15.200000000000001</v>
          </cell>
          <cell r="G205">
            <v>7.7</v>
          </cell>
          <cell r="N205">
            <v>2945</v>
          </cell>
          <cell r="O205">
            <v>2285</v>
          </cell>
          <cell r="P205">
            <v>2292</v>
          </cell>
          <cell r="Q205">
            <v>1231</v>
          </cell>
          <cell r="AC205">
            <v>408</v>
          </cell>
        </row>
        <row r="206">
          <cell r="B206">
            <v>7.8000000000000007</v>
          </cell>
          <cell r="E206">
            <v>7620</v>
          </cell>
          <cell r="F206">
            <v>15.3</v>
          </cell>
          <cell r="G206">
            <v>8.4</v>
          </cell>
          <cell r="N206">
            <v>2826</v>
          </cell>
          <cell r="O206">
            <v>2449</v>
          </cell>
          <cell r="P206">
            <v>2354</v>
          </cell>
          <cell r="Q206">
            <v>1278</v>
          </cell>
          <cell r="AC206">
            <v>414</v>
          </cell>
        </row>
        <row r="207">
          <cell r="B207">
            <v>7.8000000000000007</v>
          </cell>
          <cell r="E207">
            <v>7545</v>
          </cell>
          <cell r="F207">
            <v>15.100000000000001</v>
          </cell>
          <cell r="G207">
            <v>8</v>
          </cell>
          <cell r="N207">
            <v>2921</v>
          </cell>
          <cell r="O207">
            <v>2304</v>
          </cell>
          <cell r="P207">
            <v>2375</v>
          </cell>
          <cell r="Q207">
            <v>1334</v>
          </cell>
          <cell r="AC207">
            <v>377</v>
          </cell>
        </row>
        <row r="208">
          <cell r="B208">
            <v>7.5</v>
          </cell>
          <cell r="E208">
            <v>7280</v>
          </cell>
          <cell r="F208">
            <v>15.200000000000001</v>
          </cell>
          <cell r="G208">
            <v>7.5</v>
          </cell>
          <cell r="N208">
            <v>2894</v>
          </cell>
          <cell r="O208">
            <v>2206</v>
          </cell>
          <cell r="P208">
            <v>2200</v>
          </cell>
          <cell r="Q208">
            <v>1211</v>
          </cell>
          <cell r="AC208">
            <v>380</v>
          </cell>
        </row>
        <row r="209">
          <cell r="B209">
            <v>7.6000000000000005</v>
          </cell>
          <cell r="E209">
            <v>7443</v>
          </cell>
          <cell r="F209">
            <v>14.700000000000001</v>
          </cell>
          <cell r="G209">
            <v>7.2</v>
          </cell>
          <cell r="N209">
            <v>3015</v>
          </cell>
          <cell r="O209">
            <v>2240</v>
          </cell>
          <cell r="P209">
            <v>2174</v>
          </cell>
          <cell r="Q209">
            <v>1205</v>
          </cell>
          <cell r="AC209">
            <v>422</v>
          </cell>
        </row>
        <row r="210">
          <cell r="B210">
            <v>7.4</v>
          </cell>
          <cell r="E210">
            <v>7307</v>
          </cell>
          <cell r="F210">
            <v>14.5</v>
          </cell>
          <cell r="G210">
            <v>7.2</v>
          </cell>
          <cell r="N210">
            <v>2993</v>
          </cell>
          <cell r="O210">
            <v>2213</v>
          </cell>
          <cell r="P210">
            <v>2057</v>
          </cell>
          <cell r="Q210">
            <v>1163</v>
          </cell>
          <cell r="AC210">
            <v>362</v>
          </cell>
        </row>
        <row r="211">
          <cell r="B211">
            <v>7.2</v>
          </cell>
          <cell r="E211">
            <v>7059</v>
          </cell>
          <cell r="F211">
            <v>14.4</v>
          </cell>
          <cell r="G211">
            <v>7.3000000000000007</v>
          </cell>
          <cell r="N211">
            <v>3015</v>
          </cell>
          <cell r="O211">
            <v>1994</v>
          </cell>
          <cell r="P211">
            <v>1936</v>
          </cell>
          <cell r="Q211">
            <v>1120</v>
          </cell>
          <cell r="AC211">
            <v>350</v>
          </cell>
        </row>
        <row r="212">
          <cell r="B212">
            <v>7</v>
          </cell>
          <cell r="E212">
            <v>6911</v>
          </cell>
          <cell r="F212">
            <v>14.9</v>
          </cell>
          <cell r="G212">
            <v>7.9</v>
          </cell>
          <cell r="N212">
            <v>2754</v>
          </cell>
          <cell r="O212">
            <v>2170</v>
          </cell>
          <cell r="P212">
            <v>1928</v>
          </cell>
          <cell r="Q212">
            <v>1069</v>
          </cell>
          <cell r="AC212">
            <v>375</v>
          </cell>
        </row>
        <row r="213">
          <cell r="B213">
            <v>7.2</v>
          </cell>
          <cell r="E213">
            <v>7134</v>
          </cell>
          <cell r="F213">
            <v>14.4</v>
          </cell>
          <cell r="G213">
            <v>6.2</v>
          </cell>
          <cell r="N213">
            <v>3138</v>
          </cell>
          <cell r="O213">
            <v>2078</v>
          </cell>
          <cell r="P213">
            <v>1918</v>
          </cell>
          <cell r="Q213">
            <v>1026</v>
          </cell>
          <cell r="AC213">
            <v>381</v>
          </cell>
        </row>
        <row r="214">
          <cell r="B214">
            <v>6.9</v>
          </cell>
          <cell r="E214">
            <v>6829</v>
          </cell>
          <cell r="F214">
            <v>14.3</v>
          </cell>
          <cell r="G214">
            <v>7.1000000000000005</v>
          </cell>
          <cell r="N214">
            <v>2859</v>
          </cell>
          <cell r="O214">
            <v>2060</v>
          </cell>
          <cell r="P214">
            <v>1907</v>
          </cell>
          <cell r="Q214">
            <v>973</v>
          </cell>
          <cell r="AC214">
            <v>350</v>
          </cell>
        </row>
        <row r="215">
          <cell r="B215">
            <v>7</v>
          </cell>
          <cell r="E215">
            <v>6925</v>
          </cell>
          <cell r="F215">
            <v>13.9</v>
          </cell>
          <cell r="G215">
            <v>7</v>
          </cell>
          <cell r="N215">
            <v>2896</v>
          </cell>
          <cell r="O215">
            <v>2207</v>
          </cell>
          <cell r="P215">
            <v>1836</v>
          </cell>
          <cell r="Q215">
            <v>898</v>
          </cell>
          <cell r="AC215">
            <v>365</v>
          </cell>
        </row>
        <row r="216">
          <cell r="B216">
            <v>6.8000000000000007</v>
          </cell>
          <cell r="E216">
            <v>6751</v>
          </cell>
          <cell r="F216">
            <v>14</v>
          </cell>
          <cell r="G216">
            <v>6.7</v>
          </cell>
          <cell r="N216">
            <v>2883</v>
          </cell>
          <cell r="O216">
            <v>2125</v>
          </cell>
          <cell r="P216">
            <v>1853</v>
          </cell>
          <cell r="Q216">
            <v>939</v>
          </cell>
          <cell r="AC216">
            <v>365</v>
          </cell>
        </row>
        <row r="217">
          <cell r="B217">
            <v>6.8000000000000007</v>
          </cell>
          <cell r="E217">
            <v>6763</v>
          </cell>
          <cell r="F217">
            <v>13.700000000000001</v>
          </cell>
          <cell r="G217">
            <v>6.9</v>
          </cell>
          <cell r="N217">
            <v>2883</v>
          </cell>
          <cell r="O217">
            <v>2127</v>
          </cell>
          <cell r="P217">
            <v>1789</v>
          </cell>
          <cell r="Q217">
            <v>913</v>
          </cell>
          <cell r="AC217">
            <v>348</v>
          </cell>
        </row>
        <row r="218">
          <cell r="B218">
            <v>6.8000000000000007</v>
          </cell>
          <cell r="E218">
            <v>6815</v>
          </cell>
          <cell r="F218">
            <v>13.600000000000001</v>
          </cell>
          <cell r="G218">
            <v>7</v>
          </cell>
          <cell r="N218">
            <v>2924</v>
          </cell>
          <cell r="O218">
            <v>2080</v>
          </cell>
          <cell r="P218">
            <v>1804</v>
          </cell>
          <cell r="Q218">
            <v>896</v>
          </cell>
          <cell r="AC218">
            <v>349</v>
          </cell>
        </row>
        <row r="219">
          <cell r="B219">
            <v>6.4</v>
          </cell>
          <cell r="E219">
            <v>6386</v>
          </cell>
          <cell r="F219">
            <v>13.600000000000001</v>
          </cell>
          <cell r="G219">
            <v>6.8000000000000007</v>
          </cell>
          <cell r="N219">
            <v>2729</v>
          </cell>
          <cell r="O219">
            <v>1941</v>
          </cell>
          <cell r="P219">
            <v>1717</v>
          </cell>
          <cell r="Q219">
            <v>858</v>
          </cell>
          <cell r="AC219">
            <v>354</v>
          </cell>
        </row>
        <row r="220">
          <cell r="B220">
            <v>6.4</v>
          </cell>
          <cell r="E220">
            <v>6489</v>
          </cell>
          <cell r="F220">
            <v>12.9</v>
          </cell>
          <cell r="G220">
            <v>6.5</v>
          </cell>
          <cell r="N220">
            <v>2824</v>
          </cell>
          <cell r="O220">
            <v>1989</v>
          </cell>
          <cell r="P220">
            <v>1643</v>
          </cell>
          <cell r="Q220">
            <v>813</v>
          </cell>
          <cell r="AC220">
            <v>364</v>
          </cell>
        </row>
        <row r="221">
          <cell r="B221">
            <v>6.3000000000000007</v>
          </cell>
          <cell r="E221">
            <v>6318</v>
          </cell>
          <cell r="F221">
            <v>12.5</v>
          </cell>
          <cell r="G221">
            <v>6.7</v>
          </cell>
          <cell r="N221">
            <v>2764</v>
          </cell>
          <cell r="O221">
            <v>1942</v>
          </cell>
          <cell r="P221">
            <v>1584</v>
          </cell>
          <cell r="Q221">
            <v>667</v>
          </cell>
          <cell r="AC221">
            <v>363</v>
          </cell>
        </row>
        <row r="222">
          <cell r="B222">
            <v>6.3000000000000007</v>
          </cell>
          <cell r="E222">
            <v>6337</v>
          </cell>
          <cell r="F222">
            <v>12.4</v>
          </cell>
          <cell r="G222">
            <v>6.2</v>
          </cell>
          <cell r="N222">
            <v>2871</v>
          </cell>
          <cell r="O222">
            <v>1966</v>
          </cell>
          <cell r="P222">
            <v>1531</v>
          </cell>
          <cell r="Q222">
            <v>714</v>
          </cell>
          <cell r="AC222">
            <v>371</v>
          </cell>
        </row>
        <row r="223">
          <cell r="B223">
            <v>6.1000000000000005</v>
          </cell>
          <cell r="E223">
            <v>6180</v>
          </cell>
          <cell r="F223">
            <v>12.3</v>
          </cell>
          <cell r="G223">
            <v>6.1000000000000005</v>
          </cell>
          <cell r="N223">
            <v>2750</v>
          </cell>
          <cell r="O223">
            <v>1888</v>
          </cell>
          <cell r="P223">
            <v>1502</v>
          </cell>
          <cell r="Q223">
            <v>680</v>
          </cell>
          <cell r="AC223">
            <v>333</v>
          </cell>
        </row>
        <row r="224">
          <cell r="B224">
            <v>6</v>
          </cell>
          <cell r="E224">
            <v>6127</v>
          </cell>
          <cell r="F224">
            <v>12.100000000000001</v>
          </cell>
          <cell r="G224">
            <v>5.7</v>
          </cell>
          <cell r="N224">
            <v>2870</v>
          </cell>
          <cell r="O224">
            <v>1827</v>
          </cell>
          <cell r="P224">
            <v>1420</v>
          </cell>
          <cell r="Q224">
            <v>692</v>
          </cell>
          <cell r="AC224">
            <v>324</v>
          </cell>
        </row>
        <row r="225">
          <cell r="B225">
            <v>5.9</v>
          </cell>
          <cell r="E225">
            <v>6028</v>
          </cell>
          <cell r="F225">
            <v>12.100000000000001</v>
          </cell>
          <cell r="G225">
            <v>6</v>
          </cell>
          <cell r="N225">
            <v>2788</v>
          </cell>
          <cell r="O225">
            <v>1946</v>
          </cell>
          <cell r="P225">
            <v>1352</v>
          </cell>
          <cell r="Q225">
            <v>640</v>
          </cell>
          <cell r="AC225">
            <v>318</v>
          </cell>
        </row>
        <row r="226">
          <cell r="B226">
            <v>6.2</v>
          </cell>
          <cell r="E226">
            <v>6309</v>
          </cell>
          <cell r="F226">
            <v>12</v>
          </cell>
          <cell r="G226">
            <v>5.8000000000000007</v>
          </cell>
          <cell r="N226">
            <v>3069</v>
          </cell>
          <cell r="O226">
            <v>1867</v>
          </cell>
          <cell r="P226">
            <v>1373</v>
          </cell>
          <cell r="Q226">
            <v>658</v>
          </cell>
          <cell r="AC226">
            <v>348</v>
          </cell>
        </row>
        <row r="227">
          <cell r="B227">
            <v>5.9</v>
          </cell>
          <cell r="E227">
            <v>6080</v>
          </cell>
          <cell r="F227">
            <v>11.4</v>
          </cell>
          <cell r="G227">
            <v>5.8000000000000007</v>
          </cell>
          <cell r="N227">
            <v>2858</v>
          </cell>
          <cell r="O227">
            <v>1967</v>
          </cell>
          <cell r="P227">
            <v>1242</v>
          </cell>
          <cell r="Q227">
            <v>612</v>
          </cell>
          <cell r="AC227">
            <v>346</v>
          </cell>
        </row>
        <row r="228">
          <cell r="B228">
            <v>6</v>
          </cell>
          <cell r="E228">
            <v>6125</v>
          </cell>
          <cell r="F228">
            <v>11.4</v>
          </cell>
          <cell r="G228">
            <v>5.6000000000000005</v>
          </cell>
          <cell r="N228">
            <v>2941</v>
          </cell>
          <cell r="O228">
            <v>1884</v>
          </cell>
          <cell r="P228">
            <v>1308</v>
          </cell>
          <cell r="Q228">
            <v>624</v>
          </cell>
          <cell r="AC228">
            <v>313</v>
          </cell>
        </row>
        <row r="229">
          <cell r="B229">
            <v>5.8000000000000007</v>
          </cell>
          <cell r="E229">
            <v>5947</v>
          </cell>
          <cell r="F229">
            <v>11.700000000000001</v>
          </cell>
          <cell r="G229">
            <v>5.9</v>
          </cell>
          <cell r="N229">
            <v>2786</v>
          </cell>
          <cell r="O229">
            <v>1833</v>
          </cell>
          <cell r="P229">
            <v>1319</v>
          </cell>
          <cell r="Q229">
            <v>596</v>
          </cell>
          <cell r="AC229">
            <v>318</v>
          </cell>
        </row>
        <row r="230">
          <cell r="B230">
            <v>5.9</v>
          </cell>
          <cell r="E230">
            <v>6077</v>
          </cell>
          <cell r="F230">
            <v>11.100000000000001</v>
          </cell>
          <cell r="G230">
            <v>5.5</v>
          </cell>
          <cell r="N230">
            <v>2903</v>
          </cell>
          <cell r="O230">
            <v>1881</v>
          </cell>
          <cell r="P230">
            <v>1242</v>
          </cell>
          <cell r="Q230">
            <v>533</v>
          </cell>
          <cell r="AC230">
            <v>316</v>
          </cell>
        </row>
        <row r="231">
          <cell r="B231">
            <v>6</v>
          </cell>
          <cell r="E231">
            <v>6228</v>
          </cell>
          <cell r="F231">
            <v>10.600000000000001</v>
          </cell>
          <cell r="G231">
            <v>5.6000000000000005</v>
          </cell>
          <cell r="N231">
            <v>2978</v>
          </cell>
          <cell r="O231">
            <v>2004</v>
          </cell>
          <cell r="P231">
            <v>1269</v>
          </cell>
          <cell r="Q231">
            <v>510</v>
          </cell>
          <cell r="AC231">
            <v>377</v>
          </cell>
        </row>
        <row r="232">
          <cell r="B232">
            <v>5.9</v>
          </cell>
          <cell r="E232">
            <v>6109</v>
          </cell>
          <cell r="F232">
            <v>11.100000000000001</v>
          </cell>
          <cell r="G232">
            <v>5.9</v>
          </cell>
          <cell r="N232">
            <v>2791</v>
          </cell>
          <cell r="O232">
            <v>2003</v>
          </cell>
          <cell r="P232">
            <v>1250</v>
          </cell>
          <cell r="Q232">
            <v>533</v>
          </cell>
          <cell r="AC232">
            <v>358</v>
          </cell>
        </row>
        <row r="233">
          <cell r="B233">
            <v>5.9</v>
          </cell>
          <cell r="E233">
            <v>6173</v>
          </cell>
          <cell r="F233">
            <v>11.200000000000001</v>
          </cell>
          <cell r="G233">
            <v>5.9</v>
          </cell>
          <cell r="N233">
            <v>2899</v>
          </cell>
          <cell r="O233">
            <v>1964</v>
          </cell>
          <cell r="P233">
            <v>1297</v>
          </cell>
          <cell r="Q233">
            <v>552</v>
          </cell>
          <cell r="AC233">
            <v>342</v>
          </cell>
        </row>
        <row r="234">
          <cell r="B234">
            <v>5.8000000000000007</v>
          </cell>
          <cell r="E234">
            <v>6109</v>
          </cell>
          <cell r="F234">
            <v>11.700000000000001</v>
          </cell>
          <cell r="G234">
            <v>5.9</v>
          </cell>
          <cell r="N234">
            <v>2843</v>
          </cell>
          <cell r="O234">
            <v>1935</v>
          </cell>
          <cell r="P234">
            <v>1365</v>
          </cell>
          <cell r="Q234">
            <v>592</v>
          </cell>
          <cell r="AC234">
            <v>360</v>
          </cell>
        </row>
        <row r="235">
          <cell r="B235">
            <v>5.8000000000000007</v>
          </cell>
          <cell r="E235">
            <v>6069</v>
          </cell>
          <cell r="F235">
            <v>11</v>
          </cell>
          <cell r="G235">
            <v>5.4</v>
          </cell>
          <cell r="N235">
            <v>2938</v>
          </cell>
          <cell r="O235">
            <v>1908</v>
          </cell>
          <cell r="P235">
            <v>1272</v>
          </cell>
          <cell r="Q235">
            <v>549</v>
          </cell>
          <cell r="AC235">
            <v>360</v>
          </cell>
        </row>
        <row r="236">
          <cell r="B236">
            <v>5.6000000000000005</v>
          </cell>
          <cell r="E236">
            <v>5840</v>
          </cell>
          <cell r="F236">
            <v>11.100000000000001</v>
          </cell>
          <cell r="G236">
            <v>5.6000000000000005</v>
          </cell>
          <cell r="N236">
            <v>2773</v>
          </cell>
          <cell r="O236">
            <v>1897</v>
          </cell>
          <cell r="P236">
            <v>1239</v>
          </cell>
          <cell r="Q236">
            <v>520</v>
          </cell>
          <cell r="AC236">
            <v>357</v>
          </cell>
        </row>
        <row r="237">
          <cell r="B237">
            <v>5.7</v>
          </cell>
          <cell r="E237">
            <v>5959</v>
          </cell>
          <cell r="F237">
            <v>10.4</v>
          </cell>
          <cell r="G237">
            <v>5.6000000000000005</v>
          </cell>
          <cell r="N237">
            <v>2947</v>
          </cell>
          <cell r="O237">
            <v>1816</v>
          </cell>
          <cell r="P237">
            <v>1171</v>
          </cell>
          <cell r="Q237">
            <v>521</v>
          </cell>
          <cell r="AC237">
            <v>336</v>
          </cell>
        </row>
        <row r="238">
          <cell r="B238">
            <v>5.7</v>
          </cell>
          <cell r="E238">
            <v>5996</v>
          </cell>
          <cell r="F238">
            <v>10.3</v>
          </cell>
          <cell r="G238">
            <v>5.9</v>
          </cell>
          <cell r="N238">
            <v>2890</v>
          </cell>
          <cell r="O238">
            <v>1982</v>
          </cell>
          <cell r="P238">
            <v>1123</v>
          </cell>
          <cell r="Q238">
            <v>470</v>
          </cell>
          <cell r="AC238">
            <v>369</v>
          </cell>
        </row>
        <row r="239">
          <cell r="B239">
            <v>6</v>
          </cell>
          <cell r="E239">
            <v>6320</v>
          </cell>
          <cell r="F239">
            <v>10.600000000000001</v>
          </cell>
          <cell r="G239">
            <v>4.8000000000000007</v>
          </cell>
          <cell r="N239">
            <v>3296</v>
          </cell>
          <cell r="O239">
            <v>1820</v>
          </cell>
          <cell r="P239">
            <v>1203</v>
          </cell>
          <cell r="Q239">
            <v>534</v>
          </cell>
          <cell r="AC239">
            <v>386</v>
          </cell>
        </row>
        <row r="240">
          <cell r="B240">
            <v>5.9</v>
          </cell>
          <cell r="E240">
            <v>6190</v>
          </cell>
          <cell r="F240">
            <v>10.5</v>
          </cell>
          <cell r="G240">
            <v>5.5</v>
          </cell>
          <cell r="N240">
            <v>2946</v>
          </cell>
          <cell r="O240">
            <v>2054</v>
          </cell>
          <cell r="P240">
            <v>1172</v>
          </cell>
          <cell r="Q240">
            <v>532</v>
          </cell>
          <cell r="AC240">
            <v>389</v>
          </cell>
        </row>
        <row r="241">
          <cell r="B241">
            <v>6</v>
          </cell>
          <cell r="E241">
            <v>6296</v>
          </cell>
          <cell r="F241">
            <v>10.5</v>
          </cell>
          <cell r="G241">
            <v>5.5</v>
          </cell>
          <cell r="N241">
            <v>3039</v>
          </cell>
          <cell r="O241">
            <v>2011</v>
          </cell>
          <cell r="P241">
            <v>1219</v>
          </cell>
          <cell r="Q241">
            <v>530</v>
          </cell>
          <cell r="AC241">
            <v>390</v>
          </cell>
        </row>
        <row r="242">
          <cell r="B242">
            <v>5.9</v>
          </cell>
          <cell r="E242">
            <v>6238</v>
          </cell>
          <cell r="F242">
            <v>10.600000000000001</v>
          </cell>
          <cell r="G242">
            <v>5.3000000000000007</v>
          </cell>
          <cell r="N242">
            <v>3030</v>
          </cell>
          <cell r="O242">
            <v>1883</v>
          </cell>
          <cell r="P242">
            <v>1239</v>
          </cell>
          <cell r="Q242">
            <v>551</v>
          </cell>
          <cell r="AC242">
            <v>398</v>
          </cell>
        </row>
        <row r="243">
          <cell r="B243">
            <v>6</v>
          </cell>
          <cell r="E243">
            <v>6325</v>
          </cell>
          <cell r="F243">
            <v>10.8</v>
          </cell>
          <cell r="G243">
            <v>5.7</v>
          </cell>
          <cell r="N243">
            <v>3013</v>
          </cell>
          <cell r="O243">
            <v>2033</v>
          </cell>
          <cell r="P243">
            <v>1277</v>
          </cell>
          <cell r="Q243">
            <v>544</v>
          </cell>
          <cell r="AC243">
            <v>416</v>
          </cell>
        </row>
        <row r="244">
          <cell r="B244">
            <v>6.3000000000000007</v>
          </cell>
          <cell r="E244">
            <v>6683</v>
          </cell>
          <cell r="F244">
            <v>10.4</v>
          </cell>
          <cell r="G244">
            <v>5.3000000000000007</v>
          </cell>
          <cell r="N244">
            <v>3215</v>
          </cell>
          <cell r="O244">
            <v>2063</v>
          </cell>
          <cell r="P244">
            <v>1353</v>
          </cell>
          <cell r="Q244">
            <v>548</v>
          </cell>
          <cell r="AC244">
            <v>428</v>
          </cell>
        </row>
        <row r="245">
          <cell r="B245">
            <v>6.3000000000000007</v>
          </cell>
          <cell r="E245">
            <v>6702</v>
          </cell>
          <cell r="F245">
            <v>10.600000000000001</v>
          </cell>
          <cell r="G245">
            <v>5.8000000000000007</v>
          </cell>
          <cell r="N245">
            <v>3134</v>
          </cell>
          <cell r="O245">
            <v>2200</v>
          </cell>
          <cell r="P245">
            <v>1358</v>
          </cell>
          <cell r="Q245">
            <v>508</v>
          </cell>
          <cell r="AC245">
            <v>404</v>
          </cell>
        </row>
        <row r="246">
          <cell r="B246">
            <v>6.3000000000000007</v>
          </cell>
          <cell r="E246">
            <v>6729</v>
          </cell>
          <cell r="F246">
            <v>11</v>
          </cell>
          <cell r="G246">
            <v>6</v>
          </cell>
          <cell r="N246">
            <v>3097</v>
          </cell>
          <cell r="O246">
            <v>2272</v>
          </cell>
          <cell r="P246">
            <v>1457</v>
          </cell>
          <cell r="Q246">
            <v>622</v>
          </cell>
          <cell r="AC246">
            <v>409</v>
          </cell>
        </row>
        <row r="247">
          <cell r="B247">
            <v>6.9</v>
          </cell>
          <cell r="E247">
            <v>7358</v>
          </cell>
          <cell r="F247">
            <v>11.4</v>
          </cell>
          <cell r="G247">
            <v>5.8000000000000007</v>
          </cell>
          <cell r="N247">
            <v>3374</v>
          </cell>
          <cell r="O247">
            <v>2388</v>
          </cell>
          <cell r="P247">
            <v>1694</v>
          </cell>
          <cell r="Q247">
            <v>691</v>
          </cell>
          <cell r="AC247">
            <v>475</v>
          </cell>
        </row>
        <row r="248">
          <cell r="B248">
            <v>7.5</v>
          </cell>
          <cell r="E248">
            <v>7984</v>
          </cell>
          <cell r="F248">
            <v>10.9</v>
          </cell>
          <cell r="G248">
            <v>5.7</v>
          </cell>
          <cell r="N248">
            <v>3754</v>
          </cell>
          <cell r="O248">
            <v>2608</v>
          </cell>
          <cell r="P248">
            <v>1740</v>
          </cell>
          <cell r="Q248">
            <v>719</v>
          </cell>
          <cell r="AC248">
            <v>563</v>
          </cell>
        </row>
        <row r="249">
          <cell r="B249">
            <v>7.6000000000000005</v>
          </cell>
          <cell r="E249">
            <v>8098</v>
          </cell>
          <cell r="F249">
            <v>11.3</v>
          </cell>
          <cell r="G249">
            <v>6.4</v>
          </cell>
          <cell r="N249">
            <v>3409</v>
          </cell>
          <cell r="O249">
            <v>2879</v>
          </cell>
          <cell r="P249">
            <v>1760</v>
          </cell>
          <cell r="Q249">
            <v>773</v>
          </cell>
          <cell r="AC249">
            <v>637</v>
          </cell>
        </row>
        <row r="250">
          <cell r="B250">
            <v>7.8000000000000007</v>
          </cell>
          <cell r="E250">
            <v>8363</v>
          </cell>
          <cell r="F250">
            <v>11.8</v>
          </cell>
          <cell r="G250">
            <v>7</v>
          </cell>
          <cell r="N250">
            <v>3458</v>
          </cell>
          <cell r="O250">
            <v>2817</v>
          </cell>
          <cell r="P250">
            <v>1995</v>
          </cell>
          <cell r="Q250">
            <v>884</v>
          </cell>
          <cell r="AC250">
            <v>627</v>
          </cell>
        </row>
        <row r="251">
          <cell r="B251">
            <v>7.7</v>
          </cell>
          <cell r="E251">
            <v>8281</v>
          </cell>
          <cell r="F251">
            <v>12.4</v>
          </cell>
          <cell r="G251">
            <v>7.5</v>
          </cell>
          <cell r="N251">
            <v>3415</v>
          </cell>
          <cell r="O251">
            <v>2658</v>
          </cell>
          <cell r="P251">
            <v>2162</v>
          </cell>
          <cell r="Q251">
            <v>930</v>
          </cell>
          <cell r="AC251">
            <v>569</v>
          </cell>
        </row>
        <row r="252">
          <cell r="B252">
            <v>7.5</v>
          </cell>
          <cell r="E252">
            <v>8021</v>
          </cell>
          <cell r="F252">
            <v>12.9</v>
          </cell>
          <cell r="G252">
            <v>7.7</v>
          </cell>
          <cell r="N252">
            <v>3150</v>
          </cell>
          <cell r="O252">
            <v>2613</v>
          </cell>
          <cell r="P252">
            <v>2309</v>
          </cell>
          <cell r="Q252">
            <v>966</v>
          </cell>
          <cell r="AC252">
            <v>502</v>
          </cell>
        </row>
        <row r="253">
          <cell r="B253">
            <v>7.5</v>
          </cell>
          <cell r="E253">
            <v>8088</v>
          </cell>
          <cell r="F253">
            <v>13.100000000000001</v>
          </cell>
          <cell r="G253">
            <v>7.5</v>
          </cell>
          <cell r="N253">
            <v>3236</v>
          </cell>
          <cell r="O253">
            <v>2544</v>
          </cell>
          <cell r="P253">
            <v>2306</v>
          </cell>
          <cell r="Q253">
            <v>1060</v>
          </cell>
          <cell r="AC253">
            <v>463</v>
          </cell>
        </row>
        <row r="254">
          <cell r="B254">
            <v>7.5</v>
          </cell>
          <cell r="E254">
            <v>8023</v>
          </cell>
          <cell r="F254">
            <v>13.600000000000001</v>
          </cell>
          <cell r="G254">
            <v>7.7</v>
          </cell>
          <cell r="N254">
            <v>3146</v>
          </cell>
          <cell r="O254">
            <v>2498</v>
          </cell>
          <cell r="P254">
            <v>2329</v>
          </cell>
          <cell r="Q254">
            <v>1133</v>
          </cell>
          <cell r="AC254">
            <v>419</v>
          </cell>
        </row>
        <row r="255">
          <cell r="B255">
            <v>7.2</v>
          </cell>
          <cell r="E255">
            <v>7718</v>
          </cell>
          <cell r="F255">
            <v>13.700000000000001</v>
          </cell>
          <cell r="G255">
            <v>7.5</v>
          </cell>
          <cell r="N255">
            <v>3097</v>
          </cell>
          <cell r="O255">
            <v>2234</v>
          </cell>
          <cell r="P255">
            <v>2406</v>
          </cell>
          <cell r="Q255">
            <v>1147</v>
          </cell>
          <cell r="AC255">
            <v>412</v>
          </cell>
        </row>
        <row r="256">
          <cell r="B256">
            <v>7.5</v>
          </cell>
          <cell r="E256">
            <v>8071</v>
          </cell>
          <cell r="F256">
            <v>14.3</v>
          </cell>
          <cell r="G256">
            <v>7.4</v>
          </cell>
          <cell r="N256">
            <v>3318</v>
          </cell>
          <cell r="O256">
            <v>2334</v>
          </cell>
          <cell r="P256">
            <v>2389</v>
          </cell>
          <cell r="Q256">
            <v>1263</v>
          </cell>
          <cell r="AC256">
            <v>399</v>
          </cell>
        </row>
        <row r="257">
          <cell r="B257">
            <v>7.4</v>
          </cell>
          <cell r="E257">
            <v>8051</v>
          </cell>
          <cell r="F257">
            <v>14.100000000000001</v>
          </cell>
          <cell r="G257">
            <v>7.1000000000000005</v>
          </cell>
          <cell r="N257">
            <v>3287</v>
          </cell>
          <cell r="O257">
            <v>2412</v>
          </cell>
          <cell r="P257">
            <v>2344</v>
          </cell>
          <cell r="Q257">
            <v>1245</v>
          </cell>
          <cell r="AC257">
            <v>419</v>
          </cell>
        </row>
        <row r="258">
          <cell r="B258">
            <v>7.4</v>
          </cell>
          <cell r="E258">
            <v>7982</v>
          </cell>
          <cell r="F258">
            <v>14</v>
          </cell>
          <cell r="G258">
            <v>7.1000000000000005</v>
          </cell>
          <cell r="N258">
            <v>3328</v>
          </cell>
          <cell r="O258">
            <v>2428</v>
          </cell>
          <cell r="P258">
            <v>2276</v>
          </cell>
          <cell r="Q258">
            <v>1217</v>
          </cell>
          <cell r="AC258">
            <v>434</v>
          </cell>
        </row>
        <row r="259">
          <cell r="B259">
            <v>7.2</v>
          </cell>
          <cell r="E259">
            <v>7869</v>
          </cell>
          <cell r="F259">
            <v>13.9</v>
          </cell>
          <cell r="G259">
            <v>7.4</v>
          </cell>
          <cell r="N259">
            <v>3185</v>
          </cell>
          <cell r="O259">
            <v>2436</v>
          </cell>
          <cell r="P259">
            <v>2231</v>
          </cell>
          <cell r="Q259">
            <v>1132</v>
          </cell>
          <cell r="AC259">
            <v>412</v>
          </cell>
        </row>
        <row r="260">
          <cell r="B260">
            <v>7.5</v>
          </cell>
          <cell r="E260">
            <v>8174</v>
          </cell>
          <cell r="F260">
            <v>13.600000000000001</v>
          </cell>
          <cell r="G260">
            <v>6.9</v>
          </cell>
          <cell r="N260">
            <v>3409</v>
          </cell>
          <cell r="O260">
            <v>2594</v>
          </cell>
          <cell r="P260">
            <v>2221</v>
          </cell>
          <cell r="Q260">
            <v>1149</v>
          </cell>
          <cell r="AC260">
            <v>413</v>
          </cell>
        </row>
        <row r="261">
          <cell r="B261">
            <v>7.5</v>
          </cell>
          <cell r="E261">
            <v>8098</v>
          </cell>
          <cell r="F261">
            <v>13.700000000000001</v>
          </cell>
          <cell r="G261">
            <v>6.6000000000000005</v>
          </cell>
          <cell r="N261">
            <v>3340</v>
          </cell>
          <cell r="O261">
            <v>2403</v>
          </cell>
          <cell r="P261">
            <v>2250</v>
          </cell>
          <cell r="Q261">
            <v>1123</v>
          </cell>
          <cell r="AC261">
            <v>417</v>
          </cell>
        </row>
        <row r="262">
          <cell r="B262">
            <v>7.2</v>
          </cell>
          <cell r="E262">
            <v>7863</v>
          </cell>
          <cell r="F262">
            <v>13.8</v>
          </cell>
          <cell r="G262">
            <v>7.1000000000000005</v>
          </cell>
          <cell r="N262">
            <v>3307</v>
          </cell>
          <cell r="O262">
            <v>2408</v>
          </cell>
          <cell r="P262">
            <v>2166</v>
          </cell>
          <cell r="Q262">
            <v>1086</v>
          </cell>
          <cell r="AC262">
            <v>444</v>
          </cell>
        </row>
        <row r="263">
          <cell r="B263">
            <v>7.4</v>
          </cell>
          <cell r="E263">
            <v>8036</v>
          </cell>
          <cell r="F263">
            <v>14.4</v>
          </cell>
          <cell r="G263">
            <v>7.2</v>
          </cell>
          <cell r="N263">
            <v>3320</v>
          </cell>
          <cell r="O263">
            <v>2487</v>
          </cell>
          <cell r="P263">
            <v>2241</v>
          </cell>
          <cell r="Q263">
            <v>1164</v>
          </cell>
          <cell r="AC263">
            <v>476</v>
          </cell>
        </row>
        <row r="264">
          <cell r="B264">
            <v>7.6000000000000005</v>
          </cell>
          <cell r="E264">
            <v>8230</v>
          </cell>
          <cell r="F264">
            <v>13.600000000000001</v>
          </cell>
          <cell r="G264">
            <v>6.8000000000000007</v>
          </cell>
          <cell r="N264">
            <v>3493</v>
          </cell>
          <cell r="O264">
            <v>2524</v>
          </cell>
          <cell r="P264">
            <v>2261</v>
          </cell>
          <cell r="Q264">
            <v>1114</v>
          </cell>
          <cell r="AC264">
            <v>451</v>
          </cell>
        </row>
        <row r="265">
          <cell r="B265">
            <v>7.9</v>
          </cell>
          <cell r="E265">
            <v>8646</v>
          </cell>
          <cell r="F265">
            <v>13.5</v>
          </cell>
          <cell r="G265">
            <v>6.8000000000000007</v>
          </cell>
          <cell r="N265">
            <v>3656</v>
          </cell>
          <cell r="O265">
            <v>2654</v>
          </cell>
          <cell r="P265">
            <v>2303</v>
          </cell>
          <cell r="Q265">
            <v>1134</v>
          </cell>
          <cell r="AC265">
            <v>491</v>
          </cell>
        </row>
        <row r="266">
          <cell r="B266">
            <v>8.3000000000000007</v>
          </cell>
          <cell r="E266">
            <v>9029</v>
          </cell>
          <cell r="F266">
            <v>13.100000000000001</v>
          </cell>
          <cell r="G266">
            <v>6.9</v>
          </cell>
          <cell r="N266">
            <v>3812</v>
          </cell>
          <cell r="O266">
            <v>2810</v>
          </cell>
          <cell r="P266">
            <v>2345</v>
          </cell>
          <cell r="Q266">
            <v>1143</v>
          </cell>
          <cell r="AC266">
            <v>514</v>
          </cell>
        </row>
        <row r="267">
          <cell r="B267">
            <v>8.5</v>
          </cell>
          <cell r="E267">
            <v>9267</v>
          </cell>
          <cell r="F267">
            <v>13.100000000000001</v>
          </cell>
          <cell r="G267">
            <v>6.9</v>
          </cell>
          <cell r="N267">
            <v>3949</v>
          </cell>
          <cell r="O267">
            <v>2989</v>
          </cell>
          <cell r="P267">
            <v>2374</v>
          </cell>
          <cell r="Q267">
            <v>1171</v>
          </cell>
          <cell r="AC267">
            <v>552</v>
          </cell>
        </row>
        <row r="268">
          <cell r="B268">
            <v>8.6</v>
          </cell>
          <cell r="E268">
            <v>9397</v>
          </cell>
          <cell r="F268">
            <v>13.4</v>
          </cell>
          <cell r="G268">
            <v>7.1000000000000005</v>
          </cell>
          <cell r="N268">
            <v>3924</v>
          </cell>
          <cell r="O268">
            <v>3074</v>
          </cell>
          <cell r="P268">
            <v>2409</v>
          </cell>
          <cell r="Q268">
            <v>1186</v>
          </cell>
          <cell r="AC268">
            <v>495</v>
          </cell>
        </row>
        <row r="269">
          <cell r="B269">
            <v>8.9</v>
          </cell>
          <cell r="E269">
            <v>9705</v>
          </cell>
          <cell r="F269">
            <v>14.100000000000001</v>
          </cell>
          <cell r="G269">
            <v>7.5</v>
          </cell>
          <cell r="N269">
            <v>3808</v>
          </cell>
          <cell r="O269">
            <v>3122</v>
          </cell>
          <cell r="P269">
            <v>2758</v>
          </cell>
          <cell r="Q269">
            <v>1279</v>
          </cell>
          <cell r="AC269">
            <v>583</v>
          </cell>
        </row>
        <row r="270">
          <cell r="B270">
            <v>9</v>
          </cell>
          <cell r="E270">
            <v>9895</v>
          </cell>
          <cell r="F270">
            <v>14.100000000000001</v>
          </cell>
          <cell r="G270">
            <v>7.7</v>
          </cell>
          <cell r="N270">
            <v>3896</v>
          </cell>
          <cell r="O270">
            <v>3107</v>
          </cell>
          <cell r="P270">
            <v>2965</v>
          </cell>
          <cell r="Q270">
            <v>1358</v>
          </cell>
          <cell r="AC270">
            <v>528</v>
          </cell>
        </row>
        <row r="271">
          <cell r="B271">
            <v>9.3000000000000007</v>
          </cell>
          <cell r="E271">
            <v>10244</v>
          </cell>
          <cell r="F271">
            <v>14.5</v>
          </cell>
          <cell r="G271">
            <v>8.1</v>
          </cell>
          <cell r="N271">
            <v>3951</v>
          </cell>
          <cell r="O271">
            <v>3227</v>
          </cell>
          <cell r="P271">
            <v>3086</v>
          </cell>
          <cell r="Q271">
            <v>1501</v>
          </cell>
          <cell r="AC271">
            <v>574</v>
          </cell>
        </row>
        <row r="272">
          <cell r="B272">
            <v>9.4</v>
          </cell>
          <cell r="E272">
            <v>10335</v>
          </cell>
          <cell r="F272">
            <v>14.9</v>
          </cell>
          <cell r="G272">
            <v>8.5</v>
          </cell>
          <cell r="N272">
            <v>3885</v>
          </cell>
          <cell r="O272">
            <v>3295</v>
          </cell>
          <cell r="P272">
            <v>3276</v>
          </cell>
          <cell r="Q272">
            <v>1617</v>
          </cell>
          <cell r="AC272">
            <v>576</v>
          </cell>
        </row>
        <row r="273">
          <cell r="B273">
            <v>9.6000000000000014</v>
          </cell>
          <cell r="E273">
            <v>10538</v>
          </cell>
          <cell r="F273">
            <v>15.700000000000001</v>
          </cell>
          <cell r="G273">
            <v>9.5</v>
          </cell>
          <cell r="N273">
            <v>3606</v>
          </cell>
          <cell r="O273">
            <v>3413</v>
          </cell>
          <cell r="P273">
            <v>3451</v>
          </cell>
          <cell r="Q273">
            <v>1784</v>
          </cell>
          <cell r="AC273">
            <v>588</v>
          </cell>
        </row>
        <row r="274">
          <cell r="B274">
            <v>9.8000000000000007</v>
          </cell>
          <cell r="E274">
            <v>10849</v>
          </cell>
          <cell r="F274">
            <v>15.4</v>
          </cell>
          <cell r="G274">
            <v>8.5</v>
          </cell>
          <cell r="N274">
            <v>3929</v>
          </cell>
          <cell r="O274">
            <v>3300</v>
          </cell>
          <cell r="P274">
            <v>3555</v>
          </cell>
          <cell r="Q274">
            <v>1816</v>
          </cell>
          <cell r="AC274">
            <v>582</v>
          </cell>
        </row>
        <row r="275">
          <cell r="B275">
            <v>9.8000000000000007</v>
          </cell>
          <cell r="E275">
            <v>10881</v>
          </cell>
          <cell r="F275">
            <v>16.2</v>
          </cell>
          <cell r="G275">
            <v>8.7000000000000011</v>
          </cell>
          <cell r="N275">
            <v>3895</v>
          </cell>
          <cell r="O275">
            <v>3354</v>
          </cell>
          <cell r="P275">
            <v>3696</v>
          </cell>
          <cell r="Q275">
            <v>1866</v>
          </cell>
          <cell r="AC275">
            <v>605</v>
          </cell>
        </row>
        <row r="276">
          <cell r="B276">
            <v>10.100000000000001</v>
          </cell>
          <cell r="E276">
            <v>11217</v>
          </cell>
          <cell r="F276">
            <v>16.600000000000001</v>
          </cell>
          <cell r="G276">
            <v>9.5</v>
          </cell>
          <cell r="N276">
            <v>3966</v>
          </cell>
          <cell r="O276">
            <v>3494</v>
          </cell>
          <cell r="P276">
            <v>3889</v>
          </cell>
          <cell r="Q276">
            <v>2018</v>
          </cell>
          <cell r="AC276">
            <v>647</v>
          </cell>
        </row>
        <row r="277">
          <cell r="B277">
            <v>10.4</v>
          </cell>
          <cell r="E277">
            <v>11529</v>
          </cell>
          <cell r="F277">
            <v>17.2</v>
          </cell>
          <cell r="G277">
            <v>9.7000000000000011</v>
          </cell>
          <cell r="N277">
            <v>3873</v>
          </cell>
          <cell r="O277">
            <v>3471</v>
          </cell>
          <cell r="P277">
            <v>4185</v>
          </cell>
          <cell r="Q277">
            <v>2246</v>
          </cell>
          <cell r="AC277">
            <v>695</v>
          </cell>
        </row>
        <row r="278">
          <cell r="B278">
            <v>10.8</v>
          </cell>
          <cell r="E278">
            <v>11938</v>
          </cell>
          <cell r="F278">
            <v>17.100000000000001</v>
          </cell>
          <cell r="G278">
            <v>10</v>
          </cell>
          <cell r="N278">
            <v>3974</v>
          </cell>
          <cell r="O278">
            <v>3518</v>
          </cell>
          <cell r="P278">
            <v>4485</v>
          </cell>
          <cell r="Q278">
            <v>2338</v>
          </cell>
          <cell r="AC278">
            <v>637</v>
          </cell>
        </row>
        <row r="279">
          <cell r="B279">
            <v>10.8</v>
          </cell>
          <cell r="E279">
            <v>12051</v>
          </cell>
          <cell r="F279">
            <v>18.100000000000001</v>
          </cell>
          <cell r="G279">
            <v>10.200000000000001</v>
          </cell>
          <cell r="N279">
            <v>3939</v>
          </cell>
          <cell r="O279">
            <v>3425</v>
          </cell>
          <cell r="P279">
            <v>4662</v>
          </cell>
          <cell r="Q279">
            <v>2564</v>
          </cell>
          <cell r="AC279">
            <v>612</v>
          </cell>
        </row>
        <row r="280">
          <cell r="B280">
            <v>10.4</v>
          </cell>
          <cell r="E280">
            <v>11534</v>
          </cell>
          <cell r="F280">
            <v>19.400000000000002</v>
          </cell>
          <cell r="G280">
            <v>11.100000000000001</v>
          </cell>
          <cell r="N280">
            <v>3654</v>
          </cell>
          <cell r="O280">
            <v>3312</v>
          </cell>
          <cell r="P280">
            <v>4668</v>
          </cell>
          <cell r="Q280">
            <v>2667</v>
          </cell>
          <cell r="AC280">
            <v>534</v>
          </cell>
        </row>
        <row r="281">
          <cell r="B281">
            <v>10.4</v>
          </cell>
          <cell r="E281">
            <v>11545</v>
          </cell>
          <cell r="F281">
            <v>19.200000000000003</v>
          </cell>
          <cell r="G281">
            <v>9.8000000000000007</v>
          </cell>
          <cell r="N281">
            <v>3717</v>
          </cell>
          <cell r="O281">
            <v>3177</v>
          </cell>
          <cell r="P281">
            <v>4641</v>
          </cell>
          <cell r="Q281">
            <v>2716</v>
          </cell>
          <cell r="AC281">
            <v>503</v>
          </cell>
        </row>
        <row r="282">
          <cell r="B282">
            <v>10.3</v>
          </cell>
          <cell r="E282">
            <v>11408</v>
          </cell>
          <cell r="F282">
            <v>19.400000000000002</v>
          </cell>
          <cell r="G282">
            <v>10.4</v>
          </cell>
          <cell r="N282">
            <v>3502</v>
          </cell>
          <cell r="O282">
            <v>3150</v>
          </cell>
          <cell r="P282">
            <v>4612</v>
          </cell>
          <cell r="Q282">
            <v>2746</v>
          </cell>
          <cell r="AC282">
            <v>481</v>
          </cell>
        </row>
        <row r="283">
          <cell r="B283">
            <v>10.200000000000001</v>
          </cell>
          <cell r="E283">
            <v>11268</v>
          </cell>
          <cell r="F283">
            <v>19.5</v>
          </cell>
          <cell r="G283">
            <v>10.9</v>
          </cell>
          <cell r="N283">
            <v>3539</v>
          </cell>
          <cell r="O283">
            <v>3112</v>
          </cell>
          <cell r="P283">
            <v>4370</v>
          </cell>
          <cell r="Q283">
            <v>2710</v>
          </cell>
          <cell r="AC283">
            <v>491</v>
          </cell>
        </row>
        <row r="284">
          <cell r="B284">
            <v>10.100000000000001</v>
          </cell>
          <cell r="E284">
            <v>11154</v>
          </cell>
          <cell r="F284">
            <v>20.5</v>
          </cell>
          <cell r="G284">
            <v>12.3</v>
          </cell>
          <cell r="N284">
            <v>3531</v>
          </cell>
          <cell r="O284">
            <v>2979</v>
          </cell>
          <cell r="P284">
            <v>4538</v>
          </cell>
          <cell r="Q284">
            <v>2750</v>
          </cell>
          <cell r="AC284">
            <v>490</v>
          </cell>
        </row>
        <row r="285">
          <cell r="B285">
            <v>10.100000000000001</v>
          </cell>
          <cell r="E285">
            <v>11246</v>
          </cell>
          <cell r="F285">
            <v>20.8</v>
          </cell>
          <cell r="G285">
            <v>11.3</v>
          </cell>
          <cell r="N285">
            <v>3686</v>
          </cell>
          <cell r="O285">
            <v>2926</v>
          </cell>
          <cell r="P285">
            <v>4470</v>
          </cell>
          <cell r="Q285">
            <v>2885</v>
          </cell>
          <cell r="AC285">
            <v>454</v>
          </cell>
        </row>
        <row r="286">
          <cell r="B286">
            <v>9.4</v>
          </cell>
          <cell r="E286">
            <v>10548</v>
          </cell>
          <cell r="F286">
            <v>21.200000000000003</v>
          </cell>
          <cell r="G286">
            <v>10.100000000000001</v>
          </cell>
          <cell r="N286">
            <v>3459</v>
          </cell>
          <cell r="O286">
            <v>2821</v>
          </cell>
          <cell r="P286">
            <v>4329</v>
          </cell>
          <cell r="Q286">
            <v>2594</v>
          </cell>
          <cell r="AC286">
            <v>422</v>
          </cell>
        </row>
        <row r="287">
          <cell r="B287">
            <v>9.5</v>
          </cell>
          <cell r="E287">
            <v>10623</v>
          </cell>
          <cell r="F287">
            <v>20</v>
          </cell>
          <cell r="G287">
            <v>9.3000000000000007</v>
          </cell>
          <cell r="N287">
            <v>3632</v>
          </cell>
          <cell r="O287">
            <v>3035</v>
          </cell>
          <cell r="P287">
            <v>4070</v>
          </cell>
          <cell r="Q287">
            <v>2530</v>
          </cell>
          <cell r="AC287">
            <v>415</v>
          </cell>
        </row>
        <row r="288">
          <cell r="B288">
            <v>9.2000000000000011</v>
          </cell>
          <cell r="E288">
            <v>10282</v>
          </cell>
          <cell r="F288">
            <v>20.200000000000003</v>
          </cell>
          <cell r="G288">
            <v>9.3000000000000007</v>
          </cell>
          <cell r="N288">
            <v>3768</v>
          </cell>
          <cell r="O288">
            <v>2774</v>
          </cell>
          <cell r="P288">
            <v>3854</v>
          </cell>
          <cell r="Q288">
            <v>2441</v>
          </cell>
          <cell r="AC288">
            <v>426</v>
          </cell>
        </row>
        <row r="289">
          <cell r="B289">
            <v>8.8000000000000007</v>
          </cell>
          <cell r="E289">
            <v>9887</v>
          </cell>
          <cell r="F289">
            <v>20.200000000000003</v>
          </cell>
          <cell r="G289">
            <v>9.4</v>
          </cell>
          <cell r="N289">
            <v>3491</v>
          </cell>
          <cell r="O289">
            <v>2736</v>
          </cell>
          <cell r="P289">
            <v>3648</v>
          </cell>
          <cell r="Q289">
            <v>2277</v>
          </cell>
          <cell r="AC289">
            <v>413</v>
          </cell>
        </row>
        <row r="290">
          <cell r="B290">
            <v>8.5</v>
          </cell>
          <cell r="E290">
            <v>9499</v>
          </cell>
          <cell r="F290">
            <v>19.700000000000003</v>
          </cell>
          <cell r="G290">
            <v>9.3000000000000007</v>
          </cell>
          <cell r="N290">
            <v>3347</v>
          </cell>
          <cell r="O290">
            <v>2644</v>
          </cell>
          <cell r="P290">
            <v>3535</v>
          </cell>
          <cell r="Q290">
            <v>2167</v>
          </cell>
          <cell r="AC290">
            <v>404</v>
          </cell>
        </row>
        <row r="291">
          <cell r="B291">
            <v>8.3000000000000007</v>
          </cell>
          <cell r="E291">
            <v>9331</v>
          </cell>
          <cell r="F291">
            <v>19.200000000000003</v>
          </cell>
          <cell r="G291">
            <v>8.7000000000000011</v>
          </cell>
          <cell r="N291">
            <v>3455</v>
          </cell>
          <cell r="O291">
            <v>2521</v>
          </cell>
          <cell r="P291">
            <v>3379</v>
          </cell>
          <cell r="Q291">
            <v>2061</v>
          </cell>
          <cell r="AC291">
            <v>398</v>
          </cell>
        </row>
        <row r="292">
          <cell r="B292">
            <v>8</v>
          </cell>
          <cell r="E292">
            <v>9008</v>
          </cell>
          <cell r="F292">
            <v>20.400000000000002</v>
          </cell>
          <cell r="G292">
            <v>9.1</v>
          </cell>
          <cell r="N292">
            <v>3309</v>
          </cell>
          <cell r="O292">
            <v>2532</v>
          </cell>
          <cell r="P292">
            <v>3254</v>
          </cell>
          <cell r="Q292">
            <v>2040</v>
          </cell>
          <cell r="AC292">
            <v>372</v>
          </cell>
        </row>
        <row r="293">
          <cell r="B293">
            <v>7.8000000000000007</v>
          </cell>
          <cell r="E293">
            <v>8791</v>
          </cell>
          <cell r="F293">
            <v>19</v>
          </cell>
          <cell r="G293">
            <v>8.3000000000000007</v>
          </cell>
          <cell r="N293">
            <v>3327</v>
          </cell>
          <cell r="O293">
            <v>2485</v>
          </cell>
          <cell r="P293">
            <v>2991</v>
          </cell>
          <cell r="Q293">
            <v>1834</v>
          </cell>
          <cell r="AC293">
            <v>364</v>
          </cell>
        </row>
        <row r="294">
          <cell r="B294">
            <v>7.8000000000000007</v>
          </cell>
          <cell r="E294">
            <v>8746</v>
          </cell>
          <cell r="F294">
            <v>19.100000000000001</v>
          </cell>
          <cell r="G294">
            <v>8.3000000000000007</v>
          </cell>
          <cell r="N294">
            <v>3335</v>
          </cell>
          <cell r="O294">
            <v>2501</v>
          </cell>
          <cell r="P294">
            <v>2881</v>
          </cell>
          <cell r="Q294">
            <v>1780</v>
          </cell>
          <cell r="AC294">
            <v>343</v>
          </cell>
        </row>
        <row r="295">
          <cell r="B295">
            <v>7.7</v>
          </cell>
          <cell r="E295">
            <v>8762</v>
          </cell>
          <cell r="F295">
            <v>18.900000000000002</v>
          </cell>
          <cell r="G295">
            <v>8.2000000000000011</v>
          </cell>
          <cell r="N295">
            <v>3362</v>
          </cell>
          <cell r="O295">
            <v>2459</v>
          </cell>
          <cell r="P295">
            <v>2858</v>
          </cell>
          <cell r="Q295">
            <v>1764</v>
          </cell>
          <cell r="AC295">
            <v>341</v>
          </cell>
        </row>
        <row r="296">
          <cell r="B296">
            <v>7.4</v>
          </cell>
          <cell r="E296">
            <v>8456</v>
          </cell>
          <cell r="F296">
            <v>18.8</v>
          </cell>
          <cell r="G296">
            <v>9.1</v>
          </cell>
          <cell r="N296">
            <v>3167</v>
          </cell>
          <cell r="O296">
            <v>2387</v>
          </cell>
          <cell r="P296">
            <v>2884</v>
          </cell>
          <cell r="Q296">
            <v>1691</v>
          </cell>
          <cell r="AC296">
            <v>375</v>
          </cell>
        </row>
        <row r="297">
          <cell r="B297">
            <v>7.2</v>
          </cell>
          <cell r="E297">
            <v>8226</v>
          </cell>
          <cell r="F297">
            <v>18.100000000000001</v>
          </cell>
          <cell r="G297">
            <v>7.5</v>
          </cell>
          <cell r="N297">
            <v>3261</v>
          </cell>
          <cell r="O297">
            <v>2273</v>
          </cell>
          <cell r="P297">
            <v>2612</v>
          </cell>
          <cell r="Q297">
            <v>1576</v>
          </cell>
          <cell r="AC297">
            <v>355</v>
          </cell>
        </row>
        <row r="298">
          <cell r="B298">
            <v>7.5</v>
          </cell>
          <cell r="E298">
            <v>8537</v>
          </cell>
          <cell r="F298">
            <v>18</v>
          </cell>
          <cell r="G298">
            <v>7.5</v>
          </cell>
          <cell r="N298">
            <v>3392</v>
          </cell>
          <cell r="O298">
            <v>2472</v>
          </cell>
          <cell r="P298">
            <v>2638</v>
          </cell>
          <cell r="Q298">
            <v>1590</v>
          </cell>
          <cell r="AC298">
            <v>360</v>
          </cell>
        </row>
        <row r="299">
          <cell r="B299">
            <v>7.5</v>
          </cell>
          <cell r="E299">
            <v>8519</v>
          </cell>
          <cell r="F299">
            <v>17.3</v>
          </cell>
          <cell r="G299">
            <v>7.3000000000000007</v>
          </cell>
          <cell r="N299">
            <v>3567</v>
          </cell>
          <cell r="O299">
            <v>2415</v>
          </cell>
          <cell r="P299">
            <v>2604</v>
          </cell>
          <cell r="Q299">
            <v>1515</v>
          </cell>
          <cell r="AC299">
            <v>359</v>
          </cell>
        </row>
        <row r="300">
          <cell r="B300">
            <v>7.3000000000000007</v>
          </cell>
          <cell r="E300">
            <v>8367</v>
          </cell>
          <cell r="F300">
            <v>17</v>
          </cell>
          <cell r="G300">
            <v>7.6000000000000005</v>
          </cell>
          <cell r="N300">
            <v>3325</v>
          </cell>
          <cell r="O300">
            <v>2558</v>
          </cell>
          <cell r="P300">
            <v>2538</v>
          </cell>
          <cell r="Q300">
            <v>1451</v>
          </cell>
          <cell r="AC300">
            <v>385</v>
          </cell>
        </row>
        <row r="301">
          <cell r="B301">
            <v>7.4</v>
          </cell>
          <cell r="E301">
            <v>8381</v>
          </cell>
          <cell r="F301">
            <v>16.7</v>
          </cell>
          <cell r="G301">
            <v>7.2</v>
          </cell>
          <cell r="N301">
            <v>3423</v>
          </cell>
          <cell r="O301">
            <v>2392</v>
          </cell>
          <cell r="P301">
            <v>2526</v>
          </cell>
          <cell r="Q301">
            <v>1427</v>
          </cell>
          <cell r="AC301">
            <v>402</v>
          </cell>
        </row>
        <row r="302">
          <cell r="B302">
            <v>7.2</v>
          </cell>
          <cell r="E302">
            <v>8198</v>
          </cell>
          <cell r="F302">
            <v>17</v>
          </cell>
          <cell r="G302">
            <v>7.2</v>
          </cell>
          <cell r="N302">
            <v>3392</v>
          </cell>
          <cell r="O302">
            <v>2356</v>
          </cell>
          <cell r="P302">
            <v>2438</v>
          </cell>
          <cell r="Q302">
            <v>1422</v>
          </cell>
          <cell r="AC302">
            <v>425</v>
          </cell>
        </row>
        <row r="303">
          <cell r="B303">
            <v>7.3000000000000007</v>
          </cell>
          <cell r="E303">
            <v>8358</v>
          </cell>
          <cell r="F303">
            <v>16.8</v>
          </cell>
          <cell r="G303">
            <v>7.3000000000000007</v>
          </cell>
          <cell r="N303">
            <v>3371</v>
          </cell>
          <cell r="O303">
            <v>2578</v>
          </cell>
          <cell r="P303">
            <v>2401</v>
          </cell>
          <cell r="Q303">
            <v>1393</v>
          </cell>
          <cell r="AC303">
            <v>401</v>
          </cell>
        </row>
        <row r="304">
          <cell r="B304">
            <v>7.3000000000000007</v>
          </cell>
          <cell r="E304">
            <v>8423</v>
          </cell>
          <cell r="F304">
            <v>15.9</v>
          </cell>
          <cell r="G304">
            <v>6.8000000000000007</v>
          </cell>
          <cell r="N304">
            <v>3667</v>
          </cell>
          <cell r="O304">
            <v>2536</v>
          </cell>
          <cell r="P304">
            <v>2284</v>
          </cell>
          <cell r="Q304">
            <v>1315</v>
          </cell>
          <cell r="AC304">
            <v>379</v>
          </cell>
        </row>
        <row r="305">
          <cell r="B305">
            <v>7.2</v>
          </cell>
          <cell r="E305">
            <v>8321</v>
          </cell>
          <cell r="F305">
            <v>15.9</v>
          </cell>
          <cell r="G305">
            <v>7.1000000000000005</v>
          </cell>
          <cell r="N305">
            <v>3471</v>
          </cell>
          <cell r="O305">
            <v>2452</v>
          </cell>
          <cell r="P305">
            <v>2389</v>
          </cell>
          <cell r="Q305">
            <v>1344</v>
          </cell>
          <cell r="AC305">
            <v>386</v>
          </cell>
        </row>
        <row r="306">
          <cell r="B306">
            <v>7.2</v>
          </cell>
          <cell r="E306">
            <v>8339</v>
          </cell>
          <cell r="F306">
            <v>16.100000000000001</v>
          </cell>
          <cell r="G306">
            <v>7.1000000000000005</v>
          </cell>
          <cell r="N306">
            <v>3519</v>
          </cell>
          <cell r="O306">
            <v>2443</v>
          </cell>
          <cell r="P306">
            <v>2394</v>
          </cell>
          <cell r="Q306">
            <v>1349</v>
          </cell>
          <cell r="AC306">
            <v>374</v>
          </cell>
        </row>
        <row r="307">
          <cell r="B307">
            <v>7.3000000000000007</v>
          </cell>
          <cell r="E307">
            <v>8395</v>
          </cell>
          <cell r="F307">
            <v>16.400000000000002</v>
          </cell>
          <cell r="G307">
            <v>6.9</v>
          </cell>
          <cell r="N307">
            <v>3499</v>
          </cell>
          <cell r="O307">
            <v>2495</v>
          </cell>
          <cell r="P307">
            <v>2393</v>
          </cell>
          <cell r="Q307">
            <v>1378</v>
          </cell>
          <cell r="AC307">
            <v>386</v>
          </cell>
        </row>
        <row r="308">
          <cell r="B308">
            <v>7.2</v>
          </cell>
          <cell r="E308">
            <v>8302</v>
          </cell>
          <cell r="F308">
            <v>15.3</v>
          </cell>
          <cell r="G308">
            <v>6.9</v>
          </cell>
          <cell r="N308">
            <v>3503</v>
          </cell>
          <cell r="O308">
            <v>2556</v>
          </cell>
          <cell r="P308">
            <v>2292</v>
          </cell>
          <cell r="Q308">
            <v>1235</v>
          </cell>
          <cell r="AC308">
            <v>386</v>
          </cell>
        </row>
        <row r="309">
          <cell r="B309">
            <v>7.4</v>
          </cell>
          <cell r="E309">
            <v>8460</v>
          </cell>
          <cell r="F309">
            <v>15.5</v>
          </cell>
          <cell r="G309">
            <v>6.6000000000000005</v>
          </cell>
          <cell r="N309">
            <v>3538</v>
          </cell>
          <cell r="O309">
            <v>2517</v>
          </cell>
          <cell r="P309">
            <v>2310</v>
          </cell>
          <cell r="Q309">
            <v>1281</v>
          </cell>
          <cell r="AC309">
            <v>393</v>
          </cell>
        </row>
        <row r="310">
          <cell r="B310">
            <v>7.4</v>
          </cell>
          <cell r="E310">
            <v>8513</v>
          </cell>
          <cell r="F310">
            <v>15.5</v>
          </cell>
          <cell r="G310">
            <v>6.9</v>
          </cell>
          <cell r="N310">
            <v>3555</v>
          </cell>
          <cell r="O310">
            <v>2554</v>
          </cell>
          <cell r="P310">
            <v>2329</v>
          </cell>
          <cell r="Q310">
            <v>1267</v>
          </cell>
          <cell r="AC310">
            <v>390</v>
          </cell>
        </row>
        <row r="311">
          <cell r="B311">
            <v>7.1000000000000005</v>
          </cell>
          <cell r="E311">
            <v>8196</v>
          </cell>
          <cell r="F311">
            <v>15.3</v>
          </cell>
          <cell r="G311">
            <v>7.1000000000000005</v>
          </cell>
          <cell r="N311">
            <v>3439</v>
          </cell>
          <cell r="O311">
            <v>2515</v>
          </cell>
          <cell r="P311">
            <v>2258</v>
          </cell>
          <cell r="Q311">
            <v>1222</v>
          </cell>
          <cell r="AC311">
            <v>362</v>
          </cell>
        </row>
        <row r="312">
          <cell r="B312">
            <v>7.1000000000000005</v>
          </cell>
          <cell r="E312">
            <v>8248</v>
          </cell>
          <cell r="F312">
            <v>15.3</v>
          </cell>
          <cell r="G312">
            <v>6.9</v>
          </cell>
          <cell r="N312">
            <v>3494</v>
          </cell>
          <cell r="O312">
            <v>2570</v>
          </cell>
          <cell r="P312">
            <v>2242</v>
          </cell>
          <cell r="Q312">
            <v>1233</v>
          </cell>
          <cell r="AC312">
            <v>409</v>
          </cell>
        </row>
        <row r="313">
          <cell r="B313">
            <v>7.1000000000000005</v>
          </cell>
          <cell r="E313">
            <v>8298</v>
          </cell>
          <cell r="F313">
            <v>15.3</v>
          </cell>
          <cell r="G313">
            <v>7.1000000000000005</v>
          </cell>
          <cell r="N313">
            <v>3424</v>
          </cell>
          <cell r="O313">
            <v>2545</v>
          </cell>
          <cell r="P313">
            <v>2295</v>
          </cell>
          <cell r="Q313">
            <v>1199</v>
          </cell>
          <cell r="AC313">
            <v>399</v>
          </cell>
        </row>
        <row r="314">
          <cell r="B314">
            <v>7</v>
          </cell>
          <cell r="E314">
            <v>8128</v>
          </cell>
          <cell r="F314">
            <v>15.700000000000001</v>
          </cell>
          <cell r="G314">
            <v>7</v>
          </cell>
          <cell r="N314">
            <v>3463</v>
          </cell>
          <cell r="O314">
            <v>2456</v>
          </cell>
          <cell r="P314">
            <v>2207</v>
          </cell>
          <cell r="Q314">
            <v>1297</v>
          </cell>
          <cell r="AC314">
            <v>398</v>
          </cell>
        </row>
        <row r="315">
          <cell r="B315">
            <v>7</v>
          </cell>
          <cell r="E315">
            <v>8138</v>
          </cell>
          <cell r="F315">
            <v>15.100000000000001</v>
          </cell>
          <cell r="G315">
            <v>6.8000000000000007</v>
          </cell>
          <cell r="N315">
            <v>3393</v>
          </cell>
          <cell r="O315">
            <v>2544</v>
          </cell>
          <cell r="P315">
            <v>2208</v>
          </cell>
          <cell r="Q315">
            <v>1205</v>
          </cell>
          <cell r="AC315">
            <v>393</v>
          </cell>
        </row>
        <row r="316">
          <cell r="B316">
            <v>6.7</v>
          </cell>
          <cell r="E316">
            <v>7795</v>
          </cell>
          <cell r="F316">
            <v>14.8</v>
          </cell>
          <cell r="G316">
            <v>6.7</v>
          </cell>
          <cell r="N316">
            <v>3333</v>
          </cell>
          <cell r="O316">
            <v>2414</v>
          </cell>
          <cell r="P316">
            <v>2089</v>
          </cell>
          <cell r="Q316">
            <v>1087</v>
          </cell>
          <cell r="AC316">
            <v>390</v>
          </cell>
        </row>
        <row r="317">
          <cell r="B317">
            <v>7.2</v>
          </cell>
          <cell r="E317">
            <v>8402</v>
          </cell>
          <cell r="F317">
            <v>15.200000000000001</v>
          </cell>
          <cell r="G317">
            <v>6.9</v>
          </cell>
          <cell r="N317">
            <v>3516</v>
          </cell>
          <cell r="O317">
            <v>2569</v>
          </cell>
          <cell r="P317">
            <v>2308</v>
          </cell>
          <cell r="Q317">
            <v>1183</v>
          </cell>
          <cell r="AC317">
            <v>364</v>
          </cell>
        </row>
        <row r="318">
          <cell r="B318">
            <v>7.2</v>
          </cell>
          <cell r="E318">
            <v>8383</v>
          </cell>
          <cell r="F318">
            <v>14.600000000000001</v>
          </cell>
          <cell r="G318">
            <v>6.8000000000000007</v>
          </cell>
          <cell r="N318">
            <v>3540</v>
          </cell>
          <cell r="O318">
            <v>2586</v>
          </cell>
          <cell r="P318">
            <v>2261</v>
          </cell>
          <cell r="Q318">
            <v>1173</v>
          </cell>
          <cell r="AC318">
            <v>375</v>
          </cell>
        </row>
        <row r="319">
          <cell r="B319">
            <v>7.1000000000000005</v>
          </cell>
          <cell r="E319">
            <v>8364</v>
          </cell>
          <cell r="F319">
            <v>14.700000000000001</v>
          </cell>
          <cell r="G319">
            <v>6.7</v>
          </cell>
          <cell r="N319">
            <v>3598</v>
          </cell>
          <cell r="O319">
            <v>2666</v>
          </cell>
          <cell r="P319">
            <v>2162</v>
          </cell>
          <cell r="Q319">
            <v>1174</v>
          </cell>
          <cell r="AC319">
            <v>396</v>
          </cell>
        </row>
        <row r="320">
          <cell r="B320">
            <v>7.2</v>
          </cell>
          <cell r="E320">
            <v>8439</v>
          </cell>
          <cell r="F320">
            <v>14.700000000000001</v>
          </cell>
          <cell r="G320">
            <v>6.8000000000000007</v>
          </cell>
          <cell r="N320">
            <v>3586</v>
          </cell>
          <cell r="O320">
            <v>2670</v>
          </cell>
          <cell r="P320">
            <v>2232</v>
          </cell>
          <cell r="Q320">
            <v>1168</v>
          </cell>
          <cell r="AC320">
            <v>391</v>
          </cell>
        </row>
        <row r="321">
          <cell r="B321">
            <v>7.2</v>
          </cell>
          <cell r="E321">
            <v>8508</v>
          </cell>
          <cell r="F321">
            <v>15.200000000000001</v>
          </cell>
          <cell r="G321">
            <v>7</v>
          </cell>
          <cell r="N321">
            <v>3489</v>
          </cell>
          <cell r="O321">
            <v>2705</v>
          </cell>
          <cell r="P321">
            <v>2320</v>
          </cell>
          <cell r="Q321">
            <v>1280</v>
          </cell>
          <cell r="AC321">
            <v>373</v>
          </cell>
        </row>
        <row r="322">
          <cell r="B322">
            <v>7</v>
          </cell>
          <cell r="E322">
            <v>8319</v>
          </cell>
          <cell r="F322">
            <v>15.200000000000001</v>
          </cell>
          <cell r="G322">
            <v>6.9</v>
          </cell>
          <cell r="N322">
            <v>3446</v>
          </cell>
          <cell r="O322">
            <v>2548</v>
          </cell>
          <cell r="P322">
            <v>2269</v>
          </cell>
          <cell r="Q322">
            <v>1213</v>
          </cell>
          <cell r="AC322">
            <v>371</v>
          </cell>
        </row>
        <row r="323">
          <cell r="B323">
            <v>6.9</v>
          </cell>
          <cell r="E323">
            <v>8135</v>
          </cell>
          <cell r="F323">
            <v>15.5</v>
          </cell>
          <cell r="G323">
            <v>7.1000000000000005</v>
          </cell>
          <cell r="N323">
            <v>3439</v>
          </cell>
          <cell r="O323">
            <v>2398</v>
          </cell>
          <cell r="P323">
            <v>2276</v>
          </cell>
          <cell r="Q323">
            <v>1192</v>
          </cell>
          <cell r="AC323">
            <v>416</v>
          </cell>
        </row>
        <row r="324">
          <cell r="B324">
            <v>7</v>
          </cell>
          <cell r="E324">
            <v>8310</v>
          </cell>
          <cell r="F324">
            <v>15.4</v>
          </cell>
          <cell r="G324">
            <v>7.4</v>
          </cell>
          <cell r="N324">
            <v>3405</v>
          </cell>
          <cell r="O324">
            <v>2642</v>
          </cell>
          <cell r="P324">
            <v>2318</v>
          </cell>
          <cell r="Q324">
            <v>1237</v>
          </cell>
          <cell r="AC324">
            <v>401</v>
          </cell>
        </row>
        <row r="325">
          <cell r="B325">
            <v>7</v>
          </cell>
          <cell r="E325">
            <v>8243</v>
          </cell>
          <cell r="F325">
            <v>15.200000000000001</v>
          </cell>
          <cell r="G325">
            <v>7</v>
          </cell>
          <cell r="N325">
            <v>3416</v>
          </cell>
          <cell r="O325">
            <v>2599</v>
          </cell>
          <cell r="P325">
            <v>2188</v>
          </cell>
          <cell r="Q325">
            <v>1214</v>
          </cell>
          <cell r="AC325">
            <v>389</v>
          </cell>
        </row>
        <row r="326">
          <cell r="B326">
            <v>6.9</v>
          </cell>
          <cell r="E326">
            <v>8159</v>
          </cell>
          <cell r="F326">
            <v>15</v>
          </cell>
          <cell r="G326">
            <v>7.1000000000000005</v>
          </cell>
          <cell r="N326">
            <v>3343</v>
          </cell>
          <cell r="O326">
            <v>2630</v>
          </cell>
          <cell r="P326">
            <v>2202</v>
          </cell>
          <cell r="Q326">
            <v>1165</v>
          </cell>
          <cell r="AC326">
            <v>364</v>
          </cell>
        </row>
        <row r="327">
          <cell r="B327">
            <v>6.6000000000000005</v>
          </cell>
          <cell r="E327">
            <v>7883</v>
          </cell>
          <cell r="F327">
            <v>15</v>
          </cell>
          <cell r="G327">
            <v>7.1000000000000005</v>
          </cell>
          <cell r="N327">
            <v>3297</v>
          </cell>
          <cell r="O327">
            <v>2397</v>
          </cell>
          <cell r="P327">
            <v>2161</v>
          </cell>
          <cell r="Q327">
            <v>1150</v>
          </cell>
          <cell r="AC327">
            <v>366</v>
          </cell>
        </row>
        <row r="328">
          <cell r="B328">
            <v>6.6000000000000005</v>
          </cell>
          <cell r="E328">
            <v>7892</v>
          </cell>
          <cell r="F328">
            <v>14.9</v>
          </cell>
          <cell r="G328">
            <v>6.9</v>
          </cell>
          <cell r="N328">
            <v>3390</v>
          </cell>
          <cell r="O328">
            <v>2399</v>
          </cell>
          <cell r="P328">
            <v>2168</v>
          </cell>
          <cell r="Q328">
            <v>1140</v>
          </cell>
          <cell r="AC328">
            <v>345</v>
          </cell>
        </row>
        <row r="329">
          <cell r="B329">
            <v>6.6000000000000005</v>
          </cell>
          <cell r="E329">
            <v>7865</v>
          </cell>
          <cell r="F329">
            <v>14.700000000000001</v>
          </cell>
          <cell r="G329">
            <v>6.6000000000000005</v>
          </cell>
          <cell r="N329">
            <v>3323</v>
          </cell>
          <cell r="O329">
            <v>2415</v>
          </cell>
          <cell r="P329">
            <v>2117</v>
          </cell>
          <cell r="Q329">
            <v>1113</v>
          </cell>
          <cell r="AC329">
            <v>370</v>
          </cell>
        </row>
        <row r="330">
          <cell r="B330">
            <v>6.6000000000000005</v>
          </cell>
          <cell r="E330">
            <v>7862</v>
          </cell>
          <cell r="F330">
            <v>14.9</v>
          </cell>
          <cell r="G330">
            <v>6.6000000000000005</v>
          </cell>
          <cell r="N330">
            <v>3386</v>
          </cell>
          <cell r="O330">
            <v>2393</v>
          </cell>
          <cell r="P330">
            <v>2070</v>
          </cell>
          <cell r="Q330">
            <v>1121</v>
          </cell>
          <cell r="AC330">
            <v>348</v>
          </cell>
        </row>
        <row r="331">
          <cell r="B331">
            <v>6.3000000000000007</v>
          </cell>
          <cell r="E331">
            <v>7542</v>
          </cell>
          <cell r="F331">
            <v>14.8</v>
          </cell>
          <cell r="G331">
            <v>7.1000000000000005</v>
          </cell>
          <cell r="N331">
            <v>3162</v>
          </cell>
          <cell r="O331">
            <v>2236</v>
          </cell>
          <cell r="P331">
            <v>2091</v>
          </cell>
          <cell r="Q331">
            <v>1079</v>
          </cell>
          <cell r="AC331">
            <v>326</v>
          </cell>
        </row>
        <row r="332">
          <cell r="B332">
            <v>6.3000000000000007</v>
          </cell>
          <cell r="E332">
            <v>7574</v>
          </cell>
          <cell r="F332">
            <v>14.9</v>
          </cell>
          <cell r="G332">
            <v>6.6000000000000005</v>
          </cell>
          <cell r="N332">
            <v>3315</v>
          </cell>
          <cell r="O332">
            <v>2100</v>
          </cell>
          <cell r="P332">
            <v>2104</v>
          </cell>
          <cell r="Q332">
            <v>1112</v>
          </cell>
          <cell r="AC332">
            <v>330</v>
          </cell>
        </row>
        <row r="333">
          <cell r="B333">
            <v>6.2</v>
          </cell>
          <cell r="E333">
            <v>7398</v>
          </cell>
          <cell r="F333">
            <v>14.9</v>
          </cell>
          <cell r="G333">
            <v>6.5</v>
          </cell>
          <cell r="N333">
            <v>3167</v>
          </cell>
          <cell r="O333">
            <v>2173</v>
          </cell>
          <cell r="P333">
            <v>2087</v>
          </cell>
          <cell r="Q333">
            <v>1075</v>
          </cell>
          <cell r="AC333">
            <v>326</v>
          </cell>
        </row>
        <row r="334">
          <cell r="B334">
            <v>6.1000000000000005</v>
          </cell>
          <cell r="E334">
            <v>7268</v>
          </cell>
          <cell r="F334">
            <v>14.200000000000001</v>
          </cell>
          <cell r="G334">
            <v>6.5</v>
          </cell>
          <cell r="N334">
            <v>3217</v>
          </cell>
          <cell r="O334">
            <v>2146</v>
          </cell>
          <cell r="P334">
            <v>1921</v>
          </cell>
          <cell r="Q334">
            <v>983</v>
          </cell>
          <cell r="AC334">
            <v>326</v>
          </cell>
        </row>
        <row r="335">
          <cell r="B335">
            <v>6</v>
          </cell>
          <cell r="E335">
            <v>7261</v>
          </cell>
          <cell r="F335">
            <v>14.4</v>
          </cell>
          <cell r="G335">
            <v>6.4</v>
          </cell>
          <cell r="N335">
            <v>3191</v>
          </cell>
          <cell r="O335">
            <v>2155</v>
          </cell>
          <cell r="P335">
            <v>1878</v>
          </cell>
          <cell r="Q335">
            <v>1045</v>
          </cell>
          <cell r="AC335">
            <v>348</v>
          </cell>
        </row>
        <row r="336">
          <cell r="B336">
            <v>5.9</v>
          </cell>
          <cell r="E336">
            <v>7102</v>
          </cell>
          <cell r="F336">
            <v>14.200000000000001</v>
          </cell>
          <cell r="G336">
            <v>6</v>
          </cell>
          <cell r="N336">
            <v>3224</v>
          </cell>
          <cell r="O336">
            <v>2031</v>
          </cell>
          <cell r="P336">
            <v>1866</v>
          </cell>
          <cell r="Q336">
            <v>989</v>
          </cell>
          <cell r="AC336">
            <v>322</v>
          </cell>
        </row>
        <row r="337">
          <cell r="B337">
            <v>6</v>
          </cell>
          <cell r="E337">
            <v>7227</v>
          </cell>
          <cell r="F337">
            <v>14</v>
          </cell>
          <cell r="G337">
            <v>6.3000000000000007</v>
          </cell>
          <cell r="N337">
            <v>3241</v>
          </cell>
          <cell r="O337">
            <v>2162</v>
          </cell>
          <cell r="P337">
            <v>1794</v>
          </cell>
          <cell r="Q337">
            <v>956</v>
          </cell>
          <cell r="AC337">
            <v>317</v>
          </cell>
        </row>
        <row r="338">
          <cell r="B338">
            <v>5.8000000000000007</v>
          </cell>
          <cell r="E338">
            <v>7035</v>
          </cell>
          <cell r="F338">
            <v>14</v>
          </cell>
          <cell r="G338">
            <v>6.2</v>
          </cell>
          <cell r="N338">
            <v>3172</v>
          </cell>
          <cell r="O338">
            <v>2083</v>
          </cell>
          <cell r="P338">
            <v>1797</v>
          </cell>
          <cell r="Q338">
            <v>926</v>
          </cell>
          <cell r="AC338">
            <v>289</v>
          </cell>
        </row>
        <row r="339">
          <cell r="B339">
            <v>5.7</v>
          </cell>
          <cell r="E339">
            <v>6936</v>
          </cell>
          <cell r="F339">
            <v>14.200000000000001</v>
          </cell>
          <cell r="G339">
            <v>6</v>
          </cell>
          <cell r="N339">
            <v>3178</v>
          </cell>
          <cell r="O339">
            <v>1979</v>
          </cell>
          <cell r="P339">
            <v>1767</v>
          </cell>
          <cell r="Q339">
            <v>900</v>
          </cell>
          <cell r="AC339">
            <v>306</v>
          </cell>
        </row>
        <row r="340">
          <cell r="B340">
            <v>5.7</v>
          </cell>
          <cell r="E340">
            <v>6953</v>
          </cell>
          <cell r="F340">
            <v>14.200000000000001</v>
          </cell>
          <cell r="G340">
            <v>6.2</v>
          </cell>
          <cell r="N340">
            <v>3086</v>
          </cell>
          <cell r="O340">
            <v>2151</v>
          </cell>
          <cell r="P340">
            <v>1714</v>
          </cell>
          <cell r="Q340">
            <v>869</v>
          </cell>
          <cell r="AC340">
            <v>315</v>
          </cell>
        </row>
        <row r="341">
          <cell r="B341">
            <v>5.7</v>
          </cell>
          <cell r="E341">
            <v>6929</v>
          </cell>
          <cell r="F341">
            <v>14.4</v>
          </cell>
          <cell r="G341">
            <v>6.3000000000000007</v>
          </cell>
          <cell r="N341">
            <v>3057</v>
          </cell>
          <cell r="O341">
            <v>2110</v>
          </cell>
          <cell r="P341">
            <v>1738</v>
          </cell>
          <cell r="Q341">
            <v>888</v>
          </cell>
          <cell r="AC341">
            <v>342</v>
          </cell>
        </row>
        <row r="342">
          <cell r="B342">
            <v>5.7</v>
          </cell>
          <cell r="E342">
            <v>6876</v>
          </cell>
          <cell r="F342">
            <v>13.700000000000001</v>
          </cell>
          <cell r="G342">
            <v>6.4</v>
          </cell>
          <cell r="N342">
            <v>3042</v>
          </cell>
          <cell r="O342">
            <v>2087</v>
          </cell>
          <cell r="P342">
            <v>1744</v>
          </cell>
          <cell r="Q342">
            <v>848</v>
          </cell>
          <cell r="AC342">
            <v>319</v>
          </cell>
        </row>
        <row r="343">
          <cell r="B343">
            <v>5.4</v>
          </cell>
          <cell r="E343">
            <v>6601</v>
          </cell>
          <cell r="F343">
            <v>13.3</v>
          </cell>
          <cell r="G343">
            <v>5.9</v>
          </cell>
          <cell r="N343">
            <v>3107</v>
          </cell>
          <cell r="O343">
            <v>1930</v>
          </cell>
          <cell r="P343">
            <v>1563</v>
          </cell>
          <cell r="Q343">
            <v>810</v>
          </cell>
          <cell r="AC343">
            <v>309</v>
          </cell>
        </row>
        <row r="344">
          <cell r="B344">
            <v>5.6000000000000005</v>
          </cell>
          <cell r="E344">
            <v>6779</v>
          </cell>
          <cell r="F344">
            <v>13.8</v>
          </cell>
          <cell r="G344">
            <v>5.9</v>
          </cell>
          <cell r="N344">
            <v>3095</v>
          </cell>
          <cell r="O344">
            <v>2036</v>
          </cell>
          <cell r="P344">
            <v>1647</v>
          </cell>
          <cell r="Q344">
            <v>846</v>
          </cell>
          <cell r="AC344">
            <v>313</v>
          </cell>
        </row>
        <row r="345">
          <cell r="B345">
            <v>5.4</v>
          </cell>
          <cell r="E345">
            <v>6546</v>
          </cell>
          <cell r="F345">
            <v>13.100000000000001</v>
          </cell>
          <cell r="G345">
            <v>5.8000000000000007</v>
          </cell>
          <cell r="N345">
            <v>3101</v>
          </cell>
          <cell r="O345">
            <v>1924</v>
          </cell>
          <cell r="P345">
            <v>1531</v>
          </cell>
          <cell r="Q345">
            <v>805</v>
          </cell>
          <cell r="AC345">
            <v>313</v>
          </cell>
        </row>
        <row r="346">
          <cell r="B346">
            <v>5.4</v>
          </cell>
          <cell r="E346">
            <v>6605</v>
          </cell>
          <cell r="F346">
            <v>13.4</v>
          </cell>
          <cell r="G346">
            <v>6.1000000000000005</v>
          </cell>
          <cell r="N346">
            <v>2998</v>
          </cell>
          <cell r="O346">
            <v>2067</v>
          </cell>
          <cell r="P346">
            <v>1601</v>
          </cell>
          <cell r="Q346">
            <v>796</v>
          </cell>
          <cell r="AC346">
            <v>305</v>
          </cell>
        </row>
        <row r="347">
          <cell r="B347">
            <v>5.6000000000000005</v>
          </cell>
          <cell r="E347">
            <v>6843</v>
          </cell>
          <cell r="F347">
            <v>13.600000000000001</v>
          </cell>
          <cell r="G347">
            <v>5.9</v>
          </cell>
          <cell r="N347">
            <v>3172</v>
          </cell>
          <cell r="O347">
            <v>1973</v>
          </cell>
          <cell r="P347">
            <v>1639</v>
          </cell>
          <cell r="Q347">
            <v>795</v>
          </cell>
          <cell r="AC347">
            <v>331</v>
          </cell>
        </row>
        <row r="348">
          <cell r="B348">
            <v>5.4</v>
          </cell>
          <cell r="E348">
            <v>6604</v>
          </cell>
          <cell r="F348">
            <v>13.600000000000001</v>
          </cell>
          <cell r="G348">
            <v>5.7</v>
          </cell>
          <cell r="N348">
            <v>3152</v>
          </cell>
          <cell r="O348">
            <v>1880</v>
          </cell>
          <cell r="P348">
            <v>1569</v>
          </cell>
          <cell r="Q348">
            <v>813</v>
          </cell>
          <cell r="AC348">
            <v>315</v>
          </cell>
        </row>
        <row r="349">
          <cell r="B349">
            <v>5.4</v>
          </cell>
          <cell r="E349">
            <v>6568</v>
          </cell>
          <cell r="F349">
            <v>13.4</v>
          </cell>
          <cell r="G349">
            <v>5.6000000000000005</v>
          </cell>
          <cell r="N349">
            <v>3106</v>
          </cell>
          <cell r="O349">
            <v>1864</v>
          </cell>
          <cell r="P349">
            <v>1562</v>
          </cell>
          <cell r="Q349">
            <v>768</v>
          </cell>
          <cell r="AC349">
            <v>292</v>
          </cell>
        </row>
        <row r="350">
          <cell r="B350">
            <v>5.3000000000000007</v>
          </cell>
          <cell r="E350">
            <v>6537</v>
          </cell>
          <cell r="F350">
            <v>12.600000000000001</v>
          </cell>
          <cell r="G350">
            <v>5.7</v>
          </cell>
          <cell r="N350">
            <v>3097</v>
          </cell>
          <cell r="O350">
            <v>1967</v>
          </cell>
          <cell r="P350">
            <v>1468</v>
          </cell>
          <cell r="Q350">
            <v>703</v>
          </cell>
          <cell r="AC350">
            <v>294</v>
          </cell>
        </row>
        <row r="351">
          <cell r="B351">
            <v>5.3000000000000007</v>
          </cell>
          <cell r="E351">
            <v>6518</v>
          </cell>
          <cell r="F351">
            <v>12.9</v>
          </cell>
          <cell r="G351">
            <v>5.9</v>
          </cell>
          <cell r="N351">
            <v>2972</v>
          </cell>
          <cell r="O351">
            <v>2023</v>
          </cell>
          <cell r="P351">
            <v>1490</v>
          </cell>
          <cell r="Q351">
            <v>739</v>
          </cell>
          <cell r="AC351">
            <v>299</v>
          </cell>
        </row>
        <row r="352">
          <cell r="B352">
            <v>5.4</v>
          </cell>
          <cell r="E352">
            <v>6682</v>
          </cell>
          <cell r="F352">
            <v>12.600000000000001</v>
          </cell>
          <cell r="G352">
            <v>5.6000000000000005</v>
          </cell>
          <cell r="N352">
            <v>3146</v>
          </cell>
          <cell r="O352">
            <v>2010</v>
          </cell>
          <cell r="P352">
            <v>1480</v>
          </cell>
          <cell r="Q352">
            <v>732</v>
          </cell>
          <cell r="AC352">
            <v>304</v>
          </cell>
        </row>
        <row r="353">
          <cell r="B353">
            <v>5.2</v>
          </cell>
          <cell r="E353">
            <v>6359</v>
          </cell>
          <cell r="F353">
            <v>12.4</v>
          </cell>
          <cell r="G353">
            <v>5.4</v>
          </cell>
          <cell r="N353">
            <v>3194</v>
          </cell>
          <cell r="O353">
            <v>1877</v>
          </cell>
          <cell r="P353">
            <v>1304</v>
          </cell>
          <cell r="Q353">
            <v>635</v>
          </cell>
          <cell r="AC353">
            <v>295</v>
          </cell>
        </row>
        <row r="354">
          <cell r="B354">
            <v>5</v>
          </cell>
          <cell r="E354">
            <v>6205</v>
          </cell>
          <cell r="F354">
            <v>12.3</v>
          </cell>
          <cell r="G354">
            <v>5.4</v>
          </cell>
          <cell r="N354">
            <v>3042</v>
          </cell>
          <cell r="O354">
            <v>1850</v>
          </cell>
          <cell r="P354">
            <v>1353</v>
          </cell>
          <cell r="Q354">
            <v>670</v>
          </cell>
          <cell r="AC354">
            <v>300</v>
          </cell>
        </row>
        <row r="355">
          <cell r="B355">
            <v>5.2</v>
          </cell>
          <cell r="E355">
            <v>6468</v>
          </cell>
          <cell r="F355">
            <v>12.5</v>
          </cell>
          <cell r="G355">
            <v>5.4</v>
          </cell>
          <cell r="N355">
            <v>3110</v>
          </cell>
          <cell r="O355">
            <v>1984</v>
          </cell>
          <cell r="P355">
            <v>1397</v>
          </cell>
          <cell r="Q355">
            <v>717</v>
          </cell>
          <cell r="AC355">
            <v>323</v>
          </cell>
        </row>
        <row r="356">
          <cell r="B356">
            <v>5.2</v>
          </cell>
          <cell r="E356">
            <v>6375</v>
          </cell>
          <cell r="F356">
            <v>12</v>
          </cell>
          <cell r="G356">
            <v>5.3000000000000007</v>
          </cell>
          <cell r="N356">
            <v>3052</v>
          </cell>
          <cell r="O356">
            <v>1987</v>
          </cell>
          <cell r="P356">
            <v>1348</v>
          </cell>
          <cell r="Q356">
            <v>634</v>
          </cell>
          <cell r="AC356">
            <v>311</v>
          </cell>
        </row>
        <row r="357">
          <cell r="B357">
            <v>5.3000000000000007</v>
          </cell>
          <cell r="E357">
            <v>6577</v>
          </cell>
          <cell r="F357">
            <v>11.100000000000001</v>
          </cell>
          <cell r="G357">
            <v>5.4</v>
          </cell>
          <cell r="N357">
            <v>3303</v>
          </cell>
          <cell r="O357">
            <v>2020</v>
          </cell>
          <cell r="P357">
            <v>1300</v>
          </cell>
          <cell r="Q357">
            <v>613</v>
          </cell>
          <cell r="AC357">
            <v>325</v>
          </cell>
        </row>
        <row r="358">
          <cell r="B358">
            <v>5.2</v>
          </cell>
          <cell r="E358">
            <v>6495</v>
          </cell>
          <cell r="F358">
            <v>11.8</v>
          </cell>
          <cell r="G358">
            <v>5.6000000000000005</v>
          </cell>
          <cell r="N358">
            <v>3173</v>
          </cell>
          <cell r="O358">
            <v>1961</v>
          </cell>
          <cell r="P358">
            <v>1435</v>
          </cell>
          <cell r="Q358">
            <v>621</v>
          </cell>
          <cell r="AC358">
            <v>349</v>
          </cell>
        </row>
        <row r="359">
          <cell r="B359">
            <v>5.2</v>
          </cell>
          <cell r="E359">
            <v>6511</v>
          </cell>
          <cell r="F359">
            <v>11.4</v>
          </cell>
          <cell r="G359">
            <v>5</v>
          </cell>
          <cell r="N359">
            <v>3090</v>
          </cell>
          <cell r="O359">
            <v>2038</v>
          </cell>
          <cell r="P359">
            <v>1302</v>
          </cell>
          <cell r="Q359">
            <v>560</v>
          </cell>
          <cell r="AC359">
            <v>337</v>
          </cell>
        </row>
        <row r="360">
          <cell r="B360">
            <v>5.3000000000000007</v>
          </cell>
          <cell r="E360">
            <v>6590</v>
          </cell>
          <cell r="F360">
            <v>11.5</v>
          </cell>
          <cell r="G360">
            <v>4.9000000000000004</v>
          </cell>
          <cell r="N360">
            <v>3214</v>
          </cell>
          <cell r="O360">
            <v>1981</v>
          </cell>
          <cell r="P360">
            <v>1360</v>
          </cell>
          <cell r="Q360">
            <v>599</v>
          </cell>
          <cell r="AC360">
            <v>329</v>
          </cell>
        </row>
        <row r="361">
          <cell r="B361">
            <v>5.3000000000000007</v>
          </cell>
          <cell r="E361">
            <v>6630</v>
          </cell>
          <cell r="F361">
            <v>11.9</v>
          </cell>
          <cell r="G361">
            <v>4.9000000000000004</v>
          </cell>
          <cell r="N361">
            <v>3218</v>
          </cell>
          <cell r="O361">
            <v>1992</v>
          </cell>
          <cell r="P361">
            <v>1392</v>
          </cell>
          <cell r="Q361">
            <v>646</v>
          </cell>
          <cell r="AC361">
            <v>347</v>
          </cell>
        </row>
        <row r="362">
          <cell r="B362">
            <v>5.4</v>
          </cell>
          <cell r="E362">
            <v>6725</v>
          </cell>
          <cell r="F362">
            <v>11.700000000000001</v>
          </cell>
          <cell r="G362">
            <v>4.8000000000000007</v>
          </cell>
          <cell r="N362">
            <v>3247</v>
          </cell>
          <cell r="O362">
            <v>2035</v>
          </cell>
          <cell r="P362">
            <v>1418</v>
          </cell>
          <cell r="Q362">
            <v>655</v>
          </cell>
          <cell r="AC362">
            <v>354</v>
          </cell>
        </row>
        <row r="363">
          <cell r="B363">
            <v>5.4</v>
          </cell>
          <cell r="E363">
            <v>6667</v>
          </cell>
          <cell r="F363">
            <v>11.600000000000001</v>
          </cell>
          <cell r="G363">
            <v>4.9000000000000004</v>
          </cell>
          <cell r="N363">
            <v>3275</v>
          </cell>
          <cell r="O363">
            <v>1987</v>
          </cell>
          <cell r="P363">
            <v>1375</v>
          </cell>
          <cell r="Q363">
            <v>635</v>
          </cell>
          <cell r="AC363">
            <v>344</v>
          </cell>
        </row>
        <row r="364">
          <cell r="B364">
            <v>5.4</v>
          </cell>
          <cell r="E364">
            <v>6752</v>
          </cell>
          <cell r="F364">
            <v>11.8</v>
          </cell>
          <cell r="G364">
            <v>5.1000000000000005</v>
          </cell>
          <cell r="N364">
            <v>3189</v>
          </cell>
          <cell r="O364">
            <v>2091</v>
          </cell>
          <cell r="P364">
            <v>1412</v>
          </cell>
          <cell r="Q364">
            <v>646</v>
          </cell>
          <cell r="AC364">
            <v>358</v>
          </cell>
        </row>
        <row r="365">
          <cell r="B365">
            <v>5.3000000000000007</v>
          </cell>
          <cell r="E365">
            <v>6651</v>
          </cell>
          <cell r="F365">
            <v>11.600000000000001</v>
          </cell>
          <cell r="G365">
            <v>5.3000000000000007</v>
          </cell>
          <cell r="N365">
            <v>3223</v>
          </cell>
          <cell r="O365">
            <v>2066</v>
          </cell>
          <cell r="P365">
            <v>1350</v>
          </cell>
          <cell r="Q365">
            <v>624</v>
          </cell>
          <cell r="AC365">
            <v>345</v>
          </cell>
        </row>
        <row r="366">
          <cell r="B366">
            <v>5.2</v>
          </cell>
          <cell r="E366">
            <v>6598</v>
          </cell>
          <cell r="F366">
            <v>11.700000000000001</v>
          </cell>
          <cell r="G366">
            <v>5.1000000000000005</v>
          </cell>
          <cell r="N366">
            <v>3206</v>
          </cell>
          <cell r="O366">
            <v>2101</v>
          </cell>
          <cell r="P366">
            <v>1331</v>
          </cell>
          <cell r="Q366">
            <v>637</v>
          </cell>
          <cell r="AC366">
            <v>350</v>
          </cell>
        </row>
        <row r="367">
          <cell r="B367">
            <v>5.4</v>
          </cell>
          <cell r="E367">
            <v>6797</v>
          </cell>
          <cell r="F367">
            <v>11.8</v>
          </cell>
          <cell r="G367">
            <v>4.8000000000000007</v>
          </cell>
          <cell r="N367">
            <v>3269</v>
          </cell>
          <cell r="O367">
            <v>2171</v>
          </cell>
          <cell r="P367">
            <v>1376</v>
          </cell>
          <cell r="Q367">
            <v>649</v>
          </cell>
          <cell r="AC367">
            <v>346</v>
          </cell>
        </row>
        <row r="368">
          <cell r="B368">
            <v>5.4</v>
          </cell>
          <cell r="E368">
            <v>6742</v>
          </cell>
          <cell r="F368">
            <v>11.700000000000001</v>
          </cell>
          <cell r="G368">
            <v>5.2</v>
          </cell>
          <cell r="N368">
            <v>3117</v>
          </cell>
          <cell r="O368">
            <v>2269</v>
          </cell>
          <cell r="P368">
            <v>1415</v>
          </cell>
          <cell r="Q368">
            <v>644</v>
          </cell>
          <cell r="AC368">
            <v>363</v>
          </cell>
        </row>
        <row r="369">
          <cell r="B369">
            <v>5.2</v>
          </cell>
          <cell r="E369">
            <v>6590</v>
          </cell>
          <cell r="F369">
            <v>11.600000000000001</v>
          </cell>
          <cell r="G369">
            <v>5.2</v>
          </cell>
          <cell r="N369">
            <v>3151</v>
          </cell>
          <cell r="O369">
            <v>2118</v>
          </cell>
          <cell r="P369">
            <v>1436</v>
          </cell>
          <cell r="Q369">
            <v>640</v>
          </cell>
          <cell r="AC369">
            <v>368</v>
          </cell>
        </row>
        <row r="370">
          <cell r="B370">
            <v>5.5</v>
          </cell>
          <cell r="E370">
            <v>6922</v>
          </cell>
          <cell r="F370">
            <v>11.9</v>
          </cell>
          <cell r="G370">
            <v>5.4</v>
          </cell>
          <cell r="N370">
            <v>3221</v>
          </cell>
          <cell r="O370">
            <v>2240</v>
          </cell>
          <cell r="P370">
            <v>1534</v>
          </cell>
          <cell r="Q370">
            <v>688</v>
          </cell>
          <cell r="AC370">
            <v>364</v>
          </cell>
        </row>
        <row r="371">
          <cell r="B371">
            <v>5.7</v>
          </cell>
          <cell r="E371">
            <v>7188</v>
          </cell>
          <cell r="F371">
            <v>12.200000000000001</v>
          </cell>
          <cell r="G371">
            <v>5.4</v>
          </cell>
          <cell r="N371">
            <v>3320</v>
          </cell>
          <cell r="O371">
            <v>2254</v>
          </cell>
          <cell r="P371">
            <v>1607</v>
          </cell>
          <cell r="Q371">
            <v>730</v>
          </cell>
          <cell r="AC371">
            <v>369</v>
          </cell>
        </row>
        <row r="372">
          <cell r="B372">
            <v>5.9</v>
          </cell>
          <cell r="E372">
            <v>7368</v>
          </cell>
          <cell r="F372">
            <v>12.4</v>
          </cell>
          <cell r="G372">
            <v>5.6000000000000005</v>
          </cell>
          <cell r="N372">
            <v>3280</v>
          </cell>
          <cell r="O372">
            <v>2374</v>
          </cell>
          <cell r="P372">
            <v>1695</v>
          </cell>
          <cell r="Q372">
            <v>781</v>
          </cell>
          <cell r="AC372">
            <v>392</v>
          </cell>
        </row>
        <row r="373">
          <cell r="B373">
            <v>5.9</v>
          </cell>
          <cell r="E373">
            <v>7459</v>
          </cell>
          <cell r="F373">
            <v>12.200000000000001</v>
          </cell>
          <cell r="G373">
            <v>5.8000000000000007</v>
          </cell>
          <cell r="N373">
            <v>3347</v>
          </cell>
          <cell r="O373">
            <v>2416</v>
          </cell>
          <cell r="P373">
            <v>1689</v>
          </cell>
          <cell r="Q373">
            <v>778</v>
          </cell>
          <cell r="AC373">
            <v>404</v>
          </cell>
        </row>
        <row r="374">
          <cell r="B374">
            <v>6.2</v>
          </cell>
          <cell r="E374">
            <v>7764</v>
          </cell>
          <cell r="F374">
            <v>12.4</v>
          </cell>
          <cell r="G374">
            <v>5.7</v>
          </cell>
          <cell r="N374">
            <v>3442</v>
          </cell>
          <cell r="O374">
            <v>2465</v>
          </cell>
          <cell r="P374">
            <v>1831</v>
          </cell>
          <cell r="Q374">
            <v>833</v>
          </cell>
          <cell r="AC374">
            <v>440</v>
          </cell>
        </row>
        <row r="375">
          <cell r="B375">
            <v>6.3000000000000007</v>
          </cell>
          <cell r="E375">
            <v>7901</v>
          </cell>
          <cell r="F375">
            <v>12.5</v>
          </cell>
          <cell r="G375">
            <v>5.9</v>
          </cell>
          <cell r="N375">
            <v>3462</v>
          </cell>
          <cell r="O375">
            <v>2565</v>
          </cell>
          <cell r="P375">
            <v>1804</v>
          </cell>
          <cell r="Q375">
            <v>831</v>
          </cell>
          <cell r="AC375">
            <v>451</v>
          </cell>
        </row>
        <row r="376">
          <cell r="B376">
            <v>6.4</v>
          </cell>
          <cell r="E376">
            <v>8015</v>
          </cell>
          <cell r="F376">
            <v>12.200000000000001</v>
          </cell>
          <cell r="G376">
            <v>6</v>
          </cell>
          <cell r="N376">
            <v>3470</v>
          </cell>
          <cell r="O376">
            <v>2630</v>
          </cell>
          <cell r="P376">
            <v>1866</v>
          </cell>
          <cell r="Q376">
            <v>868</v>
          </cell>
          <cell r="AC376">
            <v>454</v>
          </cell>
        </row>
        <row r="377">
          <cell r="B377">
            <v>6.6000000000000005</v>
          </cell>
          <cell r="E377">
            <v>8265</v>
          </cell>
          <cell r="F377">
            <v>12.700000000000001</v>
          </cell>
          <cell r="G377">
            <v>6.2</v>
          </cell>
          <cell r="N377">
            <v>3585</v>
          </cell>
          <cell r="O377">
            <v>2729</v>
          </cell>
          <cell r="P377">
            <v>1955</v>
          </cell>
          <cell r="Q377">
            <v>904</v>
          </cell>
          <cell r="AC377">
            <v>483</v>
          </cell>
        </row>
        <row r="378">
          <cell r="B378">
            <v>6.8000000000000007</v>
          </cell>
          <cell r="E378">
            <v>8586</v>
          </cell>
          <cell r="F378">
            <v>12.9</v>
          </cell>
          <cell r="G378">
            <v>6.7</v>
          </cell>
          <cell r="N378">
            <v>3539</v>
          </cell>
          <cell r="O378">
            <v>2930</v>
          </cell>
          <cell r="P378">
            <v>2137</v>
          </cell>
          <cell r="Q378">
            <v>951</v>
          </cell>
          <cell r="AC378">
            <v>488</v>
          </cell>
        </row>
        <row r="379">
          <cell r="B379">
            <v>6.7</v>
          </cell>
          <cell r="E379">
            <v>8439</v>
          </cell>
          <cell r="F379">
            <v>13.5</v>
          </cell>
          <cell r="G379">
            <v>6.6000000000000005</v>
          </cell>
          <cell r="N379">
            <v>3400</v>
          </cell>
          <cell r="O379">
            <v>2801</v>
          </cell>
          <cell r="P379">
            <v>2206</v>
          </cell>
          <cell r="Q379">
            <v>979</v>
          </cell>
          <cell r="AC379">
            <v>499</v>
          </cell>
        </row>
        <row r="380">
          <cell r="B380">
            <v>6.9</v>
          </cell>
          <cell r="E380">
            <v>8736</v>
          </cell>
          <cell r="F380">
            <v>12.9</v>
          </cell>
          <cell r="G380">
            <v>6.4</v>
          </cell>
          <cell r="N380">
            <v>3621</v>
          </cell>
          <cell r="O380">
            <v>2864</v>
          </cell>
          <cell r="P380">
            <v>2252</v>
          </cell>
          <cell r="Q380">
            <v>1044</v>
          </cell>
          <cell r="AC380">
            <v>462</v>
          </cell>
        </row>
        <row r="381">
          <cell r="B381">
            <v>6.9</v>
          </cell>
          <cell r="E381">
            <v>8692</v>
          </cell>
          <cell r="F381">
            <v>13.700000000000001</v>
          </cell>
          <cell r="G381">
            <v>6.9</v>
          </cell>
          <cell r="N381">
            <v>3428</v>
          </cell>
          <cell r="O381">
            <v>2862</v>
          </cell>
          <cell r="P381">
            <v>2533</v>
          </cell>
          <cell r="Q381">
            <v>1109</v>
          </cell>
          <cell r="AC381">
            <v>432</v>
          </cell>
        </row>
        <row r="382">
          <cell r="B382">
            <v>6.8000000000000007</v>
          </cell>
          <cell r="E382">
            <v>8586</v>
          </cell>
          <cell r="F382">
            <v>13.8</v>
          </cell>
          <cell r="G382">
            <v>7</v>
          </cell>
          <cell r="N382">
            <v>3422</v>
          </cell>
          <cell r="O382">
            <v>2803</v>
          </cell>
          <cell r="P382">
            <v>2388</v>
          </cell>
          <cell r="Q382">
            <v>1108</v>
          </cell>
          <cell r="AC382">
            <v>418</v>
          </cell>
        </row>
        <row r="383">
          <cell r="B383">
            <v>6.9</v>
          </cell>
          <cell r="E383">
            <v>8666</v>
          </cell>
          <cell r="F383">
            <v>13.9</v>
          </cell>
          <cell r="G383">
            <v>7.3000000000000007</v>
          </cell>
          <cell r="N383">
            <v>3446</v>
          </cell>
          <cell r="O383">
            <v>2752</v>
          </cell>
          <cell r="P383">
            <v>2460</v>
          </cell>
          <cell r="Q383">
            <v>1168</v>
          </cell>
          <cell r="AC383">
            <v>423</v>
          </cell>
        </row>
        <row r="384">
          <cell r="B384">
            <v>6.9</v>
          </cell>
          <cell r="E384">
            <v>8722</v>
          </cell>
          <cell r="F384">
            <v>14</v>
          </cell>
          <cell r="G384">
            <v>6.8000000000000007</v>
          </cell>
          <cell r="N384">
            <v>3478</v>
          </cell>
          <cell r="O384">
            <v>2734</v>
          </cell>
          <cell r="P384">
            <v>2497</v>
          </cell>
          <cell r="Q384">
            <v>1191</v>
          </cell>
          <cell r="AC384">
            <v>425</v>
          </cell>
        </row>
        <row r="385">
          <cell r="B385">
            <v>7</v>
          </cell>
          <cell r="E385">
            <v>8842</v>
          </cell>
          <cell r="F385">
            <v>14.4</v>
          </cell>
          <cell r="G385">
            <v>7.2</v>
          </cell>
          <cell r="N385">
            <v>3473</v>
          </cell>
          <cell r="O385">
            <v>2779</v>
          </cell>
          <cell r="P385">
            <v>2638</v>
          </cell>
          <cell r="Q385">
            <v>1235</v>
          </cell>
          <cell r="AC385">
            <v>437</v>
          </cell>
        </row>
        <row r="386">
          <cell r="B386">
            <v>7</v>
          </cell>
          <cell r="E386">
            <v>8931</v>
          </cell>
          <cell r="F386">
            <v>14.8</v>
          </cell>
          <cell r="G386">
            <v>7.5</v>
          </cell>
          <cell r="N386">
            <v>3460</v>
          </cell>
          <cell r="O386">
            <v>2781</v>
          </cell>
          <cell r="P386">
            <v>2718</v>
          </cell>
          <cell r="Q386">
            <v>1376</v>
          </cell>
          <cell r="AC386">
            <v>447</v>
          </cell>
        </row>
        <row r="387">
          <cell r="B387">
            <v>7.3000000000000007</v>
          </cell>
          <cell r="E387">
            <v>9198</v>
          </cell>
          <cell r="F387">
            <v>15.4</v>
          </cell>
          <cell r="G387">
            <v>7.8000000000000007</v>
          </cell>
          <cell r="N387">
            <v>3473</v>
          </cell>
          <cell r="O387">
            <v>2813</v>
          </cell>
          <cell r="P387">
            <v>2892</v>
          </cell>
          <cell r="Q387">
            <v>1504</v>
          </cell>
          <cell r="AC387">
            <v>444</v>
          </cell>
        </row>
        <row r="388">
          <cell r="B388">
            <v>7.3000000000000007</v>
          </cell>
          <cell r="E388">
            <v>9283</v>
          </cell>
          <cell r="F388">
            <v>16.100000000000001</v>
          </cell>
          <cell r="G388">
            <v>8.1</v>
          </cell>
          <cell r="N388">
            <v>3398</v>
          </cell>
          <cell r="O388">
            <v>2826</v>
          </cell>
          <cell r="P388">
            <v>3060</v>
          </cell>
          <cell r="Q388">
            <v>1623</v>
          </cell>
          <cell r="AC388">
            <v>441</v>
          </cell>
        </row>
        <row r="389">
          <cell r="B389">
            <v>7.4</v>
          </cell>
          <cell r="E389">
            <v>9454</v>
          </cell>
          <cell r="F389">
            <v>16.7</v>
          </cell>
          <cell r="G389">
            <v>8.2000000000000011</v>
          </cell>
          <cell r="N389">
            <v>3277</v>
          </cell>
          <cell r="O389">
            <v>2953</v>
          </cell>
          <cell r="P389">
            <v>3182</v>
          </cell>
          <cell r="Q389">
            <v>1704</v>
          </cell>
          <cell r="AC389">
            <v>440</v>
          </cell>
        </row>
        <row r="390">
          <cell r="B390">
            <v>7.4</v>
          </cell>
          <cell r="E390">
            <v>9460</v>
          </cell>
          <cell r="F390">
            <v>17.100000000000001</v>
          </cell>
          <cell r="G390">
            <v>8.3000000000000007</v>
          </cell>
          <cell r="N390">
            <v>3412</v>
          </cell>
          <cell r="O390">
            <v>2801</v>
          </cell>
          <cell r="P390">
            <v>3196</v>
          </cell>
          <cell r="Q390">
            <v>1771</v>
          </cell>
          <cell r="AC390">
            <v>444</v>
          </cell>
        </row>
        <row r="391">
          <cell r="B391">
            <v>7.4</v>
          </cell>
          <cell r="E391">
            <v>9415</v>
          </cell>
          <cell r="F391">
            <v>17.400000000000002</v>
          </cell>
          <cell r="G391">
            <v>8.5</v>
          </cell>
          <cell r="N391">
            <v>3296</v>
          </cell>
          <cell r="O391">
            <v>2821</v>
          </cell>
          <cell r="P391">
            <v>3130</v>
          </cell>
          <cell r="Q391">
            <v>1750</v>
          </cell>
          <cell r="AC391">
            <v>420</v>
          </cell>
        </row>
        <row r="392">
          <cell r="B392">
            <v>7.6000000000000005</v>
          </cell>
          <cell r="E392">
            <v>9744</v>
          </cell>
          <cell r="F392">
            <v>17.8</v>
          </cell>
          <cell r="G392">
            <v>8.8000000000000007</v>
          </cell>
          <cell r="N392">
            <v>3417</v>
          </cell>
          <cell r="O392">
            <v>2788</v>
          </cell>
          <cell r="P392">
            <v>3444</v>
          </cell>
          <cell r="Q392">
            <v>1984</v>
          </cell>
          <cell r="AC392">
            <v>431</v>
          </cell>
        </row>
        <row r="393">
          <cell r="B393">
            <v>7.8000000000000007</v>
          </cell>
          <cell r="E393">
            <v>10040</v>
          </cell>
          <cell r="F393">
            <v>18.2</v>
          </cell>
          <cell r="G393">
            <v>8.7000000000000011</v>
          </cell>
          <cell r="N393">
            <v>3518</v>
          </cell>
          <cell r="O393">
            <v>2809</v>
          </cell>
          <cell r="P393">
            <v>3758</v>
          </cell>
          <cell r="Q393">
            <v>2150</v>
          </cell>
          <cell r="AC393">
            <v>411</v>
          </cell>
        </row>
        <row r="394">
          <cell r="B394">
            <v>7.7</v>
          </cell>
          <cell r="E394">
            <v>9850</v>
          </cell>
          <cell r="F394">
            <v>18.100000000000001</v>
          </cell>
          <cell r="G394">
            <v>8.6</v>
          </cell>
          <cell r="N394">
            <v>3438</v>
          </cell>
          <cell r="O394">
            <v>2832</v>
          </cell>
          <cell r="P394">
            <v>3614</v>
          </cell>
          <cell r="Q394">
            <v>2124</v>
          </cell>
          <cell r="AC394">
            <v>420</v>
          </cell>
        </row>
        <row r="395">
          <cell r="B395">
            <v>7.6000000000000005</v>
          </cell>
          <cell r="E395">
            <v>9787</v>
          </cell>
          <cell r="F395">
            <v>18</v>
          </cell>
          <cell r="G395">
            <v>8.8000000000000007</v>
          </cell>
          <cell r="N395">
            <v>3436</v>
          </cell>
          <cell r="O395">
            <v>2840</v>
          </cell>
          <cell r="P395">
            <v>3579</v>
          </cell>
          <cell r="Q395">
            <v>2073</v>
          </cell>
          <cell r="AC395">
            <v>423</v>
          </cell>
        </row>
        <row r="396">
          <cell r="B396">
            <v>7.6000000000000005</v>
          </cell>
          <cell r="E396">
            <v>9781</v>
          </cell>
          <cell r="F396">
            <v>18.100000000000001</v>
          </cell>
          <cell r="G396">
            <v>8.6</v>
          </cell>
          <cell r="N396">
            <v>3428</v>
          </cell>
          <cell r="O396">
            <v>2882</v>
          </cell>
          <cell r="P396">
            <v>3504</v>
          </cell>
          <cell r="Q396">
            <v>2111</v>
          </cell>
          <cell r="AC396">
            <v>408</v>
          </cell>
        </row>
        <row r="397">
          <cell r="B397">
            <v>7.3000000000000007</v>
          </cell>
          <cell r="E397">
            <v>9398</v>
          </cell>
          <cell r="F397">
            <v>18.900000000000002</v>
          </cell>
          <cell r="G397">
            <v>9</v>
          </cell>
          <cell r="N397">
            <v>3356</v>
          </cell>
          <cell r="O397">
            <v>2630</v>
          </cell>
          <cell r="P397">
            <v>3505</v>
          </cell>
          <cell r="Q397">
            <v>2194</v>
          </cell>
          <cell r="AC397">
            <v>409</v>
          </cell>
        </row>
        <row r="398">
          <cell r="B398">
            <v>7.4</v>
          </cell>
          <cell r="E398">
            <v>9565</v>
          </cell>
          <cell r="F398">
            <v>17.900000000000002</v>
          </cell>
          <cell r="G398">
            <v>9</v>
          </cell>
          <cell r="N398">
            <v>3317</v>
          </cell>
          <cell r="O398">
            <v>2923</v>
          </cell>
          <cell r="P398">
            <v>3397</v>
          </cell>
          <cell r="Q398">
            <v>1992</v>
          </cell>
          <cell r="AC398">
            <v>365</v>
          </cell>
        </row>
        <row r="399">
          <cell r="B399">
            <v>7.4</v>
          </cell>
          <cell r="E399">
            <v>9557</v>
          </cell>
          <cell r="F399">
            <v>19</v>
          </cell>
          <cell r="G399">
            <v>9.3000000000000007</v>
          </cell>
          <cell r="N399">
            <v>3189</v>
          </cell>
          <cell r="O399">
            <v>2759</v>
          </cell>
          <cell r="P399">
            <v>3651</v>
          </cell>
          <cell r="Q399">
            <v>2056</v>
          </cell>
          <cell r="AC399">
            <v>341</v>
          </cell>
        </row>
        <row r="400">
          <cell r="B400">
            <v>7.3000000000000007</v>
          </cell>
          <cell r="E400">
            <v>9325</v>
          </cell>
          <cell r="F400">
            <v>18.3</v>
          </cell>
          <cell r="G400">
            <v>8.6</v>
          </cell>
          <cell r="N400">
            <v>3299</v>
          </cell>
          <cell r="O400">
            <v>2649</v>
          </cell>
          <cell r="P400">
            <v>3346</v>
          </cell>
          <cell r="Q400">
            <v>1966</v>
          </cell>
          <cell r="AC400">
            <v>341</v>
          </cell>
        </row>
        <row r="401">
          <cell r="B401">
            <v>7.1000000000000005</v>
          </cell>
          <cell r="E401">
            <v>9183</v>
          </cell>
          <cell r="F401">
            <v>18.2</v>
          </cell>
          <cell r="G401">
            <v>8.5</v>
          </cell>
          <cell r="N401">
            <v>3461</v>
          </cell>
          <cell r="O401">
            <v>2580</v>
          </cell>
          <cell r="P401">
            <v>3190</v>
          </cell>
          <cell r="Q401">
            <v>1907</v>
          </cell>
          <cell r="AC401">
            <v>340</v>
          </cell>
        </row>
        <row r="402">
          <cell r="B402">
            <v>7</v>
          </cell>
          <cell r="E402">
            <v>9056</v>
          </cell>
          <cell r="F402">
            <v>17.600000000000001</v>
          </cell>
          <cell r="G402">
            <v>8.5</v>
          </cell>
          <cell r="N402">
            <v>3260</v>
          </cell>
          <cell r="O402">
            <v>2666</v>
          </cell>
          <cell r="P402">
            <v>3115</v>
          </cell>
          <cell r="Q402">
            <v>1806</v>
          </cell>
          <cell r="AC402">
            <v>362</v>
          </cell>
        </row>
        <row r="403">
          <cell r="B403">
            <v>7.1000000000000005</v>
          </cell>
          <cell r="E403">
            <v>9110</v>
          </cell>
          <cell r="F403">
            <v>17.600000000000001</v>
          </cell>
          <cell r="G403">
            <v>8.4</v>
          </cell>
          <cell r="N403">
            <v>3350</v>
          </cell>
          <cell r="O403">
            <v>2620</v>
          </cell>
          <cell r="P403">
            <v>3014</v>
          </cell>
          <cell r="Q403">
            <v>1633</v>
          </cell>
          <cell r="AC403">
            <v>366</v>
          </cell>
        </row>
        <row r="404">
          <cell r="B404">
            <v>7.1000000000000005</v>
          </cell>
          <cell r="E404">
            <v>9149</v>
          </cell>
          <cell r="F404">
            <v>17.5</v>
          </cell>
          <cell r="G404">
            <v>8.1</v>
          </cell>
          <cell r="N404">
            <v>3363</v>
          </cell>
          <cell r="O404">
            <v>2617</v>
          </cell>
          <cell r="P404">
            <v>3101</v>
          </cell>
          <cell r="Q404">
            <v>1776</v>
          </cell>
          <cell r="AC404">
            <v>343</v>
          </cell>
        </row>
        <row r="405">
          <cell r="B405">
            <v>7</v>
          </cell>
          <cell r="E405">
            <v>9121</v>
          </cell>
          <cell r="F405">
            <v>17.8</v>
          </cell>
          <cell r="G405">
            <v>8.3000000000000007</v>
          </cell>
          <cell r="N405">
            <v>3218</v>
          </cell>
          <cell r="O405">
            <v>2778</v>
          </cell>
          <cell r="P405">
            <v>3141</v>
          </cell>
          <cell r="Q405">
            <v>1786</v>
          </cell>
          <cell r="AC405">
            <v>349</v>
          </cell>
        </row>
        <row r="406">
          <cell r="B406">
            <v>6.9</v>
          </cell>
          <cell r="E406">
            <v>8930</v>
          </cell>
          <cell r="F406">
            <v>17.7</v>
          </cell>
          <cell r="G406">
            <v>8.2000000000000011</v>
          </cell>
          <cell r="N406">
            <v>3292</v>
          </cell>
          <cell r="O406">
            <v>2586</v>
          </cell>
          <cell r="P406">
            <v>3046</v>
          </cell>
          <cell r="Q406">
            <v>1770</v>
          </cell>
          <cell r="AC406">
            <v>340</v>
          </cell>
        </row>
        <row r="407">
          <cell r="B407">
            <v>6.8000000000000007</v>
          </cell>
          <cell r="E407">
            <v>8763</v>
          </cell>
          <cell r="F407">
            <v>18</v>
          </cell>
          <cell r="G407">
            <v>8.2000000000000011</v>
          </cell>
          <cell r="N407">
            <v>3176</v>
          </cell>
          <cell r="O407">
            <v>2595</v>
          </cell>
          <cell r="P407">
            <v>3026</v>
          </cell>
          <cell r="Q407">
            <v>1770</v>
          </cell>
          <cell r="AC407">
            <v>356</v>
          </cell>
        </row>
        <row r="408">
          <cell r="B408">
            <v>6.7</v>
          </cell>
          <cell r="E408">
            <v>8714</v>
          </cell>
          <cell r="F408">
            <v>18.100000000000001</v>
          </cell>
          <cell r="G408">
            <v>8.3000000000000007</v>
          </cell>
          <cell r="N408">
            <v>3127</v>
          </cell>
          <cell r="O408">
            <v>2516</v>
          </cell>
          <cell r="P408">
            <v>3042</v>
          </cell>
          <cell r="Q408">
            <v>1756</v>
          </cell>
          <cell r="AC408">
            <v>337</v>
          </cell>
        </row>
        <row r="409">
          <cell r="B409">
            <v>6.8000000000000007</v>
          </cell>
          <cell r="E409">
            <v>8750</v>
          </cell>
          <cell r="F409">
            <v>18.100000000000001</v>
          </cell>
          <cell r="G409">
            <v>8</v>
          </cell>
          <cell r="N409">
            <v>3336</v>
          </cell>
          <cell r="O409">
            <v>2514</v>
          </cell>
          <cell r="P409">
            <v>3029</v>
          </cell>
          <cell r="Q409">
            <v>1809</v>
          </cell>
          <cell r="AC409">
            <v>333</v>
          </cell>
        </row>
        <row r="410">
          <cell r="B410">
            <v>6.6000000000000005</v>
          </cell>
          <cell r="E410">
            <v>8542</v>
          </cell>
          <cell r="F410">
            <v>18.600000000000001</v>
          </cell>
          <cell r="G410">
            <v>8.3000000000000007</v>
          </cell>
          <cell r="N410">
            <v>3087</v>
          </cell>
          <cell r="O410">
            <v>2518</v>
          </cell>
          <cell r="P410">
            <v>2986</v>
          </cell>
          <cell r="Q410">
            <v>1800</v>
          </cell>
          <cell r="AC410">
            <v>348</v>
          </cell>
        </row>
        <row r="411">
          <cell r="B411">
            <v>6.5</v>
          </cell>
          <cell r="E411">
            <v>8477</v>
          </cell>
          <cell r="F411">
            <v>18.3</v>
          </cell>
          <cell r="G411">
            <v>8.3000000000000007</v>
          </cell>
          <cell r="N411">
            <v>3246</v>
          </cell>
          <cell r="O411">
            <v>2362</v>
          </cell>
          <cell r="P411">
            <v>2968</v>
          </cell>
          <cell r="Q411">
            <v>1782</v>
          </cell>
          <cell r="AC411">
            <v>337</v>
          </cell>
        </row>
        <row r="412">
          <cell r="B412">
            <v>6.6000000000000005</v>
          </cell>
          <cell r="E412">
            <v>8630</v>
          </cell>
          <cell r="F412">
            <v>18.600000000000001</v>
          </cell>
          <cell r="G412">
            <v>8.6</v>
          </cell>
          <cell r="H412">
            <v>600</v>
          </cell>
          <cell r="I412">
            <v>1521</v>
          </cell>
          <cell r="N412">
            <v>3184</v>
          </cell>
          <cell r="O412">
            <v>2384</v>
          </cell>
          <cell r="P412">
            <v>3060</v>
          </cell>
          <cell r="Q412">
            <v>1733</v>
          </cell>
          <cell r="AC412">
            <v>341</v>
          </cell>
        </row>
        <row r="413">
          <cell r="B413">
            <v>6.6000000000000005</v>
          </cell>
          <cell r="E413">
            <v>8583</v>
          </cell>
          <cell r="F413">
            <v>19</v>
          </cell>
          <cell r="G413">
            <v>9.2000000000000011</v>
          </cell>
          <cell r="H413">
            <v>489</v>
          </cell>
          <cell r="I413">
            <v>1462</v>
          </cell>
          <cell r="N413">
            <v>2652</v>
          </cell>
          <cell r="O413">
            <v>2714</v>
          </cell>
          <cell r="P413">
            <v>3118</v>
          </cell>
          <cell r="Q413">
            <v>1759</v>
          </cell>
          <cell r="AC413">
            <v>406</v>
          </cell>
        </row>
        <row r="414">
          <cell r="B414">
            <v>6.5</v>
          </cell>
          <cell r="E414">
            <v>8470</v>
          </cell>
          <cell r="F414">
            <v>19</v>
          </cell>
          <cell r="G414">
            <v>9.3000000000000007</v>
          </cell>
          <cell r="H414">
            <v>533</v>
          </cell>
          <cell r="I414">
            <v>1299</v>
          </cell>
          <cell r="N414">
            <v>2789</v>
          </cell>
          <cell r="O414">
            <v>2543</v>
          </cell>
          <cell r="P414">
            <v>3055</v>
          </cell>
          <cell r="Q414">
            <v>1780</v>
          </cell>
          <cell r="AC414">
            <v>327</v>
          </cell>
        </row>
        <row r="415">
          <cell r="B415">
            <v>6.4</v>
          </cell>
          <cell r="E415">
            <v>8331</v>
          </cell>
          <cell r="F415">
            <v>19</v>
          </cell>
          <cell r="G415">
            <v>9.1</v>
          </cell>
          <cell r="H415">
            <v>502</v>
          </cell>
          <cell r="I415">
            <v>1267</v>
          </cell>
          <cell r="N415">
            <v>2842</v>
          </cell>
          <cell r="O415">
            <v>2430</v>
          </cell>
          <cell r="P415">
            <v>2921</v>
          </cell>
          <cell r="Q415">
            <v>1746</v>
          </cell>
          <cell r="AC415">
            <v>342</v>
          </cell>
        </row>
        <row r="416">
          <cell r="B416">
            <v>6.1000000000000005</v>
          </cell>
          <cell r="E416">
            <v>7915</v>
          </cell>
          <cell r="F416">
            <v>19.5</v>
          </cell>
          <cell r="G416">
            <v>9.2000000000000011</v>
          </cell>
          <cell r="H416">
            <v>436</v>
          </cell>
          <cell r="I416">
            <v>1222</v>
          </cell>
          <cell r="N416">
            <v>2652</v>
          </cell>
          <cell r="O416">
            <v>2462</v>
          </cell>
          <cell r="P416">
            <v>2836</v>
          </cell>
          <cell r="Q416">
            <v>1696</v>
          </cell>
          <cell r="AC416">
            <v>344</v>
          </cell>
        </row>
        <row r="417">
          <cell r="B417">
            <v>6.1000000000000005</v>
          </cell>
          <cell r="E417">
            <v>7927</v>
          </cell>
          <cell r="F417">
            <v>18.8</v>
          </cell>
          <cell r="G417">
            <v>9.3000000000000007</v>
          </cell>
          <cell r="H417">
            <v>532</v>
          </cell>
          <cell r="I417">
            <v>1244</v>
          </cell>
          <cell r="N417">
            <v>2757</v>
          </cell>
          <cell r="O417">
            <v>2449</v>
          </cell>
          <cell r="P417">
            <v>2735</v>
          </cell>
          <cell r="Q417">
            <v>1580</v>
          </cell>
          <cell r="AC417">
            <v>348</v>
          </cell>
        </row>
        <row r="418">
          <cell r="B418">
            <v>6.1000000000000005</v>
          </cell>
          <cell r="E418">
            <v>7946</v>
          </cell>
          <cell r="F418">
            <v>19</v>
          </cell>
          <cell r="G418">
            <v>9</v>
          </cell>
          <cell r="H418">
            <v>542</v>
          </cell>
          <cell r="I418">
            <v>1302</v>
          </cell>
          <cell r="N418">
            <v>2820</v>
          </cell>
          <cell r="O418">
            <v>2316</v>
          </cell>
          <cell r="P418">
            <v>2822</v>
          </cell>
          <cell r="Q418">
            <v>1562</v>
          </cell>
          <cell r="AC418">
            <v>334</v>
          </cell>
        </row>
        <row r="419">
          <cell r="B419">
            <v>6</v>
          </cell>
          <cell r="E419">
            <v>7933</v>
          </cell>
          <cell r="F419">
            <v>18.8</v>
          </cell>
          <cell r="G419">
            <v>8.9</v>
          </cell>
          <cell r="H419">
            <v>489</v>
          </cell>
          <cell r="I419">
            <v>1237</v>
          </cell>
          <cell r="N419">
            <v>2671</v>
          </cell>
          <cell r="O419">
            <v>2569</v>
          </cell>
          <cell r="P419">
            <v>2750</v>
          </cell>
          <cell r="Q419">
            <v>1569</v>
          </cell>
          <cell r="AC419">
            <v>332</v>
          </cell>
        </row>
        <row r="420">
          <cell r="B420">
            <v>5.9</v>
          </cell>
          <cell r="E420">
            <v>7734</v>
          </cell>
          <cell r="F420">
            <v>18.7</v>
          </cell>
          <cell r="G420">
            <v>9.2000000000000011</v>
          </cell>
          <cell r="H420">
            <v>521</v>
          </cell>
          <cell r="I420">
            <v>1337</v>
          </cell>
          <cell r="N420">
            <v>2671</v>
          </cell>
          <cell r="O420">
            <v>2317</v>
          </cell>
          <cell r="P420">
            <v>2746</v>
          </cell>
          <cell r="Q420">
            <v>1543</v>
          </cell>
          <cell r="AC420">
            <v>341</v>
          </cell>
        </row>
        <row r="421">
          <cell r="B421">
            <v>5.8000000000000007</v>
          </cell>
          <cell r="E421">
            <v>7632</v>
          </cell>
          <cell r="F421">
            <v>19.3</v>
          </cell>
          <cell r="G421">
            <v>10</v>
          </cell>
          <cell r="H421">
            <v>460</v>
          </cell>
          <cell r="I421">
            <v>1202</v>
          </cell>
          <cell r="N421">
            <v>2424</v>
          </cell>
          <cell r="O421">
            <v>2283</v>
          </cell>
          <cell r="P421">
            <v>2955</v>
          </cell>
          <cell r="Q421">
            <v>1591</v>
          </cell>
          <cell r="AC421">
            <v>330</v>
          </cell>
        </row>
        <row r="422">
          <cell r="B422">
            <v>5.6000000000000005</v>
          </cell>
          <cell r="E422">
            <v>7375</v>
          </cell>
          <cell r="F422">
            <v>18</v>
          </cell>
          <cell r="G422">
            <v>9</v>
          </cell>
          <cell r="H422">
            <v>447</v>
          </cell>
          <cell r="I422">
            <v>1226</v>
          </cell>
          <cell r="N422">
            <v>2619</v>
          </cell>
          <cell r="O422">
            <v>2164</v>
          </cell>
          <cell r="P422">
            <v>2666</v>
          </cell>
          <cell r="Q422">
            <v>1470</v>
          </cell>
          <cell r="AC422">
            <v>331</v>
          </cell>
        </row>
        <row r="423">
          <cell r="B423">
            <v>5.5</v>
          </cell>
          <cell r="E423">
            <v>7230</v>
          </cell>
          <cell r="F423">
            <v>17.8</v>
          </cell>
          <cell r="G423">
            <v>8.7000000000000011</v>
          </cell>
          <cell r="H423">
            <v>445</v>
          </cell>
          <cell r="I423">
            <v>1366</v>
          </cell>
          <cell r="N423">
            <v>2581</v>
          </cell>
          <cell r="O423">
            <v>2146</v>
          </cell>
          <cell r="P423">
            <v>2488</v>
          </cell>
          <cell r="Q423">
            <v>1367</v>
          </cell>
          <cell r="AC423">
            <v>329</v>
          </cell>
        </row>
        <row r="424">
          <cell r="B424">
            <v>5.6000000000000005</v>
          </cell>
          <cell r="E424">
            <v>7375</v>
          </cell>
          <cell r="F424">
            <v>17.100000000000001</v>
          </cell>
          <cell r="G424">
            <v>8</v>
          </cell>
          <cell r="H424">
            <v>440</v>
          </cell>
          <cell r="I424">
            <v>1343</v>
          </cell>
          <cell r="N424">
            <v>2764</v>
          </cell>
          <cell r="O424">
            <v>2164</v>
          </cell>
          <cell r="P424">
            <v>2396</v>
          </cell>
          <cell r="Q424">
            <v>1340</v>
          </cell>
          <cell r="AC424">
            <v>319</v>
          </cell>
        </row>
        <row r="425">
          <cell r="B425">
            <v>5.4</v>
          </cell>
          <cell r="E425">
            <v>7187</v>
          </cell>
          <cell r="F425">
            <v>17</v>
          </cell>
          <cell r="G425">
            <v>8.1</v>
          </cell>
          <cell r="H425">
            <v>439</v>
          </cell>
          <cell r="I425">
            <v>1282</v>
          </cell>
          <cell r="N425">
            <v>2578</v>
          </cell>
          <cell r="O425">
            <v>2197</v>
          </cell>
          <cell r="P425">
            <v>2345</v>
          </cell>
          <cell r="Q425">
            <v>1226</v>
          </cell>
          <cell r="AC425">
            <v>324</v>
          </cell>
        </row>
        <row r="426">
          <cell r="B426">
            <v>5.4</v>
          </cell>
          <cell r="E426">
            <v>7153</v>
          </cell>
          <cell r="F426">
            <v>17.3</v>
          </cell>
          <cell r="G426">
            <v>8.3000000000000007</v>
          </cell>
          <cell r="H426">
            <v>454</v>
          </cell>
          <cell r="I426">
            <v>1278</v>
          </cell>
          <cell r="N426">
            <v>2572</v>
          </cell>
          <cell r="O426">
            <v>2276</v>
          </cell>
          <cell r="P426">
            <v>2287</v>
          </cell>
          <cell r="Q426">
            <v>1338</v>
          </cell>
          <cell r="AC426">
            <v>336</v>
          </cell>
        </row>
        <row r="427">
          <cell r="B427">
            <v>5.8000000000000007</v>
          </cell>
          <cell r="E427">
            <v>7645</v>
          </cell>
          <cell r="F427">
            <v>17.600000000000001</v>
          </cell>
          <cell r="G427">
            <v>8.3000000000000007</v>
          </cell>
          <cell r="H427">
            <v>385</v>
          </cell>
          <cell r="I427">
            <v>1006</v>
          </cell>
          <cell r="N427">
            <v>2730</v>
          </cell>
          <cell r="O427">
            <v>2370</v>
          </cell>
          <cell r="P427">
            <v>2473</v>
          </cell>
          <cell r="Q427">
            <v>1413</v>
          </cell>
          <cell r="AC427">
            <v>335</v>
          </cell>
        </row>
        <row r="428">
          <cell r="B428">
            <v>5.6000000000000005</v>
          </cell>
          <cell r="E428">
            <v>7430</v>
          </cell>
          <cell r="F428">
            <v>17</v>
          </cell>
          <cell r="G428">
            <v>9.1</v>
          </cell>
          <cell r="H428">
            <v>398</v>
          </cell>
          <cell r="I428">
            <v>1106</v>
          </cell>
          <cell r="N428">
            <v>2603</v>
          </cell>
          <cell r="O428">
            <v>2332</v>
          </cell>
          <cell r="P428">
            <v>2577</v>
          </cell>
          <cell r="Q428">
            <v>1316</v>
          </cell>
          <cell r="AC428">
            <v>365</v>
          </cell>
        </row>
        <row r="429">
          <cell r="B429">
            <v>5.6000000000000005</v>
          </cell>
          <cell r="E429">
            <v>7427</v>
          </cell>
          <cell r="F429">
            <v>15.9</v>
          </cell>
          <cell r="G429">
            <v>7.9</v>
          </cell>
          <cell r="H429">
            <v>364</v>
          </cell>
          <cell r="I429">
            <v>1209</v>
          </cell>
          <cell r="N429">
            <v>2744</v>
          </cell>
          <cell r="O429">
            <v>2354</v>
          </cell>
          <cell r="P429">
            <v>2266</v>
          </cell>
          <cell r="Q429">
            <v>1235</v>
          </cell>
          <cell r="AC429">
            <v>374</v>
          </cell>
        </row>
        <row r="430">
          <cell r="B430">
            <v>5.7</v>
          </cell>
          <cell r="E430">
            <v>7527</v>
          </cell>
          <cell r="F430">
            <v>16.5</v>
          </cell>
          <cell r="G430">
            <v>8.5</v>
          </cell>
          <cell r="H430">
            <v>456</v>
          </cell>
          <cell r="I430">
            <v>1112</v>
          </cell>
          <cell r="N430">
            <v>2627</v>
          </cell>
          <cell r="O430">
            <v>2565</v>
          </cell>
          <cell r="P430">
            <v>2311</v>
          </cell>
          <cell r="Q430">
            <v>1250</v>
          </cell>
          <cell r="AC430">
            <v>355</v>
          </cell>
        </row>
        <row r="431">
          <cell r="B431">
            <v>5.7</v>
          </cell>
          <cell r="E431">
            <v>7484</v>
          </cell>
          <cell r="F431">
            <v>16.2</v>
          </cell>
          <cell r="G431">
            <v>8.3000000000000007</v>
          </cell>
          <cell r="H431">
            <v>410</v>
          </cell>
          <cell r="I431">
            <v>1101</v>
          </cell>
          <cell r="N431">
            <v>2732</v>
          </cell>
          <cell r="O431">
            <v>2434</v>
          </cell>
          <cell r="P431">
            <v>2391</v>
          </cell>
          <cell r="Q431">
            <v>1235</v>
          </cell>
          <cell r="AC431">
            <v>351</v>
          </cell>
        </row>
        <row r="432">
          <cell r="B432">
            <v>5.6000000000000005</v>
          </cell>
          <cell r="E432">
            <v>7478</v>
          </cell>
          <cell r="F432">
            <v>16.2</v>
          </cell>
          <cell r="G432">
            <v>7.9</v>
          </cell>
          <cell r="H432">
            <v>341</v>
          </cell>
          <cell r="I432">
            <v>1242</v>
          </cell>
          <cell r="N432">
            <v>2857</v>
          </cell>
          <cell r="O432">
            <v>2296</v>
          </cell>
          <cell r="P432">
            <v>2306</v>
          </cell>
          <cell r="Q432">
            <v>1261</v>
          </cell>
          <cell r="AC432">
            <v>355</v>
          </cell>
        </row>
        <row r="433">
          <cell r="B433">
            <v>5.5</v>
          </cell>
          <cell r="E433">
            <v>7328</v>
          </cell>
          <cell r="F433">
            <v>16</v>
          </cell>
          <cell r="G433">
            <v>8.2000000000000011</v>
          </cell>
          <cell r="H433">
            <v>412</v>
          </cell>
          <cell r="I433">
            <v>1175</v>
          </cell>
          <cell r="N433">
            <v>2725</v>
          </cell>
          <cell r="O433">
            <v>2380</v>
          </cell>
          <cell r="P433">
            <v>2272</v>
          </cell>
          <cell r="Q433">
            <v>1220</v>
          </cell>
          <cell r="AC433">
            <v>355</v>
          </cell>
        </row>
        <row r="434">
          <cell r="B434">
            <v>5.6000000000000005</v>
          </cell>
          <cell r="E434">
            <v>7426</v>
          </cell>
          <cell r="F434">
            <v>16.400000000000002</v>
          </cell>
          <cell r="G434">
            <v>8</v>
          </cell>
          <cell r="H434">
            <v>401</v>
          </cell>
          <cell r="I434">
            <v>1141</v>
          </cell>
          <cell r="N434">
            <v>2812</v>
          </cell>
          <cell r="O434">
            <v>2353</v>
          </cell>
          <cell r="P434">
            <v>2339</v>
          </cell>
          <cell r="Q434">
            <v>1254</v>
          </cell>
          <cell r="AC434">
            <v>377</v>
          </cell>
        </row>
        <row r="435">
          <cell r="B435">
            <v>5.6000000000000005</v>
          </cell>
          <cell r="E435">
            <v>7423</v>
          </cell>
          <cell r="F435">
            <v>16.3</v>
          </cell>
          <cell r="G435">
            <v>8.3000000000000007</v>
          </cell>
          <cell r="H435">
            <v>425</v>
          </cell>
          <cell r="I435">
            <v>1194</v>
          </cell>
          <cell r="N435">
            <v>2662</v>
          </cell>
          <cell r="O435">
            <v>2414</v>
          </cell>
          <cell r="P435">
            <v>2331</v>
          </cell>
          <cell r="Q435">
            <v>1214</v>
          </cell>
          <cell r="AC435">
            <v>373</v>
          </cell>
        </row>
        <row r="436">
          <cell r="B436">
            <v>5.6000000000000005</v>
          </cell>
          <cell r="E436">
            <v>7491</v>
          </cell>
          <cell r="F436">
            <v>16.100000000000001</v>
          </cell>
          <cell r="G436">
            <v>8.3000000000000007</v>
          </cell>
          <cell r="H436">
            <v>409</v>
          </cell>
          <cell r="I436">
            <v>1328</v>
          </cell>
          <cell r="N436">
            <v>2725</v>
          </cell>
          <cell r="O436">
            <v>2387</v>
          </cell>
          <cell r="P436">
            <v>2371</v>
          </cell>
          <cell r="Q436">
            <v>1209</v>
          </cell>
          <cell r="AC436">
            <v>359</v>
          </cell>
        </row>
        <row r="437">
          <cell r="B437">
            <v>5.5</v>
          </cell>
          <cell r="E437">
            <v>7313</v>
          </cell>
          <cell r="F437">
            <v>16.400000000000002</v>
          </cell>
          <cell r="G437">
            <v>7.8000000000000007</v>
          </cell>
          <cell r="H437">
            <v>455</v>
          </cell>
          <cell r="I437">
            <v>1383</v>
          </cell>
          <cell r="N437">
            <v>2713</v>
          </cell>
          <cell r="O437">
            <v>2266</v>
          </cell>
          <cell r="P437">
            <v>2307</v>
          </cell>
          <cell r="Q437">
            <v>1201</v>
          </cell>
          <cell r="AC437">
            <v>387</v>
          </cell>
        </row>
        <row r="438">
          <cell r="B438">
            <v>5.5</v>
          </cell>
          <cell r="E438">
            <v>7318</v>
          </cell>
          <cell r="F438">
            <v>17.3</v>
          </cell>
          <cell r="G438">
            <v>8.3000000000000007</v>
          </cell>
          <cell r="H438">
            <v>451</v>
          </cell>
          <cell r="I438">
            <v>1132</v>
          </cell>
          <cell r="N438">
            <v>2594</v>
          </cell>
          <cell r="O438">
            <v>2259</v>
          </cell>
          <cell r="P438">
            <v>2454</v>
          </cell>
          <cell r="Q438">
            <v>1330</v>
          </cell>
          <cell r="AC438">
            <v>368</v>
          </cell>
        </row>
        <row r="439">
          <cell r="B439">
            <v>5.6000000000000005</v>
          </cell>
          <cell r="E439">
            <v>7415</v>
          </cell>
          <cell r="F439">
            <v>17.600000000000001</v>
          </cell>
          <cell r="G439">
            <v>8.6</v>
          </cell>
          <cell r="H439">
            <v>403</v>
          </cell>
          <cell r="I439">
            <v>1113</v>
          </cell>
          <cell r="N439">
            <v>2530</v>
          </cell>
          <cell r="O439">
            <v>2358</v>
          </cell>
          <cell r="P439">
            <v>2455</v>
          </cell>
          <cell r="Q439">
            <v>1347</v>
          </cell>
          <cell r="AC439">
            <v>393</v>
          </cell>
        </row>
        <row r="440">
          <cell r="B440">
            <v>5.6000000000000005</v>
          </cell>
          <cell r="E440">
            <v>7423</v>
          </cell>
          <cell r="F440">
            <v>17</v>
          </cell>
          <cell r="G440">
            <v>8.6</v>
          </cell>
          <cell r="H440">
            <v>352</v>
          </cell>
          <cell r="I440">
            <v>1123</v>
          </cell>
          <cell r="N440">
            <v>2765</v>
          </cell>
          <cell r="O440">
            <v>2349</v>
          </cell>
          <cell r="P440">
            <v>2403</v>
          </cell>
          <cell r="Q440">
            <v>1359</v>
          </cell>
          <cell r="AC440">
            <v>343</v>
          </cell>
        </row>
        <row r="441">
          <cell r="B441">
            <v>5.3000000000000007</v>
          </cell>
          <cell r="E441">
            <v>7095</v>
          </cell>
          <cell r="F441">
            <v>17.600000000000001</v>
          </cell>
          <cell r="G441">
            <v>8.3000000000000007</v>
          </cell>
          <cell r="H441">
            <v>414</v>
          </cell>
          <cell r="I441">
            <v>1270</v>
          </cell>
          <cell r="N441">
            <v>2552</v>
          </cell>
          <cell r="O441">
            <v>2162</v>
          </cell>
          <cell r="P441">
            <v>2355</v>
          </cell>
          <cell r="Q441">
            <v>1370</v>
          </cell>
          <cell r="AC441">
            <v>340</v>
          </cell>
        </row>
        <row r="442">
          <cell r="B442">
            <v>5.5</v>
          </cell>
          <cell r="E442">
            <v>7337</v>
          </cell>
          <cell r="F442">
            <v>16.7</v>
          </cell>
          <cell r="G442">
            <v>8.3000000000000007</v>
          </cell>
          <cell r="H442">
            <v>423</v>
          </cell>
          <cell r="I442">
            <v>1068</v>
          </cell>
          <cell r="N442">
            <v>2672</v>
          </cell>
          <cell r="O442">
            <v>2332</v>
          </cell>
          <cell r="P442">
            <v>2297</v>
          </cell>
          <cell r="Q442">
            <v>1336</v>
          </cell>
          <cell r="AC442">
            <v>337</v>
          </cell>
        </row>
        <row r="443">
          <cell r="B443">
            <v>5.1000000000000005</v>
          </cell>
          <cell r="E443">
            <v>6882</v>
          </cell>
          <cell r="F443">
            <v>17.3</v>
          </cell>
          <cell r="G443">
            <v>8.4</v>
          </cell>
          <cell r="H443">
            <v>415</v>
          </cell>
          <cell r="I443">
            <v>1021</v>
          </cell>
          <cell r="N443">
            <v>2496</v>
          </cell>
          <cell r="O443">
            <v>2187</v>
          </cell>
          <cell r="P443">
            <v>2267</v>
          </cell>
          <cell r="Q443">
            <v>1265</v>
          </cell>
          <cell r="AC443">
            <v>327</v>
          </cell>
        </row>
        <row r="444">
          <cell r="B444">
            <v>5.2</v>
          </cell>
          <cell r="E444">
            <v>6979</v>
          </cell>
          <cell r="F444">
            <v>16.8</v>
          </cell>
          <cell r="G444">
            <v>8.5</v>
          </cell>
          <cell r="H444">
            <v>391</v>
          </cell>
          <cell r="I444">
            <v>1127</v>
          </cell>
          <cell r="N444">
            <v>2525</v>
          </cell>
          <cell r="O444">
            <v>2214</v>
          </cell>
          <cell r="P444">
            <v>2220</v>
          </cell>
          <cell r="Q444">
            <v>1214</v>
          </cell>
          <cell r="AC444">
            <v>329</v>
          </cell>
        </row>
        <row r="445">
          <cell r="B445">
            <v>5.2</v>
          </cell>
          <cell r="E445">
            <v>7031</v>
          </cell>
          <cell r="F445">
            <v>16.3</v>
          </cell>
          <cell r="G445">
            <v>8.3000000000000007</v>
          </cell>
          <cell r="H445">
            <v>374</v>
          </cell>
          <cell r="I445">
            <v>1073</v>
          </cell>
          <cell r="N445">
            <v>2477</v>
          </cell>
          <cell r="O445">
            <v>2334</v>
          </cell>
          <cell r="P445">
            <v>2268</v>
          </cell>
          <cell r="Q445">
            <v>1184</v>
          </cell>
          <cell r="AC445">
            <v>348</v>
          </cell>
        </row>
        <row r="446">
          <cell r="B446">
            <v>5.4</v>
          </cell>
          <cell r="E446">
            <v>7236</v>
          </cell>
          <cell r="F446">
            <v>15.9</v>
          </cell>
          <cell r="G446">
            <v>7.7</v>
          </cell>
          <cell r="H446">
            <v>346</v>
          </cell>
          <cell r="I446">
            <v>1157</v>
          </cell>
          <cell r="N446">
            <v>2920</v>
          </cell>
          <cell r="O446">
            <v>2207</v>
          </cell>
          <cell r="P446">
            <v>2159</v>
          </cell>
          <cell r="Q446">
            <v>1146</v>
          </cell>
          <cell r="AC446">
            <v>334</v>
          </cell>
        </row>
        <row r="447">
          <cell r="B447">
            <v>5.4</v>
          </cell>
          <cell r="E447">
            <v>7253</v>
          </cell>
          <cell r="F447">
            <v>15.600000000000001</v>
          </cell>
          <cell r="G447">
            <v>7.8000000000000007</v>
          </cell>
          <cell r="H447">
            <v>334</v>
          </cell>
          <cell r="I447">
            <v>1128</v>
          </cell>
          <cell r="N447">
            <v>2621</v>
          </cell>
          <cell r="O447">
            <v>2417</v>
          </cell>
          <cell r="P447">
            <v>2124</v>
          </cell>
          <cell r="Q447">
            <v>1154</v>
          </cell>
          <cell r="AC447">
            <v>332</v>
          </cell>
        </row>
        <row r="448">
          <cell r="B448">
            <v>5.3000000000000007</v>
          </cell>
          <cell r="E448">
            <v>7158</v>
          </cell>
          <cell r="F448">
            <v>16</v>
          </cell>
          <cell r="G448">
            <v>7.8000000000000007</v>
          </cell>
          <cell r="H448">
            <v>397</v>
          </cell>
          <cell r="I448">
            <v>1218</v>
          </cell>
          <cell r="N448">
            <v>2758</v>
          </cell>
          <cell r="O448">
            <v>2219</v>
          </cell>
          <cell r="P448">
            <v>2162</v>
          </cell>
          <cell r="Q448">
            <v>1150</v>
          </cell>
          <cell r="AC448">
            <v>357</v>
          </cell>
        </row>
        <row r="449">
          <cell r="B449">
            <v>5.2</v>
          </cell>
          <cell r="E449">
            <v>7102</v>
          </cell>
          <cell r="F449">
            <v>15.8</v>
          </cell>
          <cell r="G449">
            <v>8.1</v>
          </cell>
          <cell r="H449">
            <v>364</v>
          </cell>
          <cell r="I449">
            <v>1182</v>
          </cell>
          <cell r="N449">
            <v>2549</v>
          </cell>
          <cell r="O449">
            <v>2357</v>
          </cell>
          <cell r="P449">
            <v>2140</v>
          </cell>
          <cell r="Q449">
            <v>1109</v>
          </cell>
          <cell r="AC449">
            <v>333</v>
          </cell>
        </row>
        <row r="450">
          <cell r="B450">
            <v>5.2</v>
          </cell>
          <cell r="E450">
            <v>7000</v>
          </cell>
          <cell r="F450">
            <v>15.5</v>
          </cell>
          <cell r="G450">
            <v>7.9</v>
          </cell>
          <cell r="H450">
            <v>356</v>
          </cell>
          <cell r="I450">
            <v>1115</v>
          </cell>
          <cell r="N450">
            <v>2602</v>
          </cell>
          <cell r="O450">
            <v>2323</v>
          </cell>
          <cell r="P450">
            <v>2110</v>
          </cell>
          <cell r="Q450">
            <v>1098</v>
          </cell>
          <cell r="AC450">
            <v>321</v>
          </cell>
        </row>
        <row r="451">
          <cell r="B451">
            <v>5.1000000000000005</v>
          </cell>
          <cell r="E451">
            <v>6873</v>
          </cell>
          <cell r="F451">
            <v>15.600000000000001</v>
          </cell>
          <cell r="G451">
            <v>8.3000000000000007</v>
          </cell>
          <cell r="H451">
            <v>379</v>
          </cell>
          <cell r="I451">
            <v>1101</v>
          </cell>
          <cell r="N451">
            <v>2439</v>
          </cell>
          <cell r="O451">
            <v>2190</v>
          </cell>
          <cell r="P451">
            <v>2176</v>
          </cell>
          <cell r="Q451">
            <v>1105</v>
          </cell>
          <cell r="AC451">
            <v>325</v>
          </cell>
        </row>
        <row r="452">
          <cell r="B452">
            <v>4.9000000000000004</v>
          </cell>
          <cell r="E452">
            <v>6655</v>
          </cell>
          <cell r="F452">
            <v>15.4</v>
          </cell>
          <cell r="G452">
            <v>8</v>
          </cell>
          <cell r="H452">
            <v>338</v>
          </cell>
          <cell r="I452">
            <v>1093</v>
          </cell>
          <cell r="N452">
            <v>2527</v>
          </cell>
          <cell r="O452">
            <v>2061</v>
          </cell>
          <cell r="P452">
            <v>2121</v>
          </cell>
          <cell r="Q452">
            <v>1051</v>
          </cell>
          <cell r="AC452">
            <v>337</v>
          </cell>
        </row>
        <row r="453">
          <cell r="B453">
            <v>5</v>
          </cell>
          <cell r="E453">
            <v>6799</v>
          </cell>
          <cell r="F453">
            <v>15.5</v>
          </cell>
          <cell r="G453">
            <v>8</v>
          </cell>
          <cell r="H453">
            <v>353</v>
          </cell>
          <cell r="I453">
            <v>1075</v>
          </cell>
          <cell r="N453">
            <v>2562</v>
          </cell>
          <cell r="O453">
            <v>2175</v>
          </cell>
          <cell r="P453">
            <v>2085</v>
          </cell>
          <cell r="Q453">
            <v>1076</v>
          </cell>
          <cell r="AC453">
            <v>321</v>
          </cell>
        </row>
        <row r="454">
          <cell r="B454">
            <v>4.9000000000000004</v>
          </cell>
          <cell r="E454">
            <v>6655</v>
          </cell>
          <cell r="F454">
            <v>16.400000000000002</v>
          </cell>
          <cell r="G454">
            <v>8.3000000000000007</v>
          </cell>
          <cell r="H454">
            <v>311</v>
          </cell>
          <cell r="I454">
            <v>971</v>
          </cell>
          <cell r="N454">
            <v>2402</v>
          </cell>
          <cell r="O454">
            <v>2094</v>
          </cell>
          <cell r="P454">
            <v>2119</v>
          </cell>
          <cell r="Q454">
            <v>1078</v>
          </cell>
          <cell r="AC454">
            <v>322</v>
          </cell>
        </row>
        <row r="455">
          <cell r="B455">
            <v>4.8000000000000007</v>
          </cell>
          <cell r="E455">
            <v>6608</v>
          </cell>
          <cell r="F455">
            <v>16</v>
          </cell>
          <cell r="G455">
            <v>7.8000000000000007</v>
          </cell>
          <cell r="H455">
            <v>311</v>
          </cell>
          <cell r="I455">
            <v>987</v>
          </cell>
          <cell r="N455">
            <v>2525</v>
          </cell>
          <cell r="O455">
            <v>2120</v>
          </cell>
          <cell r="P455">
            <v>2004</v>
          </cell>
          <cell r="Q455">
            <v>1075</v>
          </cell>
          <cell r="AC455">
            <v>320</v>
          </cell>
        </row>
        <row r="456">
          <cell r="B456">
            <v>4.9000000000000004</v>
          </cell>
          <cell r="E456">
            <v>6656</v>
          </cell>
          <cell r="F456">
            <v>15.9</v>
          </cell>
          <cell r="G456">
            <v>8.2000000000000011</v>
          </cell>
          <cell r="H456">
            <v>328</v>
          </cell>
          <cell r="I456">
            <v>1035</v>
          </cell>
          <cell r="N456">
            <v>2474</v>
          </cell>
          <cell r="O456">
            <v>2102</v>
          </cell>
          <cell r="P456">
            <v>2074</v>
          </cell>
          <cell r="Q456">
            <v>1074</v>
          </cell>
          <cell r="AC456">
            <v>332</v>
          </cell>
        </row>
        <row r="457">
          <cell r="B457">
            <v>4.7</v>
          </cell>
          <cell r="E457">
            <v>6454</v>
          </cell>
          <cell r="F457">
            <v>16.100000000000001</v>
          </cell>
          <cell r="G457">
            <v>7.7</v>
          </cell>
          <cell r="H457">
            <v>302</v>
          </cell>
          <cell r="I457">
            <v>982</v>
          </cell>
          <cell r="N457">
            <v>2566</v>
          </cell>
          <cell r="O457">
            <v>1966</v>
          </cell>
          <cell r="P457">
            <v>1950</v>
          </cell>
          <cell r="Q457">
            <v>1034</v>
          </cell>
          <cell r="AC457">
            <v>317</v>
          </cell>
        </row>
        <row r="458">
          <cell r="B458">
            <v>4.6000000000000005</v>
          </cell>
          <cell r="E458">
            <v>6308</v>
          </cell>
          <cell r="F458">
            <v>15.4</v>
          </cell>
          <cell r="G458">
            <v>7.6000000000000005</v>
          </cell>
          <cell r="H458">
            <v>331</v>
          </cell>
          <cell r="I458">
            <v>1006</v>
          </cell>
          <cell r="N458">
            <v>2479</v>
          </cell>
          <cell r="O458">
            <v>2027</v>
          </cell>
          <cell r="P458">
            <v>1817</v>
          </cell>
          <cell r="Q458">
            <v>938</v>
          </cell>
          <cell r="AC458">
            <v>313</v>
          </cell>
        </row>
        <row r="459">
          <cell r="B459">
            <v>4.7</v>
          </cell>
          <cell r="E459">
            <v>6476</v>
          </cell>
          <cell r="F459">
            <v>15.9</v>
          </cell>
          <cell r="G459">
            <v>7.5</v>
          </cell>
          <cell r="H459">
            <v>345</v>
          </cell>
          <cell r="I459">
            <v>1108</v>
          </cell>
          <cell r="N459">
            <v>2534</v>
          </cell>
          <cell r="O459">
            <v>1937</v>
          </cell>
          <cell r="P459">
            <v>1901</v>
          </cell>
          <cell r="Q459">
            <v>984</v>
          </cell>
          <cell r="AC459">
            <v>318</v>
          </cell>
        </row>
        <row r="460">
          <cell r="B460">
            <v>4.6000000000000005</v>
          </cell>
          <cell r="E460">
            <v>6368</v>
          </cell>
          <cell r="F460">
            <v>15.600000000000001</v>
          </cell>
          <cell r="G460">
            <v>7.4</v>
          </cell>
          <cell r="H460">
            <v>374</v>
          </cell>
          <cell r="I460">
            <v>1105</v>
          </cell>
          <cell r="N460">
            <v>2587</v>
          </cell>
          <cell r="O460">
            <v>1929</v>
          </cell>
          <cell r="P460">
            <v>1833</v>
          </cell>
          <cell r="Q460">
            <v>995</v>
          </cell>
          <cell r="AC460">
            <v>303</v>
          </cell>
        </row>
        <row r="461">
          <cell r="B461">
            <v>4.6000000000000005</v>
          </cell>
          <cell r="E461">
            <v>6306</v>
          </cell>
          <cell r="F461">
            <v>15.4</v>
          </cell>
          <cell r="G461">
            <v>7</v>
          </cell>
          <cell r="H461">
            <v>361</v>
          </cell>
          <cell r="I461">
            <v>1117</v>
          </cell>
          <cell r="N461">
            <v>2572</v>
          </cell>
          <cell r="O461">
            <v>1918</v>
          </cell>
          <cell r="P461">
            <v>1809</v>
          </cell>
          <cell r="Q461">
            <v>957</v>
          </cell>
          <cell r="AC461">
            <v>315</v>
          </cell>
        </row>
        <row r="462">
          <cell r="B462">
            <v>4.7</v>
          </cell>
          <cell r="E462">
            <v>6422</v>
          </cell>
          <cell r="F462">
            <v>14.5</v>
          </cell>
          <cell r="G462">
            <v>6.8000000000000007</v>
          </cell>
          <cell r="H462">
            <v>343</v>
          </cell>
          <cell r="I462">
            <v>1083</v>
          </cell>
          <cell r="N462">
            <v>2789</v>
          </cell>
          <cell r="O462">
            <v>1972</v>
          </cell>
          <cell r="P462">
            <v>1772</v>
          </cell>
          <cell r="Q462">
            <v>918</v>
          </cell>
          <cell r="AC462">
            <v>317</v>
          </cell>
        </row>
        <row r="463">
          <cell r="B463">
            <v>4.3</v>
          </cell>
          <cell r="E463">
            <v>5941</v>
          </cell>
          <cell r="F463">
            <v>14.700000000000001</v>
          </cell>
          <cell r="G463">
            <v>6.7</v>
          </cell>
          <cell r="H463">
            <v>344</v>
          </cell>
          <cell r="I463">
            <v>934</v>
          </cell>
          <cell r="N463">
            <v>2628</v>
          </cell>
          <cell r="O463">
            <v>1918</v>
          </cell>
          <cell r="P463">
            <v>1476</v>
          </cell>
          <cell r="Q463">
            <v>883</v>
          </cell>
          <cell r="AC463">
            <v>312</v>
          </cell>
        </row>
        <row r="464">
          <cell r="B464">
            <v>4.4000000000000004</v>
          </cell>
          <cell r="E464">
            <v>6047</v>
          </cell>
          <cell r="F464">
            <v>14.700000000000001</v>
          </cell>
          <cell r="G464">
            <v>6</v>
          </cell>
          <cell r="H464">
            <v>268</v>
          </cell>
          <cell r="I464">
            <v>946</v>
          </cell>
          <cell r="N464">
            <v>2641</v>
          </cell>
          <cell r="O464">
            <v>1950</v>
          </cell>
          <cell r="P464">
            <v>1490</v>
          </cell>
          <cell r="Q464">
            <v>839</v>
          </cell>
          <cell r="AC464">
            <v>304</v>
          </cell>
        </row>
        <row r="465">
          <cell r="B465">
            <v>4.5</v>
          </cell>
          <cell r="E465">
            <v>6212</v>
          </cell>
          <cell r="F465">
            <v>14.100000000000001</v>
          </cell>
          <cell r="G465">
            <v>6.9</v>
          </cell>
          <cell r="H465">
            <v>311</v>
          </cell>
          <cell r="I465">
            <v>902</v>
          </cell>
          <cell r="N465">
            <v>2546</v>
          </cell>
          <cell r="O465">
            <v>2079</v>
          </cell>
          <cell r="P465">
            <v>1613</v>
          </cell>
          <cell r="Q465">
            <v>789</v>
          </cell>
          <cell r="AC465">
            <v>322</v>
          </cell>
        </row>
        <row r="466">
          <cell r="B466">
            <v>4.5</v>
          </cell>
          <cell r="E466">
            <v>6259</v>
          </cell>
          <cell r="F466">
            <v>14.100000000000001</v>
          </cell>
          <cell r="G466">
            <v>6.7</v>
          </cell>
          <cell r="H466">
            <v>374</v>
          </cell>
          <cell r="I466">
            <v>953</v>
          </cell>
          <cell r="N466">
            <v>2593</v>
          </cell>
          <cell r="O466">
            <v>2005</v>
          </cell>
          <cell r="P466">
            <v>1577</v>
          </cell>
          <cell r="Q466">
            <v>821</v>
          </cell>
          <cell r="AC466">
            <v>376</v>
          </cell>
        </row>
        <row r="467">
          <cell r="B467">
            <v>4.5</v>
          </cell>
          <cell r="E467">
            <v>6179</v>
          </cell>
          <cell r="F467">
            <v>13.700000000000001</v>
          </cell>
          <cell r="G467">
            <v>6.8000000000000007</v>
          </cell>
          <cell r="H467">
            <v>280</v>
          </cell>
          <cell r="I467">
            <v>971</v>
          </cell>
          <cell r="N467">
            <v>2597</v>
          </cell>
          <cell r="O467">
            <v>1963</v>
          </cell>
          <cell r="P467">
            <v>1626</v>
          </cell>
          <cell r="Q467">
            <v>818</v>
          </cell>
          <cell r="AC467">
            <v>327</v>
          </cell>
        </row>
        <row r="468">
          <cell r="B468">
            <v>4.6000000000000005</v>
          </cell>
          <cell r="E468">
            <v>6300</v>
          </cell>
          <cell r="F468">
            <v>14.4</v>
          </cell>
          <cell r="G468">
            <v>6.7</v>
          </cell>
          <cell r="H468">
            <v>317</v>
          </cell>
          <cell r="I468">
            <v>1060</v>
          </cell>
          <cell r="N468">
            <v>2624</v>
          </cell>
          <cell r="O468">
            <v>1985</v>
          </cell>
          <cell r="P468">
            <v>1688</v>
          </cell>
          <cell r="Q468">
            <v>916</v>
          </cell>
          <cell r="AC468">
            <v>310</v>
          </cell>
        </row>
        <row r="469">
          <cell r="B469">
            <v>4.5</v>
          </cell>
          <cell r="E469">
            <v>6280</v>
          </cell>
          <cell r="F469">
            <v>14.100000000000001</v>
          </cell>
          <cell r="G469">
            <v>5.8000000000000007</v>
          </cell>
          <cell r="H469">
            <v>333</v>
          </cell>
          <cell r="I469">
            <v>910</v>
          </cell>
          <cell r="N469">
            <v>2823</v>
          </cell>
          <cell r="O469">
            <v>1909</v>
          </cell>
          <cell r="P469">
            <v>1582</v>
          </cell>
          <cell r="Q469">
            <v>858</v>
          </cell>
          <cell r="AC469">
            <v>294</v>
          </cell>
        </row>
        <row r="470">
          <cell r="B470">
            <v>4.4000000000000004</v>
          </cell>
          <cell r="E470">
            <v>6100</v>
          </cell>
          <cell r="F470">
            <v>14.5</v>
          </cell>
          <cell r="G470">
            <v>6.6000000000000005</v>
          </cell>
          <cell r="H470">
            <v>310</v>
          </cell>
          <cell r="I470">
            <v>930</v>
          </cell>
          <cell r="N470">
            <v>2510</v>
          </cell>
          <cell r="O470">
            <v>1998</v>
          </cell>
          <cell r="P470">
            <v>1590</v>
          </cell>
          <cell r="Q470">
            <v>875</v>
          </cell>
          <cell r="AC470">
            <v>308</v>
          </cell>
        </row>
        <row r="471">
          <cell r="B471">
            <v>4.4000000000000004</v>
          </cell>
          <cell r="E471">
            <v>6032</v>
          </cell>
          <cell r="F471">
            <v>14</v>
          </cell>
          <cell r="G471">
            <v>6.8000000000000007</v>
          </cell>
          <cell r="H471">
            <v>358</v>
          </cell>
          <cell r="I471">
            <v>838</v>
          </cell>
          <cell r="N471">
            <v>2587</v>
          </cell>
          <cell r="O471">
            <v>1806</v>
          </cell>
          <cell r="P471">
            <v>1559</v>
          </cell>
          <cell r="Q471">
            <v>803</v>
          </cell>
          <cell r="AC471">
            <v>310</v>
          </cell>
        </row>
        <row r="472">
          <cell r="B472">
            <v>4.3</v>
          </cell>
          <cell r="E472">
            <v>5976</v>
          </cell>
          <cell r="F472">
            <v>13.4</v>
          </cell>
          <cell r="G472">
            <v>6.9</v>
          </cell>
          <cell r="H472">
            <v>339</v>
          </cell>
          <cell r="I472">
            <v>1019</v>
          </cell>
          <cell r="N472">
            <v>2462</v>
          </cell>
          <cell r="O472">
            <v>1993</v>
          </cell>
          <cell r="P472">
            <v>1490</v>
          </cell>
          <cell r="Q472">
            <v>714</v>
          </cell>
          <cell r="AC472">
            <v>331</v>
          </cell>
        </row>
        <row r="473">
          <cell r="B473">
            <v>4.4000000000000004</v>
          </cell>
          <cell r="E473">
            <v>6111</v>
          </cell>
          <cell r="F473">
            <v>13.8</v>
          </cell>
          <cell r="G473">
            <v>6.8000000000000007</v>
          </cell>
          <cell r="H473">
            <v>271</v>
          </cell>
          <cell r="I473">
            <v>1008</v>
          </cell>
          <cell r="N473">
            <v>2566</v>
          </cell>
          <cell r="O473">
            <v>1946</v>
          </cell>
          <cell r="P473">
            <v>1551</v>
          </cell>
          <cell r="Q473">
            <v>801</v>
          </cell>
          <cell r="AC473">
            <v>305</v>
          </cell>
        </row>
        <row r="474">
          <cell r="B474">
            <v>4.2</v>
          </cell>
          <cell r="E474">
            <v>5783</v>
          </cell>
          <cell r="F474">
            <v>13.4</v>
          </cell>
          <cell r="G474">
            <v>6.8000000000000007</v>
          </cell>
          <cell r="H474">
            <v>295</v>
          </cell>
          <cell r="I474">
            <v>949</v>
          </cell>
          <cell r="N474">
            <v>2473</v>
          </cell>
          <cell r="O474">
            <v>1905</v>
          </cell>
          <cell r="P474">
            <v>1472</v>
          </cell>
          <cell r="Q474">
            <v>714</v>
          </cell>
          <cell r="AC474">
            <v>301</v>
          </cell>
        </row>
        <row r="475">
          <cell r="B475">
            <v>4.3</v>
          </cell>
          <cell r="E475">
            <v>6004</v>
          </cell>
          <cell r="F475">
            <v>13.3</v>
          </cell>
          <cell r="G475">
            <v>6.2</v>
          </cell>
          <cell r="H475">
            <v>245</v>
          </cell>
          <cell r="I475">
            <v>1012</v>
          </cell>
          <cell r="N475">
            <v>2781</v>
          </cell>
          <cell r="O475">
            <v>1848</v>
          </cell>
          <cell r="P475">
            <v>1480</v>
          </cell>
          <cell r="Q475">
            <v>698</v>
          </cell>
          <cell r="AC475">
            <v>298</v>
          </cell>
        </row>
        <row r="476">
          <cell r="B476">
            <v>4.2</v>
          </cell>
          <cell r="E476">
            <v>5796</v>
          </cell>
          <cell r="F476">
            <v>13.4</v>
          </cell>
          <cell r="G476">
            <v>6.5</v>
          </cell>
          <cell r="H476">
            <v>256</v>
          </cell>
          <cell r="I476">
            <v>892</v>
          </cell>
          <cell r="N476">
            <v>2511</v>
          </cell>
          <cell r="O476">
            <v>1789</v>
          </cell>
          <cell r="P476">
            <v>1505</v>
          </cell>
          <cell r="Q476">
            <v>718</v>
          </cell>
          <cell r="AC476">
            <v>296</v>
          </cell>
        </row>
        <row r="477">
          <cell r="B477">
            <v>4.3</v>
          </cell>
          <cell r="E477">
            <v>5951</v>
          </cell>
          <cell r="F477">
            <v>14.3</v>
          </cell>
          <cell r="G477">
            <v>6.3000000000000007</v>
          </cell>
          <cell r="H477">
            <v>220</v>
          </cell>
          <cell r="I477">
            <v>1008</v>
          </cell>
          <cell r="N477">
            <v>2521</v>
          </cell>
          <cell r="O477">
            <v>1773</v>
          </cell>
          <cell r="P477">
            <v>1624</v>
          </cell>
          <cell r="Q477">
            <v>812</v>
          </cell>
          <cell r="AC477">
            <v>303</v>
          </cell>
        </row>
        <row r="478">
          <cell r="B478">
            <v>4.3</v>
          </cell>
          <cell r="E478">
            <v>6025</v>
          </cell>
          <cell r="F478">
            <v>13.600000000000001</v>
          </cell>
          <cell r="G478">
            <v>5.8000000000000007</v>
          </cell>
          <cell r="H478">
            <v>290</v>
          </cell>
          <cell r="I478">
            <v>843</v>
          </cell>
          <cell r="N478">
            <v>2643</v>
          </cell>
          <cell r="O478">
            <v>1783</v>
          </cell>
          <cell r="P478">
            <v>1513</v>
          </cell>
          <cell r="Q478">
            <v>732</v>
          </cell>
          <cell r="AC478">
            <v>291</v>
          </cell>
        </row>
        <row r="479">
          <cell r="B479">
            <v>4.2</v>
          </cell>
          <cell r="E479">
            <v>5838</v>
          </cell>
          <cell r="F479">
            <v>13.100000000000001</v>
          </cell>
          <cell r="G479">
            <v>6.5</v>
          </cell>
          <cell r="H479">
            <v>265</v>
          </cell>
          <cell r="I479">
            <v>869</v>
          </cell>
          <cell r="N479">
            <v>2546</v>
          </cell>
          <cell r="O479">
            <v>1824</v>
          </cell>
          <cell r="P479">
            <v>1455</v>
          </cell>
          <cell r="Q479">
            <v>706</v>
          </cell>
          <cell r="AC479">
            <v>300</v>
          </cell>
        </row>
        <row r="480">
          <cell r="B480">
            <v>4.2</v>
          </cell>
          <cell r="E480">
            <v>5915</v>
          </cell>
          <cell r="F480">
            <v>13.100000000000001</v>
          </cell>
          <cell r="G480">
            <v>6</v>
          </cell>
          <cell r="H480">
            <v>289</v>
          </cell>
          <cell r="I480">
            <v>883</v>
          </cell>
          <cell r="N480">
            <v>2611</v>
          </cell>
          <cell r="O480">
            <v>1835</v>
          </cell>
          <cell r="P480">
            <v>1449</v>
          </cell>
          <cell r="Q480">
            <v>709</v>
          </cell>
          <cell r="AC480">
            <v>290</v>
          </cell>
        </row>
        <row r="481">
          <cell r="B481">
            <v>4.1000000000000005</v>
          </cell>
          <cell r="E481">
            <v>5778</v>
          </cell>
          <cell r="F481">
            <v>13.3</v>
          </cell>
          <cell r="G481">
            <v>6.1000000000000005</v>
          </cell>
          <cell r="H481">
            <v>271</v>
          </cell>
          <cell r="I481">
            <v>913</v>
          </cell>
          <cell r="N481">
            <v>2536</v>
          </cell>
          <cell r="O481">
            <v>1847</v>
          </cell>
          <cell r="P481">
            <v>1438</v>
          </cell>
          <cell r="Q481">
            <v>724</v>
          </cell>
          <cell r="AC481">
            <v>309</v>
          </cell>
        </row>
        <row r="482">
          <cell r="B482">
            <v>4.1000000000000005</v>
          </cell>
          <cell r="E482">
            <v>5716</v>
          </cell>
          <cell r="F482">
            <v>12.9</v>
          </cell>
          <cell r="G482">
            <v>6.2</v>
          </cell>
          <cell r="H482">
            <v>272</v>
          </cell>
          <cell r="I482">
            <v>857</v>
          </cell>
          <cell r="N482">
            <v>2562</v>
          </cell>
          <cell r="O482">
            <v>1775</v>
          </cell>
          <cell r="P482">
            <v>1378</v>
          </cell>
          <cell r="Q482">
            <v>682</v>
          </cell>
          <cell r="AC482">
            <v>285</v>
          </cell>
        </row>
        <row r="483">
          <cell r="B483">
            <v>4</v>
          </cell>
          <cell r="E483">
            <v>5653</v>
          </cell>
          <cell r="F483">
            <v>12.9</v>
          </cell>
          <cell r="G483">
            <v>5.8000000000000007</v>
          </cell>
          <cell r="H483">
            <v>267</v>
          </cell>
          <cell r="I483">
            <v>874</v>
          </cell>
          <cell r="N483">
            <v>2642</v>
          </cell>
          <cell r="O483">
            <v>1614</v>
          </cell>
          <cell r="P483">
            <v>1375</v>
          </cell>
          <cell r="Q483">
            <v>680</v>
          </cell>
          <cell r="AC483">
            <v>288</v>
          </cell>
        </row>
        <row r="484">
          <cell r="B484">
            <v>4</v>
          </cell>
          <cell r="E484">
            <v>5708</v>
          </cell>
          <cell r="F484">
            <v>13.100000000000001</v>
          </cell>
          <cell r="G484">
            <v>5.8000000000000007</v>
          </cell>
          <cell r="H484">
            <v>236</v>
          </cell>
          <cell r="I484">
            <v>971</v>
          </cell>
          <cell r="N484">
            <v>2541</v>
          </cell>
          <cell r="O484">
            <v>1749</v>
          </cell>
          <cell r="P484">
            <v>1380</v>
          </cell>
          <cell r="Q484">
            <v>721</v>
          </cell>
          <cell r="AC484">
            <v>286</v>
          </cell>
        </row>
        <row r="485">
          <cell r="B485">
            <v>4.1000000000000005</v>
          </cell>
          <cell r="E485">
            <v>5858</v>
          </cell>
          <cell r="F485">
            <v>12.600000000000001</v>
          </cell>
          <cell r="G485">
            <v>6.1000000000000005</v>
          </cell>
          <cell r="H485">
            <v>267</v>
          </cell>
          <cell r="I485">
            <v>1015</v>
          </cell>
          <cell r="N485">
            <v>2604</v>
          </cell>
          <cell r="O485">
            <v>1912</v>
          </cell>
          <cell r="P485">
            <v>1300</v>
          </cell>
          <cell r="Q485">
            <v>629</v>
          </cell>
          <cell r="AC485">
            <v>285</v>
          </cell>
        </row>
        <row r="486">
          <cell r="B486">
            <v>4</v>
          </cell>
          <cell r="E486">
            <v>5733</v>
          </cell>
          <cell r="F486">
            <v>12.700000000000001</v>
          </cell>
          <cell r="G486">
            <v>6</v>
          </cell>
          <cell r="H486">
            <v>258</v>
          </cell>
          <cell r="I486">
            <v>960</v>
          </cell>
          <cell r="N486">
            <v>2780</v>
          </cell>
          <cell r="O486">
            <v>1781</v>
          </cell>
          <cell r="P486">
            <v>1312</v>
          </cell>
          <cell r="Q486">
            <v>646</v>
          </cell>
          <cell r="AC486">
            <v>280</v>
          </cell>
        </row>
        <row r="487">
          <cell r="B487">
            <v>3.8000000000000003</v>
          </cell>
          <cell r="E487">
            <v>5481</v>
          </cell>
          <cell r="F487">
            <v>12.4</v>
          </cell>
          <cell r="G487">
            <v>6.1000000000000005</v>
          </cell>
          <cell r="H487">
            <v>331</v>
          </cell>
          <cell r="I487">
            <v>885</v>
          </cell>
          <cell r="N487">
            <v>2510</v>
          </cell>
          <cell r="O487">
            <v>1845</v>
          </cell>
          <cell r="P487">
            <v>1261</v>
          </cell>
          <cell r="Q487">
            <v>599</v>
          </cell>
          <cell r="AC487">
            <v>266</v>
          </cell>
        </row>
        <row r="488">
          <cell r="B488">
            <v>4</v>
          </cell>
          <cell r="E488">
            <v>5758</v>
          </cell>
          <cell r="F488">
            <v>12.600000000000001</v>
          </cell>
          <cell r="G488">
            <v>5.8000000000000007</v>
          </cell>
          <cell r="H488">
            <v>280</v>
          </cell>
          <cell r="I488">
            <v>833</v>
          </cell>
          <cell r="N488">
            <v>2564</v>
          </cell>
          <cell r="O488">
            <v>1911</v>
          </cell>
          <cell r="P488">
            <v>1325</v>
          </cell>
          <cell r="Q488">
            <v>643</v>
          </cell>
          <cell r="AC488">
            <v>291</v>
          </cell>
        </row>
        <row r="489">
          <cell r="B489">
            <v>4</v>
          </cell>
          <cell r="E489">
            <v>5651</v>
          </cell>
          <cell r="F489">
            <v>12.3</v>
          </cell>
          <cell r="G489">
            <v>5.7</v>
          </cell>
          <cell r="H489">
            <v>309</v>
          </cell>
          <cell r="I489">
            <v>833</v>
          </cell>
          <cell r="N489">
            <v>2579</v>
          </cell>
          <cell r="O489">
            <v>1753</v>
          </cell>
          <cell r="P489">
            <v>1242</v>
          </cell>
          <cell r="Q489">
            <v>627</v>
          </cell>
          <cell r="AC489">
            <v>280</v>
          </cell>
        </row>
        <row r="490">
          <cell r="B490">
            <v>4</v>
          </cell>
          <cell r="E490">
            <v>5747</v>
          </cell>
          <cell r="F490">
            <v>13.4</v>
          </cell>
          <cell r="G490">
            <v>6</v>
          </cell>
          <cell r="H490">
            <v>266</v>
          </cell>
          <cell r="I490">
            <v>906</v>
          </cell>
          <cell r="N490">
            <v>2498</v>
          </cell>
          <cell r="O490">
            <v>1824</v>
          </cell>
          <cell r="P490">
            <v>1343</v>
          </cell>
          <cell r="Q490">
            <v>698</v>
          </cell>
          <cell r="AC490">
            <v>281</v>
          </cell>
        </row>
        <row r="491">
          <cell r="B491">
            <v>4.1000000000000005</v>
          </cell>
          <cell r="E491">
            <v>5853</v>
          </cell>
          <cell r="F491">
            <v>12.9</v>
          </cell>
          <cell r="G491">
            <v>6.3000000000000007</v>
          </cell>
          <cell r="H491">
            <v>203</v>
          </cell>
          <cell r="I491">
            <v>893</v>
          </cell>
          <cell r="N491">
            <v>2550</v>
          </cell>
          <cell r="O491">
            <v>1893</v>
          </cell>
          <cell r="P491">
            <v>1394</v>
          </cell>
          <cell r="Q491">
            <v>709</v>
          </cell>
          <cell r="AC491">
            <v>298</v>
          </cell>
        </row>
        <row r="492">
          <cell r="B492">
            <v>3.9000000000000004</v>
          </cell>
          <cell r="E492">
            <v>5625</v>
          </cell>
          <cell r="F492">
            <v>12.200000000000001</v>
          </cell>
          <cell r="G492">
            <v>5.2</v>
          </cell>
          <cell r="H492">
            <v>253</v>
          </cell>
          <cell r="I492">
            <v>912</v>
          </cell>
          <cell r="N492">
            <v>2571</v>
          </cell>
          <cell r="O492">
            <v>1746</v>
          </cell>
          <cell r="P492">
            <v>1290</v>
          </cell>
          <cell r="Q492">
            <v>646</v>
          </cell>
          <cell r="AC492">
            <v>301</v>
          </cell>
        </row>
        <row r="493">
          <cell r="B493">
            <v>3.9000000000000004</v>
          </cell>
          <cell r="E493">
            <v>5534</v>
          </cell>
          <cell r="F493">
            <v>12.700000000000001</v>
          </cell>
          <cell r="G493">
            <v>6.1000000000000005</v>
          </cell>
          <cell r="H493">
            <v>232</v>
          </cell>
          <cell r="I493">
            <v>812</v>
          </cell>
          <cell r="N493">
            <v>2497</v>
          </cell>
          <cell r="O493">
            <v>1724</v>
          </cell>
          <cell r="P493">
            <v>1337</v>
          </cell>
          <cell r="Q493">
            <v>627</v>
          </cell>
          <cell r="AC493">
            <v>292</v>
          </cell>
        </row>
        <row r="494">
          <cell r="B494">
            <v>3.9000000000000004</v>
          </cell>
          <cell r="E494">
            <v>5639</v>
          </cell>
          <cell r="F494">
            <v>12.4</v>
          </cell>
          <cell r="G494">
            <v>6.1000000000000005</v>
          </cell>
          <cell r="H494">
            <v>236</v>
          </cell>
          <cell r="I494">
            <v>865</v>
          </cell>
          <cell r="N494">
            <v>2512</v>
          </cell>
          <cell r="O494">
            <v>1790</v>
          </cell>
          <cell r="P494">
            <v>1315</v>
          </cell>
          <cell r="Q494">
            <v>593</v>
          </cell>
          <cell r="AC494">
            <v>301</v>
          </cell>
        </row>
        <row r="495">
          <cell r="B495">
            <v>3.9000000000000004</v>
          </cell>
          <cell r="E495">
            <v>5634</v>
          </cell>
          <cell r="F495">
            <v>12.5</v>
          </cell>
          <cell r="G495">
            <v>6</v>
          </cell>
          <cell r="H495">
            <v>269</v>
          </cell>
          <cell r="I495">
            <v>857</v>
          </cell>
          <cell r="N495">
            <v>2477</v>
          </cell>
          <cell r="O495">
            <v>1825</v>
          </cell>
          <cell r="P495">
            <v>1329</v>
          </cell>
          <cell r="Q495">
            <v>642</v>
          </cell>
          <cell r="AC495">
            <v>338</v>
          </cell>
        </row>
        <row r="496">
          <cell r="B496">
            <v>4.2</v>
          </cell>
          <cell r="E496">
            <v>6023</v>
          </cell>
          <cell r="F496">
            <v>12.700000000000001</v>
          </cell>
          <cell r="G496">
            <v>5.8000000000000007</v>
          </cell>
          <cell r="H496">
            <v>301</v>
          </cell>
          <cell r="I496">
            <v>994</v>
          </cell>
          <cell r="N496">
            <v>2648</v>
          </cell>
          <cell r="O496">
            <v>1956</v>
          </cell>
          <cell r="P496">
            <v>1372</v>
          </cell>
          <cell r="Q496">
            <v>676</v>
          </cell>
          <cell r="AC496">
            <v>353</v>
          </cell>
        </row>
        <row r="497">
          <cell r="B497">
            <v>4.2</v>
          </cell>
          <cell r="E497">
            <v>6089</v>
          </cell>
          <cell r="F497">
            <v>12.8</v>
          </cell>
          <cell r="G497">
            <v>6.1000000000000005</v>
          </cell>
          <cell r="H497">
            <v>287</v>
          </cell>
          <cell r="I497">
            <v>1050</v>
          </cell>
          <cell r="N497">
            <v>2851</v>
          </cell>
          <cell r="O497">
            <v>1764</v>
          </cell>
          <cell r="P497">
            <v>1491</v>
          </cell>
          <cell r="Q497">
            <v>714</v>
          </cell>
          <cell r="AC497">
            <v>362</v>
          </cell>
        </row>
        <row r="498">
          <cell r="B498">
            <v>4.3</v>
          </cell>
          <cell r="E498">
            <v>6141</v>
          </cell>
          <cell r="F498">
            <v>12.8</v>
          </cell>
          <cell r="G498">
            <v>6.6000000000000005</v>
          </cell>
          <cell r="H498">
            <v>349</v>
          </cell>
          <cell r="I498">
            <v>761</v>
          </cell>
          <cell r="N498">
            <v>2681</v>
          </cell>
          <cell r="O498">
            <v>2059</v>
          </cell>
          <cell r="P498">
            <v>1521</v>
          </cell>
          <cell r="Q498">
            <v>696</v>
          </cell>
          <cell r="AC498">
            <v>386</v>
          </cell>
        </row>
        <row r="499">
          <cell r="B499">
            <v>4.4000000000000004</v>
          </cell>
          <cell r="E499">
            <v>6271</v>
          </cell>
          <cell r="F499">
            <v>12.4</v>
          </cell>
          <cell r="G499">
            <v>5.9</v>
          </cell>
          <cell r="H499">
            <v>349</v>
          </cell>
          <cell r="I499">
            <v>782</v>
          </cell>
          <cell r="N499">
            <v>2972</v>
          </cell>
          <cell r="O499">
            <v>1990</v>
          </cell>
          <cell r="P499">
            <v>1499</v>
          </cell>
          <cell r="Q499">
            <v>712</v>
          </cell>
          <cell r="AC499">
            <v>388</v>
          </cell>
        </row>
        <row r="500">
          <cell r="B500">
            <v>4.3</v>
          </cell>
          <cell r="E500">
            <v>6226</v>
          </cell>
          <cell r="F500">
            <v>12.100000000000001</v>
          </cell>
          <cell r="G500">
            <v>6.3000000000000007</v>
          </cell>
          <cell r="H500">
            <v>328</v>
          </cell>
          <cell r="I500">
            <v>828</v>
          </cell>
          <cell r="N500">
            <v>2701</v>
          </cell>
          <cell r="O500">
            <v>2045</v>
          </cell>
          <cell r="P500">
            <v>1502</v>
          </cell>
          <cell r="Q500">
            <v>624</v>
          </cell>
          <cell r="AC500">
            <v>406</v>
          </cell>
        </row>
        <row r="501">
          <cell r="B501">
            <v>4.5</v>
          </cell>
          <cell r="E501">
            <v>6484</v>
          </cell>
          <cell r="F501">
            <v>12.700000000000001</v>
          </cell>
          <cell r="G501">
            <v>6</v>
          </cell>
          <cell r="H501">
            <v>294</v>
          </cell>
          <cell r="I501">
            <v>876</v>
          </cell>
          <cell r="N501">
            <v>2808</v>
          </cell>
          <cell r="O501">
            <v>2025</v>
          </cell>
          <cell r="P501">
            <v>1532</v>
          </cell>
          <cell r="Q501">
            <v>710</v>
          </cell>
          <cell r="AC501">
            <v>406</v>
          </cell>
        </row>
        <row r="502">
          <cell r="B502">
            <v>4.6000000000000005</v>
          </cell>
          <cell r="E502">
            <v>6583</v>
          </cell>
          <cell r="F502">
            <v>12.9</v>
          </cell>
          <cell r="G502">
            <v>6.8000000000000007</v>
          </cell>
          <cell r="H502">
            <v>310</v>
          </cell>
          <cell r="I502">
            <v>922</v>
          </cell>
          <cell r="N502">
            <v>2642</v>
          </cell>
          <cell r="O502">
            <v>2187</v>
          </cell>
          <cell r="P502">
            <v>1653</v>
          </cell>
          <cell r="Q502">
            <v>702</v>
          </cell>
          <cell r="AC502">
            <v>394</v>
          </cell>
        </row>
        <row r="503">
          <cell r="B503">
            <v>4.9000000000000004</v>
          </cell>
          <cell r="E503">
            <v>7042</v>
          </cell>
          <cell r="F503">
            <v>13.3</v>
          </cell>
          <cell r="G503">
            <v>6.9</v>
          </cell>
          <cell r="H503">
            <v>337</v>
          </cell>
          <cell r="I503">
            <v>1027</v>
          </cell>
          <cell r="N503">
            <v>2966</v>
          </cell>
          <cell r="O503">
            <v>2187</v>
          </cell>
          <cell r="P503">
            <v>1861</v>
          </cell>
          <cell r="Q503">
            <v>857</v>
          </cell>
          <cell r="AC503">
            <v>388</v>
          </cell>
        </row>
        <row r="504">
          <cell r="B504">
            <v>5</v>
          </cell>
          <cell r="E504">
            <v>7142</v>
          </cell>
          <cell r="F504">
            <v>13.200000000000001</v>
          </cell>
          <cell r="G504">
            <v>7.2</v>
          </cell>
          <cell r="H504">
            <v>285</v>
          </cell>
          <cell r="I504">
            <v>1050</v>
          </cell>
          <cell r="N504">
            <v>2837</v>
          </cell>
          <cell r="O504">
            <v>2350</v>
          </cell>
          <cell r="P504">
            <v>1950</v>
          </cell>
          <cell r="Q504">
            <v>819</v>
          </cell>
          <cell r="AC504">
            <v>402</v>
          </cell>
        </row>
        <row r="505">
          <cell r="B505">
            <v>5.3000000000000007</v>
          </cell>
          <cell r="E505">
            <v>7694</v>
          </cell>
          <cell r="F505">
            <v>13.3</v>
          </cell>
          <cell r="G505">
            <v>7.3000000000000007</v>
          </cell>
          <cell r="H505">
            <v>331</v>
          </cell>
          <cell r="I505">
            <v>1067</v>
          </cell>
          <cell r="N505">
            <v>3111</v>
          </cell>
          <cell r="O505">
            <v>2531</v>
          </cell>
          <cell r="P505">
            <v>2082</v>
          </cell>
          <cell r="Q505">
            <v>909</v>
          </cell>
          <cell r="AC505">
            <v>517</v>
          </cell>
        </row>
        <row r="506">
          <cell r="B506">
            <v>5.5</v>
          </cell>
          <cell r="E506">
            <v>8003</v>
          </cell>
          <cell r="F506">
            <v>14.3</v>
          </cell>
          <cell r="G506">
            <v>7.7</v>
          </cell>
          <cell r="H506">
            <v>328</v>
          </cell>
          <cell r="I506">
            <v>1003</v>
          </cell>
          <cell r="N506">
            <v>3090</v>
          </cell>
          <cell r="O506">
            <v>2566</v>
          </cell>
          <cell r="P506">
            <v>2318</v>
          </cell>
          <cell r="Q506">
            <v>1106</v>
          </cell>
          <cell r="AC506">
            <v>483</v>
          </cell>
        </row>
        <row r="507">
          <cell r="B507">
            <v>5.7</v>
          </cell>
          <cell r="E507">
            <v>8258</v>
          </cell>
          <cell r="F507">
            <v>14.5</v>
          </cell>
          <cell r="G507">
            <v>8.2000000000000011</v>
          </cell>
          <cell r="H507">
            <v>348</v>
          </cell>
          <cell r="I507">
            <v>982</v>
          </cell>
          <cell r="N507">
            <v>3037</v>
          </cell>
          <cell r="O507">
            <v>2797</v>
          </cell>
          <cell r="P507">
            <v>2444</v>
          </cell>
          <cell r="Q507">
            <v>1126</v>
          </cell>
          <cell r="AC507">
            <v>465</v>
          </cell>
        </row>
        <row r="508">
          <cell r="B508">
            <v>5.7</v>
          </cell>
          <cell r="E508">
            <v>8182</v>
          </cell>
          <cell r="F508">
            <v>14.700000000000001</v>
          </cell>
          <cell r="G508">
            <v>8.4</v>
          </cell>
          <cell r="H508">
            <v>328</v>
          </cell>
          <cell r="I508">
            <v>1205</v>
          </cell>
          <cell r="N508">
            <v>3044</v>
          </cell>
          <cell r="O508">
            <v>2606</v>
          </cell>
          <cell r="P508">
            <v>2578</v>
          </cell>
          <cell r="Q508">
            <v>1203</v>
          </cell>
          <cell r="AC508">
            <v>421</v>
          </cell>
        </row>
        <row r="509">
          <cell r="B509">
            <v>5.7</v>
          </cell>
          <cell r="E509">
            <v>8215</v>
          </cell>
          <cell r="F509">
            <v>15</v>
          </cell>
          <cell r="G509">
            <v>8.3000000000000007</v>
          </cell>
          <cell r="H509">
            <v>375</v>
          </cell>
          <cell r="I509">
            <v>1048</v>
          </cell>
          <cell r="N509">
            <v>2984</v>
          </cell>
          <cell r="O509">
            <v>2577</v>
          </cell>
          <cell r="P509">
            <v>2608</v>
          </cell>
          <cell r="Q509">
            <v>1214</v>
          </cell>
          <cell r="AC509">
            <v>404</v>
          </cell>
        </row>
        <row r="510">
          <cell r="B510">
            <v>5.7</v>
          </cell>
          <cell r="E510">
            <v>8304</v>
          </cell>
          <cell r="F510">
            <v>15.4</v>
          </cell>
          <cell r="G510">
            <v>8.4</v>
          </cell>
          <cell r="H510">
            <v>330</v>
          </cell>
          <cell r="I510">
            <v>1028</v>
          </cell>
          <cell r="N510">
            <v>3074</v>
          </cell>
          <cell r="O510">
            <v>2563</v>
          </cell>
          <cell r="P510">
            <v>2719</v>
          </cell>
          <cell r="Q510">
            <v>1330</v>
          </cell>
          <cell r="AC510">
            <v>392</v>
          </cell>
        </row>
        <row r="511">
          <cell r="B511">
            <v>5.9</v>
          </cell>
          <cell r="E511">
            <v>8599</v>
          </cell>
          <cell r="F511">
            <v>16.3</v>
          </cell>
          <cell r="G511">
            <v>8.9</v>
          </cell>
          <cell r="H511">
            <v>320</v>
          </cell>
          <cell r="I511">
            <v>1078</v>
          </cell>
          <cell r="N511">
            <v>2932</v>
          </cell>
          <cell r="O511">
            <v>2872</v>
          </cell>
          <cell r="P511">
            <v>2852</v>
          </cell>
          <cell r="Q511">
            <v>1457</v>
          </cell>
          <cell r="AC511">
            <v>479</v>
          </cell>
        </row>
        <row r="512">
          <cell r="B512">
            <v>5.8000000000000007</v>
          </cell>
          <cell r="E512">
            <v>8399</v>
          </cell>
          <cell r="F512">
            <v>16.8</v>
          </cell>
          <cell r="G512">
            <v>9.5</v>
          </cell>
          <cell r="H512">
            <v>414</v>
          </cell>
          <cell r="I512">
            <v>1054</v>
          </cell>
          <cell r="N512">
            <v>2843</v>
          </cell>
          <cell r="O512">
            <v>2584</v>
          </cell>
          <cell r="P512">
            <v>2967</v>
          </cell>
          <cell r="Q512">
            <v>1574</v>
          </cell>
          <cell r="AC512">
            <v>414</v>
          </cell>
        </row>
        <row r="513">
          <cell r="B513">
            <v>5.8000000000000007</v>
          </cell>
          <cell r="E513">
            <v>8393</v>
          </cell>
          <cell r="F513">
            <v>16.900000000000002</v>
          </cell>
          <cell r="G513">
            <v>11</v>
          </cell>
          <cell r="H513">
            <v>342</v>
          </cell>
          <cell r="I513">
            <v>1038</v>
          </cell>
          <cell r="N513">
            <v>2711</v>
          </cell>
          <cell r="O513">
            <v>2654</v>
          </cell>
          <cell r="P513">
            <v>3023</v>
          </cell>
          <cell r="Q513">
            <v>1641</v>
          </cell>
          <cell r="AC513">
            <v>378</v>
          </cell>
        </row>
        <row r="514">
          <cell r="B514">
            <v>5.8000000000000007</v>
          </cell>
          <cell r="E514">
            <v>8390</v>
          </cell>
          <cell r="F514">
            <v>16.900000000000002</v>
          </cell>
          <cell r="G514">
            <v>8.9</v>
          </cell>
          <cell r="H514">
            <v>405</v>
          </cell>
          <cell r="I514">
            <v>1102</v>
          </cell>
          <cell r="N514">
            <v>2891</v>
          </cell>
          <cell r="O514">
            <v>2467</v>
          </cell>
          <cell r="P514">
            <v>2966</v>
          </cell>
          <cell r="Q514">
            <v>1584</v>
          </cell>
          <cell r="AC514">
            <v>386</v>
          </cell>
        </row>
        <row r="515">
          <cell r="B515">
            <v>5.7</v>
          </cell>
          <cell r="E515">
            <v>8304</v>
          </cell>
          <cell r="F515">
            <v>16.5</v>
          </cell>
          <cell r="G515">
            <v>9</v>
          </cell>
          <cell r="H515">
            <v>378</v>
          </cell>
          <cell r="I515">
            <v>1078</v>
          </cell>
          <cell r="N515">
            <v>2927</v>
          </cell>
          <cell r="O515">
            <v>2525</v>
          </cell>
          <cell r="P515">
            <v>2887</v>
          </cell>
          <cell r="Q515">
            <v>1573</v>
          </cell>
          <cell r="AC515">
            <v>390</v>
          </cell>
        </row>
        <row r="516">
          <cell r="B516">
            <v>5.7</v>
          </cell>
          <cell r="E516">
            <v>8251</v>
          </cell>
          <cell r="F516">
            <v>17.600000000000001</v>
          </cell>
          <cell r="G516">
            <v>9.5</v>
          </cell>
          <cell r="H516">
            <v>392</v>
          </cell>
          <cell r="I516">
            <v>1109</v>
          </cell>
          <cell r="N516">
            <v>2772</v>
          </cell>
          <cell r="O516">
            <v>2526</v>
          </cell>
          <cell r="P516">
            <v>2971</v>
          </cell>
          <cell r="Q516">
            <v>1580</v>
          </cell>
          <cell r="AC516">
            <v>394</v>
          </cell>
        </row>
        <row r="517">
          <cell r="B517">
            <v>5.7</v>
          </cell>
          <cell r="E517">
            <v>8307</v>
          </cell>
          <cell r="F517">
            <v>17.8</v>
          </cell>
          <cell r="G517">
            <v>9.6000000000000014</v>
          </cell>
          <cell r="H517">
            <v>359</v>
          </cell>
          <cell r="I517">
            <v>1057</v>
          </cell>
          <cell r="N517">
            <v>2765</v>
          </cell>
          <cell r="O517">
            <v>2512</v>
          </cell>
          <cell r="P517">
            <v>3042</v>
          </cell>
          <cell r="Q517">
            <v>1653</v>
          </cell>
          <cell r="AC517">
            <v>409</v>
          </cell>
        </row>
        <row r="518">
          <cell r="B518">
            <v>5.9</v>
          </cell>
          <cell r="E518">
            <v>8520</v>
          </cell>
          <cell r="F518">
            <v>17.600000000000001</v>
          </cell>
          <cell r="G518">
            <v>9.3000000000000007</v>
          </cell>
          <cell r="H518">
            <v>385</v>
          </cell>
          <cell r="I518">
            <v>1016</v>
          </cell>
          <cell r="N518">
            <v>2950</v>
          </cell>
          <cell r="O518">
            <v>2505</v>
          </cell>
          <cell r="P518">
            <v>3062</v>
          </cell>
          <cell r="Q518">
            <v>1743</v>
          </cell>
          <cell r="AC518">
            <v>405</v>
          </cell>
        </row>
        <row r="519">
          <cell r="B519">
            <v>6</v>
          </cell>
          <cell r="E519">
            <v>8640</v>
          </cell>
          <cell r="F519">
            <v>18.5</v>
          </cell>
          <cell r="G519">
            <v>9.6000000000000014</v>
          </cell>
          <cell r="H519">
            <v>403</v>
          </cell>
          <cell r="I519">
            <v>1029</v>
          </cell>
          <cell r="N519">
            <v>2838</v>
          </cell>
          <cell r="O519">
            <v>2589</v>
          </cell>
          <cell r="P519">
            <v>3271</v>
          </cell>
          <cell r="Q519">
            <v>1924</v>
          </cell>
          <cell r="AC519">
            <v>377</v>
          </cell>
        </row>
        <row r="520">
          <cell r="B520">
            <v>5.8000000000000007</v>
          </cell>
          <cell r="E520">
            <v>8520</v>
          </cell>
          <cell r="F520">
            <v>18.5</v>
          </cell>
          <cell r="G520">
            <v>9.6000000000000014</v>
          </cell>
          <cell r="H520">
            <v>449</v>
          </cell>
          <cell r="I520">
            <v>1149</v>
          </cell>
          <cell r="N520">
            <v>2856</v>
          </cell>
          <cell r="O520">
            <v>2582</v>
          </cell>
          <cell r="P520">
            <v>3166</v>
          </cell>
          <cell r="Q520">
            <v>1760</v>
          </cell>
          <cell r="AC520">
            <v>409</v>
          </cell>
        </row>
        <row r="521">
          <cell r="B521">
            <v>5.9</v>
          </cell>
          <cell r="E521">
            <v>8618</v>
          </cell>
          <cell r="F521">
            <v>18.5</v>
          </cell>
          <cell r="G521">
            <v>9.5</v>
          </cell>
          <cell r="H521">
            <v>450</v>
          </cell>
          <cell r="I521">
            <v>1139</v>
          </cell>
          <cell r="N521">
            <v>2798</v>
          </cell>
          <cell r="O521">
            <v>2611</v>
          </cell>
          <cell r="P521">
            <v>3161</v>
          </cell>
          <cell r="Q521">
            <v>1864</v>
          </cell>
          <cell r="AC521">
            <v>413</v>
          </cell>
        </row>
        <row r="522">
          <cell r="B522">
            <v>5.9</v>
          </cell>
          <cell r="E522">
            <v>8588</v>
          </cell>
          <cell r="F522">
            <v>18.100000000000001</v>
          </cell>
          <cell r="G522">
            <v>9.7000000000000011</v>
          </cell>
          <cell r="H522">
            <v>474</v>
          </cell>
          <cell r="I522">
            <v>1103</v>
          </cell>
          <cell r="N522">
            <v>2831</v>
          </cell>
          <cell r="O522">
            <v>2567</v>
          </cell>
          <cell r="P522">
            <v>3161</v>
          </cell>
          <cell r="Q522">
            <v>1798</v>
          </cell>
          <cell r="AC522">
            <v>436</v>
          </cell>
        </row>
        <row r="523">
          <cell r="B523">
            <v>6</v>
          </cell>
          <cell r="E523">
            <v>8842</v>
          </cell>
          <cell r="F523">
            <v>19.400000000000002</v>
          </cell>
          <cell r="G523">
            <v>10.200000000000001</v>
          </cell>
          <cell r="H523">
            <v>437</v>
          </cell>
          <cell r="I523">
            <v>962</v>
          </cell>
          <cell r="N523">
            <v>2794</v>
          </cell>
          <cell r="O523">
            <v>2661</v>
          </cell>
          <cell r="P523">
            <v>3348</v>
          </cell>
          <cell r="Q523">
            <v>1927</v>
          </cell>
          <cell r="AC523">
            <v>436</v>
          </cell>
        </row>
        <row r="524">
          <cell r="B524">
            <v>6.1000000000000005</v>
          </cell>
          <cell r="E524">
            <v>8957</v>
          </cell>
          <cell r="F524">
            <v>19</v>
          </cell>
          <cell r="G524">
            <v>9.9</v>
          </cell>
          <cell r="H524">
            <v>482</v>
          </cell>
          <cell r="I524">
            <v>946</v>
          </cell>
          <cell r="N524">
            <v>2988</v>
          </cell>
          <cell r="O524">
            <v>2631</v>
          </cell>
          <cell r="P524">
            <v>3318</v>
          </cell>
          <cell r="Q524">
            <v>1929</v>
          </cell>
          <cell r="AC524">
            <v>444</v>
          </cell>
        </row>
        <row r="525">
          <cell r="B525">
            <v>6.3000000000000007</v>
          </cell>
          <cell r="E525">
            <v>9266</v>
          </cell>
          <cell r="F525">
            <v>19.900000000000002</v>
          </cell>
          <cell r="G525">
            <v>11.5</v>
          </cell>
          <cell r="H525">
            <v>478</v>
          </cell>
          <cell r="I525">
            <v>990</v>
          </cell>
          <cell r="N525">
            <v>2906</v>
          </cell>
          <cell r="O525">
            <v>2745</v>
          </cell>
          <cell r="P525">
            <v>3552</v>
          </cell>
          <cell r="Q525">
            <v>2100</v>
          </cell>
          <cell r="AC525">
            <v>431</v>
          </cell>
        </row>
        <row r="526">
          <cell r="B526">
            <v>6.2</v>
          </cell>
          <cell r="E526">
            <v>9011</v>
          </cell>
          <cell r="F526">
            <v>19.700000000000003</v>
          </cell>
          <cell r="G526">
            <v>10.3</v>
          </cell>
          <cell r="H526">
            <v>470</v>
          </cell>
          <cell r="I526">
            <v>1096</v>
          </cell>
          <cell r="N526">
            <v>2720</v>
          </cell>
          <cell r="O526">
            <v>2616</v>
          </cell>
          <cell r="P526">
            <v>3633</v>
          </cell>
          <cell r="Q526">
            <v>1972</v>
          </cell>
          <cell r="AC526">
            <v>429</v>
          </cell>
        </row>
        <row r="527">
          <cell r="B527">
            <v>6.1000000000000005</v>
          </cell>
          <cell r="E527">
            <v>8896</v>
          </cell>
          <cell r="F527">
            <v>19.200000000000003</v>
          </cell>
          <cell r="G527">
            <v>10.100000000000001</v>
          </cell>
          <cell r="H527">
            <v>503</v>
          </cell>
          <cell r="I527">
            <v>1162</v>
          </cell>
          <cell r="N527">
            <v>2801</v>
          </cell>
          <cell r="O527">
            <v>2625</v>
          </cell>
          <cell r="P527">
            <v>3557</v>
          </cell>
          <cell r="Q527">
            <v>1995</v>
          </cell>
          <cell r="AC527">
            <v>401</v>
          </cell>
        </row>
        <row r="528">
          <cell r="B528">
            <v>6.1000000000000005</v>
          </cell>
          <cell r="E528">
            <v>8921</v>
          </cell>
          <cell r="F528">
            <v>19.5</v>
          </cell>
          <cell r="G528">
            <v>10.200000000000001</v>
          </cell>
          <cell r="H528">
            <v>388</v>
          </cell>
          <cell r="I528">
            <v>1156</v>
          </cell>
          <cell r="N528">
            <v>2704</v>
          </cell>
          <cell r="O528">
            <v>2775</v>
          </cell>
          <cell r="P528">
            <v>3486</v>
          </cell>
          <cell r="Q528">
            <v>2014</v>
          </cell>
          <cell r="AC528">
            <v>407</v>
          </cell>
        </row>
        <row r="529">
          <cell r="B529">
            <v>6</v>
          </cell>
          <cell r="E529">
            <v>8732</v>
          </cell>
          <cell r="F529">
            <v>19.3</v>
          </cell>
          <cell r="G529">
            <v>10.4</v>
          </cell>
          <cell r="H529">
            <v>462</v>
          </cell>
          <cell r="I529">
            <v>1125</v>
          </cell>
          <cell r="N529">
            <v>2710</v>
          </cell>
          <cell r="O529">
            <v>2593</v>
          </cell>
          <cell r="P529">
            <v>3451</v>
          </cell>
          <cell r="Q529">
            <v>1959</v>
          </cell>
          <cell r="AC529">
            <v>387</v>
          </cell>
        </row>
        <row r="530">
          <cell r="B530">
            <v>5.8000000000000007</v>
          </cell>
          <cell r="E530">
            <v>8576</v>
          </cell>
          <cell r="F530">
            <v>19.900000000000002</v>
          </cell>
          <cell r="G530">
            <v>10.3</v>
          </cell>
          <cell r="H530">
            <v>457</v>
          </cell>
          <cell r="I530">
            <v>1016</v>
          </cell>
          <cell r="N530">
            <v>2656</v>
          </cell>
          <cell r="O530">
            <v>2509</v>
          </cell>
          <cell r="P530">
            <v>3420</v>
          </cell>
          <cell r="Q530">
            <v>2006</v>
          </cell>
          <cell r="AC530">
            <v>363</v>
          </cell>
        </row>
        <row r="531">
          <cell r="B531">
            <v>5.7</v>
          </cell>
          <cell r="E531">
            <v>8317</v>
          </cell>
          <cell r="F531">
            <v>19.8</v>
          </cell>
          <cell r="G531">
            <v>10.4</v>
          </cell>
          <cell r="H531">
            <v>433</v>
          </cell>
          <cell r="I531">
            <v>1050</v>
          </cell>
          <cell r="N531">
            <v>2554</v>
          </cell>
          <cell r="O531">
            <v>2455</v>
          </cell>
          <cell r="P531">
            <v>3366</v>
          </cell>
          <cell r="Q531">
            <v>1931</v>
          </cell>
          <cell r="AC531">
            <v>357</v>
          </cell>
        </row>
        <row r="532">
          <cell r="B532">
            <v>5.7</v>
          </cell>
          <cell r="E532">
            <v>8370</v>
          </cell>
          <cell r="F532">
            <v>19.900000000000002</v>
          </cell>
          <cell r="G532">
            <v>10.600000000000001</v>
          </cell>
          <cell r="H532">
            <v>432</v>
          </cell>
          <cell r="I532">
            <v>1238</v>
          </cell>
          <cell r="N532">
            <v>2685</v>
          </cell>
          <cell r="O532">
            <v>2369</v>
          </cell>
          <cell r="P532">
            <v>3364</v>
          </cell>
          <cell r="Q532">
            <v>1911</v>
          </cell>
          <cell r="AC532">
            <v>349</v>
          </cell>
        </row>
        <row r="533">
          <cell r="B533">
            <v>5.6000000000000005</v>
          </cell>
          <cell r="E533">
            <v>8167</v>
          </cell>
          <cell r="F533">
            <v>20.100000000000001</v>
          </cell>
          <cell r="G533">
            <v>10.200000000000001</v>
          </cell>
          <cell r="H533">
            <v>484</v>
          </cell>
          <cell r="I533">
            <v>1206</v>
          </cell>
          <cell r="N533">
            <v>2425</v>
          </cell>
          <cell r="O533">
            <v>2436</v>
          </cell>
          <cell r="P533">
            <v>3248</v>
          </cell>
          <cell r="Q533">
            <v>1856</v>
          </cell>
          <cell r="AC533">
            <v>376</v>
          </cell>
        </row>
        <row r="534">
          <cell r="B534">
            <v>5.8000000000000007</v>
          </cell>
          <cell r="E534">
            <v>8491</v>
          </cell>
          <cell r="F534">
            <v>19.8</v>
          </cell>
          <cell r="G534">
            <v>10.200000000000001</v>
          </cell>
          <cell r="H534">
            <v>514</v>
          </cell>
          <cell r="I534">
            <v>1130</v>
          </cell>
          <cell r="N534">
            <v>2637</v>
          </cell>
          <cell r="O534">
            <v>2434</v>
          </cell>
          <cell r="P534">
            <v>3314</v>
          </cell>
          <cell r="Q534">
            <v>1983</v>
          </cell>
          <cell r="AC534">
            <v>348</v>
          </cell>
        </row>
        <row r="535">
          <cell r="B535">
            <v>5.6000000000000005</v>
          </cell>
          <cell r="E535">
            <v>8170</v>
          </cell>
          <cell r="F535">
            <v>19.600000000000001</v>
          </cell>
          <cell r="G535">
            <v>9.5</v>
          </cell>
          <cell r="H535">
            <v>492</v>
          </cell>
          <cell r="I535">
            <v>1034</v>
          </cell>
          <cell r="N535">
            <v>2780</v>
          </cell>
          <cell r="O535">
            <v>2400</v>
          </cell>
          <cell r="P535">
            <v>2971</v>
          </cell>
          <cell r="Q535">
            <v>1805</v>
          </cell>
          <cell r="AC535">
            <v>340</v>
          </cell>
        </row>
        <row r="536">
          <cell r="B536">
            <v>5.6000000000000005</v>
          </cell>
          <cell r="E536">
            <v>8212</v>
          </cell>
          <cell r="F536">
            <v>19.8</v>
          </cell>
          <cell r="G536">
            <v>9.9</v>
          </cell>
          <cell r="H536">
            <v>476</v>
          </cell>
          <cell r="I536">
            <v>1058</v>
          </cell>
          <cell r="N536">
            <v>2723</v>
          </cell>
          <cell r="O536">
            <v>2378</v>
          </cell>
          <cell r="P536">
            <v>3103</v>
          </cell>
          <cell r="Q536">
            <v>1799</v>
          </cell>
          <cell r="AC536">
            <v>324</v>
          </cell>
        </row>
        <row r="537">
          <cell r="B537">
            <v>5.6000000000000005</v>
          </cell>
          <cell r="E537">
            <v>8286</v>
          </cell>
          <cell r="F537">
            <v>20.5</v>
          </cell>
          <cell r="G537">
            <v>11</v>
          </cell>
          <cell r="H537">
            <v>478</v>
          </cell>
          <cell r="I537">
            <v>1013</v>
          </cell>
          <cell r="N537">
            <v>2677</v>
          </cell>
          <cell r="O537">
            <v>2387</v>
          </cell>
          <cell r="P537">
            <v>3130</v>
          </cell>
          <cell r="Q537">
            <v>1847</v>
          </cell>
          <cell r="AC537">
            <v>337</v>
          </cell>
        </row>
        <row r="538">
          <cell r="B538">
            <v>5.5</v>
          </cell>
          <cell r="E538">
            <v>8136</v>
          </cell>
          <cell r="F538">
            <v>18.8</v>
          </cell>
          <cell r="G538">
            <v>8.9</v>
          </cell>
          <cell r="H538">
            <v>504</v>
          </cell>
          <cell r="I538">
            <v>1053</v>
          </cell>
          <cell r="N538">
            <v>2820</v>
          </cell>
          <cell r="O538">
            <v>2384</v>
          </cell>
          <cell r="P538">
            <v>2918</v>
          </cell>
          <cell r="Q538">
            <v>1681</v>
          </cell>
          <cell r="AC538">
            <v>348</v>
          </cell>
        </row>
        <row r="539">
          <cell r="B539">
            <v>5.4</v>
          </cell>
          <cell r="E539">
            <v>7990</v>
          </cell>
          <cell r="F539">
            <v>18.8</v>
          </cell>
          <cell r="G539">
            <v>9.2000000000000011</v>
          </cell>
          <cell r="H539">
            <v>534</v>
          </cell>
          <cell r="I539">
            <v>1052</v>
          </cell>
          <cell r="N539">
            <v>2660</v>
          </cell>
          <cell r="O539">
            <v>2563</v>
          </cell>
          <cell r="P539">
            <v>2846</v>
          </cell>
          <cell r="Q539">
            <v>1640</v>
          </cell>
          <cell r="AC539">
            <v>341</v>
          </cell>
        </row>
        <row r="540">
          <cell r="B540">
            <v>5.4</v>
          </cell>
          <cell r="E540">
            <v>7927</v>
          </cell>
          <cell r="F540">
            <v>19.400000000000002</v>
          </cell>
          <cell r="G540">
            <v>9.6000000000000014</v>
          </cell>
          <cell r="H540">
            <v>412</v>
          </cell>
          <cell r="I540">
            <v>1148</v>
          </cell>
          <cell r="N540">
            <v>2758</v>
          </cell>
          <cell r="O540">
            <v>2276</v>
          </cell>
          <cell r="P540">
            <v>2910</v>
          </cell>
          <cell r="Q540">
            <v>1702</v>
          </cell>
          <cell r="AC540">
            <v>352</v>
          </cell>
        </row>
        <row r="541">
          <cell r="B541">
            <v>5.5</v>
          </cell>
          <cell r="E541">
            <v>8061</v>
          </cell>
          <cell r="F541">
            <v>19.5</v>
          </cell>
          <cell r="G541">
            <v>9.5</v>
          </cell>
          <cell r="H541">
            <v>429</v>
          </cell>
          <cell r="I541">
            <v>1218</v>
          </cell>
          <cell r="N541">
            <v>2732</v>
          </cell>
          <cell r="O541">
            <v>2303</v>
          </cell>
          <cell r="P541">
            <v>3041</v>
          </cell>
          <cell r="Q541">
            <v>1737</v>
          </cell>
          <cell r="AC541">
            <v>335</v>
          </cell>
        </row>
        <row r="542">
          <cell r="B542">
            <v>5.4</v>
          </cell>
          <cell r="E542">
            <v>7932</v>
          </cell>
          <cell r="F542">
            <v>19.700000000000003</v>
          </cell>
          <cell r="G542">
            <v>9.7000000000000011</v>
          </cell>
          <cell r="H542">
            <v>392</v>
          </cell>
          <cell r="I542">
            <v>1125</v>
          </cell>
          <cell r="N542">
            <v>2638</v>
          </cell>
          <cell r="O542">
            <v>2339</v>
          </cell>
          <cell r="P542">
            <v>2960</v>
          </cell>
          <cell r="Q542">
            <v>1702</v>
          </cell>
          <cell r="AC542">
            <v>332</v>
          </cell>
        </row>
        <row r="543">
          <cell r="B543">
            <v>5.4</v>
          </cell>
          <cell r="E543">
            <v>7934</v>
          </cell>
          <cell r="F543">
            <v>19.400000000000002</v>
          </cell>
          <cell r="G543">
            <v>9.5</v>
          </cell>
          <cell r="H543">
            <v>442</v>
          </cell>
          <cell r="I543">
            <v>1021</v>
          </cell>
          <cell r="N543">
            <v>2768</v>
          </cell>
          <cell r="O543">
            <v>2268</v>
          </cell>
          <cell r="P543">
            <v>2927</v>
          </cell>
          <cell r="Q543">
            <v>1653</v>
          </cell>
          <cell r="AC543">
            <v>335</v>
          </cell>
        </row>
        <row r="544">
          <cell r="B544">
            <v>5.3000000000000007</v>
          </cell>
          <cell r="E544">
            <v>7784</v>
          </cell>
          <cell r="F544">
            <v>19.5</v>
          </cell>
          <cell r="G544">
            <v>9.4</v>
          </cell>
          <cell r="H544">
            <v>515</v>
          </cell>
          <cell r="I544">
            <v>1289</v>
          </cell>
          <cell r="N544">
            <v>2635</v>
          </cell>
          <cell r="O544">
            <v>2298</v>
          </cell>
          <cell r="P544">
            <v>2851</v>
          </cell>
          <cell r="Q544">
            <v>1648</v>
          </cell>
          <cell r="AC544">
            <v>356</v>
          </cell>
        </row>
        <row r="545">
          <cell r="B545">
            <v>5.4</v>
          </cell>
          <cell r="E545">
            <v>7980</v>
          </cell>
          <cell r="F545">
            <v>19.100000000000001</v>
          </cell>
          <cell r="G545">
            <v>9.2000000000000011</v>
          </cell>
          <cell r="H545">
            <v>485</v>
          </cell>
          <cell r="I545">
            <v>1187</v>
          </cell>
          <cell r="N545">
            <v>2749</v>
          </cell>
          <cell r="O545">
            <v>2345</v>
          </cell>
          <cell r="P545">
            <v>2896</v>
          </cell>
          <cell r="Q545">
            <v>1628</v>
          </cell>
          <cell r="AC545">
            <v>331</v>
          </cell>
        </row>
        <row r="546">
          <cell r="B546">
            <v>5.2</v>
          </cell>
          <cell r="E546">
            <v>7737</v>
          </cell>
          <cell r="F546">
            <v>19.5</v>
          </cell>
          <cell r="G546">
            <v>9.3000000000000007</v>
          </cell>
          <cell r="H546">
            <v>480</v>
          </cell>
          <cell r="I546">
            <v>1108</v>
          </cell>
          <cell r="N546">
            <v>2483</v>
          </cell>
          <cell r="O546">
            <v>2328</v>
          </cell>
          <cell r="P546">
            <v>2817</v>
          </cell>
          <cell r="Q546">
            <v>1660</v>
          </cell>
          <cell r="AC546">
            <v>314</v>
          </cell>
        </row>
        <row r="547">
          <cell r="B547">
            <v>5.2</v>
          </cell>
          <cell r="E547">
            <v>7672</v>
          </cell>
          <cell r="F547">
            <v>19.600000000000001</v>
          </cell>
          <cell r="G547">
            <v>9</v>
          </cell>
          <cell r="H547">
            <v>393</v>
          </cell>
          <cell r="I547">
            <v>1119</v>
          </cell>
          <cell r="N547">
            <v>2688</v>
          </cell>
          <cell r="O547">
            <v>2289</v>
          </cell>
          <cell r="P547">
            <v>2678</v>
          </cell>
          <cell r="Q547">
            <v>1609</v>
          </cell>
          <cell r="AC547">
            <v>335</v>
          </cell>
        </row>
        <row r="548">
          <cell r="B548">
            <v>5.1000000000000005</v>
          </cell>
          <cell r="E548">
            <v>7651</v>
          </cell>
          <cell r="F548">
            <v>18.600000000000001</v>
          </cell>
          <cell r="G548">
            <v>9.1</v>
          </cell>
          <cell r="H548">
            <v>392</v>
          </cell>
          <cell r="I548">
            <v>1036</v>
          </cell>
          <cell r="N548">
            <v>2754</v>
          </cell>
          <cell r="O548">
            <v>2231</v>
          </cell>
          <cell r="P548">
            <v>2683</v>
          </cell>
          <cell r="Q548">
            <v>1538</v>
          </cell>
          <cell r="AC548">
            <v>334</v>
          </cell>
        </row>
        <row r="549">
          <cell r="B549">
            <v>5</v>
          </cell>
          <cell r="E549">
            <v>7524</v>
          </cell>
          <cell r="F549">
            <v>17.900000000000002</v>
          </cell>
          <cell r="G549">
            <v>9</v>
          </cell>
          <cell r="H549">
            <v>476</v>
          </cell>
          <cell r="I549">
            <v>1107</v>
          </cell>
          <cell r="N549">
            <v>2659</v>
          </cell>
          <cell r="O549">
            <v>2361</v>
          </cell>
          <cell r="P549">
            <v>2405</v>
          </cell>
          <cell r="Q549">
            <v>1375</v>
          </cell>
          <cell r="AC549">
            <v>340</v>
          </cell>
        </row>
        <row r="550">
          <cell r="B550">
            <v>5</v>
          </cell>
          <cell r="E550">
            <v>7406</v>
          </cell>
          <cell r="F550">
            <v>17.600000000000001</v>
          </cell>
          <cell r="G550">
            <v>8.8000000000000007</v>
          </cell>
          <cell r="H550">
            <v>499</v>
          </cell>
          <cell r="I550">
            <v>1016</v>
          </cell>
          <cell r="N550">
            <v>2568</v>
          </cell>
          <cell r="O550">
            <v>2368</v>
          </cell>
          <cell r="P550">
            <v>2449</v>
          </cell>
          <cell r="Q550">
            <v>1380</v>
          </cell>
          <cell r="AC550">
            <v>327</v>
          </cell>
        </row>
        <row r="551">
          <cell r="B551">
            <v>4.9000000000000004</v>
          </cell>
          <cell r="E551">
            <v>7345</v>
          </cell>
          <cell r="F551">
            <v>18.400000000000002</v>
          </cell>
          <cell r="G551">
            <v>9.2000000000000011</v>
          </cell>
          <cell r="H551">
            <v>384</v>
          </cell>
          <cell r="I551">
            <v>1198</v>
          </cell>
          <cell r="N551">
            <v>2570</v>
          </cell>
          <cell r="O551">
            <v>2304</v>
          </cell>
          <cell r="P551">
            <v>2569</v>
          </cell>
          <cell r="Q551">
            <v>1407</v>
          </cell>
          <cell r="AC551">
            <v>316</v>
          </cell>
        </row>
        <row r="552">
          <cell r="B552">
            <v>5</v>
          </cell>
          <cell r="E552">
            <v>7553</v>
          </cell>
          <cell r="F552">
            <v>17.900000000000002</v>
          </cell>
          <cell r="G552">
            <v>8.4</v>
          </cell>
          <cell r="H552">
            <v>362</v>
          </cell>
          <cell r="I552">
            <v>1076</v>
          </cell>
          <cell r="N552">
            <v>2763</v>
          </cell>
          <cell r="O552">
            <v>2294</v>
          </cell>
          <cell r="P552">
            <v>2537</v>
          </cell>
          <cell r="Q552">
            <v>1439</v>
          </cell>
          <cell r="AC552">
            <v>318</v>
          </cell>
        </row>
        <row r="553">
          <cell r="B553">
            <v>5</v>
          </cell>
          <cell r="E553">
            <v>7453</v>
          </cell>
          <cell r="F553">
            <v>17.900000000000002</v>
          </cell>
          <cell r="G553">
            <v>8.6</v>
          </cell>
          <cell r="H553">
            <v>392</v>
          </cell>
          <cell r="I553">
            <v>1022</v>
          </cell>
          <cell r="N553">
            <v>2719</v>
          </cell>
          <cell r="O553">
            <v>2296</v>
          </cell>
          <cell r="P553">
            <v>2492</v>
          </cell>
          <cell r="Q553">
            <v>1422</v>
          </cell>
          <cell r="AC553">
            <v>384</v>
          </cell>
        </row>
        <row r="554">
          <cell r="B554">
            <v>5</v>
          </cell>
          <cell r="E554">
            <v>7566</v>
          </cell>
          <cell r="F554">
            <v>17.5</v>
          </cell>
          <cell r="G554">
            <v>8.5</v>
          </cell>
          <cell r="H554">
            <v>404</v>
          </cell>
          <cell r="I554">
            <v>1011</v>
          </cell>
          <cell r="N554">
            <v>2823</v>
          </cell>
          <cell r="O554">
            <v>2282</v>
          </cell>
          <cell r="P554">
            <v>2486</v>
          </cell>
          <cell r="Q554">
            <v>1370</v>
          </cell>
          <cell r="AC554">
            <v>322</v>
          </cell>
        </row>
        <row r="555">
          <cell r="B555">
            <v>4.9000000000000004</v>
          </cell>
          <cell r="E555">
            <v>7279</v>
          </cell>
          <cell r="F555">
            <v>17.5</v>
          </cell>
          <cell r="G555">
            <v>8.7000000000000011</v>
          </cell>
          <cell r="H555">
            <v>451</v>
          </cell>
          <cell r="I555">
            <v>1139</v>
          </cell>
          <cell r="N555">
            <v>2588</v>
          </cell>
          <cell r="O555">
            <v>2249</v>
          </cell>
          <cell r="P555">
            <v>2429</v>
          </cell>
          <cell r="Q555">
            <v>1356</v>
          </cell>
          <cell r="AC555">
            <v>311</v>
          </cell>
        </row>
        <row r="556">
          <cell r="B556">
            <v>4.7</v>
          </cell>
          <cell r="E556">
            <v>7064</v>
          </cell>
          <cell r="F556">
            <v>16.900000000000002</v>
          </cell>
          <cell r="G556">
            <v>8.6</v>
          </cell>
          <cell r="H556">
            <v>396</v>
          </cell>
          <cell r="I556">
            <v>1248</v>
          </cell>
          <cell r="N556">
            <v>2527</v>
          </cell>
          <cell r="O556">
            <v>2194</v>
          </cell>
          <cell r="P556">
            <v>2270</v>
          </cell>
          <cell r="Q556">
            <v>1170</v>
          </cell>
          <cell r="AC556">
            <v>302</v>
          </cell>
        </row>
        <row r="557">
          <cell r="B557">
            <v>4.8000000000000007</v>
          </cell>
          <cell r="E557">
            <v>7184</v>
          </cell>
          <cell r="F557">
            <v>17.8</v>
          </cell>
          <cell r="G557">
            <v>9.1</v>
          </cell>
          <cell r="H557">
            <v>386</v>
          </cell>
          <cell r="I557">
            <v>1085</v>
          </cell>
          <cell r="N557">
            <v>2577</v>
          </cell>
          <cell r="O557">
            <v>2088</v>
          </cell>
          <cell r="P557">
            <v>2546</v>
          </cell>
          <cell r="Q557">
            <v>1350</v>
          </cell>
          <cell r="AC557">
            <v>282</v>
          </cell>
        </row>
        <row r="558">
          <cell r="B558">
            <v>4.7</v>
          </cell>
          <cell r="E558">
            <v>7072</v>
          </cell>
          <cell r="F558">
            <v>17.100000000000001</v>
          </cell>
          <cell r="G558">
            <v>8.7000000000000011</v>
          </cell>
          <cell r="H558">
            <v>451</v>
          </cell>
          <cell r="I558">
            <v>1017</v>
          </cell>
          <cell r="N558">
            <v>2659</v>
          </cell>
          <cell r="O558">
            <v>1999</v>
          </cell>
          <cell r="P558">
            <v>2373</v>
          </cell>
          <cell r="Q558">
            <v>1309</v>
          </cell>
          <cell r="AC558">
            <v>293</v>
          </cell>
        </row>
        <row r="559">
          <cell r="B559">
            <v>4.7</v>
          </cell>
          <cell r="E559">
            <v>7120</v>
          </cell>
          <cell r="F559">
            <v>16.7</v>
          </cell>
          <cell r="G559">
            <v>8.4</v>
          </cell>
          <cell r="H559">
            <v>381</v>
          </cell>
          <cell r="I559">
            <v>928</v>
          </cell>
          <cell r="N559">
            <v>2665</v>
          </cell>
          <cell r="O559">
            <v>2142</v>
          </cell>
          <cell r="P559">
            <v>2353</v>
          </cell>
          <cell r="Q559">
            <v>1331</v>
          </cell>
          <cell r="AC559">
            <v>291</v>
          </cell>
        </row>
        <row r="560">
          <cell r="B560">
            <v>4.6000000000000005</v>
          </cell>
          <cell r="E560">
            <v>6980</v>
          </cell>
          <cell r="F560">
            <v>17.100000000000001</v>
          </cell>
          <cell r="G560">
            <v>8.5</v>
          </cell>
          <cell r="H560">
            <v>323</v>
          </cell>
          <cell r="I560">
            <v>1066</v>
          </cell>
          <cell r="N560">
            <v>2545</v>
          </cell>
          <cell r="O560">
            <v>2189</v>
          </cell>
          <cell r="P560">
            <v>2303</v>
          </cell>
          <cell r="Q560">
            <v>1333</v>
          </cell>
          <cell r="AC560">
            <v>321</v>
          </cell>
        </row>
        <row r="561">
          <cell r="B561">
            <v>4.6000000000000005</v>
          </cell>
          <cell r="E561">
            <v>7001</v>
          </cell>
          <cell r="F561">
            <v>16.600000000000001</v>
          </cell>
          <cell r="G561">
            <v>7.3000000000000007</v>
          </cell>
          <cell r="H561">
            <v>481</v>
          </cell>
          <cell r="I561">
            <v>1103</v>
          </cell>
          <cell r="N561">
            <v>2705</v>
          </cell>
          <cell r="O561">
            <v>2076</v>
          </cell>
          <cell r="P561">
            <v>2127</v>
          </cell>
          <cell r="Q561">
            <v>1145</v>
          </cell>
          <cell r="AC561">
            <v>330</v>
          </cell>
        </row>
        <row r="562">
          <cell r="B562">
            <v>4.7</v>
          </cell>
          <cell r="E562">
            <v>7175</v>
          </cell>
          <cell r="F562">
            <v>17.100000000000001</v>
          </cell>
          <cell r="G562">
            <v>8</v>
          </cell>
          <cell r="H562">
            <v>428</v>
          </cell>
          <cell r="I562">
            <v>1094</v>
          </cell>
          <cell r="N562">
            <v>2721</v>
          </cell>
          <cell r="O562">
            <v>2126</v>
          </cell>
          <cell r="P562">
            <v>2289</v>
          </cell>
          <cell r="Q562">
            <v>1304</v>
          </cell>
          <cell r="AC562">
            <v>316</v>
          </cell>
        </row>
        <row r="563">
          <cell r="B563">
            <v>4.7</v>
          </cell>
          <cell r="E563">
            <v>7091</v>
          </cell>
          <cell r="F563">
            <v>17.100000000000001</v>
          </cell>
          <cell r="G563">
            <v>8.4</v>
          </cell>
          <cell r="H563">
            <v>448</v>
          </cell>
          <cell r="I563">
            <v>1144</v>
          </cell>
          <cell r="N563">
            <v>2603</v>
          </cell>
          <cell r="O563">
            <v>2246</v>
          </cell>
          <cell r="P563">
            <v>2293</v>
          </cell>
          <cell r="Q563">
            <v>1306</v>
          </cell>
          <cell r="AC563">
            <v>311</v>
          </cell>
        </row>
        <row r="564">
          <cell r="B564">
            <v>4.5</v>
          </cell>
          <cell r="E564">
            <v>6847</v>
          </cell>
          <cell r="F564">
            <v>17.100000000000001</v>
          </cell>
          <cell r="G564">
            <v>8</v>
          </cell>
          <cell r="H564">
            <v>325</v>
          </cell>
          <cell r="I564">
            <v>975</v>
          </cell>
          <cell r="N564">
            <v>2608</v>
          </cell>
          <cell r="O564">
            <v>2053</v>
          </cell>
          <cell r="P564">
            <v>2231</v>
          </cell>
          <cell r="Q564">
            <v>1245</v>
          </cell>
          <cell r="AC564">
            <v>315</v>
          </cell>
        </row>
        <row r="565">
          <cell r="B565">
            <v>4.4000000000000004</v>
          </cell>
          <cell r="E565">
            <v>6727</v>
          </cell>
          <cell r="F565">
            <v>16.3</v>
          </cell>
          <cell r="G565">
            <v>7.9</v>
          </cell>
          <cell r="H565">
            <v>331</v>
          </cell>
          <cell r="I565">
            <v>1147</v>
          </cell>
          <cell r="N565">
            <v>2616</v>
          </cell>
          <cell r="O565">
            <v>2103</v>
          </cell>
          <cell r="P565">
            <v>2062</v>
          </cell>
          <cell r="Q565">
            <v>1078</v>
          </cell>
          <cell r="AC565">
            <v>309</v>
          </cell>
        </row>
        <row r="566">
          <cell r="B566">
            <v>4.5</v>
          </cell>
          <cell r="E566">
            <v>6872</v>
          </cell>
          <cell r="F566">
            <v>16.2</v>
          </cell>
          <cell r="G566">
            <v>8.3000000000000007</v>
          </cell>
          <cell r="H566">
            <v>349</v>
          </cell>
          <cell r="I566">
            <v>1016</v>
          </cell>
          <cell r="N566">
            <v>2511</v>
          </cell>
          <cell r="O566">
            <v>2212</v>
          </cell>
          <cell r="P566">
            <v>2159</v>
          </cell>
          <cell r="Q566">
            <v>1131</v>
          </cell>
          <cell r="AC566">
            <v>328</v>
          </cell>
        </row>
        <row r="567">
          <cell r="B567">
            <v>4.4000000000000004</v>
          </cell>
          <cell r="E567">
            <v>6762</v>
          </cell>
          <cell r="F567">
            <v>16.100000000000001</v>
          </cell>
          <cell r="G567">
            <v>7.5</v>
          </cell>
          <cell r="H567">
            <v>274</v>
          </cell>
          <cell r="I567">
            <v>978</v>
          </cell>
          <cell r="N567">
            <v>2596</v>
          </cell>
          <cell r="O567">
            <v>2047</v>
          </cell>
          <cell r="P567">
            <v>2083</v>
          </cell>
          <cell r="Q567">
            <v>1093</v>
          </cell>
          <cell r="AC567">
            <v>327</v>
          </cell>
        </row>
        <row r="568">
          <cell r="B568">
            <v>4.6000000000000005</v>
          </cell>
          <cell r="E568">
            <v>7100</v>
          </cell>
          <cell r="F568">
            <v>16.3</v>
          </cell>
          <cell r="G568">
            <v>8.3000000000000007</v>
          </cell>
          <cell r="H568">
            <v>442</v>
          </cell>
          <cell r="I568">
            <v>1136</v>
          </cell>
          <cell r="N568">
            <v>2568</v>
          </cell>
          <cell r="O568">
            <v>2269</v>
          </cell>
          <cell r="P568">
            <v>2155</v>
          </cell>
          <cell r="Q568">
            <v>1139</v>
          </cell>
          <cell r="AC568">
            <v>341</v>
          </cell>
        </row>
        <row r="569">
          <cell r="B569">
            <v>4.5</v>
          </cell>
          <cell r="E569">
            <v>6900</v>
          </cell>
          <cell r="F569">
            <v>16.7</v>
          </cell>
          <cell r="G569">
            <v>8.4</v>
          </cell>
          <cell r="H569">
            <v>375</v>
          </cell>
          <cell r="I569">
            <v>1076</v>
          </cell>
          <cell r="N569">
            <v>2572</v>
          </cell>
          <cell r="O569">
            <v>2165</v>
          </cell>
          <cell r="P569">
            <v>2204</v>
          </cell>
          <cell r="Q569">
            <v>1241</v>
          </cell>
          <cell r="AC569">
            <v>310</v>
          </cell>
        </row>
        <row r="570">
          <cell r="B570">
            <v>4.4000000000000004</v>
          </cell>
          <cell r="E570">
            <v>6721</v>
          </cell>
          <cell r="F570">
            <v>17.8</v>
          </cell>
          <cell r="G570">
            <v>9.1</v>
          </cell>
          <cell r="H570">
            <v>381</v>
          </cell>
          <cell r="I570">
            <v>1005</v>
          </cell>
          <cell r="N570">
            <v>2297</v>
          </cell>
          <cell r="O570">
            <v>2125</v>
          </cell>
          <cell r="P570">
            <v>2249</v>
          </cell>
          <cell r="Q570">
            <v>1240</v>
          </cell>
          <cell r="AC570">
            <v>318</v>
          </cell>
        </row>
        <row r="571">
          <cell r="B571">
            <v>4.5</v>
          </cell>
          <cell r="E571">
            <v>6836</v>
          </cell>
          <cell r="F571">
            <v>17</v>
          </cell>
          <cell r="G571">
            <v>8.6</v>
          </cell>
          <cell r="H571">
            <v>399</v>
          </cell>
          <cell r="I571">
            <v>992</v>
          </cell>
          <cell r="N571">
            <v>2454</v>
          </cell>
          <cell r="O571">
            <v>2173</v>
          </cell>
          <cell r="P571">
            <v>2275</v>
          </cell>
          <cell r="Q571">
            <v>1200</v>
          </cell>
          <cell r="AC571">
            <v>305</v>
          </cell>
        </row>
        <row r="572">
          <cell r="B572">
            <v>4.4000000000000004</v>
          </cell>
          <cell r="E572">
            <v>6766</v>
          </cell>
          <cell r="F572">
            <v>16.7</v>
          </cell>
          <cell r="G572">
            <v>8.2000000000000011</v>
          </cell>
          <cell r="H572">
            <v>368</v>
          </cell>
          <cell r="I572">
            <v>1038</v>
          </cell>
          <cell r="N572">
            <v>2461</v>
          </cell>
          <cell r="O572">
            <v>2176</v>
          </cell>
          <cell r="P572">
            <v>2227</v>
          </cell>
          <cell r="Q572">
            <v>1133</v>
          </cell>
          <cell r="AC572">
            <v>304</v>
          </cell>
        </row>
        <row r="573">
          <cell r="B573">
            <v>4.6000000000000005</v>
          </cell>
          <cell r="E573">
            <v>6980</v>
          </cell>
          <cell r="F573">
            <v>16.5</v>
          </cell>
          <cell r="G573">
            <v>7.7</v>
          </cell>
          <cell r="H573">
            <v>401</v>
          </cell>
          <cell r="I573">
            <v>1053</v>
          </cell>
          <cell r="N573">
            <v>2549</v>
          </cell>
          <cell r="O573">
            <v>2131</v>
          </cell>
          <cell r="P573">
            <v>2277</v>
          </cell>
          <cell r="Q573">
            <v>1146</v>
          </cell>
          <cell r="AC573">
            <v>314</v>
          </cell>
        </row>
        <row r="574">
          <cell r="B574">
            <v>4.7</v>
          </cell>
          <cell r="E574">
            <v>7149</v>
          </cell>
          <cell r="F574">
            <v>17.2</v>
          </cell>
          <cell r="G574">
            <v>8.7000000000000011</v>
          </cell>
          <cell r="H574">
            <v>367</v>
          </cell>
          <cell r="I574">
            <v>1009</v>
          </cell>
          <cell r="N574">
            <v>2500</v>
          </cell>
          <cell r="O574">
            <v>2206</v>
          </cell>
          <cell r="P574">
            <v>2365</v>
          </cell>
          <cell r="Q574">
            <v>1295</v>
          </cell>
          <cell r="AC574">
            <v>318</v>
          </cell>
        </row>
        <row r="575">
          <cell r="B575">
            <v>4.6000000000000005</v>
          </cell>
          <cell r="E575">
            <v>7085</v>
          </cell>
          <cell r="F575">
            <v>17</v>
          </cell>
          <cell r="G575">
            <v>8.8000000000000007</v>
          </cell>
          <cell r="H575">
            <v>392</v>
          </cell>
          <cell r="I575">
            <v>972</v>
          </cell>
          <cell r="N575">
            <v>2622</v>
          </cell>
          <cell r="O575">
            <v>2166</v>
          </cell>
          <cell r="P575">
            <v>2336</v>
          </cell>
          <cell r="Q575">
            <v>1249</v>
          </cell>
          <cell r="AC575">
            <v>305</v>
          </cell>
        </row>
        <row r="576">
          <cell r="B576">
            <v>4.7</v>
          </cell>
          <cell r="E576">
            <v>7191</v>
          </cell>
          <cell r="F576">
            <v>16.3</v>
          </cell>
          <cell r="G576">
            <v>8.7000000000000011</v>
          </cell>
          <cell r="H576">
            <v>276</v>
          </cell>
          <cell r="I576">
            <v>992</v>
          </cell>
          <cell r="N576">
            <v>2575</v>
          </cell>
          <cell r="O576">
            <v>2298</v>
          </cell>
          <cell r="P576">
            <v>2361</v>
          </cell>
          <cell r="Q576">
            <v>1271</v>
          </cell>
          <cell r="AC576">
            <v>315</v>
          </cell>
        </row>
        <row r="577">
          <cell r="B577">
            <v>4.7</v>
          </cell>
          <cell r="E577">
            <v>7272</v>
          </cell>
          <cell r="F577">
            <v>17</v>
          </cell>
          <cell r="G577">
            <v>8.4</v>
          </cell>
          <cell r="H577">
            <v>320</v>
          </cell>
          <cell r="I577">
            <v>1044</v>
          </cell>
          <cell r="N577">
            <v>2541</v>
          </cell>
          <cell r="O577">
            <v>2510</v>
          </cell>
          <cell r="P577">
            <v>2315</v>
          </cell>
          <cell r="Q577">
            <v>1300</v>
          </cell>
          <cell r="AC577">
            <v>317</v>
          </cell>
        </row>
        <row r="578">
          <cell r="B578">
            <v>4.7</v>
          </cell>
          <cell r="E578">
            <v>7261</v>
          </cell>
          <cell r="F578">
            <v>17.2</v>
          </cell>
          <cell r="G578">
            <v>8.7000000000000011</v>
          </cell>
          <cell r="H578">
            <v>349</v>
          </cell>
          <cell r="I578">
            <v>1014</v>
          </cell>
          <cell r="N578">
            <v>2641</v>
          </cell>
          <cell r="O578">
            <v>2247</v>
          </cell>
          <cell r="P578">
            <v>2376</v>
          </cell>
          <cell r="Q578">
            <v>1376</v>
          </cell>
          <cell r="AC578">
            <v>328</v>
          </cell>
        </row>
        <row r="579">
          <cell r="B579">
            <v>5</v>
          </cell>
          <cell r="E579">
            <v>7664</v>
          </cell>
          <cell r="F579">
            <v>16.600000000000001</v>
          </cell>
          <cell r="G579">
            <v>8.4</v>
          </cell>
          <cell r="H579">
            <v>363</v>
          </cell>
          <cell r="I579">
            <v>981</v>
          </cell>
          <cell r="N579">
            <v>2716</v>
          </cell>
          <cell r="O579">
            <v>2385</v>
          </cell>
          <cell r="P579">
            <v>2507</v>
          </cell>
          <cell r="Q579">
            <v>1327</v>
          </cell>
          <cell r="AC579">
            <v>344</v>
          </cell>
        </row>
        <row r="580">
          <cell r="B580">
            <v>5</v>
          </cell>
          <cell r="E580">
            <v>7653</v>
          </cell>
          <cell r="F580">
            <v>17.5</v>
          </cell>
          <cell r="G580">
            <v>9</v>
          </cell>
          <cell r="H580">
            <v>467</v>
          </cell>
          <cell r="I580">
            <v>1262</v>
          </cell>
          <cell r="N580">
            <v>2560</v>
          </cell>
          <cell r="O580">
            <v>2402</v>
          </cell>
          <cell r="P580">
            <v>2540</v>
          </cell>
          <cell r="Q580">
            <v>1383</v>
          </cell>
          <cell r="AC580">
            <v>356</v>
          </cell>
        </row>
        <row r="581">
          <cell r="B581">
            <v>4.8000000000000007</v>
          </cell>
          <cell r="E581">
            <v>7441</v>
          </cell>
          <cell r="F581">
            <v>16.900000000000002</v>
          </cell>
          <cell r="G581">
            <v>8.7000000000000011</v>
          </cell>
          <cell r="H581">
            <v>396</v>
          </cell>
          <cell r="I581">
            <v>1189</v>
          </cell>
          <cell r="N581">
            <v>2640</v>
          </cell>
          <cell r="O581">
            <v>2367</v>
          </cell>
          <cell r="P581">
            <v>2431</v>
          </cell>
          <cell r="Q581">
            <v>1319</v>
          </cell>
          <cell r="AC581">
            <v>351</v>
          </cell>
        </row>
        <row r="582">
          <cell r="B582">
            <v>5.1000000000000005</v>
          </cell>
          <cell r="E582">
            <v>7781</v>
          </cell>
          <cell r="F582">
            <v>16.5</v>
          </cell>
          <cell r="G582">
            <v>8.6</v>
          </cell>
          <cell r="H582">
            <v>401</v>
          </cell>
          <cell r="I582">
            <v>951</v>
          </cell>
          <cell r="N582">
            <v>2795</v>
          </cell>
          <cell r="O582">
            <v>2512</v>
          </cell>
          <cell r="P582">
            <v>2476</v>
          </cell>
          <cell r="Q582">
            <v>1314</v>
          </cell>
          <cell r="AC582">
            <v>343</v>
          </cell>
        </row>
        <row r="583">
          <cell r="B583">
            <v>4.9000000000000004</v>
          </cell>
          <cell r="E583">
            <v>7606</v>
          </cell>
          <cell r="F583">
            <v>16.900000000000002</v>
          </cell>
          <cell r="G583">
            <v>9.2000000000000011</v>
          </cell>
          <cell r="H583">
            <v>412</v>
          </cell>
          <cell r="I583">
            <v>1002</v>
          </cell>
          <cell r="N583">
            <v>2490</v>
          </cell>
          <cell r="O583">
            <v>2550</v>
          </cell>
          <cell r="P583">
            <v>2669</v>
          </cell>
          <cell r="Q583">
            <v>1367</v>
          </cell>
          <cell r="AC583">
            <v>382</v>
          </cell>
        </row>
        <row r="584">
          <cell r="B584">
            <v>5.4</v>
          </cell>
          <cell r="E584">
            <v>8398</v>
          </cell>
          <cell r="F584">
            <v>16.7</v>
          </cell>
          <cell r="G584">
            <v>7.9</v>
          </cell>
          <cell r="H584">
            <v>400</v>
          </cell>
          <cell r="I584">
            <v>1016</v>
          </cell>
          <cell r="N584">
            <v>3270</v>
          </cell>
          <cell r="O584">
            <v>2455</v>
          </cell>
          <cell r="P584">
            <v>2773</v>
          </cell>
          <cell r="Q584">
            <v>1571</v>
          </cell>
          <cell r="AC584">
            <v>374</v>
          </cell>
        </row>
        <row r="585">
          <cell r="B585">
            <v>5.6000000000000005</v>
          </cell>
          <cell r="E585">
            <v>8590</v>
          </cell>
          <cell r="F585">
            <v>17.2</v>
          </cell>
          <cell r="G585">
            <v>9.1</v>
          </cell>
          <cell r="H585">
            <v>420</v>
          </cell>
          <cell r="I585">
            <v>1137</v>
          </cell>
          <cell r="N585">
            <v>2759</v>
          </cell>
          <cell r="O585">
            <v>3005</v>
          </cell>
          <cell r="P585">
            <v>2910</v>
          </cell>
          <cell r="Q585">
            <v>1589</v>
          </cell>
          <cell r="AC585">
            <v>365</v>
          </cell>
        </row>
        <row r="586">
          <cell r="B586">
            <v>5.8000000000000007</v>
          </cell>
          <cell r="E586">
            <v>8953</v>
          </cell>
          <cell r="F586">
            <v>17</v>
          </cell>
          <cell r="G586">
            <v>9.6000000000000014</v>
          </cell>
          <cell r="H586">
            <v>461</v>
          </cell>
          <cell r="I586">
            <v>1112</v>
          </cell>
          <cell r="N586">
            <v>2856</v>
          </cell>
          <cell r="O586">
            <v>2860</v>
          </cell>
          <cell r="P586">
            <v>3117</v>
          </cell>
          <cell r="Q586">
            <v>1673</v>
          </cell>
          <cell r="AC586">
            <v>395</v>
          </cell>
        </row>
        <row r="587">
          <cell r="B587">
            <v>6.1000000000000005</v>
          </cell>
          <cell r="E587">
            <v>9489</v>
          </cell>
          <cell r="F587">
            <v>17.7</v>
          </cell>
          <cell r="G587">
            <v>9.6000000000000014</v>
          </cell>
          <cell r="H587">
            <v>381</v>
          </cell>
          <cell r="I587">
            <v>1259</v>
          </cell>
          <cell r="N587">
            <v>3295</v>
          </cell>
          <cell r="O587">
            <v>2775</v>
          </cell>
          <cell r="P587">
            <v>3434</v>
          </cell>
          <cell r="Q587">
            <v>1868</v>
          </cell>
          <cell r="AC587">
            <v>447</v>
          </cell>
        </row>
        <row r="588">
          <cell r="B588">
            <v>6.2</v>
          </cell>
          <cell r="E588">
            <v>9557</v>
          </cell>
          <cell r="F588">
            <v>18.600000000000001</v>
          </cell>
          <cell r="G588">
            <v>10.3</v>
          </cell>
          <cell r="H588">
            <v>467</v>
          </cell>
          <cell r="I588">
            <v>1137</v>
          </cell>
          <cell r="N588">
            <v>2881</v>
          </cell>
          <cell r="O588">
            <v>3049</v>
          </cell>
          <cell r="P588">
            <v>3642</v>
          </cell>
          <cell r="Q588">
            <v>2030</v>
          </cell>
          <cell r="AC588">
            <v>443</v>
          </cell>
        </row>
        <row r="589">
          <cell r="B589">
            <v>6.6000000000000005</v>
          </cell>
          <cell r="E589">
            <v>10176</v>
          </cell>
          <cell r="F589">
            <v>19.900000000000002</v>
          </cell>
          <cell r="G589">
            <v>10.5</v>
          </cell>
          <cell r="H589">
            <v>484</v>
          </cell>
          <cell r="I589">
            <v>1153</v>
          </cell>
          <cell r="N589">
            <v>3166</v>
          </cell>
          <cell r="O589">
            <v>3079</v>
          </cell>
          <cell r="P589">
            <v>4021</v>
          </cell>
          <cell r="Q589">
            <v>2281</v>
          </cell>
          <cell r="AC589">
            <v>483</v>
          </cell>
        </row>
        <row r="590">
          <cell r="B590">
            <v>6.8000000000000007</v>
          </cell>
          <cell r="E590">
            <v>10552</v>
          </cell>
          <cell r="F590">
            <v>18.8</v>
          </cell>
          <cell r="G590">
            <v>9.9</v>
          </cell>
          <cell r="H590">
            <v>608</v>
          </cell>
          <cell r="I590">
            <v>1339</v>
          </cell>
          <cell r="N590">
            <v>3309</v>
          </cell>
          <cell r="O590">
            <v>3276</v>
          </cell>
          <cell r="P590">
            <v>3955</v>
          </cell>
          <cell r="Q590">
            <v>2220</v>
          </cell>
          <cell r="AC590">
            <v>490</v>
          </cell>
        </row>
        <row r="591">
          <cell r="B591">
            <v>7.3000000000000007</v>
          </cell>
          <cell r="E591">
            <v>11344</v>
          </cell>
          <cell r="F591">
            <v>19.8</v>
          </cell>
          <cell r="G591">
            <v>10.600000000000001</v>
          </cell>
          <cell r="H591">
            <v>642</v>
          </cell>
          <cell r="I591">
            <v>1266</v>
          </cell>
          <cell r="N591">
            <v>3266</v>
          </cell>
          <cell r="O591">
            <v>3524</v>
          </cell>
          <cell r="P591">
            <v>4570</v>
          </cell>
          <cell r="Q591">
            <v>2614</v>
          </cell>
          <cell r="AC591">
            <v>532</v>
          </cell>
        </row>
        <row r="592">
          <cell r="B592">
            <v>7.8000000000000007</v>
          </cell>
          <cell r="E592">
            <v>11984</v>
          </cell>
          <cell r="F592">
            <v>19.900000000000002</v>
          </cell>
          <cell r="G592">
            <v>10.700000000000001</v>
          </cell>
          <cell r="H592">
            <v>734</v>
          </cell>
          <cell r="I592">
            <v>1396</v>
          </cell>
          <cell r="N592">
            <v>3522</v>
          </cell>
          <cell r="O592">
            <v>3638</v>
          </cell>
          <cell r="P592">
            <v>4769</v>
          </cell>
          <cell r="Q592">
            <v>2689</v>
          </cell>
          <cell r="AC592">
            <v>524</v>
          </cell>
        </row>
        <row r="593">
          <cell r="B593">
            <v>8.2000000000000011</v>
          </cell>
          <cell r="E593">
            <v>12737</v>
          </cell>
          <cell r="F593">
            <v>20.100000000000001</v>
          </cell>
          <cell r="G593">
            <v>11.600000000000001</v>
          </cell>
          <cell r="H593">
            <v>731</v>
          </cell>
          <cell r="I593">
            <v>1320</v>
          </cell>
          <cell r="N593">
            <v>3399</v>
          </cell>
          <cell r="O593">
            <v>3931</v>
          </cell>
          <cell r="P593">
            <v>5407</v>
          </cell>
          <cell r="Q593">
            <v>2982</v>
          </cell>
          <cell r="AC593">
            <v>638</v>
          </cell>
        </row>
        <row r="594">
          <cell r="B594">
            <v>8.6</v>
          </cell>
          <cell r="E594">
            <v>13278</v>
          </cell>
          <cell r="F594">
            <v>20.900000000000002</v>
          </cell>
          <cell r="G594">
            <v>12.200000000000001</v>
          </cell>
          <cell r="H594">
            <v>685</v>
          </cell>
          <cell r="I594">
            <v>1421</v>
          </cell>
          <cell r="N594">
            <v>3377</v>
          </cell>
          <cell r="O594">
            <v>4056</v>
          </cell>
          <cell r="P594">
            <v>5827</v>
          </cell>
          <cell r="Q594">
            <v>3233</v>
          </cell>
          <cell r="AC594">
            <v>644</v>
          </cell>
        </row>
        <row r="595">
          <cell r="B595">
            <v>8.9</v>
          </cell>
          <cell r="E595">
            <v>13734</v>
          </cell>
          <cell r="F595">
            <v>21.6</v>
          </cell>
          <cell r="G595">
            <v>12.9</v>
          </cell>
          <cell r="H595">
            <v>740</v>
          </cell>
          <cell r="I595">
            <v>1350</v>
          </cell>
          <cell r="N595">
            <v>3325</v>
          </cell>
          <cell r="O595">
            <v>4066</v>
          </cell>
          <cell r="P595">
            <v>6300</v>
          </cell>
          <cell r="Q595">
            <v>3702</v>
          </cell>
          <cell r="AC595">
            <v>659</v>
          </cell>
        </row>
        <row r="596">
          <cell r="B596">
            <v>9.4</v>
          </cell>
          <cell r="E596">
            <v>14512</v>
          </cell>
          <cell r="F596">
            <v>22.6</v>
          </cell>
          <cell r="G596">
            <v>14.4</v>
          </cell>
          <cell r="H596">
            <v>792</v>
          </cell>
          <cell r="I596">
            <v>1418</v>
          </cell>
          <cell r="N596">
            <v>3230</v>
          </cell>
          <cell r="O596">
            <v>4387</v>
          </cell>
          <cell r="P596">
            <v>7008</v>
          </cell>
          <cell r="Q596">
            <v>4005</v>
          </cell>
          <cell r="AC596">
            <v>613</v>
          </cell>
        </row>
        <row r="597">
          <cell r="B597">
            <v>9.5</v>
          </cell>
          <cell r="E597">
            <v>14776</v>
          </cell>
          <cell r="F597">
            <v>24.1</v>
          </cell>
          <cell r="G597">
            <v>17.400000000000002</v>
          </cell>
          <cell r="H597">
            <v>793</v>
          </cell>
          <cell r="I597">
            <v>1383</v>
          </cell>
          <cell r="N597">
            <v>3164</v>
          </cell>
          <cell r="O597">
            <v>4030</v>
          </cell>
          <cell r="P597">
            <v>7826</v>
          </cell>
          <cell r="Q597">
            <v>4397</v>
          </cell>
          <cell r="AC597">
            <v>617</v>
          </cell>
        </row>
        <row r="598">
          <cell r="B598">
            <v>9.5</v>
          </cell>
          <cell r="E598">
            <v>14663</v>
          </cell>
          <cell r="F598">
            <v>25.200000000000003</v>
          </cell>
          <cell r="G598">
            <v>15.8</v>
          </cell>
          <cell r="H598">
            <v>796</v>
          </cell>
          <cell r="I598">
            <v>1486</v>
          </cell>
          <cell r="N598">
            <v>3150</v>
          </cell>
          <cell r="O598">
            <v>3587</v>
          </cell>
          <cell r="P598">
            <v>7846</v>
          </cell>
          <cell r="Q598">
            <v>4951</v>
          </cell>
          <cell r="AC598">
            <v>601</v>
          </cell>
        </row>
        <row r="599">
          <cell r="B599">
            <v>9.7000000000000011</v>
          </cell>
          <cell r="E599">
            <v>14953</v>
          </cell>
          <cell r="F599">
            <v>25.3</v>
          </cell>
          <cell r="G599">
            <v>16.100000000000001</v>
          </cell>
          <cell r="H599">
            <v>758</v>
          </cell>
          <cell r="I599">
            <v>1512</v>
          </cell>
          <cell r="N599">
            <v>3000</v>
          </cell>
          <cell r="O599">
            <v>3975</v>
          </cell>
          <cell r="P599">
            <v>7874</v>
          </cell>
          <cell r="Q599">
            <v>5051</v>
          </cell>
          <cell r="AC599">
            <v>555</v>
          </cell>
        </row>
        <row r="600">
          <cell r="B600">
            <v>9.8000000000000007</v>
          </cell>
          <cell r="E600">
            <v>15149</v>
          </cell>
          <cell r="F600">
            <v>26.6</v>
          </cell>
          <cell r="G600">
            <v>18</v>
          </cell>
          <cell r="H600">
            <v>706</v>
          </cell>
          <cell r="I600">
            <v>1513</v>
          </cell>
          <cell r="N600">
            <v>2887</v>
          </cell>
          <cell r="O600">
            <v>3797</v>
          </cell>
          <cell r="P600">
            <v>8455</v>
          </cell>
          <cell r="Q600">
            <v>5497</v>
          </cell>
          <cell r="AC600">
            <v>564</v>
          </cell>
        </row>
        <row r="601">
          <cell r="B601">
            <v>10.100000000000001</v>
          </cell>
          <cell r="E601">
            <v>15628</v>
          </cell>
          <cell r="F601">
            <v>27.3</v>
          </cell>
          <cell r="G601">
            <v>18.900000000000002</v>
          </cell>
          <cell r="H601">
            <v>808</v>
          </cell>
          <cell r="I601">
            <v>1565</v>
          </cell>
          <cell r="N601">
            <v>3225</v>
          </cell>
          <cell r="O601">
            <v>3607</v>
          </cell>
          <cell r="P601">
            <v>8747</v>
          </cell>
          <cell r="Q601">
            <v>5649</v>
          </cell>
          <cell r="AC601">
            <v>548</v>
          </cell>
        </row>
        <row r="602">
          <cell r="B602">
            <v>9.9</v>
          </cell>
          <cell r="E602">
            <v>15206</v>
          </cell>
          <cell r="F602">
            <v>28.8</v>
          </cell>
          <cell r="G602">
            <v>20.200000000000003</v>
          </cell>
          <cell r="H602">
            <v>861</v>
          </cell>
          <cell r="I602">
            <v>1462</v>
          </cell>
          <cell r="N602">
            <v>2767</v>
          </cell>
          <cell r="O602">
            <v>3475</v>
          </cell>
          <cell r="P602">
            <v>8874</v>
          </cell>
          <cell r="Q602">
            <v>5919</v>
          </cell>
          <cell r="AC602">
            <v>523</v>
          </cell>
        </row>
        <row r="603">
          <cell r="B603">
            <v>9.9</v>
          </cell>
          <cell r="E603">
            <v>15212</v>
          </cell>
          <cell r="F603">
            <v>29.3</v>
          </cell>
          <cell r="G603">
            <v>20.400000000000002</v>
          </cell>
          <cell r="H603">
            <v>929</v>
          </cell>
          <cell r="I603">
            <v>1558</v>
          </cell>
          <cell r="N603">
            <v>2908</v>
          </cell>
          <cell r="O603">
            <v>3483</v>
          </cell>
          <cell r="P603">
            <v>8913</v>
          </cell>
          <cell r="Q603">
            <v>6133</v>
          </cell>
          <cell r="AC603">
            <v>477</v>
          </cell>
        </row>
        <row r="604">
          <cell r="B604">
            <v>9.7000000000000011</v>
          </cell>
          <cell r="E604">
            <v>14842</v>
          </cell>
          <cell r="F604">
            <v>30.5</v>
          </cell>
          <cell r="G604">
            <v>20</v>
          </cell>
          <cell r="H604">
            <v>1065</v>
          </cell>
          <cell r="I604">
            <v>1474</v>
          </cell>
          <cell r="N604">
            <v>2915</v>
          </cell>
          <cell r="O604">
            <v>3346</v>
          </cell>
          <cell r="P604">
            <v>8916</v>
          </cell>
          <cell r="Q604">
            <v>6302</v>
          </cell>
          <cell r="AC604">
            <v>462</v>
          </cell>
        </row>
        <row r="605">
          <cell r="B605">
            <v>9.7000000000000011</v>
          </cell>
          <cell r="E605">
            <v>14860</v>
          </cell>
          <cell r="F605">
            <v>29.8</v>
          </cell>
          <cell r="G605">
            <v>19.600000000000001</v>
          </cell>
          <cell r="H605">
            <v>1204</v>
          </cell>
          <cell r="I605">
            <v>1323</v>
          </cell>
          <cell r="N605">
            <v>2729</v>
          </cell>
          <cell r="O605">
            <v>3380</v>
          </cell>
          <cell r="P605">
            <v>8834</v>
          </cell>
          <cell r="Q605">
            <v>6131</v>
          </cell>
          <cell r="AC605">
            <v>501</v>
          </cell>
        </row>
        <row r="606">
          <cell r="B606">
            <v>9.7000000000000011</v>
          </cell>
          <cell r="E606">
            <v>14943</v>
          </cell>
          <cell r="F606">
            <v>31.700000000000003</v>
          </cell>
          <cell r="G606">
            <v>20.3</v>
          </cell>
          <cell r="H606">
            <v>994</v>
          </cell>
          <cell r="I606">
            <v>1261</v>
          </cell>
          <cell r="N606">
            <v>2654</v>
          </cell>
          <cell r="O606">
            <v>3210</v>
          </cell>
          <cell r="P606">
            <v>8966</v>
          </cell>
          <cell r="Q606">
            <v>6517</v>
          </cell>
          <cell r="AC606">
            <v>475</v>
          </cell>
        </row>
        <row r="607">
          <cell r="B607">
            <v>9.8000000000000007</v>
          </cell>
          <cell r="E607">
            <v>15138</v>
          </cell>
          <cell r="F607">
            <v>33.1</v>
          </cell>
          <cell r="G607">
            <v>21.6</v>
          </cell>
          <cell r="H607">
            <v>1197</v>
          </cell>
          <cell r="I607">
            <v>1234</v>
          </cell>
          <cell r="N607">
            <v>2695</v>
          </cell>
          <cell r="O607">
            <v>3000</v>
          </cell>
          <cell r="P607">
            <v>8933</v>
          </cell>
          <cell r="Q607">
            <v>6659</v>
          </cell>
          <cell r="AC607">
            <v>452</v>
          </cell>
        </row>
        <row r="608">
          <cell r="B608">
            <v>9.6000000000000014</v>
          </cell>
          <cell r="E608">
            <v>14884</v>
          </cell>
          <cell r="F608">
            <v>34.300000000000004</v>
          </cell>
          <cell r="G608">
            <v>22.8</v>
          </cell>
          <cell r="H608">
            <v>1083</v>
          </cell>
          <cell r="I608">
            <v>1140</v>
          </cell>
          <cell r="N608">
            <v>2763</v>
          </cell>
          <cell r="O608">
            <v>3060</v>
          </cell>
          <cell r="P608">
            <v>8884</v>
          </cell>
          <cell r="Q608">
            <v>6710</v>
          </cell>
          <cell r="AC608">
            <v>460</v>
          </cell>
        </row>
        <row r="609">
          <cell r="B609">
            <v>9.5</v>
          </cell>
          <cell r="E609">
            <v>14593</v>
          </cell>
          <cell r="F609">
            <v>34.800000000000004</v>
          </cell>
          <cell r="G609">
            <v>25.5</v>
          </cell>
          <cell r="H609">
            <v>1207</v>
          </cell>
          <cell r="I609">
            <v>1384</v>
          </cell>
          <cell r="N609">
            <v>2779</v>
          </cell>
          <cell r="O609">
            <v>3138</v>
          </cell>
          <cell r="P609">
            <v>8900</v>
          </cell>
          <cell r="Q609">
            <v>6691</v>
          </cell>
          <cell r="AC609">
            <v>464</v>
          </cell>
        </row>
        <row r="610">
          <cell r="B610">
            <v>9.5</v>
          </cell>
          <cell r="E610">
            <v>14637</v>
          </cell>
          <cell r="F610">
            <v>33.9</v>
          </cell>
          <cell r="G610">
            <v>21.700000000000003</v>
          </cell>
          <cell r="H610">
            <v>1185</v>
          </cell>
          <cell r="I610">
            <v>1437</v>
          </cell>
          <cell r="N610">
            <v>2833</v>
          </cell>
          <cell r="O610">
            <v>3098</v>
          </cell>
          <cell r="P610">
            <v>8709</v>
          </cell>
          <cell r="Q610">
            <v>6539</v>
          </cell>
          <cell r="AC610">
            <v>472</v>
          </cell>
        </row>
        <row r="611">
          <cell r="B611">
            <v>9.6000000000000014</v>
          </cell>
          <cell r="E611">
            <v>14849</v>
          </cell>
          <cell r="F611">
            <v>33.5</v>
          </cell>
          <cell r="G611">
            <v>20.6</v>
          </cell>
          <cell r="H611">
            <v>1110</v>
          </cell>
          <cell r="I611">
            <v>1260</v>
          </cell>
          <cell r="N611">
            <v>2756</v>
          </cell>
          <cell r="O611">
            <v>3604</v>
          </cell>
          <cell r="P611">
            <v>8471</v>
          </cell>
          <cell r="Q611">
            <v>6261</v>
          </cell>
          <cell r="AC611">
            <v>474</v>
          </cell>
        </row>
        <row r="612">
          <cell r="B612">
            <v>9.6000000000000014</v>
          </cell>
          <cell r="E612">
            <v>14746</v>
          </cell>
          <cell r="F612">
            <v>33.4</v>
          </cell>
          <cell r="G612">
            <v>20.5</v>
          </cell>
          <cell r="H612">
            <v>1209</v>
          </cell>
          <cell r="I612">
            <v>1340</v>
          </cell>
          <cell r="N612">
            <v>2872</v>
          </cell>
          <cell r="O612">
            <v>3329</v>
          </cell>
          <cell r="P612">
            <v>8517</v>
          </cell>
          <cell r="Q612">
            <v>6153</v>
          </cell>
          <cell r="AC612">
            <v>468</v>
          </cell>
        </row>
        <row r="613">
          <cell r="B613">
            <v>9.7000000000000011</v>
          </cell>
          <cell r="E613">
            <v>14876</v>
          </cell>
          <cell r="F613">
            <v>33.9</v>
          </cell>
          <cell r="G613">
            <v>21.3</v>
          </cell>
          <cell r="H613">
            <v>1219</v>
          </cell>
          <cell r="I613">
            <v>1383</v>
          </cell>
          <cell r="N613">
            <v>2659</v>
          </cell>
          <cell r="O613">
            <v>3427</v>
          </cell>
          <cell r="P613">
            <v>8734</v>
          </cell>
          <cell r="Q613">
            <v>6234</v>
          </cell>
          <cell r="AC613">
            <v>449</v>
          </cell>
        </row>
        <row r="614">
          <cell r="B614">
            <v>9.8000000000000007</v>
          </cell>
          <cell r="E614">
            <v>15041</v>
          </cell>
          <cell r="F614">
            <v>33.9</v>
          </cell>
          <cell r="G614">
            <v>21.700000000000003</v>
          </cell>
          <cell r="H614">
            <v>1282</v>
          </cell>
          <cell r="I614">
            <v>1249</v>
          </cell>
          <cell r="N614">
            <v>2824</v>
          </cell>
          <cell r="O614">
            <v>3336</v>
          </cell>
          <cell r="P614">
            <v>8843</v>
          </cell>
          <cell r="Q614">
            <v>6328</v>
          </cell>
          <cell r="AC614">
            <v>454</v>
          </cell>
        </row>
        <row r="615">
          <cell r="B615">
            <v>9.4</v>
          </cell>
          <cell r="E615">
            <v>14485</v>
          </cell>
          <cell r="F615">
            <v>34.200000000000003</v>
          </cell>
          <cell r="G615">
            <v>22.400000000000002</v>
          </cell>
          <cell r="H615">
            <v>1318</v>
          </cell>
          <cell r="I615">
            <v>1291</v>
          </cell>
          <cell r="N615">
            <v>2725</v>
          </cell>
          <cell r="O615">
            <v>3184</v>
          </cell>
          <cell r="P615">
            <v>8647</v>
          </cell>
          <cell r="Q615">
            <v>6441</v>
          </cell>
          <cell r="AC615">
            <v>439</v>
          </cell>
        </row>
        <row r="616">
          <cell r="B616">
            <v>9</v>
          </cell>
          <cell r="E616">
            <v>13863</v>
          </cell>
          <cell r="F616">
            <v>36.9</v>
          </cell>
          <cell r="G616">
            <v>21.8</v>
          </cell>
          <cell r="H616">
            <v>993</v>
          </cell>
          <cell r="I616">
            <v>1807</v>
          </cell>
          <cell r="N616">
            <v>2678</v>
          </cell>
          <cell r="O616">
            <v>3016</v>
          </cell>
          <cell r="P616">
            <v>8495</v>
          </cell>
          <cell r="Q616">
            <v>6210</v>
          </cell>
          <cell r="AC616">
            <v>418</v>
          </cell>
        </row>
        <row r="617">
          <cell r="B617">
            <v>8.9</v>
          </cell>
          <cell r="E617">
            <v>13673</v>
          </cell>
          <cell r="F617">
            <v>37.1</v>
          </cell>
          <cell r="G617">
            <v>21.200000000000003</v>
          </cell>
          <cell r="H617">
            <v>1020</v>
          </cell>
          <cell r="I617">
            <v>1710</v>
          </cell>
          <cell r="N617">
            <v>2390</v>
          </cell>
          <cell r="O617">
            <v>3094</v>
          </cell>
          <cell r="P617">
            <v>8172</v>
          </cell>
          <cell r="Q617">
            <v>5993</v>
          </cell>
          <cell r="AC617">
            <v>424</v>
          </cell>
        </row>
        <row r="618">
          <cell r="B618">
            <v>8.8000000000000007</v>
          </cell>
          <cell r="E618">
            <v>13542</v>
          </cell>
          <cell r="F618">
            <v>39</v>
          </cell>
          <cell r="G618">
            <v>21.700000000000003</v>
          </cell>
          <cell r="H618">
            <v>921</v>
          </cell>
          <cell r="I618">
            <v>1513</v>
          </cell>
          <cell r="N618">
            <v>2449</v>
          </cell>
          <cell r="O618">
            <v>2914</v>
          </cell>
          <cell r="P618">
            <v>8078</v>
          </cell>
          <cell r="Q618">
            <v>6122</v>
          </cell>
          <cell r="AC618">
            <v>375</v>
          </cell>
        </row>
        <row r="619">
          <cell r="B619">
            <v>9</v>
          </cell>
          <cell r="E619">
            <v>13747</v>
          </cell>
          <cell r="F619">
            <v>38.300000000000004</v>
          </cell>
          <cell r="G619">
            <v>20.700000000000003</v>
          </cell>
          <cell r="H619">
            <v>989</v>
          </cell>
          <cell r="I619">
            <v>1477</v>
          </cell>
          <cell r="N619">
            <v>2691</v>
          </cell>
          <cell r="O619">
            <v>2907</v>
          </cell>
          <cell r="P619">
            <v>7845</v>
          </cell>
          <cell r="Q619">
            <v>5839</v>
          </cell>
          <cell r="AC619">
            <v>385</v>
          </cell>
        </row>
        <row r="620">
          <cell r="B620">
            <v>9.1</v>
          </cell>
          <cell r="E620">
            <v>13914</v>
          </cell>
          <cell r="F620">
            <v>39.700000000000003</v>
          </cell>
          <cell r="G620">
            <v>22</v>
          </cell>
          <cell r="H620">
            <v>822</v>
          </cell>
          <cell r="I620">
            <v>1384</v>
          </cell>
          <cell r="N620">
            <v>2664</v>
          </cell>
          <cell r="O620">
            <v>2892</v>
          </cell>
          <cell r="P620">
            <v>8184</v>
          </cell>
          <cell r="Q620">
            <v>6200</v>
          </cell>
          <cell r="AC620">
            <v>478</v>
          </cell>
        </row>
        <row r="621">
          <cell r="B621">
            <v>9.2000000000000011</v>
          </cell>
          <cell r="E621">
            <v>14087</v>
          </cell>
          <cell r="F621">
            <v>39.900000000000006</v>
          </cell>
          <cell r="G621">
            <v>22.5</v>
          </cell>
          <cell r="H621">
            <v>982</v>
          </cell>
          <cell r="I621">
            <v>1698</v>
          </cell>
          <cell r="N621">
            <v>3076</v>
          </cell>
          <cell r="O621">
            <v>2972</v>
          </cell>
          <cell r="P621">
            <v>8125</v>
          </cell>
          <cell r="Q621">
            <v>6289</v>
          </cell>
          <cell r="AC621">
            <v>426</v>
          </cell>
        </row>
        <row r="622">
          <cell r="B622">
            <v>9.1</v>
          </cell>
          <cell r="E622">
            <v>13931</v>
          </cell>
          <cell r="F622">
            <v>40.400000000000006</v>
          </cell>
          <cell r="G622">
            <v>21.200000000000003</v>
          </cell>
          <cell r="H622">
            <v>1119</v>
          </cell>
          <cell r="I622">
            <v>1667</v>
          </cell>
          <cell r="N622">
            <v>2689</v>
          </cell>
          <cell r="O622">
            <v>3088</v>
          </cell>
          <cell r="P622">
            <v>8150</v>
          </cell>
          <cell r="Q622">
            <v>6185</v>
          </cell>
          <cell r="AC622">
            <v>427</v>
          </cell>
        </row>
        <row r="623">
          <cell r="B623">
            <v>9.1</v>
          </cell>
          <cell r="E623">
            <v>13967</v>
          </cell>
          <cell r="F623">
            <v>40.300000000000004</v>
          </cell>
          <cell r="G623">
            <v>21.8</v>
          </cell>
          <cell r="H623">
            <v>977</v>
          </cell>
          <cell r="I623">
            <v>1598</v>
          </cell>
          <cell r="N623">
            <v>2755</v>
          </cell>
          <cell r="O623">
            <v>3050</v>
          </cell>
          <cell r="P623">
            <v>8273</v>
          </cell>
          <cell r="Q623">
            <v>6034</v>
          </cell>
          <cell r="AC623">
            <v>402</v>
          </cell>
        </row>
        <row r="624">
          <cell r="B624" t="str">
            <v>NA</v>
          </cell>
          <cell r="E624" t="str">
            <v>NA</v>
          </cell>
          <cell r="F624" t="str">
            <v>NA</v>
          </cell>
          <cell r="G624" t="str">
            <v>NA</v>
          </cell>
          <cell r="H624" t="str">
            <v>NA</v>
          </cell>
          <cell r="I624" t="str">
            <v>NA</v>
          </cell>
          <cell r="N624" t="str">
            <v>NA</v>
          </cell>
          <cell r="O624" t="str">
            <v>NA</v>
          </cell>
          <cell r="P624" t="str">
            <v>NA</v>
          </cell>
          <cell r="Q624" t="str">
            <v>NA</v>
          </cell>
          <cell r="AC624">
            <v>412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A243"/>
  <sheetViews>
    <sheetView workbookViewId="0">
      <pane xSplit="1" ySplit="1" topLeftCell="II2" activePane="bottomRight" state="frozen"/>
      <selection pane="topRight" activeCell="B1" sqref="B1"/>
      <selection pane="bottomLeft" activeCell="A2" sqref="A2"/>
      <selection pane="bottomRight" activeCell="A45" sqref="A45:XFD48"/>
    </sheetView>
  </sheetViews>
  <sheetFormatPr baseColWidth="10" defaultRowHeight="15" x14ac:dyDescent="0.25"/>
  <cols>
    <col min="1" max="1" width="21.5703125" customWidth="1"/>
  </cols>
  <sheetData>
    <row r="1" spans="1:261" x14ac:dyDescent="0.25">
      <c r="A1" t="s">
        <v>84</v>
      </c>
      <c r="B1" s="1">
        <v>18264</v>
      </c>
      <c r="C1" s="1">
        <v>18354</v>
      </c>
      <c r="D1" s="1">
        <v>18445</v>
      </c>
      <c r="E1" s="1">
        <v>18537</v>
      </c>
      <c r="F1" s="1">
        <v>18629</v>
      </c>
      <c r="G1" s="1">
        <v>18719</v>
      </c>
      <c r="H1" s="1">
        <v>18810</v>
      </c>
      <c r="I1" s="1">
        <v>18902</v>
      </c>
      <c r="J1" s="1">
        <v>18994</v>
      </c>
      <c r="K1" s="1">
        <v>19085</v>
      </c>
      <c r="L1" s="1">
        <v>19176</v>
      </c>
      <c r="M1" s="1">
        <v>19268</v>
      </c>
      <c r="N1" s="1">
        <v>19360</v>
      </c>
      <c r="O1" s="1">
        <v>19450</v>
      </c>
      <c r="P1" s="1">
        <v>19541</v>
      </c>
      <c r="Q1" s="1">
        <v>19633</v>
      </c>
      <c r="R1" s="1">
        <v>19725</v>
      </c>
      <c r="S1" s="1">
        <v>19815</v>
      </c>
      <c r="T1" s="1">
        <v>19906</v>
      </c>
      <c r="U1" s="1">
        <v>19998</v>
      </c>
      <c r="V1" s="1">
        <v>20090</v>
      </c>
      <c r="W1" s="1">
        <v>20180</v>
      </c>
      <c r="X1" s="1">
        <v>20271</v>
      </c>
      <c r="Y1" s="1">
        <v>20363</v>
      </c>
      <c r="Z1" s="1">
        <v>20455</v>
      </c>
      <c r="AA1" s="1">
        <v>20546</v>
      </c>
      <c r="AB1" s="1">
        <v>20637</v>
      </c>
      <c r="AC1" s="1">
        <v>20729</v>
      </c>
      <c r="AD1" s="1">
        <v>20821</v>
      </c>
      <c r="AE1" s="1">
        <v>20911</v>
      </c>
      <c r="AF1" s="1">
        <v>21002</v>
      </c>
      <c r="AG1" s="1">
        <v>21094</v>
      </c>
      <c r="AH1" s="1">
        <v>21186</v>
      </c>
      <c r="AI1" s="1">
        <v>21276</v>
      </c>
      <c r="AJ1" s="1">
        <v>21367</v>
      </c>
      <c r="AK1" s="1">
        <v>21459</v>
      </c>
      <c r="AL1" s="1">
        <v>21551</v>
      </c>
      <c r="AM1" s="1">
        <v>21641</v>
      </c>
      <c r="AN1" s="1">
        <v>21732</v>
      </c>
      <c r="AO1" s="1">
        <v>21824</v>
      </c>
      <c r="AP1" s="1">
        <v>21916</v>
      </c>
      <c r="AQ1" s="1">
        <v>22007</v>
      </c>
      <c r="AR1" s="1">
        <v>22098</v>
      </c>
      <c r="AS1" s="1">
        <v>22190</v>
      </c>
      <c r="AT1" s="1">
        <v>22282</v>
      </c>
      <c r="AU1" s="1">
        <v>22372</v>
      </c>
      <c r="AV1" s="1">
        <v>22463</v>
      </c>
      <c r="AW1" s="1">
        <v>22555</v>
      </c>
      <c r="AX1" s="1">
        <v>22647</v>
      </c>
      <c r="AY1" s="1">
        <v>22737</v>
      </c>
      <c r="AZ1" s="1">
        <v>22828</v>
      </c>
      <c r="BA1" s="1">
        <v>22920</v>
      </c>
      <c r="BB1" s="1">
        <v>23012</v>
      </c>
      <c r="BC1" s="1">
        <v>23102</v>
      </c>
      <c r="BD1" s="1">
        <v>23193</v>
      </c>
      <c r="BE1" s="1">
        <v>23285</v>
      </c>
      <c r="BF1" s="1">
        <v>23377</v>
      </c>
      <c r="BG1" s="1">
        <v>23468</v>
      </c>
      <c r="BH1" s="1">
        <v>23559</v>
      </c>
      <c r="BI1" s="1">
        <v>23651</v>
      </c>
      <c r="BJ1" s="1">
        <v>23743</v>
      </c>
      <c r="BK1" s="1">
        <v>23833</v>
      </c>
      <c r="BL1" s="1">
        <v>23924</v>
      </c>
      <c r="BM1" s="1">
        <v>24016</v>
      </c>
      <c r="BN1" s="1">
        <v>24108</v>
      </c>
      <c r="BO1" s="1">
        <v>24198</v>
      </c>
      <c r="BP1" s="1">
        <v>24289</v>
      </c>
      <c r="BQ1" s="1">
        <v>24381</v>
      </c>
      <c r="BR1" s="1">
        <v>24473</v>
      </c>
      <c r="BS1" s="1">
        <v>24563</v>
      </c>
      <c r="BT1" s="1">
        <v>24654</v>
      </c>
      <c r="BU1" s="1">
        <v>24746</v>
      </c>
      <c r="BV1" s="1">
        <v>24838</v>
      </c>
      <c r="BW1" s="1">
        <v>24929</v>
      </c>
      <c r="BX1" s="1">
        <v>25020</v>
      </c>
      <c r="BY1" s="1">
        <v>25112</v>
      </c>
      <c r="BZ1" s="1">
        <v>25204</v>
      </c>
      <c r="CA1" s="1">
        <v>25294</v>
      </c>
      <c r="CB1" s="1">
        <v>25385</v>
      </c>
      <c r="CC1" s="1">
        <v>25477</v>
      </c>
      <c r="CD1" s="1">
        <v>25569</v>
      </c>
      <c r="CE1" s="1">
        <v>25659</v>
      </c>
      <c r="CF1" s="1">
        <v>25750</v>
      </c>
      <c r="CG1" s="1">
        <v>25842</v>
      </c>
      <c r="CH1" s="1">
        <v>25934</v>
      </c>
      <c r="CI1" s="1">
        <v>26024</v>
      </c>
      <c r="CJ1" s="1">
        <v>26115</v>
      </c>
      <c r="CK1" s="1">
        <v>26207</v>
      </c>
      <c r="CL1" s="1">
        <v>26299</v>
      </c>
      <c r="CM1" s="1">
        <v>26390</v>
      </c>
      <c r="CN1" s="1">
        <v>26481</v>
      </c>
      <c r="CO1" s="1">
        <v>26573</v>
      </c>
      <c r="CP1" s="1">
        <v>26665</v>
      </c>
      <c r="CQ1" s="1">
        <v>26755</v>
      </c>
      <c r="CR1" s="1">
        <v>26846</v>
      </c>
      <c r="CS1" s="1">
        <v>26938</v>
      </c>
      <c r="CT1" s="1">
        <v>27030</v>
      </c>
      <c r="CU1" s="1">
        <v>27120</v>
      </c>
      <c r="CV1" s="1">
        <v>27211</v>
      </c>
      <c r="CW1" s="1">
        <v>27303</v>
      </c>
      <c r="CX1" s="1">
        <v>27395</v>
      </c>
      <c r="CY1" s="1">
        <v>27485</v>
      </c>
      <c r="CZ1" s="1">
        <v>27576</v>
      </c>
      <c r="DA1" s="1">
        <v>27668</v>
      </c>
      <c r="DB1" s="1">
        <v>27760</v>
      </c>
      <c r="DC1" s="1">
        <v>27851</v>
      </c>
      <c r="DD1" s="1">
        <v>27942</v>
      </c>
      <c r="DE1" s="1">
        <v>28034</v>
      </c>
      <c r="DF1" s="1">
        <v>28126</v>
      </c>
      <c r="DG1" s="1">
        <v>28216</v>
      </c>
      <c r="DH1" s="1">
        <v>28307</v>
      </c>
      <c r="DI1" s="1">
        <v>28399</v>
      </c>
      <c r="DJ1" s="1">
        <v>28491</v>
      </c>
      <c r="DK1" s="1">
        <v>28581</v>
      </c>
      <c r="DL1" s="1">
        <v>28672</v>
      </c>
      <c r="DM1" s="1">
        <v>28764</v>
      </c>
      <c r="DN1" s="1">
        <v>28856</v>
      </c>
      <c r="DO1" s="1">
        <v>28946</v>
      </c>
      <c r="DP1" s="1">
        <v>29037</v>
      </c>
      <c r="DQ1" s="1">
        <v>29129</v>
      </c>
      <c r="DR1" s="1">
        <v>29221</v>
      </c>
      <c r="DS1" s="1">
        <v>29312</v>
      </c>
      <c r="DT1" s="1">
        <v>29403</v>
      </c>
      <c r="DU1" s="1">
        <v>29495</v>
      </c>
      <c r="DV1" s="1">
        <v>29587</v>
      </c>
      <c r="DW1" s="1">
        <v>29677</v>
      </c>
      <c r="DX1" s="1">
        <v>29768</v>
      </c>
      <c r="DY1" s="1">
        <v>29860</v>
      </c>
      <c r="DZ1" s="1">
        <v>29952</v>
      </c>
      <c r="EA1" s="1">
        <v>30042</v>
      </c>
      <c r="EB1" s="1">
        <v>30133</v>
      </c>
      <c r="EC1" s="1">
        <v>30225</v>
      </c>
      <c r="ED1" s="1">
        <v>30317</v>
      </c>
      <c r="EE1" s="1">
        <v>30407</v>
      </c>
      <c r="EF1" s="1">
        <v>30498</v>
      </c>
      <c r="EG1" s="1">
        <v>30590</v>
      </c>
      <c r="EH1" s="1">
        <v>30682</v>
      </c>
      <c r="EI1" s="1">
        <v>30773</v>
      </c>
      <c r="EJ1" s="1">
        <v>30864</v>
      </c>
      <c r="EK1" s="1">
        <v>30956</v>
      </c>
      <c r="EL1" s="1">
        <v>31048</v>
      </c>
      <c r="EM1" s="1">
        <v>31138</v>
      </c>
      <c r="EN1" s="1">
        <v>31229</v>
      </c>
      <c r="EO1" s="1">
        <v>31321</v>
      </c>
      <c r="EP1" s="1">
        <v>31413</v>
      </c>
      <c r="EQ1" s="1">
        <v>31503</v>
      </c>
      <c r="ER1" s="1">
        <v>31594</v>
      </c>
      <c r="ES1" s="1">
        <v>31686</v>
      </c>
      <c r="ET1" s="1">
        <v>31778</v>
      </c>
      <c r="EU1" s="1">
        <v>31868</v>
      </c>
      <c r="EV1" s="1">
        <v>31959</v>
      </c>
      <c r="EW1" s="1">
        <v>32051</v>
      </c>
      <c r="EX1" s="1">
        <v>32143</v>
      </c>
      <c r="EY1" s="1">
        <v>32234</v>
      </c>
      <c r="EZ1" s="1">
        <v>32325</v>
      </c>
      <c r="FA1" s="1">
        <v>32417</v>
      </c>
      <c r="FB1" s="1">
        <v>32509</v>
      </c>
      <c r="FC1" s="1">
        <v>32599</v>
      </c>
      <c r="FD1" s="1">
        <v>32690</v>
      </c>
      <c r="FE1" s="1">
        <v>32782</v>
      </c>
      <c r="FF1" s="1">
        <v>32874</v>
      </c>
      <c r="FG1" s="1">
        <v>32964</v>
      </c>
      <c r="FH1" s="1">
        <v>33055</v>
      </c>
      <c r="FI1" s="1">
        <v>33147</v>
      </c>
      <c r="FJ1" s="1">
        <v>33239</v>
      </c>
      <c r="FK1" s="1">
        <v>33329</v>
      </c>
      <c r="FL1" s="1">
        <v>33420</v>
      </c>
      <c r="FM1" s="1">
        <v>33512</v>
      </c>
      <c r="FN1" s="1">
        <v>33604</v>
      </c>
      <c r="FO1" s="1">
        <v>33695</v>
      </c>
      <c r="FP1" s="1">
        <v>33786</v>
      </c>
      <c r="FQ1" s="1">
        <v>33878</v>
      </c>
      <c r="FR1" s="1">
        <v>33970</v>
      </c>
      <c r="FS1" s="1">
        <v>34060</v>
      </c>
      <c r="FT1" s="1">
        <v>34151</v>
      </c>
      <c r="FU1" s="1">
        <v>34243</v>
      </c>
      <c r="FV1" s="1">
        <v>34335</v>
      </c>
      <c r="FW1" s="1">
        <v>34425</v>
      </c>
      <c r="FX1" s="1">
        <v>34516</v>
      </c>
      <c r="FY1" s="1">
        <v>34608</v>
      </c>
      <c r="FZ1" s="1">
        <v>34700</v>
      </c>
      <c r="GA1" s="1">
        <v>34790</v>
      </c>
      <c r="GB1" s="1">
        <v>34881</v>
      </c>
      <c r="GC1" s="1">
        <v>34973</v>
      </c>
      <c r="GD1" s="1">
        <v>35065</v>
      </c>
      <c r="GE1" s="1">
        <v>35156</v>
      </c>
      <c r="GF1" s="1">
        <v>35247</v>
      </c>
      <c r="GG1" s="1">
        <v>35339</v>
      </c>
      <c r="GH1" s="1">
        <v>35431</v>
      </c>
      <c r="GI1" s="1">
        <v>35521</v>
      </c>
      <c r="GJ1" s="1">
        <v>35612</v>
      </c>
      <c r="GK1" s="1">
        <v>35704</v>
      </c>
      <c r="GL1" s="1">
        <v>35796</v>
      </c>
      <c r="GM1" s="1">
        <v>35886</v>
      </c>
      <c r="GN1" s="1">
        <v>35977</v>
      </c>
      <c r="GO1" s="1">
        <v>36069</v>
      </c>
      <c r="GP1" s="1">
        <v>36161</v>
      </c>
      <c r="GQ1" s="1">
        <v>36251</v>
      </c>
      <c r="GR1" s="1">
        <v>36342</v>
      </c>
      <c r="GS1" s="1">
        <v>36434</v>
      </c>
      <c r="GT1" s="1">
        <v>36526</v>
      </c>
      <c r="GU1" s="1">
        <v>36617</v>
      </c>
      <c r="GV1" s="1">
        <v>36708</v>
      </c>
      <c r="GW1" s="1">
        <v>36800</v>
      </c>
      <c r="GX1" s="1">
        <v>36892</v>
      </c>
      <c r="GY1" s="1">
        <v>36982</v>
      </c>
      <c r="GZ1" s="1">
        <v>37073</v>
      </c>
      <c r="HA1" s="1">
        <v>37165</v>
      </c>
      <c r="HB1" s="1">
        <v>37257</v>
      </c>
      <c r="HC1" s="1">
        <v>37347</v>
      </c>
      <c r="HD1" s="1">
        <v>37438</v>
      </c>
      <c r="HE1" s="1">
        <v>37530</v>
      </c>
      <c r="HF1" s="1">
        <v>37622</v>
      </c>
      <c r="HG1" s="1">
        <v>37712</v>
      </c>
      <c r="HH1" s="1">
        <v>37803</v>
      </c>
      <c r="HI1" s="1">
        <v>37895</v>
      </c>
      <c r="HJ1" s="1">
        <v>37987</v>
      </c>
      <c r="HK1" s="1">
        <v>38078</v>
      </c>
      <c r="HL1" s="1">
        <v>38169</v>
      </c>
      <c r="HM1" s="1">
        <v>38261</v>
      </c>
      <c r="HN1" s="1">
        <v>38353</v>
      </c>
      <c r="HO1" s="1">
        <v>38443</v>
      </c>
      <c r="HP1" s="1">
        <v>38534</v>
      </c>
      <c r="HQ1" s="1">
        <v>38626</v>
      </c>
      <c r="HR1" s="1">
        <v>38718</v>
      </c>
      <c r="HS1" s="1">
        <v>38808</v>
      </c>
      <c r="HT1" s="1">
        <v>38899</v>
      </c>
      <c r="HU1" s="1">
        <v>38991</v>
      </c>
      <c r="HV1" s="1">
        <v>39083</v>
      </c>
      <c r="HW1" s="1">
        <v>39173</v>
      </c>
      <c r="HX1" s="1">
        <v>39264</v>
      </c>
      <c r="HY1" s="1">
        <v>39356</v>
      </c>
      <c r="HZ1" s="1">
        <v>39448</v>
      </c>
      <c r="IA1" s="1">
        <v>39539</v>
      </c>
      <c r="IB1" s="1">
        <v>39630</v>
      </c>
      <c r="IC1" s="1">
        <v>39722</v>
      </c>
      <c r="ID1" s="1">
        <v>39814</v>
      </c>
      <c r="IE1" s="1">
        <v>39904</v>
      </c>
      <c r="IF1" s="1">
        <v>39995</v>
      </c>
      <c r="IG1" s="1">
        <v>40087</v>
      </c>
      <c r="IH1" s="1">
        <v>40179</v>
      </c>
      <c r="II1" s="1">
        <v>40269</v>
      </c>
      <c r="IJ1" s="1">
        <v>40360</v>
      </c>
      <c r="IK1" s="1">
        <v>40452</v>
      </c>
      <c r="IL1" s="1">
        <v>40544</v>
      </c>
      <c r="IM1" s="1">
        <v>40634</v>
      </c>
      <c r="IN1" s="1">
        <v>40725</v>
      </c>
      <c r="IO1" s="1">
        <v>40817</v>
      </c>
      <c r="IP1" s="1">
        <v>40909</v>
      </c>
      <c r="IQ1" s="1">
        <v>41000</v>
      </c>
      <c r="IR1" s="1">
        <v>41091</v>
      </c>
      <c r="IS1" s="1">
        <v>41183</v>
      </c>
      <c r="IT1" s="1">
        <v>41275</v>
      </c>
      <c r="IU1" s="1">
        <v>41365</v>
      </c>
      <c r="IV1" s="1">
        <v>41456</v>
      </c>
      <c r="IW1" s="1">
        <v>41548</v>
      </c>
      <c r="IX1" s="1">
        <v>41640</v>
      </c>
      <c r="IY1" s="1">
        <v>41730</v>
      </c>
      <c r="IZ1" s="1">
        <v>41821</v>
      </c>
      <c r="JA1" s="1">
        <v>41913</v>
      </c>
    </row>
    <row r="2" spans="1:261" x14ac:dyDescent="0.25">
      <c r="A2" t="s">
        <v>83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3">
        <v>19</v>
      </c>
      <c r="U2" s="3">
        <v>20</v>
      </c>
      <c r="V2" s="3">
        <v>21</v>
      </c>
      <c r="W2" s="3">
        <v>22</v>
      </c>
      <c r="X2" s="3">
        <v>23</v>
      </c>
      <c r="Y2" s="3">
        <v>24</v>
      </c>
      <c r="Z2" s="3">
        <v>25</v>
      </c>
      <c r="AA2" s="3">
        <v>26</v>
      </c>
      <c r="AB2" s="3">
        <v>27</v>
      </c>
      <c r="AC2" s="3">
        <v>28</v>
      </c>
      <c r="AD2" s="3">
        <v>29</v>
      </c>
      <c r="AE2" s="3">
        <v>30</v>
      </c>
      <c r="AF2" s="3">
        <v>31</v>
      </c>
      <c r="AG2" s="3">
        <v>32</v>
      </c>
      <c r="AH2" s="3">
        <v>33</v>
      </c>
      <c r="AI2" s="3">
        <v>34</v>
      </c>
      <c r="AJ2" s="3">
        <v>35</v>
      </c>
      <c r="AK2" s="3">
        <v>36</v>
      </c>
      <c r="AL2" s="3">
        <v>37</v>
      </c>
      <c r="AM2" s="3">
        <v>38</v>
      </c>
      <c r="AN2" s="3">
        <v>39</v>
      </c>
      <c r="AO2" s="3">
        <v>40</v>
      </c>
      <c r="AP2" s="3">
        <v>41</v>
      </c>
      <c r="AQ2" s="3">
        <v>42</v>
      </c>
      <c r="AR2" s="3">
        <v>43</v>
      </c>
      <c r="AS2" s="3">
        <v>44</v>
      </c>
      <c r="AT2" s="3">
        <v>45</v>
      </c>
      <c r="AU2" s="3">
        <v>46</v>
      </c>
      <c r="AV2" s="3">
        <v>47</v>
      </c>
      <c r="AW2" s="3">
        <v>48</v>
      </c>
      <c r="AX2" s="3">
        <v>49</v>
      </c>
      <c r="AY2" s="3">
        <v>50</v>
      </c>
      <c r="AZ2" s="3">
        <v>51</v>
      </c>
      <c r="BA2" s="3">
        <v>52</v>
      </c>
      <c r="BB2" s="3">
        <v>53</v>
      </c>
      <c r="BC2" s="3">
        <v>54</v>
      </c>
      <c r="BD2" s="3">
        <v>55</v>
      </c>
      <c r="BE2" s="3">
        <v>56</v>
      </c>
      <c r="BF2" s="3">
        <v>57</v>
      </c>
      <c r="BG2" s="3">
        <v>58</v>
      </c>
      <c r="BH2" s="3">
        <v>59</v>
      </c>
      <c r="BI2" s="3">
        <v>60</v>
      </c>
      <c r="BJ2" s="3">
        <v>61</v>
      </c>
      <c r="BK2" s="3">
        <v>62</v>
      </c>
      <c r="BL2" s="3">
        <v>63</v>
      </c>
      <c r="BM2" s="3">
        <v>64</v>
      </c>
      <c r="BN2" s="3">
        <v>65</v>
      </c>
      <c r="BO2" s="3">
        <v>66</v>
      </c>
      <c r="BP2" s="3">
        <v>67</v>
      </c>
      <c r="BQ2" s="3">
        <v>68</v>
      </c>
      <c r="BR2" s="3">
        <v>69</v>
      </c>
      <c r="BS2" s="3">
        <v>70</v>
      </c>
      <c r="BT2" s="3">
        <v>71</v>
      </c>
      <c r="BU2" s="3">
        <v>72</v>
      </c>
      <c r="BV2" s="3">
        <v>73</v>
      </c>
      <c r="BW2" s="3">
        <v>74</v>
      </c>
      <c r="BX2" s="3">
        <v>75</v>
      </c>
      <c r="BY2" s="3">
        <v>76</v>
      </c>
      <c r="BZ2" s="3">
        <v>77</v>
      </c>
      <c r="CA2" s="3">
        <v>78</v>
      </c>
      <c r="CB2" s="3">
        <v>79</v>
      </c>
      <c r="CC2" s="3">
        <v>80</v>
      </c>
      <c r="CD2" s="3">
        <v>81</v>
      </c>
      <c r="CE2" s="3">
        <v>82</v>
      </c>
      <c r="CF2" s="3">
        <v>83</v>
      </c>
      <c r="CG2" s="3">
        <v>84</v>
      </c>
      <c r="CH2" s="3">
        <v>85</v>
      </c>
      <c r="CI2" s="3">
        <v>86</v>
      </c>
      <c r="CJ2" s="3">
        <v>87</v>
      </c>
      <c r="CK2" s="3">
        <v>88</v>
      </c>
      <c r="CL2" s="3">
        <v>89</v>
      </c>
      <c r="CM2" s="3">
        <v>90</v>
      </c>
      <c r="CN2" s="3">
        <v>91</v>
      </c>
      <c r="CO2" s="3">
        <v>92</v>
      </c>
      <c r="CP2" s="3">
        <v>93</v>
      </c>
      <c r="CQ2" s="3">
        <v>94</v>
      </c>
      <c r="CR2" s="3">
        <v>95</v>
      </c>
      <c r="CS2" s="3">
        <v>96</v>
      </c>
      <c r="CT2" s="3">
        <v>97</v>
      </c>
      <c r="CU2" s="3">
        <v>98</v>
      </c>
      <c r="CV2" s="3">
        <v>99</v>
      </c>
      <c r="CW2" s="3">
        <v>100</v>
      </c>
      <c r="CX2" s="3">
        <v>101</v>
      </c>
      <c r="CY2" s="3">
        <v>102</v>
      </c>
      <c r="CZ2" s="3">
        <v>103</v>
      </c>
      <c r="DA2" s="3">
        <v>104</v>
      </c>
      <c r="DB2" s="3">
        <v>105</v>
      </c>
      <c r="DC2" s="3">
        <v>106</v>
      </c>
      <c r="DD2" s="3">
        <v>107</v>
      </c>
      <c r="DE2" s="3">
        <v>108</v>
      </c>
      <c r="DF2" s="3">
        <v>109</v>
      </c>
      <c r="DG2" s="3">
        <v>110</v>
      </c>
      <c r="DH2" s="3">
        <v>111</v>
      </c>
      <c r="DI2" s="3">
        <v>112</v>
      </c>
      <c r="DJ2" s="3">
        <v>113</v>
      </c>
      <c r="DK2" s="3">
        <v>114</v>
      </c>
      <c r="DL2" s="3">
        <v>115</v>
      </c>
      <c r="DM2" s="3">
        <v>116</v>
      </c>
      <c r="DN2" s="3">
        <v>117</v>
      </c>
      <c r="DO2" s="3">
        <v>118</v>
      </c>
      <c r="DP2" s="3">
        <v>119</v>
      </c>
      <c r="DQ2" s="3">
        <v>120</v>
      </c>
      <c r="DR2" s="3">
        <v>121</v>
      </c>
      <c r="DS2" s="3">
        <v>122</v>
      </c>
      <c r="DT2" s="3">
        <v>123</v>
      </c>
      <c r="DU2" s="3">
        <v>124</v>
      </c>
      <c r="DV2" s="3">
        <v>125</v>
      </c>
      <c r="DW2" s="3">
        <v>126</v>
      </c>
      <c r="DX2" s="3">
        <v>127</v>
      </c>
      <c r="DY2" s="3">
        <v>128</v>
      </c>
      <c r="DZ2" s="3">
        <v>129</v>
      </c>
      <c r="EA2" s="3">
        <v>130</v>
      </c>
      <c r="EB2" s="3">
        <v>131</v>
      </c>
      <c r="EC2" s="3">
        <v>132</v>
      </c>
      <c r="ED2" s="3">
        <v>133</v>
      </c>
      <c r="EE2" s="3">
        <v>134</v>
      </c>
      <c r="EF2" s="3">
        <v>135</v>
      </c>
      <c r="EG2" s="3">
        <v>136</v>
      </c>
      <c r="EH2" s="3">
        <v>137</v>
      </c>
      <c r="EI2" s="3">
        <v>138</v>
      </c>
      <c r="EJ2" s="3">
        <v>139</v>
      </c>
      <c r="EK2" s="3">
        <v>140</v>
      </c>
      <c r="EL2" s="3">
        <v>141</v>
      </c>
      <c r="EM2" s="3">
        <v>142</v>
      </c>
      <c r="EN2" s="3">
        <v>143</v>
      </c>
      <c r="EO2" s="3">
        <v>144</v>
      </c>
      <c r="EP2" s="3">
        <v>145</v>
      </c>
      <c r="EQ2" s="3">
        <v>146</v>
      </c>
      <c r="ER2" s="3">
        <v>147</v>
      </c>
      <c r="ES2" s="3">
        <v>148</v>
      </c>
      <c r="ET2" s="3">
        <v>149</v>
      </c>
      <c r="EU2" s="3">
        <v>150</v>
      </c>
      <c r="EV2" s="3">
        <v>151</v>
      </c>
      <c r="EW2" s="3">
        <v>152</v>
      </c>
      <c r="EX2" s="3">
        <v>153</v>
      </c>
      <c r="EY2" s="3">
        <v>154</v>
      </c>
      <c r="EZ2" s="3">
        <v>155</v>
      </c>
      <c r="FA2" s="3">
        <v>156</v>
      </c>
      <c r="FB2" s="3">
        <v>157</v>
      </c>
      <c r="FC2" s="3">
        <v>158</v>
      </c>
      <c r="FD2" s="3">
        <v>159</v>
      </c>
      <c r="FE2" s="3">
        <v>160</v>
      </c>
      <c r="FF2" s="3">
        <v>161</v>
      </c>
      <c r="FG2" s="3">
        <v>162</v>
      </c>
      <c r="FH2" s="3">
        <v>163</v>
      </c>
      <c r="FI2" s="3">
        <v>164</v>
      </c>
      <c r="FJ2" s="3">
        <v>165</v>
      </c>
      <c r="FK2" s="3">
        <v>166</v>
      </c>
      <c r="FL2" s="3">
        <v>167</v>
      </c>
      <c r="FM2" s="3">
        <v>168</v>
      </c>
      <c r="FN2" s="3">
        <v>169</v>
      </c>
      <c r="FO2" s="3">
        <v>170</v>
      </c>
      <c r="FP2" s="3">
        <v>171</v>
      </c>
      <c r="FQ2" s="3">
        <v>172</v>
      </c>
      <c r="FR2" s="3">
        <v>173</v>
      </c>
      <c r="FS2" s="3">
        <v>174</v>
      </c>
      <c r="FT2" s="3">
        <v>175</v>
      </c>
      <c r="FU2" s="3">
        <v>176</v>
      </c>
      <c r="FV2" s="3">
        <v>177</v>
      </c>
      <c r="FW2" s="3">
        <v>178</v>
      </c>
      <c r="FX2" s="3">
        <v>179</v>
      </c>
      <c r="FY2" s="3">
        <v>180</v>
      </c>
      <c r="FZ2" s="3">
        <v>181</v>
      </c>
      <c r="GA2" s="3">
        <v>182</v>
      </c>
      <c r="GB2" s="3">
        <v>183</v>
      </c>
      <c r="GC2" s="3">
        <v>184</v>
      </c>
      <c r="GD2" s="3">
        <v>185</v>
      </c>
      <c r="GE2" s="3">
        <v>186</v>
      </c>
      <c r="GF2" s="3">
        <v>187</v>
      </c>
      <c r="GG2" s="3">
        <v>188</v>
      </c>
      <c r="GH2" s="3">
        <v>189</v>
      </c>
      <c r="GI2" s="3">
        <v>190</v>
      </c>
      <c r="GJ2" s="3">
        <v>191</v>
      </c>
      <c r="GK2" s="3">
        <v>192</v>
      </c>
      <c r="GL2" s="3">
        <v>193</v>
      </c>
      <c r="GM2" s="3">
        <v>194</v>
      </c>
      <c r="GN2" s="3">
        <v>195</v>
      </c>
      <c r="GO2" s="3">
        <v>196</v>
      </c>
      <c r="GP2" s="3">
        <v>197</v>
      </c>
      <c r="GQ2" s="3">
        <v>198</v>
      </c>
      <c r="GR2" s="3">
        <v>199</v>
      </c>
      <c r="GS2" s="3">
        <v>200</v>
      </c>
      <c r="GT2" s="3">
        <v>201</v>
      </c>
      <c r="GU2" s="3">
        <v>202</v>
      </c>
      <c r="GV2" s="3">
        <v>203</v>
      </c>
      <c r="GW2" s="3">
        <v>204</v>
      </c>
      <c r="GX2" s="3">
        <v>205</v>
      </c>
      <c r="GY2" s="3">
        <v>206</v>
      </c>
      <c r="GZ2" s="3">
        <v>207</v>
      </c>
      <c r="HA2" s="3">
        <v>208</v>
      </c>
      <c r="HB2" s="3">
        <v>209</v>
      </c>
      <c r="HC2" s="3">
        <v>210</v>
      </c>
      <c r="HD2" s="3">
        <v>211</v>
      </c>
      <c r="HE2" s="3">
        <v>212</v>
      </c>
      <c r="HF2" s="3">
        <v>213</v>
      </c>
      <c r="HG2" s="3">
        <v>214</v>
      </c>
      <c r="HH2" s="3">
        <v>215</v>
      </c>
      <c r="HI2" s="3">
        <v>216</v>
      </c>
      <c r="HJ2" s="3">
        <v>217</v>
      </c>
      <c r="HK2" s="3">
        <v>218</v>
      </c>
      <c r="HL2" s="3">
        <v>219</v>
      </c>
      <c r="HM2" s="3">
        <v>220</v>
      </c>
      <c r="HN2" s="3">
        <v>221</v>
      </c>
      <c r="HO2" s="3">
        <v>222</v>
      </c>
      <c r="HP2" s="3">
        <v>223</v>
      </c>
      <c r="HQ2" s="3">
        <v>224</v>
      </c>
      <c r="HR2" s="3">
        <v>225</v>
      </c>
      <c r="HS2" s="3">
        <v>226</v>
      </c>
      <c r="HT2" s="3">
        <v>227</v>
      </c>
      <c r="HU2" s="3">
        <v>228</v>
      </c>
      <c r="HV2" s="3">
        <v>229</v>
      </c>
      <c r="HW2" s="3">
        <v>230</v>
      </c>
      <c r="HX2" s="3">
        <v>231</v>
      </c>
      <c r="HY2" s="3">
        <v>232</v>
      </c>
      <c r="HZ2" s="3">
        <v>233</v>
      </c>
      <c r="IA2" s="3">
        <v>234</v>
      </c>
      <c r="IB2" s="3">
        <v>235</v>
      </c>
      <c r="IC2" s="3">
        <v>236</v>
      </c>
      <c r="ID2" s="3">
        <v>237</v>
      </c>
      <c r="IE2" s="3">
        <v>238</v>
      </c>
      <c r="IF2" s="3">
        <v>239</v>
      </c>
      <c r="IG2" s="3">
        <v>240</v>
      </c>
      <c r="IH2" s="3">
        <v>241</v>
      </c>
      <c r="II2" s="3">
        <v>242</v>
      </c>
      <c r="IJ2" s="3">
        <v>243</v>
      </c>
      <c r="IK2" s="3">
        <v>244</v>
      </c>
      <c r="IL2" s="3">
        <v>245</v>
      </c>
      <c r="IM2" s="3">
        <v>246</v>
      </c>
      <c r="IN2" s="3">
        <v>247</v>
      </c>
      <c r="IO2" s="3">
        <v>248</v>
      </c>
      <c r="IP2" s="3">
        <v>249</v>
      </c>
      <c r="IQ2" s="3">
        <v>250</v>
      </c>
      <c r="IR2" s="3">
        <v>251</v>
      </c>
      <c r="IS2" s="3">
        <v>252</v>
      </c>
      <c r="IT2" s="3">
        <v>253</v>
      </c>
      <c r="IU2" s="3">
        <v>254</v>
      </c>
      <c r="IV2" s="3">
        <v>255</v>
      </c>
      <c r="IW2" s="3">
        <v>256</v>
      </c>
      <c r="IX2" s="3">
        <v>257</v>
      </c>
      <c r="IY2" s="3">
        <v>258</v>
      </c>
      <c r="IZ2" s="3">
        <v>259</v>
      </c>
      <c r="JA2" s="3">
        <v>260</v>
      </c>
    </row>
    <row r="3" spans="1:261" x14ac:dyDescent="0.25">
      <c r="A3" s="1" t="s">
        <v>82</v>
      </c>
      <c r="B3">
        <f>[1]q!B3</f>
        <v>1913</v>
      </c>
      <c r="C3">
        <f>[1]q!C3</f>
        <v>1971.2</v>
      </c>
      <c r="D3">
        <f>[1]q!D3</f>
        <v>2048.4</v>
      </c>
      <c r="E3">
        <f>[1]q!E3</f>
        <v>2084.4</v>
      </c>
      <c r="F3">
        <f>[1]q!F3</f>
        <v>2110.7000000000003</v>
      </c>
      <c r="G3">
        <f>[1]q!G3</f>
        <v>2145.7000000000003</v>
      </c>
      <c r="H3">
        <f>[1]q!H3</f>
        <v>2188.5</v>
      </c>
      <c r="I3">
        <f>[1]q!I3</f>
        <v>2192.2000000000003</v>
      </c>
      <c r="J3">
        <f>[1]q!J3</f>
        <v>2214.3000000000002</v>
      </c>
      <c r="K3">
        <f>[1]q!K3</f>
        <v>2216.7000000000003</v>
      </c>
      <c r="L3">
        <f>[1]q!L3</f>
        <v>2231.6</v>
      </c>
      <c r="M3">
        <f>[1]q!M3</f>
        <v>2305.3000000000002</v>
      </c>
      <c r="N3">
        <f>[1]q!N3</f>
        <v>2348.4</v>
      </c>
      <c r="O3">
        <f>[1]q!O3</f>
        <v>2366.2000000000003</v>
      </c>
      <c r="P3">
        <f>[1]q!P3</f>
        <v>2351.8000000000002</v>
      </c>
      <c r="Q3">
        <f>[1]q!Q3</f>
        <v>2314.6</v>
      </c>
      <c r="R3">
        <f>[1]q!R3</f>
        <v>2303.5</v>
      </c>
      <c r="S3">
        <f>[1]q!S3</f>
        <v>2306.4</v>
      </c>
      <c r="T3">
        <f>[1]q!T3</f>
        <v>2332.4</v>
      </c>
      <c r="U3">
        <f>[1]q!U3</f>
        <v>2379.1</v>
      </c>
      <c r="V3">
        <f>[1]q!V3</f>
        <v>2447.7000000000003</v>
      </c>
      <c r="W3">
        <f>[1]q!W3</f>
        <v>2488.1000000000004</v>
      </c>
      <c r="X3">
        <f>[1]q!X3</f>
        <v>2521.4</v>
      </c>
      <c r="Y3">
        <f>[1]q!Y3</f>
        <v>2535.5</v>
      </c>
      <c r="Z3">
        <f>[1]q!Z3</f>
        <v>2523.9</v>
      </c>
      <c r="AA3">
        <f>[1]q!AA3</f>
        <v>2543.8000000000002</v>
      </c>
      <c r="AB3">
        <f>[1]q!AB3</f>
        <v>2540.6000000000004</v>
      </c>
      <c r="AC3">
        <f>[1]q!AC3</f>
        <v>2582.1000000000004</v>
      </c>
      <c r="AD3">
        <f>[1]q!AD3</f>
        <v>2597.9</v>
      </c>
      <c r="AE3">
        <f>[1]q!AE3</f>
        <v>2591.7000000000003</v>
      </c>
      <c r="AF3">
        <f>[1]q!AF3</f>
        <v>2616.6000000000004</v>
      </c>
      <c r="AG3">
        <f>[1]q!AG3</f>
        <v>2589.1000000000004</v>
      </c>
      <c r="AH3">
        <f>[1]q!AH3</f>
        <v>2519</v>
      </c>
      <c r="AI3">
        <f>[1]q!AI3</f>
        <v>2534.5</v>
      </c>
      <c r="AJ3">
        <f>[1]q!AJ3</f>
        <v>2593.9</v>
      </c>
      <c r="AK3">
        <f>[1]q!AK3</f>
        <v>2654.3</v>
      </c>
      <c r="AL3">
        <f>[1]q!AL3</f>
        <v>2708</v>
      </c>
      <c r="AM3">
        <f>[1]q!AM3</f>
        <v>2776.4</v>
      </c>
      <c r="AN3">
        <f>[1]q!AN3</f>
        <v>2773.1000000000004</v>
      </c>
      <c r="AO3">
        <f>[1]q!AO3</f>
        <v>2782.8</v>
      </c>
      <c r="AP3">
        <f>[1]q!AP3</f>
        <v>2845.3</v>
      </c>
      <c r="AQ3">
        <f>[1]q!AQ3</f>
        <v>2832</v>
      </c>
      <c r="AR3">
        <f>[1]q!AR3</f>
        <v>2836.6000000000004</v>
      </c>
      <c r="AS3">
        <f>[1]q!AS3</f>
        <v>2800.2000000000003</v>
      </c>
      <c r="AT3">
        <f>[1]q!AT3</f>
        <v>2816.9</v>
      </c>
      <c r="AU3">
        <f>[1]q!AU3</f>
        <v>2869.6000000000004</v>
      </c>
      <c r="AV3">
        <f>[1]q!AV3</f>
        <v>2915.9</v>
      </c>
      <c r="AW3">
        <f>[1]q!AW3</f>
        <v>2975.3</v>
      </c>
      <c r="AX3">
        <f>[1]q!AX3</f>
        <v>3028.7000000000003</v>
      </c>
      <c r="AY3">
        <f>[1]q!AY3</f>
        <v>3062.1000000000004</v>
      </c>
      <c r="AZ3">
        <f>[1]q!AZ3</f>
        <v>3090.4</v>
      </c>
      <c r="BA3">
        <f>[1]q!BA3</f>
        <v>3097.9</v>
      </c>
      <c r="BB3">
        <f>[1]q!BB3</f>
        <v>3138.4</v>
      </c>
      <c r="BC3">
        <f>[1]q!BC3</f>
        <v>3177.7000000000003</v>
      </c>
      <c r="BD3">
        <f>[1]q!BD3</f>
        <v>3237.6000000000004</v>
      </c>
      <c r="BE3">
        <f>[1]q!BE3</f>
        <v>3262.2000000000003</v>
      </c>
      <c r="BF3">
        <f>[1]q!BF3</f>
        <v>3335.4</v>
      </c>
      <c r="BG3">
        <f>[1]q!BG3</f>
        <v>3373.7000000000003</v>
      </c>
      <c r="BH3">
        <f>[1]q!BH3</f>
        <v>3419.5</v>
      </c>
      <c r="BI3">
        <f>[1]q!BI3</f>
        <v>3429</v>
      </c>
      <c r="BJ3">
        <f>[1]q!BJ3</f>
        <v>3513.3</v>
      </c>
      <c r="BK3">
        <f>[1]q!BK3</f>
        <v>3560.9</v>
      </c>
      <c r="BL3">
        <f>[1]q!BL3</f>
        <v>3633.2000000000003</v>
      </c>
      <c r="BM3">
        <f>[1]q!BM3</f>
        <v>3720.8</v>
      </c>
      <c r="BN3">
        <f>[1]q!BN3</f>
        <v>3812.2000000000003</v>
      </c>
      <c r="BO3">
        <f>[1]q!BO3</f>
        <v>3824.9</v>
      </c>
      <c r="BP3">
        <f>[1]q!BP3</f>
        <v>3850</v>
      </c>
      <c r="BQ3">
        <f>[1]q!BQ3</f>
        <v>3881.2000000000003</v>
      </c>
      <c r="BR3">
        <f>[1]q!BR3</f>
        <v>3915.4</v>
      </c>
      <c r="BS3">
        <f>[1]q!BS3</f>
        <v>3916.2000000000003</v>
      </c>
      <c r="BT3">
        <f>[1]q!BT3</f>
        <v>3947.5</v>
      </c>
      <c r="BU3">
        <f>[1]q!BU3</f>
        <v>3977.6000000000004</v>
      </c>
      <c r="BV3">
        <f>[1]q!BV3</f>
        <v>4059.5</v>
      </c>
      <c r="BW3">
        <f>[1]q!BW3</f>
        <v>4128.5</v>
      </c>
      <c r="BX3">
        <f>[1]q!BX3</f>
        <v>4156.7</v>
      </c>
      <c r="BY3">
        <f>[1]q!BY3</f>
        <v>4174.7</v>
      </c>
      <c r="BZ3">
        <f>[1]q!BZ3</f>
        <v>4240.5</v>
      </c>
      <c r="CA3">
        <f>[1]q!CA3</f>
        <v>4252.8</v>
      </c>
      <c r="CB3">
        <f>[1]q!CB3</f>
        <v>4279.7</v>
      </c>
      <c r="CC3">
        <f>[1]q!CC3</f>
        <v>4259.6000000000004</v>
      </c>
      <c r="CD3">
        <f>[1]q!CD3</f>
        <v>4252.9000000000005</v>
      </c>
      <c r="CE3">
        <f>[1]q!CE3</f>
        <v>4260.7</v>
      </c>
      <c r="CF3">
        <f>[1]q!CF3</f>
        <v>4298.6000000000004</v>
      </c>
      <c r="CG3">
        <f>[1]q!CG3</f>
        <v>4253</v>
      </c>
      <c r="CH3">
        <f>[1]q!CH3</f>
        <v>4370.3</v>
      </c>
      <c r="CI3">
        <f>[1]q!CI3</f>
        <v>4395.1000000000004</v>
      </c>
      <c r="CJ3">
        <f>[1]q!CJ3</f>
        <v>4430.2</v>
      </c>
      <c r="CK3">
        <f>[1]q!CK3</f>
        <v>4442.5</v>
      </c>
      <c r="CL3">
        <f>[1]q!CL3</f>
        <v>4521.9000000000005</v>
      </c>
      <c r="CM3">
        <f>[1]q!CM3</f>
        <v>4629.1000000000004</v>
      </c>
      <c r="CN3">
        <f>[1]q!CN3</f>
        <v>4673.5</v>
      </c>
      <c r="CO3">
        <f>[1]q!CO3</f>
        <v>4750.5</v>
      </c>
      <c r="CP3">
        <f>[1]q!CP3</f>
        <v>4872</v>
      </c>
      <c r="CQ3">
        <f>[1]q!CQ3</f>
        <v>4928.4000000000005</v>
      </c>
      <c r="CR3">
        <f>[1]q!CR3</f>
        <v>4902.1000000000004</v>
      </c>
      <c r="CS3">
        <f>[1]q!CS3</f>
        <v>4948.8</v>
      </c>
      <c r="CT3">
        <f>[1]q!CT3</f>
        <v>4905.4000000000005</v>
      </c>
      <c r="CU3">
        <f>[1]q!CU3</f>
        <v>4918</v>
      </c>
      <c r="CV3">
        <f>[1]q!CV3</f>
        <v>4869.4000000000005</v>
      </c>
      <c r="CW3">
        <f>[1]q!CW3</f>
        <v>4850.2</v>
      </c>
      <c r="CX3">
        <f>[1]q!CX3</f>
        <v>4791.2</v>
      </c>
      <c r="CY3">
        <f>[1]q!CY3</f>
        <v>4827.8</v>
      </c>
      <c r="CZ3">
        <f>[1]q!CZ3</f>
        <v>4909.1000000000004</v>
      </c>
      <c r="DA3">
        <f>[1]q!DA3</f>
        <v>4973.3</v>
      </c>
      <c r="DB3">
        <f>[1]q!DB3</f>
        <v>5086.3</v>
      </c>
      <c r="DC3">
        <f>[1]q!DC3</f>
        <v>5124.6000000000004</v>
      </c>
      <c r="DD3">
        <f>[1]q!DD3</f>
        <v>5149.7000000000007</v>
      </c>
      <c r="DE3">
        <f>[1]q!DE3</f>
        <v>5187.1000000000004</v>
      </c>
      <c r="DF3">
        <f>[1]q!DF3</f>
        <v>5247.3</v>
      </c>
      <c r="DG3">
        <f>[1]q!DG3</f>
        <v>5351.6</v>
      </c>
      <c r="DH3">
        <f>[1]q!DH3</f>
        <v>5447.3</v>
      </c>
      <c r="DI3">
        <f>[1]q!DI3</f>
        <v>5446.1</v>
      </c>
      <c r="DJ3">
        <f>[1]q!DJ3</f>
        <v>5464.7000000000007</v>
      </c>
      <c r="DK3">
        <f>[1]q!DK3</f>
        <v>5679.7000000000007</v>
      </c>
      <c r="DL3">
        <f>[1]q!DL3</f>
        <v>5735.4000000000005</v>
      </c>
      <c r="DM3">
        <f>[1]q!DM3</f>
        <v>5811.3</v>
      </c>
      <c r="DN3">
        <f>[1]q!DN3</f>
        <v>5821</v>
      </c>
      <c r="DO3">
        <f>[1]q!DO3</f>
        <v>5826.4000000000005</v>
      </c>
      <c r="DP3">
        <f>[1]q!DP3</f>
        <v>5868.3</v>
      </c>
      <c r="DQ3">
        <f>[1]q!DQ3</f>
        <v>5884.5</v>
      </c>
      <c r="DR3">
        <f>[1]q!DR3</f>
        <v>5903.4000000000005</v>
      </c>
      <c r="DS3">
        <f>[1]q!DS3</f>
        <v>5782.4000000000005</v>
      </c>
      <c r="DT3">
        <f>[1]q!DT3</f>
        <v>5771.7000000000007</v>
      </c>
      <c r="DU3">
        <f>[1]q!DU3</f>
        <v>5878.4000000000005</v>
      </c>
      <c r="DV3">
        <f>[1]q!DV3</f>
        <v>6000.6</v>
      </c>
      <c r="DW3">
        <f>[1]q!DW3</f>
        <v>5952.7000000000007</v>
      </c>
      <c r="DX3">
        <f>[1]q!DX3</f>
        <v>6025</v>
      </c>
      <c r="DY3">
        <f>[1]q!DY3</f>
        <v>5950</v>
      </c>
      <c r="DZ3">
        <f>[1]q!DZ3</f>
        <v>5852.3</v>
      </c>
      <c r="EA3">
        <f>[1]q!EA3</f>
        <v>5884</v>
      </c>
      <c r="EB3">
        <f>[1]q!EB3</f>
        <v>5861.4000000000005</v>
      </c>
      <c r="EC3">
        <f>[1]q!EC3</f>
        <v>5866</v>
      </c>
      <c r="ED3">
        <f>[1]q!ED3</f>
        <v>5938.9000000000005</v>
      </c>
      <c r="EE3">
        <f>[1]q!EE3</f>
        <v>6072.4000000000005</v>
      </c>
      <c r="EF3">
        <f>[1]q!EF3</f>
        <v>6192.2000000000007</v>
      </c>
      <c r="EG3">
        <f>[1]q!EG3</f>
        <v>6320.2000000000007</v>
      </c>
      <c r="EH3">
        <f>[1]q!EH3</f>
        <v>6442.8</v>
      </c>
      <c r="EI3">
        <f>[1]q!EI3</f>
        <v>6554</v>
      </c>
      <c r="EJ3">
        <f>[1]q!EJ3</f>
        <v>6617.7000000000007</v>
      </c>
      <c r="EK3">
        <f>[1]q!EK3</f>
        <v>6671.6</v>
      </c>
      <c r="EL3">
        <f>[1]q!EL3</f>
        <v>6734.5</v>
      </c>
      <c r="EM3">
        <f>[1]q!EM3</f>
        <v>6791.5</v>
      </c>
      <c r="EN3">
        <f>[1]q!EN3</f>
        <v>6897.6</v>
      </c>
      <c r="EO3">
        <f>[1]q!EO3</f>
        <v>6950</v>
      </c>
      <c r="EP3">
        <f>[1]q!EP3</f>
        <v>7016.8</v>
      </c>
      <c r="EQ3">
        <f>[1]q!EQ3</f>
        <v>7045</v>
      </c>
      <c r="ER3">
        <f>[1]q!ER3</f>
        <v>7112.9000000000005</v>
      </c>
      <c r="ES3">
        <f>[1]q!ES3</f>
        <v>7147.3</v>
      </c>
      <c r="ET3">
        <f>[1]q!ET3</f>
        <v>7186.9000000000005</v>
      </c>
      <c r="EU3">
        <f>[1]q!EU3</f>
        <v>7263.3</v>
      </c>
      <c r="EV3">
        <f>[1]q!EV3</f>
        <v>7326.3</v>
      </c>
      <c r="EW3">
        <f>[1]q!EW3</f>
        <v>7451.7000000000007</v>
      </c>
      <c r="EX3">
        <f>[1]q!EX3</f>
        <v>7490.2000000000007</v>
      </c>
      <c r="EY3">
        <f>[1]q!EY3</f>
        <v>7586.4000000000005</v>
      </c>
      <c r="EZ3">
        <f>[1]q!EZ3</f>
        <v>7625.6</v>
      </c>
      <c r="FA3">
        <f>[1]q!FA3</f>
        <v>7727.4000000000005</v>
      </c>
      <c r="FB3">
        <f>[1]q!FB3</f>
        <v>7799.9000000000005</v>
      </c>
      <c r="FC3">
        <f>[1]q!FC3</f>
        <v>7858.3</v>
      </c>
      <c r="FD3">
        <f>[1]q!FD3</f>
        <v>7920.6</v>
      </c>
      <c r="FE3">
        <f>[1]q!FE3</f>
        <v>7937.9000000000005</v>
      </c>
      <c r="FF3">
        <f>[1]q!FF3</f>
        <v>8020.8</v>
      </c>
      <c r="FG3">
        <f>[1]q!FG3</f>
        <v>8052.7000000000007</v>
      </c>
      <c r="FH3">
        <f>[1]q!FH3</f>
        <v>8052.6</v>
      </c>
      <c r="FI3">
        <f>[1]q!FI3</f>
        <v>7982</v>
      </c>
      <c r="FJ3">
        <f>[1]q!FJ3</f>
        <v>7943.4000000000005</v>
      </c>
      <c r="FK3">
        <f>[1]q!FK3</f>
        <v>7997</v>
      </c>
      <c r="FL3">
        <f>[1]q!FL3</f>
        <v>8030.7000000000007</v>
      </c>
      <c r="FM3">
        <f>[1]q!FM3</f>
        <v>8062.2000000000007</v>
      </c>
      <c r="FN3">
        <f>[1]q!FN3</f>
        <v>8150.7000000000007</v>
      </c>
      <c r="FO3">
        <f>[1]q!FO3</f>
        <v>8237.3000000000011</v>
      </c>
      <c r="FP3">
        <f>[1]q!FP3</f>
        <v>8322.3000000000011</v>
      </c>
      <c r="FQ3">
        <f>[1]q!FQ3</f>
        <v>8409.8000000000011</v>
      </c>
      <c r="FR3">
        <f>[1]q!FR3</f>
        <v>8425.3000000000011</v>
      </c>
      <c r="FS3">
        <f>[1]q!FS3</f>
        <v>8479.2000000000007</v>
      </c>
      <c r="FT3">
        <f>[1]q!FT3</f>
        <v>8523.8000000000011</v>
      </c>
      <c r="FU3">
        <f>[1]q!FU3</f>
        <v>8636.4</v>
      </c>
      <c r="FV3">
        <f>[1]q!FV3</f>
        <v>8720.5</v>
      </c>
      <c r="FW3">
        <f>[1]q!FW3</f>
        <v>8839.8000000000011</v>
      </c>
      <c r="FX3">
        <f>[1]q!FX3</f>
        <v>8896.7000000000007</v>
      </c>
      <c r="FY3">
        <f>[1]q!FY3</f>
        <v>8995.5</v>
      </c>
      <c r="FZ3">
        <f>[1]q!FZ3</f>
        <v>9017.6</v>
      </c>
      <c r="GA3">
        <f>[1]q!GA3</f>
        <v>9037</v>
      </c>
      <c r="GB3">
        <f>[1]q!GB3</f>
        <v>9112.9</v>
      </c>
      <c r="GC3">
        <f>[1]q!GC3</f>
        <v>9176.4</v>
      </c>
      <c r="GD3">
        <f>[1]q!GD3</f>
        <v>9239.3000000000011</v>
      </c>
      <c r="GE3">
        <f>[1]q!GE3</f>
        <v>9399</v>
      </c>
      <c r="GF3">
        <f>[1]q!GF3</f>
        <v>9480.8000000000011</v>
      </c>
      <c r="GG3">
        <f>[1]q!GG3</f>
        <v>9584.3000000000011</v>
      </c>
      <c r="GH3">
        <f>[1]q!GH3</f>
        <v>9658</v>
      </c>
      <c r="GI3">
        <f>[1]q!GI3</f>
        <v>9801.2000000000007</v>
      </c>
      <c r="GJ3">
        <f>[1]q!GJ3</f>
        <v>9924.2000000000007</v>
      </c>
      <c r="GK3">
        <f>[1]q!GK3</f>
        <v>10000.300000000001</v>
      </c>
      <c r="GL3">
        <f>[1]q!GL3</f>
        <v>10094.800000000001</v>
      </c>
      <c r="GM3">
        <f>[1]q!GM3</f>
        <v>10185.6</v>
      </c>
      <c r="GN3">
        <f>[1]q!GN3</f>
        <v>10320</v>
      </c>
      <c r="GO3">
        <f>[1]q!GO3</f>
        <v>10498.6</v>
      </c>
      <c r="GP3">
        <f>[1]q!GP3</f>
        <v>10592.1</v>
      </c>
      <c r="GQ3">
        <f>[1]q!GQ3</f>
        <v>10674.900000000001</v>
      </c>
      <c r="GR3">
        <f>[1]q!GR3</f>
        <v>10810.7</v>
      </c>
      <c r="GS3">
        <f>[1]q!GS3</f>
        <v>11004.800000000001</v>
      </c>
      <c r="GT3">
        <f>[1]q!GT3</f>
        <v>11033.6</v>
      </c>
      <c r="GU3">
        <f>[1]q!GU3</f>
        <v>11248.800000000001</v>
      </c>
      <c r="GV3">
        <f>[1]q!GV3</f>
        <v>11258.300000000001</v>
      </c>
      <c r="GW3">
        <f>[1]q!GW3</f>
        <v>11325</v>
      </c>
      <c r="GX3">
        <f>[1]q!GX3</f>
        <v>11287.800000000001</v>
      </c>
      <c r="GY3">
        <f>[1]q!GY3</f>
        <v>11361.7</v>
      </c>
      <c r="GZ3">
        <f>[1]q!GZ3</f>
        <v>11330.400000000001</v>
      </c>
      <c r="HA3">
        <f>[1]q!HA3</f>
        <v>11370</v>
      </c>
      <c r="HB3">
        <f>[1]q!HB3</f>
        <v>11467.1</v>
      </c>
      <c r="HC3">
        <f>[1]q!HC3</f>
        <v>11528.1</v>
      </c>
      <c r="HD3">
        <f>[1]q!HD3</f>
        <v>11586.6</v>
      </c>
      <c r="HE3">
        <f>[1]q!HE3</f>
        <v>11590.6</v>
      </c>
      <c r="HF3">
        <f>[1]q!HF3</f>
        <v>11638.900000000001</v>
      </c>
      <c r="HG3">
        <f>[1]q!HG3</f>
        <v>11737.5</v>
      </c>
      <c r="HH3">
        <f>[1]q!HH3</f>
        <v>11930.7</v>
      </c>
      <c r="HI3">
        <f>[1]q!HI3</f>
        <v>12038.6</v>
      </c>
      <c r="HJ3">
        <f>[1]q!HJ3</f>
        <v>12117.900000000001</v>
      </c>
      <c r="HK3">
        <f>[1]q!HK3</f>
        <v>12195.900000000001</v>
      </c>
      <c r="HL3">
        <f>[1]q!HL3</f>
        <v>12286.7</v>
      </c>
      <c r="HM3">
        <f>[1]q!HM3</f>
        <v>12387.2</v>
      </c>
      <c r="HN3">
        <f>[1]q!HN3</f>
        <v>12515</v>
      </c>
      <c r="HO3">
        <f>[1]q!HO3</f>
        <v>12570.7</v>
      </c>
      <c r="HP3">
        <f>[1]q!HP3</f>
        <v>12670.5</v>
      </c>
      <c r="HQ3">
        <f>[1]q!HQ3</f>
        <v>12735.6</v>
      </c>
      <c r="HR3">
        <f>[1]q!HR3</f>
        <v>12896.400000000001</v>
      </c>
      <c r="HS3">
        <f>[1]q!HS3</f>
        <v>12948.7</v>
      </c>
      <c r="HT3">
        <f>[1]q!HT3</f>
        <v>12950.400000000001</v>
      </c>
      <c r="HU3">
        <f>[1]q!HU3</f>
        <v>13038.400000000001</v>
      </c>
      <c r="HV3">
        <f>[1]q!HV3</f>
        <v>13056.1</v>
      </c>
      <c r="HW3">
        <f>[1]q!HW3</f>
        <v>13173.6</v>
      </c>
      <c r="HX3">
        <f>[1]q!HX3</f>
        <v>13269.800000000001</v>
      </c>
      <c r="HY3">
        <f>[1]q!HY3</f>
        <v>13326</v>
      </c>
      <c r="HZ3">
        <f>[1]q!HZ3</f>
        <v>13266.800000000001</v>
      </c>
      <c r="IA3">
        <f>[1]q!IA3</f>
        <v>13310.5</v>
      </c>
      <c r="IB3">
        <f>[1]q!IB3</f>
        <v>13186.900000000001</v>
      </c>
      <c r="IC3">
        <f>[1]q!IC3</f>
        <v>12883.5</v>
      </c>
      <c r="ID3">
        <f>[1]q!ID3</f>
        <v>12663.2</v>
      </c>
      <c r="IE3">
        <f>[1]q!IE3</f>
        <v>12641.300000000001</v>
      </c>
      <c r="IF3">
        <f>[1]q!IF3</f>
        <v>12694.5</v>
      </c>
      <c r="IG3">
        <f>[1]q!IG3</f>
        <v>12813.5</v>
      </c>
      <c r="IH3">
        <f>[1]q!IH3</f>
        <v>12937.7</v>
      </c>
      <c r="II3">
        <f>[1]q!II3</f>
        <v>13058.5</v>
      </c>
      <c r="IJ3">
        <f>[1]q!IJ3</f>
        <v>13139.6</v>
      </c>
      <c r="IK3">
        <f>[1]q!IK3</f>
        <v>13216.1</v>
      </c>
      <c r="IL3">
        <f>[1]q!IL3</f>
        <v>13227.900000000001</v>
      </c>
      <c r="IM3">
        <f>[1]q!IM3</f>
        <v>13271.800000000001</v>
      </c>
      <c r="IN3">
        <f>[1]q!IN3</f>
        <v>13352.800000000001</v>
      </c>
    </row>
    <row r="4" spans="1:261" x14ac:dyDescent="0.25">
      <c r="A4" s="1" t="s">
        <v>81</v>
      </c>
      <c r="B4">
        <f>[1]q!B4</f>
        <v>1244.9000000000001</v>
      </c>
      <c r="C4">
        <f>[1]q!C4</f>
        <v>1265.4000000000001</v>
      </c>
      <c r="D4">
        <f>[1]q!D4</f>
        <v>1330.3000000000002</v>
      </c>
      <c r="E4">
        <f>[1]q!E4</f>
        <v>1290.2</v>
      </c>
      <c r="F4">
        <f>[1]q!F4</f>
        <v>1321.4</v>
      </c>
      <c r="G4">
        <f>[1]q!G4</f>
        <v>1284.1000000000001</v>
      </c>
      <c r="H4">
        <f>[1]q!H4</f>
        <v>1299.1000000000001</v>
      </c>
      <c r="I4">
        <f>[1]q!I4</f>
        <v>1306.7</v>
      </c>
      <c r="J4">
        <f>[1]q!J4</f>
        <v>1309.6000000000001</v>
      </c>
      <c r="K4">
        <f>[1]q!K4</f>
        <v>1335.3000000000002</v>
      </c>
      <c r="L4">
        <f>[1]q!L4</f>
        <v>1341.8000000000002</v>
      </c>
      <c r="M4">
        <f>[1]q!M4</f>
        <v>1389.2</v>
      </c>
      <c r="N4">
        <f>[1]q!N4</f>
        <v>1405.7</v>
      </c>
      <c r="O4">
        <f>[1]q!O4</f>
        <v>1414.2</v>
      </c>
      <c r="P4">
        <f>[1]q!P4</f>
        <v>1411</v>
      </c>
      <c r="Q4">
        <f>[1]q!Q4</f>
        <v>1401.6000000000001</v>
      </c>
      <c r="R4">
        <f>[1]q!R4</f>
        <v>1406.7</v>
      </c>
      <c r="S4">
        <f>[1]q!S4</f>
        <v>1425</v>
      </c>
      <c r="T4">
        <f>[1]q!T4</f>
        <v>1444.4</v>
      </c>
      <c r="U4">
        <f>[1]q!U4</f>
        <v>1474.7</v>
      </c>
      <c r="V4">
        <f>[1]q!V4</f>
        <v>1507.8000000000002</v>
      </c>
      <c r="W4">
        <f>[1]q!W4</f>
        <v>1536.6000000000001</v>
      </c>
      <c r="X4">
        <f>[1]q!X4</f>
        <v>1555.6000000000001</v>
      </c>
      <c r="Y4">
        <f>[1]q!Y4</f>
        <v>1575.2</v>
      </c>
      <c r="Z4">
        <f>[1]q!Z4</f>
        <v>1577.8000000000002</v>
      </c>
      <c r="AA4">
        <f>[1]q!AA4</f>
        <v>1583</v>
      </c>
      <c r="AB4">
        <f>[1]q!AB4</f>
        <v>1586.6000000000001</v>
      </c>
      <c r="AC4">
        <f>[1]q!AC4</f>
        <v>1608.4</v>
      </c>
      <c r="AD4">
        <f>[1]q!AD4</f>
        <v>1619.5</v>
      </c>
      <c r="AE4">
        <f>[1]q!AE4</f>
        <v>1622.4</v>
      </c>
      <c r="AF4">
        <f>[1]q!AF4</f>
        <v>1635.3000000000002</v>
      </c>
      <c r="AG4">
        <f>[1]q!AG4</f>
        <v>1636.1000000000001</v>
      </c>
      <c r="AH4">
        <f>[1]q!AH4</f>
        <v>1613.9</v>
      </c>
      <c r="AI4">
        <f>[1]q!AI4</f>
        <v>1627.1000000000001</v>
      </c>
      <c r="AJ4">
        <f>[1]q!AJ4</f>
        <v>1653.8000000000002</v>
      </c>
      <c r="AK4">
        <f>[1]q!AK4</f>
        <v>1675.6000000000001</v>
      </c>
      <c r="AL4">
        <f>[1]q!AL4</f>
        <v>1706.7</v>
      </c>
      <c r="AM4">
        <f>[1]q!AM4</f>
        <v>1732.9</v>
      </c>
      <c r="AN4">
        <f>[1]q!AN4</f>
        <v>1751</v>
      </c>
      <c r="AO4">
        <f>[1]q!AO4</f>
        <v>1752.9</v>
      </c>
      <c r="AP4">
        <f>[1]q!AP4</f>
        <v>1769.7</v>
      </c>
      <c r="AQ4">
        <f>[1]q!AQ4</f>
        <v>1792.1000000000001</v>
      </c>
      <c r="AR4">
        <f>[1]q!AR4</f>
        <v>1785</v>
      </c>
      <c r="AS4">
        <f>[1]q!AS4</f>
        <v>1787.4</v>
      </c>
      <c r="AT4">
        <f>[1]q!AT4</f>
        <v>1786.9</v>
      </c>
      <c r="AU4">
        <f>[1]q!AU4</f>
        <v>1813.4</v>
      </c>
      <c r="AV4">
        <f>[1]q!AV4</f>
        <v>1822.2</v>
      </c>
      <c r="AW4">
        <f>[1]q!AW4</f>
        <v>1858.7</v>
      </c>
      <c r="AX4">
        <f>[1]q!AX4</f>
        <v>1878.5</v>
      </c>
      <c r="AY4">
        <f>[1]q!AY4</f>
        <v>1901.6000000000001</v>
      </c>
      <c r="AZ4">
        <f>[1]q!AZ4</f>
        <v>1917</v>
      </c>
      <c r="BA4">
        <f>[1]q!BA4</f>
        <v>1944.2</v>
      </c>
      <c r="BB4">
        <f>[1]q!BB4</f>
        <v>1957.3000000000002</v>
      </c>
      <c r="BC4">
        <f>[1]q!BC4</f>
        <v>1976</v>
      </c>
      <c r="BD4">
        <f>[1]q!BD4</f>
        <v>2002.9</v>
      </c>
      <c r="BE4">
        <f>[1]q!BE4</f>
        <v>2019.6000000000001</v>
      </c>
      <c r="BF4">
        <f>[1]q!BF4</f>
        <v>2059.5</v>
      </c>
      <c r="BG4">
        <f>[1]q!BG4</f>
        <v>2095.8000000000002</v>
      </c>
      <c r="BH4">
        <f>[1]q!BH4</f>
        <v>2134.3000000000002</v>
      </c>
      <c r="BI4">
        <f>[1]q!BI4</f>
        <v>2140.2000000000003</v>
      </c>
      <c r="BJ4">
        <f>[1]q!BJ4</f>
        <v>2187.8000000000002</v>
      </c>
      <c r="BK4">
        <f>[1]q!BK4</f>
        <v>2212</v>
      </c>
      <c r="BL4">
        <f>[1]q!BL4</f>
        <v>2250</v>
      </c>
      <c r="BM4">
        <f>[1]q!BM4</f>
        <v>2313.2000000000003</v>
      </c>
      <c r="BN4">
        <f>[1]q!BN4</f>
        <v>2347.4</v>
      </c>
      <c r="BO4">
        <f>[1]q!BO4</f>
        <v>2353.5</v>
      </c>
      <c r="BP4">
        <f>[1]q!BP4</f>
        <v>2380.4</v>
      </c>
      <c r="BQ4">
        <f>[1]q!BQ4</f>
        <v>2390.3000000000002</v>
      </c>
      <c r="BR4">
        <f>[1]q!BR4</f>
        <v>2404.2000000000003</v>
      </c>
      <c r="BS4">
        <f>[1]q!BS4</f>
        <v>2437</v>
      </c>
      <c r="BT4">
        <f>[1]q!BT4</f>
        <v>2449.5</v>
      </c>
      <c r="BU4">
        <f>[1]q!BU4</f>
        <v>2464.6000000000004</v>
      </c>
      <c r="BV4">
        <f>[1]q!BV4</f>
        <v>2523.4</v>
      </c>
      <c r="BW4">
        <f>[1]q!BW4</f>
        <v>2562.1000000000004</v>
      </c>
      <c r="BX4">
        <f>[1]q!BX4</f>
        <v>2610.3000000000002</v>
      </c>
      <c r="BY4">
        <f>[1]q!BY4</f>
        <v>2622.3</v>
      </c>
      <c r="BZ4">
        <f>[1]q!BZ4</f>
        <v>2651.7000000000003</v>
      </c>
      <c r="CA4">
        <f>[1]q!CA4</f>
        <v>2668.6000000000004</v>
      </c>
      <c r="CB4">
        <f>[1]q!CB4</f>
        <v>2681.5</v>
      </c>
      <c r="CC4">
        <f>[1]q!CC4</f>
        <v>2702.9</v>
      </c>
      <c r="CD4">
        <f>[1]q!CD4</f>
        <v>2719.5</v>
      </c>
      <c r="CE4">
        <f>[1]q!CE4</f>
        <v>2731.9</v>
      </c>
      <c r="CF4">
        <f>[1]q!CF4</f>
        <v>2755.9</v>
      </c>
      <c r="CG4">
        <f>[1]q!CG4</f>
        <v>2748.4</v>
      </c>
      <c r="CH4">
        <f>[1]q!CH4</f>
        <v>2800.9</v>
      </c>
      <c r="CI4">
        <f>[1]q!CI4</f>
        <v>2826.6000000000004</v>
      </c>
      <c r="CJ4">
        <f>[1]q!CJ4</f>
        <v>2849.1000000000004</v>
      </c>
      <c r="CK4">
        <f>[1]q!CK4</f>
        <v>2896.5</v>
      </c>
      <c r="CL4">
        <f>[1]q!CL4</f>
        <v>2935.2000000000003</v>
      </c>
      <c r="CM4">
        <f>[1]q!CM4</f>
        <v>2991.2000000000003</v>
      </c>
      <c r="CN4">
        <f>[1]q!CN4</f>
        <v>3037.4</v>
      </c>
      <c r="CO4">
        <f>[1]q!CO4</f>
        <v>3108.6000000000004</v>
      </c>
      <c r="CP4">
        <f>[1]q!CP4</f>
        <v>3165.5</v>
      </c>
      <c r="CQ4">
        <f>[1]q!CQ4</f>
        <v>3163.9</v>
      </c>
      <c r="CR4">
        <f>[1]q!CR4</f>
        <v>3175.3</v>
      </c>
      <c r="CS4">
        <f>[1]q!CS4</f>
        <v>3166</v>
      </c>
      <c r="CT4">
        <f>[1]q!CT4</f>
        <v>3138.3</v>
      </c>
      <c r="CU4">
        <f>[1]q!CU4</f>
        <v>3149.2000000000003</v>
      </c>
      <c r="CV4">
        <f>[1]q!CV4</f>
        <v>3162.2000000000003</v>
      </c>
      <c r="CW4">
        <f>[1]q!CW4</f>
        <v>3115.8</v>
      </c>
      <c r="CX4">
        <f>[1]q!CX4</f>
        <v>3142</v>
      </c>
      <c r="CY4">
        <f>[1]q!CY4</f>
        <v>3194.4</v>
      </c>
      <c r="CZ4">
        <f>[1]q!CZ4</f>
        <v>3239.9</v>
      </c>
      <c r="DA4">
        <f>[1]q!DA4</f>
        <v>3274.2000000000003</v>
      </c>
      <c r="DB4">
        <f>[1]q!DB4</f>
        <v>3339.6000000000004</v>
      </c>
      <c r="DC4">
        <f>[1]q!DC4</f>
        <v>3370.3</v>
      </c>
      <c r="DD4">
        <f>[1]q!DD4</f>
        <v>3405.9</v>
      </c>
      <c r="DE4">
        <f>[1]q!DE4</f>
        <v>3450.3</v>
      </c>
      <c r="DF4">
        <f>[1]q!DF4</f>
        <v>3489.7000000000003</v>
      </c>
      <c r="DG4">
        <f>[1]q!DG4</f>
        <v>3509</v>
      </c>
      <c r="DH4">
        <f>[1]q!DH4</f>
        <v>3542.5</v>
      </c>
      <c r="DI4">
        <f>[1]q!DI4</f>
        <v>3595.9</v>
      </c>
      <c r="DJ4">
        <f>[1]q!DJ4</f>
        <v>3616.9</v>
      </c>
      <c r="DK4">
        <f>[1]q!DK4</f>
        <v>3694.2000000000003</v>
      </c>
      <c r="DL4">
        <f>[1]q!DL4</f>
        <v>3709.7000000000003</v>
      </c>
      <c r="DM4">
        <f>[1]q!DM4</f>
        <v>3739.6000000000004</v>
      </c>
      <c r="DN4">
        <f>[1]q!DN4</f>
        <v>3758.5</v>
      </c>
      <c r="DO4">
        <f>[1]q!DO4</f>
        <v>3756.3</v>
      </c>
      <c r="DP4">
        <f>[1]q!DP4</f>
        <v>3793.2000000000003</v>
      </c>
      <c r="DQ4">
        <f>[1]q!DQ4</f>
        <v>3803.3</v>
      </c>
      <c r="DR4">
        <f>[1]q!DR4</f>
        <v>3796.7000000000003</v>
      </c>
      <c r="DS4">
        <f>[1]q!DS4</f>
        <v>3710.5</v>
      </c>
      <c r="DT4">
        <f>[1]q!DT4</f>
        <v>3750.3</v>
      </c>
      <c r="DU4">
        <f>[1]q!DU4</f>
        <v>3800.3</v>
      </c>
      <c r="DV4">
        <f>[1]q!DV4</f>
        <v>3821.1000000000004</v>
      </c>
      <c r="DW4">
        <f>[1]q!DW4</f>
        <v>3821.1000000000004</v>
      </c>
      <c r="DX4">
        <f>[1]q!DX4</f>
        <v>3836.6000000000004</v>
      </c>
      <c r="DY4">
        <f>[1]q!DY4</f>
        <v>3807.6000000000004</v>
      </c>
      <c r="DZ4">
        <f>[1]q!DZ4</f>
        <v>3832.2000000000003</v>
      </c>
      <c r="EA4">
        <f>[1]q!EA4</f>
        <v>3845.9</v>
      </c>
      <c r="EB4">
        <f>[1]q!EB4</f>
        <v>3875.4</v>
      </c>
      <c r="EC4">
        <f>[1]q!EC4</f>
        <v>3946.1000000000004</v>
      </c>
      <c r="ED4">
        <f>[1]q!ED4</f>
        <v>3984.8</v>
      </c>
      <c r="EE4">
        <f>[1]q!EE4</f>
        <v>4063.9</v>
      </c>
      <c r="EF4">
        <f>[1]q!EF4</f>
        <v>4135.7</v>
      </c>
      <c r="EG4">
        <f>[1]q!EG4</f>
        <v>4201.3</v>
      </c>
      <c r="EH4">
        <f>[1]q!EH4</f>
        <v>4237.3</v>
      </c>
      <c r="EI4">
        <f>[1]q!EI4</f>
        <v>4297.9000000000005</v>
      </c>
      <c r="EJ4">
        <f>[1]q!EJ4</f>
        <v>4331.1000000000004</v>
      </c>
      <c r="EK4">
        <f>[1]q!EK4</f>
        <v>4388.1000000000004</v>
      </c>
      <c r="EL4">
        <f>[1]q!EL4</f>
        <v>4462.5</v>
      </c>
      <c r="EM4">
        <f>[1]q!EM4</f>
        <v>4503.2</v>
      </c>
      <c r="EN4">
        <f>[1]q!EN4</f>
        <v>4588.7</v>
      </c>
      <c r="EO4">
        <f>[1]q!EO4</f>
        <v>4598.8</v>
      </c>
      <c r="EP4">
        <f>[1]q!EP4</f>
        <v>4637.2</v>
      </c>
      <c r="EQ4">
        <f>[1]q!EQ4</f>
        <v>4686.6000000000004</v>
      </c>
      <c r="ER4">
        <f>[1]q!ER4</f>
        <v>4768.5</v>
      </c>
      <c r="ES4">
        <f>[1]q!ES4</f>
        <v>4797.2</v>
      </c>
      <c r="ET4">
        <f>[1]q!ET4</f>
        <v>4789.9000000000005</v>
      </c>
      <c r="EU4">
        <f>[1]q!EU4</f>
        <v>4854</v>
      </c>
      <c r="EV4">
        <f>[1]q!EV4</f>
        <v>4908.2</v>
      </c>
      <c r="EW4">
        <f>[1]q!EW4</f>
        <v>4920</v>
      </c>
      <c r="EX4">
        <f>[1]q!EX4</f>
        <v>5002.2000000000007</v>
      </c>
      <c r="EY4">
        <f>[1]q!EY4</f>
        <v>5038.5</v>
      </c>
      <c r="EZ4">
        <f>[1]q!EZ4</f>
        <v>5078.3</v>
      </c>
      <c r="FA4">
        <f>[1]q!FA4</f>
        <v>5138.1000000000004</v>
      </c>
      <c r="FB4">
        <f>[1]q!FB4</f>
        <v>5156.9000000000005</v>
      </c>
      <c r="FC4">
        <f>[1]q!FC4</f>
        <v>5180</v>
      </c>
      <c r="FD4">
        <f>[1]q!FD4</f>
        <v>5233.7000000000007</v>
      </c>
      <c r="FE4">
        <f>[1]q!FE4</f>
        <v>5259.3</v>
      </c>
      <c r="FF4">
        <f>[1]q!FF4</f>
        <v>5300.9000000000005</v>
      </c>
      <c r="FG4">
        <f>[1]q!FG4</f>
        <v>5318.4000000000005</v>
      </c>
      <c r="FH4">
        <f>[1]q!FH4</f>
        <v>5338.6</v>
      </c>
      <c r="FI4">
        <f>[1]q!FI4</f>
        <v>5297</v>
      </c>
      <c r="FJ4">
        <f>[1]q!FJ4</f>
        <v>5282</v>
      </c>
      <c r="FK4">
        <f>[1]q!FK4</f>
        <v>5322.2000000000007</v>
      </c>
      <c r="FL4">
        <f>[1]q!FL4</f>
        <v>5342.6</v>
      </c>
      <c r="FM4">
        <f>[1]q!FM4</f>
        <v>5340.2000000000007</v>
      </c>
      <c r="FN4">
        <f>[1]q!FN4</f>
        <v>5432</v>
      </c>
      <c r="FO4">
        <f>[1]q!FO4</f>
        <v>5464.2000000000007</v>
      </c>
      <c r="FP4">
        <f>[1]q!FP4</f>
        <v>5524.6</v>
      </c>
      <c r="FQ4">
        <f>[1]q!FQ4</f>
        <v>5592</v>
      </c>
      <c r="FR4">
        <f>[1]q!FR4</f>
        <v>5614.7000000000007</v>
      </c>
      <c r="FS4">
        <f>[1]q!FS4</f>
        <v>5668.6</v>
      </c>
      <c r="FT4">
        <f>[1]q!FT4</f>
        <v>5730.1</v>
      </c>
      <c r="FU4">
        <f>[1]q!FU4</f>
        <v>5781.1</v>
      </c>
      <c r="FV4">
        <f>[1]q!FV4</f>
        <v>5845.5</v>
      </c>
      <c r="FW4">
        <f>[1]q!FW4</f>
        <v>5888.8</v>
      </c>
      <c r="FX4">
        <f>[1]q!FX4</f>
        <v>5936</v>
      </c>
      <c r="FY4">
        <f>[1]q!FY4</f>
        <v>5994.6</v>
      </c>
      <c r="FZ4">
        <f>[1]q!FZ4</f>
        <v>6001.6</v>
      </c>
      <c r="GA4">
        <f>[1]q!GA4</f>
        <v>6050.8</v>
      </c>
      <c r="GB4">
        <f>[1]q!GB4</f>
        <v>6104.9000000000005</v>
      </c>
      <c r="GC4">
        <f>[1]q!GC4</f>
        <v>6147.8</v>
      </c>
      <c r="GD4">
        <f>[1]q!GD4</f>
        <v>6204</v>
      </c>
      <c r="GE4">
        <f>[1]q!GE4</f>
        <v>6274.2000000000007</v>
      </c>
      <c r="GF4">
        <f>[1]q!GF4</f>
        <v>6311.8</v>
      </c>
      <c r="GG4">
        <f>[1]q!GG4</f>
        <v>6363.2000000000007</v>
      </c>
      <c r="GH4">
        <f>[1]q!GH4</f>
        <v>6427.3</v>
      </c>
      <c r="GI4">
        <f>[1]q!GI4</f>
        <v>6453.3</v>
      </c>
      <c r="GJ4">
        <f>[1]q!GJ4</f>
        <v>6563</v>
      </c>
      <c r="GK4">
        <f>[1]q!GK4</f>
        <v>6638.1</v>
      </c>
      <c r="GL4">
        <f>[1]q!GL4</f>
        <v>6704.1</v>
      </c>
      <c r="GM4">
        <f>[1]q!GM4</f>
        <v>6819.5</v>
      </c>
      <c r="GN4">
        <f>[1]q!GN4</f>
        <v>6909.9000000000005</v>
      </c>
      <c r="GO4">
        <f>[1]q!GO4</f>
        <v>7015.9000000000005</v>
      </c>
      <c r="GP4">
        <f>[1]q!GP4</f>
        <v>7085.1</v>
      </c>
      <c r="GQ4">
        <f>[1]q!GQ4</f>
        <v>7196.6</v>
      </c>
      <c r="GR4">
        <f>[1]q!GR4</f>
        <v>7283.1</v>
      </c>
      <c r="GS4">
        <f>[1]q!GS4</f>
        <v>7385.8</v>
      </c>
      <c r="GT4">
        <f>[1]q!GT4</f>
        <v>7497.8</v>
      </c>
      <c r="GU4">
        <f>[1]q!GU4</f>
        <v>7568.3</v>
      </c>
      <c r="GV4">
        <f>[1]q!GV4</f>
        <v>7642.4000000000005</v>
      </c>
      <c r="GW4">
        <f>[1]q!GW4</f>
        <v>7710</v>
      </c>
      <c r="GX4">
        <f>[1]q!GX4</f>
        <v>7740.8</v>
      </c>
      <c r="GY4">
        <f>[1]q!GY4</f>
        <v>7770</v>
      </c>
      <c r="GZ4">
        <f>[1]q!GZ4</f>
        <v>7804.2000000000007</v>
      </c>
      <c r="HA4">
        <f>[1]q!HA4</f>
        <v>7926.4000000000005</v>
      </c>
      <c r="HB4">
        <f>[1]q!HB4</f>
        <v>7953.7000000000007</v>
      </c>
      <c r="HC4">
        <f>[1]q!HC4</f>
        <v>7994.1</v>
      </c>
      <c r="HD4">
        <f>[1]q!HD4</f>
        <v>8048.3</v>
      </c>
      <c r="HE4">
        <f>[1]q!HE4</f>
        <v>8076.9000000000005</v>
      </c>
      <c r="HF4">
        <f>[1]q!HF4</f>
        <v>8117.7000000000007</v>
      </c>
      <c r="HG4">
        <f>[1]q!HG4</f>
        <v>8198.1</v>
      </c>
      <c r="HH4">
        <f>[1]q!HH4</f>
        <v>8308.5</v>
      </c>
      <c r="HI4">
        <f>[1]q!HI4</f>
        <v>8353.7000000000007</v>
      </c>
      <c r="HJ4">
        <f>[1]q!HJ4</f>
        <v>8427.6</v>
      </c>
      <c r="HK4">
        <f>[1]q!HK4</f>
        <v>8465.1</v>
      </c>
      <c r="HL4">
        <f>[1]q!HL4</f>
        <v>8539.1</v>
      </c>
      <c r="HM4">
        <f>[1]q!HM4</f>
        <v>8631.3000000000011</v>
      </c>
      <c r="HN4">
        <f>[1]q!HN4</f>
        <v>8700.1</v>
      </c>
      <c r="HO4">
        <f>[1]q!HO4</f>
        <v>8786.2000000000007</v>
      </c>
      <c r="HP4">
        <f>[1]q!HP4</f>
        <v>8852.9</v>
      </c>
      <c r="HQ4">
        <f>[1]q!HQ4</f>
        <v>8874.9</v>
      </c>
      <c r="HR4">
        <f>[1]q!HR4</f>
        <v>8965.8000000000011</v>
      </c>
      <c r="HS4">
        <f>[1]q!HS4</f>
        <v>9019.8000000000011</v>
      </c>
      <c r="HT4">
        <f>[1]q!HT4</f>
        <v>9073.9</v>
      </c>
      <c r="HU4">
        <f>[1]q!HU4</f>
        <v>9158.3000000000011</v>
      </c>
      <c r="HV4">
        <f>[1]q!HV4</f>
        <v>9209.2000000000007</v>
      </c>
      <c r="HW4">
        <f>[1]q!HW4</f>
        <v>9244.5</v>
      </c>
      <c r="HX4">
        <f>[1]q!HX4</f>
        <v>9285.2000000000007</v>
      </c>
      <c r="HY4">
        <f>[1]q!HY4</f>
        <v>9312.6</v>
      </c>
      <c r="HZ4">
        <f>[1]q!HZ4</f>
        <v>9289.1</v>
      </c>
      <c r="IA4">
        <f>[1]q!IA4</f>
        <v>9285.8000000000011</v>
      </c>
      <c r="IB4">
        <f>[1]q!IB4</f>
        <v>9196</v>
      </c>
      <c r="IC4">
        <f>[1]q!IC4</f>
        <v>9076</v>
      </c>
      <c r="ID4">
        <f>[1]q!ID4</f>
        <v>9040.9</v>
      </c>
      <c r="IE4">
        <f>[1]q!IE4</f>
        <v>8998.5</v>
      </c>
      <c r="IF4">
        <f>[1]q!IF4</f>
        <v>9050.3000000000011</v>
      </c>
      <c r="IG4">
        <f>[1]q!IG4</f>
        <v>9060.2000000000007</v>
      </c>
      <c r="IH4">
        <f>[1]q!IH4</f>
        <v>9121.2000000000007</v>
      </c>
      <c r="II4">
        <f>[1]q!II4</f>
        <v>9186.9</v>
      </c>
      <c r="IJ4">
        <f>[1]q!IJ4</f>
        <v>9247.1</v>
      </c>
      <c r="IK4">
        <f>[1]q!IK4</f>
        <v>9328.4</v>
      </c>
      <c r="IL4">
        <f>[1]q!IL4</f>
        <v>9376.7000000000007</v>
      </c>
      <c r="IM4">
        <f>[1]q!IM4</f>
        <v>9392.7000000000007</v>
      </c>
      <c r="IN4">
        <f>[1]q!IN4</f>
        <v>9449.5</v>
      </c>
    </row>
    <row r="5" spans="1:261" x14ac:dyDescent="0.25">
      <c r="A5" s="1" t="s">
        <v>80</v>
      </c>
      <c r="FZ5">
        <f>[1]q!FZ5</f>
        <v>497.3</v>
      </c>
      <c r="GA5">
        <f>[1]q!GA5</f>
        <v>502.40000000000003</v>
      </c>
      <c r="GB5">
        <f>[1]q!GB5</f>
        <v>516.6</v>
      </c>
      <c r="GC5">
        <f>[1]q!GC5</f>
        <v>525.5</v>
      </c>
      <c r="GD5">
        <f>[1]q!GD5</f>
        <v>531.20000000000005</v>
      </c>
      <c r="GE5">
        <f>[1]q!GE5</f>
        <v>548.1</v>
      </c>
      <c r="GF5">
        <f>[1]q!GF5</f>
        <v>552</v>
      </c>
      <c r="GG5">
        <f>[1]q!GG5</f>
        <v>562.80000000000007</v>
      </c>
      <c r="GH5">
        <f>[1]q!GH5</f>
        <v>578.1</v>
      </c>
      <c r="GI5">
        <f>[1]q!GI5</f>
        <v>576.20000000000005</v>
      </c>
      <c r="GJ5">
        <f>[1]q!GJ5</f>
        <v>601.9</v>
      </c>
      <c r="GK5">
        <f>[1]q!GK5</f>
        <v>617.20000000000005</v>
      </c>
      <c r="GL5">
        <f>[1]q!GL5</f>
        <v>622.40000000000009</v>
      </c>
      <c r="GM5">
        <f>[1]q!GM5</f>
        <v>654.1</v>
      </c>
      <c r="GN5">
        <f>[1]q!GN5</f>
        <v>673</v>
      </c>
      <c r="GO5">
        <f>[1]q!GO5</f>
        <v>713</v>
      </c>
      <c r="GP5">
        <f>[1]q!GP5</f>
        <v>714.7</v>
      </c>
      <c r="GQ5">
        <f>[1]q!GQ5</f>
        <v>749.1</v>
      </c>
      <c r="GR5">
        <f>[1]q!GR5</f>
        <v>767.40000000000009</v>
      </c>
      <c r="GS5">
        <f>[1]q!GS5</f>
        <v>776.90000000000009</v>
      </c>
      <c r="GT5">
        <f>[1]q!GT5</f>
        <v>820.6</v>
      </c>
      <c r="GU5">
        <f>[1]q!GU5</f>
        <v>805.80000000000007</v>
      </c>
      <c r="GV5">
        <f>[1]q!GV5</f>
        <v>819.80000000000007</v>
      </c>
      <c r="GW5">
        <f>[1]q!GW5</f>
        <v>825.80000000000007</v>
      </c>
      <c r="GX5">
        <f>[1]q!GX5</f>
        <v>839.80000000000007</v>
      </c>
      <c r="GY5">
        <f>[1]q!GY5</f>
        <v>839.40000000000009</v>
      </c>
      <c r="GZ5">
        <f>[1]q!GZ5</f>
        <v>849.5</v>
      </c>
      <c r="HA5">
        <f>[1]q!HA5</f>
        <v>920.90000000000009</v>
      </c>
      <c r="HB5">
        <f>[1]q!HB5</f>
        <v>910.40000000000009</v>
      </c>
      <c r="HC5">
        <f>[1]q!HC5</f>
        <v>919.90000000000009</v>
      </c>
      <c r="HD5">
        <f>[1]q!HD5</f>
        <v>946.90000000000009</v>
      </c>
      <c r="HE5">
        <f>[1]q!HE5</f>
        <v>934.40000000000009</v>
      </c>
      <c r="HF5">
        <f>[1]q!HF5</f>
        <v>937.2</v>
      </c>
      <c r="HG5">
        <f>[1]q!HG5</f>
        <v>975.90000000000009</v>
      </c>
      <c r="HH5">
        <f>[1]q!HH5</f>
        <v>1016.9000000000001</v>
      </c>
      <c r="HI5">
        <f>[1]q!HI5</f>
        <v>1026.5</v>
      </c>
      <c r="HJ5">
        <f>[1]q!HJ5</f>
        <v>1040.9000000000001</v>
      </c>
      <c r="HK5">
        <f>[1]q!HK5</f>
        <v>1047.5</v>
      </c>
      <c r="HL5">
        <f>[1]q!HL5</f>
        <v>1068.2</v>
      </c>
      <c r="HM5">
        <f>[1]q!HM5</f>
        <v>1087.2</v>
      </c>
      <c r="HN5">
        <f>[1]q!HN5</f>
        <v>1098.7</v>
      </c>
      <c r="HO5">
        <f>[1]q!HO5</f>
        <v>1130.6000000000001</v>
      </c>
      <c r="HP5">
        <f>[1]q!HP5</f>
        <v>1146.6000000000001</v>
      </c>
      <c r="HQ5">
        <f>[1]q!HQ5</f>
        <v>1117.5</v>
      </c>
      <c r="HR5">
        <f>[1]q!HR5</f>
        <v>1160.9000000000001</v>
      </c>
      <c r="HS5">
        <f>[1]q!HS5</f>
        <v>1161.8</v>
      </c>
      <c r="HT5">
        <f>[1]q!HT5</f>
        <v>1179</v>
      </c>
      <c r="HU5">
        <f>[1]q!HU5</f>
        <v>1195.2</v>
      </c>
      <c r="HV5">
        <f>[1]q!HV5</f>
        <v>1210.1000000000001</v>
      </c>
      <c r="HW5">
        <f>[1]q!HW5</f>
        <v>1227</v>
      </c>
      <c r="HX5">
        <f>[1]q!HX5</f>
        <v>1242.7</v>
      </c>
      <c r="HY5">
        <f>[1]q!HY5</f>
        <v>1249.9000000000001</v>
      </c>
      <c r="HZ5">
        <f>[1]q!HZ5</f>
        <v>1218.7</v>
      </c>
      <c r="IA5">
        <f>[1]q!IA5</f>
        <v>1209.8</v>
      </c>
      <c r="IB5">
        <f>[1]q!IB5</f>
        <v>1170.8</v>
      </c>
      <c r="IC5">
        <f>[1]q!IC5</f>
        <v>1088</v>
      </c>
      <c r="ID5">
        <f>[1]q!ID5</f>
        <v>1094.6000000000001</v>
      </c>
      <c r="IE5">
        <f>[1]q!IE5</f>
        <v>1083.4000000000001</v>
      </c>
      <c r="IF5">
        <f>[1]q!IF5</f>
        <v>1134.5</v>
      </c>
      <c r="IG5">
        <f>[1]q!IG5</f>
        <v>1120.8</v>
      </c>
      <c r="IH5">
        <f>[1]q!IH5</f>
        <v>1147.5</v>
      </c>
      <c r="II5">
        <f>[1]q!II5</f>
        <v>1169.3</v>
      </c>
      <c r="IJ5">
        <f>[1]q!IJ5</f>
        <v>1194.1000000000001</v>
      </c>
      <c r="IK5">
        <f>[1]q!IK5</f>
        <v>1242.4000000000001</v>
      </c>
      <c r="IL5">
        <f>[1]q!IL5</f>
        <v>1277.4000000000001</v>
      </c>
      <c r="IM5">
        <f>[1]q!IM5</f>
        <v>1260.2</v>
      </c>
      <c r="IN5">
        <f>[1]q!IN5</f>
        <v>1273</v>
      </c>
    </row>
    <row r="6" spans="1:261" x14ac:dyDescent="0.25">
      <c r="A6" s="1" t="s">
        <v>79</v>
      </c>
      <c r="FZ6">
        <f>[1]q!FZ9</f>
        <v>1428</v>
      </c>
      <c r="GA6">
        <f>[1]q!GA9</f>
        <v>1435</v>
      </c>
      <c r="GB6">
        <f>[1]q!GB9</f>
        <v>1440.1000000000001</v>
      </c>
      <c r="GC6">
        <f>[1]q!GC9</f>
        <v>1447.5</v>
      </c>
      <c r="GD6">
        <f>[1]q!GD9</f>
        <v>1456.9</v>
      </c>
      <c r="GE6">
        <f>[1]q!GE9</f>
        <v>1475.6000000000001</v>
      </c>
      <c r="GF6">
        <f>[1]q!GF9</f>
        <v>1486.1000000000001</v>
      </c>
      <c r="GG6">
        <f>[1]q!GG9</f>
        <v>1498.2</v>
      </c>
      <c r="GH6">
        <f>[1]q!GH9</f>
        <v>1507.3000000000002</v>
      </c>
      <c r="GI6">
        <f>[1]q!GI9</f>
        <v>1508.1000000000001</v>
      </c>
      <c r="GJ6">
        <f>[1]q!GJ9</f>
        <v>1532.4</v>
      </c>
      <c r="GK6">
        <f>[1]q!GK9</f>
        <v>1543.1000000000001</v>
      </c>
      <c r="GL6">
        <f>[1]q!GL9</f>
        <v>1554.6000000000001</v>
      </c>
      <c r="GM6">
        <f>[1]q!GM9</f>
        <v>1573.8000000000002</v>
      </c>
      <c r="GN6">
        <f>[1]q!GN9</f>
        <v>1585.4</v>
      </c>
      <c r="GO6">
        <f>[1]q!GO9</f>
        <v>1607</v>
      </c>
      <c r="GP6">
        <f>[1]q!GP9</f>
        <v>1636.7</v>
      </c>
      <c r="GQ6">
        <f>[1]q!GQ9</f>
        <v>1652.1000000000001</v>
      </c>
      <c r="GR6">
        <f>[1]q!GR9</f>
        <v>1660</v>
      </c>
      <c r="GS6">
        <f>[1]q!GS9</f>
        <v>1694</v>
      </c>
      <c r="GT6">
        <f>[1]q!GT9</f>
        <v>1679.3000000000002</v>
      </c>
      <c r="GU6">
        <f>[1]q!GU9</f>
        <v>1712.9</v>
      </c>
      <c r="GV6">
        <f>[1]q!GV9</f>
        <v>1724.5</v>
      </c>
      <c r="GW6">
        <f>[1]q!GW9</f>
        <v>1741.4</v>
      </c>
      <c r="GX6">
        <f>[1]q!GX9</f>
        <v>1731.2</v>
      </c>
      <c r="GY6">
        <f>[1]q!GY9</f>
        <v>1739.5</v>
      </c>
      <c r="GZ6">
        <f>[1]q!GZ9</f>
        <v>1747.9</v>
      </c>
      <c r="HA6">
        <f>[1]q!HA9</f>
        <v>1763</v>
      </c>
      <c r="HB6">
        <f>[1]q!HB9</f>
        <v>1770.2</v>
      </c>
      <c r="HC6">
        <f>[1]q!HC9</f>
        <v>1772.5</v>
      </c>
      <c r="HD6">
        <f>[1]q!HD9</f>
        <v>1777.5</v>
      </c>
      <c r="HE6">
        <f>[1]q!HE9</f>
        <v>1800</v>
      </c>
      <c r="HF6">
        <f>[1]q!HF9</f>
        <v>1816</v>
      </c>
      <c r="HG6">
        <f>[1]q!HG9</f>
        <v>1825.2</v>
      </c>
      <c r="HH6">
        <f>[1]q!HH9</f>
        <v>1856.9</v>
      </c>
      <c r="HI6">
        <f>[1]q!HI9</f>
        <v>1864.8000000000002</v>
      </c>
      <c r="HJ6">
        <f>[1]q!HJ9</f>
        <v>1880.4</v>
      </c>
      <c r="HK6">
        <f>[1]q!HK9</f>
        <v>1880.3000000000002</v>
      </c>
      <c r="HL6">
        <f>[1]q!HL9</f>
        <v>1895.1000000000001</v>
      </c>
      <c r="HM6">
        <f>[1]q!HM9</f>
        <v>1915.4</v>
      </c>
      <c r="HN6">
        <f>[1]q!HN9</f>
        <v>1937</v>
      </c>
      <c r="HO6">
        <f>[1]q!HO9</f>
        <v>1946.7</v>
      </c>
      <c r="HP6">
        <f>[1]q!HP9</f>
        <v>1954.4</v>
      </c>
      <c r="HQ6">
        <f>[1]q!HQ9</f>
        <v>1975.4</v>
      </c>
      <c r="HR6">
        <f>[1]q!HR9</f>
        <v>1986.1000000000001</v>
      </c>
      <c r="HS6">
        <f>[1]q!HS9</f>
        <v>1996.1000000000001</v>
      </c>
      <c r="HT6">
        <f>[1]q!HT9</f>
        <v>2005.9</v>
      </c>
      <c r="HU6">
        <f>[1]q!HU9</f>
        <v>2031.9</v>
      </c>
      <c r="HV6">
        <f>[1]q!HV9</f>
        <v>2038.2</v>
      </c>
      <c r="HW6">
        <f>[1]q!HW9</f>
        <v>2037.5</v>
      </c>
      <c r="HX6">
        <f>[1]q!HX9</f>
        <v>2046.9</v>
      </c>
      <c r="HY6">
        <f>[1]q!HY9</f>
        <v>2049</v>
      </c>
      <c r="HZ6">
        <f>[1]q!HZ9</f>
        <v>2032.1000000000001</v>
      </c>
      <c r="IA6">
        <f>[1]q!IA9</f>
        <v>2043.5</v>
      </c>
      <c r="IB6">
        <f>[1]q!IB9</f>
        <v>2015.4</v>
      </c>
      <c r="IC6">
        <f>[1]q!IC9</f>
        <v>1985.3000000000002</v>
      </c>
      <c r="ID6">
        <f>[1]q!ID9</f>
        <v>1980.3000000000002</v>
      </c>
      <c r="IE6">
        <f>[1]q!IE9</f>
        <v>1972.8000000000002</v>
      </c>
      <c r="IF6">
        <f>[1]q!IF9</f>
        <v>1982.7</v>
      </c>
      <c r="IG6">
        <f>[1]q!IG9</f>
        <v>1997.7</v>
      </c>
      <c r="IH6">
        <f>[1]q!IH9</f>
        <v>2021.1000000000001</v>
      </c>
      <c r="II6">
        <f>[1]q!II9</f>
        <v>2030.8000000000002</v>
      </c>
      <c r="IJ6">
        <f>[1]q!IJ9</f>
        <v>2045.8000000000002</v>
      </c>
      <c r="IK6">
        <f>[1]q!IK9</f>
        <v>2067.4</v>
      </c>
      <c r="IL6">
        <f>[1]q!IL9</f>
        <v>2075.4</v>
      </c>
      <c r="IM6">
        <f>[1]q!IM9</f>
        <v>2076.6</v>
      </c>
      <c r="IN6">
        <f>[1]q!IN9</f>
        <v>2077.7000000000003</v>
      </c>
    </row>
    <row r="7" spans="1:261" x14ac:dyDescent="0.25">
      <c r="A7" s="1" t="s">
        <v>78</v>
      </c>
      <c r="B7">
        <f>[1]q!B21</f>
        <v>214.9</v>
      </c>
      <c r="C7">
        <f>[1]q!C21</f>
        <v>238.9</v>
      </c>
      <c r="D7">
        <f>[1]q!D21</f>
        <v>260.40000000000003</v>
      </c>
      <c r="E7">
        <f>[1]q!E21</f>
        <v>295</v>
      </c>
      <c r="F7">
        <f>[1]q!F21</f>
        <v>263.90000000000003</v>
      </c>
      <c r="G7">
        <f>[1]q!G21</f>
        <v>270.40000000000003</v>
      </c>
      <c r="H7">
        <f>[1]q!H21</f>
        <v>249.5</v>
      </c>
      <c r="I7">
        <f>[1]q!I21</f>
        <v>228.3</v>
      </c>
      <c r="J7">
        <f>[1]q!J21</f>
        <v>233.60000000000002</v>
      </c>
      <c r="K7">
        <f>[1]q!K21</f>
        <v>214.20000000000002</v>
      </c>
      <c r="L7">
        <f>[1]q!L21</f>
        <v>225.60000000000002</v>
      </c>
      <c r="M7">
        <f>[1]q!M21</f>
        <v>241.8</v>
      </c>
      <c r="N7">
        <f>[1]q!N21</f>
        <v>246.60000000000002</v>
      </c>
      <c r="O7">
        <f>[1]q!O21</f>
        <v>247.5</v>
      </c>
      <c r="P7">
        <f>[1]q!P21</f>
        <v>241.70000000000002</v>
      </c>
      <c r="Q7">
        <f>[1]q!Q21</f>
        <v>222.60000000000002</v>
      </c>
      <c r="R7">
        <f>[1]q!R21</f>
        <v>220.70000000000002</v>
      </c>
      <c r="S7">
        <f>[1]q!S21</f>
        <v>220</v>
      </c>
      <c r="T7">
        <f>[1]q!T21</f>
        <v>231.20000000000002</v>
      </c>
      <c r="U7">
        <f>[1]q!U21</f>
        <v>241.9</v>
      </c>
      <c r="V7">
        <f>[1]q!V21</f>
        <v>267.7</v>
      </c>
      <c r="W7">
        <f>[1]q!W21</f>
        <v>284.60000000000002</v>
      </c>
      <c r="X7">
        <f>[1]q!X21</f>
        <v>288.7</v>
      </c>
      <c r="Y7">
        <f>[1]q!Y21</f>
        <v>294.90000000000003</v>
      </c>
      <c r="Z7">
        <f>[1]q!Z21</f>
        <v>285</v>
      </c>
      <c r="AA7">
        <f>[1]q!AA21</f>
        <v>281.8</v>
      </c>
      <c r="AB7">
        <f>[1]q!AB21</f>
        <v>278.5</v>
      </c>
      <c r="AC7">
        <f>[1]q!AC21</f>
        <v>275.2</v>
      </c>
      <c r="AD7">
        <f>[1]q!AD21</f>
        <v>270.7</v>
      </c>
      <c r="AE7">
        <f>[1]q!AE21</f>
        <v>270.40000000000003</v>
      </c>
      <c r="AF7">
        <f>[1]q!AF21</f>
        <v>276.8</v>
      </c>
      <c r="AG7">
        <f>[1]q!AG21</f>
        <v>253.70000000000002</v>
      </c>
      <c r="AH7">
        <f>[1]q!AH21</f>
        <v>234.8</v>
      </c>
      <c r="AI7">
        <f>[1]q!AI21</f>
        <v>229.3</v>
      </c>
      <c r="AJ7">
        <f>[1]q!AJ21</f>
        <v>248.20000000000002</v>
      </c>
      <c r="AK7">
        <f>[1]q!AK21</f>
        <v>270.60000000000002</v>
      </c>
      <c r="AL7">
        <f>[1]q!AL21</f>
        <v>285.90000000000003</v>
      </c>
      <c r="AM7">
        <f>[1]q!AM21</f>
        <v>309.70000000000005</v>
      </c>
      <c r="AN7">
        <f>[1]q!AN21</f>
        <v>288.2</v>
      </c>
      <c r="AO7">
        <f>[1]q!AO21</f>
        <v>298.3</v>
      </c>
      <c r="AP7">
        <f>[1]q!AP21</f>
        <v>330.5</v>
      </c>
      <c r="AQ7">
        <f>[1]q!AQ21</f>
        <v>297.10000000000002</v>
      </c>
      <c r="AR7">
        <f>[1]q!AR21</f>
        <v>295.3</v>
      </c>
      <c r="AS7">
        <f>[1]q!AS21</f>
        <v>258.8</v>
      </c>
      <c r="AT7">
        <f>[1]q!AT21</f>
        <v>265.40000000000003</v>
      </c>
      <c r="AU7">
        <f>[1]q!AU21</f>
        <v>285.2</v>
      </c>
      <c r="AV7">
        <f>[1]q!AV21</f>
        <v>309.10000000000002</v>
      </c>
      <c r="AW7">
        <f>[1]q!AW21</f>
        <v>314.3</v>
      </c>
      <c r="AX7">
        <f>[1]q!AX21</f>
        <v>333.1</v>
      </c>
      <c r="AY7">
        <f>[1]q!AY21</f>
        <v>329.8</v>
      </c>
      <c r="AZ7">
        <f>[1]q!AZ21</f>
        <v>335.70000000000005</v>
      </c>
      <c r="BA7">
        <f>[1]q!BA21</f>
        <v>324.5</v>
      </c>
      <c r="BB7">
        <f>[1]q!BB21</f>
        <v>342.5</v>
      </c>
      <c r="BC7">
        <f>[1]q!BC21</f>
        <v>347.5</v>
      </c>
      <c r="BD7">
        <f>[1]q!BD21</f>
        <v>358.8</v>
      </c>
      <c r="BE7">
        <f>[1]q!BE21</f>
        <v>363.20000000000005</v>
      </c>
      <c r="BF7">
        <f>[1]q!BF21</f>
        <v>378.1</v>
      </c>
      <c r="BG7">
        <f>[1]q!BG21</f>
        <v>376.40000000000003</v>
      </c>
      <c r="BH7">
        <f>[1]q!BH21</f>
        <v>385.3</v>
      </c>
      <c r="BI7">
        <f>[1]q!BI21</f>
        <v>388.5</v>
      </c>
      <c r="BJ7">
        <f>[1]q!BJ21</f>
        <v>427.6</v>
      </c>
      <c r="BK7">
        <f>[1]q!BK21</f>
        <v>427.6</v>
      </c>
      <c r="BL7">
        <f>[1]q!BL21</f>
        <v>442.8</v>
      </c>
      <c r="BM7">
        <f>[1]q!BM21</f>
        <v>444.90000000000003</v>
      </c>
      <c r="BN7">
        <f>[1]q!BN21</f>
        <v>482.5</v>
      </c>
      <c r="BO7">
        <f>[1]q!BO21</f>
        <v>473.70000000000005</v>
      </c>
      <c r="BP7">
        <f>[1]q!BP21</f>
        <v>469</v>
      </c>
      <c r="BQ7">
        <f>[1]q!BQ21</f>
        <v>471.20000000000005</v>
      </c>
      <c r="BR7">
        <f>[1]q!BR21</f>
        <v>458.3</v>
      </c>
      <c r="BS7">
        <f>[1]q!BS21</f>
        <v>438.8</v>
      </c>
      <c r="BT7">
        <f>[1]q!BT21</f>
        <v>451.40000000000003</v>
      </c>
      <c r="BU7">
        <f>[1]q!BU21</f>
        <v>461.1</v>
      </c>
      <c r="BV7">
        <f>[1]q!BV21</f>
        <v>471.20000000000005</v>
      </c>
      <c r="BW7">
        <f>[1]q!BW21</f>
        <v>490.20000000000005</v>
      </c>
      <c r="BX7">
        <f>[1]q!BX21</f>
        <v>474.3</v>
      </c>
      <c r="BY7">
        <f>[1]q!BY21</f>
        <v>479.20000000000005</v>
      </c>
      <c r="BZ7">
        <f>[1]q!BZ21</f>
        <v>510.8</v>
      </c>
      <c r="CA7">
        <f>[1]q!CA21</f>
        <v>506.70000000000005</v>
      </c>
      <c r="CB7">
        <f>[1]q!CB21</f>
        <v>518.5</v>
      </c>
      <c r="CC7">
        <f>[1]q!CC21</f>
        <v>490.5</v>
      </c>
      <c r="CD7">
        <f>[1]q!CD21</f>
        <v>475.20000000000005</v>
      </c>
      <c r="CE7">
        <f>[1]q!CE21</f>
        <v>476.70000000000005</v>
      </c>
      <c r="CF7">
        <f>[1]q!CF21</f>
        <v>484.8</v>
      </c>
      <c r="CG7">
        <f>[1]q!CG21</f>
        <v>456.70000000000005</v>
      </c>
      <c r="CH7">
        <f>[1]q!CH21</f>
        <v>516</v>
      </c>
      <c r="CI7">
        <f>[1]q!CI21</f>
        <v>532</v>
      </c>
      <c r="CJ7">
        <f>[1]q!CJ21</f>
        <v>539</v>
      </c>
      <c r="CK7">
        <f>[1]q!CK21</f>
        <v>522.20000000000005</v>
      </c>
      <c r="CL7">
        <f>[1]q!CL21</f>
        <v>559.1</v>
      </c>
      <c r="CM7">
        <f>[1]q!CM21</f>
        <v>593.30000000000007</v>
      </c>
      <c r="CN7">
        <f>[1]q!CN21</f>
        <v>601.80000000000007</v>
      </c>
      <c r="CO7">
        <f>[1]q!CO21</f>
        <v>604.9</v>
      </c>
      <c r="CP7">
        <f>[1]q!CP21</f>
        <v>643.30000000000007</v>
      </c>
      <c r="CQ7">
        <f>[1]q!CQ21</f>
        <v>673.40000000000009</v>
      </c>
      <c r="CR7">
        <f>[1]q!CR21</f>
        <v>647</v>
      </c>
      <c r="CS7">
        <f>[1]q!CS21</f>
        <v>671.80000000000007</v>
      </c>
      <c r="CT7">
        <f>[1]q!CT21</f>
        <v>628.90000000000009</v>
      </c>
      <c r="CU7">
        <f>[1]q!CU21</f>
        <v>625.80000000000007</v>
      </c>
      <c r="CV7">
        <f>[1]q!CV21</f>
        <v>590.5</v>
      </c>
      <c r="CW7">
        <f>[1]q!CW21</f>
        <v>596.1</v>
      </c>
      <c r="CX7">
        <f>[1]q!CX21</f>
        <v>491.40000000000003</v>
      </c>
      <c r="CY7">
        <f>[1]q!CY21</f>
        <v>474.40000000000003</v>
      </c>
      <c r="CZ7">
        <f>[1]q!CZ21</f>
        <v>514.5</v>
      </c>
      <c r="DA7">
        <f>[1]q!DA21</f>
        <v>528.70000000000005</v>
      </c>
      <c r="DB7">
        <f>[1]q!DB21</f>
        <v>583.4</v>
      </c>
      <c r="DC7">
        <f>[1]q!DC21</f>
        <v>608.30000000000007</v>
      </c>
      <c r="DD7">
        <f>[1]q!DD21</f>
        <v>609.4</v>
      </c>
      <c r="DE7">
        <f>[1]q!DE21</f>
        <v>613.70000000000005</v>
      </c>
      <c r="DF7">
        <f>[1]q!DF21</f>
        <v>643.80000000000007</v>
      </c>
      <c r="DG7">
        <f>[1]q!DG21</f>
        <v>693.6</v>
      </c>
      <c r="DH7">
        <f>[1]q!DH21</f>
        <v>731.40000000000009</v>
      </c>
      <c r="DI7">
        <f>[1]q!DI21</f>
        <v>710.80000000000007</v>
      </c>
      <c r="DJ7">
        <f>[1]q!DJ21</f>
        <v>724.90000000000009</v>
      </c>
      <c r="DK7">
        <f>[1]q!DK21</f>
        <v>774.6</v>
      </c>
      <c r="DL7">
        <f>[1]q!DL21</f>
        <v>798.5</v>
      </c>
      <c r="DM7">
        <f>[1]q!DM21</f>
        <v>816.7</v>
      </c>
      <c r="DN7">
        <f>[1]q!DN21</f>
        <v>816.6</v>
      </c>
      <c r="DO7">
        <f>[1]q!DO21</f>
        <v>814.7</v>
      </c>
      <c r="DP7">
        <f>[1]q!DP21</f>
        <v>798.80000000000007</v>
      </c>
      <c r="DQ7">
        <f>[1]q!DQ21</f>
        <v>783.90000000000009</v>
      </c>
      <c r="DR7">
        <f>[1]q!DR21</f>
        <v>778.30000000000007</v>
      </c>
      <c r="DS7">
        <f>[1]q!DS21</f>
        <v>708.1</v>
      </c>
      <c r="DT7">
        <f>[1]q!DT21</f>
        <v>654.1</v>
      </c>
      <c r="DU7">
        <f>[1]q!DU21</f>
        <v>720.6</v>
      </c>
      <c r="DV7">
        <f>[1]q!DV21</f>
        <v>792.2</v>
      </c>
      <c r="DW7">
        <f>[1]q!DW21</f>
        <v>754.5</v>
      </c>
      <c r="DX7">
        <f>[1]q!DX21</f>
        <v>801.30000000000007</v>
      </c>
      <c r="DY7">
        <f>[1]q!DY21</f>
        <v>770.2</v>
      </c>
      <c r="DZ7">
        <f>[1]q!DZ21</f>
        <v>690</v>
      </c>
      <c r="EA7">
        <f>[1]q!EA21</f>
        <v>689.40000000000009</v>
      </c>
      <c r="EB7">
        <f>[1]q!EB21</f>
        <v>681.30000000000007</v>
      </c>
      <c r="EC7">
        <f>[1]q!EC21</f>
        <v>620.70000000000005</v>
      </c>
      <c r="ED7">
        <f>[1]q!ED21</f>
        <v>642.80000000000007</v>
      </c>
      <c r="EE7">
        <f>[1]q!EE21</f>
        <v>704.80000000000007</v>
      </c>
      <c r="EF7">
        <f>[1]q!EF21</f>
        <v>752.2</v>
      </c>
      <c r="EG7">
        <f>[1]q!EG21</f>
        <v>831.40000000000009</v>
      </c>
      <c r="EH7">
        <f>[1]q!EH21</f>
        <v>918.40000000000009</v>
      </c>
      <c r="EI7">
        <f>[1]q!EI21</f>
        <v>949.40000000000009</v>
      </c>
      <c r="EJ7">
        <f>[1]q!EJ21</f>
        <v>971.40000000000009</v>
      </c>
      <c r="EK7">
        <f>[1]q!EK21</f>
        <v>955.5</v>
      </c>
      <c r="EL7">
        <f>[1]q!EL21</f>
        <v>924</v>
      </c>
      <c r="EM7">
        <f>[1]q!EM21</f>
        <v>939.90000000000009</v>
      </c>
      <c r="EN7">
        <f>[1]q!EN21</f>
        <v>929.6</v>
      </c>
      <c r="EO7">
        <f>[1]q!EO21</f>
        <v>965.90000000000009</v>
      </c>
      <c r="EP7">
        <f>[1]q!EP21</f>
        <v>963.90000000000009</v>
      </c>
      <c r="EQ7">
        <f>[1]q!EQ21</f>
        <v>942.5</v>
      </c>
      <c r="ER7">
        <f>[1]q!ER21</f>
        <v>913</v>
      </c>
      <c r="ES7">
        <f>[1]q!ES21</f>
        <v>914.40000000000009</v>
      </c>
      <c r="ET7">
        <f>[1]q!ET21</f>
        <v>942.30000000000007</v>
      </c>
      <c r="EU7">
        <f>[1]q!EU21</f>
        <v>943.6</v>
      </c>
      <c r="EV7">
        <f>[1]q!EV21</f>
        <v>944.6</v>
      </c>
      <c r="EW7">
        <f>[1]q!EW21</f>
        <v>1018.3000000000001</v>
      </c>
      <c r="EX7">
        <f>[1]q!EX21</f>
        <v>960.90000000000009</v>
      </c>
      <c r="EY7">
        <f>[1]q!EY21</f>
        <v>984.30000000000007</v>
      </c>
      <c r="EZ7">
        <f>[1]q!EZ21</f>
        <v>990.6</v>
      </c>
      <c r="FA7">
        <f>[1]q!FA21</f>
        <v>1003.7</v>
      </c>
      <c r="FB7">
        <f>[1]q!FB21</f>
        <v>1042.2</v>
      </c>
      <c r="FC7">
        <f>[1]q!FC21</f>
        <v>1030</v>
      </c>
      <c r="FD7">
        <f>[1]q!FD21</f>
        <v>1017.9000000000001</v>
      </c>
      <c r="FE7">
        <f>[1]q!FE21</f>
        <v>1007.4000000000001</v>
      </c>
      <c r="FF7">
        <f>[1]q!FF21</f>
        <v>1017.3000000000001</v>
      </c>
      <c r="FG7">
        <f>[1]q!FG21</f>
        <v>1017.6</v>
      </c>
      <c r="FH7">
        <f>[1]q!FH21</f>
        <v>993.7</v>
      </c>
      <c r="FI7">
        <f>[1]q!FI21</f>
        <v>930.80000000000007</v>
      </c>
      <c r="FJ7">
        <f>[1]q!FJ21</f>
        <v>892.90000000000009</v>
      </c>
      <c r="FK7">
        <f>[1]q!FK21</f>
        <v>888.5</v>
      </c>
      <c r="FL7">
        <f>[1]q!FL21</f>
        <v>910.6</v>
      </c>
      <c r="FM7">
        <f>[1]q!FM21</f>
        <v>945.40000000000009</v>
      </c>
      <c r="FN7">
        <f>[1]q!FN21</f>
        <v>924.40000000000009</v>
      </c>
      <c r="FO7">
        <f>[1]q!FO21</f>
        <v>985.30000000000007</v>
      </c>
      <c r="FP7">
        <f>[1]q!FP21</f>
        <v>995.5</v>
      </c>
      <c r="FQ7">
        <f>[1]q!FQ21</f>
        <v>1027</v>
      </c>
      <c r="FR7">
        <f>[1]q!FR21</f>
        <v>1051.1000000000001</v>
      </c>
      <c r="FS7">
        <f>[1]q!FS21</f>
        <v>1059.4000000000001</v>
      </c>
      <c r="FT7">
        <f>[1]q!FT21</f>
        <v>1058.6000000000001</v>
      </c>
      <c r="FU7">
        <f>[1]q!FU21</f>
        <v>1114.5</v>
      </c>
      <c r="FV7">
        <f>[1]q!FV21</f>
        <v>1162.6000000000001</v>
      </c>
      <c r="FW7">
        <f>[1]q!FW21</f>
        <v>1230.4000000000001</v>
      </c>
      <c r="FX7">
        <f>[1]q!FX21</f>
        <v>1208.2</v>
      </c>
      <c r="FY7">
        <f>[1]q!FY21</f>
        <v>1264.6000000000001</v>
      </c>
      <c r="FZ7">
        <f>[1]q!FZ21</f>
        <v>1277.4000000000001</v>
      </c>
      <c r="GA7">
        <f>[1]q!GA21</f>
        <v>1243.1000000000001</v>
      </c>
      <c r="GB7">
        <f>[1]q!GB21</f>
        <v>1231.1000000000001</v>
      </c>
      <c r="GC7">
        <f>[1]q!GC21</f>
        <v>1265.8000000000002</v>
      </c>
      <c r="GD7">
        <f>[1]q!GD21</f>
        <v>1282.4000000000001</v>
      </c>
      <c r="GE7">
        <f>[1]q!GE21</f>
        <v>1348.9</v>
      </c>
      <c r="GF7">
        <f>[1]q!GF21</f>
        <v>1416.9</v>
      </c>
      <c r="GG7">
        <f>[1]q!GG21</f>
        <v>1413</v>
      </c>
      <c r="GH7">
        <f>[1]q!GH21</f>
        <v>1446</v>
      </c>
      <c r="GI7">
        <f>[1]q!GI21</f>
        <v>1538.3000000000002</v>
      </c>
      <c r="GJ7">
        <f>[1]q!GJ21</f>
        <v>1565.7</v>
      </c>
      <c r="GK7">
        <f>[1]q!GK21</f>
        <v>1590.7</v>
      </c>
      <c r="GL7">
        <f>[1]q!GL21</f>
        <v>1666.6000000000001</v>
      </c>
      <c r="GM7">
        <f>[1]q!GM21</f>
        <v>1646.7</v>
      </c>
      <c r="GN7">
        <f>[1]q!GN21</f>
        <v>1693.9</v>
      </c>
      <c r="GO7">
        <f>[1]q!GO21</f>
        <v>1748.4</v>
      </c>
      <c r="GP7">
        <f>[1]q!GP21</f>
        <v>1803.4</v>
      </c>
      <c r="GQ7">
        <f>[1]q!GQ21</f>
        <v>1797.1000000000001</v>
      </c>
      <c r="GR7">
        <f>[1]q!GR21</f>
        <v>1842.2</v>
      </c>
      <c r="GS7">
        <f>[1]q!GS21</f>
        <v>1907.6000000000001</v>
      </c>
      <c r="GT7">
        <f>[1]q!GT21</f>
        <v>1880.9</v>
      </c>
      <c r="GU7">
        <f>[1]q!GU21</f>
        <v>2011.1000000000001</v>
      </c>
      <c r="GV7">
        <f>[1]q!GV21</f>
        <v>1979.7</v>
      </c>
      <c r="GW7">
        <f>[1]q!GW21</f>
        <v>1980.7</v>
      </c>
      <c r="GX7">
        <f>[1]q!GX21</f>
        <v>1876.1000000000001</v>
      </c>
      <c r="GY7">
        <f>[1]q!GY21</f>
        <v>1870</v>
      </c>
      <c r="GZ7">
        <f>[1]q!GZ21</f>
        <v>1830.3000000000002</v>
      </c>
      <c r="HA7">
        <f>[1]q!HA21</f>
        <v>1724.5</v>
      </c>
      <c r="HB7">
        <f>[1]q!HB21</f>
        <v>1781.9</v>
      </c>
      <c r="HC7">
        <f>[1]q!HC21</f>
        <v>1803.4</v>
      </c>
      <c r="HD7">
        <f>[1]q!HD21</f>
        <v>1808</v>
      </c>
      <c r="HE7">
        <f>[1]q!HE21</f>
        <v>1808.3000000000002</v>
      </c>
      <c r="HF7">
        <f>[1]q!HF21</f>
        <v>1810.4</v>
      </c>
      <c r="HG7">
        <f>[1]q!HG21</f>
        <v>1821.8000000000002</v>
      </c>
      <c r="HH7">
        <f>[1]q!HH21</f>
        <v>1888.4</v>
      </c>
      <c r="HI7">
        <f>[1]q!HI21</f>
        <v>1959.9</v>
      </c>
      <c r="HJ7">
        <f>[1]q!HJ21</f>
        <v>1970.1000000000001</v>
      </c>
      <c r="HK7">
        <f>[1]q!HK21</f>
        <v>2055.7000000000003</v>
      </c>
      <c r="HL7">
        <f>[1]q!HL21</f>
        <v>2082.1</v>
      </c>
      <c r="HM7">
        <f>[1]q!HM21</f>
        <v>2124.9</v>
      </c>
      <c r="HN7">
        <f>[1]q!HN21</f>
        <v>2170</v>
      </c>
      <c r="HO7">
        <f>[1]q!HO21</f>
        <v>2131.3000000000002</v>
      </c>
      <c r="HP7">
        <f>[1]q!HP21</f>
        <v>2155.1</v>
      </c>
      <c r="HQ7">
        <f>[1]q!HQ21</f>
        <v>2232.8000000000002</v>
      </c>
      <c r="HR7">
        <f>[1]q!HR21</f>
        <v>2266.3000000000002</v>
      </c>
      <c r="HS7">
        <f>[1]q!HS21</f>
        <v>2263.1</v>
      </c>
      <c r="HT7">
        <f>[1]q!HT21</f>
        <v>2231.2000000000003</v>
      </c>
      <c r="HU7">
        <f>[1]q!HU21</f>
        <v>2166.7000000000003</v>
      </c>
      <c r="HV7">
        <f>[1]q!HV21</f>
        <v>2145.1</v>
      </c>
      <c r="HW7">
        <f>[1]q!HW21</f>
        <v>2193</v>
      </c>
      <c r="HX7">
        <f>[1]q!HX21</f>
        <v>2176.3000000000002</v>
      </c>
      <c r="HY7">
        <f>[1]q!HY21</f>
        <v>2123.6</v>
      </c>
      <c r="HZ7">
        <f>[1]q!HZ21</f>
        <v>2055.7000000000003</v>
      </c>
      <c r="IA7">
        <f>[1]q!IA21</f>
        <v>2024</v>
      </c>
      <c r="IB7">
        <f>[1]q!IB21</f>
        <v>1934.7</v>
      </c>
      <c r="IC7">
        <f>[1]q!IC21</f>
        <v>1744.6000000000001</v>
      </c>
      <c r="ID7">
        <f>[1]q!ID21</f>
        <v>1490.4</v>
      </c>
      <c r="IE7">
        <f>[1]q!IE21</f>
        <v>1397.2</v>
      </c>
      <c r="IF7">
        <f>[1]q!IF21</f>
        <v>1407.3000000000002</v>
      </c>
      <c r="IG7">
        <f>[1]q!IG21</f>
        <v>1522</v>
      </c>
      <c r="IH7">
        <f>[1]q!IH21</f>
        <v>1630</v>
      </c>
      <c r="II7">
        <f>[1]q!II21</f>
        <v>1728.3000000000002</v>
      </c>
      <c r="IJ7">
        <f>[1]q!IJ21</f>
        <v>1766.8000000000002</v>
      </c>
      <c r="IK7">
        <f>[1]q!IK21</f>
        <v>1734.5</v>
      </c>
      <c r="IL7">
        <f>[1]q!IL21</f>
        <v>1750.9</v>
      </c>
      <c r="IM7">
        <f>[1]q!IM21</f>
        <v>1778.4</v>
      </c>
      <c r="IN7">
        <f>[1]q!IN21</f>
        <v>1796.6000000000001</v>
      </c>
    </row>
    <row r="8" spans="1:261" x14ac:dyDescent="0.25">
      <c r="A8" s="1" t="s">
        <v>77</v>
      </c>
      <c r="FZ8">
        <f>[1]q!FZ22</f>
        <v>777.30000000000007</v>
      </c>
      <c r="GA8">
        <f>[1]q!GA22</f>
        <v>782.6</v>
      </c>
      <c r="GB8">
        <f>[1]q!GB22</f>
        <v>787.90000000000009</v>
      </c>
      <c r="GC8">
        <f>[1]q!GC22</f>
        <v>803.80000000000007</v>
      </c>
      <c r="GD8">
        <f>[1]q!GD22</f>
        <v>823.7</v>
      </c>
      <c r="GE8">
        <f>[1]q!GE22</f>
        <v>847.40000000000009</v>
      </c>
      <c r="GF8">
        <f>[1]q!GF22</f>
        <v>875.6</v>
      </c>
      <c r="GG8">
        <f>[1]q!GG22</f>
        <v>899.30000000000007</v>
      </c>
      <c r="GH8">
        <f>[1]q!GH22</f>
        <v>922.2</v>
      </c>
      <c r="GI8">
        <f>[1]q!GI22</f>
        <v>945.1</v>
      </c>
      <c r="GJ8">
        <f>[1]q!GJ22</f>
        <v>993.30000000000007</v>
      </c>
      <c r="GK8">
        <f>[1]q!GK22</f>
        <v>1001.3000000000001</v>
      </c>
      <c r="GL8">
        <f>[1]q!GL22</f>
        <v>1035.9000000000001</v>
      </c>
      <c r="GM8">
        <f>[1]q!GM22</f>
        <v>1073.8</v>
      </c>
      <c r="GN8">
        <f>[1]q!GN22</f>
        <v>1090</v>
      </c>
      <c r="GO8">
        <f>[1]q!GO22</f>
        <v>1126</v>
      </c>
      <c r="GP8">
        <f>[1]q!GP22</f>
        <v>1152.1000000000001</v>
      </c>
      <c r="GQ8">
        <f>[1]q!GQ22</f>
        <v>1184.4000000000001</v>
      </c>
      <c r="GR8">
        <f>[1]q!GR22</f>
        <v>1218.4000000000001</v>
      </c>
      <c r="GS8">
        <f>[1]q!GS22</f>
        <v>1222.2</v>
      </c>
      <c r="GT8">
        <f>[1]q!GT22</f>
        <v>1267.6000000000001</v>
      </c>
      <c r="GU8">
        <f>[1]q!GU22</f>
        <v>1314.4</v>
      </c>
      <c r="GV8">
        <f>[1]q!GV22</f>
        <v>1329</v>
      </c>
      <c r="GW8">
        <f>[1]q!GW22</f>
        <v>1334.2</v>
      </c>
      <c r="GX8">
        <f>[1]q!GX22</f>
        <v>1321.7</v>
      </c>
      <c r="GY8">
        <f>[1]q!GY22</f>
        <v>1286.9000000000001</v>
      </c>
      <c r="GZ8">
        <f>[1]q!GZ22</f>
        <v>1265.5</v>
      </c>
      <c r="HA8">
        <f>[1]q!HA22</f>
        <v>1225</v>
      </c>
      <c r="HB8">
        <f>[1]q!HB22</f>
        <v>1195.8</v>
      </c>
      <c r="HC8">
        <f>[1]q!HC22</f>
        <v>1176.6000000000001</v>
      </c>
      <c r="HD8">
        <f>[1]q!HD22</f>
        <v>1171.4000000000001</v>
      </c>
      <c r="HE8">
        <f>[1]q!HE22</f>
        <v>1150.9000000000001</v>
      </c>
      <c r="HF8">
        <f>[1]q!HF22</f>
        <v>1147.8</v>
      </c>
      <c r="HG8">
        <f>[1]q!HG22</f>
        <v>1179.5</v>
      </c>
      <c r="HH8">
        <f>[1]q!HH22</f>
        <v>1206.8</v>
      </c>
      <c r="HI8">
        <f>[1]q!HI22</f>
        <v>1224.1000000000001</v>
      </c>
      <c r="HJ8">
        <f>[1]q!HJ22</f>
        <v>1214.3</v>
      </c>
      <c r="HK8">
        <f>[1]q!HK22</f>
        <v>1247.1000000000001</v>
      </c>
      <c r="HL8">
        <f>[1]q!HL22</f>
        <v>1281.2</v>
      </c>
      <c r="HM8">
        <f>[1]q!HM22</f>
        <v>1309.3000000000002</v>
      </c>
      <c r="HN8">
        <f>[1]q!HN22</f>
        <v>1321.1000000000001</v>
      </c>
      <c r="HO8">
        <f>[1]q!HO22</f>
        <v>1340.6000000000001</v>
      </c>
      <c r="HP8">
        <f>[1]q!HP22</f>
        <v>1359.7</v>
      </c>
      <c r="HQ8">
        <f>[1]q!HQ22</f>
        <v>1367.9</v>
      </c>
      <c r="HR8">
        <f>[1]q!HR22</f>
        <v>1426.6000000000001</v>
      </c>
      <c r="HS8">
        <f>[1]q!HS22</f>
        <v>1452.4</v>
      </c>
      <c r="HT8">
        <f>[1]q!HT22</f>
        <v>1467.7</v>
      </c>
      <c r="HU8">
        <f>[1]q!HU22</f>
        <v>1475.2</v>
      </c>
      <c r="HV8">
        <f>[1]q!HV22</f>
        <v>1498.5</v>
      </c>
      <c r="HW8">
        <f>[1]q!HW22</f>
        <v>1537.5</v>
      </c>
      <c r="HX8">
        <f>[1]q!HX22</f>
        <v>1571.4</v>
      </c>
      <c r="HY8">
        <f>[1]q!HY22</f>
        <v>1592.3000000000002</v>
      </c>
      <c r="HZ8">
        <f>[1]q!HZ22</f>
        <v>1589.1000000000001</v>
      </c>
      <c r="IA8">
        <f>[1]q!IA22</f>
        <v>1580</v>
      </c>
      <c r="IB8">
        <f>[1]q!IB22</f>
        <v>1539.2</v>
      </c>
      <c r="IC8">
        <f>[1]q!IC22</f>
        <v>1442.3000000000002</v>
      </c>
      <c r="ID8">
        <f>[1]q!ID22</f>
        <v>1312.9</v>
      </c>
      <c r="IE8">
        <f>[1]q!IE22</f>
        <v>1257.6000000000001</v>
      </c>
      <c r="IF8">
        <f>[1]q!IF22</f>
        <v>1247</v>
      </c>
      <c r="IG8">
        <f>[1]q!IG22</f>
        <v>1235.2</v>
      </c>
      <c r="IH8">
        <f>[1]q!IH22</f>
        <v>1253.3000000000002</v>
      </c>
      <c r="II8">
        <f>[1]q!II22</f>
        <v>1308</v>
      </c>
      <c r="IJ8">
        <f>[1]q!IJ22</f>
        <v>1343.6000000000001</v>
      </c>
      <c r="IK8">
        <f>[1]q!IK22</f>
        <v>1371.9</v>
      </c>
      <c r="IL8">
        <f>[1]q!IL22</f>
        <v>1378.9</v>
      </c>
      <c r="IM8">
        <f>[1]q!IM22</f>
        <v>1413.2</v>
      </c>
      <c r="IN8">
        <f>[1]q!IN22</f>
        <v>1467.5</v>
      </c>
    </row>
    <row r="9" spans="1:261" x14ac:dyDescent="0.25">
      <c r="A9" s="1" t="s">
        <v>76</v>
      </c>
      <c r="FZ9">
        <f>[1]q!FZ23</f>
        <v>336.5</v>
      </c>
      <c r="GA9">
        <f>[1]q!GA23</f>
        <v>343.20000000000005</v>
      </c>
      <c r="GB9">
        <f>[1]q!GB23</f>
        <v>345.70000000000005</v>
      </c>
      <c r="GC9">
        <f>[1]q!GC23</f>
        <v>342.8</v>
      </c>
      <c r="GD9">
        <f>[1]q!GD23</f>
        <v>348.90000000000003</v>
      </c>
      <c r="GE9">
        <f>[1]q!GE23</f>
        <v>356.5</v>
      </c>
      <c r="GF9">
        <f>[1]q!GF23</f>
        <v>360.90000000000003</v>
      </c>
      <c r="GG9">
        <f>[1]q!GG23</f>
        <v>379.3</v>
      </c>
      <c r="GH9">
        <f>[1]q!GH23</f>
        <v>382.6</v>
      </c>
      <c r="GI9">
        <f>[1]q!GI23</f>
        <v>379.20000000000005</v>
      </c>
      <c r="GJ9">
        <f>[1]q!GJ23</f>
        <v>393.5</v>
      </c>
      <c r="GK9">
        <f>[1]q!GK23</f>
        <v>396.20000000000005</v>
      </c>
      <c r="GL9">
        <f>[1]q!GL23</f>
        <v>392</v>
      </c>
      <c r="GM9">
        <f>[1]q!GM23</f>
        <v>413.1</v>
      </c>
      <c r="GN9">
        <f>[1]q!GN23</f>
        <v>413.20000000000005</v>
      </c>
      <c r="GO9">
        <f>[1]q!GO23</f>
        <v>412.6</v>
      </c>
      <c r="GP9">
        <f>[1]q!GP23</f>
        <v>410.90000000000003</v>
      </c>
      <c r="GQ9">
        <f>[1]q!GQ23</f>
        <v>405.90000000000003</v>
      </c>
      <c r="GR9">
        <f>[1]q!GR23</f>
        <v>405.6</v>
      </c>
      <c r="GS9">
        <f>[1]q!GS23</f>
        <v>410.40000000000003</v>
      </c>
      <c r="GT9">
        <f>[1]q!GT23</f>
        <v>418.40000000000003</v>
      </c>
      <c r="GU9">
        <f>[1]q!GU23</f>
        <v>435.70000000000005</v>
      </c>
      <c r="GV9">
        <f>[1]q!GV23</f>
        <v>452.1</v>
      </c>
      <c r="GW9">
        <f>[1]q!GW23</f>
        <v>454</v>
      </c>
      <c r="GX9">
        <f>[1]q!GX23</f>
        <v>441.5</v>
      </c>
      <c r="GY9">
        <f>[1]q!GY23</f>
        <v>443</v>
      </c>
      <c r="GZ9">
        <f>[1]q!GZ23</f>
        <v>445.5</v>
      </c>
      <c r="HA9">
        <f>[1]q!HA23</f>
        <v>403.20000000000005</v>
      </c>
      <c r="HB9">
        <f>[1]q!HB23</f>
        <v>381.40000000000003</v>
      </c>
      <c r="HC9">
        <f>[1]q!HC23</f>
        <v>360.70000000000005</v>
      </c>
      <c r="HD9">
        <f>[1]q!HD23</f>
        <v>344.70000000000005</v>
      </c>
      <c r="HE9">
        <f>[1]q!HE23</f>
        <v>339.6</v>
      </c>
      <c r="HF9">
        <f>[1]q!HF23</f>
        <v>336.20000000000005</v>
      </c>
      <c r="HG9">
        <f>[1]q!HG23</f>
        <v>346.3</v>
      </c>
      <c r="HH9">
        <f>[1]q!HH23</f>
        <v>345.6</v>
      </c>
      <c r="HI9">
        <f>[1]q!HI23</f>
        <v>343.90000000000003</v>
      </c>
      <c r="HJ9">
        <f>[1]q!HJ23</f>
        <v>341.90000000000003</v>
      </c>
      <c r="HK9">
        <f>[1]q!HK23</f>
        <v>345.90000000000003</v>
      </c>
      <c r="HL9">
        <f>[1]q!HL23</f>
        <v>349.40000000000003</v>
      </c>
      <c r="HM9">
        <f>[1]q!HM23</f>
        <v>349.70000000000005</v>
      </c>
      <c r="HN9">
        <f>[1]q!HN23</f>
        <v>356</v>
      </c>
      <c r="HO9">
        <f>[1]q!HO23</f>
        <v>354.6</v>
      </c>
      <c r="HP9">
        <f>[1]q!HP23</f>
        <v>347.20000000000005</v>
      </c>
      <c r="HQ9">
        <f>[1]q!HQ23</f>
        <v>349.3</v>
      </c>
      <c r="HR9">
        <f>[1]q!HR23</f>
        <v>364.8</v>
      </c>
      <c r="HS9">
        <f>[1]q!HS23</f>
        <v>383.70000000000005</v>
      </c>
      <c r="HT9">
        <f>[1]q!HT23</f>
        <v>393.20000000000005</v>
      </c>
      <c r="HU9">
        <f>[1]q!HU23</f>
        <v>394.6</v>
      </c>
      <c r="HV9">
        <f>[1]q!HV23</f>
        <v>404.8</v>
      </c>
      <c r="HW9">
        <f>[1]q!HW23</f>
        <v>430.6</v>
      </c>
      <c r="HX9">
        <f>[1]q!HX23</f>
        <v>454.6</v>
      </c>
      <c r="HY9">
        <f>[1]q!HY23</f>
        <v>462.90000000000003</v>
      </c>
      <c r="HZ9">
        <f>[1]q!HZ23</f>
        <v>463.8</v>
      </c>
      <c r="IA9">
        <f>[1]q!IA23</f>
        <v>474.40000000000003</v>
      </c>
      <c r="IB9">
        <f>[1]q!IB23</f>
        <v>469.90000000000003</v>
      </c>
      <c r="IC9">
        <f>[1]q!IC23</f>
        <v>457.5</v>
      </c>
      <c r="ID9">
        <f>[1]q!ID23</f>
        <v>415.3</v>
      </c>
      <c r="IE9">
        <f>[1]q!IE23</f>
        <v>375.40000000000003</v>
      </c>
      <c r="IF9">
        <f>[1]q!IF23</f>
        <v>354.90000000000003</v>
      </c>
      <c r="IG9">
        <f>[1]q!IG23</f>
        <v>323.70000000000005</v>
      </c>
      <c r="IH9">
        <f>[1]q!IH23</f>
        <v>301.5</v>
      </c>
      <c r="II9">
        <f>[1]q!II23</f>
        <v>306.90000000000003</v>
      </c>
      <c r="IJ9">
        <f>[1]q!IJ23</f>
        <v>310.10000000000002</v>
      </c>
      <c r="IK9">
        <f>[1]q!IK23</f>
        <v>318</v>
      </c>
      <c r="IL9">
        <f>[1]q!IL23</f>
        <v>305.90000000000003</v>
      </c>
      <c r="IM9">
        <f>[1]q!IM23</f>
        <v>321.90000000000003</v>
      </c>
      <c r="IN9">
        <f>[1]q!IN23</f>
        <v>332.1</v>
      </c>
    </row>
    <row r="10" spans="1:261" x14ac:dyDescent="0.25">
      <c r="A10" s="1" t="s">
        <v>75</v>
      </c>
      <c r="FZ10">
        <f>[1]q!FZ24</f>
        <v>483.20000000000005</v>
      </c>
      <c r="GA10">
        <f>[1]q!GA24</f>
        <v>484.40000000000003</v>
      </c>
      <c r="GB10">
        <f>[1]q!GB24</f>
        <v>487.6</v>
      </c>
      <c r="GC10">
        <f>[1]q!GC24</f>
        <v>502.3</v>
      </c>
      <c r="GD10">
        <f>[1]q!GD24</f>
        <v>516</v>
      </c>
      <c r="GE10">
        <f>[1]q!GE24</f>
        <v>532.1</v>
      </c>
      <c r="GF10">
        <f>[1]q!GF24</f>
        <v>553.6</v>
      </c>
      <c r="GG10">
        <f>[1]q!GG24</f>
        <v>564</v>
      </c>
      <c r="GH10">
        <f>[1]q!GH24</f>
        <v>581.70000000000005</v>
      </c>
      <c r="GI10">
        <f>[1]q!GI24</f>
        <v>603.1</v>
      </c>
      <c r="GJ10">
        <f>[1]q!GJ24</f>
        <v>636.6</v>
      </c>
      <c r="GK10">
        <f>[1]q!GK24</f>
        <v>642</v>
      </c>
      <c r="GL10">
        <f>[1]q!GL24</f>
        <v>674.6</v>
      </c>
      <c r="GM10">
        <f>[1]q!GM24</f>
        <v>695.30000000000007</v>
      </c>
      <c r="GN10">
        <f>[1]q!GN24</f>
        <v>709.40000000000009</v>
      </c>
      <c r="GO10">
        <f>[1]q!GO24</f>
        <v>741.6</v>
      </c>
      <c r="GP10">
        <f>[1]q!GP24</f>
        <v>765.7</v>
      </c>
      <c r="GQ10">
        <f>[1]q!GQ24</f>
        <v>797.6</v>
      </c>
      <c r="GR10">
        <f>[1]q!GR24</f>
        <v>828.2</v>
      </c>
      <c r="GS10">
        <f>[1]q!GS24</f>
        <v>828.5</v>
      </c>
      <c r="GT10">
        <f>[1]q!GT24</f>
        <v>864.30000000000007</v>
      </c>
      <c r="GU10">
        <f>[1]q!GU24</f>
        <v>895</v>
      </c>
      <c r="GV10">
        <f>[1]q!GV24</f>
        <v>897.1</v>
      </c>
      <c r="GW10">
        <f>[1]q!GW24</f>
        <v>900.6</v>
      </c>
      <c r="GX10">
        <f>[1]q!GX24</f>
        <v>897.80000000000007</v>
      </c>
      <c r="GY10">
        <f>[1]q!GY24</f>
        <v>864.7</v>
      </c>
      <c r="GZ10">
        <f>[1]q!GZ24</f>
        <v>843</v>
      </c>
      <c r="HA10">
        <f>[1]q!HA24</f>
        <v>836.80000000000007</v>
      </c>
      <c r="HB10">
        <f>[1]q!HB24</f>
        <v>826</v>
      </c>
      <c r="HC10">
        <f>[1]q!HC24</f>
        <v>823.7</v>
      </c>
      <c r="HD10">
        <f>[1]q!HD24</f>
        <v>831.30000000000007</v>
      </c>
      <c r="HE10">
        <f>[1]q!HE24</f>
        <v>815.90000000000009</v>
      </c>
      <c r="HF10">
        <f>[1]q!HF24</f>
        <v>815.80000000000007</v>
      </c>
      <c r="HG10">
        <f>[1]q!HG24</f>
        <v>837.7</v>
      </c>
      <c r="HH10">
        <f>[1]q!HH24</f>
        <v>864.30000000000007</v>
      </c>
      <c r="HI10">
        <f>[1]q!HI24</f>
        <v>882.1</v>
      </c>
      <c r="HJ10">
        <f>[1]q!HJ24</f>
        <v>874.5</v>
      </c>
      <c r="HK10">
        <f>[1]q!HK24</f>
        <v>902.6</v>
      </c>
      <c r="HL10">
        <f>[1]q!HL24</f>
        <v>932.5</v>
      </c>
      <c r="HM10">
        <f>[1]q!HM24</f>
        <v>959.6</v>
      </c>
      <c r="HN10">
        <f>[1]q!HN24</f>
        <v>965.2</v>
      </c>
      <c r="HO10">
        <f>[1]q!HO24</f>
        <v>985.80000000000007</v>
      </c>
      <c r="HP10">
        <f>[1]q!HP24</f>
        <v>1012.5</v>
      </c>
      <c r="HQ10">
        <f>[1]q!HQ24</f>
        <v>1018.8000000000001</v>
      </c>
      <c r="HR10">
        <f>[1]q!HR24</f>
        <v>1062.5</v>
      </c>
      <c r="HS10">
        <f>[1]q!HS24</f>
        <v>1068.4000000000001</v>
      </c>
      <c r="HT10">
        <f>[1]q!HT24</f>
        <v>1073.8</v>
      </c>
      <c r="HU10">
        <f>[1]q!HU24</f>
        <v>1079.9000000000001</v>
      </c>
      <c r="HV10">
        <f>[1]q!HV24</f>
        <v>1092.4000000000001</v>
      </c>
      <c r="HW10">
        <f>[1]q!HW24</f>
        <v>1102.9000000000001</v>
      </c>
      <c r="HX10">
        <f>[1]q!HX24</f>
        <v>1109.8</v>
      </c>
      <c r="HY10">
        <f>[1]q!HY24</f>
        <v>1121.9000000000001</v>
      </c>
      <c r="HZ10">
        <f>[1]q!HZ24</f>
        <v>1117.2</v>
      </c>
      <c r="IA10">
        <f>[1]q!IA24</f>
        <v>1094.6000000000001</v>
      </c>
      <c r="IB10">
        <f>[1]q!IB24</f>
        <v>1056.8</v>
      </c>
      <c r="IC10">
        <f>[1]q!IC24</f>
        <v>969</v>
      </c>
      <c r="ID10">
        <f>[1]q!ID24</f>
        <v>883.7</v>
      </c>
      <c r="IE10">
        <f>[1]q!IE24</f>
        <v>874.2</v>
      </c>
      <c r="IF10">
        <f>[1]q!IF24</f>
        <v>888</v>
      </c>
      <c r="IG10">
        <f>[1]q!IG24</f>
        <v>912.90000000000009</v>
      </c>
      <c r="IH10">
        <f>[1]q!IH24</f>
        <v>958.80000000000007</v>
      </c>
      <c r="II10">
        <f>[1]q!II24</f>
        <v>1010.1</v>
      </c>
      <c r="IJ10">
        <f>[1]q!IJ24</f>
        <v>1044.1000000000001</v>
      </c>
      <c r="IK10">
        <f>[1]q!IK24</f>
        <v>1064.5</v>
      </c>
      <c r="IL10">
        <f>[1]q!IL24</f>
        <v>1086.9000000000001</v>
      </c>
      <c r="IM10">
        <f>[1]q!IM24</f>
        <v>1103.5</v>
      </c>
      <c r="IN10">
        <f>[1]q!IN24</f>
        <v>1148.7</v>
      </c>
    </row>
    <row r="11" spans="1:261" x14ac:dyDescent="0.25">
      <c r="A11" s="1" t="s">
        <v>74</v>
      </c>
      <c r="FZ11">
        <f>[1]q!FZ25</f>
        <v>457.70000000000005</v>
      </c>
      <c r="GA11">
        <f>[1]q!GA25</f>
        <v>443</v>
      </c>
      <c r="GB11">
        <f>[1]q!GB25</f>
        <v>456.70000000000005</v>
      </c>
      <c r="GC11">
        <f>[1]q!GC25</f>
        <v>467</v>
      </c>
      <c r="GD11">
        <f>[1]q!GD25</f>
        <v>479.3</v>
      </c>
      <c r="GE11">
        <f>[1]q!GE25</f>
        <v>499.5</v>
      </c>
      <c r="GF11">
        <f>[1]q!GF25</f>
        <v>498.20000000000005</v>
      </c>
      <c r="GG11">
        <f>[1]q!GG25</f>
        <v>493</v>
      </c>
      <c r="GH11">
        <f>[1]q!GH25</f>
        <v>494.70000000000005</v>
      </c>
      <c r="GI11">
        <f>[1]q!GI25</f>
        <v>500.90000000000003</v>
      </c>
      <c r="GJ11">
        <f>[1]q!GJ25</f>
        <v>503.20000000000005</v>
      </c>
      <c r="GK11">
        <f>[1]q!GK25</f>
        <v>508.40000000000003</v>
      </c>
      <c r="GL11">
        <f>[1]q!GL25</f>
        <v>517.5</v>
      </c>
      <c r="GM11">
        <f>[1]q!GM25</f>
        <v>533</v>
      </c>
      <c r="GN11">
        <f>[1]q!GN25</f>
        <v>549</v>
      </c>
      <c r="GO11">
        <f>[1]q!GO25</f>
        <v>562.20000000000005</v>
      </c>
      <c r="GP11">
        <f>[1]q!GP25</f>
        <v>565.5</v>
      </c>
      <c r="GQ11">
        <f>[1]q!GQ25</f>
        <v>571.6</v>
      </c>
      <c r="GR11">
        <f>[1]q!GR25</f>
        <v>576.4</v>
      </c>
      <c r="GS11">
        <f>[1]q!GS25</f>
        <v>583.4</v>
      </c>
      <c r="GT11">
        <f>[1]q!GT25</f>
        <v>588</v>
      </c>
      <c r="GU11">
        <f>[1]q!GU25</f>
        <v>584</v>
      </c>
      <c r="GV11">
        <f>[1]q!GV25</f>
        <v>573.70000000000005</v>
      </c>
      <c r="GW11">
        <f>[1]q!GW25</f>
        <v>574.20000000000005</v>
      </c>
      <c r="GX11">
        <f>[1]q!GX25</f>
        <v>576.80000000000007</v>
      </c>
      <c r="GY11">
        <f>[1]q!GY25</f>
        <v>584.9</v>
      </c>
      <c r="GZ11">
        <f>[1]q!GZ25</f>
        <v>588.1</v>
      </c>
      <c r="HA11">
        <f>[1]q!HA25</f>
        <v>583.1</v>
      </c>
      <c r="HB11">
        <f>[1]q!HB25</f>
        <v>598.70000000000005</v>
      </c>
      <c r="HC11">
        <f>[1]q!HC25</f>
        <v>613.4</v>
      </c>
      <c r="HD11">
        <f>[1]q!HD25</f>
        <v>616.90000000000009</v>
      </c>
      <c r="HE11">
        <f>[1]q!HE25</f>
        <v>626.40000000000009</v>
      </c>
      <c r="HF11">
        <f>[1]q!HF25</f>
        <v>632.40000000000009</v>
      </c>
      <c r="HG11">
        <f>[1]q!HG25</f>
        <v>646.80000000000007</v>
      </c>
      <c r="HH11">
        <f>[1]q!HH25</f>
        <v>679.7</v>
      </c>
      <c r="HI11">
        <f>[1]q!HI25</f>
        <v>698.2</v>
      </c>
      <c r="HJ11">
        <f>[1]q!HJ25</f>
        <v>704.5</v>
      </c>
      <c r="HK11">
        <f>[1]q!HK25</f>
        <v>731</v>
      </c>
      <c r="HL11">
        <f>[1]q!HL25</f>
        <v>738.40000000000009</v>
      </c>
      <c r="HM11">
        <f>[1]q!HM25</f>
        <v>744.2</v>
      </c>
      <c r="HN11">
        <f>[1]q!HN25</f>
        <v>757.80000000000007</v>
      </c>
      <c r="HO11">
        <f>[1]q!HO25</f>
        <v>775.40000000000009</v>
      </c>
      <c r="HP11">
        <f>[1]q!HP25</f>
        <v>783.30000000000007</v>
      </c>
      <c r="HQ11">
        <f>[1]q!HQ25</f>
        <v>783.5</v>
      </c>
      <c r="HR11">
        <f>[1]q!HR25</f>
        <v>775.2</v>
      </c>
      <c r="HS11">
        <f>[1]q!HS25</f>
        <v>740</v>
      </c>
      <c r="HT11">
        <f>[1]q!HT25</f>
        <v>697.30000000000007</v>
      </c>
      <c r="HU11">
        <f>[1]q!HU25</f>
        <v>660.2</v>
      </c>
      <c r="HV11">
        <f>[1]q!HV25</f>
        <v>631.30000000000007</v>
      </c>
      <c r="HW11">
        <f>[1]q!HW25</f>
        <v>611.4</v>
      </c>
      <c r="HX11">
        <f>[1]q!HX25</f>
        <v>570.70000000000005</v>
      </c>
      <c r="HY11">
        <f>[1]q!HY25</f>
        <v>523.4</v>
      </c>
      <c r="HZ11">
        <f>[1]q!HZ25</f>
        <v>481.3</v>
      </c>
      <c r="IA11">
        <f>[1]q!IA25</f>
        <v>462.8</v>
      </c>
      <c r="IB11">
        <f>[1]q!IB25</f>
        <v>437.8</v>
      </c>
      <c r="IC11">
        <f>[1]q!IC25</f>
        <v>395.8</v>
      </c>
      <c r="ID11">
        <f>[1]q!ID25</f>
        <v>354.90000000000003</v>
      </c>
      <c r="IE11">
        <f>[1]q!IE25</f>
        <v>334.3</v>
      </c>
      <c r="IF11">
        <f>[1]q!IF25</f>
        <v>348.20000000000005</v>
      </c>
      <c r="IG11">
        <f>[1]q!IG25</f>
        <v>344.8</v>
      </c>
      <c r="IH11">
        <f>[1]q!IH25</f>
        <v>330.8</v>
      </c>
      <c r="II11">
        <f>[1]q!II25</f>
        <v>348.20000000000005</v>
      </c>
      <c r="IJ11">
        <f>[1]q!IJ25</f>
        <v>321.10000000000002</v>
      </c>
      <c r="IK11">
        <f>[1]q!IK25</f>
        <v>323.10000000000002</v>
      </c>
      <c r="IL11">
        <f>[1]q!IL25</f>
        <v>321.10000000000002</v>
      </c>
      <c r="IM11">
        <f>[1]q!IM25</f>
        <v>324.40000000000003</v>
      </c>
      <c r="IN11">
        <f>[1]q!IN25</f>
        <v>326.3</v>
      </c>
    </row>
    <row r="12" spans="1:261" x14ac:dyDescent="0.25">
      <c r="A12" s="1" t="s">
        <v>73</v>
      </c>
      <c r="B12">
        <f>[1]q!B30</f>
        <v>52.400000000000006</v>
      </c>
      <c r="C12">
        <f>[1]q!C30</f>
        <v>53.1</v>
      </c>
      <c r="D12">
        <f>[1]q!D30</f>
        <v>54.400000000000006</v>
      </c>
      <c r="E12">
        <f>[1]q!E30</f>
        <v>58.800000000000004</v>
      </c>
      <c r="F12">
        <f>[1]q!F30</f>
        <v>61.800000000000004</v>
      </c>
      <c r="G12">
        <f>[1]q!G30</f>
        <v>67.900000000000006</v>
      </c>
      <c r="H12">
        <f>[1]q!H30</f>
        <v>69.5</v>
      </c>
      <c r="I12">
        <f>[1]q!I30</f>
        <v>68.900000000000006</v>
      </c>
      <c r="J12">
        <f>[1]q!J30</f>
        <v>72.5</v>
      </c>
      <c r="K12">
        <f>[1]q!K30</f>
        <v>64.600000000000009</v>
      </c>
      <c r="L12">
        <f>[1]q!L30</f>
        <v>59.5</v>
      </c>
      <c r="M12">
        <f>[1]q!M30</f>
        <v>59.900000000000006</v>
      </c>
      <c r="N12">
        <f>[1]q!N30</f>
        <v>58.900000000000006</v>
      </c>
      <c r="O12">
        <f>[1]q!O30</f>
        <v>59.2</v>
      </c>
      <c r="P12">
        <f>[1]q!P30</f>
        <v>61.6</v>
      </c>
      <c r="Q12">
        <f>[1]q!Q30</f>
        <v>59.6</v>
      </c>
      <c r="R12">
        <f>[1]q!R30</f>
        <v>56.900000000000006</v>
      </c>
      <c r="S12">
        <f>[1]q!S30</f>
        <v>65.100000000000009</v>
      </c>
      <c r="T12">
        <f>[1]q!T30</f>
        <v>63</v>
      </c>
      <c r="U12">
        <f>[1]q!U30</f>
        <v>65.900000000000006</v>
      </c>
      <c r="V12">
        <f>[1]q!V30</f>
        <v>68.3</v>
      </c>
      <c r="W12">
        <f>[1]q!W30</f>
        <v>66.7</v>
      </c>
      <c r="X12">
        <f>[1]q!X30</f>
        <v>71.100000000000009</v>
      </c>
      <c r="Y12">
        <f>[1]q!Y30</f>
        <v>71.400000000000006</v>
      </c>
      <c r="Z12">
        <f>[1]q!Z30</f>
        <v>74.8</v>
      </c>
      <c r="AA12">
        <f>[1]q!AA30</f>
        <v>79.900000000000006</v>
      </c>
      <c r="AB12">
        <f>[1]q!AB30</f>
        <v>82.5</v>
      </c>
      <c r="AC12">
        <f>[1]q!AC30</f>
        <v>86.2</v>
      </c>
      <c r="AD12">
        <f>[1]q!AD30</f>
        <v>91.9</v>
      </c>
      <c r="AE12">
        <f>[1]q!AE30</f>
        <v>89.100000000000009</v>
      </c>
      <c r="AF12">
        <f>[1]q!AF30</f>
        <v>86.600000000000009</v>
      </c>
      <c r="AG12">
        <f>[1]q!AG30</f>
        <v>84.100000000000009</v>
      </c>
      <c r="AH12">
        <f>[1]q!AH30</f>
        <v>75.7</v>
      </c>
      <c r="AI12">
        <f>[1]q!AI30</f>
        <v>76.100000000000009</v>
      </c>
      <c r="AJ12">
        <f>[1]q!AJ30</f>
        <v>76.3</v>
      </c>
      <c r="AK12">
        <f>[1]q!AK30</f>
        <v>76.100000000000009</v>
      </c>
      <c r="AL12">
        <f>[1]q!AL30</f>
        <v>81.100000000000009</v>
      </c>
      <c r="AM12">
        <f>[1]q!AM30</f>
        <v>83.800000000000011</v>
      </c>
      <c r="AN12">
        <f>[1]q!AN30</f>
        <v>86.5</v>
      </c>
      <c r="AO12">
        <f>[1]q!AO30</f>
        <v>84.100000000000009</v>
      </c>
      <c r="AP12">
        <f>[1]q!AP30</f>
        <v>94.7</v>
      </c>
      <c r="AQ12">
        <f>[1]q!AQ30</f>
        <v>100.7</v>
      </c>
      <c r="AR12">
        <f>[1]q!AR30</f>
        <v>98.2</v>
      </c>
      <c r="AS12">
        <f>[1]q!AS30</f>
        <v>100.2</v>
      </c>
      <c r="AT12">
        <f>[1]q!AT30</f>
        <v>99.5</v>
      </c>
      <c r="AU12">
        <f>[1]q!AU30</f>
        <v>98.100000000000009</v>
      </c>
      <c r="AV12">
        <f>[1]q!AV30</f>
        <v>97.600000000000009</v>
      </c>
      <c r="AW12">
        <f>[1]q!AW30</f>
        <v>100.60000000000001</v>
      </c>
      <c r="AX12">
        <f>[1]q!AX30</f>
        <v>100.4</v>
      </c>
      <c r="AY12">
        <f>[1]q!AY30</f>
        <v>110</v>
      </c>
      <c r="AZ12">
        <f>[1]q!AZ30</f>
        <v>103.80000000000001</v>
      </c>
      <c r="BA12">
        <f>[1]q!BA30</f>
        <v>101.60000000000001</v>
      </c>
      <c r="BB12">
        <f>[1]q!BB30</f>
        <v>104</v>
      </c>
      <c r="BC12">
        <f>[1]q!BC30</f>
        <v>116.10000000000001</v>
      </c>
      <c r="BD12">
        <f>[1]q!BD30</f>
        <v>109.9</v>
      </c>
      <c r="BE12">
        <f>[1]q!BE30</f>
        <v>115.5</v>
      </c>
      <c r="BF12">
        <f>[1]q!BF30</f>
        <v>122.5</v>
      </c>
      <c r="BG12">
        <f>[1]q!BG30</f>
        <v>124.60000000000001</v>
      </c>
      <c r="BH12">
        <f>[1]q!BH30</f>
        <v>123.60000000000001</v>
      </c>
      <c r="BI12">
        <f>[1]q!BI30</f>
        <v>127.30000000000001</v>
      </c>
      <c r="BJ12">
        <f>[1]q!BJ30</f>
        <v>113.60000000000001</v>
      </c>
      <c r="BK12">
        <f>[1]q!BK30</f>
        <v>134.9</v>
      </c>
      <c r="BL12">
        <f>[1]q!BL30</f>
        <v>127.2</v>
      </c>
      <c r="BM12">
        <f>[1]q!BM30</f>
        <v>136.4</v>
      </c>
      <c r="BN12">
        <f>[1]q!BN30</f>
        <v>134</v>
      </c>
      <c r="BO12">
        <f>[1]q!BO30</f>
        <v>139.80000000000001</v>
      </c>
      <c r="BP12">
        <f>[1]q!BP30</f>
        <v>134.6</v>
      </c>
      <c r="BQ12">
        <f>[1]q!BQ30</f>
        <v>139</v>
      </c>
      <c r="BR12">
        <f>[1]q!BR30</f>
        <v>141.70000000000002</v>
      </c>
      <c r="BS12">
        <f>[1]q!BS30</f>
        <v>140.4</v>
      </c>
      <c r="BT12">
        <f>[1]q!BT30</f>
        <v>137</v>
      </c>
      <c r="BU12">
        <f>[1]q!BU30</f>
        <v>140.9</v>
      </c>
      <c r="BV12">
        <f>[1]q!BV30</f>
        <v>145</v>
      </c>
      <c r="BW12">
        <f>[1]q!BW30</f>
        <v>147.9</v>
      </c>
      <c r="BX12">
        <f>[1]q!BX30</f>
        <v>156.60000000000002</v>
      </c>
      <c r="BY12">
        <f>[1]q!BY30</f>
        <v>154.60000000000002</v>
      </c>
      <c r="BZ12">
        <f>[1]q!BZ30</f>
        <v>136</v>
      </c>
      <c r="CA12">
        <f>[1]q!CA30</f>
        <v>166.5</v>
      </c>
      <c r="CB12">
        <f>[1]q!CB30</f>
        <v>162.5</v>
      </c>
      <c r="CC12">
        <f>[1]q!CC30</f>
        <v>168.20000000000002</v>
      </c>
      <c r="CD12">
        <f>[1]q!CD30</f>
        <v>169.60000000000002</v>
      </c>
      <c r="CE12">
        <f>[1]q!CE30</f>
        <v>177.10000000000002</v>
      </c>
      <c r="CF12">
        <f>[1]q!CF30</f>
        <v>176.5</v>
      </c>
      <c r="CG12">
        <f>[1]q!CG30</f>
        <v>178.10000000000002</v>
      </c>
      <c r="CH12">
        <f>[1]q!CH30</f>
        <v>178.8</v>
      </c>
      <c r="CI12">
        <f>[1]q!CI30</f>
        <v>178.5</v>
      </c>
      <c r="CJ12">
        <f>[1]q!CJ30</f>
        <v>185.8</v>
      </c>
      <c r="CK12">
        <f>[1]q!CK30</f>
        <v>170.20000000000002</v>
      </c>
      <c r="CL12">
        <f>[1]q!CL30</f>
        <v>188.20000000000002</v>
      </c>
      <c r="CM12">
        <f>[1]q!CM30</f>
        <v>182.8</v>
      </c>
      <c r="CN12">
        <f>[1]q!CN30</f>
        <v>193.8</v>
      </c>
      <c r="CO12">
        <f>[1]q!CO30</f>
        <v>202</v>
      </c>
      <c r="CP12">
        <f>[1]q!CP30</f>
        <v>216.8</v>
      </c>
      <c r="CQ12">
        <f>[1]q!CQ30</f>
        <v>227.3</v>
      </c>
      <c r="CR12">
        <f>[1]q!CR30</f>
        <v>228</v>
      </c>
      <c r="CS12">
        <f>[1]q!CS30</f>
        <v>239.20000000000002</v>
      </c>
      <c r="CT12">
        <f>[1]q!CT30</f>
        <v>242.3</v>
      </c>
      <c r="CU12">
        <f>[1]q!CU30</f>
        <v>254.10000000000002</v>
      </c>
      <c r="CV12">
        <f>[1]q!CV30</f>
        <v>240.4</v>
      </c>
      <c r="CW12">
        <f>[1]q!CW30</f>
        <v>246.60000000000002</v>
      </c>
      <c r="CX12">
        <f>[1]q!CX30</f>
        <v>248.4</v>
      </c>
      <c r="CY12">
        <f>[1]q!CY30</f>
        <v>241.20000000000002</v>
      </c>
      <c r="CZ12">
        <f>[1]q!CZ30</f>
        <v>237.10000000000002</v>
      </c>
      <c r="DA12">
        <f>[1]q!DA30</f>
        <v>250.5</v>
      </c>
      <c r="DB12">
        <f>[1]q!DB30</f>
        <v>248.8</v>
      </c>
      <c r="DC12">
        <f>[1]q!DC30</f>
        <v>251.3</v>
      </c>
      <c r="DD12">
        <f>[1]q!DD30</f>
        <v>258.60000000000002</v>
      </c>
      <c r="DE12">
        <f>[1]q!DE30</f>
        <v>261.2</v>
      </c>
      <c r="DF12">
        <f>[1]q!DF30</f>
        <v>257</v>
      </c>
      <c r="DG12">
        <f>[1]q!DG30</f>
        <v>263.90000000000003</v>
      </c>
      <c r="DH12">
        <f>[1]q!DH30</f>
        <v>266</v>
      </c>
      <c r="DI12">
        <f>[1]q!DI30</f>
        <v>257.40000000000003</v>
      </c>
      <c r="DJ12">
        <f>[1]q!DJ30</f>
        <v>263.5</v>
      </c>
      <c r="DK12">
        <f>[1]q!DK30</f>
        <v>291</v>
      </c>
      <c r="DL12">
        <f>[1]q!DL30</f>
        <v>294.2</v>
      </c>
      <c r="DM12">
        <f>[1]q!DM30</f>
        <v>305.8</v>
      </c>
      <c r="DN12">
        <f>[1]q!DN30</f>
        <v>306.10000000000002</v>
      </c>
      <c r="DO12">
        <f>[1]q!DO30</f>
        <v>306.90000000000003</v>
      </c>
      <c r="DP12">
        <f>[1]q!DP30</f>
        <v>317.90000000000003</v>
      </c>
      <c r="DQ12">
        <f>[1]q!DQ30</f>
        <v>338</v>
      </c>
      <c r="DR12">
        <f>[1]q!DR30</f>
        <v>347.40000000000003</v>
      </c>
      <c r="DS12">
        <f>[1]q!DS30</f>
        <v>353.90000000000003</v>
      </c>
      <c r="DT12">
        <f>[1]q!DT30</f>
        <v>353.20000000000005</v>
      </c>
      <c r="DU12">
        <f>[1]q!DU30</f>
        <v>351</v>
      </c>
      <c r="DV12">
        <f>[1]q!DV30</f>
        <v>357.70000000000005</v>
      </c>
      <c r="DW12">
        <f>[1]q!DW30</f>
        <v>359.6</v>
      </c>
      <c r="DX12">
        <f>[1]q!DX30</f>
        <v>352</v>
      </c>
      <c r="DY12">
        <f>[1]q!DY30</f>
        <v>353.6</v>
      </c>
      <c r="DZ12">
        <f>[1]q!DZ30</f>
        <v>338.3</v>
      </c>
      <c r="EA12">
        <f>[1]q!EA30</f>
        <v>340.3</v>
      </c>
      <c r="EB12">
        <f>[1]q!EB30</f>
        <v>325.20000000000005</v>
      </c>
      <c r="EC12">
        <f>[1]q!EC30</f>
        <v>310.3</v>
      </c>
      <c r="ED12">
        <f>[1]q!ED30</f>
        <v>315.3</v>
      </c>
      <c r="EE12">
        <f>[1]q!EE30</f>
        <v>316.3</v>
      </c>
      <c r="EF12">
        <f>[1]q!EF30</f>
        <v>321.10000000000002</v>
      </c>
      <c r="EG12">
        <f>[1]q!EG30</f>
        <v>327.5</v>
      </c>
      <c r="EH12">
        <f>[1]q!EH30</f>
        <v>334.40000000000003</v>
      </c>
      <c r="EI12">
        <f>[1]q!EI30</f>
        <v>342.70000000000005</v>
      </c>
      <c r="EJ12">
        <f>[1]q!EJ30</f>
        <v>350.3</v>
      </c>
      <c r="EK12">
        <f>[1]q!EK30</f>
        <v>357.40000000000003</v>
      </c>
      <c r="EL12">
        <f>[1]q!EL30</f>
        <v>357.6</v>
      </c>
      <c r="EM12">
        <f>[1]q!EM30</f>
        <v>356.3</v>
      </c>
      <c r="EN12">
        <f>[1]q!EN30</f>
        <v>351.1</v>
      </c>
      <c r="EO12">
        <f>[1]q!EO30</f>
        <v>361.70000000000005</v>
      </c>
      <c r="EP12">
        <f>[1]q!EP30</f>
        <v>373.1</v>
      </c>
      <c r="EQ12">
        <f>[1]q!EQ30</f>
        <v>377.20000000000005</v>
      </c>
      <c r="ER12">
        <f>[1]q!ER30</f>
        <v>385.8</v>
      </c>
      <c r="ES12">
        <f>[1]q!ES30</f>
        <v>400.20000000000005</v>
      </c>
      <c r="ET12">
        <f>[1]q!ET30</f>
        <v>400.5</v>
      </c>
      <c r="EU12">
        <f>[1]q!EU30</f>
        <v>416.40000000000003</v>
      </c>
      <c r="EV12">
        <f>[1]q!EV30</f>
        <v>434.3</v>
      </c>
      <c r="EW12">
        <f>[1]q!EW30</f>
        <v>450.40000000000003</v>
      </c>
      <c r="EX12">
        <f>[1]q!EX30</f>
        <v>475.3</v>
      </c>
      <c r="EY12">
        <f>[1]q!EY30</f>
        <v>488.5</v>
      </c>
      <c r="EZ12">
        <f>[1]q!EZ30</f>
        <v>497.5</v>
      </c>
      <c r="FA12">
        <f>[1]q!FA30</f>
        <v>512.70000000000005</v>
      </c>
      <c r="FB12">
        <f>[1]q!FB30</f>
        <v>527.80000000000007</v>
      </c>
      <c r="FC12">
        <f>[1]q!FC30</f>
        <v>550.80000000000007</v>
      </c>
      <c r="FD12">
        <f>[1]q!FD30</f>
        <v>556.80000000000007</v>
      </c>
      <c r="FE12">
        <f>[1]q!FE30</f>
        <v>565.6</v>
      </c>
      <c r="FF12">
        <f>[1]q!FF30</f>
        <v>590.30000000000007</v>
      </c>
      <c r="FG12">
        <f>[1]q!FG30</f>
        <v>598.30000000000007</v>
      </c>
      <c r="FH12">
        <f>[1]q!FH30</f>
        <v>602.70000000000005</v>
      </c>
      <c r="FI12">
        <f>[1]q!FI30</f>
        <v>607.70000000000005</v>
      </c>
      <c r="FJ12">
        <f>[1]q!FJ30</f>
        <v>612.1</v>
      </c>
      <c r="FK12">
        <f>[1]q!FK30</f>
        <v>634.1</v>
      </c>
      <c r="FL12">
        <f>[1]q!FL30</f>
        <v>648.6</v>
      </c>
      <c r="FM12">
        <f>[1]q!FM30</f>
        <v>663.40000000000009</v>
      </c>
      <c r="FN12">
        <f>[1]q!FN30</f>
        <v>675.2</v>
      </c>
      <c r="FO12">
        <f>[1]q!FO30</f>
        <v>675.30000000000007</v>
      </c>
      <c r="FP12">
        <f>[1]q!FP30</f>
        <v>689.90000000000009</v>
      </c>
      <c r="FQ12">
        <f>[1]q!FQ30</f>
        <v>693.40000000000009</v>
      </c>
      <c r="FR12">
        <f>[1]q!FR30</f>
        <v>695</v>
      </c>
      <c r="FS12">
        <f>[1]q!FS30</f>
        <v>703.5</v>
      </c>
      <c r="FT12">
        <f>[1]q!FT30</f>
        <v>701.2</v>
      </c>
      <c r="FU12">
        <f>[1]q!FU30</f>
        <v>723.7</v>
      </c>
      <c r="FV12">
        <f>[1]q!FV30</f>
        <v>730.6</v>
      </c>
      <c r="FW12">
        <f>[1]q!FW30</f>
        <v>754.7</v>
      </c>
      <c r="FX12">
        <f>[1]q!FX30</f>
        <v>783.5</v>
      </c>
      <c r="FY12">
        <f>[1]q!FY30</f>
        <v>800.90000000000009</v>
      </c>
      <c r="FZ12">
        <f>[1]q!FZ30</f>
        <v>815.6</v>
      </c>
      <c r="GA12">
        <f>[1]q!GA30</f>
        <v>826.80000000000007</v>
      </c>
      <c r="GB12">
        <f>[1]q!GB30</f>
        <v>862.80000000000007</v>
      </c>
      <c r="GC12">
        <f>[1]q!GC30</f>
        <v>875.2</v>
      </c>
      <c r="GD12">
        <f>[1]q!GD30</f>
        <v>886.2</v>
      </c>
      <c r="GE12">
        <f>[1]q!GE30</f>
        <v>901.1</v>
      </c>
      <c r="GF12">
        <f>[1]q!GF30</f>
        <v>908.40000000000009</v>
      </c>
      <c r="GG12">
        <f>[1]q!GG30</f>
        <v>965.30000000000007</v>
      </c>
      <c r="GH12">
        <f>[1]q!GH30</f>
        <v>983.7</v>
      </c>
      <c r="GI12">
        <f>[1]q!GI30</f>
        <v>1022.7</v>
      </c>
      <c r="GJ12">
        <f>[1]q!GJ30</f>
        <v>1046.4000000000001</v>
      </c>
      <c r="GK12">
        <f>[1]q!GK30</f>
        <v>1044.5</v>
      </c>
      <c r="GL12">
        <f>[1]q!GL30</f>
        <v>1049.5</v>
      </c>
      <c r="GM12">
        <f>[1]q!GM30</f>
        <v>1037.4000000000001</v>
      </c>
      <c r="GN12">
        <f>[1]q!GN30</f>
        <v>1032.6000000000001</v>
      </c>
      <c r="GO12">
        <f>[1]q!GO30</f>
        <v>1071.5</v>
      </c>
      <c r="GP12">
        <f>[1]q!GP30</f>
        <v>1063.3</v>
      </c>
      <c r="GQ12">
        <f>[1]q!GQ30</f>
        <v>1075.5</v>
      </c>
      <c r="GR12">
        <f>[1]q!GR30</f>
        <v>1103.7</v>
      </c>
      <c r="GS12">
        <f>[1]q!GS30</f>
        <v>1131.3</v>
      </c>
      <c r="GT12">
        <f>[1]q!GT30</f>
        <v>1150.8</v>
      </c>
      <c r="GU12">
        <f>[1]q!GU30</f>
        <v>1183.5</v>
      </c>
      <c r="GV12">
        <f>[1]q!GV30</f>
        <v>1212.4000000000001</v>
      </c>
      <c r="GW12">
        <f>[1]q!GW30</f>
        <v>1202.9000000000001</v>
      </c>
      <c r="GX12">
        <f>[1]q!GX30</f>
        <v>1187.1000000000001</v>
      </c>
      <c r="GY12">
        <f>[1]q!GY30</f>
        <v>1148.3</v>
      </c>
      <c r="GZ12">
        <f>[1]q!GZ30</f>
        <v>1089.2</v>
      </c>
      <c r="HA12">
        <f>[1]q!HA30</f>
        <v>1058.5</v>
      </c>
      <c r="HB12">
        <f>[1]q!HB30</f>
        <v>1075.4000000000001</v>
      </c>
      <c r="HC12">
        <f>[1]q!HC30</f>
        <v>1104.6000000000001</v>
      </c>
      <c r="HD12">
        <f>[1]q!HD30</f>
        <v>1112.3</v>
      </c>
      <c r="HE12">
        <f>[1]q!HE30</f>
        <v>1101</v>
      </c>
      <c r="HF12">
        <f>[1]q!HF30</f>
        <v>1090.8</v>
      </c>
      <c r="HG12">
        <f>[1]q!HG30</f>
        <v>1087.3</v>
      </c>
      <c r="HH12">
        <f>[1]q!HH30</f>
        <v>1116.8</v>
      </c>
      <c r="HI12">
        <f>[1]q!HI30</f>
        <v>1169.1000000000001</v>
      </c>
      <c r="HJ12">
        <f>[1]q!HJ30</f>
        <v>1197</v>
      </c>
      <c r="HK12">
        <f>[1]q!HK30</f>
        <v>1215.7</v>
      </c>
      <c r="HL12">
        <f>[1]q!HL30</f>
        <v>1224.7</v>
      </c>
      <c r="HM12">
        <f>[1]q!HM30</f>
        <v>1252.8000000000002</v>
      </c>
      <c r="HN12">
        <f>[1]q!HN30</f>
        <v>1276.2</v>
      </c>
      <c r="HO12">
        <f>[1]q!HO30</f>
        <v>1303.6000000000001</v>
      </c>
      <c r="HP12">
        <f>[1]q!HP30</f>
        <v>1303.9000000000001</v>
      </c>
      <c r="HQ12">
        <f>[1]q!HQ30</f>
        <v>1336.6000000000001</v>
      </c>
      <c r="HR12">
        <f>[1]q!HR30</f>
        <v>1388.7</v>
      </c>
      <c r="HS12">
        <f>[1]q!HS30</f>
        <v>1412.1000000000001</v>
      </c>
      <c r="HT12">
        <f>[1]q!HT30</f>
        <v>1414.2</v>
      </c>
      <c r="HU12">
        <f>[1]q!HU30</f>
        <v>1473.5</v>
      </c>
      <c r="HV12">
        <f>[1]q!HV30</f>
        <v>1496.5</v>
      </c>
      <c r="HW12">
        <f>[1]q!HW30</f>
        <v>1521.3000000000002</v>
      </c>
      <c r="HX12">
        <f>[1]q!HX30</f>
        <v>1578</v>
      </c>
      <c r="HY12">
        <f>[1]q!HY30</f>
        <v>1621.9</v>
      </c>
      <c r="HZ12">
        <f>[1]q!HZ30</f>
        <v>1643.9</v>
      </c>
      <c r="IA12">
        <f>[1]q!IA30</f>
        <v>1693.9</v>
      </c>
      <c r="IB12">
        <f>[1]q!IB30</f>
        <v>1678.7</v>
      </c>
      <c r="IC12">
        <f>[1]q!IC30</f>
        <v>1580.6000000000001</v>
      </c>
      <c r="ID12">
        <f>[1]q!ID30</f>
        <v>1451.1000000000001</v>
      </c>
      <c r="IE12">
        <f>[1]q!IE30</f>
        <v>1449.4</v>
      </c>
      <c r="IF12">
        <f>[1]q!IF30</f>
        <v>1497.3000000000002</v>
      </c>
      <c r="IG12">
        <f>[1]q!IG30</f>
        <v>1578.3000000000002</v>
      </c>
      <c r="IH12">
        <f>[1]q!IH30</f>
        <v>1606.2</v>
      </c>
      <c r="II12">
        <f>[1]q!II30</f>
        <v>1645</v>
      </c>
      <c r="IJ12">
        <f>[1]q!IJ30</f>
        <v>1684.8000000000002</v>
      </c>
      <c r="IK12">
        <f>[1]q!IK30</f>
        <v>1716.8000000000002</v>
      </c>
      <c r="IL12">
        <f>[1]q!IL30</f>
        <v>1749.6000000000001</v>
      </c>
      <c r="IM12">
        <f>[1]q!IM30</f>
        <v>1765</v>
      </c>
      <c r="IN12">
        <f>[1]q!IN30</f>
        <v>1782.4</v>
      </c>
    </row>
    <row r="13" spans="1:261" x14ac:dyDescent="0.25">
      <c r="A13" s="1" t="s">
        <v>72</v>
      </c>
      <c r="B13">
        <f>[1]q!B33</f>
        <v>56.400000000000006</v>
      </c>
      <c r="C13">
        <f>[1]q!C33</f>
        <v>59.5</v>
      </c>
      <c r="D13">
        <f>[1]q!D33</f>
        <v>73.400000000000006</v>
      </c>
      <c r="E13">
        <f>[1]q!E33</f>
        <v>73.600000000000009</v>
      </c>
      <c r="F13">
        <f>[1]q!F33</f>
        <v>73.600000000000009</v>
      </c>
      <c r="G13">
        <f>[1]q!G33</f>
        <v>71.100000000000009</v>
      </c>
      <c r="H13">
        <f>[1]q!H33</f>
        <v>65.100000000000009</v>
      </c>
      <c r="I13">
        <f>[1]q!I33</f>
        <v>63.400000000000006</v>
      </c>
      <c r="J13">
        <f>[1]q!J33</f>
        <v>70.8</v>
      </c>
      <c r="K13">
        <f>[1]q!K33</f>
        <v>70.400000000000006</v>
      </c>
      <c r="L13">
        <f>[1]q!L33</f>
        <v>74.7</v>
      </c>
      <c r="M13">
        <f>[1]q!M33</f>
        <v>81.400000000000006</v>
      </c>
      <c r="N13">
        <f>[1]q!N33</f>
        <v>79.400000000000006</v>
      </c>
      <c r="O13">
        <f>[1]q!O33</f>
        <v>83.5</v>
      </c>
      <c r="P13">
        <f>[1]q!P33</f>
        <v>83.2</v>
      </c>
      <c r="Q13">
        <f>[1]q!Q33</f>
        <v>79.100000000000009</v>
      </c>
      <c r="R13">
        <f>[1]q!R33</f>
        <v>74.5</v>
      </c>
      <c r="S13">
        <f>[1]q!S33</f>
        <v>81.2</v>
      </c>
      <c r="T13">
        <f>[1]q!T33</f>
        <v>76.3</v>
      </c>
      <c r="U13">
        <f>[1]q!U33</f>
        <v>77.100000000000009</v>
      </c>
      <c r="V13">
        <f>[1]q!V33</f>
        <v>81.600000000000009</v>
      </c>
      <c r="W13">
        <f>[1]q!W33</f>
        <v>86.2</v>
      </c>
      <c r="X13">
        <f>[1]q!X33</f>
        <v>87.7</v>
      </c>
      <c r="Y13">
        <f>[1]q!Y33</f>
        <v>90.9</v>
      </c>
      <c r="Z13">
        <f>[1]q!Z33</f>
        <v>94.7</v>
      </c>
      <c r="AA13">
        <f>[1]q!AA33</f>
        <v>94.2</v>
      </c>
      <c r="AB13">
        <f>[1]q!AB33</f>
        <v>95</v>
      </c>
      <c r="AC13">
        <f>[1]q!AC33</f>
        <v>90.7</v>
      </c>
      <c r="AD13">
        <f>[1]q!AD33</f>
        <v>97.9</v>
      </c>
      <c r="AE13">
        <f>[1]q!AE33</f>
        <v>98.600000000000009</v>
      </c>
      <c r="AF13">
        <f>[1]q!AF33</f>
        <v>96.7</v>
      </c>
      <c r="AG13">
        <f>[1]q!AG33</f>
        <v>97.100000000000009</v>
      </c>
      <c r="AH13">
        <f>[1]q!AH33</f>
        <v>98.5</v>
      </c>
      <c r="AI13">
        <f>[1]q!AI33</f>
        <v>102.7</v>
      </c>
      <c r="AJ13">
        <f>[1]q!AJ33</f>
        <v>101.2</v>
      </c>
      <c r="AK13">
        <f>[1]q!AK33</f>
        <v>106.5</v>
      </c>
      <c r="AL13">
        <f>[1]q!AL33</f>
        <v>109.2</v>
      </c>
      <c r="AM13">
        <f>[1]q!AM33</f>
        <v>114.5</v>
      </c>
      <c r="AN13">
        <f>[1]q!AN33</f>
        <v>115.60000000000001</v>
      </c>
      <c r="AO13">
        <f>[1]q!AO33</f>
        <v>112.60000000000001</v>
      </c>
      <c r="AP13">
        <f>[1]q!AP33</f>
        <v>116.9</v>
      </c>
      <c r="AQ13">
        <f>[1]q!AQ33</f>
        <v>117.80000000000001</v>
      </c>
      <c r="AR13">
        <f>[1]q!AR33</f>
        <v>114.30000000000001</v>
      </c>
      <c r="AS13">
        <f>[1]q!AS33</f>
        <v>108.9</v>
      </c>
      <c r="AT13">
        <f>[1]q!AT33</f>
        <v>108.4</v>
      </c>
      <c r="AU13">
        <f>[1]q!AU33</f>
        <v>109.7</v>
      </c>
      <c r="AV13">
        <f>[1]q!AV33</f>
        <v>117</v>
      </c>
      <c r="AW13">
        <f>[1]q!AW33</f>
        <v>119.7</v>
      </c>
      <c r="AX13">
        <f>[1]q!AX33</f>
        <v>123.4</v>
      </c>
      <c r="AY13">
        <f>[1]q!AY33</f>
        <v>126.10000000000001</v>
      </c>
      <c r="AZ13">
        <f>[1]q!AZ33</f>
        <v>127.7</v>
      </c>
      <c r="BA13">
        <f>[1]q!BA33</f>
        <v>129.20000000000002</v>
      </c>
      <c r="BB13">
        <f>[1]q!BB33</f>
        <v>126.30000000000001</v>
      </c>
      <c r="BC13">
        <f>[1]q!BC33</f>
        <v>129.20000000000002</v>
      </c>
      <c r="BD13">
        <f>[1]q!BD33</f>
        <v>132.5</v>
      </c>
      <c r="BE13">
        <f>[1]q!BE33</f>
        <v>132.1</v>
      </c>
      <c r="BF13">
        <f>[1]q!BF33</f>
        <v>131.9</v>
      </c>
      <c r="BG13">
        <f>[1]q!BG33</f>
        <v>134.9</v>
      </c>
      <c r="BH13">
        <f>[1]q!BH33</f>
        <v>138.5</v>
      </c>
      <c r="BI13">
        <f>[1]q!BI33</f>
        <v>142.30000000000001</v>
      </c>
      <c r="BJ13">
        <f>[1]q!BJ33</f>
        <v>137.20000000000002</v>
      </c>
      <c r="BK13">
        <f>[1]q!BK33</f>
        <v>153.30000000000001</v>
      </c>
      <c r="BL13">
        <f>[1]q!BL33</f>
        <v>154</v>
      </c>
      <c r="BM13">
        <f>[1]q!BM33</f>
        <v>161.5</v>
      </c>
      <c r="BN13">
        <f>[1]q!BN33</f>
        <v>165.70000000000002</v>
      </c>
      <c r="BO13">
        <f>[1]q!BO33</f>
        <v>169.8</v>
      </c>
      <c r="BP13">
        <f>[1]q!BP33</f>
        <v>179.3</v>
      </c>
      <c r="BQ13">
        <f>[1]q!BQ33</f>
        <v>181.3</v>
      </c>
      <c r="BR13">
        <f>[1]q!BR33</f>
        <v>184.20000000000002</v>
      </c>
      <c r="BS13">
        <f>[1]q!BS33</f>
        <v>182.70000000000002</v>
      </c>
      <c r="BT13">
        <f>[1]q!BT33</f>
        <v>185.10000000000002</v>
      </c>
      <c r="BU13">
        <f>[1]q!BU33</f>
        <v>194.8</v>
      </c>
      <c r="BV13">
        <f>[1]q!BV33</f>
        <v>206.3</v>
      </c>
      <c r="BW13">
        <f>[1]q!BW33</f>
        <v>209.5</v>
      </c>
      <c r="BX13">
        <f>[1]q!BX33</f>
        <v>222.10000000000002</v>
      </c>
      <c r="BY13">
        <f>[1]q!BY33</f>
        <v>220.20000000000002</v>
      </c>
      <c r="BZ13">
        <f>[1]q!BZ33</f>
        <v>199.4</v>
      </c>
      <c r="CA13">
        <f>[1]q!CA33</f>
        <v>238.8</v>
      </c>
      <c r="CB13">
        <f>[1]q!CB33</f>
        <v>235.70000000000002</v>
      </c>
      <c r="CC13">
        <f>[1]q!CC33</f>
        <v>233.10000000000002</v>
      </c>
      <c r="CD13">
        <f>[1]q!CD33</f>
        <v>232.3</v>
      </c>
      <c r="CE13">
        <f>[1]q!CE33</f>
        <v>236.9</v>
      </c>
      <c r="CF13">
        <f>[1]q!CF33</f>
        <v>236.4</v>
      </c>
      <c r="CG13">
        <f>[1]q!CG33</f>
        <v>240</v>
      </c>
      <c r="CH13">
        <f>[1]q!CH33</f>
        <v>237.20000000000002</v>
      </c>
      <c r="CI13">
        <f>[1]q!CI33</f>
        <v>255.10000000000002</v>
      </c>
      <c r="CJ13">
        <f>[1]q!CJ33</f>
        <v>260.7</v>
      </c>
      <c r="CK13">
        <f>[1]q!CK33</f>
        <v>243.10000000000002</v>
      </c>
      <c r="CL13">
        <f>[1]q!CL33</f>
        <v>278.60000000000002</v>
      </c>
      <c r="CM13">
        <f>[1]q!CM33</f>
        <v>268.7</v>
      </c>
      <c r="CN13">
        <f>[1]q!CN33</f>
        <v>274.3</v>
      </c>
      <c r="CO13">
        <f>[1]q!CO33</f>
        <v>286.60000000000002</v>
      </c>
      <c r="CP13">
        <f>[1]q!CP33</f>
        <v>299.90000000000003</v>
      </c>
      <c r="CQ13">
        <f>[1]q!CQ33</f>
        <v>291.2</v>
      </c>
      <c r="CR13">
        <f>[1]q!CR33</f>
        <v>283.2</v>
      </c>
      <c r="CS13">
        <f>[1]q!CS33</f>
        <v>285.3</v>
      </c>
      <c r="CT13">
        <f>[1]q!CT33</f>
        <v>275.60000000000002</v>
      </c>
      <c r="CU13">
        <f>[1]q!CU33</f>
        <v>290.2</v>
      </c>
      <c r="CV13">
        <f>[1]q!CV33</f>
        <v>285.10000000000002</v>
      </c>
      <c r="CW13">
        <f>[1]q!CW33</f>
        <v>282.3</v>
      </c>
      <c r="CX13">
        <f>[1]q!CX33</f>
        <v>254</v>
      </c>
      <c r="CY13">
        <f>[1]q!CY33</f>
        <v>233.70000000000002</v>
      </c>
      <c r="CZ13">
        <f>[1]q!CZ33</f>
        <v>253.10000000000002</v>
      </c>
      <c r="DA13">
        <f>[1]q!DA33</f>
        <v>266.60000000000002</v>
      </c>
      <c r="DB13">
        <f>[1]q!DB33</f>
        <v>283.3</v>
      </c>
      <c r="DC13">
        <f>[1]q!DC33</f>
        <v>295.60000000000002</v>
      </c>
      <c r="DD13">
        <f>[1]q!DD33</f>
        <v>307.60000000000002</v>
      </c>
      <c r="DE13">
        <f>[1]q!DE33</f>
        <v>317.8</v>
      </c>
      <c r="DF13">
        <f>[1]q!DF33</f>
        <v>332.90000000000003</v>
      </c>
      <c r="DG13">
        <f>[1]q!DG33</f>
        <v>335.90000000000003</v>
      </c>
      <c r="DH13">
        <f>[1]q!DH33</f>
        <v>331.20000000000005</v>
      </c>
      <c r="DI13">
        <f>[1]q!DI33</f>
        <v>335.90000000000003</v>
      </c>
      <c r="DJ13">
        <f>[1]q!DJ33</f>
        <v>358.5</v>
      </c>
      <c r="DK13">
        <f>[1]q!DK33</f>
        <v>359.6</v>
      </c>
      <c r="DL13">
        <f>[1]q!DL33</f>
        <v>364.3</v>
      </c>
      <c r="DM13">
        <f>[1]q!DM33</f>
        <v>369.3</v>
      </c>
      <c r="DN13">
        <f>[1]q!DN33</f>
        <v>368.3</v>
      </c>
      <c r="DO13">
        <f>[1]q!DO33</f>
        <v>370.3</v>
      </c>
      <c r="DP13">
        <f>[1]q!DP33</f>
        <v>364.6</v>
      </c>
      <c r="DQ13">
        <f>[1]q!DQ33</f>
        <v>372.6</v>
      </c>
      <c r="DR13">
        <f>[1]q!DR33</f>
        <v>372.90000000000003</v>
      </c>
      <c r="DS13">
        <f>[1]q!DS33</f>
        <v>345.8</v>
      </c>
      <c r="DT13">
        <f>[1]q!DT33</f>
        <v>321</v>
      </c>
      <c r="DU13">
        <f>[1]q!DU33</f>
        <v>338.20000000000005</v>
      </c>
      <c r="DV13">
        <f>[1]q!DV33</f>
        <v>352.6</v>
      </c>
      <c r="DW13">
        <f>[1]q!DW33</f>
        <v>353.20000000000005</v>
      </c>
      <c r="DX13">
        <f>[1]q!DX33</f>
        <v>349.1</v>
      </c>
      <c r="DY13">
        <f>[1]q!DY33</f>
        <v>359.1</v>
      </c>
      <c r="DZ13">
        <f>[1]q!DZ33</f>
        <v>348.90000000000003</v>
      </c>
      <c r="EA13">
        <f>[1]q!EA33</f>
        <v>343.20000000000005</v>
      </c>
      <c r="EB13">
        <f>[1]q!EB33</f>
        <v>359.1</v>
      </c>
      <c r="EC13">
        <f>[1]q!EC33</f>
        <v>345</v>
      </c>
      <c r="ED13">
        <f>[1]q!ED33</f>
        <v>352.90000000000003</v>
      </c>
      <c r="EE13">
        <f>[1]q!EE33</f>
        <v>380.1</v>
      </c>
      <c r="EF13">
        <f>[1]q!EF33</f>
        <v>409.70000000000005</v>
      </c>
      <c r="EG13">
        <f>[1]q!EG33</f>
        <v>429.8</v>
      </c>
      <c r="EH13">
        <f>[1]q!EH33</f>
        <v>464.3</v>
      </c>
      <c r="EI13">
        <f>[1]q!EI33</f>
        <v>483.8</v>
      </c>
      <c r="EJ13">
        <f>[1]q!EJ33</f>
        <v>496.3</v>
      </c>
      <c r="EK13">
        <f>[1]q!EK33</f>
        <v>510.8</v>
      </c>
      <c r="EL13">
        <f>[1]q!EL33</f>
        <v>499.6</v>
      </c>
      <c r="EM13">
        <f>[1]q!EM33</f>
        <v>524.1</v>
      </c>
      <c r="EN13">
        <f>[1]q!EN33</f>
        <v>519</v>
      </c>
      <c r="EO13">
        <f>[1]q!EO33</f>
        <v>539.4</v>
      </c>
      <c r="EP13">
        <f>[1]q!EP33</f>
        <v>538.9</v>
      </c>
      <c r="EQ13">
        <f>[1]q!EQ33</f>
        <v>561.80000000000007</v>
      </c>
      <c r="ER13">
        <f>[1]q!ER33</f>
        <v>577.4</v>
      </c>
      <c r="ES13">
        <f>[1]q!ES33</f>
        <v>581.9</v>
      </c>
      <c r="ET13">
        <f>[1]q!ET33</f>
        <v>578.4</v>
      </c>
      <c r="EU13">
        <f>[1]q!EU33</f>
        <v>592.80000000000007</v>
      </c>
      <c r="EV13">
        <f>[1]q!EV33</f>
        <v>604.30000000000007</v>
      </c>
      <c r="EW13">
        <f>[1]q!EW33</f>
        <v>618.20000000000005</v>
      </c>
      <c r="EX13">
        <f>[1]q!EX33</f>
        <v>615.30000000000007</v>
      </c>
      <c r="EY13">
        <f>[1]q!EY33</f>
        <v>608.30000000000007</v>
      </c>
      <c r="EZ13">
        <f>[1]q!EZ33</f>
        <v>622.6</v>
      </c>
      <c r="FA13">
        <f>[1]q!FA33</f>
        <v>641.6</v>
      </c>
      <c r="FB13">
        <f>[1]q!FB33</f>
        <v>644.6</v>
      </c>
      <c r="FC13">
        <f>[1]q!FC33</f>
        <v>647.6</v>
      </c>
      <c r="FD13">
        <f>[1]q!FD33</f>
        <v>646.70000000000005</v>
      </c>
      <c r="FE13">
        <f>[1]q!FE33</f>
        <v>658.40000000000009</v>
      </c>
      <c r="FF13">
        <f>[1]q!FF33</f>
        <v>679.30000000000007</v>
      </c>
      <c r="FG13">
        <f>[1]q!FG33</f>
        <v>678.2</v>
      </c>
      <c r="FH13">
        <f>[1]q!FH33</f>
        <v>675.40000000000009</v>
      </c>
      <c r="FI13">
        <f>[1]q!FI33</f>
        <v>657.30000000000007</v>
      </c>
      <c r="FJ13">
        <f>[1]q!FJ33</f>
        <v>649.80000000000007</v>
      </c>
      <c r="FK13">
        <f>[1]q!FK33</f>
        <v>661.40000000000009</v>
      </c>
      <c r="FL13">
        <f>[1]q!FL33</f>
        <v>680</v>
      </c>
      <c r="FM13">
        <f>[1]q!FM33</f>
        <v>695</v>
      </c>
      <c r="FN13">
        <f>[1]q!FN33</f>
        <v>700.1</v>
      </c>
      <c r="FO13">
        <f>[1]q!FO33</f>
        <v>711.6</v>
      </c>
      <c r="FP13">
        <f>[1]q!FP33</f>
        <v>722.80000000000007</v>
      </c>
      <c r="FQ13">
        <f>[1]q!FQ33</f>
        <v>740.1</v>
      </c>
      <c r="FR13">
        <f>[1]q!FR33</f>
        <v>756.1</v>
      </c>
      <c r="FS13">
        <f>[1]q!FS33</f>
        <v>771.80000000000007</v>
      </c>
      <c r="FT13">
        <f>[1]q!FT33</f>
        <v>781.90000000000009</v>
      </c>
      <c r="FU13">
        <f>[1]q!FU33</f>
        <v>813.40000000000009</v>
      </c>
      <c r="FV13">
        <f>[1]q!FV33</f>
        <v>832.30000000000007</v>
      </c>
      <c r="FW13">
        <f>[1]q!FW33</f>
        <v>863.30000000000007</v>
      </c>
      <c r="FX13">
        <f>[1]q!FX33</f>
        <v>887.6</v>
      </c>
      <c r="FY13">
        <f>[1]q!FY33</f>
        <v>912.6</v>
      </c>
      <c r="FZ13">
        <f>[1]q!FZ33</f>
        <v>932.6</v>
      </c>
      <c r="GA13">
        <f>[1]q!GA33</f>
        <v>941.5</v>
      </c>
      <c r="GB13">
        <f>[1]q!GB33</f>
        <v>944.7</v>
      </c>
      <c r="GC13">
        <f>[1]q!GC33</f>
        <v>956.80000000000007</v>
      </c>
      <c r="GD13">
        <f>[1]q!GD33</f>
        <v>987.90000000000009</v>
      </c>
      <c r="GE13">
        <f>[1]q!GE33</f>
        <v>1010</v>
      </c>
      <c r="GF13">
        <f>[1]q!GF33</f>
        <v>1042.7</v>
      </c>
      <c r="GG13">
        <f>[1]q!GG33</f>
        <v>1063.3</v>
      </c>
      <c r="GH13">
        <f>[1]q!GH33</f>
        <v>1108.7</v>
      </c>
      <c r="GI13">
        <f>[1]q!GI33</f>
        <v>1145.9000000000001</v>
      </c>
      <c r="GJ13">
        <f>[1]q!GJ33</f>
        <v>1188.1000000000001</v>
      </c>
      <c r="GK13">
        <f>[1]q!GK33</f>
        <v>1213.8</v>
      </c>
      <c r="GL13">
        <f>[1]q!GL33</f>
        <v>1259.3000000000002</v>
      </c>
      <c r="GM13">
        <f>[1]q!GM33</f>
        <v>1288.2</v>
      </c>
      <c r="GN13">
        <f>[1]q!GN33</f>
        <v>1305.5</v>
      </c>
      <c r="GO13">
        <f>[1]q!GO33</f>
        <v>1347.8000000000002</v>
      </c>
      <c r="GP13">
        <f>[1]q!GP33</f>
        <v>1382.1000000000001</v>
      </c>
      <c r="GQ13">
        <f>[1]q!GQ33</f>
        <v>1426.1000000000001</v>
      </c>
      <c r="GR13">
        <f>[1]q!GR33</f>
        <v>1477.9</v>
      </c>
      <c r="GS13">
        <f>[1]q!GS33</f>
        <v>1513.3000000000002</v>
      </c>
      <c r="GT13">
        <f>[1]q!GT33</f>
        <v>1574.7</v>
      </c>
      <c r="GU13">
        <f>[1]q!GU33</f>
        <v>1622.7</v>
      </c>
      <c r="GV13">
        <f>[1]q!GV33</f>
        <v>1679.4</v>
      </c>
      <c r="GW13">
        <f>[1]q!GW33</f>
        <v>1678.1000000000001</v>
      </c>
      <c r="GX13">
        <f>[1]q!GX33</f>
        <v>1653.7</v>
      </c>
      <c r="GY13">
        <f>[1]q!GY33</f>
        <v>1604.4</v>
      </c>
      <c r="GZ13">
        <f>[1]q!GZ33</f>
        <v>1565.6000000000001</v>
      </c>
      <c r="HA13">
        <f>[1]q!HA33</f>
        <v>1546.9</v>
      </c>
      <c r="HB13">
        <f>[1]q!HB33</f>
        <v>1585.7</v>
      </c>
      <c r="HC13">
        <f>[1]q!HC33</f>
        <v>1639.2</v>
      </c>
      <c r="HD13">
        <f>[1]q!HD33</f>
        <v>1666.2</v>
      </c>
      <c r="HE13">
        <f>[1]q!HE33</f>
        <v>1696.2</v>
      </c>
      <c r="HF13">
        <f>[1]q!HF33</f>
        <v>1675.7</v>
      </c>
      <c r="HG13">
        <f>[1]q!HG33</f>
        <v>1699.6000000000001</v>
      </c>
      <c r="HH13">
        <f>[1]q!HH33</f>
        <v>1719.6000000000001</v>
      </c>
      <c r="HI13">
        <f>[1]q!HI33</f>
        <v>1783.8000000000002</v>
      </c>
      <c r="HJ13">
        <f>[1]q!HJ33</f>
        <v>1829.2</v>
      </c>
      <c r="HK13">
        <f>[1]q!HK33</f>
        <v>1902.6000000000001</v>
      </c>
      <c r="HL13">
        <f>[1]q!HL33</f>
        <v>1930.4</v>
      </c>
      <c r="HM13">
        <f>[1]q!HM33</f>
        <v>1979.4</v>
      </c>
      <c r="HN13">
        <f>[1]q!HN33</f>
        <v>1990.9</v>
      </c>
      <c r="HO13">
        <f>[1]q!HO33</f>
        <v>2012.9</v>
      </c>
      <c r="HP13">
        <f>[1]q!HP33</f>
        <v>2025.3000000000002</v>
      </c>
      <c r="HQ13">
        <f>[1]q!HQ33</f>
        <v>2082.1</v>
      </c>
      <c r="HR13">
        <f>[1]q!HR33</f>
        <v>2121.5</v>
      </c>
      <c r="HS13">
        <f>[1]q!HS33</f>
        <v>2145.2000000000003</v>
      </c>
      <c r="HT13">
        <f>[1]q!HT33</f>
        <v>2170.9</v>
      </c>
      <c r="HU13">
        <f>[1]q!HU33</f>
        <v>2168.2000000000003</v>
      </c>
      <c r="HV13">
        <f>[1]q!HV33</f>
        <v>2199.8000000000002</v>
      </c>
      <c r="HW13">
        <f>[1]q!HW33</f>
        <v>2210.7000000000003</v>
      </c>
      <c r="HX13">
        <f>[1]q!HX33</f>
        <v>2216</v>
      </c>
      <c r="HY13">
        <f>[1]q!HY33</f>
        <v>2186.5</v>
      </c>
      <c r="HZ13">
        <f>[1]q!HZ33</f>
        <v>2194.1</v>
      </c>
      <c r="IA13">
        <f>[1]q!IA33</f>
        <v>2180.1</v>
      </c>
      <c r="IB13">
        <f>[1]q!IB33</f>
        <v>2143.3000000000002</v>
      </c>
      <c r="IC13">
        <f>[1]q!IC33</f>
        <v>2058.6</v>
      </c>
      <c r="ID13">
        <f>[1]q!ID33</f>
        <v>1855.3000000000002</v>
      </c>
      <c r="IE13">
        <f>[1]q!IE33</f>
        <v>1781.2</v>
      </c>
      <c r="IF13">
        <f>[1]q!IF33</f>
        <v>1849.7</v>
      </c>
      <c r="IG13">
        <f>[1]q!IG33</f>
        <v>1925.2</v>
      </c>
      <c r="IH13">
        <f>[1]q!IH33</f>
        <v>1983</v>
      </c>
      <c r="II13">
        <f>[1]q!II33</f>
        <v>2082.4</v>
      </c>
      <c r="IJ13">
        <f>[1]q!IJ33</f>
        <v>2143.5</v>
      </c>
      <c r="IK13">
        <f>[1]q!IK33</f>
        <v>2131</v>
      </c>
      <c r="IL13">
        <f>[1]q!IL33</f>
        <v>2173.9</v>
      </c>
      <c r="IM13">
        <f>[1]q!IM33</f>
        <v>2181.4</v>
      </c>
      <c r="IN13">
        <f>[1]q!IN33</f>
        <v>2191.8000000000002</v>
      </c>
    </row>
    <row r="14" spans="1:261" x14ac:dyDescent="0.25">
      <c r="A14" s="1" t="s">
        <v>71</v>
      </c>
      <c r="B14">
        <f>[1]q!B36</f>
        <v>483.5</v>
      </c>
      <c r="C14">
        <f>[1]q!C36</f>
        <v>491.40000000000003</v>
      </c>
      <c r="D14">
        <f>[1]q!D36</f>
        <v>482</v>
      </c>
      <c r="E14">
        <f>[1]q!E36</f>
        <v>512.70000000000005</v>
      </c>
      <c r="F14">
        <f>[1]q!F36</f>
        <v>567.5</v>
      </c>
      <c r="G14">
        <f>[1]q!G36</f>
        <v>645.6</v>
      </c>
      <c r="H14">
        <f>[1]q!H36</f>
        <v>718.80000000000007</v>
      </c>
      <c r="I14">
        <f>[1]q!I36</f>
        <v>758.90000000000009</v>
      </c>
      <c r="J14">
        <f>[1]q!J36</f>
        <v>782.40000000000009</v>
      </c>
      <c r="K14">
        <f>[1]q!K36</f>
        <v>808.90000000000009</v>
      </c>
      <c r="L14">
        <f>[1]q!L36</f>
        <v>817</v>
      </c>
      <c r="M14">
        <f>[1]q!M36</f>
        <v>831.6</v>
      </c>
      <c r="N14">
        <f>[1]q!N36</f>
        <v>859.80000000000007</v>
      </c>
      <c r="O14">
        <f>[1]q!O36</f>
        <v>878.7</v>
      </c>
      <c r="P14">
        <f>[1]q!P36</f>
        <v>868.1</v>
      </c>
      <c r="Q14">
        <f>[1]q!Q36</f>
        <v>865.40000000000009</v>
      </c>
      <c r="R14">
        <f>[1]q!R36</f>
        <v>842.2</v>
      </c>
      <c r="S14">
        <f>[1]q!S36</f>
        <v>812.5</v>
      </c>
      <c r="T14">
        <f>[1]q!T36</f>
        <v>792.90000000000009</v>
      </c>
      <c r="U14">
        <f>[1]q!U36</f>
        <v>788</v>
      </c>
      <c r="V14">
        <f>[1]q!V36</f>
        <v>787.1</v>
      </c>
      <c r="W14">
        <f>[1]q!W36</f>
        <v>779.30000000000007</v>
      </c>
      <c r="X14">
        <f>[1]q!X36</f>
        <v>784</v>
      </c>
      <c r="Y14">
        <f>[1]q!Y36</f>
        <v>767</v>
      </c>
      <c r="Z14">
        <f>[1]q!Z36</f>
        <v>766.6</v>
      </c>
      <c r="AA14">
        <f>[1]q!AA36</f>
        <v>782.7</v>
      </c>
      <c r="AB14">
        <f>[1]q!AB36</f>
        <v>775.30000000000007</v>
      </c>
      <c r="AC14">
        <f>[1]q!AC36</f>
        <v>795.40000000000009</v>
      </c>
      <c r="AD14">
        <f>[1]q!AD36</f>
        <v>811.7</v>
      </c>
      <c r="AE14">
        <f>[1]q!AE36</f>
        <v>806.7</v>
      </c>
      <c r="AF14">
        <f>[1]q!AF36</f>
        <v>812.90000000000009</v>
      </c>
      <c r="AG14">
        <f>[1]q!AG36</f>
        <v>827.7</v>
      </c>
      <c r="AH14">
        <f>[1]q!AH36</f>
        <v>818.40000000000009</v>
      </c>
      <c r="AI14">
        <f>[1]q!AI36</f>
        <v>838.90000000000009</v>
      </c>
      <c r="AJ14">
        <f>[1]q!AJ36</f>
        <v>844.2</v>
      </c>
      <c r="AK14">
        <f>[1]q!AK36</f>
        <v>862.2</v>
      </c>
      <c r="AL14">
        <f>[1]q!AL36</f>
        <v>856.6</v>
      </c>
      <c r="AM14">
        <f>[1]q!AM36</f>
        <v>869.7</v>
      </c>
      <c r="AN14">
        <f>[1]q!AN36</f>
        <v>880.6</v>
      </c>
      <c r="AO14">
        <f>[1]q!AO36</f>
        <v>871</v>
      </c>
      <c r="AP14">
        <f>[1]q!AP36</f>
        <v>853.90000000000009</v>
      </c>
      <c r="AQ14">
        <f>[1]q!AQ36</f>
        <v>860.80000000000007</v>
      </c>
      <c r="AR14">
        <f>[1]q!AR36</f>
        <v>881.5</v>
      </c>
      <c r="AS14">
        <f>[1]q!AS36</f>
        <v>887.7</v>
      </c>
      <c r="AT14">
        <f>[1]q!AT36</f>
        <v>899.30000000000007</v>
      </c>
      <c r="AU14">
        <f>[1]q!AU36</f>
        <v>901.40000000000009</v>
      </c>
      <c r="AV14">
        <f>[1]q!AV36</f>
        <v>919.1</v>
      </c>
      <c r="AW14">
        <f>[1]q!AW36</f>
        <v>939.30000000000007</v>
      </c>
      <c r="AX14">
        <f>[1]q!AX36</f>
        <v>955.90000000000009</v>
      </c>
      <c r="AY14">
        <f>[1]q!AY36</f>
        <v>961.1</v>
      </c>
      <c r="AZ14">
        <f>[1]q!AZ36</f>
        <v>983</v>
      </c>
      <c r="BA14">
        <f>[1]q!BA36</f>
        <v>984.40000000000009</v>
      </c>
      <c r="BB14">
        <f>[1]q!BB36</f>
        <v>978.40000000000009</v>
      </c>
      <c r="BC14">
        <f>[1]q!BC36</f>
        <v>977.2</v>
      </c>
      <c r="BD14">
        <f>[1]q!BD36</f>
        <v>1019.1</v>
      </c>
      <c r="BE14">
        <f>[1]q!BE36</f>
        <v>1009.8000000000001</v>
      </c>
      <c r="BF14">
        <f>[1]q!BF36</f>
        <v>1013.5</v>
      </c>
      <c r="BG14">
        <f>[1]q!BG36</f>
        <v>1020.1</v>
      </c>
      <c r="BH14">
        <f>[1]q!BH36</f>
        <v>1020.7</v>
      </c>
      <c r="BI14">
        <f>[1]q!BI36</f>
        <v>1017.8000000000001</v>
      </c>
      <c r="BJ14">
        <f>[1]q!BJ36</f>
        <v>1015.3000000000001</v>
      </c>
      <c r="BK14">
        <f>[1]q!BK36</f>
        <v>1028.4000000000001</v>
      </c>
      <c r="BL14">
        <f>[1]q!BL36</f>
        <v>1064</v>
      </c>
      <c r="BM14">
        <f>[1]q!BM36</f>
        <v>1086.9000000000001</v>
      </c>
      <c r="BN14">
        <f>[1]q!BN36</f>
        <v>1106.4000000000001</v>
      </c>
      <c r="BO14">
        <f>[1]q!BO36</f>
        <v>1126</v>
      </c>
      <c r="BP14">
        <f>[1]q!BP36</f>
        <v>1156.5</v>
      </c>
      <c r="BQ14">
        <f>[1]q!BQ36</f>
        <v>1175.3</v>
      </c>
      <c r="BR14">
        <f>[1]q!BR36</f>
        <v>1225.2</v>
      </c>
      <c r="BS14">
        <f>[1]q!BS36</f>
        <v>1218.5</v>
      </c>
      <c r="BT14">
        <f>[1]q!BT36</f>
        <v>1231.2</v>
      </c>
      <c r="BU14">
        <f>[1]q!BU36</f>
        <v>1239.6000000000001</v>
      </c>
      <c r="BV14">
        <f>[1]q!BV36</f>
        <v>1261.3000000000002</v>
      </c>
      <c r="BW14">
        <f>[1]q!BW36</f>
        <v>1267.1000000000001</v>
      </c>
      <c r="BX14">
        <f>[1]q!BX36</f>
        <v>1269.7</v>
      </c>
      <c r="BY14">
        <f>[1]q!BY36</f>
        <v>1270.8000000000002</v>
      </c>
      <c r="BZ14">
        <f>[1]q!BZ36</f>
        <v>1272</v>
      </c>
      <c r="CA14">
        <f>[1]q!CA36</f>
        <v>1266.7</v>
      </c>
      <c r="CB14">
        <f>[1]q!CB36</f>
        <v>1268.5</v>
      </c>
      <c r="CC14">
        <f>[1]q!CC36</f>
        <v>1249.8000000000002</v>
      </c>
      <c r="CD14">
        <f>[1]q!CD36</f>
        <v>1243.1000000000001</v>
      </c>
      <c r="CE14">
        <f>[1]q!CE36</f>
        <v>1227.1000000000001</v>
      </c>
      <c r="CF14">
        <f>[1]q!CF36</f>
        <v>1232.4000000000001</v>
      </c>
      <c r="CG14">
        <f>[1]q!CG36</f>
        <v>1232.4000000000001</v>
      </c>
      <c r="CH14">
        <f>[1]q!CH36</f>
        <v>1212.4000000000001</v>
      </c>
      <c r="CI14">
        <f>[1]q!CI36</f>
        <v>1208.5</v>
      </c>
      <c r="CJ14">
        <f>[1]q!CJ36</f>
        <v>1207.8</v>
      </c>
      <c r="CK14">
        <f>[1]q!CK36</f>
        <v>1198.8</v>
      </c>
      <c r="CL14">
        <f>[1]q!CL36</f>
        <v>1203.1000000000001</v>
      </c>
      <c r="CM14">
        <f>[1]q!CM36</f>
        <v>1210.6000000000001</v>
      </c>
      <c r="CN14">
        <f>[1]q!CN36</f>
        <v>1185.6000000000001</v>
      </c>
      <c r="CO14">
        <f>[1]q!CO36</f>
        <v>1193.1000000000001</v>
      </c>
      <c r="CP14">
        <f>[1]q!CP36</f>
        <v>1204.8</v>
      </c>
      <c r="CQ14">
        <f>[1]q!CQ36</f>
        <v>1197.6000000000001</v>
      </c>
      <c r="CR14">
        <f>[1]q!CR36</f>
        <v>1182.3</v>
      </c>
      <c r="CS14">
        <f>[1]q!CS36</f>
        <v>1191</v>
      </c>
      <c r="CT14">
        <f>[1]q!CT36</f>
        <v>1215.9000000000001</v>
      </c>
      <c r="CU14">
        <f>[1]q!CU36</f>
        <v>1224.1000000000001</v>
      </c>
      <c r="CV14">
        <f>[1]q!CV36</f>
        <v>1225.9000000000001</v>
      </c>
      <c r="CW14">
        <f>[1]q!CW36</f>
        <v>1230.2</v>
      </c>
      <c r="CX14">
        <f>[1]q!CX36</f>
        <v>1245.2</v>
      </c>
      <c r="CY14">
        <f>[1]q!CY36</f>
        <v>1235.7</v>
      </c>
      <c r="CZ14">
        <f>[1]q!CZ36</f>
        <v>1257.4000000000001</v>
      </c>
      <c r="DA14">
        <f>[1]q!DA36</f>
        <v>1268</v>
      </c>
      <c r="DB14">
        <f>[1]q!DB36</f>
        <v>1271.2</v>
      </c>
      <c r="DC14">
        <f>[1]q!DC36</f>
        <v>1257.3000000000002</v>
      </c>
      <c r="DD14">
        <f>[1]q!DD36</f>
        <v>1250.7</v>
      </c>
      <c r="DE14">
        <f>[1]q!DE36</f>
        <v>1249.7</v>
      </c>
      <c r="DF14">
        <f>[1]q!DF36</f>
        <v>1261</v>
      </c>
      <c r="DG14">
        <f>[1]q!DG36</f>
        <v>1274.1000000000001</v>
      </c>
      <c r="DH14">
        <f>[1]q!DH36</f>
        <v>1276.5</v>
      </c>
      <c r="DI14">
        <f>[1]q!DI36</f>
        <v>1272.3000000000002</v>
      </c>
      <c r="DJ14">
        <f>[1]q!DJ36</f>
        <v>1274.4000000000001</v>
      </c>
      <c r="DK14">
        <f>[1]q!DK36</f>
        <v>1308.8000000000002</v>
      </c>
      <c r="DL14">
        <f>[1]q!DL36</f>
        <v>1319.3000000000002</v>
      </c>
      <c r="DM14">
        <f>[1]q!DM36</f>
        <v>1331.2</v>
      </c>
      <c r="DN14">
        <f>[1]q!DN36</f>
        <v>1319.2</v>
      </c>
      <c r="DO14">
        <f>[1]q!DO36</f>
        <v>1333.2</v>
      </c>
      <c r="DP14">
        <f>[1]q!DP36</f>
        <v>1335.1000000000001</v>
      </c>
      <c r="DQ14">
        <f>[1]q!DQ36</f>
        <v>1343.8000000000002</v>
      </c>
      <c r="DR14">
        <f>[1]q!DR36</f>
        <v>1365.4</v>
      </c>
      <c r="DS14">
        <f>[1]q!DS36</f>
        <v>1369.7</v>
      </c>
      <c r="DT14">
        <f>[1]q!DT36</f>
        <v>1350.8000000000002</v>
      </c>
      <c r="DU14">
        <f>[1]q!DU36</f>
        <v>1349.4</v>
      </c>
      <c r="DV14">
        <f>[1]q!DV36</f>
        <v>1367.3000000000002</v>
      </c>
      <c r="DW14">
        <f>[1]q!DW36</f>
        <v>1370.4</v>
      </c>
      <c r="DX14">
        <f>[1]q!DX36</f>
        <v>1367.3000000000002</v>
      </c>
      <c r="DY14">
        <f>[1]q!DY36</f>
        <v>1379.9</v>
      </c>
      <c r="DZ14">
        <f>[1]q!DZ36</f>
        <v>1378.5</v>
      </c>
      <c r="EA14">
        <f>[1]q!EA36</f>
        <v>1386.5</v>
      </c>
      <c r="EB14">
        <f>[1]q!EB36</f>
        <v>1396</v>
      </c>
      <c r="EC14">
        <f>[1]q!EC36</f>
        <v>1420.1000000000001</v>
      </c>
      <c r="ED14">
        <f>[1]q!ED36</f>
        <v>1430.8000000000002</v>
      </c>
      <c r="EE14">
        <f>[1]q!EE36</f>
        <v>1443</v>
      </c>
      <c r="EF14">
        <f>[1]q!EF36</f>
        <v>1468</v>
      </c>
      <c r="EG14">
        <f>[1]q!EG36</f>
        <v>1443.2</v>
      </c>
      <c r="EH14">
        <f>[1]q!EH36</f>
        <v>1457.8000000000002</v>
      </c>
      <c r="EI14">
        <f>[1]q!EI36</f>
        <v>1489.2</v>
      </c>
      <c r="EJ14">
        <f>[1]q!EJ36</f>
        <v>1500.2</v>
      </c>
      <c r="EK14">
        <f>[1]q!EK36</f>
        <v>1532.3000000000002</v>
      </c>
      <c r="EL14">
        <f>[1]q!EL36</f>
        <v>1549.9</v>
      </c>
      <c r="EM14">
        <f>[1]q!EM36</f>
        <v>1584.7</v>
      </c>
      <c r="EN14">
        <f>[1]q!EN36</f>
        <v>1625.8000000000002</v>
      </c>
      <c r="EO14">
        <f>[1]q!EO36</f>
        <v>1635.5</v>
      </c>
      <c r="EP14">
        <f>[1]q!EP36</f>
        <v>1653.2</v>
      </c>
      <c r="EQ14">
        <f>[1]q!EQ36</f>
        <v>1688.3000000000002</v>
      </c>
      <c r="ER14">
        <f>[1]q!ER36</f>
        <v>1726.6000000000001</v>
      </c>
      <c r="ES14">
        <f>[1]q!ES36</f>
        <v>1716.6000000000001</v>
      </c>
      <c r="ET14">
        <f>[1]q!ET36</f>
        <v>1723.7</v>
      </c>
      <c r="EU14">
        <f>[1]q!EU36</f>
        <v>1734.6000000000001</v>
      </c>
      <c r="EV14">
        <f>[1]q!EV36</f>
        <v>1734.6000000000001</v>
      </c>
      <c r="EW14">
        <f>[1]q!EW36</f>
        <v>1755.6000000000001</v>
      </c>
      <c r="EX14">
        <f>[1]q!EX36</f>
        <v>1747.1000000000001</v>
      </c>
      <c r="EY14">
        <f>[1]q!EY36</f>
        <v>1751.7</v>
      </c>
      <c r="EZ14">
        <f>[1]q!EZ36</f>
        <v>1750.7</v>
      </c>
      <c r="FA14">
        <f>[1]q!FA36</f>
        <v>1786.2</v>
      </c>
      <c r="FB14">
        <f>[1]q!FB36</f>
        <v>1775.2</v>
      </c>
      <c r="FC14">
        <f>[1]q!FC36</f>
        <v>1802.8000000000002</v>
      </c>
      <c r="FD14">
        <f>[1]q!FD36</f>
        <v>1819.7</v>
      </c>
      <c r="FE14">
        <f>[1]q!FE36</f>
        <v>1829.4</v>
      </c>
      <c r="FF14">
        <f>[1]q!FF36</f>
        <v>1857.6000000000001</v>
      </c>
      <c r="FG14">
        <f>[1]q!FG36</f>
        <v>1860.4</v>
      </c>
      <c r="FH14">
        <f>[1]q!FH36</f>
        <v>1859.8000000000002</v>
      </c>
      <c r="FI14">
        <f>[1]q!FI36</f>
        <v>1878.3000000000002</v>
      </c>
      <c r="FJ14">
        <f>[1]q!FJ36</f>
        <v>1885.9</v>
      </c>
      <c r="FK14">
        <f>[1]q!FK36</f>
        <v>1892.5</v>
      </c>
      <c r="FL14">
        <f>[1]q!FL36</f>
        <v>1883.5</v>
      </c>
      <c r="FM14">
        <f>[1]q!FM36</f>
        <v>1875.6000000000001</v>
      </c>
      <c r="FN14">
        <f>[1]q!FN36</f>
        <v>1889.9</v>
      </c>
      <c r="FO14">
        <f>[1]q!FO36</f>
        <v>1887.6000000000001</v>
      </c>
      <c r="FP14">
        <f>[1]q!FP36</f>
        <v>1897.3000000000002</v>
      </c>
      <c r="FQ14">
        <f>[1]q!FQ36</f>
        <v>1897.9</v>
      </c>
      <c r="FR14">
        <f>[1]q!FR36</f>
        <v>1877.9</v>
      </c>
      <c r="FS14">
        <f>[1]q!FS36</f>
        <v>1876.5</v>
      </c>
      <c r="FT14">
        <f>[1]q!FT36</f>
        <v>1874.6000000000001</v>
      </c>
      <c r="FU14">
        <f>[1]q!FU36</f>
        <v>1883.9</v>
      </c>
      <c r="FV14">
        <f>[1]q!FV36</f>
        <v>1859.9</v>
      </c>
      <c r="FW14">
        <f>[1]q!FW36</f>
        <v>1867.7</v>
      </c>
      <c r="FX14">
        <f>[1]q!FX36</f>
        <v>1900.5</v>
      </c>
      <c r="FY14">
        <f>[1]q!FY36</f>
        <v>1884.1000000000001</v>
      </c>
      <c r="FZ14">
        <f>[1]q!FZ36</f>
        <v>1891.6000000000001</v>
      </c>
      <c r="GA14">
        <f>[1]q!GA36</f>
        <v>1897.9</v>
      </c>
      <c r="GB14">
        <f>[1]q!GB36</f>
        <v>1893.7</v>
      </c>
      <c r="GC14">
        <f>[1]q!GC36</f>
        <v>1872.5</v>
      </c>
      <c r="GD14">
        <f>[1]q!GD36</f>
        <v>1884.5</v>
      </c>
      <c r="GE14">
        <f>[1]q!GE36</f>
        <v>1911.6000000000001</v>
      </c>
      <c r="GF14">
        <f>[1]q!GF36</f>
        <v>1909.7</v>
      </c>
      <c r="GG14">
        <f>[1]q!GG36</f>
        <v>1925.9</v>
      </c>
      <c r="GH14">
        <f>[1]q!GH36</f>
        <v>1929.4</v>
      </c>
      <c r="GI14">
        <f>[1]q!GI36</f>
        <v>1946</v>
      </c>
      <c r="GJ14">
        <f>[1]q!GJ36</f>
        <v>1948.2</v>
      </c>
      <c r="GK14">
        <f>[1]q!GK36</f>
        <v>1951.5</v>
      </c>
      <c r="GL14">
        <f>[1]q!GL36</f>
        <v>1939.7</v>
      </c>
      <c r="GM14">
        <f>[1]q!GM36</f>
        <v>1981.9</v>
      </c>
      <c r="GN14">
        <f>[1]q!GN36</f>
        <v>2000.2</v>
      </c>
      <c r="GO14">
        <f>[1]q!GO36</f>
        <v>2018.1000000000001</v>
      </c>
      <c r="GP14">
        <f>[1]q!GP36</f>
        <v>2028.4</v>
      </c>
      <c r="GQ14">
        <f>[1]q!GQ36</f>
        <v>2036.9</v>
      </c>
      <c r="GR14">
        <f>[1]q!GR36</f>
        <v>2063.3000000000002</v>
      </c>
      <c r="GS14">
        <f>[1]q!GS36</f>
        <v>2095.9</v>
      </c>
      <c r="GT14">
        <f>[1]q!GT36</f>
        <v>2078.7000000000003</v>
      </c>
      <c r="GU14">
        <f>[1]q!GU36</f>
        <v>2106.4</v>
      </c>
      <c r="GV14">
        <f>[1]q!GV36</f>
        <v>2099.8000000000002</v>
      </c>
      <c r="GW14">
        <f>[1]q!GW36</f>
        <v>2106.2000000000003</v>
      </c>
      <c r="GX14">
        <f>[1]q!GX36</f>
        <v>2137.3000000000002</v>
      </c>
      <c r="GY14">
        <f>[1]q!GY36</f>
        <v>2181.7000000000003</v>
      </c>
      <c r="GZ14">
        <f>[1]q!GZ36</f>
        <v>2177.8000000000002</v>
      </c>
      <c r="HA14">
        <f>[1]q!HA36</f>
        <v>2216.4</v>
      </c>
      <c r="HB14">
        <f>[1]q!HB36</f>
        <v>2250.4</v>
      </c>
      <c r="HC14">
        <f>[1]q!HC36</f>
        <v>2272</v>
      </c>
      <c r="HD14">
        <f>[1]q!HD36</f>
        <v>2290.4</v>
      </c>
      <c r="HE14">
        <f>[1]q!HE36</f>
        <v>2305.7000000000003</v>
      </c>
      <c r="HF14">
        <f>[1]q!HF36</f>
        <v>2300.9</v>
      </c>
      <c r="HG14">
        <f>[1]q!HG36</f>
        <v>2335.1</v>
      </c>
      <c r="HH14">
        <f>[1]q!HH36</f>
        <v>2342</v>
      </c>
      <c r="HI14">
        <f>[1]q!HI36</f>
        <v>2343.7000000000003</v>
      </c>
      <c r="HJ14">
        <f>[1]q!HJ36</f>
        <v>2354.9</v>
      </c>
      <c r="HK14">
        <f>[1]q!HK36</f>
        <v>2363.5</v>
      </c>
      <c r="HL14">
        <f>[1]q!HL36</f>
        <v>2372.1</v>
      </c>
      <c r="HM14">
        <f>[1]q!HM36</f>
        <v>2357.6</v>
      </c>
      <c r="HN14">
        <f>[1]q!HN36</f>
        <v>2359.9</v>
      </c>
      <c r="HO14">
        <f>[1]q!HO36</f>
        <v>2362.4</v>
      </c>
      <c r="HP14">
        <f>[1]q!HP36</f>
        <v>2383.9</v>
      </c>
      <c r="HQ14">
        <f>[1]q!HQ36</f>
        <v>2373.4</v>
      </c>
      <c r="HR14">
        <f>[1]q!HR36</f>
        <v>2397.1</v>
      </c>
      <c r="HS14">
        <f>[1]q!HS36</f>
        <v>2399.1</v>
      </c>
      <c r="HT14">
        <f>[1]q!HT36</f>
        <v>2402.7000000000003</v>
      </c>
      <c r="HU14">
        <f>[1]q!HU36</f>
        <v>2409.4</v>
      </c>
      <c r="HV14">
        <f>[1]q!HV36</f>
        <v>2406.7000000000003</v>
      </c>
      <c r="HW14">
        <f>[1]q!HW36</f>
        <v>2426.8000000000002</v>
      </c>
      <c r="HX14">
        <f>[1]q!HX36</f>
        <v>2447.9</v>
      </c>
      <c r="HY14">
        <f>[1]q!HY36</f>
        <v>2455.3000000000002</v>
      </c>
      <c r="HZ14">
        <f>[1]q!HZ36</f>
        <v>2473.9</v>
      </c>
      <c r="IA14">
        <f>[1]q!IA36</f>
        <v>2484.5</v>
      </c>
      <c r="IB14">
        <f>[1]q!IB36</f>
        <v>2510.7000000000003</v>
      </c>
      <c r="IC14">
        <f>[1]q!IC36</f>
        <v>2520.5</v>
      </c>
      <c r="ID14">
        <f>[1]q!ID36</f>
        <v>2509.6000000000004</v>
      </c>
      <c r="IE14">
        <f>[1]q!IE36</f>
        <v>2546</v>
      </c>
      <c r="IF14">
        <f>[1]q!IF36</f>
        <v>2554.2000000000003</v>
      </c>
      <c r="IG14">
        <f>[1]q!IG36</f>
        <v>2548.5</v>
      </c>
      <c r="IH14">
        <f>[1]q!IH36</f>
        <v>2540.6000000000004</v>
      </c>
      <c r="II14">
        <f>[1]q!II36</f>
        <v>2564</v>
      </c>
      <c r="IJ14">
        <f>[1]q!IJ36</f>
        <v>2570.3000000000002</v>
      </c>
      <c r="IK14">
        <f>[1]q!IK36</f>
        <v>2552.1000000000004</v>
      </c>
      <c r="IL14">
        <f>[1]q!IL36</f>
        <v>2513.9</v>
      </c>
      <c r="IM14">
        <f>[1]q!IM36</f>
        <v>2508.2000000000003</v>
      </c>
      <c r="IN14">
        <f>[1]q!IN36</f>
        <v>2508.2000000000003</v>
      </c>
    </row>
    <row r="15" spans="1:261" x14ac:dyDescent="0.25">
      <c r="A15" s="1" t="s">
        <v>70</v>
      </c>
      <c r="B15">
        <f>[1]q!B147</f>
        <v>204.9</v>
      </c>
      <c r="C15">
        <f>[1]q!C147</f>
        <v>204.70000000000002</v>
      </c>
      <c r="D15">
        <f>[1]q!D147</f>
        <v>212.20000000000002</v>
      </c>
      <c r="E15">
        <f>[1]q!E147</f>
        <v>218</v>
      </c>
      <c r="F15">
        <f>[1]q!F147</f>
        <v>225.10000000000002</v>
      </c>
      <c r="G15">
        <f>[1]q!G147</f>
        <v>230.4</v>
      </c>
      <c r="H15">
        <f>[1]q!H147</f>
        <v>232.20000000000002</v>
      </c>
      <c r="I15">
        <f>[1]q!I147</f>
        <v>235.70000000000002</v>
      </c>
      <c r="J15">
        <f>[1]q!J147</f>
        <v>236.5</v>
      </c>
      <c r="K15">
        <f>[1]q!K147</f>
        <v>239.4</v>
      </c>
      <c r="L15">
        <f>[1]q!L147</f>
        <v>245.8</v>
      </c>
      <c r="M15">
        <f>[1]q!M147</f>
        <v>251.10000000000002</v>
      </c>
      <c r="N15">
        <f>[1]q!N147</f>
        <v>255.4</v>
      </c>
      <c r="O15">
        <f>[1]q!O147</f>
        <v>259.3</v>
      </c>
      <c r="P15">
        <f>[1]q!P147</f>
        <v>259.7</v>
      </c>
      <c r="Q15">
        <f>[1]q!Q147</f>
        <v>259.2</v>
      </c>
      <c r="R15">
        <f>[1]q!R147</f>
        <v>262</v>
      </c>
      <c r="S15">
        <f>[1]q!S147</f>
        <v>261.8</v>
      </c>
      <c r="T15">
        <f>[1]q!T147</f>
        <v>263.90000000000003</v>
      </c>
      <c r="U15">
        <f>[1]q!U147</f>
        <v>268.90000000000003</v>
      </c>
      <c r="V15">
        <f>[1]q!V147</f>
        <v>273.7</v>
      </c>
      <c r="W15">
        <f>[1]q!W147</f>
        <v>280.60000000000002</v>
      </c>
      <c r="X15">
        <f>[1]q!X147</f>
        <v>287</v>
      </c>
      <c r="Y15">
        <f>[1]q!Y147</f>
        <v>291.2</v>
      </c>
      <c r="Z15">
        <f>[1]q!Z147</f>
        <v>295.40000000000003</v>
      </c>
      <c r="AA15">
        <f>[1]q!AA147</f>
        <v>300.3</v>
      </c>
      <c r="AB15">
        <f>[1]q!AB147</f>
        <v>304.60000000000002</v>
      </c>
      <c r="AC15">
        <f>[1]q!AC147</f>
        <v>311.20000000000005</v>
      </c>
      <c r="AD15">
        <f>[1]q!AD147</f>
        <v>314.60000000000002</v>
      </c>
      <c r="AE15">
        <f>[1]q!AE147</f>
        <v>318.70000000000005</v>
      </c>
      <c r="AF15">
        <f>[1]q!AF147</f>
        <v>322.8</v>
      </c>
      <c r="AG15">
        <f>[1]q!AG147</f>
        <v>322.60000000000002</v>
      </c>
      <c r="AH15">
        <f>[1]q!AH147</f>
        <v>323.8</v>
      </c>
      <c r="AI15">
        <f>[1]q!AI147</f>
        <v>326.5</v>
      </c>
      <c r="AJ15">
        <f>[1]q!AJ147</f>
        <v>333.5</v>
      </c>
      <c r="AK15">
        <f>[1]q!AK147</f>
        <v>337.6</v>
      </c>
      <c r="AL15">
        <f>[1]q!AL147</f>
        <v>342.6</v>
      </c>
      <c r="AM15">
        <f>[1]q!AM147</f>
        <v>350</v>
      </c>
      <c r="AN15">
        <f>[1]q!AN147</f>
        <v>351.5</v>
      </c>
      <c r="AO15">
        <f>[1]q!AO147</f>
        <v>356.1</v>
      </c>
      <c r="AP15">
        <f>[1]q!AP147</f>
        <v>361.1</v>
      </c>
      <c r="AQ15">
        <f>[1]q!AQ147</f>
        <v>364.90000000000003</v>
      </c>
      <c r="AR15">
        <f>[1]q!AR147</f>
        <v>366.70000000000005</v>
      </c>
      <c r="AS15">
        <f>[1]q!AS147</f>
        <v>368.1</v>
      </c>
      <c r="AT15">
        <f>[1]q!AT147</f>
        <v>372.1</v>
      </c>
      <c r="AU15">
        <f>[1]q!AU147</f>
        <v>377.70000000000005</v>
      </c>
      <c r="AV15">
        <f>[1]q!AV147</f>
        <v>384.20000000000005</v>
      </c>
      <c r="AW15">
        <f>[1]q!AW147</f>
        <v>392.20000000000005</v>
      </c>
      <c r="AX15">
        <f>[1]q!AX147</f>
        <v>397.70000000000005</v>
      </c>
      <c r="AY15">
        <f>[1]q!AY147</f>
        <v>403.5</v>
      </c>
      <c r="AZ15">
        <f>[1]q!AZ147</f>
        <v>406.8</v>
      </c>
      <c r="BA15">
        <f>[1]q!BA147</f>
        <v>411.40000000000003</v>
      </c>
      <c r="BB15">
        <f>[1]q!BB147</f>
        <v>416</v>
      </c>
      <c r="BC15">
        <f>[1]q!BC147</f>
        <v>420.5</v>
      </c>
      <c r="BD15">
        <f>[1]q!BD147</f>
        <v>427.3</v>
      </c>
      <c r="BE15">
        <f>[1]q!BE147</f>
        <v>436</v>
      </c>
      <c r="BF15">
        <f>[1]q!BF147</f>
        <v>446.8</v>
      </c>
      <c r="BG15">
        <f>[1]q!BG147</f>
        <v>460</v>
      </c>
      <c r="BH15">
        <f>[1]q!BH147</f>
        <v>467.6</v>
      </c>
      <c r="BI15">
        <f>[1]q!BI147</f>
        <v>474.6</v>
      </c>
      <c r="BJ15">
        <f>[1]q!BJ147</f>
        <v>481.40000000000003</v>
      </c>
      <c r="BK15">
        <f>[1]q!BK147</f>
        <v>489.20000000000005</v>
      </c>
      <c r="BL15">
        <f>[1]q!BL147</f>
        <v>504.5</v>
      </c>
      <c r="BM15">
        <f>[1]q!BM147</f>
        <v>516.30000000000007</v>
      </c>
      <c r="BN15">
        <f>[1]q!BN147</f>
        <v>525.20000000000005</v>
      </c>
      <c r="BO15">
        <f>[1]q!BO147</f>
        <v>530.80000000000007</v>
      </c>
      <c r="BP15">
        <f>[1]q!BP147</f>
        <v>541.6</v>
      </c>
      <c r="BQ15">
        <f>[1]q!BQ147</f>
        <v>552.1</v>
      </c>
      <c r="BR15">
        <f>[1]q!BR147</f>
        <v>562</v>
      </c>
      <c r="BS15">
        <f>[1]q!BS147</f>
        <v>569.20000000000005</v>
      </c>
      <c r="BT15">
        <f>[1]q!BT147</f>
        <v>580</v>
      </c>
      <c r="BU15">
        <f>[1]q!BU147</f>
        <v>589.20000000000005</v>
      </c>
      <c r="BV15">
        <f>[1]q!BV147</f>
        <v>605.80000000000007</v>
      </c>
      <c r="BW15">
        <f>[1]q!BW147</f>
        <v>622.1</v>
      </c>
      <c r="BX15">
        <f>[1]q!BX147</f>
        <v>629.80000000000007</v>
      </c>
      <c r="BY15">
        <f>[1]q!BY147</f>
        <v>641</v>
      </c>
      <c r="BZ15">
        <f>[1]q!BZ147</f>
        <v>648.40000000000009</v>
      </c>
      <c r="CA15">
        <f>[1]q!CA147</f>
        <v>663.40000000000009</v>
      </c>
      <c r="CB15">
        <f>[1]q!CB147</f>
        <v>685.2</v>
      </c>
      <c r="CC15">
        <f>[1]q!CC147</f>
        <v>698.2</v>
      </c>
      <c r="CD15">
        <f>[1]q!CD147</f>
        <v>709.80000000000007</v>
      </c>
      <c r="CE15">
        <f>[1]q!CE147</f>
        <v>730.30000000000007</v>
      </c>
      <c r="CF15">
        <f>[1]q!CF147</f>
        <v>747.40000000000009</v>
      </c>
      <c r="CG15">
        <f>[1]q!CG147</f>
        <v>754.6</v>
      </c>
      <c r="CH15">
        <f>[1]q!CH147</f>
        <v>776.80000000000007</v>
      </c>
      <c r="CI15">
        <f>[1]q!CI147</f>
        <v>797.40000000000009</v>
      </c>
      <c r="CJ15">
        <f>[1]q!CJ147</f>
        <v>808.80000000000007</v>
      </c>
      <c r="CK15">
        <f>[1]q!CK147</f>
        <v>822.5</v>
      </c>
      <c r="CL15">
        <f>[1]q!CL147</f>
        <v>836.40000000000009</v>
      </c>
      <c r="CM15">
        <f>[1]q!CM147</f>
        <v>849.1</v>
      </c>
      <c r="CN15">
        <f>[1]q!CN147</f>
        <v>874.1</v>
      </c>
      <c r="CO15">
        <f>[1]q!CO147</f>
        <v>916.40000000000009</v>
      </c>
      <c r="CP15">
        <f>[1]q!CP147</f>
        <v>938</v>
      </c>
      <c r="CQ15">
        <f>[1]q!CQ147</f>
        <v>965.6</v>
      </c>
      <c r="CR15">
        <f>[1]q!CR147</f>
        <v>988.2</v>
      </c>
      <c r="CS15">
        <f>[1]q!CS147</f>
        <v>1020.8000000000001</v>
      </c>
      <c r="CT15">
        <f>[1]q!CT147</f>
        <v>1035</v>
      </c>
      <c r="CU15">
        <f>[1]q!CU147</f>
        <v>1055.2</v>
      </c>
      <c r="CV15">
        <f>[1]q!CV147</f>
        <v>1087</v>
      </c>
      <c r="CW15">
        <f>[1]q!CW147</f>
        <v>1109.6000000000001</v>
      </c>
      <c r="CX15">
        <f>[1]q!CX147</f>
        <v>1125.9000000000001</v>
      </c>
      <c r="CY15">
        <f>[1]q!CY147</f>
        <v>1193</v>
      </c>
      <c r="CZ15">
        <f>[1]q!CZ147</f>
        <v>1198.8</v>
      </c>
      <c r="DA15">
        <f>[1]q!DA147</f>
        <v>1231.3000000000002</v>
      </c>
      <c r="DB15">
        <f>[1]q!DB147</f>
        <v>1263.3000000000002</v>
      </c>
      <c r="DC15">
        <f>[1]q!DC147</f>
        <v>1284.4000000000001</v>
      </c>
      <c r="DD15">
        <f>[1]q!DD147</f>
        <v>1315.7</v>
      </c>
      <c r="DE15">
        <f>[1]q!DE147</f>
        <v>1346.1000000000001</v>
      </c>
      <c r="DF15">
        <f>[1]q!DF147</f>
        <v>1371.4</v>
      </c>
      <c r="DG15">
        <f>[1]q!DG147</f>
        <v>1410.8000000000002</v>
      </c>
      <c r="DH15">
        <f>[1]q!DH147</f>
        <v>1453.6000000000001</v>
      </c>
      <c r="DI15">
        <f>[1]q!DI147</f>
        <v>1504.1000000000001</v>
      </c>
      <c r="DJ15">
        <f>[1]q!DJ147</f>
        <v>1538.6000000000001</v>
      </c>
      <c r="DK15">
        <f>[1]q!DK147</f>
        <v>1588.2</v>
      </c>
      <c r="DL15">
        <f>[1]q!DL147</f>
        <v>1629.3000000000002</v>
      </c>
      <c r="DM15">
        <f>[1]q!DM147</f>
        <v>1673.2</v>
      </c>
      <c r="DN15">
        <f>[1]q!DN147</f>
        <v>1723.3000000000002</v>
      </c>
      <c r="DO15">
        <f>[1]q!DO147</f>
        <v>1757.9</v>
      </c>
      <c r="DP15">
        <f>[1]q!DP147</f>
        <v>1811.8000000000002</v>
      </c>
      <c r="DQ15">
        <f>[1]q!DQ147</f>
        <v>1870.4</v>
      </c>
      <c r="DR15">
        <f>[1]q!DR147</f>
        <v>1931.8000000000002</v>
      </c>
      <c r="DS15">
        <f>[1]q!DS147</f>
        <v>1951.4</v>
      </c>
      <c r="DT15">
        <f>[1]q!DT147</f>
        <v>2017.5</v>
      </c>
      <c r="DU15">
        <f>[1]q!DU147</f>
        <v>2110</v>
      </c>
      <c r="DV15">
        <f>[1]q!DV147</f>
        <v>2157.4</v>
      </c>
      <c r="DW15">
        <f>[1]q!DW147</f>
        <v>2193.6</v>
      </c>
      <c r="DX15">
        <f>[1]q!DX147</f>
        <v>2279.1</v>
      </c>
      <c r="DY15">
        <f>[1]q!DY147</f>
        <v>2318.4</v>
      </c>
      <c r="DZ15">
        <f>[1]q!DZ147</f>
        <v>2350.4</v>
      </c>
      <c r="EA15">
        <f>[1]q!EA147</f>
        <v>2389.4</v>
      </c>
      <c r="EB15">
        <f>[1]q!EB147</f>
        <v>2437.6</v>
      </c>
      <c r="EC15">
        <f>[1]q!EC147</f>
        <v>2473.3000000000002</v>
      </c>
      <c r="ED15">
        <f>[1]q!ED147</f>
        <v>2514.3000000000002</v>
      </c>
      <c r="EE15">
        <f>[1]q!EE147</f>
        <v>2555.9</v>
      </c>
      <c r="EF15">
        <f>[1]q!EF147</f>
        <v>2628.5</v>
      </c>
      <c r="EG15">
        <f>[1]q!EG147</f>
        <v>2700.6000000000004</v>
      </c>
      <c r="EH15">
        <f>[1]q!EH147</f>
        <v>2789.5</v>
      </c>
      <c r="EI15">
        <f>[1]q!EI147</f>
        <v>2865.1000000000004</v>
      </c>
      <c r="EJ15">
        <f>[1]q!EJ147</f>
        <v>2932.4</v>
      </c>
      <c r="EK15">
        <f>[1]q!EK147</f>
        <v>2978.8</v>
      </c>
      <c r="EL15">
        <f>[1]q!EL147</f>
        <v>3003.1000000000004</v>
      </c>
      <c r="EM15">
        <f>[1]q!EM147</f>
        <v>3085.6000000000004</v>
      </c>
      <c r="EN15">
        <f>[1]q!EN147</f>
        <v>3086</v>
      </c>
      <c r="EO15">
        <f>[1]q!EO147</f>
        <v>3142.6000000000004</v>
      </c>
      <c r="EP15">
        <f>[1]q!EP147</f>
        <v>3202.9</v>
      </c>
      <c r="EQ15">
        <f>[1]q!EQ147</f>
        <v>3241.4</v>
      </c>
      <c r="ER15">
        <f>[1]q!ER147</f>
        <v>3282.4</v>
      </c>
      <c r="ES15">
        <f>[1]q!ES147</f>
        <v>3308.5</v>
      </c>
      <c r="ET15">
        <f>[1]q!ET147</f>
        <v>3373</v>
      </c>
      <c r="EU15">
        <f>[1]q!EU147</f>
        <v>3365.9</v>
      </c>
      <c r="EV15">
        <f>[1]q!EV147</f>
        <v>3461.5</v>
      </c>
      <c r="EW15">
        <f>[1]q!EW147</f>
        <v>3540.9</v>
      </c>
      <c r="EX15">
        <f>[1]q!EX147</f>
        <v>3616.1000000000004</v>
      </c>
      <c r="EY15">
        <f>[1]q!EY147</f>
        <v>3690</v>
      </c>
      <c r="EZ15">
        <f>[1]q!EZ147</f>
        <v>3764.3</v>
      </c>
      <c r="FA15">
        <f>[1]q!FA147</f>
        <v>3834.9</v>
      </c>
      <c r="FB15">
        <f>[1]q!FB147</f>
        <v>3925.3</v>
      </c>
      <c r="FC15">
        <f>[1]q!FC147</f>
        <v>3960.8</v>
      </c>
      <c r="FD15">
        <f>[1]q!FD147</f>
        <v>4008.3</v>
      </c>
      <c r="FE15">
        <f>[1]q!FE147</f>
        <v>4071.1000000000004</v>
      </c>
      <c r="FF15">
        <f>[1]q!FF147</f>
        <v>4164</v>
      </c>
      <c r="FG15">
        <f>[1]q!FG147</f>
        <v>4236.7</v>
      </c>
      <c r="FH15">
        <f>[1]q!FH147</f>
        <v>4293.9000000000005</v>
      </c>
      <c r="FI15">
        <f>[1]q!FI147</f>
        <v>4321.5</v>
      </c>
      <c r="FJ15">
        <f>[1]q!FJ147</f>
        <v>4362.5</v>
      </c>
      <c r="FK15">
        <f>[1]q!FK147</f>
        <v>4422.1000000000004</v>
      </c>
      <c r="FL15">
        <f>[1]q!FL147</f>
        <v>4465.1000000000004</v>
      </c>
      <c r="FM15">
        <f>[1]q!FM147</f>
        <v>4529.8</v>
      </c>
      <c r="FN15">
        <f>[1]q!FN147</f>
        <v>4634.1000000000004</v>
      </c>
      <c r="FO15">
        <f>[1]q!FO147</f>
        <v>4701.9000000000005</v>
      </c>
      <c r="FP15">
        <f>[1]q!FP147</f>
        <v>4756.8</v>
      </c>
      <c r="FQ15">
        <f>[1]q!FQ147</f>
        <v>4854.1000000000004</v>
      </c>
      <c r="FR15">
        <f>[1]q!FR147</f>
        <v>4805.9000000000005</v>
      </c>
      <c r="FS15">
        <f>[1]q!FS147</f>
        <v>4908.4000000000005</v>
      </c>
      <c r="FT15">
        <f>[1]q!FT147</f>
        <v>4936.2000000000007</v>
      </c>
      <c r="FU15">
        <f>[1]q!FU147</f>
        <v>5036</v>
      </c>
      <c r="FV15">
        <f>[1]q!FV147</f>
        <v>5035.7000000000007</v>
      </c>
      <c r="FW15">
        <f>[1]q!FW147</f>
        <v>5148.8</v>
      </c>
      <c r="FX15">
        <f>[1]q!FX147</f>
        <v>5229</v>
      </c>
      <c r="FY15">
        <f>[1]q!FY147</f>
        <v>5323.7000000000007</v>
      </c>
      <c r="FZ15">
        <f>[1]q!FZ147</f>
        <v>5387.2000000000007</v>
      </c>
      <c r="GA15">
        <f>[1]q!GA147</f>
        <v>5419.1</v>
      </c>
      <c r="GB15">
        <f>[1]q!GB147</f>
        <v>5482.7000000000007</v>
      </c>
      <c r="GC15">
        <f>[1]q!GC147</f>
        <v>5539</v>
      </c>
      <c r="GD15">
        <f>[1]q!GD147</f>
        <v>5630.8</v>
      </c>
      <c r="GE15">
        <f>[1]q!GE147</f>
        <v>5728.3</v>
      </c>
      <c r="GF15">
        <f>[1]q!GF147</f>
        <v>5803.6</v>
      </c>
      <c r="GG15">
        <f>[1]q!GG147</f>
        <v>5875.9000000000005</v>
      </c>
      <c r="GH15">
        <f>[1]q!GH147</f>
        <v>5959.1</v>
      </c>
      <c r="GI15">
        <f>[1]q!GI147</f>
        <v>6019.9000000000005</v>
      </c>
      <c r="GJ15">
        <f>[1]q!GJ147</f>
        <v>6106.1</v>
      </c>
      <c r="GK15">
        <f>[1]q!GK147</f>
        <v>6213.2000000000007</v>
      </c>
      <c r="GL15">
        <f>[1]q!GL147</f>
        <v>6357.6</v>
      </c>
      <c r="GM15">
        <f>[1]q!GM147</f>
        <v>6463.4000000000005</v>
      </c>
      <c r="GN15">
        <f>[1]q!GN147</f>
        <v>6553.2000000000007</v>
      </c>
      <c r="GO15">
        <f>[1]q!GO147</f>
        <v>6621.6</v>
      </c>
      <c r="GP15">
        <f>[1]q!GP147</f>
        <v>6687.4000000000005</v>
      </c>
      <c r="GQ15">
        <f>[1]q!GQ147</f>
        <v>6740.8</v>
      </c>
      <c r="GR15">
        <f>[1]q!GR147</f>
        <v>6819.9000000000005</v>
      </c>
      <c r="GS15">
        <f>[1]q!GS147</f>
        <v>6965.1</v>
      </c>
      <c r="GT15">
        <f>[1]q!GT147</f>
        <v>7174.9000000000005</v>
      </c>
      <c r="GU15">
        <f>[1]q!GU147</f>
        <v>7280.5</v>
      </c>
      <c r="GV15">
        <f>[1]q!GV147</f>
        <v>7400.6</v>
      </c>
      <c r="GW15">
        <f>[1]q!GW147</f>
        <v>7452.7000000000007</v>
      </c>
      <c r="GX15">
        <f>[1]q!GX147</f>
        <v>7561.4000000000005</v>
      </c>
      <c r="GY15">
        <f>[1]q!GY147</f>
        <v>7576.8</v>
      </c>
      <c r="GZ15">
        <f>[1]q!GZ147</f>
        <v>7771.1</v>
      </c>
      <c r="HA15">
        <f>[1]q!HA147</f>
        <v>7684.6</v>
      </c>
      <c r="HB15">
        <f>[1]q!HB147</f>
        <v>7909.9000000000005</v>
      </c>
      <c r="HC15">
        <f>[1]q!HC147</f>
        <v>8015.4000000000005</v>
      </c>
      <c r="HD15">
        <f>[1]q!HD147</f>
        <v>8028.3</v>
      </c>
      <c r="HE15">
        <f>[1]q!HE147</f>
        <v>8085.1</v>
      </c>
      <c r="HF15">
        <f>[1]q!HF147</f>
        <v>8173.2000000000007</v>
      </c>
      <c r="HG15">
        <f>[1]q!HG147</f>
        <v>8303</v>
      </c>
      <c r="HH15">
        <f>[1]q!HH147</f>
        <v>8473.5</v>
      </c>
      <c r="HI15">
        <f>[1]q!HI147</f>
        <v>8561.5</v>
      </c>
      <c r="HJ15">
        <f>[1]q!HJ147</f>
        <v>8670.5</v>
      </c>
      <c r="HK15">
        <f>[1]q!HK147</f>
        <v>8820.7000000000007</v>
      </c>
      <c r="HL15">
        <f>[1]q!HL147</f>
        <v>8934.4</v>
      </c>
      <c r="HM15">
        <f>[1]q!HM147</f>
        <v>9132.1</v>
      </c>
      <c r="HN15">
        <f>[1]q!HN147</f>
        <v>9074.3000000000011</v>
      </c>
      <c r="HO15">
        <f>[1]q!HO147</f>
        <v>9194.4</v>
      </c>
      <c r="HP15">
        <f>[1]q!HP147</f>
        <v>9353.5</v>
      </c>
      <c r="HQ15">
        <f>[1]q!HQ147</f>
        <v>9487.1</v>
      </c>
      <c r="HR15">
        <f>[1]q!HR147</f>
        <v>9705.2000000000007</v>
      </c>
      <c r="HS15">
        <f>[1]q!HS147</f>
        <v>9863.8000000000011</v>
      </c>
      <c r="HT15">
        <f>[1]q!HT147</f>
        <v>9982.5</v>
      </c>
      <c r="HU15">
        <f>[1]q!HU147</f>
        <v>10111.200000000001</v>
      </c>
      <c r="HV15">
        <f>[1]q!HV147</f>
        <v>10255.5</v>
      </c>
      <c r="HW15">
        <f>[1]q!HW147</f>
        <v>10358.6</v>
      </c>
      <c r="HX15">
        <f>[1]q!HX147</f>
        <v>10456.900000000001</v>
      </c>
      <c r="HY15">
        <f>[1]q!HY147</f>
        <v>10623.400000000001</v>
      </c>
      <c r="HZ15">
        <f>[1]q!HZ147</f>
        <v>10879.6</v>
      </c>
      <c r="IA15">
        <f>[1]q!IA147</f>
        <v>11220</v>
      </c>
      <c r="IB15">
        <f>[1]q!IB147</f>
        <v>11081.2</v>
      </c>
      <c r="IC15">
        <f>[1]q!IC147</f>
        <v>10917.300000000001</v>
      </c>
      <c r="ID15">
        <f>[1]q!ID147</f>
        <v>10766.300000000001</v>
      </c>
      <c r="IE15">
        <f>[1]q!IE147</f>
        <v>10823.800000000001</v>
      </c>
      <c r="IF15">
        <f>[1]q!IF147</f>
        <v>10753.5</v>
      </c>
      <c r="IG15">
        <f>[1]q!IG147</f>
        <v>10811.7</v>
      </c>
      <c r="IH15">
        <f>[1]q!IH147</f>
        <v>10991.300000000001</v>
      </c>
      <c r="II15">
        <f>[1]q!II147</f>
        <v>11150.2</v>
      </c>
      <c r="IJ15">
        <f>[1]q!IJ147</f>
        <v>11240.400000000001</v>
      </c>
      <c r="IK15">
        <f>[1]q!IK147</f>
        <v>11336.7</v>
      </c>
      <c r="IL15">
        <f>[1]q!IL147</f>
        <v>11481</v>
      </c>
      <c r="IM15">
        <f>[1]q!IM147</f>
        <v>11591.5</v>
      </c>
      <c r="IN15">
        <f>[1]q!IN147</f>
        <v>11608.5</v>
      </c>
    </row>
    <row r="16" spans="1:261" x14ac:dyDescent="0.25">
      <c r="A16" s="1" t="s">
        <v>69</v>
      </c>
      <c r="B16">
        <f>[1]q!B155</f>
        <v>9.3000000000000007</v>
      </c>
      <c r="C16">
        <f>[1]q!C155</f>
        <v>7.3000000000000007</v>
      </c>
      <c r="D16">
        <f>[1]q!D155</f>
        <v>4.1000000000000005</v>
      </c>
      <c r="E16">
        <f>[1]q!E155</f>
        <v>7.8000000000000007</v>
      </c>
      <c r="F16">
        <f>[1]q!F155</f>
        <v>5.6000000000000005</v>
      </c>
      <c r="G16">
        <f>[1]q!G155</f>
        <v>9.7000000000000011</v>
      </c>
      <c r="H16">
        <f>[1]q!H155</f>
        <v>9.2000000000000011</v>
      </c>
      <c r="I16">
        <f>[1]q!I155</f>
        <v>8.9</v>
      </c>
      <c r="J16">
        <f>[1]q!J155</f>
        <v>8.6</v>
      </c>
      <c r="K16">
        <f>[1]q!K155</f>
        <v>7.9</v>
      </c>
      <c r="L16">
        <f>[1]q!L155</f>
        <v>9.2000000000000011</v>
      </c>
      <c r="M16">
        <f>[1]q!M155</f>
        <v>7.8000000000000007</v>
      </c>
      <c r="N16">
        <f>[1]q!N155</f>
        <v>7.9</v>
      </c>
      <c r="O16">
        <f>[1]q!O155</f>
        <v>8.5</v>
      </c>
      <c r="P16">
        <f>[1]q!P155</f>
        <v>8.3000000000000007</v>
      </c>
      <c r="Q16">
        <f>[1]q!Q155</f>
        <v>8.3000000000000007</v>
      </c>
      <c r="R16">
        <f>[1]q!R155</f>
        <v>8.5</v>
      </c>
      <c r="S16">
        <f>[1]q!S155</f>
        <v>7.4</v>
      </c>
      <c r="T16">
        <f>[1]q!T155</f>
        <v>7.1000000000000005</v>
      </c>
      <c r="U16">
        <f>[1]q!U155</f>
        <v>7.1000000000000005</v>
      </c>
      <c r="V16">
        <f>[1]q!V155</f>
        <v>6.4</v>
      </c>
      <c r="W16">
        <f>[1]q!W155</f>
        <v>6.8000000000000007</v>
      </c>
      <c r="X16">
        <f>[1]q!X155</f>
        <v>7.3000000000000007</v>
      </c>
      <c r="Y16">
        <f>[1]q!Y155</f>
        <v>7.2</v>
      </c>
      <c r="Z16">
        <f>[1]q!Z155</f>
        <v>7.9</v>
      </c>
      <c r="AA16">
        <f>[1]q!AA155</f>
        <v>8.5</v>
      </c>
      <c r="AB16">
        <f>[1]q!AB155</f>
        <v>8.6</v>
      </c>
      <c r="AC16">
        <f>[1]q!AC155</f>
        <v>8.9</v>
      </c>
      <c r="AD16">
        <f>[1]q!AD155</f>
        <v>8.4</v>
      </c>
      <c r="AE16">
        <f>[1]q!AE155</f>
        <v>8.8000000000000007</v>
      </c>
      <c r="AF16">
        <f>[1]q!AF155</f>
        <v>8.5</v>
      </c>
      <c r="AG16">
        <f>[1]q!AG155</f>
        <v>7.9</v>
      </c>
      <c r="AH16">
        <f>[1]q!AH155</f>
        <v>8.4</v>
      </c>
      <c r="AI16">
        <f>[1]q!AI155</f>
        <v>8.3000000000000007</v>
      </c>
      <c r="AJ16">
        <f>[1]q!AJ155</f>
        <v>8.7000000000000011</v>
      </c>
      <c r="AK16">
        <f>[1]q!AK155</f>
        <v>8.7000000000000011</v>
      </c>
      <c r="AL16">
        <f>[1]q!AL155</f>
        <v>7.8000000000000007</v>
      </c>
      <c r="AM16">
        <f>[1]q!AM155</f>
        <v>7.9</v>
      </c>
      <c r="AN16">
        <f>[1]q!AN155</f>
        <v>6.8000000000000007</v>
      </c>
      <c r="AO16">
        <f>[1]q!AO155</f>
        <v>7.3000000000000007</v>
      </c>
      <c r="AP16">
        <f>[1]q!AP155</f>
        <v>7.6000000000000005</v>
      </c>
      <c r="AQ16">
        <f>[1]q!AQ155</f>
        <v>6.9</v>
      </c>
      <c r="AR16">
        <f>[1]q!AR155</f>
        <v>7.3000000000000007</v>
      </c>
      <c r="AS16">
        <f>[1]q!AS155</f>
        <v>7.1000000000000005</v>
      </c>
      <c r="AT16">
        <f>[1]q!AT155</f>
        <v>7.9</v>
      </c>
      <c r="AU16">
        <f>[1]q!AU155</f>
        <v>8</v>
      </c>
      <c r="AV16">
        <f>[1]q!AV155</f>
        <v>8.8000000000000007</v>
      </c>
      <c r="AW16">
        <f>[1]q!AW155</f>
        <v>8.7000000000000011</v>
      </c>
      <c r="AX16">
        <f>[1]q!AX155</f>
        <v>8.6</v>
      </c>
      <c r="AY16">
        <f>[1]q!AY155</f>
        <v>8.5</v>
      </c>
      <c r="AZ16">
        <f>[1]q!AZ155</f>
        <v>8.2000000000000011</v>
      </c>
      <c r="BA16">
        <f>[1]q!BA155</f>
        <v>7.7</v>
      </c>
      <c r="BB16">
        <f>[1]q!BB155</f>
        <v>7.8000000000000007</v>
      </c>
      <c r="BC16">
        <f>[1]q!BC155</f>
        <v>7.7</v>
      </c>
      <c r="BD16">
        <f>[1]q!BD155</f>
        <v>7.5</v>
      </c>
      <c r="BE16">
        <f>[1]q!BE155</f>
        <v>8.2000000000000011</v>
      </c>
      <c r="BF16">
        <f>[1]q!BF155</f>
        <v>8.2000000000000011</v>
      </c>
      <c r="BG16">
        <f>[1]q!BG155</f>
        <v>9</v>
      </c>
      <c r="BH16">
        <f>[1]q!BH155</f>
        <v>8.5</v>
      </c>
      <c r="BI16">
        <f>[1]q!BI155</f>
        <v>9.3000000000000007</v>
      </c>
      <c r="BJ16">
        <f>[1]q!BJ155</f>
        <v>8.3000000000000007</v>
      </c>
      <c r="BK16">
        <f>[1]q!BK155</f>
        <v>8.3000000000000007</v>
      </c>
      <c r="BL16">
        <f>[1]q!BL155</f>
        <v>9.2000000000000011</v>
      </c>
      <c r="BM16">
        <f>[1]q!BM155</f>
        <v>8.5</v>
      </c>
      <c r="BN16">
        <f>[1]q!BN155</f>
        <v>8.1</v>
      </c>
      <c r="BO16">
        <f>[1]q!BO155</f>
        <v>8</v>
      </c>
      <c r="BP16">
        <f>[1]q!BP155</f>
        <v>8.1</v>
      </c>
      <c r="BQ16">
        <f>[1]q!BQ155</f>
        <v>8.8000000000000007</v>
      </c>
      <c r="BR16">
        <f>[1]q!BR155</f>
        <v>9.6000000000000014</v>
      </c>
      <c r="BS16">
        <f>[1]q!BS155</f>
        <v>9</v>
      </c>
      <c r="BT16">
        <f>[1]q!BT155</f>
        <v>9.5</v>
      </c>
      <c r="BU16">
        <f>[1]q!BU155</f>
        <v>9.6000000000000014</v>
      </c>
      <c r="BV16">
        <f>[1]q!BV155</f>
        <v>9.1</v>
      </c>
      <c r="BW16">
        <f>[1]q!BW155</f>
        <v>9.2000000000000011</v>
      </c>
      <c r="BX16">
        <f>[1]q!BX155</f>
        <v>7.6000000000000005</v>
      </c>
      <c r="BY16">
        <f>[1]q!BY155</f>
        <v>7.8000000000000007</v>
      </c>
      <c r="BZ16">
        <f>[1]q!BZ155</f>
        <v>6.9</v>
      </c>
      <c r="CA16">
        <f>[1]q!CA155</f>
        <v>7.2</v>
      </c>
      <c r="CB16">
        <f>[1]q!CB155</f>
        <v>8.6</v>
      </c>
      <c r="CC16">
        <f>[1]q!CC155</f>
        <v>8.5</v>
      </c>
      <c r="CD16">
        <f>[1]q!CD155</f>
        <v>8.4</v>
      </c>
      <c r="CE16">
        <f>[1]q!CE155</f>
        <v>9.5</v>
      </c>
      <c r="CF16">
        <f>[1]q!CF155</f>
        <v>9.9</v>
      </c>
      <c r="CG16">
        <f>[1]q!CG155</f>
        <v>9.9</v>
      </c>
      <c r="CH16">
        <f>[1]q!CH155</f>
        <v>10</v>
      </c>
      <c r="CI16">
        <f>[1]q!CI155</f>
        <v>10.5</v>
      </c>
      <c r="CJ16">
        <f>[1]q!CJ155</f>
        <v>10.100000000000001</v>
      </c>
      <c r="CK16">
        <f>[1]q!CK155</f>
        <v>9.6000000000000014</v>
      </c>
      <c r="CL16">
        <f>[1]q!CL155</f>
        <v>9</v>
      </c>
      <c r="CM16">
        <f>[1]q!CM155</f>
        <v>8.1</v>
      </c>
      <c r="CN16">
        <f>[1]q!CN155</f>
        <v>8.5</v>
      </c>
      <c r="CO16">
        <f>[1]q!CO155</f>
        <v>10</v>
      </c>
      <c r="CP16">
        <f>[1]q!CP155</f>
        <v>9.4</v>
      </c>
      <c r="CQ16">
        <f>[1]q!CQ155</f>
        <v>10.4</v>
      </c>
      <c r="CR16">
        <f>[1]q!CR155</f>
        <v>10.5</v>
      </c>
      <c r="CS16">
        <f>[1]q!CS155</f>
        <v>11.700000000000001</v>
      </c>
      <c r="CT16">
        <f>[1]q!CT155</f>
        <v>11.3</v>
      </c>
      <c r="CU16">
        <f>[1]q!CU155</f>
        <v>10.200000000000001</v>
      </c>
      <c r="CV16">
        <f>[1]q!CV155</f>
        <v>10.100000000000001</v>
      </c>
      <c r="CW16">
        <f>[1]q!CW155</f>
        <v>11</v>
      </c>
      <c r="CX16">
        <f>[1]q!CX155</f>
        <v>9.8000000000000007</v>
      </c>
      <c r="CY16">
        <f>[1]q!CY155</f>
        <v>12.5</v>
      </c>
      <c r="CZ16">
        <f>[1]q!CZ155</f>
        <v>10</v>
      </c>
      <c r="DA16">
        <f>[1]q!DA155</f>
        <v>10</v>
      </c>
      <c r="DB16">
        <f>[1]q!DB155</f>
        <v>9.7000000000000011</v>
      </c>
      <c r="DC16">
        <f>[1]q!DC155</f>
        <v>9.6000000000000014</v>
      </c>
      <c r="DD16">
        <f>[1]q!DD155</f>
        <v>9.5</v>
      </c>
      <c r="DE16">
        <f>[1]q!DE155</f>
        <v>9</v>
      </c>
      <c r="DF16">
        <f>[1]q!DF155</f>
        <v>8</v>
      </c>
      <c r="DG16">
        <f>[1]q!DG155</f>
        <v>8.5</v>
      </c>
      <c r="DH16">
        <f>[1]q!DH155</f>
        <v>9</v>
      </c>
      <c r="DI16">
        <f>[1]q!DI155</f>
        <v>9.4</v>
      </c>
      <c r="DJ16">
        <f>[1]q!DJ155</f>
        <v>9.4</v>
      </c>
      <c r="DK16">
        <f>[1]q!DK155</f>
        <v>8.5</v>
      </c>
      <c r="DL16">
        <f>[1]q!DL155</f>
        <v>8.8000000000000007</v>
      </c>
      <c r="DM16">
        <f>[1]q!DM155</f>
        <v>8.8000000000000007</v>
      </c>
      <c r="DN16">
        <f>[1]q!DN155</f>
        <v>9.3000000000000007</v>
      </c>
      <c r="DO16">
        <f>[1]q!DO155</f>
        <v>8.7000000000000011</v>
      </c>
      <c r="DP16">
        <f>[1]q!DP155</f>
        <v>8.4</v>
      </c>
      <c r="DQ16">
        <f>[1]q!DQ155</f>
        <v>8.8000000000000007</v>
      </c>
      <c r="DR16">
        <f>[1]q!DR155</f>
        <v>9</v>
      </c>
      <c r="DS16">
        <f>[1]q!DS155</f>
        <v>9.8000000000000007</v>
      </c>
      <c r="DT16">
        <f>[1]q!DT155</f>
        <v>9.9</v>
      </c>
      <c r="DU16">
        <f>[1]q!DU155</f>
        <v>10.5</v>
      </c>
      <c r="DV16">
        <f>[1]q!DV155</f>
        <v>9.7000000000000011</v>
      </c>
      <c r="DW16">
        <f>[1]q!DW155</f>
        <v>9.6000000000000014</v>
      </c>
      <c r="DX16">
        <f>[1]q!DX155</f>
        <v>11.100000000000001</v>
      </c>
      <c r="DY16">
        <f>[1]q!DY155</f>
        <v>11.9</v>
      </c>
      <c r="DZ16">
        <f>[1]q!DZ155</f>
        <v>11.3</v>
      </c>
      <c r="EA16">
        <f>[1]q!EA155</f>
        <v>11.5</v>
      </c>
      <c r="EB16">
        <f>[1]q!EB155</f>
        <v>11.200000000000001</v>
      </c>
      <c r="EC16">
        <f>[1]q!EC155</f>
        <v>9.8000000000000007</v>
      </c>
      <c r="ED16">
        <f>[1]q!ED155</f>
        <v>9.6000000000000014</v>
      </c>
      <c r="EE16">
        <f>[1]q!EE155</f>
        <v>8.5</v>
      </c>
      <c r="EF16">
        <f>[1]q!EF155</f>
        <v>8.2000000000000011</v>
      </c>
      <c r="EG16">
        <f>[1]q!EG155</f>
        <v>8.6</v>
      </c>
      <c r="EH16">
        <f>[1]q!EH155</f>
        <v>9.8000000000000007</v>
      </c>
      <c r="EI16">
        <f>[1]q!EI155</f>
        <v>10.100000000000001</v>
      </c>
      <c r="EJ16">
        <f>[1]q!EJ155</f>
        <v>10.700000000000001</v>
      </c>
      <c r="EK16">
        <f>[1]q!EK155</f>
        <v>10.4</v>
      </c>
      <c r="EL16">
        <f>[1]q!EL155</f>
        <v>8.6</v>
      </c>
      <c r="EM16">
        <f>[1]q!EM155</f>
        <v>9.4</v>
      </c>
      <c r="EN16">
        <f>[1]q!EN155</f>
        <v>7.1000000000000005</v>
      </c>
      <c r="EO16">
        <f>[1]q!EO155</f>
        <v>7.8000000000000007</v>
      </c>
      <c r="EP16">
        <f>[1]q!EP155</f>
        <v>8.2000000000000011</v>
      </c>
      <c r="EQ16">
        <f>[1]q!EQ155</f>
        <v>8.2000000000000011</v>
      </c>
      <c r="ER16">
        <f>[1]q!ER155</f>
        <v>7.2</v>
      </c>
      <c r="ES16">
        <f>[1]q!ES155</f>
        <v>6.7</v>
      </c>
      <c r="ET16">
        <f>[1]q!ET155</f>
        <v>7.5</v>
      </c>
      <c r="EU16">
        <f>[1]q!EU155</f>
        <v>5.3000000000000007</v>
      </c>
      <c r="EV16">
        <f>[1]q!EV155</f>
        <v>6</v>
      </c>
      <c r="EW16">
        <f>[1]q!EW155</f>
        <v>7.1000000000000005</v>
      </c>
      <c r="EX16">
        <f>[1]q!EX155</f>
        <v>6.8000000000000007</v>
      </c>
      <c r="EY16">
        <f>[1]q!EY155</f>
        <v>7</v>
      </c>
      <c r="EZ16">
        <f>[1]q!EZ155</f>
        <v>7</v>
      </c>
      <c r="FA16">
        <f>[1]q!FA155</f>
        <v>6.8000000000000007</v>
      </c>
      <c r="FB16">
        <f>[1]q!FB155</f>
        <v>7.4</v>
      </c>
      <c r="FC16">
        <f>[1]q!FC155</f>
        <v>6.6000000000000005</v>
      </c>
      <c r="FD16">
        <f>[1]q!FD155</f>
        <v>6.2</v>
      </c>
      <c r="FE16">
        <f>[1]q!FE155</f>
        <v>6.4</v>
      </c>
      <c r="FF16">
        <f>[1]q!FF155</f>
        <v>6.4</v>
      </c>
      <c r="FG16">
        <f>[1]q!FG155</f>
        <v>6.7</v>
      </c>
      <c r="FH16">
        <f>[1]q!FH155</f>
        <v>6.4</v>
      </c>
      <c r="FI16">
        <f>[1]q!FI155</f>
        <v>6.5</v>
      </c>
      <c r="FJ16">
        <f>[1]q!FJ155</f>
        <v>7</v>
      </c>
      <c r="FK16">
        <f>[1]q!FK155</f>
        <v>7</v>
      </c>
      <c r="FL16">
        <f>[1]q!FL155</f>
        <v>6.8000000000000007</v>
      </c>
      <c r="FM16">
        <f>[1]q!FM155</f>
        <v>7.4</v>
      </c>
      <c r="FN16">
        <f>[1]q!FN155</f>
        <v>7.4</v>
      </c>
      <c r="FO16">
        <f>[1]q!FO155</f>
        <v>7.6000000000000005</v>
      </c>
      <c r="FP16">
        <f>[1]q!FP155</f>
        <v>7</v>
      </c>
      <c r="FQ16">
        <f>[1]q!FQ155</f>
        <v>7.4</v>
      </c>
      <c r="FR16">
        <f>[1]q!FR155</f>
        <v>5.6000000000000005</v>
      </c>
      <c r="FS16">
        <f>[1]q!FS155</f>
        <v>6.2</v>
      </c>
      <c r="FT16">
        <f>[1]q!FT155</f>
        <v>5.4</v>
      </c>
      <c r="FU16">
        <f>[1]q!FU155</f>
        <v>6</v>
      </c>
      <c r="FV16">
        <f>[1]q!FV155</f>
        <v>4.6000000000000005</v>
      </c>
      <c r="FW16">
        <f>[1]q!FW155</f>
        <v>5.4</v>
      </c>
      <c r="FX16">
        <f>[1]q!FX155</f>
        <v>5.3000000000000007</v>
      </c>
      <c r="FY16">
        <f>[1]q!FY155</f>
        <v>5.6000000000000005</v>
      </c>
      <c r="FZ16">
        <f>[1]q!FZ155</f>
        <v>6.1000000000000005</v>
      </c>
      <c r="GA16">
        <f>[1]q!GA155</f>
        <v>5.2</v>
      </c>
      <c r="GB16">
        <f>[1]q!GB155</f>
        <v>5</v>
      </c>
      <c r="GC16">
        <f>[1]q!GC155</f>
        <v>4.8000000000000007</v>
      </c>
      <c r="GD16">
        <f>[1]q!GD155</f>
        <v>4.9000000000000004</v>
      </c>
      <c r="GE16">
        <f>[1]q!GE155</f>
        <v>4.8000000000000007</v>
      </c>
      <c r="GF16">
        <f>[1]q!GF155</f>
        <v>5</v>
      </c>
      <c r="GG16">
        <f>[1]q!GG155</f>
        <v>4.7</v>
      </c>
      <c r="GH16">
        <f>[1]q!GH155</f>
        <v>4.6000000000000005</v>
      </c>
      <c r="GI16">
        <f>[1]q!GI155</f>
        <v>4.9000000000000004</v>
      </c>
      <c r="GJ16">
        <f>[1]q!GJ155</f>
        <v>4.4000000000000004</v>
      </c>
      <c r="GK16">
        <f>[1]q!GK155</f>
        <v>4.6000000000000005</v>
      </c>
      <c r="GL16">
        <f>[1]q!GL155</f>
        <v>5.8000000000000007</v>
      </c>
      <c r="GM16">
        <f>[1]q!GM155</f>
        <v>5.5</v>
      </c>
      <c r="GN16">
        <f>[1]q!GN155</f>
        <v>5.2</v>
      </c>
      <c r="GO16">
        <f>[1]q!GO155</f>
        <v>4.5</v>
      </c>
      <c r="GP16">
        <f>[1]q!GP155</f>
        <v>4.3</v>
      </c>
      <c r="GQ16">
        <f>[1]q!GQ155</f>
        <v>3</v>
      </c>
      <c r="GR16">
        <f>[1]q!GR155</f>
        <v>2.4000000000000004</v>
      </c>
      <c r="GS16">
        <f>[1]q!GS155</f>
        <v>2.6</v>
      </c>
      <c r="GT16">
        <f>[1]q!GT155</f>
        <v>3.1</v>
      </c>
      <c r="GU16">
        <f>[1]q!GU155</f>
        <v>3.1</v>
      </c>
      <c r="GV16">
        <f>[1]q!GV155</f>
        <v>3.1</v>
      </c>
      <c r="GW16">
        <f>[1]q!GW155</f>
        <v>2.4000000000000004</v>
      </c>
      <c r="GX16">
        <f>[1]q!GX155</f>
        <v>2.8000000000000003</v>
      </c>
      <c r="GY16">
        <f>[1]q!GY155</f>
        <v>2.1</v>
      </c>
      <c r="GZ16">
        <f>[1]q!GZ155</f>
        <v>4.2</v>
      </c>
      <c r="HA16">
        <f>[1]q!HA155</f>
        <v>1.6</v>
      </c>
      <c r="HB16">
        <f>[1]q!HB155</f>
        <v>4</v>
      </c>
      <c r="HC16">
        <f>[1]q!HC155</f>
        <v>4</v>
      </c>
      <c r="HD16">
        <f>[1]q!HD155</f>
        <v>3.1</v>
      </c>
      <c r="HE16">
        <f>[1]q!HE155</f>
        <v>3.1</v>
      </c>
      <c r="HF16">
        <f>[1]q!HF155</f>
        <v>3.1</v>
      </c>
      <c r="HG16">
        <f>[1]q!HG155</f>
        <v>3.5</v>
      </c>
      <c r="HH16">
        <f>[1]q!HH155</f>
        <v>3.6</v>
      </c>
      <c r="HI16">
        <f>[1]q!HI155</f>
        <v>3.6</v>
      </c>
      <c r="HJ16">
        <f>[1]q!HJ155</f>
        <v>3.3000000000000003</v>
      </c>
      <c r="HK16">
        <f>[1]q!HK155</f>
        <v>3.8000000000000003</v>
      </c>
      <c r="HL16">
        <f>[1]q!HL155</f>
        <v>3.5</v>
      </c>
      <c r="HM16">
        <f>[1]q!HM155</f>
        <v>3.8000000000000003</v>
      </c>
      <c r="HN16">
        <f>[1]q!HN155</f>
        <v>1.8</v>
      </c>
      <c r="HO16">
        <f>[1]q!HO155</f>
        <v>1.5</v>
      </c>
      <c r="HP16">
        <f>[1]q!HP155</f>
        <v>1.3</v>
      </c>
      <c r="HQ16">
        <f>[1]q!HQ155</f>
        <v>1.6</v>
      </c>
      <c r="HR16">
        <f>[1]q!HR155</f>
        <v>2.4000000000000004</v>
      </c>
      <c r="HS16">
        <f>[1]q!HS155</f>
        <v>2.7</v>
      </c>
      <c r="HT16">
        <f>[1]q!HT155</f>
        <v>2.5</v>
      </c>
      <c r="HU16">
        <f>[1]q!HU155</f>
        <v>2.8000000000000003</v>
      </c>
      <c r="HV16">
        <f>[1]q!HV155</f>
        <v>2.6</v>
      </c>
      <c r="HW16">
        <f>[1]q!HW155</f>
        <v>2.3000000000000003</v>
      </c>
      <c r="HX16">
        <f>[1]q!HX155</f>
        <v>2.1</v>
      </c>
      <c r="HY16">
        <f>[1]q!HY155</f>
        <v>2.5</v>
      </c>
      <c r="HZ16">
        <f>[1]q!HZ155</f>
        <v>4.2</v>
      </c>
      <c r="IA16">
        <f>[1]q!IA155</f>
        <v>6.2</v>
      </c>
      <c r="IB16">
        <f>[1]q!IB155</f>
        <v>4.9000000000000004</v>
      </c>
      <c r="IC16">
        <f>[1]q!IC155</f>
        <v>6.2</v>
      </c>
      <c r="ID16">
        <f>[1]q!ID155</f>
        <v>5.7</v>
      </c>
      <c r="IE16">
        <f>[1]q!IE155</f>
        <v>6.2</v>
      </c>
      <c r="IF16">
        <f>[1]q!IF155</f>
        <v>4.4000000000000004</v>
      </c>
      <c r="IG16">
        <f>[1]q!IG155</f>
        <v>4.3</v>
      </c>
      <c r="IH16">
        <f>[1]q!IH155</f>
        <v>4.9000000000000004</v>
      </c>
      <c r="II16">
        <f>[1]q!II155</f>
        <v>5.6000000000000005</v>
      </c>
      <c r="IJ16">
        <f>[1]q!IJ155</f>
        <v>5.6000000000000005</v>
      </c>
      <c r="IK16">
        <f>[1]q!IK155</f>
        <v>5.2</v>
      </c>
      <c r="IL16">
        <f>[1]q!IL155</f>
        <v>5</v>
      </c>
      <c r="IM16">
        <f>[1]q!IM155</f>
        <v>5.1000000000000005</v>
      </c>
      <c r="IN16">
        <f>[1]q!IN155</f>
        <v>4.1000000000000005</v>
      </c>
    </row>
    <row r="17" spans="1:256" x14ac:dyDescent="0.25">
      <c r="A17" s="1" t="s">
        <v>68</v>
      </c>
      <c r="DC17">
        <f>INDEX([2]Surveys_q!$D$69:$D$369,DC$2-105,1)</f>
        <v>74</v>
      </c>
      <c r="DD17">
        <f>INDEX([2]Surveys_q!$D$69:$D$369,DD$2-105,1)</f>
        <v>71</v>
      </c>
      <c r="DE17">
        <f>INDEX([2]Surveys_q!$D$69:$D$369,DE$2-105,1)</f>
        <v>67</v>
      </c>
      <c r="DF17">
        <f>INDEX([2]Surveys_q!$D$69:$D$369,DF$2-105,1)</f>
        <v>71</v>
      </c>
      <c r="DG17">
        <f>INDEX([2]Surveys_q!$D$69:$D$369,DG$2-105,1)</f>
        <v>70</v>
      </c>
      <c r="DH17">
        <f>INDEX([2]Surveys_q!$D$69:$D$369,DH$2-105,1)</f>
        <v>56</v>
      </c>
      <c r="DI17">
        <f>INDEX([2]Surveys_q!$D$69:$D$369,DI$2-105,1)</f>
        <v>49</v>
      </c>
      <c r="DJ17">
        <f>INDEX([2]Surveys_q!$D$69:$D$369,DJ$2-105,1)</f>
        <v>49</v>
      </c>
      <c r="DK17">
        <f>INDEX([2]Surveys_q!$D$69:$D$369,DK$2-105,1)</f>
        <v>54</v>
      </c>
      <c r="DL17">
        <f>INDEX([2]Surveys_q!$D$69:$D$369,DL$2-105,1)</f>
        <v>42</v>
      </c>
      <c r="DM17">
        <f>INDEX([2]Surveys_q!$D$69:$D$369,DM$2-105,1)</f>
        <v>33</v>
      </c>
      <c r="DN17">
        <f>INDEX([2]Surveys_q!$D$69:$D$369,DN$2-105,1)</f>
        <v>36</v>
      </c>
      <c r="DO17">
        <f>INDEX([2]Surveys_q!$D$69:$D$369,DO$2-105,1)</f>
        <v>33</v>
      </c>
      <c r="DP17">
        <f>INDEX([2]Surveys_q!$D$69:$D$369,DP$2-105,1)</f>
        <v>29</v>
      </c>
      <c r="DQ17">
        <f>INDEX([2]Surveys_q!$D$69:$D$369,DQ$2-105,1)</f>
        <v>29</v>
      </c>
      <c r="DR17">
        <f>INDEX([2]Surveys_q!$D$69:$D$369,DR$2-105,1)</f>
        <v>38</v>
      </c>
      <c r="DS17">
        <f>INDEX([2]Surveys_q!$D$69:$D$369,DS$2-105,1)</f>
        <v>31</v>
      </c>
      <c r="DT17">
        <f>INDEX([2]Surveys_q!$D$69:$D$369,DT$2-105,1)</f>
        <v>60</v>
      </c>
      <c r="DU17">
        <f>INDEX([2]Surveys_q!$D$69:$D$369,DU$2-105,1)</f>
        <v>67</v>
      </c>
      <c r="DV17">
        <f>INDEX([2]Surveys_q!$D$69:$D$369,DV$2-105,1)</f>
        <v>63</v>
      </c>
      <c r="DW17">
        <f>INDEX([2]Surveys_q!$D$69:$D$369,DW$2-105,1)</f>
        <v>64</v>
      </c>
      <c r="DX17">
        <f>INDEX([2]Surveys_q!$D$69:$D$369,DX$2-105,1)</f>
        <v>63</v>
      </c>
      <c r="DY17">
        <f>INDEX([2]Surveys_q!$D$69:$D$369,DY$2-105,1)</f>
        <v>51</v>
      </c>
      <c r="DZ17">
        <f>INDEX([2]Surveys_q!$D$69:$D$369,DZ$2-105,1)</f>
        <v>59</v>
      </c>
      <c r="EA17">
        <f>INDEX([2]Surveys_q!$D$69:$D$369,EA$2-105,1)</f>
        <v>64</v>
      </c>
      <c r="EB17">
        <f>INDEX([2]Surveys_q!$D$69:$D$369,EB$2-105,1)</f>
        <v>65</v>
      </c>
      <c r="EC17">
        <f>INDEX([2]Surveys_q!$D$69:$D$369,EC$2-105,1)</f>
        <v>70</v>
      </c>
      <c r="ED17">
        <f>INDEX([2]Surveys_q!$D$69:$D$369,ED$2-105,1)</f>
        <v>76</v>
      </c>
      <c r="EE17">
        <f>INDEX([2]Surveys_q!$D$69:$D$369,EE$2-105,1)</f>
        <v>78</v>
      </c>
      <c r="EF17">
        <f>INDEX([2]Surveys_q!$D$69:$D$369,EF$2-105,1)</f>
        <v>74</v>
      </c>
      <c r="EG17">
        <f>INDEX([2]Surveys_q!$D$69:$D$369,EG$2-105,1)</f>
        <v>73</v>
      </c>
      <c r="EH17">
        <f>INDEX([2]Surveys_q!$D$69:$D$369,EH$2-105,1)</f>
        <v>67</v>
      </c>
      <c r="EI17">
        <f>INDEX([2]Surveys_q!$D$69:$D$369,EI$2-105,1)</f>
        <v>60</v>
      </c>
      <c r="EJ17">
        <f>INDEX([2]Surveys_q!$D$69:$D$369,EJ$2-105,1)</f>
        <v>57</v>
      </c>
      <c r="EK17">
        <f>INDEX([2]Surveys_q!$D$69:$D$369,EK$2-105,1)</f>
        <v>57</v>
      </c>
      <c r="EL17">
        <f>INDEX([2]Surveys_q!$D$69:$D$369,EL$2-105,1)</f>
        <v>61</v>
      </c>
      <c r="EM17">
        <f>INDEX([2]Surveys_q!$D$69:$D$369,EM$2-105,1)</f>
        <v>53</v>
      </c>
      <c r="EN17">
        <f>INDEX([2]Surveys_q!$D$69:$D$369,EN$2-105,1)</f>
        <v>53</v>
      </c>
      <c r="EO17">
        <f>INDEX([2]Surveys_q!$D$69:$D$369,EO$2-105,1)</f>
        <v>56</v>
      </c>
      <c r="EP17">
        <f>INDEX([2]Surveys_q!$D$69:$D$369,EP$2-105,1)</f>
        <v>62</v>
      </c>
      <c r="EQ17">
        <f>INDEX([2]Surveys_q!$D$69:$D$369,EQ$2-105,1)</f>
        <v>62</v>
      </c>
      <c r="ER17">
        <f>INDEX([2]Surveys_q!$D$69:$D$369,ER$2-105,1)</f>
        <v>52</v>
      </c>
      <c r="ES17">
        <f>INDEX([2]Surveys_q!$D$69:$D$369,ES$2-105,1)</f>
        <v>51</v>
      </c>
      <c r="ET17">
        <f>INDEX([2]Surveys_q!$D$69:$D$369,ET$2-105,1)</f>
        <v>54</v>
      </c>
      <c r="EU17">
        <f>INDEX([2]Surveys_q!$D$69:$D$369,EU$2-105,1)</f>
        <v>53</v>
      </c>
      <c r="EV17">
        <f>INDEX([2]Surveys_q!$D$69:$D$369,EV$2-105,1)</f>
        <v>56</v>
      </c>
      <c r="EW17">
        <f>INDEX([2]Surveys_q!$D$69:$D$369,EW$2-105,1)</f>
        <v>43</v>
      </c>
      <c r="EX17">
        <f>INDEX([2]Surveys_q!$D$69:$D$369,EX$2-105,1)</f>
        <v>50</v>
      </c>
      <c r="EY17">
        <f>INDEX([2]Surveys_q!$D$69:$D$369,EY$2-105,1)</f>
        <v>54</v>
      </c>
      <c r="EZ17">
        <f>INDEX([2]Surveys_q!$D$69:$D$369,EZ$2-105,1)</f>
        <v>51</v>
      </c>
      <c r="FA17">
        <f>INDEX([2]Surveys_q!$D$69:$D$369,FA$2-105,1)</f>
        <v>48</v>
      </c>
      <c r="FB17">
        <f>INDEX([2]Surveys_q!$D$69:$D$369,FB$2-105,1)</f>
        <v>43</v>
      </c>
      <c r="FC17">
        <f>INDEX([2]Surveys_q!$D$69:$D$369,FC$2-105,1)</f>
        <v>47</v>
      </c>
      <c r="FD17">
        <f>INDEX([2]Surveys_q!$D$69:$D$369,FD$2-105,1)</f>
        <v>48</v>
      </c>
      <c r="FE17">
        <f>INDEX([2]Surveys_q!$D$69:$D$369,FE$2-105,1)</f>
        <v>43</v>
      </c>
      <c r="FF17">
        <f>INDEX([2]Surveys_q!$D$69:$D$369,FF$2-105,1)</f>
        <v>49</v>
      </c>
      <c r="FG17">
        <f>INDEX([2]Surveys_q!$D$69:$D$369,FG$2-105,1)</f>
        <v>50</v>
      </c>
      <c r="FH17">
        <f>INDEX([2]Surveys_q!$D$69:$D$369,FH$2-105,1)</f>
        <v>41</v>
      </c>
      <c r="FI17">
        <f>INDEX([2]Surveys_q!$D$69:$D$369,FI$2-105,1)</f>
        <v>34</v>
      </c>
      <c r="FJ17">
        <f>INDEX([2]Surveys_q!$D$69:$D$369,FJ$2-105,1)</f>
        <v>47</v>
      </c>
      <c r="FK17">
        <f>INDEX([2]Surveys_q!$D$69:$D$369,FK$2-105,1)</f>
        <v>66</v>
      </c>
      <c r="FL17">
        <f>INDEX([2]Surveys_q!$D$69:$D$369,FL$2-105,1)</f>
        <v>69</v>
      </c>
      <c r="FM17">
        <f>INDEX([2]Surveys_q!$D$69:$D$369,FM$2-105,1)</f>
        <v>61</v>
      </c>
      <c r="FN17">
        <f>INDEX([2]Surveys_q!$D$69:$D$369,FN$2-105,1)</f>
        <v>69</v>
      </c>
      <c r="FO17">
        <f>INDEX([2]Surveys_q!$D$69:$D$369,FO$2-105,1)</f>
        <v>73</v>
      </c>
      <c r="FP17">
        <f>INDEX([2]Surveys_q!$D$69:$D$369,FP$2-105,1)</f>
        <v>66</v>
      </c>
      <c r="FQ17">
        <f>INDEX([2]Surveys_q!$D$69:$D$369,FQ$2-105,1)</f>
        <v>65</v>
      </c>
      <c r="FR17">
        <f>INDEX([2]Surveys_q!$D$69:$D$369,FR$2-105,1)</f>
        <v>66</v>
      </c>
      <c r="FS17">
        <f>INDEX([2]Surveys_q!$D$69:$D$369,FS$2-105,1)</f>
        <v>57</v>
      </c>
      <c r="FT17">
        <f>INDEX([2]Surveys_q!$D$69:$D$369,FT$2-105,1)</f>
        <v>48</v>
      </c>
      <c r="FU17">
        <f>INDEX([2]Surveys_q!$D$69:$D$369,FU$2-105,1)</f>
        <v>61</v>
      </c>
      <c r="FV17">
        <f>INDEX([2]Surveys_q!$D$69:$D$369,FV$2-105,1)</f>
        <v>64</v>
      </c>
      <c r="FW17">
        <f>INDEX([2]Surveys_q!$D$69:$D$369,FW$2-105,1)</f>
        <v>60</v>
      </c>
      <c r="FX17">
        <f>INDEX([2]Surveys_q!$D$69:$D$369,FX$2-105,1)</f>
        <v>55</v>
      </c>
      <c r="FY17">
        <f>INDEX([2]Surveys_q!$D$69:$D$369,FY$2-105,1)</f>
        <v>51</v>
      </c>
      <c r="FZ17">
        <f>INDEX([2]Surveys_q!$D$69:$D$369,FZ$2-105,1)</f>
        <v>48</v>
      </c>
      <c r="GA17">
        <f>INDEX([2]Surveys_q!$D$69:$D$369,GA$2-105,1)</f>
        <v>44</v>
      </c>
      <c r="GB17">
        <f>INDEX([2]Surveys_q!$D$69:$D$369,GB$2-105,1)</f>
        <v>54</v>
      </c>
      <c r="GC17">
        <f>INDEX([2]Surveys_q!$D$69:$D$369,GC$2-105,1)</f>
        <v>52</v>
      </c>
      <c r="GD17">
        <f>INDEX([2]Surveys_q!$D$69:$D$369,GD$2-105,1)</f>
        <v>50</v>
      </c>
      <c r="GE17">
        <f>INDEX([2]Surveys_q!$D$69:$D$369,GE$2-105,1)</f>
        <v>54</v>
      </c>
      <c r="GF17">
        <f>INDEX([2]Surveys_q!$D$69:$D$369,GF$2-105,1)</f>
        <v>49</v>
      </c>
      <c r="GG17">
        <f>INDEX([2]Surveys_q!$D$69:$D$369,GG$2-105,1)</f>
        <v>50</v>
      </c>
      <c r="GH17">
        <f>INDEX([2]Surveys_q!$D$69:$D$369,GH$2-105,1)</f>
        <v>53</v>
      </c>
      <c r="GI17">
        <f>INDEX([2]Surveys_q!$D$69:$D$369,GI$2-105,1)</f>
        <v>55</v>
      </c>
      <c r="GJ17">
        <f>INDEX([2]Surveys_q!$D$69:$D$369,GJ$2-105,1)</f>
        <v>52</v>
      </c>
      <c r="GK17">
        <f>INDEX([2]Surveys_q!$D$69:$D$369,GK$2-105,1)</f>
        <v>46</v>
      </c>
      <c r="GL17">
        <f>INDEX([2]Surveys_q!$D$69:$D$369,GL$2-105,1)</f>
        <v>45</v>
      </c>
      <c r="GM17">
        <f>INDEX([2]Surveys_q!$D$69:$D$369,GM$2-105,1)</f>
        <v>45</v>
      </c>
      <c r="GN17">
        <f>INDEX([2]Surveys_q!$D$69:$D$369,GN$2-105,1)</f>
        <v>37</v>
      </c>
      <c r="GO17">
        <f>INDEX([2]Surveys_q!$D$69:$D$369,GO$2-105,1)</f>
        <v>42</v>
      </c>
      <c r="GP17">
        <f>INDEX([2]Surveys_q!$D$69:$D$369,GP$2-105,1)</f>
        <v>42</v>
      </c>
      <c r="GQ17">
        <f>INDEX([2]Surveys_q!$D$69:$D$369,GQ$2-105,1)</f>
        <v>53</v>
      </c>
      <c r="GR17">
        <f>INDEX([2]Surveys_q!$D$69:$D$369,GR$2-105,1)</f>
        <v>49</v>
      </c>
      <c r="GS17">
        <f>INDEX([2]Surveys_q!$D$69:$D$369,GS$2-105,1)</f>
        <v>48</v>
      </c>
      <c r="GT17">
        <f>INDEX([2]Surveys_q!$D$69:$D$369,GT$2-105,1)</f>
        <v>48</v>
      </c>
      <c r="GU17">
        <f>INDEX([2]Surveys_q!$D$69:$D$369,GU$2-105,1)</f>
        <v>41</v>
      </c>
      <c r="GV17">
        <f>INDEX([2]Surveys_q!$D$69:$D$369,GV$2-105,1)</f>
        <v>45</v>
      </c>
      <c r="GW17">
        <f>INDEX([2]Surveys_q!$D$69:$D$369,GW$2-105,1)</f>
        <v>32</v>
      </c>
      <c r="GX17">
        <f>INDEX([2]Surveys_q!$D$69:$D$369,GX$2-105,1)</f>
        <v>51</v>
      </c>
      <c r="GY17">
        <f>INDEX([2]Surveys_q!$D$69:$D$369,GY$2-105,1)</f>
        <v>59</v>
      </c>
      <c r="GZ17">
        <f>INDEX([2]Surveys_q!$D$69:$D$369,GZ$2-105,1)</f>
        <v>56</v>
      </c>
      <c r="HA17">
        <f>INDEX([2]Surveys_q!$D$69:$D$369,HA$2-105,1)</f>
        <v>50</v>
      </c>
      <c r="HB17">
        <f>INDEX([2]Surveys_q!$D$69:$D$369,HB$2-105,1)</f>
        <v>72</v>
      </c>
      <c r="HC17">
        <f>INDEX([2]Surveys_q!$D$69:$D$369,HC$2-105,1)</f>
        <v>63</v>
      </c>
      <c r="HD17">
        <f>INDEX([2]Surveys_q!$D$69:$D$369,HD$2-105,1)</f>
        <v>60</v>
      </c>
      <c r="HE17">
        <f>INDEX([2]Surveys_q!$D$69:$D$369,HE$2-105,1)</f>
        <v>63</v>
      </c>
      <c r="HF17">
        <f>INDEX([2]Surveys_q!$D$69:$D$369,HF$2-105,1)</f>
        <v>60</v>
      </c>
      <c r="HG17">
        <f>INDEX([2]Surveys_q!$D$69:$D$369,HG$2-105,1)</f>
        <v>66</v>
      </c>
      <c r="HH17">
        <f>INDEX([2]Surveys_q!$D$69:$D$369,HH$2-105,1)</f>
        <v>73</v>
      </c>
      <c r="HI17">
        <f>INDEX([2]Surveys_q!$D$69:$D$369,HI$2-105,1)</f>
        <v>66</v>
      </c>
      <c r="HJ17">
        <f>INDEX([2]Surveys_q!$D$69:$D$369,HJ$2-105,1)</f>
        <v>72</v>
      </c>
      <c r="HK17">
        <f>INDEX([2]Surveys_q!$D$69:$D$369,HK$2-105,1)</f>
        <v>68</v>
      </c>
      <c r="HL17">
        <f>INDEX([2]Surveys_q!$D$69:$D$369,HL$2-105,1)</f>
        <v>62</v>
      </c>
      <c r="HM17">
        <f>INDEX([2]Surveys_q!$D$69:$D$369,HM$2-105,1)</f>
        <v>60</v>
      </c>
      <c r="HN17">
        <f>INDEX([2]Surveys_q!$D$69:$D$369,HN$2-105,1)</f>
        <v>60</v>
      </c>
      <c r="HO17">
        <f>INDEX([2]Surveys_q!$D$69:$D$369,HO$2-105,1)</f>
        <v>54</v>
      </c>
      <c r="HP17">
        <f>INDEX([2]Surveys_q!$D$69:$D$369,HP$2-105,1)</f>
        <v>50</v>
      </c>
      <c r="HQ17">
        <f>INDEX([2]Surveys_q!$D$69:$D$369,HQ$2-105,1)</f>
        <v>56</v>
      </c>
      <c r="HR17">
        <f>INDEX([2]Surveys_q!$D$69:$D$369,HR$2-105,1)</f>
        <v>55</v>
      </c>
      <c r="HS17">
        <f>INDEX([2]Surveys_q!$D$69:$D$369,HS$2-105,1)</f>
        <v>47</v>
      </c>
      <c r="HT17">
        <f>INDEX([2]Surveys_q!$D$69:$D$369,HT$2-105,1)</f>
        <v>43</v>
      </c>
      <c r="HU17">
        <f>INDEX([2]Surveys_q!$D$69:$D$369,HU$2-105,1)</f>
        <v>50</v>
      </c>
      <c r="HV17">
        <f>INDEX([2]Surveys_q!$D$69:$D$369,HV$2-105,1)</f>
        <v>53</v>
      </c>
      <c r="HW17">
        <f>INDEX([2]Surveys_q!$D$69:$D$369,HW$2-105,1)</f>
        <v>43</v>
      </c>
      <c r="HX17">
        <f>INDEX([2]Surveys_q!$D$69:$D$369,HX$2-105,1)</f>
        <v>44</v>
      </c>
      <c r="HY17">
        <f>INDEX([2]Surveys_q!$D$69:$D$369,HY$2-105,1)</f>
        <v>40</v>
      </c>
      <c r="HZ17">
        <f>INDEX([2]Surveys_q!$D$69:$D$369,HZ$2-105,1)</f>
        <v>40</v>
      </c>
      <c r="IA17">
        <f>INDEX([2]Surveys_q!$D$69:$D$369,IA$2-105,1)</f>
        <v>43</v>
      </c>
      <c r="IB17">
        <f>INDEX([2]Surveys_q!$D$69:$D$369,IB$2-105,1)</f>
        <v>46</v>
      </c>
      <c r="IC17">
        <f>INDEX([2]Surveys_q!$D$69:$D$369,IC$2-105,1)</f>
        <v>32</v>
      </c>
      <c r="ID17">
        <f>INDEX([2]Surveys_q!$D$69:$D$369,ID$2-105,1)</f>
        <v>40</v>
      </c>
      <c r="IE17">
        <f>INDEX([2]Surveys_q!$D$69:$D$369,IE$2-105,1)</f>
        <v>61</v>
      </c>
      <c r="IF17">
        <f>INDEX([2]Surveys_q!$D$69:$D$369,IF$2-105,1)</f>
        <v>63</v>
      </c>
      <c r="IG17">
        <f>INDEX([2]Surveys_q!$D$69:$D$369,IG$2-105,1)</f>
        <v>64</v>
      </c>
      <c r="IH17">
        <f>INDEX([2]Surveys_q!$D$69:$D$369,IH$2-105,1)</f>
        <v>62</v>
      </c>
      <c r="II17">
        <f>INDEX([2]Surveys_q!$D$69:$D$369,II$2-105,1)</f>
        <v>59</v>
      </c>
      <c r="IJ17">
        <f>INDEX([2]Surveys_q!$D$69:$D$369,IJ$2-105,1)</f>
        <v>49</v>
      </c>
      <c r="IK17">
        <f>INDEX([2]Surveys_q!$D$69:$D$369,IK$2-105,1)</f>
        <v>62</v>
      </c>
      <c r="IL17">
        <f>INDEX([2]Surveys_q!$D$69:$D$369,IL$2-105,1)</f>
        <v>68</v>
      </c>
      <c r="IM17">
        <f>INDEX([2]Surveys_q!$D$69:$D$369,IM$2-105,1)</f>
        <v>57</v>
      </c>
      <c r="IN17">
        <f>INDEX([2]Surveys_q!$D$69:$D$369,IN$2-105,1)</f>
        <v>45</v>
      </c>
    </row>
    <row r="18" spans="1:256" x14ac:dyDescent="0.25">
      <c r="A18" s="1" t="s">
        <v>67</v>
      </c>
      <c r="DC18">
        <f>INDEX([2]Surveys_q!$C$69:$C$369,DC$2-105,1)</f>
        <v>81</v>
      </c>
      <c r="DD18">
        <f>INDEX([2]Surveys_q!$C$69:$C$369,DD$2-105,1)</f>
        <v>80</v>
      </c>
      <c r="DE18">
        <f>INDEX([2]Surveys_q!$C$69:$C$369,DE$2-105,1)</f>
        <v>60</v>
      </c>
      <c r="DF18">
        <f>INDEX([2]Surveys_q!$C$69:$C$369,DF$2-105,1)</f>
        <v>65</v>
      </c>
      <c r="DG18">
        <f>INDEX([2]Surveys_q!$C$69:$C$369,DG$2-105,1)</f>
        <v>74</v>
      </c>
      <c r="DH18">
        <f>INDEX([2]Surveys_q!$C$69:$C$369,DH$2-105,1)</f>
        <v>62</v>
      </c>
      <c r="DI18">
        <f>INDEX([2]Surveys_q!$C$69:$C$369,DI$2-105,1)</f>
        <v>48</v>
      </c>
      <c r="DJ18">
        <f>INDEX([2]Surveys_q!$C$69:$C$369,DJ$2-105,1)</f>
        <v>46</v>
      </c>
      <c r="DK18">
        <f>INDEX([2]Surveys_q!$C$69:$C$369,DK$2-105,1)</f>
        <v>60</v>
      </c>
      <c r="DL18">
        <f>INDEX([2]Surveys_q!$C$69:$C$369,DL$2-105,1)</f>
        <v>58</v>
      </c>
      <c r="DM18">
        <f>INDEX([2]Surveys_q!$C$69:$C$369,DM$2-105,1)</f>
        <v>45</v>
      </c>
      <c r="DN18">
        <f>INDEX([2]Surveys_q!$C$69:$C$369,DN$2-105,1)</f>
        <v>47</v>
      </c>
      <c r="DO18">
        <f>INDEX([2]Surveys_q!$C$69:$C$369,DO$2-105,1)</f>
        <v>47</v>
      </c>
      <c r="DP18">
        <f>INDEX([2]Surveys_q!$C$69:$C$369,DP$2-105,1)</f>
        <v>28</v>
      </c>
      <c r="DQ18">
        <f>INDEX([2]Surveys_q!$C$69:$C$369,DQ$2-105,1)</f>
        <v>29</v>
      </c>
      <c r="DR18">
        <f>INDEX([2]Surveys_q!$C$69:$C$369,DR$2-105,1)</f>
        <v>36</v>
      </c>
      <c r="DS18">
        <f>INDEX([2]Surveys_q!$C$69:$C$369,DS$2-105,1)</f>
        <v>16</v>
      </c>
      <c r="DT18">
        <f>INDEX([2]Surveys_q!$C$69:$C$369,DT$2-105,1)</f>
        <v>28</v>
      </c>
      <c r="DU18">
        <f>INDEX([2]Surveys_q!$C$69:$C$369,DU$2-105,1)</f>
        <v>59</v>
      </c>
      <c r="DV18">
        <f>INDEX([2]Surveys_q!$C$69:$C$369,DV$2-105,1)</f>
        <v>50</v>
      </c>
      <c r="DW18">
        <f>INDEX([2]Surveys_q!$C$69:$C$369,DW$2-105,1)</f>
        <v>57</v>
      </c>
      <c r="DX18">
        <f>INDEX([2]Surveys_q!$C$69:$C$369,DX$2-105,1)</f>
        <v>48</v>
      </c>
      <c r="DY18">
        <f>INDEX([2]Surveys_q!$C$69:$C$369,DY$2-105,1)</f>
        <v>26</v>
      </c>
      <c r="DZ18">
        <f>INDEX([2]Surveys_q!$C$69:$C$369,DZ$2-105,1)</f>
        <v>23</v>
      </c>
      <c r="EA18">
        <f>INDEX([2]Surveys_q!$C$69:$C$369,EA$2-105,1)</f>
        <v>30</v>
      </c>
      <c r="EB18">
        <f>INDEX([2]Surveys_q!$C$69:$C$369,EB$2-105,1)</f>
        <v>38</v>
      </c>
      <c r="EC18">
        <f>INDEX([2]Surveys_q!$C$69:$C$369,EC$2-105,1)</f>
        <v>44</v>
      </c>
      <c r="ED18">
        <f>INDEX([2]Surveys_q!$C$69:$C$369,ED$2-105,1)</f>
        <v>65</v>
      </c>
      <c r="EE18">
        <f>INDEX([2]Surveys_q!$C$69:$C$369,EE$2-105,1)</f>
        <v>76</v>
      </c>
      <c r="EF18">
        <f>INDEX([2]Surveys_q!$C$69:$C$369,EF$2-105,1)</f>
        <v>82</v>
      </c>
      <c r="EG18">
        <f>INDEX([2]Surveys_q!$C$69:$C$369,EG$2-105,1)</f>
        <v>80</v>
      </c>
      <c r="EH18">
        <f>INDEX([2]Surveys_q!$C$69:$C$369,EH$2-105,1)</f>
        <v>76</v>
      </c>
      <c r="EI18">
        <f>INDEX([2]Surveys_q!$C$69:$C$369,EI$2-105,1)</f>
        <v>75</v>
      </c>
      <c r="EJ18">
        <f>INDEX([2]Surveys_q!$C$69:$C$369,EJ$2-105,1)</f>
        <v>70</v>
      </c>
      <c r="EK18">
        <f>INDEX([2]Surveys_q!$C$69:$C$369,EK$2-105,1)</f>
        <v>57</v>
      </c>
      <c r="EL18">
        <f>INDEX([2]Surveys_q!$C$69:$C$369,EL$2-105,1)</f>
        <v>62</v>
      </c>
      <c r="EM18">
        <f>INDEX([2]Surveys_q!$C$69:$C$369,EM$2-105,1)</f>
        <v>48</v>
      </c>
      <c r="EN18">
        <f>INDEX([2]Surveys_q!$C$69:$C$369,EN$2-105,1)</f>
        <v>45</v>
      </c>
      <c r="EO18">
        <f>INDEX([2]Surveys_q!$C$69:$C$369,EO$2-105,1)</f>
        <v>53</v>
      </c>
      <c r="EP18">
        <f>INDEX([2]Surveys_q!$C$69:$C$369,EP$2-105,1)</f>
        <v>63</v>
      </c>
      <c r="EQ18">
        <f>INDEX([2]Surveys_q!$C$69:$C$369,EQ$2-105,1)</f>
        <v>61</v>
      </c>
      <c r="ER18">
        <f>INDEX([2]Surveys_q!$C$69:$C$369,ER$2-105,1)</f>
        <v>44</v>
      </c>
      <c r="ES18">
        <f>INDEX([2]Surveys_q!$C$69:$C$369,ES$2-105,1)</f>
        <v>50</v>
      </c>
      <c r="ET18">
        <f>INDEX([2]Surveys_q!$C$69:$C$369,ET$2-105,1)</f>
        <v>56</v>
      </c>
      <c r="EU18">
        <f>INDEX([2]Surveys_q!$C$69:$C$369,EU$2-105,1)</f>
        <v>55</v>
      </c>
      <c r="EV18">
        <f>INDEX([2]Surveys_q!$C$69:$C$369,EV$2-105,1)</f>
        <v>62</v>
      </c>
      <c r="EW18">
        <f>INDEX([2]Surveys_q!$C$69:$C$369,EW$2-105,1)</f>
        <v>50</v>
      </c>
      <c r="EX18">
        <f>INDEX([2]Surveys_q!$C$69:$C$369,EX$2-105,1)</f>
        <v>49</v>
      </c>
      <c r="EY18">
        <f>INDEX([2]Surveys_q!$C$69:$C$369,EY$2-105,1)</f>
        <v>64</v>
      </c>
      <c r="EZ18">
        <f>INDEX([2]Surveys_q!$C$69:$C$369,EZ$2-105,1)</f>
        <v>65</v>
      </c>
      <c r="FA18">
        <f>INDEX([2]Surveys_q!$C$69:$C$369,FA$2-105,1)</f>
        <v>54</v>
      </c>
      <c r="FB18">
        <f>INDEX([2]Surveys_q!$C$69:$C$369,FB$2-105,1)</f>
        <v>52</v>
      </c>
      <c r="FC18">
        <f>INDEX([2]Surveys_q!$C$69:$C$369,FC$2-105,1)</f>
        <v>48</v>
      </c>
      <c r="FD18">
        <f>INDEX([2]Surveys_q!$C$69:$C$369,FD$2-105,1)</f>
        <v>47</v>
      </c>
      <c r="FE18">
        <f>INDEX([2]Surveys_q!$C$69:$C$369,FE$2-105,1)</f>
        <v>39</v>
      </c>
      <c r="FF18">
        <f>INDEX([2]Surveys_q!$C$69:$C$369,FF$2-105,1)</f>
        <v>38</v>
      </c>
      <c r="FG18">
        <f>INDEX([2]Surveys_q!$C$69:$C$369,FG$2-105,1)</f>
        <v>42</v>
      </c>
      <c r="FH18">
        <f>INDEX([2]Surveys_q!$C$69:$C$369,FH$2-105,1)</f>
        <v>33</v>
      </c>
      <c r="FI18">
        <f>INDEX([2]Surveys_q!$C$69:$C$369,FI$2-105,1)</f>
        <v>24</v>
      </c>
      <c r="FJ18">
        <f>INDEX([2]Surveys_q!$C$69:$C$369,FJ$2-105,1)</f>
        <v>22</v>
      </c>
      <c r="FK18">
        <f>INDEX([2]Surveys_q!$C$69:$C$369,FK$2-105,1)</f>
        <v>38</v>
      </c>
      <c r="FL18">
        <f>INDEX([2]Surveys_q!$C$69:$C$369,FL$2-105,1)</f>
        <v>57</v>
      </c>
      <c r="FM18">
        <f>INDEX([2]Surveys_q!$C$69:$C$369,FM$2-105,1)</f>
        <v>44</v>
      </c>
      <c r="FN18">
        <f>INDEX([2]Surveys_q!$C$69:$C$369,FN$2-105,1)</f>
        <v>51</v>
      </c>
      <c r="FO18">
        <f>INDEX([2]Surveys_q!$C$69:$C$369,FO$2-105,1)</f>
        <v>69</v>
      </c>
      <c r="FP18">
        <f>INDEX([2]Surveys_q!$C$69:$C$369,FP$2-105,1)</f>
        <v>58</v>
      </c>
      <c r="FQ18">
        <f>INDEX([2]Surveys_q!$C$69:$C$369,FQ$2-105,1)</f>
        <v>57</v>
      </c>
      <c r="FR18">
        <f>INDEX([2]Surveys_q!$C$69:$C$369,FR$2-105,1)</f>
        <v>68</v>
      </c>
      <c r="FS18">
        <f>INDEX([2]Surveys_q!$C$69:$C$369,FS$2-105,1)</f>
        <v>56</v>
      </c>
      <c r="FT18">
        <f>INDEX([2]Surveys_q!$C$69:$C$369,FT$2-105,1)</f>
        <v>50</v>
      </c>
      <c r="FU18">
        <f>INDEX([2]Surveys_q!$C$69:$C$369,FU$2-105,1)</f>
        <v>63</v>
      </c>
      <c r="FV18">
        <f>INDEX([2]Surveys_q!$C$69:$C$369,FV$2-105,1)</f>
        <v>71</v>
      </c>
      <c r="FW18">
        <f>INDEX([2]Surveys_q!$C$69:$C$369,FW$2-105,1)</f>
        <v>71</v>
      </c>
      <c r="FX18">
        <f>INDEX([2]Surveys_q!$C$69:$C$369,FX$2-105,1)</f>
        <v>66</v>
      </c>
      <c r="FY18">
        <f>INDEX([2]Surveys_q!$C$69:$C$369,FY$2-105,1)</f>
        <v>64</v>
      </c>
      <c r="FZ18">
        <f>INDEX([2]Surveys_q!$C$69:$C$369,FZ$2-105,1)</f>
        <v>60</v>
      </c>
      <c r="GA18">
        <f>INDEX([2]Surveys_q!$C$69:$C$369,GA$2-105,1)</f>
        <v>46</v>
      </c>
      <c r="GB18">
        <f>INDEX([2]Surveys_q!$C$69:$C$369,GB$2-105,1)</f>
        <v>49</v>
      </c>
      <c r="GC18">
        <f>INDEX([2]Surveys_q!$C$69:$C$369,GC$2-105,1)</f>
        <v>52</v>
      </c>
      <c r="GD18">
        <f>INDEX([2]Surveys_q!$C$69:$C$369,GD$2-105,1)</f>
        <v>44</v>
      </c>
      <c r="GE18">
        <f>INDEX([2]Surveys_q!$C$69:$C$369,GE$2-105,1)</f>
        <v>58</v>
      </c>
      <c r="GF18">
        <f>INDEX([2]Surveys_q!$C$69:$C$369,GF$2-105,1)</f>
        <v>57</v>
      </c>
      <c r="GG18">
        <f>INDEX([2]Surveys_q!$C$69:$C$369,GG$2-105,1)</f>
        <v>61</v>
      </c>
      <c r="GH18">
        <f>INDEX([2]Surveys_q!$C$69:$C$369,GH$2-105,1)</f>
        <v>62</v>
      </c>
      <c r="GI18">
        <f>INDEX([2]Surveys_q!$C$69:$C$369,GI$2-105,1)</f>
        <v>68</v>
      </c>
      <c r="GJ18">
        <f>INDEX([2]Surveys_q!$C$69:$C$369,GJ$2-105,1)</f>
        <v>62</v>
      </c>
      <c r="GK18">
        <f>INDEX([2]Surveys_q!$C$69:$C$369,GK$2-105,1)</f>
        <v>57</v>
      </c>
      <c r="GL18">
        <f>INDEX([2]Surveys_q!$C$69:$C$369,GL$2-105,1)</f>
        <v>54</v>
      </c>
      <c r="GM18">
        <f>INDEX([2]Surveys_q!$C$69:$C$369,GM$2-105,1)</f>
        <v>52</v>
      </c>
      <c r="GN18">
        <f>INDEX([2]Surveys_q!$C$69:$C$369,GN$2-105,1)</f>
        <v>41</v>
      </c>
      <c r="GO18">
        <f>INDEX([2]Surveys_q!$C$69:$C$369,GO$2-105,1)</f>
        <v>41</v>
      </c>
      <c r="GP18">
        <f>INDEX([2]Surveys_q!$C$69:$C$369,GP$2-105,1)</f>
        <v>48</v>
      </c>
      <c r="GQ18">
        <f>INDEX([2]Surveys_q!$C$69:$C$369,GQ$2-105,1)</f>
        <v>60</v>
      </c>
      <c r="GR18">
        <f>INDEX([2]Surveys_q!$C$69:$C$369,GR$2-105,1)</f>
        <v>52</v>
      </c>
      <c r="GS18">
        <f>INDEX([2]Surveys_q!$C$69:$C$369,GS$2-105,1)</f>
        <v>57</v>
      </c>
      <c r="GT18">
        <f>INDEX([2]Surveys_q!$C$69:$C$369,GT$2-105,1)</f>
        <v>55</v>
      </c>
      <c r="GU18">
        <f>INDEX([2]Surveys_q!$C$69:$C$369,GU$2-105,1)</f>
        <v>49</v>
      </c>
      <c r="GV18">
        <f>INDEX([2]Surveys_q!$C$69:$C$369,GV$2-105,1)</f>
        <v>47</v>
      </c>
      <c r="GW18">
        <f>INDEX([2]Surveys_q!$C$69:$C$369,GW$2-105,1)</f>
        <v>26</v>
      </c>
      <c r="GX18">
        <f>INDEX([2]Surveys_q!$C$69:$C$369,GX$2-105,1)</f>
        <v>29</v>
      </c>
      <c r="GY18">
        <f>INDEX([2]Surveys_q!$C$69:$C$369,GY$2-105,1)</f>
        <v>38</v>
      </c>
      <c r="GZ18">
        <f>INDEX([2]Surveys_q!$C$69:$C$369,GZ$2-105,1)</f>
        <v>32</v>
      </c>
      <c r="HA18">
        <f>INDEX([2]Surveys_q!$C$69:$C$369,HA$2-105,1)</f>
        <v>18</v>
      </c>
      <c r="HB18">
        <f>INDEX([2]Surveys_q!$C$69:$C$369,HB$2-105,1)</f>
        <v>60</v>
      </c>
      <c r="HC18">
        <f>INDEX([2]Surveys_q!$C$69:$C$369,HC$2-105,1)</f>
        <v>61</v>
      </c>
      <c r="HD18">
        <f>INDEX([2]Surveys_q!$C$69:$C$369,HD$2-105,1)</f>
        <v>45</v>
      </c>
      <c r="HE18">
        <f>INDEX([2]Surveys_q!$C$69:$C$369,HE$2-105,1)</f>
        <v>52</v>
      </c>
      <c r="HF18">
        <f>INDEX([2]Surveys_q!$C$69:$C$369,HF$2-105,1)</f>
        <v>40</v>
      </c>
      <c r="HG18">
        <f>INDEX([2]Surveys_q!$C$69:$C$369,HG$2-105,1)</f>
        <v>55</v>
      </c>
      <c r="HH18">
        <f>INDEX([2]Surveys_q!$C$69:$C$369,HH$2-105,1)</f>
        <v>64</v>
      </c>
      <c r="HI18">
        <f>INDEX([2]Surveys_q!$C$69:$C$369,HI$2-105,1)</f>
        <v>68</v>
      </c>
      <c r="HJ18">
        <f>INDEX([2]Surveys_q!$C$69:$C$369,HJ$2-105,1)</f>
        <v>78</v>
      </c>
      <c r="HK18">
        <f>INDEX([2]Surveys_q!$C$69:$C$369,HK$2-105,1)</f>
        <v>78</v>
      </c>
      <c r="HL18">
        <f>INDEX([2]Surveys_q!$C$69:$C$369,HL$2-105,1)</f>
        <v>66</v>
      </c>
      <c r="HM18">
        <f>INDEX([2]Surveys_q!$C$69:$C$369,HM$2-105,1)</f>
        <v>61</v>
      </c>
      <c r="HN18">
        <f>INDEX([2]Surveys_q!$C$69:$C$369,HN$2-105,1)</f>
        <v>65</v>
      </c>
      <c r="HO18">
        <f>INDEX([2]Surveys_q!$C$69:$C$369,HO$2-105,1)</f>
        <v>57</v>
      </c>
      <c r="HP18">
        <f>INDEX([2]Surveys_q!$C$69:$C$369,HP$2-105,1)</f>
        <v>51</v>
      </c>
      <c r="HQ18">
        <f>INDEX([2]Surveys_q!$C$69:$C$369,HQ$2-105,1)</f>
        <v>56</v>
      </c>
      <c r="HR18">
        <f>INDEX([2]Surveys_q!$C$69:$C$369,HR$2-105,1)</f>
        <v>60</v>
      </c>
      <c r="HS18">
        <f>INDEX([2]Surveys_q!$C$69:$C$369,HS$2-105,1)</f>
        <v>50</v>
      </c>
      <c r="HT18">
        <f>INDEX([2]Surveys_q!$C$69:$C$369,HT$2-105,1)</f>
        <v>43</v>
      </c>
      <c r="HU18">
        <f>INDEX([2]Surveys_q!$C$69:$C$369,HU$2-105,1)</f>
        <v>47</v>
      </c>
      <c r="HV18">
        <f>INDEX([2]Surveys_q!$C$69:$C$369,HV$2-105,1)</f>
        <v>49</v>
      </c>
      <c r="HW18">
        <f>INDEX([2]Surveys_q!$C$69:$C$369,HW$2-105,1)</f>
        <v>49</v>
      </c>
      <c r="HX18">
        <f>INDEX([2]Surveys_q!$C$69:$C$369,HX$2-105,1)</f>
        <v>39</v>
      </c>
      <c r="HY18">
        <f>INDEX([2]Surveys_q!$C$69:$C$369,HY$2-105,1)</f>
        <v>34</v>
      </c>
      <c r="HZ18">
        <f>INDEX([2]Surveys_q!$C$69:$C$369,HZ$2-105,1)</f>
        <v>26</v>
      </c>
      <c r="IA18">
        <f>INDEX([2]Surveys_q!$C$69:$C$369,IA$2-105,1)</f>
        <v>28</v>
      </c>
      <c r="IB18">
        <f>INDEX([2]Surveys_q!$C$69:$C$369,IB$2-105,1)</f>
        <v>30</v>
      </c>
      <c r="IC18">
        <f>INDEX([2]Surveys_q!$C$69:$C$369,IC$2-105,1)</f>
        <v>7</v>
      </c>
      <c r="ID18">
        <f>INDEX([2]Surveys_q!$C$69:$C$369,ID$2-105,1)</f>
        <v>5</v>
      </c>
      <c r="IE18">
        <f>INDEX([2]Surveys_q!$C$69:$C$369,IE$2-105,1)</f>
        <v>47</v>
      </c>
      <c r="IF18">
        <f>INDEX([2]Surveys_q!$C$69:$C$369,IF$2-105,1)</f>
        <v>65</v>
      </c>
      <c r="IG18">
        <f>INDEX([2]Surveys_q!$C$69:$C$369,IG$2-105,1)</f>
        <v>69</v>
      </c>
      <c r="IH18">
        <f>INDEX([2]Surveys_q!$C$69:$C$369,IH$2-105,1)</f>
        <v>67</v>
      </c>
      <c r="II18">
        <f>INDEX([2]Surveys_q!$C$69:$C$369,II$2-105,1)</f>
        <v>67</v>
      </c>
      <c r="IJ18">
        <f>INDEX([2]Surveys_q!$C$69:$C$369,IJ$2-105,1)</f>
        <v>50</v>
      </c>
      <c r="IK18">
        <f>INDEX([2]Surveys_q!$C$69:$C$369,IK$2-105,1)</f>
        <v>62</v>
      </c>
      <c r="IL18">
        <f>INDEX([2]Surveys_q!$C$69:$C$369,IL$2-105,1)</f>
        <v>72</v>
      </c>
      <c r="IM18">
        <f>INDEX([2]Surveys_q!$C$69:$C$369,IM$2-105,1)</f>
        <v>51</v>
      </c>
      <c r="IN18">
        <f>INDEX([2]Surveys_q!$C$69:$C$369,IN$2-105,1)</f>
        <v>32</v>
      </c>
    </row>
    <row r="19" spans="1:256" x14ac:dyDescent="0.25">
      <c r="A19" s="1" t="s">
        <v>66</v>
      </c>
      <c r="FG19">
        <f>INDEX([2]Surveys_q!$U$125:$U$307,FG2-161,1)</f>
        <v>56.9</v>
      </c>
      <c r="FH19">
        <f>INDEX([2]Surveys_q!$U$125:$U$307,FH2-161,1)</f>
        <v>39.450000000000003</v>
      </c>
      <c r="FI19">
        <f>INDEX([2]Surveys_q!$U$125:$U$307,FI2-161,1)</f>
        <v>48.9</v>
      </c>
      <c r="FJ19">
        <f>INDEX([2]Surveys_q!$U$125:$U$307,FJ2-161,1)</f>
        <v>36</v>
      </c>
      <c r="FK19">
        <f>INDEX([2]Surveys_q!$U$125:$U$307,FK2-161,1)</f>
        <v>15.5</v>
      </c>
      <c r="FL19">
        <f>INDEX([2]Surveys_q!$U$125:$U$307,FL2-161,1)</f>
        <v>12.25</v>
      </c>
      <c r="FM19">
        <f>INDEX([2]Surveys_q!$U$125:$U$307,FM2-161,1)</f>
        <v>9</v>
      </c>
      <c r="FN19">
        <f>INDEX([2]Surveys_q!$U$125:$U$307,FN2-161,1)</f>
        <v>5.25</v>
      </c>
      <c r="FO19">
        <f>INDEX([2]Surveys_q!$U$125:$U$307,FO2-161,1)</f>
        <v>0.9</v>
      </c>
      <c r="FP19">
        <f>INDEX([2]Surveys_q!$U$125:$U$307,FP2-161,1)</f>
        <v>-1.7</v>
      </c>
      <c r="FQ19">
        <f>INDEX([2]Surveys_q!$U$125:$U$307,FQ2-161,1)</f>
        <v>4.3500000000000005</v>
      </c>
      <c r="FR19">
        <f>INDEX([2]Surveys_q!$U$125:$U$307,FR2-161,1)</f>
        <v>2.65</v>
      </c>
      <c r="FS19">
        <f>INDEX([2]Surveys_q!$U$125:$U$307,FS2-161,1)</f>
        <v>-7.8500000000000005</v>
      </c>
      <c r="FT19">
        <f>INDEX([2]Surveys_q!$U$125:$U$307,FT2-161,1)</f>
        <v>-19.45</v>
      </c>
      <c r="FU19">
        <f>INDEX([2]Surveys_q!$U$125:$U$307,FU2-161,1)</f>
        <v>-17.75</v>
      </c>
      <c r="FV19">
        <f>INDEX([2]Surveys_q!$U$125:$U$307,FV2-161,1)</f>
        <v>-12.950000000000001</v>
      </c>
      <c r="FW19">
        <f>INDEX([2]Surveys_q!$U$125:$U$307,FW2-161,1)</f>
        <v>-12.200000000000001</v>
      </c>
      <c r="FX19">
        <f>INDEX([2]Surveys_q!$U$125:$U$307,FX2-161,1)</f>
        <v>-6.95</v>
      </c>
      <c r="FY19">
        <f>INDEX([2]Surveys_q!$U$125:$U$307,FY2-161,1)</f>
        <v>-17.400000000000002</v>
      </c>
      <c r="FZ19">
        <f>INDEX([2]Surveys_q!$U$125:$U$307,FZ2-161,1)</f>
        <v>-6.8500000000000005</v>
      </c>
      <c r="GA19">
        <f>INDEX([2]Surveys_q!$U$125:$U$307,GA2-161,1)</f>
        <v>-5.9</v>
      </c>
      <c r="GB19">
        <f>INDEX([2]Surveys_q!$U$125:$U$307,GB2-161,1)</f>
        <v>-6.05</v>
      </c>
      <c r="GC19">
        <f>INDEX([2]Surveys_q!$U$125:$U$307,GC2-161,1)</f>
        <v>-3.45</v>
      </c>
      <c r="GD19">
        <f>INDEX([2]Surveys_q!$U$125:$U$307,GD2-161,1)</f>
        <v>6.95</v>
      </c>
      <c r="GE19">
        <f>INDEX([2]Surveys_q!$U$125:$U$307,GE2-161,1)</f>
        <v>-0.9</v>
      </c>
      <c r="GF19">
        <f>INDEX([2]Surveys_q!$U$125:$U$307,GF2-161,1)</f>
        <v>-3.7</v>
      </c>
      <c r="GG19">
        <f>INDEX([2]Surveys_q!$U$125:$U$307,GG2-161,1)</f>
        <v>-7.8</v>
      </c>
      <c r="GH19">
        <f>INDEX([2]Surveys_q!$U$125:$U$307,GH2-161,1)</f>
        <v>-5.45</v>
      </c>
      <c r="GI19">
        <f>INDEX([2]Surveys_q!$U$125:$U$307,GI2-161,1)</f>
        <v>-6.95</v>
      </c>
      <c r="GJ19">
        <f>INDEX([2]Surveys_q!$U$125:$U$307,GJ2-161,1)</f>
        <v>-5.7</v>
      </c>
      <c r="GK19">
        <f>INDEX([2]Surveys_q!$U$125:$U$307,GK2-161,1)</f>
        <v>-7</v>
      </c>
      <c r="GL19">
        <f>INDEX([2]Surveys_q!$U$125:$U$307,GL2-161,1)</f>
        <v>1.8</v>
      </c>
      <c r="GM19">
        <f>INDEX([2]Surveys_q!$U$125:$U$307,GM2-161,1)</f>
        <v>-7.1000000000000005</v>
      </c>
      <c r="GN19">
        <f>INDEX([2]Surveys_q!$U$125:$U$307,GN2-161,1)</f>
        <v>0</v>
      </c>
      <c r="GO19">
        <f>INDEX([2]Surveys_q!$U$125:$U$307,GO2-161,1)</f>
        <v>36.4</v>
      </c>
      <c r="GP19">
        <f>INDEX([2]Surveys_q!$U$125:$U$307,GP2-161,1)</f>
        <v>7.4</v>
      </c>
      <c r="GQ19">
        <f>INDEX([2]Surveys_q!$U$125:$U$307,GQ2-161,1)</f>
        <v>10</v>
      </c>
      <c r="GR19">
        <f>INDEX([2]Surveys_q!$U$125:$U$307,GR2-161,1)</f>
        <v>5.4</v>
      </c>
      <c r="GS19">
        <f>INDEX([2]Surveys_q!$U$125:$U$307,GS2-161,1)</f>
        <v>9.1</v>
      </c>
      <c r="GT19">
        <f>INDEX([2]Surveys_q!$U$125:$U$307,GT2-161,1)</f>
        <v>10.9</v>
      </c>
      <c r="GU19">
        <f>INDEX([2]Surveys_q!$U$125:$U$307,GU2-161,1)</f>
        <v>24.6</v>
      </c>
      <c r="GV19">
        <f>INDEX([2]Surveys_q!$U$125:$U$307,GV2-161,1)</f>
        <v>33.9</v>
      </c>
      <c r="GW19">
        <f>INDEX([2]Surveys_q!$U$125:$U$307,GW2-161,1)</f>
        <v>43.800000000000004</v>
      </c>
      <c r="GX19">
        <f>INDEX([2]Surveys_q!$U$125:$U$307,GX2-161,1)</f>
        <v>59.7</v>
      </c>
      <c r="GY19">
        <f>INDEX([2]Surveys_q!$U$125:$U$307,GY2-161,1)</f>
        <v>50.9</v>
      </c>
      <c r="GZ19">
        <f>INDEX([2]Surveys_q!$U$125:$U$307,GZ2-161,1)</f>
        <v>40.4</v>
      </c>
      <c r="HA19">
        <f>INDEX([2]Surveys_q!$U$125:$U$307,HA2-161,1)</f>
        <v>50.9</v>
      </c>
      <c r="HB19">
        <f>INDEX([2]Surveys_q!$U$125:$U$307,HB2-161,1)</f>
        <v>45.4</v>
      </c>
      <c r="HC19">
        <f>INDEX([2]Surveys_q!$U$125:$U$307,HC2-161,1)</f>
        <v>25</v>
      </c>
      <c r="HD19">
        <f>INDEX([2]Surveys_q!$U$125:$U$307,HD2-161,1)</f>
        <v>21.400000000000002</v>
      </c>
      <c r="HE19">
        <f>INDEX([2]Surveys_q!$U$125:$U$307,HE2-161,1)</f>
        <v>20</v>
      </c>
      <c r="HF19">
        <f>INDEX([2]Surveys_q!$U$125:$U$307,HF2-161,1)</f>
        <v>22</v>
      </c>
      <c r="HG19">
        <f>INDEX([2]Surveys_q!$U$125:$U$307,HG2-161,1)</f>
        <v>8.9</v>
      </c>
      <c r="HH19">
        <f>INDEX([2]Surveys_q!$U$125:$U$307,HH2-161,1)</f>
        <v>3.5</v>
      </c>
      <c r="HI19">
        <f>INDEX([2]Surveys_q!$U$125:$U$307,HI2-161,1)</f>
        <v>0</v>
      </c>
      <c r="HJ19">
        <f>INDEX([2]Surveys_q!$U$125:$U$307,HJ2-161,1)</f>
        <v>-17.900000000000002</v>
      </c>
      <c r="HK19">
        <f>INDEX([2]Surveys_q!$U$125:$U$307,HK2-161,1)</f>
        <v>-23.2</v>
      </c>
      <c r="HL19">
        <f>INDEX([2]Surveys_q!$U$125:$U$307,HL2-161,1)</f>
        <v>-20</v>
      </c>
      <c r="HM19">
        <f>INDEX([2]Surveys_q!$U$125:$U$307,HM2-161,1)</f>
        <v>-21.1</v>
      </c>
      <c r="HN19">
        <f>INDEX([2]Surveys_q!$U$125:$U$307,HN2-161,1)</f>
        <v>-23.6</v>
      </c>
      <c r="HO19">
        <f>INDEX([2]Surveys_q!$U$125:$U$307,HO2-161,1)</f>
        <v>-24.1</v>
      </c>
      <c r="HP19">
        <f>INDEX([2]Surveys_q!$U$125:$U$307,HP2-161,1)</f>
        <v>-16.7</v>
      </c>
      <c r="HQ19">
        <f>INDEX([2]Surveys_q!$U$125:$U$307,HQ2-161,1)</f>
        <v>-8.8000000000000007</v>
      </c>
      <c r="HR19">
        <f>INDEX([2]Surveys_q!$U$125:$U$307,HR2-161,1)</f>
        <v>-10.700000000000001</v>
      </c>
      <c r="HS19">
        <f>INDEX([2]Surveys_q!$U$125:$U$307,HS2-161,1)</f>
        <v>-12.3</v>
      </c>
      <c r="HT19">
        <f>INDEX([2]Surveys_q!$U$125:$U$307,HT2-161,1)</f>
        <v>-8.9</v>
      </c>
      <c r="HU19">
        <f>INDEX([2]Surveys_q!$U$125:$U$307,HU2-161,1)</f>
        <v>0</v>
      </c>
      <c r="HV19">
        <f>INDEX([2]Surveys_q!$U$125:$U$307,HV2-161,1)</f>
        <v>0</v>
      </c>
      <c r="HW19">
        <f>INDEX([2]Surveys_q!$U$125:$U$307,HW2-161,1)</f>
        <v>-3.7</v>
      </c>
      <c r="HX19">
        <f>INDEX([2]Surveys_q!$U$125:$U$307,HX2-161,1)</f>
        <v>7.5</v>
      </c>
      <c r="HY19">
        <f>INDEX([2]Surveys_q!$U$125:$U$307,HY2-161,1)</f>
        <v>19.2</v>
      </c>
      <c r="HZ19">
        <f>INDEX([2]Surveys_q!$U$125:$U$307,HZ2-161,1)</f>
        <v>32.200000000000003</v>
      </c>
      <c r="IA19">
        <f>INDEX([2]Surveys_q!$U$125:$U$307,IA2-161,1)</f>
        <v>55.4</v>
      </c>
      <c r="IB19">
        <f>INDEX([2]Surveys_q!$U$125:$U$307,IB2-161,1)</f>
        <v>57.6</v>
      </c>
      <c r="IC19">
        <f>INDEX([2]Surveys_q!$U$125:$U$307,IC2-161,1)</f>
        <v>83.600000000000009</v>
      </c>
      <c r="ID19">
        <f>INDEX([2]Surveys_q!$U$125:$U$307,ID2-161,1)</f>
        <v>64.2</v>
      </c>
      <c r="IE19">
        <f>INDEX([2]Surveys_q!$U$125:$U$307,IE2-161,1)</f>
        <v>39.6</v>
      </c>
      <c r="IF19">
        <f>INDEX([2]Surveys_q!$U$125:$U$307,IF2-161,1)</f>
        <v>31.5</v>
      </c>
      <c r="IG19">
        <f>INDEX([2]Surveys_q!$U$125:$U$307,IG2-161,1)</f>
        <v>14</v>
      </c>
      <c r="IH19">
        <f>INDEX([2]Surveys_q!$U$125:$U$307,IH2-161,1)</f>
        <v>-5.5</v>
      </c>
      <c r="II19">
        <f>INDEX([2]Surveys_q!$U$125:$U$307,II2-161,1)</f>
        <v>-7.1000000000000005</v>
      </c>
      <c r="IJ19">
        <f>INDEX([2]Surveys_q!$U$125:$U$307,IJ2-161,1)</f>
        <v>-8.8000000000000007</v>
      </c>
      <c r="IK19">
        <f>INDEX([2]Surveys_q!$U$125:$U$307,IK2-161,1)</f>
        <v>-10.5</v>
      </c>
      <c r="IL19">
        <f>INDEX([2]Surveys_q!$U$125:$U$307,IL2-161,1)</f>
        <v>-10.5</v>
      </c>
      <c r="IM19">
        <f>INDEX([2]Surveys_q!$U$125:$U$307,IM2-161,1)</f>
        <v>-16.399999999999999</v>
      </c>
      <c r="IN19">
        <f>INDEX([2]Surveys_q!$U$125:$U$307,IN2-161,1)</f>
        <v>-21.8</v>
      </c>
    </row>
    <row r="20" spans="1:256" x14ac:dyDescent="0.25">
      <c r="A20" s="1" t="s">
        <v>65</v>
      </c>
      <c r="FM20" s="2">
        <f>INDEX([2]Surveys_q!$T$125:$T$307,FM2-161,1)</f>
        <v>-29.650000000000002</v>
      </c>
      <c r="FN20" s="2">
        <f>INDEX([2]Surveys_q!$T$125:$T$307,FN2-161,1)</f>
        <v>-26.5</v>
      </c>
      <c r="FO20" s="2">
        <f>INDEX([2]Surveys_q!$T$125:$T$307,FO2-161,1)</f>
        <v>6.25</v>
      </c>
      <c r="FP20" s="2">
        <f>INDEX([2]Surveys_q!$T$125:$T$307,FP2-161,1)</f>
        <v>-8.6</v>
      </c>
      <c r="FQ20" s="2">
        <f>INDEX([2]Surveys_q!$T$125:$T$307,FQ2-161,1)</f>
        <v>6.15</v>
      </c>
      <c r="FR20" s="2">
        <f>INDEX([2]Surveys_q!$T$125:$T$307,FR2-161,1)</f>
        <v>20.2</v>
      </c>
      <c r="FS20" s="2">
        <f>INDEX([2]Surveys_q!$T$125:$T$307,FS2-161,1)</f>
        <v>-0.1</v>
      </c>
      <c r="FT20" s="2">
        <f>INDEX([2]Surveys_q!$T$125:$T$307,FT2-161,1)</f>
        <v>18.05</v>
      </c>
      <c r="FU20" s="2">
        <f>INDEX([2]Surveys_q!$T$125:$T$307,FU2-161,1)</f>
        <v>9.25</v>
      </c>
      <c r="FV20" s="2">
        <f>INDEX([2]Surveys_q!$T$125:$T$307,FV2-161,1)</f>
        <v>26.05</v>
      </c>
      <c r="FW20" s="2">
        <f>INDEX([2]Surveys_q!$T$125:$T$307,FW2-161,1)</f>
        <v>38.1</v>
      </c>
      <c r="FX20" s="2">
        <f>INDEX([2]Surveys_q!$T$125:$T$307,FX2-161,1)</f>
        <v>31.25</v>
      </c>
      <c r="FY20" s="2">
        <f>INDEX([2]Surveys_q!$T$125:$T$307,FY2-161,1)</f>
        <v>31.400000000000002</v>
      </c>
      <c r="FZ20" s="2">
        <f>INDEX([2]Surveys_q!$T$125:$T$307,FZ2-161,1)</f>
        <v>35.1</v>
      </c>
      <c r="GA20" s="2">
        <f>INDEX([2]Surveys_q!$T$125:$T$307,GA2-161,1)</f>
        <v>28.6</v>
      </c>
      <c r="GB20" s="2">
        <f>INDEX([2]Surveys_q!$T$125:$T$307,GB2-161,1)</f>
        <v>4.3500000000000005</v>
      </c>
      <c r="GC20" s="2">
        <f>INDEX([2]Surveys_q!$T$125:$T$307,GC2-161,1)</f>
        <v>3.45</v>
      </c>
      <c r="GD20" s="2">
        <f>INDEX([2]Surveys_q!$T$125:$T$307,GD2-161,1)</f>
        <v>-3.45</v>
      </c>
      <c r="GE20" s="2">
        <f>INDEX([2]Surveys_q!$T$125:$T$307,GE2-161,1)</f>
        <v>10.200000000000001</v>
      </c>
      <c r="GF20" s="2">
        <f>INDEX([2]Surveys_q!$T$125:$T$307,GF2-161,1)</f>
        <v>12.05</v>
      </c>
      <c r="GG20" s="2">
        <f>INDEX([2]Surveys_q!$T$125:$T$307,GG2-161,1)</f>
        <v>0.9</v>
      </c>
      <c r="GH20" s="2">
        <f>INDEX([2]Surveys_q!$T$125:$T$307,GH2-161,1)</f>
        <v>4.7</v>
      </c>
      <c r="GI20" s="2">
        <f>INDEX([2]Surveys_q!$T$125:$T$307,GI2-161,1)</f>
        <v>5.3500000000000005</v>
      </c>
      <c r="GJ20" s="2">
        <f>INDEX([2]Surveys_q!$T$125:$T$307,GJ2-161,1)</f>
        <v>13.4</v>
      </c>
      <c r="GK20" s="2">
        <f>INDEX([2]Surveys_q!$T$125:$T$307,GK2-161,1)</f>
        <v>19.3</v>
      </c>
      <c r="GL20" s="2">
        <f>INDEX([2]Surveys_q!$T$125:$T$307,GL2-161,1)</f>
        <v>25.900000000000002</v>
      </c>
      <c r="GM20" s="2">
        <f>INDEX([2]Surveys_q!$T$125:$T$307,GM2-161,1)</f>
        <v>28.5</v>
      </c>
      <c r="GN20" s="2">
        <f>INDEX([2]Surveys_q!$T$125:$T$307,GN2-161,1)</f>
        <v>-8.9</v>
      </c>
      <c r="GO20" s="2">
        <f>INDEX([2]Surveys_q!$T$125:$T$307,GO2-161,1)</f>
        <v>27.7</v>
      </c>
      <c r="GP20" s="2">
        <f>INDEX([2]Surveys_q!$T$125:$T$307,GP2-161,1)</f>
        <v>20.400000000000002</v>
      </c>
      <c r="GQ20" s="2">
        <f>INDEX([2]Surveys_q!$T$125:$T$307,GQ2-161,1)</f>
        <v>0</v>
      </c>
      <c r="GR20" s="2">
        <f>INDEX([2]Surveys_q!$T$125:$T$307,GR2-161,1)</f>
        <v>0</v>
      </c>
      <c r="GS20" s="2">
        <f>INDEX([2]Surveys_q!$T$125:$T$307,GS2-161,1)</f>
        <v>-1.8</v>
      </c>
      <c r="GT20" s="2">
        <f>INDEX([2]Surveys_q!$T$125:$T$307,GT2-161,1)</f>
        <v>9.1</v>
      </c>
      <c r="GU20" s="2">
        <f>INDEX([2]Surveys_q!$T$125:$T$307,GU2-161,1)</f>
        <v>-8.8000000000000007</v>
      </c>
      <c r="GV20" s="2">
        <f>INDEX([2]Surveys_q!$T$125:$T$307,GV2-161,1)</f>
        <v>-5.3</v>
      </c>
      <c r="GW20" s="2">
        <f>INDEX([2]Surveys_q!$T$125:$T$307,GW2-161,1)</f>
        <v>-22.8</v>
      </c>
      <c r="GX20" s="2">
        <f>INDEX([2]Surveys_q!$T$125:$T$307,GX2-161,1)</f>
        <v>-50</v>
      </c>
      <c r="GY20" s="2">
        <f>INDEX([2]Surveys_q!$T$125:$T$307,GY2-161,1)</f>
        <v>-40</v>
      </c>
      <c r="GZ20" s="2">
        <f>INDEX([2]Surveys_q!$T$125:$T$307,GZ2-161,1)</f>
        <v>-52.7</v>
      </c>
      <c r="HA20" s="2">
        <f>INDEX([2]Surveys_q!$T$125:$T$307,HA2-161,1)</f>
        <v>-70.2</v>
      </c>
      <c r="HB20" s="2">
        <f>INDEX([2]Surveys_q!$T$125:$T$307,HB2-161,1)</f>
        <v>-54.5</v>
      </c>
      <c r="HC20" s="2">
        <f>INDEX([2]Surveys_q!$T$125:$T$307,HC2-161,1)</f>
        <v>-35.700000000000003</v>
      </c>
      <c r="HD20" s="2">
        <f>INDEX([2]Surveys_q!$T$125:$T$307,HD2-161,1)</f>
        <v>-44.6</v>
      </c>
      <c r="HE20" s="2">
        <f>INDEX([2]Surveys_q!$T$125:$T$307,HE2-161,1)</f>
        <v>-52.7</v>
      </c>
      <c r="HF20" s="2">
        <f>INDEX([2]Surveys_q!$T$125:$T$307,HF2-161,1)</f>
        <v>-32.200000000000003</v>
      </c>
      <c r="HG20" s="2">
        <f>INDEX([2]Surveys_q!$T$125:$T$307,HG2-161,1)</f>
        <v>-39.300000000000004</v>
      </c>
      <c r="HH20" s="2">
        <f>INDEX([2]Surveys_q!$T$125:$T$307,HH2-161,1)</f>
        <v>-22.5</v>
      </c>
      <c r="HI20" s="2">
        <f>INDEX([2]Surveys_q!$T$125:$T$307,HI2-161,1)</f>
        <v>-11.6</v>
      </c>
      <c r="HJ20" s="2">
        <f>INDEX([2]Surveys_q!$T$125:$T$307,HJ2-161,1)</f>
        <v>10.700000000000001</v>
      </c>
      <c r="HK20" s="2">
        <f>INDEX([2]Surveys_q!$T$125:$T$307,HK2-161,1)</f>
        <v>28.6</v>
      </c>
      <c r="HL20" s="2">
        <f>INDEX([2]Surveys_q!$T$125:$T$307,HL2-161,1)</f>
        <v>31.400000000000002</v>
      </c>
      <c r="HM20" s="2">
        <f>INDEX([2]Surveys_q!$T$125:$T$307,HM2-161,1)</f>
        <v>26.3</v>
      </c>
      <c r="HN20" s="2">
        <f>INDEX([2]Surveys_q!$T$125:$T$307,HN2-161,1)</f>
        <v>45.5</v>
      </c>
      <c r="HO20" s="2">
        <f>INDEX([2]Surveys_q!$T$125:$T$307,HO2-161,1)</f>
        <v>37</v>
      </c>
      <c r="HP20" s="2">
        <f>INDEX([2]Surveys_q!$T$125:$T$307,HP2-161,1)</f>
        <v>40.800000000000004</v>
      </c>
      <c r="HQ20" s="2">
        <f>INDEX([2]Surveys_q!$T$125:$T$307,HQ2-161,1)</f>
        <v>14.3</v>
      </c>
      <c r="HR20" s="2">
        <f>INDEX([2]Surveys_q!$T$125:$T$307,HR2-161,1)</f>
        <v>16.100000000000001</v>
      </c>
      <c r="HS20" s="2">
        <f>INDEX([2]Surveys_q!$T$125:$T$307,HS2-161,1)</f>
        <v>3.5</v>
      </c>
      <c r="HT20" s="2">
        <f>INDEX([2]Surveys_q!$T$125:$T$307,HT2-161,1)</f>
        <v>-1.8</v>
      </c>
      <c r="HU20" s="2">
        <f>INDEX([2]Surveys_q!$T$125:$T$307,HU2-161,1)</f>
        <v>-3.7</v>
      </c>
      <c r="HV20" s="2">
        <f>INDEX([2]Surveys_q!$T$125:$T$307,HV2-161,1)</f>
        <v>-1.8</v>
      </c>
      <c r="HW20" s="2">
        <f>INDEX([2]Surveys_q!$T$125:$T$307,HW2-161,1)</f>
        <v>-22.6</v>
      </c>
      <c r="HX20" s="2">
        <f>INDEX([2]Surveys_q!$T$125:$T$307,HX2-161,1)</f>
        <v>-19.2</v>
      </c>
      <c r="HY20" s="2">
        <f>INDEX([2]Surveys_q!$T$125:$T$307,HY2-161,1)</f>
        <v>-17.3</v>
      </c>
      <c r="HZ20" s="2">
        <f>INDEX([2]Surveys_q!$T$125:$T$307,HZ2-161,1)</f>
        <v>-16.399999999999999</v>
      </c>
      <c r="IA20" s="2">
        <f>INDEX([2]Surveys_q!$T$125:$T$307,IA2-161,1)</f>
        <v>0</v>
      </c>
      <c r="IB20" s="2">
        <f>INDEX([2]Surveys_q!$T$125:$T$307,IB2-161,1)</f>
        <v>-3.8000000000000003</v>
      </c>
      <c r="IC20" s="2">
        <f>INDEX([2]Surveys_q!$T$125:$T$307,IC2-161,1)</f>
        <v>-16.7</v>
      </c>
      <c r="ID20" s="2">
        <f>INDEX([2]Surveys_q!$T$125:$T$307,ID2-161,1)</f>
        <v>-60.4</v>
      </c>
      <c r="IE20" s="2">
        <f>INDEX([2]Surveys_q!$T$125:$T$307,IE2-161,1)</f>
        <v>-60.4</v>
      </c>
      <c r="IF20" s="2">
        <f>INDEX([2]Surveys_q!$T$125:$T$307,IF2-161,1)</f>
        <v>-44.4</v>
      </c>
      <c r="IG20" s="2">
        <f>INDEX([2]Surveys_q!$T$125:$T$307,IG2-161,1)</f>
        <v>-31.6</v>
      </c>
      <c r="IH20" s="2">
        <f>INDEX([2]Surveys_q!$T$125:$T$307,IH2-161,1)</f>
        <v>-25.5</v>
      </c>
      <c r="II20" s="2">
        <f>INDEX([2]Surveys_q!$T$125:$T$307,II2-161,1)</f>
        <v>-7.1000000000000005</v>
      </c>
      <c r="IJ20" s="2">
        <f>INDEX([2]Surveys_q!$T$125:$T$307,IJ2-161,1)</f>
        <v>1.8</v>
      </c>
      <c r="IK20" s="2">
        <f>INDEX([2]Surveys_q!$T$125:$T$307,IK2-161,1)</f>
        <v>-7</v>
      </c>
      <c r="IL20" s="2">
        <f>INDEX([2]Surveys_q!$T$125:$T$307,IL2-161,1)</f>
        <v>28.1</v>
      </c>
      <c r="IM20" s="2">
        <f>INDEX([2]Surveys_q!$T$125:$T$307,IM2-161,1)</f>
        <v>27.3</v>
      </c>
      <c r="IN20" s="2">
        <f>INDEX([2]Surveys_q!$T$125:$T$307,IN2-161,1)</f>
        <v>20</v>
      </c>
    </row>
    <row r="21" spans="1:256" x14ac:dyDescent="0.25">
      <c r="A21" s="1" t="s">
        <v>64</v>
      </c>
      <c r="BP21">
        <f>INDEX([2]Surveys_q!$AC$30:$AC$307,BP2-66,1)</f>
        <v>-25</v>
      </c>
      <c r="BQ21">
        <f>INDEX([2]Surveys_q!$AC$30:$AC$307,BQ2-66,1)</f>
        <v>4</v>
      </c>
      <c r="BR21">
        <f>INDEX([2]Surveys_q!$AC$30:$AC$307,BR2-66,1)</f>
        <v>25</v>
      </c>
      <c r="BS21">
        <f>INDEX([2]Surveys_q!$AC$30:$AC$307,BS2-66,1)</f>
        <v>34</v>
      </c>
      <c r="BT21">
        <f>INDEX([2]Surveys_q!$AC$30:$AC$307,BT2-66,1)</f>
        <v>19</v>
      </c>
      <c r="BU21">
        <f>INDEX([2]Surveys_q!$AC$30:$AC$307,BU2-66,1)</f>
        <v>19</v>
      </c>
      <c r="BV21">
        <f>INDEX([2]Surveys_q!$AC$30:$AC$307,BV2-66,1)</f>
        <v>24</v>
      </c>
      <c r="BW21">
        <f>INDEX([2]Surveys_q!$AC$30:$AC$307,BW2-66,1)</f>
        <v>0</v>
      </c>
      <c r="BX21">
        <f>INDEX([2]Surveys_q!$AC$30:$AC$307,BX2-66,1)</f>
        <v>13</v>
      </c>
      <c r="BY21">
        <f>INDEX([2]Surveys_q!$AC$30:$AC$307,BY2-66,1)</f>
        <v>17</v>
      </c>
      <c r="BZ21">
        <f>INDEX([2]Surveys_q!$AC$30:$AC$307,BZ2-66,1)</f>
        <v>-7</v>
      </c>
      <c r="CA21">
        <f>INDEX([2]Surveys_q!$AC$30:$AC$307,CA2-66,1)</f>
        <v>-20</v>
      </c>
      <c r="CB21">
        <f>INDEX([2]Surveys_q!$AC$30:$AC$307,CB2-66,1)</f>
        <v>-29</v>
      </c>
      <c r="CC21">
        <f>INDEX([2]Surveys_q!$AC$30:$AC$307,CC2-66,1)</f>
        <v>-27</v>
      </c>
      <c r="CD21">
        <f>INDEX([2]Surveys_q!$AC$30:$AC$307,CD2-66,1)</f>
        <v>-19</v>
      </c>
      <c r="CE21">
        <f>INDEX([2]Surveys_q!$AC$30:$AC$307,CE2-66,1)</f>
        <v>5</v>
      </c>
      <c r="CF21">
        <f>INDEX([2]Surveys_q!$AC$30:$AC$307,CF2-66,1)</f>
        <v>0</v>
      </c>
      <c r="CG21">
        <f>INDEX([2]Surveys_q!$AC$30:$AC$307,CG2-66,1)</f>
        <v>27</v>
      </c>
      <c r="CH21">
        <f>INDEX([2]Surveys_q!$AC$30:$AC$307,CH2-66,1)</f>
        <v>63</v>
      </c>
      <c r="CI21">
        <f>INDEX([2]Surveys_q!$AC$30:$AC$307,CI2-66,1)</f>
        <v>41</v>
      </c>
      <c r="CJ21">
        <f>INDEX([2]Surveys_q!$AC$30:$AC$307,CJ2-66,1)</f>
        <v>25</v>
      </c>
      <c r="CK21">
        <f>INDEX([2]Surveys_q!$AC$30:$AC$307,CK2-66,1)</f>
        <v>32</v>
      </c>
      <c r="CL21">
        <f>INDEX([2]Surveys_q!$AC$30:$AC$307,CL2-66,1)</f>
        <v>50</v>
      </c>
      <c r="CM21">
        <f>INDEX([2]Surveys_q!$AC$30:$AC$307,CM2-66,1)</f>
        <v>29</v>
      </c>
      <c r="CN21">
        <f>INDEX([2]Surveys_q!$AC$30:$AC$307,CN2-66,1)</f>
        <v>19</v>
      </c>
      <c r="CO21">
        <f>INDEX([2]Surveys_q!$AC$30:$AC$307,CO2-66,1)</f>
        <v>21</v>
      </c>
      <c r="CP21">
        <f>INDEX([2]Surveys_q!$AC$30:$AC$307,CP2-66,1)</f>
        <v>11</v>
      </c>
      <c r="CQ21">
        <f>INDEX([2]Surveys_q!$AC$30:$AC$307,CQ2-66,1)</f>
        <v>9</v>
      </c>
      <c r="CR21">
        <f>INDEX([2]Surveys_q!$AC$30:$AC$307,CR2-66,1)</f>
        <v>-7</v>
      </c>
      <c r="CS21">
        <f>INDEX([2]Surveys_q!$AC$30:$AC$307,CS2-66,1)</f>
        <v>13</v>
      </c>
      <c r="CT21">
        <f>INDEX([2]Surveys_q!$AC$30:$AC$307,CT2-66,1)</f>
        <v>13</v>
      </c>
      <c r="CU21">
        <f>INDEX([2]Surveys_q!$AC$30:$AC$307,CU2-66,1)</f>
        <v>-19</v>
      </c>
      <c r="CV21">
        <f>INDEX([2]Surveys_q!$AC$30:$AC$307,CV2-66,1)</f>
        <v>-34</v>
      </c>
      <c r="CW21">
        <f>INDEX([2]Surveys_q!$AC$30:$AC$307,CW2-66,1)</f>
        <v>-19</v>
      </c>
      <c r="CX21">
        <f>INDEX([2]Surveys_q!$AC$30:$AC$307,CX2-66,1)</f>
        <v>8</v>
      </c>
      <c r="CY21">
        <f>INDEX([2]Surveys_q!$AC$30:$AC$307,CY2-66,1)</f>
        <v>28</v>
      </c>
      <c r="CZ21">
        <f>INDEX([2]Surveys_q!$AC$30:$AC$307,CZ2-66,1)</f>
        <v>30</v>
      </c>
      <c r="DA21">
        <f>INDEX([2]Surveys_q!$AC$30:$AC$307,DA2-66,1)</f>
        <v>26</v>
      </c>
      <c r="DB21">
        <f>INDEX([2]Surveys_q!$AC$30:$AC$307,DB2-66,1)</f>
        <v>29</v>
      </c>
      <c r="DC21">
        <f>INDEX([2]Surveys_q!$AC$30:$AC$307,DC2-66,1)</f>
        <v>41</v>
      </c>
      <c r="DD21">
        <f>INDEX([2]Surveys_q!$AC$30:$AC$307,DD2-66,1)</f>
        <v>31</v>
      </c>
      <c r="DE21">
        <f>INDEX([2]Surveys_q!$AC$30:$AC$307,DE2-66,1)</f>
        <v>27</v>
      </c>
      <c r="DF21">
        <f>INDEX([2]Surveys_q!$AC$30:$AC$307,DF2-66,1)</f>
        <v>28</v>
      </c>
      <c r="DG21">
        <f>INDEX([2]Surveys_q!$AC$30:$AC$307,DG2-66,1)</f>
        <v>28</v>
      </c>
      <c r="DH21">
        <f>INDEX([2]Surveys_q!$AC$30:$AC$307,DH2-66,1)</f>
        <v>13</v>
      </c>
      <c r="DI21">
        <f>INDEX([2]Surveys_q!$AC$30:$AC$307,DI2-66,1)</f>
        <v>12</v>
      </c>
      <c r="DJ21">
        <f>INDEX([2]Surveys_q!$AC$30:$AC$307,DJ2-66,1)</f>
        <v>10</v>
      </c>
      <c r="DK21">
        <f>INDEX([2]Surveys_q!$AC$30:$AC$307,DK2-66,1)</f>
        <v>9</v>
      </c>
      <c r="DL21">
        <f>INDEX([2]Surveys_q!$AC$30:$AC$307,DL2-66,1)</f>
        <v>3</v>
      </c>
      <c r="DM21">
        <f>INDEX([2]Surveys_q!$AC$30:$AC$307,DM2-66,1)</f>
        <v>-8</v>
      </c>
      <c r="DN21">
        <f>INDEX([2]Surveys_q!$AC$30:$AC$307,DN2-66,1)</f>
        <v>0</v>
      </c>
      <c r="DO21">
        <f>INDEX([2]Surveys_q!$AC$30:$AC$307,DO2-66,1)</f>
        <v>-4</v>
      </c>
      <c r="DP21">
        <f>INDEX([2]Surveys_q!$AC$30:$AC$307,DP2-66,1)</f>
        <v>-7</v>
      </c>
      <c r="DQ21">
        <f>INDEX([2]Surveys_q!$AC$30:$AC$307,DQ2-66,1)</f>
        <v>-43</v>
      </c>
      <c r="DR21">
        <f>INDEX([2]Surveys_q!$AC$30:$AC$307,DR2-66,1)</f>
        <v>-45</v>
      </c>
      <c r="DS21">
        <f>INDEX([2]Surveys_q!$AC$30:$AC$307,DS2-66,1)</f>
        <v>-79</v>
      </c>
      <c r="DT21">
        <f>INDEX([2]Surveys_q!$AC$30:$AC$307,DT2-66,1)</f>
        <v>46</v>
      </c>
      <c r="DU21">
        <f>INDEX([2]Surveys_q!$AC$30:$AC$307,DU2-66,1)</f>
        <v>-16</v>
      </c>
      <c r="DV21">
        <f>INDEX([2]Surveys_q!$AC$30:$AC$307,DV2-66,1)</f>
        <v>-16</v>
      </c>
      <c r="DW21">
        <f>INDEX([2]Surveys_q!$AC$30:$AC$307,DW2-66,1)</f>
        <v>-21</v>
      </c>
      <c r="DX21">
        <f>INDEX([2]Surveys_q!$AC$30:$AC$307,DX2-66,1)</f>
        <v>-5</v>
      </c>
      <c r="DY21">
        <f>INDEX([2]Surveys_q!$AC$30:$AC$307,DY2-66,1)</f>
        <v>12</v>
      </c>
      <c r="DZ21">
        <f>INDEX([2]Surveys_q!$AC$30:$AC$307,DZ2-66,1)</f>
        <v>-8</v>
      </c>
      <c r="EA21">
        <f>INDEX([2]Surveys_q!$AC$30:$AC$307,EA2-66,1)</f>
        <v>3</v>
      </c>
      <c r="EB21">
        <f>INDEX([2]Surveys_q!$AC$30:$AC$307,EB2-66,1)</f>
        <v>12</v>
      </c>
      <c r="EC21">
        <f>INDEX([2]Surveys_q!$AC$30:$AC$307,EC2-66,1)</f>
        <v>59</v>
      </c>
      <c r="ED21">
        <f>INDEX([2]Surveys_q!$AC$30:$AC$307,ED2-66,1)</f>
        <v>53</v>
      </c>
      <c r="EE21">
        <f>INDEX([2]Surveys_q!$AC$30:$AC$307,EE2-66,1)</f>
        <v>50</v>
      </c>
      <c r="EF21">
        <f>INDEX([2]Surveys_q!$AC$30:$AC$307,EF2-66,1)</f>
        <v>33</v>
      </c>
      <c r="EG21">
        <f>INDEX([2]Surveys_q!$AC$30:$AC$307,EG2-66,1)</f>
        <v>33</v>
      </c>
      <c r="EH21">
        <f>INDEX([2]Surveys_q!$AC$30:$AC$307,EH2-66,1)</f>
        <v>37</v>
      </c>
      <c r="EI21">
        <f>INDEX([2]Surveys_q!$AC$30:$AC$307,EI2-66,1)</f>
        <v>24</v>
      </c>
      <c r="EJ21">
        <f>INDEX([2]Surveys_q!$AC$30:$AC$307,EJ2-66,1)</f>
        <v>21</v>
      </c>
      <c r="EK21">
        <f>INDEX([2]Surveys_q!$AC$30:$AC$307,EK2-66,1)</f>
        <v>25</v>
      </c>
      <c r="EL21">
        <f>INDEX([2]Surveys_q!$AC$30:$AC$307,EL2-66,1)</f>
        <v>33</v>
      </c>
      <c r="EM21">
        <f>INDEX([2]Surveys_q!$AC$30:$AC$307,EM2-66,1)</f>
        <v>39</v>
      </c>
      <c r="EN21">
        <f>INDEX([2]Surveys_q!$AC$30:$AC$307,EN2-66,1)</f>
        <v>26</v>
      </c>
      <c r="EO21">
        <f>INDEX([2]Surveys_q!$AC$30:$AC$307,EO2-66,1)</f>
        <v>19</v>
      </c>
      <c r="EP21">
        <f>INDEX([2]Surveys_q!$AC$30:$AC$307,EP2-66,1)</f>
        <v>45</v>
      </c>
      <c r="EQ21">
        <f>INDEX([2]Surveys_q!$AC$30:$AC$307,EQ2-66,1)</f>
        <v>44</v>
      </c>
      <c r="ER21">
        <f>INDEX([2]Surveys_q!$AC$30:$AC$307,ER2-66,1)</f>
        <v>42</v>
      </c>
      <c r="ES21">
        <f>INDEX([2]Surveys_q!$AC$30:$AC$307,ES2-66,1)</f>
        <v>21</v>
      </c>
      <c r="ET21">
        <f>INDEX([2]Surveys_q!$AC$30:$AC$307,ET2-66,1)</f>
        <v>19</v>
      </c>
      <c r="EU21">
        <f>INDEX([2]Surveys_q!$AC$30:$AC$307,EU2-66,1)</f>
        <v>25</v>
      </c>
      <c r="EV21">
        <f>INDEX([2]Surveys_q!$AC$30:$AC$307,EV2-66,1)</f>
        <v>32</v>
      </c>
      <c r="EW21">
        <f>INDEX([2]Surveys_q!$AC$30:$AC$307,EW2-66,1)</f>
        <v>13</v>
      </c>
      <c r="EX21">
        <f>INDEX([2]Surveys_q!$AC$30:$AC$307,EX2-66,1)</f>
        <v>12</v>
      </c>
      <c r="EY21">
        <f>INDEX([2]Surveys_q!$AC$30:$AC$307,EY2-66,1)</f>
        <v>17</v>
      </c>
      <c r="EZ21">
        <f>INDEX([2]Surveys_q!$AC$30:$AC$307,EZ2-66,1)</f>
        <v>10</v>
      </c>
      <c r="FA21">
        <f>INDEX([2]Surveys_q!$AC$30:$AC$307,FA2-66,1)</f>
        <v>25</v>
      </c>
      <c r="FB21">
        <f>INDEX([2]Surveys_q!$AC$30:$AC$307,FB2-66,1)</f>
        <v>16</v>
      </c>
      <c r="FC21">
        <f>INDEX([2]Surveys_q!$AC$30:$AC$307,FC2-66,1)</f>
        <v>26</v>
      </c>
      <c r="FD21">
        <f>INDEX([2]Surveys_q!$AC$30:$AC$307,FD2-66,1)</f>
        <v>7</v>
      </c>
      <c r="FE21">
        <f>INDEX([2]Surveys_q!$AC$30:$AC$307,FE2-66,1)</f>
        <v>3</v>
      </c>
      <c r="FF21">
        <f>INDEX([2]Surveys_q!$AC$30:$AC$307,FF2-66,1)</f>
        <v>7</v>
      </c>
      <c r="FG21">
        <f>INDEX([2]Surveys_q!$AC$30:$AC$307,FG2-66,1)</f>
        <v>7.1000000000000005</v>
      </c>
      <c r="FH21">
        <f>INDEX([2]Surveys_q!$AC$30:$AC$307,FH2-66,1)</f>
        <v>10.200000000000001</v>
      </c>
      <c r="FI21">
        <f>INDEX([2]Surveys_q!$AC$30:$AC$307,FI2-66,1)</f>
        <v>-1.7</v>
      </c>
      <c r="FJ21">
        <f>INDEX([2]Surveys_q!$AC$30:$AC$307,FJ2-66,1)</f>
        <v>-14.8</v>
      </c>
      <c r="FK21">
        <f>INDEX([2]Surveys_q!$AC$30:$AC$307,FK2-66,1)</f>
        <v>1.8</v>
      </c>
      <c r="FL21">
        <f>INDEX([2]Surveys_q!$AC$30:$AC$307,FL2-66,1)</f>
        <v>0</v>
      </c>
      <c r="FM21">
        <f>INDEX([2]Surveys_q!$AC$30:$AC$307,FM2-66,1)</f>
        <v>10.5</v>
      </c>
      <c r="FN21">
        <f>INDEX([2]Surveys_q!$AC$30:$AC$307,FN2-66,1)</f>
        <v>9.3000000000000007</v>
      </c>
      <c r="FO21">
        <f>INDEX([2]Surveys_q!$AC$30:$AC$307,FO2-66,1)</f>
        <v>18.2</v>
      </c>
      <c r="FP21">
        <f>INDEX([2]Surveys_q!$AC$30:$AC$307,FP2-66,1)</f>
        <v>21.1</v>
      </c>
      <c r="FQ21">
        <f>INDEX([2]Surveys_q!$AC$30:$AC$307,FQ2-66,1)</f>
        <v>16.399999999999999</v>
      </c>
      <c r="FR21">
        <f>INDEX([2]Surveys_q!$AC$30:$AC$307,FR2-66,1)</f>
        <v>14.8</v>
      </c>
      <c r="FS21">
        <f>INDEX([2]Surveys_q!$AC$30:$AC$307,FS2-66,1)</f>
        <v>26.3</v>
      </c>
      <c r="FT21">
        <f>INDEX([2]Surveys_q!$AC$30:$AC$307,FT2-66,1)</f>
        <v>25.900000000000002</v>
      </c>
      <c r="FU21">
        <f>INDEX([2]Surveys_q!$AC$30:$AC$307,FU2-66,1)</f>
        <v>17.2</v>
      </c>
      <c r="FV21">
        <f>INDEX([2]Surveys_q!$AC$30:$AC$307,FV2-66,1)</f>
        <v>29.3</v>
      </c>
      <c r="FW21">
        <f>INDEX([2]Surveys_q!$AC$30:$AC$307,FW2-66,1)</f>
        <v>29.1</v>
      </c>
      <c r="FX21">
        <f>INDEX([2]Surveys_q!$AC$30:$AC$307,FX2-66,1)</f>
        <v>21.400000000000002</v>
      </c>
      <c r="FY21">
        <f>INDEX([2]Surveys_q!$AC$30:$AC$307,FY2-66,1)</f>
        <v>25</v>
      </c>
      <c r="FZ21">
        <f>INDEX([2]Surveys_q!$AC$30:$AC$307,FZ2-66,1)</f>
        <v>16.100000000000001</v>
      </c>
      <c r="GA21">
        <f>INDEX([2]Surveys_q!$AC$30:$AC$307,GA2-66,1)</f>
        <v>18.5</v>
      </c>
      <c r="GB21">
        <f>INDEX([2]Surveys_q!$AC$30:$AC$307,GB2-66,1)</f>
        <v>7</v>
      </c>
      <c r="GC21">
        <f>INDEX([2]Surveys_q!$AC$30:$AC$307,GC2-66,1)</f>
        <v>5.5</v>
      </c>
      <c r="GD21">
        <f>INDEX([2]Surveys_q!$AC$30:$AC$307,GD2-66,1)</f>
        <v>5.4</v>
      </c>
      <c r="GE21">
        <f>INDEX([2]Surveys_q!$AC$30:$AC$307,GE2-66,1)</f>
        <v>-4</v>
      </c>
      <c r="GF21">
        <f>INDEX([2]Surveys_q!$AC$30:$AC$307,GF2-66,1)</f>
        <v>-6.1000000000000005</v>
      </c>
      <c r="GG21">
        <f>INDEX([2]Surveys_q!$AC$30:$AC$307,GG2-66,1)</f>
        <v>-3.8000000000000003</v>
      </c>
      <c r="GH21">
        <f>INDEX([2]Surveys_q!$AC$30:$AC$307,GH2-66,1)</f>
        <v>-2</v>
      </c>
      <c r="GI21">
        <f>INDEX([2]Surveys_q!$AC$30:$AC$307,GI2-66,1)</f>
        <v>0</v>
      </c>
      <c r="GJ21">
        <f>INDEX([2]Surveys_q!$AC$30:$AC$307,GJ2-66,1)</f>
        <v>8.3000000000000007</v>
      </c>
      <c r="GK21">
        <f>INDEX([2]Surveys_q!$AC$30:$AC$307,GK2-66,1)</f>
        <v>10</v>
      </c>
      <c r="GL21">
        <f>INDEX([2]Surveys_q!$AC$30:$AC$307,GL2-66,1)</f>
        <v>0</v>
      </c>
      <c r="GM21">
        <f>INDEX([2]Surveys_q!$AC$30:$AC$307,GM2-66,1)</f>
        <v>4</v>
      </c>
      <c r="GN21">
        <f>INDEX([2]Surveys_q!$AC$30:$AC$307,GN2-66,1)</f>
        <v>9.8000000000000007</v>
      </c>
      <c r="GO21">
        <f>INDEX([2]Surveys_q!$AC$30:$AC$307,GO2-66,1)</f>
        <v>5.8</v>
      </c>
      <c r="GP21">
        <f>INDEX([2]Surveys_q!$AC$30:$AC$307,GP2-66,1)</f>
        <v>13.5</v>
      </c>
      <c r="GQ21">
        <f>INDEX([2]Surveys_q!$AC$30:$AC$307,GQ2-66,1)</f>
        <v>14.5</v>
      </c>
      <c r="GR21">
        <f>INDEX([2]Surveys_q!$AC$30:$AC$307,GR2-66,1)</f>
        <v>7.5</v>
      </c>
      <c r="GS21">
        <f>INDEX([2]Surveys_q!$AC$30:$AC$307,GS2-66,1)</f>
        <v>7.8</v>
      </c>
      <c r="GT21">
        <f>INDEX([2]Surveys_q!$AC$30:$AC$307,GT2-66,1)</f>
        <v>3.8000000000000003</v>
      </c>
      <c r="GU21">
        <f>INDEX([2]Surveys_q!$AC$30:$AC$307,GU2-66,1)</f>
        <v>-3.7</v>
      </c>
      <c r="GV21">
        <f>INDEX([2]Surveys_q!$AC$30:$AC$307,GV2-66,1)</f>
        <v>1.9000000000000001</v>
      </c>
      <c r="GW21">
        <f>INDEX([2]Surveys_q!$AC$30:$AC$307,GW2-66,1)</f>
        <v>1.8</v>
      </c>
      <c r="GX21">
        <f>INDEX([2]Surveys_q!$AC$30:$AC$307,GX2-66,1)</f>
        <v>-5.6000000000000005</v>
      </c>
      <c r="GY21">
        <f>INDEX([2]Surveys_q!$AC$30:$AC$307,GY2-66,1)</f>
        <v>0</v>
      </c>
      <c r="GZ21">
        <f>INDEX([2]Surveys_q!$AC$30:$AC$307,GZ2-66,1)</f>
        <v>0</v>
      </c>
      <c r="HA21">
        <f>INDEX([2]Surveys_q!$AC$30:$AC$307,HA2-66,1)</f>
        <v>-7.1000000000000005</v>
      </c>
      <c r="HB21">
        <f>INDEX([2]Surveys_q!$AC$30:$AC$307,HB2-66,1)</f>
        <v>-5.7</v>
      </c>
      <c r="HC21">
        <f>INDEX([2]Surveys_q!$AC$30:$AC$307,HC2-66,1)</f>
        <v>0</v>
      </c>
      <c r="HD21">
        <f>INDEX([2]Surveys_q!$AC$30:$AC$307,HD2-66,1)</f>
        <v>5.6000000000000005</v>
      </c>
      <c r="HE21">
        <f>INDEX([2]Surveys_q!$AC$30:$AC$307,HE2-66,1)</f>
        <v>5.6000000000000005</v>
      </c>
      <c r="HF21">
        <f>INDEX([2]Surveys_q!$AC$30:$AC$307,HF2-66,1)</f>
        <v>5.3</v>
      </c>
      <c r="HG21">
        <f>INDEX([2]Surveys_q!$AC$30:$AC$307,HG2-66,1)</f>
        <v>3.7</v>
      </c>
      <c r="HH21">
        <f>INDEX([2]Surveys_q!$AC$30:$AC$307,HH2-66,1)</f>
        <v>14.5</v>
      </c>
      <c r="HI21">
        <f>INDEX([2]Surveys_q!$AC$30:$AC$307,HI2-66,1)</f>
        <v>14.3</v>
      </c>
      <c r="HJ21">
        <f>INDEX([2]Surveys_q!$AC$30:$AC$307,HJ2-66,1)</f>
        <v>11.3</v>
      </c>
      <c r="HK21">
        <f>INDEX([2]Surveys_q!$AC$30:$AC$307,HK2-66,1)</f>
        <v>17</v>
      </c>
      <c r="HL21">
        <f>INDEX([2]Surveys_q!$AC$30:$AC$307,HL2-66,1)</f>
        <v>9.1</v>
      </c>
      <c r="HM21">
        <f>INDEX([2]Surveys_q!$AC$30:$AC$307,HM2-66,1)</f>
        <v>13</v>
      </c>
      <c r="HN21">
        <f>INDEX([2]Surveys_q!$AC$30:$AC$307,HN2-66,1)</f>
        <v>11.5</v>
      </c>
      <c r="HO21">
        <f>INDEX([2]Surveys_q!$AC$30:$AC$307,HO2-66,1)</f>
        <v>15.700000000000001</v>
      </c>
      <c r="HP21">
        <f>INDEX([2]Surveys_q!$AC$30:$AC$307,HP2-66,1)</f>
        <v>21.2</v>
      </c>
      <c r="HQ21">
        <f>INDEX([2]Surveys_q!$AC$30:$AC$307,HQ2-66,1)</f>
        <v>3.8000000000000003</v>
      </c>
      <c r="HR21">
        <f>INDEX([2]Surveys_q!$AC$30:$AC$307,HR2-66,1)</f>
        <v>11.5</v>
      </c>
      <c r="HS21">
        <f>INDEX([2]Surveys_q!$AC$30:$AC$307,HS2-66,1)</f>
        <v>14.5</v>
      </c>
      <c r="HT21">
        <f>INDEX([2]Surveys_q!$AC$30:$AC$307,HT2-66,1)</f>
        <v>7.7</v>
      </c>
      <c r="HU21">
        <f>INDEX([2]Surveys_q!$AC$30:$AC$307,HU2-66,1)</f>
        <v>1.9000000000000001</v>
      </c>
      <c r="HV21">
        <f>INDEX([2]Surveys_q!$AC$30:$AC$307,HV2-66,1)</f>
        <v>1.8</v>
      </c>
      <c r="HW21">
        <f>INDEX([2]Surveys_q!$AC$30:$AC$307,HW2-66,1)</f>
        <v>7.8</v>
      </c>
      <c r="HX21">
        <f>INDEX([2]Surveys_q!$AC$30:$AC$307,HX2-66,1)</f>
        <v>0</v>
      </c>
      <c r="HY21">
        <f>INDEX([2]Surveys_q!$AC$30:$AC$307,HY2-66,1)</f>
        <v>-6</v>
      </c>
      <c r="HZ21">
        <f>INDEX([2]Surveys_q!$AC$30:$AC$307,HZ2-66,1)</f>
        <v>-15.1</v>
      </c>
      <c r="IA21">
        <f>INDEX([2]Surveys_q!$AC$30:$AC$307,IA2-66,1)</f>
        <v>-22.6</v>
      </c>
      <c r="IB21">
        <f>INDEX([2]Surveys_q!$AC$30:$AC$307,IB2-66,1)</f>
        <v>-34</v>
      </c>
      <c r="IC21">
        <f>INDEX([2]Surveys_q!$AC$30:$AC$307,IC2-66,1)</f>
        <v>-47.2</v>
      </c>
      <c r="ID21">
        <f>INDEX([2]Surveys_q!$AC$30:$AC$307,ID2-66,1)</f>
        <v>-16</v>
      </c>
      <c r="IE21">
        <f>INDEX([2]Surveys_q!$AC$30:$AC$307,IE2-66,1)</f>
        <v>-5.9</v>
      </c>
      <c r="IF21">
        <f>INDEX([2]Surveys_q!$AC$30:$AC$307,IF2-66,1)</f>
        <v>-6</v>
      </c>
      <c r="IG21">
        <f>INDEX([2]Surveys_q!$AC$30:$AC$307,IG2-66,1)</f>
        <v>-1.9000000000000001</v>
      </c>
      <c r="IH21">
        <f>INDEX([2]Surveys_q!$AC$30:$AC$307,IH2-66,1)</f>
        <v>9.6</v>
      </c>
      <c r="II21">
        <f>INDEX([2]Surveys_q!$AC$30:$AC$307,II2-66,1)</f>
        <v>14</v>
      </c>
      <c r="IJ21">
        <f>INDEX([2]Surveys_q!$AC$30:$AC$307,IJ2-66,1)</f>
        <v>22.6</v>
      </c>
      <c r="IK21">
        <f>INDEX([2]Surveys_q!$AC$30:$AC$307,IK2-66,1)</f>
        <v>20</v>
      </c>
      <c r="IL21">
        <f>INDEX([2]Surveys_q!$AC$30:$AC$307,IL2-66,1)</f>
        <v>20.400000000000002</v>
      </c>
      <c r="IM21">
        <f>INDEX([2]Surveys_q!$AC$30:$AC$307,IM2-66,1)</f>
        <v>28.8</v>
      </c>
      <c r="IN21">
        <f>INDEX([2]Surveys_q!$AC$30:$AC$307,IN2-66,1)</f>
        <v>26.900000000000002</v>
      </c>
      <c r="IO21" s="6"/>
      <c r="IP21" s="6"/>
      <c r="IQ21" s="6"/>
      <c r="IR21" s="6"/>
      <c r="IS21" s="6"/>
      <c r="IT21" s="6"/>
      <c r="IU21" s="6"/>
      <c r="IV21" s="6"/>
    </row>
    <row r="22" spans="1:256" x14ac:dyDescent="0.25">
      <c r="A22" s="1" t="s">
        <v>63</v>
      </c>
      <c r="B22" s="2">
        <f>[1]q!B171</f>
        <v>14.374000000000001</v>
      </c>
      <c r="C22" s="2">
        <f>[1]q!C171</f>
        <v>14.433</v>
      </c>
      <c r="D22" s="2">
        <f>[1]q!D171</f>
        <v>14.727</v>
      </c>
      <c r="E22" s="2">
        <f>[1]q!E171</f>
        <v>14.977</v>
      </c>
      <c r="F22" s="2">
        <f>[1]q!F171</f>
        <v>15.493</v>
      </c>
      <c r="G22" s="2">
        <f>[1]q!G171</f>
        <v>15.582000000000001</v>
      </c>
      <c r="H22" s="2">
        <f>[1]q!H171</f>
        <v>15.632</v>
      </c>
      <c r="I22" s="2">
        <f>[1]q!I171</f>
        <v>15.834</v>
      </c>
      <c r="J22" s="2">
        <f>[1]q!J171</f>
        <v>15.851000000000001</v>
      </c>
      <c r="K22" s="2">
        <f>[1]q!K171</f>
        <v>15.919</v>
      </c>
      <c r="L22" s="2">
        <f>[1]q!L171</f>
        <v>16.039000000000001</v>
      </c>
      <c r="M22" s="2">
        <f>[1]q!M171</f>
        <v>16.094999999999999</v>
      </c>
      <c r="N22" s="2">
        <f>[1]q!N171</f>
        <v>16.109000000000002</v>
      </c>
      <c r="O22" s="2">
        <f>[1]q!O171</f>
        <v>16.147000000000002</v>
      </c>
      <c r="P22" s="2">
        <f>[1]q!P171</f>
        <v>16.201000000000001</v>
      </c>
      <c r="Q22" s="2">
        <f>[1]q!Q171</f>
        <v>16.254999999999999</v>
      </c>
      <c r="R22" s="2">
        <f>[1]q!R171</f>
        <v>16.323</v>
      </c>
      <c r="S22" s="2">
        <f>[1]q!S171</f>
        <v>16.347999999999999</v>
      </c>
      <c r="T22" s="2">
        <f>[1]q!T171</f>
        <v>16.338000000000001</v>
      </c>
      <c r="U22" s="2">
        <f>[1]q!U171</f>
        <v>16.356999999999999</v>
      </c>
      <c r="V22" s="2">
        <f>[1]q!V171</f>
        <v>16.420999999999999</v>
      </c>
      <c r="W22" s="2">
        <f>[1]q!W171</f>
        <v>16.510999999999999</v>
      </c>
      <c r="X22" s="2">
        <f>[1]q!X171</f>
        <v>16.631</v>
      </c>
      <c r="Y22" s="2">
        <f>[1]q!Y171</f>
        <v>16.741</v>
      </c>
      <c r="Z22" s="2">
        <f>[1]q!Z171</f>
        <v>16.905999999999999</v>
      </c>
      <c r="AA22" s="2">
        <f>[1]q!AA171</f>
        <v>17.065000000000001</v>
      </c>
      <c r="AB22" s="2">
        <f>[1]q!AB171</f>
        <v>17.257999999999999</v>
      </c>
      <c r="AC22" s="2">
        <f>[1]q!AC171</f>
        <v>17.362000000000002</v>
      </c>
      <c r="AD22" s="2">
        <f>[1]q!AD171</f>
        <v>17.565000000000001</v>
      </c>
      <c r="AE22" s="2">
        <f>[1]q!AE171</f>
        <v>17.686</v>
      </c>
      <c r="AF22" s="2">
        <f>[1]q!AF171</f>
        <v>17.824000000000002</v>
      </c>
      <c r="AG22" s="2">
        <f>[1]q!AG171</f>
        <v>17.920000000000002</v>
      </c>
      <c r="AH22" s="2">
        <f>[1]q!AH171</f>
        <v>18.071000000000002</v>
      </c>
      <c r="AI22" s="2">
        <f>[1]q!AI171</f>
        <v>18.149000000000001</v>
      </c>
      <c r="AJ22" s="2">
        <f>[1]q!AJ171</f>
        <v>18.193999999999999</v>
      </c>
      <c r="AK22" s="2">
        <f>[1]q!AK171</f>
        <v>18.213999999999999</v>
      </c>
      <c r="AL22" s="2">
        <f>[1]q!AL171</f>
        <v>18.283000000000001</v>
      </c>
      <c r="AM22" s="2">
        <f>[1]q!AM171</f>
        <v>18.324999999999999</v>
      </c>
      <c r="AN22" s="2">
        <f>[1]q!AN171</f>
        <v>18.385000000000002</v>
      </c>
      <c r="AO22" s="2">
        <f>[1]q!AO171</f>
        <v>18.461000000000002</v>
      </c>
      <c r="AP22" s="2">
        <f>[1]q!AP171</f>
        <v>18.498999999999999</v>
      </c>
      <c r="AQ22" s="2">
        <f>[1]q!AQ171</f>
        <v>18.577000000000002</v>
      </c>
      <c r="AR22" s="2">
        <f>[1]q!AR171</f>
        <v>18.661999999999999</v>
      </c>
      <c r="AS22" s="2">
        <f>[1]q!AS171</f>
        <v>18.742000000000001</v>
      </c>
      <c r="AT22" s="2">
        <f>[1]q!AT171</f>
        <v>18.766000000000002</v>
      </c>
      <c r="AU22" s="2">
        <f>[1]q!AU171</f>
        <v>18.802</v>
      </c>
      <c r="AV22" s="2">
        <f>[1]q!AV171</f>
        <v>18.850999999999999</v>
      </c>
      <c r="AW22" s="2">
        <f>[1]q!AW171</f>
        <v>18.900000000000002</v>
      </c>
      <c r="AX22" s="2">
        <f>[1]q!AX171</f>
        <v>19.009</v>
      </c>
      <c r="AY22" s="2">
        <f>[1]q!AY171</f>
        <v>19.057000000000002</v>
      </c>
      <c r="AZ22" s="2">
        <f>[1]q!AZ171</f>
        <v>19.108000000000001</v>
      </c>
      <c r="BA22" s="2">
        <f>[1]q!BA171</f>
        <v>19.175000000000001</v>
      </c>
      <c r="BB22" s="2">
        <f>[1]q!BB171</f>
        <v>19.228999999999999</v>
      </c>
      <c r="BC22" s="2">
        <f>[1]q!BC171</f>
        <v>19.248000000000001</v>
      </c>
      <c r="BD22" s="2">
        <f>[1]q!BD171</f>
        <v>19.283000000000001</v>
      </c>
      <c r="BE22" s="2">
        <f>[1]q!BE171</f>
        <v>19.399000000000001</v>
      </c>
      <c r="BF22" s="2">
        <f>[1]q!BF171</f>
        <v>19.469000000000001</v>
      </c>
      <c r="BG22" s="2">
        <f>[1]q!BG171</f>
        <v>19.533999999999999</v>
      </c>
      <c r="BH22" s="2">
        <f>[1]q!BH171</f>
        <v>19.631</v>
      </c>
      <c r="BI22" s="2">
        <f>[1]q!BI171</f>
        <v>19.721</v>
      </c>
      <c r="BJ22" s="2">
        <f>[1]q!BJ171</f>
        <v>19.805</v>
      </c>
      <c r="BK22" s="2">
        <f>[1]q!BK171</f>
        <v>19.893000000000001</v>
      </c>
      <c r="BL22" s="2">
        <f>[1]q!BL171</f>
        <v>19.98</v>
      </c>
      <c r="BM22" s="2">
        <f>[1]q!BM171</f>
        <v>20.103000000000002</v>
      </c>
      <c r="BN22" s="2">
        <f>[1]q!BN171</f>
        <v>20.227</v>
      </c>
      <c r="BO22" s="2">
        <f>[1]q!BO171</f>
        <v>20.417999999999999</v>
      </c>
      <c r="BP22" s="2">
        <f>[1]q!BP171</f>
        <v>20.608000000000001</v>
      </c>
      <c r="BQ22" s="2">
        <f>[1]q!BQ171</f>
        <v>20.79</v>
      </c>
      <c r="BR22" s="2">
        <f>[1]q!BR171</f>
        <v>20.891999999999999</v>
      </c>
      <c r="BS22" s="2">
        <f>[1]q!BS171</f>
        <v>21.02</v>
      </c>
      <c r="BT22" s="2">
        <f>[1]q!BT171</f>
        <v>21.212</v>
      </c>
      <c r="BU22" s="2">
        <f>[1]q!BU171</f>
        <v>21.445</v>
      </c>
      <c r="BV22" s="2">
        <f>[1]q!BV171</f>
        <v>21.676000000000002</v>
      </c>
      <c r="BW22" s="2">
        <f>[1]q!BW171</f>
        <v>21.917999999999999</v>
      </c>
      <c r="BX22" s="2">
        <f>[1]q!BX171</f>
        <v>22.13</v>
      </c>
      <c r="BY22" s="2">
        <f>[1]q!BY171</f>
        <v>22.437000000000001</v>
      </c>
      <c r="BZ22" s="2">
        <f>[1]q!BZ171</f>
        <v>22.663</v>
      </c>
      <c r="CA22" s="2">
        <f>[1]q!CA171</f>
        <v>22.966000000000001</v>
      </c>
      <c r="CB22" s="2">
        <f>[1]q!CB171</f>
        <v>23.298999999999999</v>
      </c>
      <c r="CC22" s="2">
        <f>[1]q!CC171</f>
        <v>23.591000000000001</v>
      </c>
      <c r="CD22" s="2">
        <f>[1]q!CD171</f>
        <v>23.917999999999999</v>
      </c>
      <c r="CE22" s="2">
        <f>[1]q!CE171</f>
        <v>24.260999999999999</v>
      </c>
      <c r="CF22" s="2">
        <f>[1]q!CF171</f>
        <v>24.452999999999999</v>
      </c>
      <c r="CG22" s="2">
        <f>[1]q!CG171</f>
        <v>24.763000000000002</v>
      </c>
      <c r="CH22" s="2">
        <f>[1]q!CH171</f>
        <v>25.135999999999999</v>
      </c>
      <c r="CI22" s="2">
        <f>[1]q!CI171</f>
        <v>25.472999999999999</v>
      </c>
      <c r="CJ22" s="2">
        <f>[1]q!CJ171</f>
        <v>25.727</v>
      </c>
      <c r="CK22" s="2">
        <f>[1]q!CK171</f>
        <v>25.932000000000002</v>
      </c>
      <c r="CL22" s="2">
        <f>[1]q!CL171</f>
        <v>26.356000000000002</v>
      </c>
      <c r="CM22" s="2">
        <f>[1]q!CM171</f>
        <v>26.507999999999999</v>
      </c>
      <c r="CN22" s="2">
        <f>[1]q!CN171</f>
        <v>26.751000000000001</v>
      </c>
      <c r="CO22" s="2">
        <f>[1]q!CO171</f>
        <v>27.064</v>
      </c>
      <c r="CP22" s="2">
        <f>[1]q!CP171</f>
        <v>27.417999999999999</v>
      </c>
      <c r="CQ22" s="2">
        <f>[1]q!CQ171</f>
        <v>27.875</v>
      </c>
      <c r="CR22" s="2">
        <f>[1]q!CR171</f>
        <v>28.407</v>
      </c>
      <c r="CS22" s="2">
        <f>[1]q!CS171</f>
        <v>28.894000000000002</v>
      </c>
      <c r="CT22" s="2">
        <f>[1]q!CT171</f>
        <v>29.491</v>
      </c>
      <c r="CU22" s="2">
        <f>[1]q!CU171</f>
        <v>30.151</v>
      </c>
      <c r="CV22" s="2">
        <f>[1]q!CV171</f>
        <v>31.09</v>
      </c>
      <c r="CW22" s="2">
        <f>[1]q!CW171</f>
        <v>32.049999999999997</v>
      </c>
      <c r="CX22" s="2">
        <f>[1]q!CX171</f>
        <v>32.788000000000004</v>
      </c>
      <c r="CY22" s="2">
        <f>[1]q!CY171</f>
        <v>33.265000000000001</v>
      </c>
      <c r="CZ22" s="2">
        <f>[1]q!CZ171</f>
        <v>33.886000000000003</v>
      </c>
      <c r="DA22" s="2">
        <f>[1]q!DA171</f>
        <v>34.484000000000002</v>
      </c>
      <c r="DB22" s="2">
        <f>[1]q!DB171</f>
        <v>34.871000000000002</v>
      </c>
      <c r="DC22" s="2">
        <f>[1]q!DC171</f>
        <v>35.238</v>
      </c>
      <c r="DD22" s="2">
        <f>[1]q!DD171</f>
        <v>35.71</v>
      </c>
      <c r="DE22" s="2">
        <f>[1]q!DE171</f>
        <v>36.322000000000003</v>
      </c>
      <c r="DF22" s="2">
        <f>[1]q!DF171</f>
        <v>36.933</v>
      </c>
      <c r="DG22" s="2">
        <f>[1]q!DG171</f>
        <v>37.523000000000003</v>
      </c>
      <c r="DH22" s="2">
        <f>[1]q!DH171</f>
        <v>38.042000000000002</v>
      </c>
      <c r="DI22" s="2">
        <f>[1]q!DI171</f>
        <v>38.685000000000002</v>
      </c>
      <c r="DJ22" s="2">
        <f>[1]q!DJ171</f>
        <v>39.323999999999998</v>
      </c>
      <c r="DK22" s="2">
        <f>[1]q!DK171</f>
        <v>40.082000000000001</v>
      </c>
      <c r="DL22" s="2">
        <f>[1]q!DL171</f>
        <v>40.776000000000003</v>
      </c>
      <c r="DM22" s="2">
        <f>[1]q!DM171</f>
        <v>41.606999999999999</v>
      </c>
      <c r="DN22" s="2">
        <f>[1]q!DN171</f>
        <v>42.37</v>
      </c>
      <c r="DO22" s="2">
        <f>[1]q!DO171</f>
        <v>43.401000000000003</v>
      </c>
      <c r="DP22" s="2">
        <f>[1]q!DP171</f>
        <v>44.298000000000002</v>
      </c>
      <c r="DQ22" s="2">
        <f>[1]q!DQ171</f>
        <v>45.175000000000004</v>
      </c>
      <c r="DR22" s="2">
        <f>[1]q!DR171</f>
        <v>46.164999999999999</v>
      </c>
      <c r="DS22" s="2">
        <f>[1]q!DS171</f>
        <v>47.195999999999998</v>
      </c>
      <c r="DT22" s="2">
        <f>[1]q!DT171</f>
        <v>48.273000000000003</v>
      </c>
      <c r="DU22" s="2">
        <f>[1]q!DU171</f>
        <v>49.633000000000003</v>
      </c>
      <c r="DV22" s="2">
        <f>[1]q!DV171</f>
        <v>50.936999999999998</v>
      </c>
      <c r="DW22" s="2">
        <f>[1]q!DW171</f>
        <v>51.847000000000001</v>
      </c>
      <c r="DX22" s="2">
        <f>[1]q!DX171</f>
        <v>52.798999999999999</v>
      </c>
      <c r="DY22" s="2">
        <f>[1]q!DY171</f>
        <v>53.72</v>
      </c>
      <c r="DZ22" s="2">
        <f>[1]q!DZ171</f>
        <v>54.477000000000004</v>
      </c>
      <c r="EA22" s="2">
        <f>[1]q!EA171</f>
        <v>55.152000000000001</v>
      </c>
      <c r="EB22" s="2">
        <f>[1]q!EB171</f>
        <v>55.917999999999999</v>
      </c>
      <c r="EC22" s="2">
        <f>[1]q!EC171</f>
        <v>56.511000000000003</v>
      </c>
      <c r="ED22" s="2">
        <f>[1]q!ED171</f>
        <v>56.995000000000005</v>
      </c>
      <c r="EE22" s="2">
        <f>[1]q!EE171</f>
        <v>57.411000000000001</v>
      </c>
      <c r="EF22" s="2">
        <f>[1]q!EF171</f>
        <v>57.997</v>
      </c>
      <c r="EG22" s="2">
        <f>[1]q!EG171</f>
        <v>58.416000000000004</v>
      </c>
      <c r="EH22" s="2">
        <f>[1]q!EH171</f>
        <v>59.140999999999998</v>
      </c>
      <c r="EI22" s="2">
        <f>[1]q!EI171</f>
        <v>59.675000000000004</v>
      </c>
      <c r="EJ22" s="2">
        <f>[1]q!EJ171</f>
        <v>60.163000000000004</v>
      </c>
      <c r="EK22" s="2">
        <f>[1]q!EK171</f>
        <v>60.517000000000003</v>
      </c>
      <c r="EL22" s="2">
        <f>[1]q!EL171</f>
        <v>61.209000000000003</v>
      </c>
      <c r="EM22" s="2">
        <f>[1]q!EM171</f>
        <v>61.524000000000001</v>
      </c>
      <c r="EN22" s="2">
        <f>[1]q!EN171</f>
        <v>61.816000000000003</v>
      </c>
      <c r="EO22" s="2">
        <f>[1]q!EO171</f>
        <v>62.195</v>
      </c>
      <c r="EP22" s="2">
        <f>[1]q!EP171</f>
        <v>62.511000000000003</v>
      </c>
      <c r="EQ22" s="2">
        <f>[1]q!EQ171</f>
        <v>62.823</v>
      </c>
      <c r="ER22" s="2">
        <f>[1]q!ER171</f>
        <v>63.219000000000001</v>
      </c>
      <c r="ES22" s="2">
        <f>[1]q!ES171</f>
        <v>63.676000000000002</v>
      </c>
      <c r="ET22" s="2">
        <f>[1]q!ET171</f>
        <v>64.177000000000007</v>
      </c>
      <c r="EU22" s="2">
        <f>[1]q!EU171</f>
        <v>64.537000000000006</v>
      </c>
      <c r="EV22" s="2">
        <f>[1]q!EV171</f>
        <v>65.046000000000006</v>
      </c>
      <c r="EW22" s="2">
        <f>[1]q!EW171</f>
        <v>65.512</v>
      </c>
      <c r="EX22" s="2">
        <f>[1]q!EX171</f>
        <v>66.039000000000001</v>
      </c>
      <c r="EY22" s="2">
        <f>[1]q!EY171</f>
        <v>66.674999999999997</v>
      </c>
      <c r="EZ22" s="2">
        <f>[1]q!EZ171</f>
        <v>67.466000000000008</v>
      </c>
      <c r="FA22" s="2">
        <f>[1]q!FA171</f>
        <v>68.010000000000005</v>
      </c>
      <c r="FB22" s="2">
        <f>[1]q!FB171</f>
        <v>68.72</v>
      </c>
      <c r="FC22" s="2">
        <f>[1]q!FC171</f>
        <v>69.405000000000001</v>
      </c>
      <c r="FD22" s="2">
        <f>[1]q!FD171</f>
        <v>69.876000000000005</v>
      </c>
      <c r="FE22" s="2">
        <f>[1]q!FE171</f>
        <v>70.316000000000003</v>
      </c>
      <c r="FF22" s="2">
        <f>[1]q!FF171</f>
        <v>71.17</v>
      </c>
      <c r="FG22" s="2">
        <f>[1]q!FG171</f>
        <v>71.997</v>
      </c>
      <c r="FH22" s="2">
        <f>[1]q!FH171</f>
        <v>72.665999999999997</v>
      </c>
      <c r="FI22" s="2">
        <f>[1]q!FI171</f>
        <v>73.265000000000001</v>
      </c>
      <c r="FJ22" s="2">
        <f>[1]q!FJ171</f>
        <v>74.049000000000007</v>
      </c>
      <c r="FK22" s="2">
        <f>[1]q!FK171</f>
        <v>74.567000000000007</v>
      </c>
      <c r="FL22" s="2">
        <f>[1]q!FL171</f>
        <v>75.131</v>
      </c>
      <c r="FM22" s="2">
        <f>[1]q!FM171</f>
        <v>75.557000000000002</v>
      </c>
      <c r="FN22" s="2">
        <f>[1]q!FN171</f>
        <v>75.983999999999995</v>
      </c>
      <c r="FO22" s="2">
        <f>[1]q!FO171</f>
        <v>76.436000000000007</v>
      </c>
      <c r="FP22" s="2">
        <f>[1]q!FP171</f>
        <v>76.775999999999996</v>
      </c>
      <c r="FQ22" s="2">
        <f>[1]q!FQ171</f>
        <v>77.212000000000003</v>
      </c>
      <c r="FR22" s="2">
        <f>[1]q!FR171</f>
        <v>77.686999999999998</v>
      </c>
      <c r="FS22" s="2">
        <f>[1]q!FS171</f>
        <v>78.108999999999995</v>
      </c>
      <c r="FT22" s="2">
        <f>[1]q!FT171</f>
        <v>78.475999999999999</v>
      </c>
      <c r="FU22" s="2">
        <f>[1]q!FU171</f>
        <v>78.882999999999996</v>
      </c>
      <c r="FV22" s="2">
        <f>[1]q!FV171</f>
        <v>79.317999999999998</v>
      </c>
      <c r="FW22" s="2">
        <f>[1]q!FW171</f>
        <v>79.701000000000008</v>
      </c>
      <c r="FX22" s="2">
        <f>[1]q!FX171</f>
        <v>80.149000000000001</v>
      </c>
      <c r="FY22" s="2">
        <f>[1]q!FY171</f>
        <v>80.572000000000003</v>
      </c>
      <c r="FZ22" s="2">
        <f>[1]q!FZ171</f>
        <v>81.054000000000002</v>
      </c>
      <c r="GA22" s="2">
        <f>[1]q!GA171</f>
        <v>81.415999999999997</v>
      </c>
      <c r="GB22" s="2">
        <f>[1]q!GB171</f>
        <v>81.760000000000005</v>
      </c>
      <c r="GC22" s="2">
        <f>[1]q!GC171</f>
        <v>82.18</v>
      </c>
      <c r="GD22" s="2">
        <f>[1]q!GD171</f>
        <v>82.625</v>
      </c>
      <c r="GE22" s="2">
        <f>[1]q!GE171</f>
        <v>82.929000000000002</v>
      </c>
      <c r="GF22" s="2">
        <f>[1]q!GF171</f>
        <v>83.34</v>
      </c>
      <c r="GG22" s="2">
        <f>[1]q!GG171</f>
        <v>83.721000000000004</v>
      </c>
      <c r="GH22" s="2">
        <f>[1]q!GH171</f>
        <v>84.147000000000006</v>
      </c>
      <c r="GI22" s="2">
        <f>[1]q!GI171</f>
        <v>84.522000000000006</v>
      </c>
      <c r="GJ22" s="2">
        <f>[1]q!GJ171</f>
        <v>84.757999999999996</v>
      </c>
      <c r="GK22" s="2">
        <f>[1]q!GK171</f>
        <v>85.08</v>
      </c>
      <c r="GL22" s="2">
        <f>[1]q!GL171</f>
        <v>85.207000000000008</v>
      </c>
      <c r="GM22" s="2">
        <f>[1]q!GM171</f>
        <v>85.417000000000002</v>
      </c>
      <c r="GN22" s="2">
        <f>[1]q!GN171</f>
        <v>85.736000000000004</v>
      </c>
      <c r="GO22" s="2">
        <f>[1]q!GO171</f>
        <v>85.962000000000003</v>
      </c>
      <c r="GP22" s="2">
        <f>[1]q!GP171</f>
        <v>86.326000000000008</v>
      </c>
      <c r="GQ22" s="2">
        <f>[1]q!GQ171</f>
        <v>86.689000000000007</v>
      </c>
      <c r="GR22" s="2">
        <f>[1]q!GR171</f>
        <v>86.992999999999995</v>
      </c>
      <c r="GS22" s="2">
        <f>[1]q!GS171</f>
        <v>87.350000000000009</v>
      </c>
      <c r="GT22" s="2">
        <f>[1]q!GT171</f>
        <v>88.015000000000001</v>
      </c>
      <c r="GU22" s="2">
        <f>[1]q!GU171</f>
        <v>88.462000000000003</v>
      </c>
      <c r="GV22" s="2">
        <f>[1]q!GV171</f>
        <v>88.984000000000009</v>
      </c>
      <c r="GW22" s="2">
        <f>[1]q!GW171</f>
        <v>89.435000000000002</v>
      </c>
      <c r="GX22" s="2">
        <f>[1]q!GX171</f>
        <v>90.052000000000007</v>
      </c>
      <c r="GY22" s="2">
        <f>[1]q!GY171</f>
        <v>90.679000000000002</v>
      </c>
      <c r="GZ22" s="2">
        <f>[1]q!GZ171</f>
        <v>90.969000000000008</v>
      </c>
      <c r="HA22" s="2">
        <f>[1]q!HA171</f>
        <v>91.225000000000009</v>
      </c>
      <c r="HB22" s="2">
        <f>[1]q!HB171</f>
        <v>91.555000000000007</v>
      </c>
      <c r="HC22" s="2">
        <f>[1]q!HC171</f>
        <v>91.957999999999998</v>
      </c>
      <c r="HD22" s="2">
        <f>[1]q!HD171</f>
        <v>92.361000000000004</v>
      </c>
      <c r="HE22" s="2">
        <f>[1]q!HE171</f>
        <v>92.894000000000005</v>
      </c>
      <c r="HF22" s="2">
        <f>[1]q!HF171</f>
        <v>93.548000000000002</v>
      </c>
      <c r="HG22" s="2">
        <f>[1]q!HG171</f>
        <v>93.819000000000003</v>
      </c>
      <c r="HH22" s="2">
        <f>[1]q!HH171</f>
        <v>94.337000000000003</v>
      </c>
      <c r="HI22" s="2">
        <f>[1]q!HI171</f>
        <v>94.832999999999998</v>
      </c>
      <c r="HJ22" s="2">
        <f>[1]q!HJ171</f>
        <v>95.64</v>
      </c>
      <c r="HK22" s="2">
        <f>[1]q!HK171</f>
        <v>96.454999999999998</v>
      </c>
      <c r="HL22" s="2">
        <f>[1]q!HL171</f>
        <v>97.162999999999997</v>
      </c>
      <c r="HM22" s="2">
        <f>[1]q!HM171</f>
        <v>97.876000000000005</v>
      </c>
      <c r="HN22" s="2">
        <f>[1]q!HN171</f>
        <v>98.784000000000006</v>
      </c>
      <c r="HO22" s="2">
        <f>[1]q!HO171</f>
        <v>99.444000000000003</v>
      </c>
      <c r="HP22" s="2">
        <f>[1]q!HP171</f>
        <v>100.467</v>
      </c>
      <c r="HQ22" s="2">
        <f>[1]q!HQ171</f>
        <v>101.30500000000001</v>
      </c>
      <c r="HR22" s="2">
        <f>[1]q!HR171</f>
        <v>102.05500000000001</v>
      </c>
      <c r="HS22" s="2">
        <f>[1]q!HS171</f>
        <v>102.955</v>
      </c>
      <c r="HT22" s="2">
        <f>[1]q!HT171</f>
        <v>103.73100000000001</v>
      </c>
      <c r="HU22" s="2">
        <f>[1]q!HU171</f>
        <v>104.206</v>
      </c>
      <c r="HV22" s="2">
        <f>[1]q!HV171</f>
        <v>105.396</v>
      </c>
      <c r="HW22" s="2">
        <f>[1]q!HW171</f>
        <v>106.116</v>
      </c>
      <c r="HX22" s="2">
        <f>[1]q!HX171</f>
        <v>106.45700000000001</v>
      </c>
      <c r="HY22" s="2">
        <f>[1]q!HY171</f>
        <v>106.956</v>
      </c>
      <c r="HZ22" s="2">
        <f>[1]q!HZ171</f>
        <v>107.623</v>
      </c>
      <c r="IA22" s="2">
        <f>[1]q!IA171</f>
        <v>108.282</v>
      </c>
      <c r="IB22" s="2">
        <f>[1]q!IB171</f>
        <v>109.107</v>
      </c>
      <c r="IC22" s="2">
        <f>[1]q!IC171</f>
        <v>109.247</v>
      </c>
      <c r="ID22" s="2">
        <f>[1]q!ID171</f>
        <v>109.709</v>
      </c>
      <c r="IE22" s="2">
        <f>[1]q!IE171</f>
        <v>109.589</v>
      </c>
      <c r="IF22" s="2">
        <f>[1]q!IF171</f>
        <v>109.66200000000001</v>
      </c>
      <c r="IG22" s="2">
        <f>[1]q!IG171</f>
        <v>109.96900000000001</v>
      </c>
      <c r="IH22" s="2">
        <f>[1]q!IH171</f>
        <v>110.37</v>
      </c>
      <c r="II22" s="2">
        <f>[1]q!II171</f>
        <v>110.77</v>
      </c>
      <c r="IJ22" s="2">
        <f>[1]q!IJ171</f>
        <v>111.16200000000001</v>
      </c>
      <c r="IK22" s="2">
        <f>[1]q!IK171</f>
        <v>111.699</v>
      </c>
      <c r="IL22" s="2">
        <f>[1]q!IL171</f>
        <v>112.39</v>
      </c>
      <c r="IM22" s="2">
        <f>[1]q!IM171</f>
        <v>113.09100000000001</v>
      </c>
      <c r="IN22" s="2">
        <f>[1]q!IN171</f>
        <v>113.797</v>
      </c>
      <c r="IO22" s="6"/>
      <c r="IP22" s="6"/>
      <c r="IQ22" s="6"/>
      <c r="IR22" s="6"/>
      <c r="IS22" s="6"/>
      <c r="IT22" s="6"/>
      <c r="IU22" s="6"/>
      <c r="IV22" s="6"/>
    </row>
    <row r="23" spans="1:256" s="6" customFormat="1" x14ac:dyDescent="0.25">
      <c r="A23" s="8" t="s">
        <v>34</v>
      </c>
      <c r="Q23" s="7"/>
      <c r="R23" s="7">
        <f>[3]q!N101</f>
        <v>1.1666666666666667</v>
      </c>
      <c r="S23" s="7">
        <f>[3]q!O101</f>
        <v>0.79999999999999993</v>
      </c>
      <c r="T23" s="7">
        <f>[3]q!P101</f>
        <v>1.0266666666666666</v>
      </c>
      <c r="U23" s="7">
        <f>[3]q!Q101</f>
        <v>0.98666666666666669</v>
      </c>
      <c r="V23" s="7">
        <f>[3]q!R101</f>
        <v>1.3433333333333335</v>
      </c>
      <c r="W23" s="7">
        <f>[3]q!S101</f>
        <v>1.5</v>
      </c>
      <c r="X23" s="7">
        <f>[3]q!T101</f>
        <v>1.9400000000000002</v>
      </c>
      <c r="Y23" s="7">
        <f>[3]q!U101</f>
        <v>2.3566666666666669</v>
      </c>
      <c r="Z23" s="7">
        <f>[3]q!V101</f>
        <v>2.4833333333333334</v>
      </c>
      <c r="AA23" s="7">
        <f>[3]q!W101</f>
        <v>2.6933333333333334</v>
      </c>
      <c r="AB23" s="7">
        <f>[3]q!X101</f>
        <v>2.81</v>
      </c>
      <c r="AC23" s="7">
        <f>[3]q!Y101</f>
        <v>2.9266666666666663</v>
      </c>
      <c r="AD23" s="7">
        <f>[3]q!Z101</f>
        <v>2.9333333333333336</v>
      </c>
      <c r="AE23" s="7">
        <f>[3]q!AA101</f>
        <v>3</v>
      </c>
      <c r="AF23" s="7">
        <f>[3]q!AB101</f>
        <v>3.2333333333333338</v>
      </c>
      <c r="AG23" s="7">
        <f>[3]q!AC101</f>
        <v>3.2533333333333334</v>
      </c>
      <c r="AH23" s="7">
        <f>[3]q!AD101</f>
        <v>1.8633333333333335</v>
      </c>
      <c r="AI23" s="7">
        <f>[3]q!AE101</f>
        <v>0.94000000000000006</v>
      </c>
      <c r="AJ23" s="7">
        <f>[3]q!AF101</f>
        <v>1.3233333333333333</v>
      </c>
      <c r="AK23" s="7">
        <f>[3]q!AG101</f>
        <v>2.1633333333333336</v>
      </c>
      <c r="AL23" s="7">
        <f>[3]q!AH101</f>
        <v>2.5700000000000003</v>
      </c>
      <c r="AM23" s="7">
        <f>[3]q!AI101</f>
        <v>3.0833333333333335</v>
      </c>
      <c r="AN23" s="7">
        <f>[3]q!AJ101</f>
        <v>3.5766666666666667</v>
      </c>
      <c r="AO23" s="7">
        <f>[3]q!AK101</f>
        <v>3.99</v>
      </c>
      <c r="AP23" s="7">
        <f>[3]q!AL101</f>
        <v>3.9333333333333336</v>
      </c>
      <c r="AQ23" s="7">
        <f>[3]q!AM101</f>
        <v>3.6966666666666668</v>
      </c>
      <c r="AR23" s="7">
        <f>[3]q!AN101</f>
        <v>2.936666666666667</v>
      </c>
      <c r="AS23" s="7">
        <f>[3]q!AO101</f>
        <v>2.2966666666666669</v>
      </c>
      <c r="AT23" s="7">
        <f>[3]q!AP101</f>
        <v>2.0033333333333334</v>
      </c>
      <c r="AU23" s="7">
        <f>[3]q!AQ101</f>
        <v>1.7333333333333332</v>
      </c>
      <c r="AV23" s="7">
        <f>[3]q!AR101</f>
        <v>1.6833333333333333</v>
      </c>
      <c r="AW23" s="7">
        <f>[3]q!AS101</f>
        <v>2.4</v>
      </c>
      <c r="AX23" s="7">
        <f>[3]q!AT101</f>
        <v>2.4566666666666666</v>
      </c>
      <c r="AY23" s="7">
        <f>[3]q!AU101</f>
        <v>2.6066666666666669</v>
      </c>
      <c r="AZ23" s="7">
        <f>[3]q!AV101</f>
        <v>2.8466666666666671</v>
      </c>
      <c r="BA23" s="7">
        <f>[3]q!AW101</f>
        <v>2.9233333333333333</v>
      </c>
      <c r="BB23" s="7">
        <f>[3]q!AX101</f>
        <v>2.9666666666666668</v>
      </c>
      <c r="BC23" s="7">
        <f>[3]q!AY101</f>
        <v>2.9633333333333334</v>
      </c>
      <c r="BD23" s="7">
        <f>[3]q!AZ101</f>
        <v>3.33</v>
      </c>
      <c r="BE23" s="7">
        <f>[3]q!BA101</f>
        <v>3.4533333333333331</v>
      </c>
      <c r="BF23" s="7">
        <f>[3]q!BB101</f>
        <v>3.4633333333333334</v>
      </c>
      <c r="BG23" s="7">
        <f>[3]q!BC101</f>
        <v>3.49</v>
      </c>
      <c r="BH23" s="7">
        <f>[3]q!BD101</f>
        <v>3.456666666666667</v>
      </c>
      <c r="BI23" s="7">
        <f>[3]q!BE101</f>
        <v>3.5766666666666667</v>
      </c>
      <c r="BJ23" s="7">
        <f>[3]q!BF101</f>
        <v>3.9733333333333332</v>
      </c>
      <c r="BK23" s="7">
        <f>[3]q!BG101</f>
        <v>4.0766666666666671</v>
      </c>
      <c r="BL23" s="7">
        <f>[3]q!BH101</f>
        <v>4.0733333333333333</v>
      </c>
      <c r="BM23" s="7">
        <f>[3]q!BI101</f>
        <v>4.166666666666667</v>
      </c>
      <c r="BN23" s="7">
        <f>[3]q!BJ101</f>
        <v>4.5566666666666666</v>
      </c>
      <c r="BO23" s="7">
        <f>[3]q!BK101</f>
        <v>4.9133333333333331</v>
      </c>
      <c r="BP23" s="7">
        <f>[3]q!BL101</f>
        <v>5.41</v>
      </c>
      <c r="BQ23" s="7">
        <f>[3]q!BM101</f>
        <v>5.5633333333333326</v>
      </c>
      <c r="BR23" s="7">
        <f>[3]q!BN101</f>
        <v>4.8233333333333341</v>
      </c>
      <c r="BS23" s="7">
        <f>[3]q!BO101</f>
        <v>3.99</v>
      </c>
      <c r="BT23" s="7">
        <f>[3]q!BP101</f>
        <v>3.8933333333333331</v>
      </c>
      <c r="BU23" s="7">
        <f>[3]q!BQ101</f>
        <v>4.1733333333333329</v>
      </c>
      <c r="BV23" s="7">
        <f>[3]q!BR101</f>
        <v>4.7866666666666662</v>
      </c>
      <c r="BW23" s="7">
        <f>[3]q!BS101</f>
        <v>5.98</v>
      </c>
      <c r="BX23" s="7">
        <f>[3]q!BT101</f>
        <v>5.9433333333333342</v>
      </c>
      <c r="BY23" s="7">
        <f>[3]q!BU101</f>
        <v>5.916666666666667</v>
      </c>
      <c r="BZ23" s="7">
        <f>[3]q!BV101</f>
        <v>6.5666666666666664</v>
      </c>
      <c r="CA23" s="7">
        <f>[3]q!BW101</f>
        <v>8.3266666666666662</v>
      </c>
      <c r="CB23" s="7">
        <f>[3]q!BX101</f>
        <v>8.9833333333333325</v>
      </c>
      <c r="CC23" s="7">
        <f>[3]q!BY101</f>
        <v>8.94</v>
      </c>
      <c r="CD23" s="7">
        <f>[3]q!BZ101</f>
        <v>8.5733333333333324</v>
      </c>
      <c r="CE23" s="7">
        <f>[3]q!CA101</f>
        <v>7.88</v>
      </c>
      <c r="CF23" s="7">
        <f>[3]q!CB101</f>
        <v>6.7033333333333331</v>
      </c>
      <c r="CG23" s="7">
        <f>[3]q!CC101</f>
        <v>5.5666666666666673</v>
      </c>
      <c r="CH23" s="7">
        <f>[3]q!CD101</f>
        <v>3.8566666666666669</v>
      </c>
      <c r="CI23" s="7">
        <f>[3]q!CE101</f>
        <v>4.5633333333333335</v>
      </c>
      <c r="CJ23" s="7">
        <f>[3]q!CF101</f>
        <v>5.4733333333333336</v>
      </c>
      <c r="CK23" s="7">
        <f>[3]q!CG101</f>
        <v>4.75</v>
      </c>
      <c r="CL23" s="7">
        <f>[3]q!CH101</f>
        <v>3.5400000000000005</v>
      </c>
      <c r="CM23" s="7">
        <f>[3]q!CI101</f>
        <v>4.3000000000000007</v>
      </c>
      <c r="CN23" s="7">
        <f>[3]q!CJ101</f>
        <v>4.7399999999999993</v>
      </c>
      <c r="CO23" s="7">
        <f>[3]q!CK101</f>
        <v>5.1433333333333335</v>
      </c>
      <c r="CP23" s="7">
        <f>[3]q!CL101</f>
        <v>6.5366666666666662</v>
      </c>
      <c r="CQ23" s="7">
        <f>[3]q!CM101</f>
        <v>7.8166666666666673</v>
      </c>
      <c r="CR23" s="7">
        <f>[3]q!CN101</f>
        <v>10.56</v>
      </c>
      <c r="CS23" s="7">
        <f>[3]q!CO101</f>
        <v>9.9966666666666679</v>
      </c>
      <c r="CT23" s="7">
        <f>[3]q!CP101</f>
        <v>9.3233333333333324</v>
      </c>
      <c r="CU23" s="7">
        <f>[3]q!CQ101</f>
        <v>11.25</v>
      </c>
      <c r="CV23" s="7">
        <f>[3]q!CR101</f>
        <v>12.089999999999998</v>
      </c>
      <c r="CW23" s="7">
        <f>[3]q!CS101</f>
        <v>9.3466666666666658</v>
      </c>
      <c r="CX23" s="7">
        <f>[3]q!CT101</f>
        <v>6.3033333333333337</v>
      </c>
      <c r="CY23" s="7">
        <f>[3]q!CU101</f>
        <v>5.4200000000000008</v>
      </c>
      <c r="CZ23" s="7">
        <f>[3]q!CV101</f>
        <v>6.160000000000001</v>
      </c>
      <c r="DA23" s="7">
        <f>[3]q!CW101</f>
        <v>5.4133333333333331</v>
      </c>
      <c r="DB23" s="7">
        <f>[3]q!CX101</f>
        <v>4.8266666666666671</v>
      </c>
      <c r="DC23" s="7">
        <f>[3]q!CY101</f>
        <v>5.1966666666666663</v>
      </c>
      <c r="DD23" s="7">
        <f>[3]q!CZ101</f>
        <v>5.2833333333333341</v>
      </c>
      <c r="DE23" s="7">
        <f>[3]q!DA101</f>
        <v>4.873333333333334</v>
      </c>
      <c r="DF23" s="7">
        <f>[3]q!DB101</f>
        <v>4.66</v>
      </c>
      <c r="DG23" s="7">
        <f>[3]q!DC101</f>
        <v>5.1566666666666672</v>
      </c>
      <c r="DH23" s="7">
        <f>[3]q!DD101</f>
        <v>5.82</v>
      </c>
      <c r="DI23" s="7">
        <f>[3]q!DE101</f>
        <v>6.5133333333333328</v>
      </c>
      <c r="DJ23" s="7">
        <f>[3]q!DF101</f>
        <v>6.7566666666666668</v>
      </c>
      <c r="DK23" s="7">
        <f>[3]q!DG101</f>
        <v>7.2833333333333341</v>
      </c>
      <c r="DL23" s="7">
        <f>[3]q!DH101</f>
        <v>8.1</v>
      </c>
      <c r="DM23" s="7">
        <f>[3]q!DI101</f>
        <v>9.5833333333333339</v>
      </c>
      <c r="DN23" s="7">
        <f>[3]q!DJ101</f>
        <v>10.073333333333334</v>
      </c>
      <c r="DO23" s="7">
        <f>[3]q!DK101</f>
        <v>10.18</v>
      </c>
      <c r="DP23" s="7">
        <f>[3]q!DL101</f>
        <v>10.946666666666667</v>
      </c>
      <c r="DQ23" s="7">
        <f>[3]q!DM101</f>
        <v>13.576666666666668</v>
      </c>
      <c r="DR23" s="7">
        <f>[3]q!DN101</f>
        <v>15.046666666666667</v>
      </c>
      <c r="DS23" s="7">
        <f>[3]q!DO101</f>
        <v>12.686666666666667</v>
      </c>
      <c r="DT23" s="7">
        <f>[3]q!DP101</f>
        <v>9.8366666666666678</v>
      </c>
      <c r="DU23" s="7">
        <f>[3]q!DQ101</f>
        <v>15.853333333333333</v>
      </c>
      <c r="DV23" s="7">
        <f>[3]q!DR101</f>
        <v>16.570000000000004</v>
      </c>
      <c r="DW23" s="7">
        <f>[3]q!DS101</f>
        <v>17.78</v>
      </c>
      <c r="DX23" s="7">
        <f>[3]q!DT101</f>
        <v>17.576666666666668</v>
      </c>
      <c r="DY23" s="7">
        <f>[3]q!DU101</f>
        <v>13.586666666666668</v>
      </c>
      <c r="DZ23" s="7">
        <f>[3]q!DV101</f>
        <v>14.226666666666667</v>
      </c>
      <c r="EA23" s="7">
        <f>[3]q!DW101</f>
        <v>14.513333333333334</v>
      </c>
      <c r="EB23" s="7">
        <f>[3]q!DX101</f>
        <v>11.006666666666668</v>
      </c>
      <c r="EC23" s="7">
        <f>[3]q!DY101</f>
        <v>9.2866666666666688</v>
      </c>
      <c r="ED23" s="7">
        <f>[3]q!DZ101</f>
        <v>8.6533333333333324</v>
      </c>
      <c r="EE23" s="7">
        <f>[3]q!EA101</f>
        <v>8.8033333333333328</v>
      </c>
      <c r="EF23" s="7">
        <f>[3]q!EB101</f>
        <v>9.4600000000000009</v>
      </c>
      <c r="EG23" s="7">
        <f>[3]q!EC101</f>
        <v>9.43</v>
      </c>
      <c r="EH23" s="7">
        <f>[3]q!ED101</f>
        <v>9.6866666666666656</v>
      </c>
      <c r="EI23" s="7">
        <f>[3]q!EE101</f>
        <v>10.556666666666667</v>
      </c>
      <c r="EJ23" s="7">
        <f>[3]q!EF101</f>
        <v>11.39</v>
      </c>
      <c r="EK23" s="7">
        <f>[3]q!EG101</f>
        <v>9.2666666666666675</v>
      </c>
      <c r="EL23" s="7">
        <f>[3]q!EH101</f>
        <v>8.4766666666666666</v>
      </c>
      <c r="EM23" s="7">
        <f>[3]q!EI101</f>
        <v>7.9233333333333329</v>
      </c>
      <c r="EN23" s="7">
        <f>[3]q!EJ101</f>
        <v>7.9000000000000012</v>
      </c>
      <c r="EO23" s="7">
        <f>[3]q!EK101</f>
        <v>8.1033333333333335</v>
      </c>
      <c r="EP23" s="7">
        <f>[3]q!EL101</f>
        <v>7.8266666666666671</v>
      </c>
      <c r="EQ23" s="7">
        <f>[3]q!EM101</f>
        <v>6.919999999999999</v>
      </c>
      <c r="ER23" s="7">
        <f>[3]q!EN101</f>
        <v>6.206666666666667</v>
      </c>
      <c r="ES23" s="7">
        <f>[3]q!EO101</f>
        <v>6.2666666666666666</v>
      </c>
      <c r="ET23" s="7">
        <f>[3]q!EP101</f>
        <v>6.22</v>
      </c>
      <c r="EU23" s="7">
        <f>[3]q!EQ101</f>
        <v>6.6500000000000012</v>
      </c>
      <c r="EV23" s="7">
        <f>[3]q!ER101</f>
        <v>6.8433333333333337</v>
      </c>
      <c r="EW23" s="7">
        <f>[3]q!ES101</f>
        <v>6.916666666666667</v>
      </c>
      <c r="EX23" s="7">
        <f>[3]q!ET101</f>
        <v>6.663333333333334</v>
      </c>
      <c r="EY23" s="7">
        <f>[3]q!EU101</f>
        <v>7.1566666666666663</v>
      </c>
      <c r="EZ23" s="7">
        <f>[3]q!EV101</f>
        <v>7.9833333333333334</v>
      </c>
      <c r="FA23" s="7">
        <f>[3]q!EW101</f>
        <v>8.4699999999999989</v>
      </c>
      <c r="FB23" s="7">
        <f>[3]q!EX101</f>
        <v>9.4433333333333334</v>
      </c>
      <c r="FC23" s="7">
        <f>[3]q!EY101</f>
        <v>9.7266666666666666</v>
      </c>
      <c r="FD23" s="7">
        <f>[3]q!EZ101</f>
        <v>9.0833333333333339</v>
      </c>
      <c r="FE23" s="7">
        <f>[3]q!FA101</f>
        <v>8.6133333333333333</v>
      </c>
      <c r="FF23" s="7">
        <f>[3]q!FB101</f>
        <v>8.25</v>
      </c>
      <c r="FG23" s="7">
        <f>[3]q!FC101</f>
        <v>8.2433333333333323</v>
      </c>
      <c r="FH23" s="7">
        <f>[3]q!FD101</f>
        <v>8.16</v>
      </c>
      <c r="FI23" s="7">
        <f>[3]q!FE101</f>
        <v>7.7433333333333332</v>
      </c>
      <c r="FJ23" s="7">
        <f>[3]q!FF101</f>
        <v>6.4266666666666667</v>
      </c>
      <c r="FK23" s="7">
        <f>[3]q!FG101</f>
        <v>5.8633333333333342</v>
      </c>
      <c r="FL23" s="7">
        <f>[3]q!FH101</f>
        <v>5.6433333333333335</v>
      </c>
      <c r="FM23" s="7">
        <f>[3]q!FI101</f>
        <v>4.8166666666666664</v>
      </c>
      <c r="FN23" s="7">
        <f>[3]q!FJ101</f>
        <v>4.0233333333333334</v>
      </c>
      <c r="FO23" s="7">
        <f>[3]q!FK101</f>
        <v>3.77</v>
      </c>
      <c r="FP23" s="7">
        <f>[3]q!FL101</f>
        <v>3.2566666666666673</v>
      </c>
      <c r="FQ23" s="7">
        <f>[3]q!FM101</f>
        <v>3.0366666666666666</v>
      </c>
      <c r="FR23" s="7">
        <f>[3]q!FN101</f>
        <v>3.0400000000000005</v>
      </c>
      <c r="FS23" s="7">
        <f>[3]q!FO101</f>
        <v>3</v>
      </c>
      <c r="FT23" s="7">
        <f>[3]q!FP101</f>
        <v>3.06</v>
      </c>
      <c r="FU23" s="7">
        <f>[3]q!FQ101</f>
        <v>2.9899999999999998</v>
      </c>
      <c r="FV23" s="7">
        <f>[3]q!FR101</f>
        <v>3.2133333333333334</v>
      </c>
      <c r="FW23" s="7">
        <f>[3]q!FS101</f>
        <v>3.94</v>
      </c>
      <c r="FX23" s="7">
        <f>[3]q!FT101</f>
        <v>4.4866666666666672</v>
      </c>
      <c r="FY23" s="7">
        <f>[3]q!FU101</f>
        <v>5.166666666666667</v>
      </c>
      <c r="FZ23" s="7">
        <f>[3]q!FV101</f>
        <v>5.81</v>
      </c>
      <c r="GA23" s="7">
        <f>[3]q!FW101</f>
        <v>6.02</v>
      </c>
      <c r="GB23" s="7">
        <f>[3]q!FX101</f>
        <v>5.7966666666666669</v>
      </c>
      <c r="GC23" s="7">
        <f>[3]q!FY101</f>
        <v>5.72</v>
      </c>
      <c r="GD23" s="7">
        <f>[3]q!FZ101</f>
        <v>5.3633333333333342</v>
      </c>
      <c r="GE23" s="7">
        <f>[3]q!GA101</f>
        <v>5.2433333333333332</v>
      </c>
      <c r="GF23" s="7">
        <f>[3]q!GB101</f>
        <v>5.3066666666666675</v>
      </c>
      <c r="GG23" s="7">
        <f>[3]q!GC101</f>
        <v>5.28</v>
      </c>
      <c r="GH23" s="7">
        <f>[3]q!GD101</f>
        <v>5.2766666666666673</v>
      </c>
      <c r="GI23" s="7">
        <f>[3]q!GE101</f>
        <v>5.5233333333333334</v>
      </c>
      <c r="GJ23" s="7">
        <f>[3]q!GF101</f>
        <v>5.5333333333333341</v>
      </c>
      <c r="GK23" s="7">
        <f>[3]q!GG101</f>
        <v>5.5066666666666668</v>
      </c>
      <c r="GL23" s="7">
        <f>[3]q!GH101</f>
        <v>5.5200000000000005</v>
      </c>
      <c r="GM23" s="7">
        <f>[3]q!GI101</f>
        <v>5.5</v>
      </c>
      <c r="GN23" s="7">
        <f>[3]q!GJ101</f>
        <v>5.5333333333333341</v>
      </c>
      <c r="GO23" s="7">
        <f>[3]q!GK101</f>
        <v>4.8600000000000003</v>
      </c>
      <c r="GP23" s="7">
        <f>[3]q!GL101</f>
        <v>4.7333333333333334</v>
      </c>
      <c r="GQ23" s="7">
        <f>[3]q!GM101</f>
        <v>4.746666666666667</v>
      </c>
      <c r="GR23" s="7">
        <f>[3]q!GN101</f>
        <v>5.0933333333333337</v>
      </c>
      <c r="GS23" s="7">
        <f>[3]q!GO101</f>
        <v>5.3066666666666675</v>
      </c>
      <c r="GT23" s="7">
        <f>[3]q!GP101</f>
        <v>5.6766666666666667</v>
      </c>
      <c r="GU23" s="7">
        <f>[3]q!GQ101</f>
        <v>6.2733333333333334</v>
      </c>
      <c r="GV23" s="7">
        <f>[3]q!GR101</f>
        <v>6.52</v>
      </c>
      <c r="GW23" s="7">
        <f>[3]q!GS101</f>
        <v>6.4733333333333336</v>
      </c>
      <c r="GX23" s="7">
        <f>[3]q!GT101</f>
        <v>5.5933333333333337</v>
      </c>
      <c r="GY23" s="7">
        <f>[3]q!GU101</f>
        <v>4.3266666666666671</v>
      </c>
      <c r="GZ23" s="7">
        <f>[3]q!GV101</f>
        <v>3.4966666666666666</v>
      </c>
      <c r="HA23" s="7">
        <f>[3]q!GW101</f>
        <v>2.1333333333333333</v>
      </c>
      <c r="HB23" s="7">
        <f>[3]q!GX101</f>
        <v>1.7333333333333332</v>
      </c>
      <c r="HC23" s="7">
        <f>[3]q!GY101</f>
        <v>1.75</v>
      </c>
      <c r="HD23" s="7">
        <f>[3]q!GZ101</f>
        <v>1.74</v>
      </c>
      <c r="HE23" s="7">
        <f>[3]q!HA101</f>
        <v>1.4433333333333334</v>
      </c>
      <c r="HF23" s="7">
        <f>[3]q!HB101</f>
        <v>1.25</v>
      </c>
      <c r="HG23" s="7">
        <f>[3]q!HC101</f>
        <v>1.2466666666666668</v>
      </c>
      <c r="HH23" s="7">
        <f>[3]q!HD101</f>
        <v>1.0166666666666666</v>
      </c>
      <c r="HI23" s="7">
        <f>[3]q!HE101</f>
        <v>0.99666666666666659</v>
      </c>
      <c r="HJ23" s="7">
        <f>[3]q!HF101</f>
        <v>1.0033333333333332</v>
      </c>
      <c r="HK23" s="7">
        <f>[3]q!HG101</f>
        <v>1.01</v>
      </c>
      <c r="HL23" s="7">
        <f>[3]q!HH101</f>
        <v>1.4333333333333333</v>
      </c>
      <c r="HM23" s="7">
        <f>[3]q!HI101</f>
        <v>1.95</v>
      </c>
      <c r="HN23" s="7">
        <f>[3]q!HJ101</f>
        <v>2.4700000000000002</v>
      </c>
      <c r="HO23" s="7">
        <f>[3]q!HK101</f>
        <v>2.9433333333333334</v>
      </c>
      <c r="HP23" s="7">
        <f>[3]q!HL101</f>
        <v>3.4599999999999995</v>
      </c>
      <c r="HQ23" s="7">
        <f>[3]q!HM101</f>
        <v>3.9800000000000004</v>
      </c>
      <c r="HR23" s="7">
        <f>[3]q!HN101</f>
        <v>4.456666666666667</v>
      </c>
      <c r="HS23" s="7">
        <f>[3]q!HO101</f>
        <v>4.9066666666666672</v>
      </c>
      <c r="HT23" s="7">
        <f>[3]q!HP101</f>
        <v>5.246666666666667</v>
      </c>
      <c r="HU23" s="7">
        <f>[3]q!HQ101</f>
        <v>5.246666666666667</v>
      </c>
      <c r="HV23" s="7">
        <f>[3]q!HR101</f>
        <v>5.2566666666666668</v>
      </c>
      <c r="HW23" s="7">
        <f>[3]q!HS101</f>
        <v>5.25</v>
      </c>
      <c r="HX23" s="7">
        <f>[3]q!HT101</f>
        <v>5.0733333333333341</v>
      </c>
      <c r="HY23" s="7">
        <f>[3]q!HU101</f>
        <v>4.496666666666667</v>
      </c>
      <c r="HZ23" s="7">
        <f>[3]q!HV101</f>
        <v>3.1766666666666663</v>
      </c>
      <c r="IA23" s="7">
        <f>[3]q!HW101</f>
        <v>2.0866666666666664</v>
      </c>
      <c r="IB23" s="7">
        <f>[3]q!HX101</f>
        <v>1.9400000000000002</v>
      </c>
      <c r="IC23" s="7">
        <f>[3]q!HY101</f>
        <v>0.5066666666666666</v>
      </c>
      <c r="ID23" s="7">
        <f>[3]q!HZ101</f>
        <v>0.18333333333333335</v>
      </c>
      <c r="IE23" s="7">
        <f>[3]q!IA101</f>
        <v>0.17999999999999997</v>
      </c>
      <c r="IF23" s="7">
        <f>[3]q!IB101</f>
        <v>0.15666666666666665</v>
      </c>
      <c r="IG23" s="7">
        <f>[3]q!IC101</f>
        <v>0.12</v>
      </c>
      <c r="IH23" s="7">
        <f>[3]q!ID101</f>
        <v>0.13333333333333333</v>
      </c>
      <c r="II23" s="7">
        <f>[3]q!IE101</f>
        <v>0.19333333333333336</v>
      </c>
      <c r="IJ23" s="7">
        <f>[3]q!IF101</f>
        <v>0.18666666666666668</v>
      </c>
      <c r="IK23" s="7">
        <f>[3]q!IG101</f>
        <v>0.18666666666666668</v>
      </c>
      <c r="IL23" s="7">
        <f>[3]q!IH101</f>
        <v>0.15666666666666668</v>
      </c>
      <c r="IM23" s="7">
        <f>[3]q!II101</f>
        <v>9.3333333333333338E-2</v>
      </c>
      <c r="IN23" s="7">
        <f>[3]q!IJ101</f>
        <v>7.0000000000000007E-2</v>
      </c>
    </row>
    <row r="24" spans="1:256" s="6" customFormat="1" x14ac:dyDescent="0.25">
      <c r="A24" s="8" t="s">
        <v>33</v>
      </c>
      <c r="AO24" s="7"/>
      <c r="AP24" s="7">
        <f>[3]q!AL72</f>
        <v>4.5909690486555181</v>
      </c>
      <c r="AQ24" s="7">
        <f>[3]q!AM72</f>
        <v>-5.7066810495327491</v>
      </c>
      <c r="AR24" s="7">
        <f>[3]q!AN72</f>
        <v>1.1413022271703805</v>
      </c>
      <c r="AS24" s="7">
        <f>[3]q!AO72</f>
        <v>-7.0649479005568523</v>
      </c>
      <c r="AT24" s="7">
        <f>[3]q!AP72</f>
        <v>2.0969694380396628</v>
      </c>
      <c r="AU24" s="7">
        <f>[3]q!AQ72</f>
        <v>3.2960402392278301</v>
      </c>
      <c r="AV24" s="7">
        <f>[3]q!AR72</f>
        <v>3.4817442715892817</v>
      </c>
      <c r="AW24" s="7">
        <f>[3]q!AS72</f>
        <v>-0.6791854837813871</v>
      </c>
      <c r="AX24" s="7">
        <f>[3]q!AT72</f>
        <v>2.5047043854275337</v>
      </c>
      <c r="AY24" s="7">
        <f>[3]q!AU72</f>
        <v>-2.2253607097302797</v>
      </c>
      <c r="AZ24" s="7">
        <f>[3]q!AV72</f>
        <v>0.64837487016748097</v>
      </c>
      <c r="BA24" s="7">
        <f>[3]q!AW72</f>
        <v>-1.7657123362008329</v>
      </c>
      <c r="BB24" s="7">
        <f>[3]q!AX72</f>
        <v>2.5927934366802505</v>
      </c>
      <c r="BC24" s="7">
        <f>[3]q!AY72</f>
        <v>-1.6562054941498547</v>
      </c>
      <c r="BD24" s="7">
        <f>[3]q!AZ72</f>
        <v>0.59593251842407913</v>
      </c>
      <c r="BE24" s="7">
        <f>[3]q!BA72</f>
        <v>-1.0358960612778607</v>
      </c>
      <c r="BF24" s="7">
        <f>[3]q!BB72</f>
        <v>0.43218358874921581</v>
      </c>
      <c r="BG24" s="7">
        <f>[3]q!BC72</f>
        <v>-7.7126450264066726E-2</v>
      </c>
      <c r="BH24" s="7">
        <f>[3]q!BD72</f>
        <v>0.54182210988378676</v>
      </c>
      <c r="BI24" s="7">
        <f>[3]q!BE72</f>
        <v>2.5913144734670435E-2</v>
      </c>
      <c r="BJ24" s="7">
        <f>[3]q!BF72</f>
        <v>3.5723872093767404</v>
      </c>
      <c r="BK24" s="7">
        <f>[3]q!BG72</f>
        <v>-1.7294582100778171</v>
      </c>
      <c r="BL24" s="7">
        <f>[3]q!BH72</f>
        <v>0.75225531471188578</v>
      </c>
      <c r="BM24" s="7">
        <f>[3]q!BI72</f>
        <v>-0.94116540829750206</v>
      </c>
      <c r="BN24" s="7">
        <f>[3]q!BJ72</f>
        <v>3.3938614589958331</v>
      </c>
      <c r="BO24" s="7">
        <f>[3]q!BK72</f>
        <v>-0.40076235033092167</v>
      </c>
      <c r="BP24" s="7">
        <f>[3]q!BL72</f>
        <v>-0.6091435732766417</v>
      </c>
      <c r="BQ24" s="7">
        <f>[3]q!BM72</f>
        <v>2.1811756353877674</v>
      </c>
      <c r="BR24" s="7">
        <f>[3]q!BN72</f>
        <v>-0.41845491542120228</v>
      </c>
      <c r="BS24" s="7">
        <f>[3]q!BO72</f>
        <v>-4.0982463892244194</v>
      </c>
      <c r="BT24" s="7">
        <f>[3]q!BP72</f>
        <v>1.1855087633127555</v>
      </c>
      <c r="BU24" s="7">
        <f>[3]q!BQ72</f>
        <v>-0.44490556255746272</v>
      </c>
      <c r="BV24" s="7">
        <f>[3]q!BR72</f>
        <v>4.0084647303639809E-3</v>
      </c>
      <c r="BW24" s="7">
        <f>[3]q!BS72</f>
        <v>2.874181634232623</v>
      </c>
      <c r="BX24" s="7">
        <f>[3]q!BT72</f>
        <v>-2.8796511090140919</v>
      </c>
      <c r="BY24" s="7">
        <f>[3]q!BU72</f>
        <v>-0.76657299556767022</v>
      </c>
      <c r="BZ24" s="7">
        <f>[3]q!BV72</f>
        <v>2.2852741099568097</v>
      </c>
      <c r="CA24" s="7">
        <f>[3]q!BW72</f>
        <v>-0.76470160068406068</v>
      </c>
      <c r="CB24" s="7">
        <f>[3]q!BX72</f>
        <v>0.50420443508009882</v>
      </c>
      <c r="CC24" s="7">
        <f>[3]q!BY72</f>
        <v>-1.9254429637058545</v>
      </c>
      <c r="CD24" s="7">
        <f>[3]q!BZ72</f>
        <v>-1.6876841719803917</v>
      </c>
      <c r="CE24" s="7">
        <f>[3]q!CA72</f>
        <v>1.5156377575799209</v>
      </c>
      <c r="CF24" s="7">
        <f>[3]q!CB72</f>
        <v>5.858248569893032E-3</v>
      </c>
      <c r="CG24" s="7">
        <f>[3]q!CC72</f>
        <v>-3.496199084903032</v>
      </c>
      <c r="CH24" s="7">
        <f>[3]q!CD72</f>
        <v>6.2170738936180259</v>
      </c>
      <c r="CI24" s="7">
        <f>[3]q!CE72</f>
        <v>-0.49073863348287383</v>
      </c>
      <c r="CJ24" s="7">
        <f>[3]q!CF72</f>
        <v>-0.29706197638911291</v>
      </c>
      <c r="CK24" s="7">
        <f>[3]q!CG72</f>
        <v>-3.6948070580414574</v>
      </c>
      <c r="CL24" s="7">
        <f>[3]q!CH72</f>
        <v>1.6230842512445687</v>
      </c>
      <c r="CM24" s="7">
        <f>[3]q!CI72</f>
        <v>2.9753093919131941</v>
      </c>
      <c r="CN24" s="7">
        <f>[3]q!CJ72</f>
        <v>0.3021508000517853</v>
      </c>
      <c r="CO24" s="7">
        <f>[3]q!CK72</f>
        <v>-2.5149811400823716</v>
      </c>
      <c r="CP24" s="7">
        <f>[3]q!CL72</f>
        <v>1.6897239688680994</v>
      </c>
      <c r="CQ24" s="7">
        <f>[3]q!CM72</f>
        <v>2.8015714085663284</v>
      </c>
      <c r="CR24" s="7">
        <f>[3]q!CN72</f>
        <v>-2.4975412941196402</v>
      </c>
      <c r="CS24" s="7">
        <f>[3]q!CO72</f>
        <v>3.5054112914158875</v>
      </c>
      <c r="CT24" s="7">
        <f>[3]q!CP72</f>
        <v>-2.8420446484487036</v>
      </c>
      <c r="CU24" s="7">
        <f>[3]q!CQ72</f>
        <v>0.65140454879240273</v>
      </c>
      <c r="CV24" s="7">
        <f>[3]q!CR72</f>
        <v>-2.7846182770331236</v>
      </c>
      <c r="CW24" s="7">
        <f>[3]q!CS72</f>
        <v>4.0421074405079764</v>
      </c>
      <c r="CX24" s="7">
        <f>[3]q!CT72</f>
        <v>-8.1677122887934797</v>
      </c>
      <c r="CY24" s="7">
        <f>[3]q!CU72</f>
        <v>-1.2492067778022373</v>
      </c>
      <c r="CZ24" s="7">
        <f>[3]q!CV72</f>
        <v>3.0680563939440733</v>
      </c>
      <c r="DA24" s="7">
        <f>[3]q!CW72</f>
        <v>0.58461559475423286</v>
      </c>
      <c r="DB24" s="7">
        <f>[3]q!CX72</f>
        <v>3.8430068077617809</v>
      </c>
      <c r="DC24" s="7">
        <f>[3]q!CY72</f>
        <v>1.786204594255397</v>
      </c>
      <c r="DD24" s="7">
        <f>[3]q!CZ72</f>
        <v>-0.47638173156748026</v>
      </c>
      <c r="DE24" s="7">
        <f>[3]q!DA72</f>
        <v>-2.6731760456128537</v>
      </c>
      <c r="DF24" s="7">
        <f>[3]q!DB72</f>
        <v>0.77372832687870741</v>
      </c>
      <c r="DG24" s="7">
        <f>[3]q!DC72</f>
        <v>1.5609669375111794</v>
      </c>
      <c r="DH24" s="7">
        <f>[3]q!DD72</f>
        <v>3.0371689482218951</v>
      </c>
      <c r="DI24" s="7">
        <f>[3]q!DE72</f>
        <v>-3.2580879357855745</v>
      </c>
      <c r="DJ24" s="7">
        <f>[3]q!DF72</f>
        <v>0.99312966523077673</v>
      </c>
      <c r="DK24" s="7">
        <f>[3]q!DG72</f>
        <v>0.43071141095739129</v>
      </c>
      <c r="DL24" s="7">
        <f>[3]q!DH72</f>
        <v>0.40082524552558718</v>
      </c>
      <c r="DM24" s="7">
        <f>[3]q!DI72</f>
        <v>0.32944776492438144</v>
      </c>
      <c r="DN24" s="7">
        <f>[3]q!DJ72</f>
        <v>-0.5006617561834581</v>
      </c>
      <c r="DO24" s="7">
        <f>[3]q!DK72</f>
        <v>0.43158693152683492</v>
      </c>
      <c r="DP24" s="7">
        <f>[3]q!DL72</f>
        <v>-2.8022593306006836</v>
      </c>
      <c r="DQ24" s="7">
        <f>[3]q!DM72</f>
        <v>-0.67118102322380668</v>
      </c>
      <c r="DR24" s="7">
        <f>[3]q!DN72</f>
        <v>0.55093383911518257</v>
      </c>
      <c r="DS24" s="7">
        <f>[3]q!DO72</f>
        <v>-0.30002397887983889</v>
      </c>
      <c r="DT24" s="7">
        <f>[3]q!DP72</f>
        <v>-5.958125139432056</v>
      </c>
      <c r="DU24" s="7">
        <f>[3]q!DQ72</f>
        <v>3.8122966797433029</v>
      </c>
      <c r="DV24" s="7">
        <f>[3]q!DR72</f>
        <v>6.3780836091917905</v>
      </c>
      <c r="DW24" s="7">
        <f>[3]q!DS72</f>
        <v>-4.034984567735064</v>
      </c>
      <c r="DX24" s="7">
        <f>[3]q!DT72</f>
        <v>4.3675299949785611</v>
      </c>
      <c r="DY24" s="7">
        <f>[3]q!DU72</f>
        <v>-2.6870486702639158</v>
      </c>
      <c r="DZ24" s="7">
        <f>[3]q!DV72</f>
        <v>-5.4780577005714113</v>
      </c>
      <c r="EA24" s="7">
        <f>[3]q!DW72</f>
        <v>2.3543373844327995</v>
      </c>
      <c r="EB24" s="7">
        <f>[3]q!DX72</f>
        <v>1.1524591605062204</v>
      </c>
      <c r="EC24" s="7">
        <f>[3]q!DY72</f>
        <v>-5.4857120877429715</v>
      </c>
      <c r="ED24" s="7">
        <f>[3]q!DZ72</f>
        <v>0.93445594156665868</v>
      </c>
      <c r="EE24" s="7">
        <f>[3]q!EA72</f>
        <v>3.5093139205217216</v>
      </c>
      <c r="EF24" s="7">
        <f>[3]q!EB72</f>
        <v>0.60806067930220653</v>
      </c>
      <c r="EG24" s="7">
        <f>[3]q!EC72</f>
        <v>3.0883964172011118</v>
      </c>
      <c r="EH24" s="7">
        <f>[3]q!ED72</f>
        <v>5.077954232009021</v>
      </c>
      <c r="EI24" s="7">
        <f>[3]q!EE72</f>
        <v>-0.30536810036034101</v>
      </c>
      <c r="EJ24" s="7">
        <f>[3]q!EF72</f>
        <v>0.21474866207958909</v>
      </c>
      <c r="EK24" s="7">
        <f>[3]q!EG72</f>
        <v>-2.502051050619686</v>
      </c>
      <c r="EL24" s="7">
        <f>[3]q!EH72</f>
        <v>-2.9351221173690498</v>
      </c>
      <c r="EM24" s="7">
        <f>[3]q!EI72</f>
        <v>0.34877741219538272</v>
      </c>
      <c r="EN24" s="7">
        <f>[3]q!EJ72</f>
        <v>-0.15304427305190571</v>
      </c>
      <c r="EO24" s="7">
        <f>[3]q!EK72</f>
        <v>1.4535410516264269</v>
      </c>
      <c r="EP24" s="7">
        <f>[3]q!EL72</f>
        <v>-0.16961097728174668</v>
      </c>
      <c r="EQ24" s="7">
        <f>[3]q!EM72</f>
        <v>-1.3327125466022245</v>
      </c>
      <c r="ER24" s="7">
        <f>[3]q!EN72</f>
        <v>-1.6886894509041195</v>
      </c>
      <c r="ES24" s="7">
        <f>[3]q!EO72</f>
        <v>-0.28140756662691369</v>
      </c>
      <c r="ET24" s="7">
        <f>[3]q!EP72</f>
        <v>3.3347082791227995</v>
      </c>
      <c r="EU24" s="7">
        <f>[3]q!EQ72</f>
        <v>-0.98953323326117137</v>
      </c>
      <c r="EV24" s="7">
        <f>[3]q!ER72</f>
        <v>-1.2651007804002905</v>
      </c>
      <c r="EW24" s="7">
        <f>[3]q!ES72</f>
        <v>5.0943639352577383</v>
      </c>
      <c r="EX24" s="7">
        <f>[3]q!ET72</f>
        <v>-3.7972859587973846</v>
      </c>
      <c r="EY24" s="7">
        <f>[3]q!EU72</f>
        <v>0.33720216825098714</v>
      </c>
      <c r="EZ24" s="7">
        <f>[3]q!EV72</f>
        <v>0.16293134393193731</v>
      </c>
      <c r="FA24" s="7">
        <f>[3]q!EW72</f>
        <v>0.24779231688383707</v>
      </c>
      <c r="FB24" s="7">
        <f>[3]q!EX72</f>
        <v>1.8360258770379327</v>
      </c>
      <c r="FC24" s="7">
        <f>[3]q!EY72</f>
        <v>-0.86128602557898437</v>
      </c>
      <c r="FD24" s="7">
        <f>[3]q!EZ72</f>
        <v>-1.8309197727363282</v>
      </c>
      <c r="FE24" s="7">
        <f>[3]q!FA72</f>
        <v>0.36653773680020918</v>
      </c>
      <c r="FF24" s="7">
        <f>[3]q!FB72</f>
        <v>-0.12667503700784322</v>
      </c>
      <c r="FG24" s="7">
        <f>[3]q!FC72</f>
        <v>1.4403796212858968</v>
      </c>
      <c r="FH24" s="7">
        <f>[3]q!FD72</f>
        <v>-0.75496718552964748</v>
      </c>
      <c r="FI24" s="7">
        <f>[3]q!FE72</f>
        <v>-2.0310909283507184</v>
      </c>
      <c r="FJ24" s="7">
        <f>[3]q!FF72</f>
        <v>-0.26036602876323167</v>
      </c>
      <c r="FK24" s="7">
        <f>[3]q!FG72</f>
        <v>-0.12346159331209444</v>
      </c>
      <c r="FL24" s="7">
        <f>[3]q!FH72</f>
        <v>1.1663171613943784</v>
      </c>
      <c r="FM24" s="7">
        <f>[3]q!FI72</f>
        <v>1.9482345634101745</v>
      </c>
      <c r="FN24" s="7">
        <f>[3]q!FJ72</f>
        <v>-1.7763096752564371</v>
      </c>
      <c r="FO24" s="7">
        <f>[3]q!FK72</f>
        <v>1.4081552800027883</v>
      </c>
      <c r="FP24" s="7">
        <f>[3]q!FL72</f>
        <v>-0.21810528523848727</v>
      </c>
      <c r="FQ24" s="7">
        <f>[3]q!FM72</f>
        <v>0.11235980203388674</v>
      </c>
      <c r="FR24" s="7">
        <f>[3]q!FN72</f>
        <v>1.0492758196054226</v>
      </c>
      <c r="FS24" s="7">
        <f>[3]q!FO72</f>
        <v>-0.72637975473695926</v>
      </c>
      <c r="FT24" s="7">
        <f>[3]q!FP72</f>
        <v>-0.99936952099272025</v>
      </c>
      <c r="FU24" s="7">
        <f>[3]q!FQ72</f>
        <v>0.50965696956075224</v>
      </c>
      <c r="FV24" s="7">
        <f>[3]q!FR72</f>
        <v>1.7524072304472078</v>
      </c>
      <c r="FW24" s="7">
        <f>[3]q!FS72</f>
        <v>2.1454830725885934</v>
      </c>
      <c r="FX24" s="7">
        <f>[3]q!FT72</f>
        <v>-1.6903148516041417</v>
      </c>
      <c r="FY24" s="7">
        <f>[3]q!FU72</f>
        <v>1.3166416865203725</v>
      </c>
      <c r="FZ24" s="7">
        <f>[3]q!FV72</f>
        <v>-0.61365901347609642</v>
      </c>
      <c r="GA24" s="7">
        <f>[3]q!FW72</f>
        <v>-1.4779868725142973</v>
      </c>
      <c r="GB24" s="7">
        <f>[3]q!FX72</f>
        <v>-1.378781765059518</v>
      </c>
      <c r="GC24" s="7">
        <f>[3]q!FY72</f>
        <v>0.44257990426556937</v>
      </c>
      <c r="GD24" s="7">
        <f>[3]q!FZ72</f>
        <v>-0.75211557272169927</v>
      </c>
      <c r="GE24" s="7">
        <f>[3]q!GA72</f>
        <v>1.1951072594147307</v>
      </c>
      <c r="GF24" s="7">
        <f>[3]q!GB72</f>
        <v>1.7134420898955902</v>
      </c>
      <c r="GG24" s="7">
        <f>[3]q!GC72</f>
        <v>-1.2148686570849319</v>
      </c>
      <c r="GH24" s="7">
        <f>[3]q!GD72</f>
        <v>0.25148064779696</v>
      </c>
      <c r="GI24" s="7">
        <f>[3]q!GE72</f>
        <v>2.7979256462445585</v>
      </c>
      <c r="GJ24" s="7">
        <f>[3]q!GF72</f>
        <v>-1.22658806047734</v>
      </c>
      <c r="GK24" s="7">
        <f>[3]q!GG72</f>
        <v>0.51921296413244145</v>
      </c>
      <c r="GL24" s="7">
        <f>[3]q!GH72</f>
        <v>1.3024317843144622</v>
      </c>
      <c r="GM24" s="7">
        <f>[3]q!GI72</f>
        <v>-3.0674955961573573</v>
      </c>
      <c r="GN24" s="7">
        <f>[3]q!GJ72</f>
        <v>0.71282057664690113</v>
      </c>
      <c r="GO24" s="7">
        <f>[3]q!GK72</f>
        <v>0.21814100386084689</v>
      </c>
      <c r="GP24" s="7">
        <f>[3]q!GL72</f>
        <v>0.95140378564819583</v>
      </c>
      <c r="GQ24" s="7">
        <f>[3]q!GM72</f>
        <v>-1.8283210277369004</v>
      </c>
      <c r="GR24" s="7">
        <f>[3]q!GN72</f>
        <v>0.17639281148162889</v>
      </c>
      <c r="GS24" s="7">
        <f>[3]q!GO72</f>
        <v>2.1485625983539407</v>
      </c>
      <c r="GT24" s="7">
        <f>[3]q!GP72</f>
        <v>-2.9682971942745633</v>
      </c>
      <c r="GU24" s="7">
        <f>[3]q!GQ72</f>
        <v>3.1529415348364163</v>
      </c>
      <c r="GV24" s="7">
        <f>[3]q!GR72</f>
        <v>-1.3780236642525323</v>
      </c>
      <c r="GW24" s="7">
        <f>[3]q!GS72</f>
        <v>-0.17878989903987</v>
      </c>
      <c r="GX24" s="7">
        <f>[3]q!GT72</f>
        <v>-3.3280682473073142</v>
      </c>
      <c r="GY24" s="7">
        <f>[3]q!GU72</f>
        <v>0.86182737724403791</v>
      </c>
      <c r="GZ24" s="7">
        <f>[3]q!GV72</f>
        <v>-0.66683237056913347</v>
      </c>
      <c r="HA24" s="7">
        <f>[3]q!GW72</f>
        <v>-2.0482968242108468</v>
      </c>
      <c r="HB24" s="7">
        <f>[3]q!GX72</f>
        <v>2.6545860986203622</v>
      </c>
      <c r="HC24" s="7">
        <f>[3]q!GY72</f>
        <v>1.0300972608220549</v>
      </c>
      <c r="HD24" s="7">
        <f>[3]q!GZ72</f>
        <v>0.25072720081982747</v>
      </c>
      <c r="HE24" s="7">
        <f>[3]q!HA72</f>
        <v>0.43663866932299289</v>
      </c>
      <c r="HF24" s="7">
        <f>[3]q!HB72</f>
        <v>-4.6418315761001749E-2</v>
      </c>
      <c r="HG24" s="7">
        <f>[3]q!HC72</f>
        <v>-1.2082444124504266</v>
      </c>
      <c r="HH24" s="7">
        <f>[3]q!HD72</f>
        <v>0.2835167046637066</v>
      </c>
      <c r="HI24" s="7">
        <f>[3]q!HE72</f>
        <v>1.1970317065450153</v>
      </c>
      <c r="HJ24" s="7">
        <f>[3]q!HF72</f>
        <v>0.48800211282089739</v>
      </c>
      <c r="HK24" s="7">
        <f>[3]q!HG72</f>
        <v>0.88641645687555082</v>
      </c>
      <c r="HL24" s="7">
        <f>[3]q!HH72</f>
        <v>-0.47431141171884339</v>
      </c>
      <c r="HM24" s="7">
        <f>[3]q!HI72</f>
        <v>0.29296287199010917</v>
      </c>
      <c r="HN24" s="7">
        <f>[3]q!HJ72</f>
        <v>0.65225860352256992</v>
      </c>
      <c r="HO24" s="7">
        <f>[3]q!HK72</f>
        <v>-2.407847251011785</v>
      </c>
      <c r="HP24" s="7">
        <f>[3]q!HL72</f>
        <v>-9.6437422007247586E-2</v>
      </c>
      <c r="HQ24" s="7">
        <f>[3]q!HM72</f>
        <v>2.2096447981799554</v>
      </c>
      <c r="HR24" s="7">
        <f>[3]q!HN72</f>
        <v>-0.49545663129799822</v>
      </c>
      <c r="HS24" s="7">
        <f>[3]q!HO72</f>
        <v>0.20030576037883524</v>
      </c>
      <c r="HT24" s="7">
        <f>[3]q!HP72</f>
        <v>-0.13126935380474636</v>
      </c>
      <c r="HU24" s="7">
        <f>[3]q!HQ72</f>
        <v>-1.0720396340382048</v>
      </c>
      <c r="HV24" s="7">
        <f>[3]q!HR72</f>
        <v>-0.48968916245879635</v>
      </c>
      <c r="HW24" s="7">
        <f>[3]q!HS72</f>
        <v>0.910688222465589</v>
      </c>
      <c r="HX24" s="7">
        <f>[3]q!HT72</f>
        <v>-0.28336592104713321</v>
      </c>
      <c r="HY24" s="7">
        <f>[3]q!HU72</f>
        <v>-0.77208895141717759</v>
      </c>
      <c r="HZ24" s="7">
        <f>[3]q!HV72</f>
        <v>-0.65507525266958444</v>
      </c>
      <c r="IA24" s="7">
        <f>[3]q!HW72</f>
        <v>-0.11915951379384748</v>
      </c>
      <c r="IB24" s="7">
        <f>[3]q!HX72</f>
        <v>-0.68247564045813203</v>
      </c>
      <c r="IC24" s="7">
        <f>[3]q!HY72</f>
        <v>-1.4563552808150257</v>
      </c>
      <c r="ID24" s="7">
        <f>[3]q!HZ72</f>
        <v>-2.5800048825056683</v>
      </c>
      <c r="IE24" s="7">
        <f>[3]q!IA72</f>
        <v>-0.52179498705839222</v>
      </c>
      <c r="IF24" s="7">
        <f>[3]q!IB72</f>
        <v>0.24459759776879841</v>
      </c>
      <c r="IG24" s="7">
        <f>[3]q!IC72</f>
        <v>3.944351421387926</v>
      </c>
      <c r="IH24" s="7">
        <f>[3]q!ID72</f>
        <v>3.0895400574339829</v>
      </c>
      <c r="II24" s="7">
        <f>[3]q!IE72</f>
        <v>0.7888668866340125</v>
      </c>
      <c r="IJ24" s="7">
        <f>[3]q!IF72</f>
        <v>0.85190222275673322</v>
      </c>
      <c r="IK24" s="7">
        <f>[3]q!IG72</f>
        <v>-1.7958630351403264</v>
      </c>
      <c r="IL24" s="7">
        <f>[3]q!IH72</f>
        <v>0.31246515097603789</v>
      </c>
      <c r="IM24" s="7">
        <f>[3]q!II72</f>
        <v>-0.28134471744206691</v>
      </c>
      <c r="IN24" s="7">
        <f>[3]q!IJ72</f>
        <v>-1.0658553570051537</v>
      </c>
      <c r="IO24" s="7" t="str">
        <f>IF(ISNUMBER('[4]Fortschreibung von Monatswerten'!IO15),'[4]Fortschreibung von Monatswerten'!IO15,"")</f>
        <v/>
      </c>
      <c r="IP24" s="7" t="str">
        <f>IF(ISNUMBER('[4]Fortschreibung von Monatswerten'!IP15),'[4]Fortschreibung von Monatswerten'!IP15,"")</f>
        <v/>
      </c>
      <c r="IQ24" s="7" t="str">
        <f>IF(ISNUMBER('[4]Fortschreibung von Monatswerten'!IQ15),'[4]Fortschreibung von Monatswerten'!IQ15,"")</f>
        <v/>
      </c>
      <c r="IR24" s="7" t="str">
        <f>IF(ISNUMBER('[4]Fortschreibung von Monatswerten'!IR15),'[4]Fortschreibung von Monatswerten'!IR15,"")</f>
        <v/>
      </c>
      <c r="IS24" s="7" t="str">
        <f>IF(ISNUMBER('[4]Fortschreibung von Monatswerten'!IS15),'[4]Fortschreibung von Monatswerten'!IS15,"")</f>
        <v/>
      </c>
      <c r="IT24" s="7" t="str">
        <f>IF(ISNUMBER('[4]Fortschreibung von Monatswerten'!IT15),'[4]Fortschreibung von Monatswerten'!IT15,"")</f>
        <v/>
      </c>
      <c r="IU24" s="7" t="str">
        <f>IF(ISNUMBER('[4]Fortschreibung von Monatswerten'!IU15),'[4]Fortschreibung von Monatswerten'!IU15,"")</f>
        <v/>
      </c>
      <c r="IV24" s="7" t="str">
        <f>IF(ISNUMBER('[4]Fortschreibung von Monatswerten'!IV15),'[4]Fortschreibung von Monatswerten'!IV15,"")</f>
        <v/>
      </c>
    </row>
    <row r="25" spans="1:256" s="6" customFormat="1" x14ac:dyDescent="0.25">
      <c r="A25" s="8" t="s">
        <v>31</v>
      </c>
      <c r="B25" s="7">
        <f>[5]q!B$3</f>
        <v>23.587</v>
      </c>
      <c r="C25" s="7">
        <f>[5]q!C$3</f>
        <v>23.766999999999999</v>
      </c>
      <c r="D25" s="7">
        <f>[5]q!D$3</f>
        <v>24.202999999999999</v>
      </c>
      <c r="E25" s="7">
        <f>[5]q!E$3</f>
        <v>24.693000000000001</v>
      </c>
      <c r="F25" s="7">
        <f>[5]q!F$3</f>
        <v>25.696999999999999</v>
      </c>
      <c r="G25" s="7">
        <f>[5]q!G$3</f>
        <v>25.946999999999999</v>
      </c>
      <c r="H25" s="7">
        <f>[5]q!H$3</f>
        <v>25.933</v>
      </c>
      <c r="I25" s="7">
        <f>[5]q!I$3</f>
        <v>26.317</v>
      </c>
      <c r="J25" s="7">
        <f>[5]q!J$3</f>
        <v>26.417000000000002</v>
      </c>
      <c r="K25" s="7">
        <f>[5]q!K$3</f>
        <v>26.487000000000002</v>
      </c>
      <c r="L25" s="7">
        <f>[5]q!L$3</f>
        <v>26.667000000000002</v>
      </c>
      <c r="M25" s="7">
        <f>[5]q!M$3</f>
        <v>26.696999999999999</v>
      </c>
      <c r="N25" s="7">
        <f>[5]q!N$3</f>
        <v>26.62</v>
      </c>
      <c r="O25" s="7">
        <f>[5]q!O$3</f>
        <v>26.72</v>
      </c>
      <c r="P25" s="7">
        <f>[5]q!P$3</f>
        <v>26.843</v>
      </c>
      <c r="Q25" s="7">
        <f>[5]q!Q$3</f>
        <v>26.89</v>
      </c>
      <c r="R25" s="7">
        <f>[5]q!R$3</f>
        <v>26.952999999999999</v>
      </c>
      <c r="S25" s="7">
        <f>[5]q!S$3</f>
        <v>26.91</v>
      </c>
      <c r="T25" s="7">
        <f>[5]q!T$3</f>
        <v>26.84</v>
      </c>
      <c r="U25" s="7">
        <f>[5]q!U$3</f>
        <v>26.757000000000001</v>
      </c>
      <c r="V25" s="7">
        <f>[5]q!V$3</f>
        <v>26.792999999999999</v>
      </c>
      <c r="W25" s="7">
        <f>[5]q!W$3</f>
        <v>26.757000000000001</v>
      </c>
      <c r="X25" s="7">
        <f>[5]q!X$3</f>
        <v>26.777000000000001</v>
      </c>
      <c r="Y25" s="7">
        <f>[5]q!Y$3</f>
        <v>26.856999999999999</v>
      </c>
      <c r="Z25" s="7">
        <f>[5]q!Z$3</f>
        <v>26.86</v>
      </c>
      <c r="AA25" s="7">
        <f>[5]q!AA$3</f>
        <v>27.036999999999999</v>
      </c>
      <c r="AB25" s="7">
        <f>[5]q!AB$3</f>
        <v>27.317</v>
      </c>
      <c r="AC25" s="7">
        <f>[5]q!AC$3</f>
        <v>27.55</v>
      </c>
      <c r="AD25" s="7">
        <f>[5]q!AD$3</f>
        <v>27.777000000000001</v>
      </c>
      <c r="AE25" s="7">
        <f>[5]q!AE$3</f>
        <v>28.013000000000002</v>
      </c>
      <c r="AF25" s="7">
        <f>[5]q!AF$3</f>
        <v>28.263000000000002</v>
      </c>
      <c r="AG25" s="7">
        <f>[5]q!AG$3</f>
        <v>28.400000000000002</v>
      </c>
      <c r="AH25" s="7">
        <f>[5]q!AH$3</f>
        <v>28.737000000000002</v>
      </c>
      <c r="AI25" s="7">
        <f>[5]q!AI$3</f>
        <v>28.93</v>
      </c>
      <c r="AJ25" s="7">
        <f>[5]q!AJ$3</f>
        <v>28.913</v>
      </c>
      <c r="AK25" s="7">
        <f>[5]q!AK$3</f>
        <v>28.943000000000001</v>
      </c>
      <c r="AL25" s="7">
        <f>[5]q!AL$3</f>
        <v>28.993000000000002</v>
      </c>
      <c r="AM25" s="7">
        <f>[5]q!AM$3</f>
        <v>29.042999999999999</v>
      </c>
      <c r="AN25" s="7">
        <f>[5]q!AN$3</f>
        <v>29.193000000000001</v>
      </c>
      <c r="AO25" s="7">
        <f>[5]q!AO$3</f>
        <v>29.37</v>
      </c>
      <c r="AP25" s="7">
        <f>[5]q!AP$3</f>
        <v>29.397000000000002</v>
      </c>
      <c r="AQ25" s="7">
        <f>[5]q!AQ$3</f>
        <v>29.573</v>
      </c>
      <c r="AR25" s="7">
        <f>[5]q!AR$3</f>
        <v>29.59</v>
      </c>
      <c r="AS25" s="7">
        <f>[5]q!AS$3</f>
        <v>29.78</v>
      </c>
      <c r="AT25" s="7">
        <f>[5]q!AT$3</f>
        <v>29.84</v>
      </c>
      <c r="AU25" s="7">
        <f>[5]q!AU$3</f>
        <v>29.830000000000002</v>
      </c>
      <c r="AV25" s="7">
        <f>[5]q!AV$3</f>
        <v>29.946999999999999</v>
      </c>
      <c r="AW25" s="7">
        <f>[5]q!AW$3</f>
        <v>29.990000000000002</v>
      </c>
      <c r="AX25" s="7">
        <f>[5]q!AX$3</f>
        <v>30.106999999999999</v>
      </c>
      <c r="AY25" s="7">
        <f>[5]q!AY$3</f>
        <v>30.22</v>
      </c>
      <c r="AZ25" s="7">
        <f>[5]q!AZ$3</f>
        <v>30.307000000000002</v>
      </c>
      <c r="BA25" s="7">
        <f>[5]q!BA$3</f>
        <v>30.38</v>
      </c>
      <c r="BB25" s="7">
        <f>[5]q!BB$3</f>
        <v>30.477</v>
      </c>
      <c r="BC25" s="7">
        <f>[5]q!BC$3</f>
        <v>30.533000000000001</v>
      </c>
      <c r="BD25" s="7">
        <f>[5]q!BD$3</f>
        <v>30.72</v>
      </c>
      <c r="BE25" s="7">
        <f>[5]q!BE$3</f>
        <v>30.803000000000001</v>
      </c>
      <c r="BF25" s="7">
        <f>[5]q!BF$3</f>
        <v>30.93</v>
      </c>
      <c r="BG25" s="7">
        <f>[5]q!BG$3</f>
        <v>30.98</v>
      </c>
      <c r="BH25" s="7">
        <f>[5]q!BH$3</f>
        <v>31.05</v>
      </c>
      <c r="BI25" s="7">
        <f>[5]q!BI$3</f>
        <v>31.193000000000001</v>
      </c>
      <c r="BJ25" s="7">
        <f>[5]q!BJ$3</f>
        <v>31.29</v>
      </c>
      <c r="BK25" s="7">
        <f>[5]q!BK$3</f>
        <v>31.490000000000002</v>
      </c>
      <c r="BL25" s="7">
        <f>[5]q!BL$3</f>
        <v>31.583000000000002</v>
      </c>
      <c r="BM25" s="7">
        <f>[5]q!BM$3</f>
        <v>31.75</v>
      </c>
      <c r="BN25" s="7">
        <f>[5]q!BN$3</f>
        <v>32.047000000000004</v>
      </c>
      <c r="BO25" s="7">
        <f>[5]q!BO$3</f>
        <v>32.337000000000003</v>
      </c>
      <c r="BP25" s="7">
        <f>[5]q!BP$3</f>
        <v>32.616999999999997</v>
      </c>
      <c r="BQ25" s="7">
        <f>[5]q!BQ$3</f>
        <v>32.883000000000003</v>
      </c>
      <c r="BR25" s="7">
        <f>[5]q!BR$3</f>
        <v>32.966999999999999</v>
      </c>
      <c r="BS25" s="7">
        <f>[5]q!BS$3</f>
        <v>33.167000000000002</v>
      </c>
      <c r="BT25" s="7">
        <f>[5]q!BT$3</f>
        <v>33.5</v>
      </c>
      <c r="BU25" s="7">
        <f>[5]q!BU$3</f>
        <v>33.866999999999997</v>
      </c>
      <c r="BV25" s="7">
        <f>[5]q!BV$3</f>
        <v>34.200000000000003</v>
      </c>
      <c r="BW25" s="7">
        <f>[5]q!BW$3</f>
        <v>34.533000000000001</v>
      </c>
      <c r="BX25" s="7">
        <f>[5]q!BX$3</f>
        <v>35</v>
      </c>
      <c r="BY25" s="7">
        <f>[5]q!BY$3</f>
        <v>35.433</v>
      </c>
      <c r="BZ25" s="7">
        <f>[5]q!BZ$3</f>
        <v>35.866999999999997</v>
      </c>
      <c r="CA25" s="7">
        <f>[5]q!CA$3</f>
        <v>36.433</v>
      </c>
      <c r="CB25" s="7">
        <f>[5]q!CB$3</f>
        <v>36.933</v>
      </c>
      <c r="CC25" s="7">
        <f>[5]q!CC$3</f>
        <v>37.5</v>
      </c>
      <c r="CD25" s="7">
        <f>[5]q!CD$3</f>
        <v>38.1</v>
      </c>
      <c r="CE25" s="7">
        <f>[5]q!CE$3</f>
        <v>38.633000000000003</v>
      </c>
      <c r="CF25" s="7">
        <f>[5]q!CF$3</f>
        <v>39.033000000000001</v>
      </c>
      <c r="CG25" s="7">
        <f>[5]q!CG$3</f>
        <v>39.6</v>
      </c>
      <c r="CH25" s="7">
        <f>[5]q!CH$3</f>
        <v>39.933</v>
      </c>
      <c r="CI25" s="7">
        <f>[5]q!CI$3</f>
        <v>40.300000000000004</v>
      </c>
      <c r="CJ25" s="7">
        <f>[5]q!CJ$3</f>
        <v>40.700000000000003</v>
      </c>
      <c r="CK25" s="7">
        <f>[5]q!CK$3</f>
        <v>41</v>
      </c>
      <c r="CL25" s="7">
        <f>[5]q!CL$3</f>
        <v>41.332999999999998</v>
      </c>
      <c r="CM25" s="7">
        <f>[5]q!CM$3</f>
        <v>41.6</v>
      </c>
      <c r="CN25" s="7">
        <f>[5]q!CN$3</f>
        <v>41.933</v>
      </c>
      <c r="CO25" s="7">
        <f>[5]q!CO$3</f>
        <v>42.367000000000004</v>
      </c>
      <c r="CP25" s="7">
        <f>[5]q!CP$3</f>
        <v>43.033000000000001</v>
      </c>
      <c r="CQ25" s="7">
        <f>[5]q!CQ$3</f>
        <v>43.933</v>
      </c>
      <c r="CR25" s="7">
        <f>[5]q!CR$3</f>
        <v>44.800000000000004</v>
      </c>
      <c r="CS25" s="7">
        <f>[5]q!CS$3</f>
        <v>45.933</v>
      </c>
      <c r="CT25" s="7">
        <f>[5]q!CT$3</f>
        <v>47.300000000000004</v>
      </c>
      <c r="CU25" s="7">
        <f>[5]q!CU$3</f>
        <v>48.567</v>
      </c>
      <c r="CV25" s="7">
        <f>[5]q!CV$3</f>
        <v>49.933</v>
      </c>
      <c r="CW25" s="7">
        <f>[5]q!CW$3</f>
        <v>51.466999999999999</v>
      </c>
      <c r="CX25" s="7">
        <f>[5]q!CX$3</f>
        <v>52.567</v>
      </c>
      <c r="CY25" s="7">
        <f>[5]q!CY$3</f>
        <v>53.2</v>
      </c>
      <c r="CZ25" s="7">
        <f>[5]q!CZ$3</f>
        <v>54.267000000000003</v>
      </c>
      <c r="DA25" s="7">
        <f>[5]q!DA$3</f>
        <v>55.267000000000003</v>
      </c>
      <c r="DB25" s="7">
        <f>[5]q!DB$3</f>
        <v>55.9</v>
      </c>
      <c r="DC25" s="7">
        <f>[5]q!DC$3</f>
        <v>56.4</v>
      </c>
      <c r="DD25" s="7">
        <f>[5]q!DD$3</f>
        <v>57.300000000000004</v>
      </c>
      <c r="DE25" s="7">
        <f>[5]q!DE$3</f>
        <v>58.133000000000003</v>
      </c>
      <c r="DF25" s="7">
        <f>[5]q!DF$3</f>
        <v>59.2</v>
      </c>
      <c r="DG25" s="7">
        <f>[5]q!DG$3</f>
        <v>60.233000000000004</v>
      </c>
      <c r="DH25" s="7">
        <f>[5]q!DH$3</f>
        <v>61.067</v>
      </c>
      <c r="DI25" s="7">
        <f>[5]q!DI$3</f>
        <v>61.966999999999999</v>
      </c>
      <c r="DJ25" s="7">
        <f>[5]q!DJ$3</f>
        <v>63.033000000000001</v>
      </c>
      <c r="DK25" s="7">
        <f>[5]q!DK$3</f>
        <v>64.466999999999999</v>
      </c>
      <c r="DL25" s="7">
        <f>[5]q!DL$3</f>
        <v>65.966999999999999</v>
      </c>
      <c r="DM25" s="7">
        <f>[5]q!DM$3</f>
        <v>67.5</v>
      </c>
      <c r="DN25" s="7">
        <f>[5]q!DN$3</f>
        <v>69.2</v>
      </c>
      <c r="DO25" s="7">
        <f>[5]q!DO$3</f>
        <v>71.400000000000006</v>
      </c>
      <c r="DP25" s="7">
        <f>[5]q!DP$3</f>
        <v>73.7</v>
      </c>
      <c r="DQ25" s="7">
        <f>[5]q!DQ$3</f>
        <v>76.033000000000001</v>
      </c>
      <c r="DR25" s="7">
        <f>[5]q!DR$3</f>
        <v>79.033000000000001</v>
      </c>
      <c r="DS25" s="7">
        <f>[5]q!DS$3</f>
        <v>81.7</v>
      </c>
      <c r="DT25" s="7">
        <f>[5]q!DT$3</f>
        <v>83.233000000000004</v>
      </c>
      <c r="DU25" s="7">
        <f>[5]q!DU$3</f>
        <v>85.567000000000007</v>
      </c>
      <c r="DV25" s="7">
        <f>[5]q!DV$3</f>
        <v>87.933000000000007</v>
      </c>
      <c r="DW25" s="7">
        <f>[5]q!DW$3</f>
        <v>89.766999999999996</v>
      </c>
      <c r="DX25" s="7">
        <f>[5]q!DX$3</f>
        <v>92.266999999999996</v>
      </c>
      <c r="DY25" s="7">
        <f>[5]q!DY$3</f>
        <v>93.766999999999996</v>
      </c>
      <c r="DZ25" s="7">
        <f>[5]q!DZ$3</f>
        <v>94.600000000000009</v>
      </c>
      <c r="EA25" s="7">
        <f>[5]q!EA$3</f>
        <v>95.966999999999999</v>
      </c>
      <c r="EB25" s="7">
        <f>[5]q!EB$3</f>
        <v>97.632999999999996</v>
      </c>
      <c r="EC25" s="7">
        <f>[5]q!EC$3</f>
        <v>97.933000000000007</v>
      </c>
      <c r="ED25" s="7">
        <f>[5]q!ED$3</f>
        <v>98</v>
      </c>
      <c r="EE25" s="7">
        <f>[5]q!EE$3</f>
        <v>99.132999999999996</v>
      </c>
      <c r="EF25" s="7">
        <f>[5]q!EF$3</f>
        <v>100.10000000000001</v>
      </c>
      <c r="EG25" s="7">
        <f>[5]q!EG$3</f>
        <v>101.10000000000001</v>
      </c>
      <c r="EH25" s="7">
        <f>[5]q!EH$3</f>
        <v>102.533</v>
      </c>
      <c r="EI25" s="7">
        <f>[5]q!EI$3</f>
        <v>103.5</v>
      </c>
      <c r="EJ25" s="7">
        <f>[5]q!EJ$3</f>
        <v>104.4</v>
      </c>
      <c r="EK25" s="7">
        <f>[5]q!EK$3</f>
        <v>105.3</v>
      </c>
      <c r="EL25" s="7">
        <f>[5]q!EL$3</f>
        <v>106.267</v>
      </c>
      <c r="EM25" s="7">
        <f>[5]q!EM$3</f>
        <v>107.233</v>
      </c>
      <c r="EN25" s="7">
        <f>[5]q!EN$3</f>
        <v>107.9</v>
      </c>
      <c r="EO25" s="7">
        <f>[5]q!EO$3</f>
        <v>109</v>
      </c>
      <c r="EP25" s="7">
        <f>[5]q!EP$3</f>
        <v>109.56700000000001</v>
      </c>
      <c r="EQ25" s="7">
        <f>[5]q!EQ$3</f>
        <v>109.033</v>
      </c>
      <c r="ER25" s="7">
        <f>[5]q!ER$3</f>
        <v>109.7</v>
      </c>
      <c r="ES25" s="7">
        <f>[5]q!ES$3</f>
        <v>110.467</v>
      </c>
      <c r="ET25" s="7">
        <f>[5]q!ET$3</f>
        <v>111.8</v>
      </c>
      <c r="EU25" s="7">
        <f>[5]q!EU$3</f>
        <v>113.06700000000001</v>
      </c>
      <c r="EV25" s="7">
        <f>[5]q!EV$3</f>
        <v>114.267</v>
      </c>
      <c r="EW25" s="7">
        <f>[5]q!EW$3</f>
        <v>115.333</v>
      </c>
      <c r="EX25" s="7">
        <f>[5]q!EX$3</f>
        <v>116.233</v>
      </c>
      <c r="EY25" s="7">
        <f>[5]q!EY$3</f>
        <v>117.56700000000001</v>
      </c>
      <c r="EZ25" s="7">
        <f>[5]q!EZ$3</f>
        <v>119</v>
      </c>
      <c r="FA25" s="7">
        <f>[5]q!FA$3</f>
        <v>120.3</v>
      </c>
      <c r="FB25" s="7">
        <f>[5]q!FB$3</f>
        <v>121.667</v>
      </c>
      <c r="FC25" s="7">
        <f>[5]q!FC$3</f>
        <v>123.633</v>
      </c>
      <c r="FD25" s="7">
        <f>[5]q!FD$3</f>
        <v>124.60000000000001</v>
      </c>
      <c r="FE25" s="7">
        <f>[5]q!FE$3</f>
        <v>125.867</v>
      </c>
      <c r="FF25" s="7">
        <f>[5]q!FF$3</f>
        <v>128.03300000000002</v>
      </c>
      <c r="FG25" s="7">
        <f>[5]q!FG$3</f>
        <v>129.30000000000001</v>
      </c>
      <c r="FH25" s="7">
        <f>[5]q!FH$3</f>
        <v>131.53300000000002</v>
      </c>
      <c r="FI25" s="7">
        <f>[5]q!FI$3</f>
        <v>133.767</v>
      </c>
      <c r="FJ25" s="7">
        <f>[5]q!FJ$3</f>
        <v>134.767</v>
      </c>
      <c r="FK25" s="7">
        <f>[5]q!FK$3</f>
        <v>135.56700000000001</v>
      </c>
      <c r="FL25" s="7">
        <f>[5]q!FL$3</f>
        <v>136.6</v>
      </c>
      <c r="FM25" s="7">
        <f>[5]q!FM$3</f>
        <v>137.733</v>
      </c>
      <c r="FN25" s="7">
        <f>[5]q!FN$3</f>
        <v>138.667</v>
      </c>
      <c r="FO25" s="7">
        <f>[5]q!FO$3</f>
        <v>139.733</v>
      </c>
      <c r="FP25" s="7">
        <f>[5]q!FP$3</f>
        <v>140.80000000000001</v>
      </c>
      <c r="FQ25" s="7">
        <f>[5]q!FQ$3</f>
        <v>142.03300000000002</v>
      </c>
      <c r="FR25" s="7">
        <f>[5]q!FR$3</f>
        <v>143.06700000000001</v>
      </c>
      <c r="FS25" s="7">
        <f>[5]q!FS$3</f>
        <v>144.1</v>
      </c>
      <c r="FT25" s="7">
        <f>[5]q!FT$3</f>
        <v>144.767</v>
      </c>
      <c r="FU25" s="7">
        <f>[5]q!FU$3</f>
        <v>145.96700000000001</v>
      </c>
      <c r="FV25" s="7">
        <f>[5]q!FV$3</f>
        <v>146.70000000000002</v>
      </c>
      <c r="FW25" s="7">
        <f>[5]q!FW$3</f>
        <v>147.53300000000002</v>
      </c>
      <c r="FX25" s="7">
        <f>[5]q!FX$3</f>
        <v>148.9</v>
      </c>
      <c r="FY25" s="7">
        <f>[5]q!FY$3</f>
        <v>149.767</v>
      </c>
      <c r="FZ25" s="7">
        <f>[5]q!FZ$3</f>
        <v>150.86699999999999</v>
      </c>
      <c r="GA25" s="7">
        <f>[5]q!GA$3</f>
        <v>152.1</v>
      </c>
      <c r="GB25" s="7">
        <f>[5]q!GB$3</f>
        <v>152.86699999999999</v>
      </c>
      <c r="GC25" s="7">
        <f>[5]q!GC$3</f>
        <v>153.70000000000002</v>
      </c>
      <c r="GD25" s="7">
        <f>[5]q!GD$3</f>
        <v>155.06700000000001</v>
      </c>
      <c r="GE25" s="7">
        <f>[5]q!GE$3</f>
        <v>156.4</v>
      </c>
      <c r="GF25" s="7">
        <f>[5]q!GF$3</f>
        <v>157.30000000000001</v>
      </c>
      <c r="GG25" s="7">
        <f>[5]q!GG$3</f>
        <v>158.667</v>
      </c>
      <c r="GH25" s="7">
        <f>[5]q!GH$3</f>
        <v>159.63300000000001</v>
      </c>
      <c r="GI25" s="7">
        <f>[5]q!GI$3</f>
        <v>160</v>
      </c>
      <c r="GJ25" s="7">
        <f>[5]q!GJ$3</f>
        <v>160.80000000000001</v>
      </c>
      <c r="GK25" s="7">
        <f>[5]q!GK$3</f>
        <v>161.667</v>
      </c>
      <c r="GL25" s="7">
        <f>[5]q!GL$3</f>
        <v>162</v>
      </c>
      <c r="GM25" s="7">
        <f>[5]q!GM$3</f>
        <v>162.53300000000002</v>
      </c>
      <c r="GN25" s="7">
        <f>[5]q!GN$3</f>
        <v>163.36699999999999</v>
      </c>
      <c r="GO25" s="7">
        <f>[5]q!GO$3</f>
        <v>164.13300000000001</v>
      </c>
      <c r="GP25" s="7">
        <f>[5]q!GP$3</f>
        <v>164.733</v>
      </c>
      <c r="GQ25" s="7">
        <f>[5]q!GQ$3</f>
        <v>165.96700000000001</v>
      </c>
      <c r="GR25" s="7">
        <f>[5]q!GR$3</f>
        <v>167.20000000000002</v>
      </c>
      <c r="GS25" s="7">
        <f>[5]q!GS$3</f>
        <v>168.43299999999999</v>
      </c>
      <c r="GT25" s="7">
        <f>[5]q!GT$3</f>
        <v>170.1</v>
      </c>
      <c r="GU25" s="7">
        <f>[5]q!GU$3</f>
        <v>171.43299999999999</v>
      </c>
      <c r="GV25" s="7">
        <f>[5]q!GV$3</f>
        <v>173</v>
      </c>
      <c r="GW25" s="7">
        <f>[5]q!GW$3</f>
        <v>174.233</v>
      </c>
      <c r="GX25" s="7">
        <f>[5]q!GX$3</f>
        <v>175.9</v>
      </c>
      <c r="GY25" s="7">
        <f>[5]q!GY$3</f>
        <v>177.13300000000001</v>
      </c>
      <c r="GZ25" s="7">
        <f>[5]q!GZ$3</f>
        <v>177.63300000000001</v>
      </c>
      <c r="HA25" s="7">
        <f>[5]q!HA$3</f>
        <v>177.5</v>
      </c>
      <c r="HB25" s="7">
        <f>[5]q!HB$3</f>
        <v>178.06700000000001</v>
      </c>
      <c r="HC25" s="7">
        <f>[5]q!HC$3</f>
        <v>179.46700000000001</v>
      </c>
      <c r="HD25" s="7">
        <f>[5]q!HD$3</f>
        <v>180.43299999999999</v>
      </c>
      <c r="HE25" s="7">
        <f>[5]q!HE$3</f>
        <v>181.5</v>
      </c>
      <c r="HF25" s="7">
        <f>[5]q!HF$3</f>
        <v>183.36699999999999</v>
      </c>
      <c r="HG25" s="7">
        <f>[5]q!HG$3</f>
        <v>183.06700000000001</v>
      </c>
      <c r="HH25" s="7">
        <f>[5]q!HH$3</f>
        <v>184.43299999999999</v>
      </c>
      <c r="HI25" s="7">
        <f>[5]q!HI$3</f>
        <v>185.13300000000001</v>
      </c>
      <c r="HJ25" s="7">
        <f>[5]q!HJ$3</f>
        <v>186.70000000000002</v>
      </c>
      <c r="HK25" s="7">
        <f>[5]q!HK$3</f>
        <v>188.167</v>
      </c>
      <c r="HL25" s="7">
        <f>[5]q!HL$3</f>
        <v>189.36699999999999</v>
      </c>
      <c r="HM25" s="7">
        <f>[5]q!HM$3</f>
        <v>191.4</v>
      </c>
      <c r="HN25" s="7">
        <f>[5]q!HN$3</f>
        <v>192.36699999999999</v>
      </c>
      <c r="HO25" s="7">
        <f>[5]q!HO$3</f>
        <v>193.667</v>
      </c>
      <c r="HP25" s="7">
        <f>[5]q!HP$3</f>
        <v>196.6</v>
      </c>
      <c r="HQ25" s="7">
        <f>[5]q!HQ$3</f>
        <v>198.43299999999999</v>
      </c>
      <c r="HR25" s="7">
        <f>[5]q!HR$3</f>
        <v>199.46700000000001</v>
      </c>
      <c r="HS25" s="7">
        <f>[5]q!HS$3</f>
        <v>201.267</v>
      </c>
      <c r="HT25" s="7">
        <f>[5]q!HT$3</f>
        <v>203.167</v>
      </c>
      <c r="HU25" s="7">
        <f>[5]q!HU$3</f>
        <v>202.333</v>
      </c>
      <c r="HV25" s="7">
        <f>[5]q!HV$3</f>
        <v>204.28800000000001</v>
      </c>
      <c r="HW25" s="7">
        <f>[5]q!HW$3</f>
        <v>206.66200000000001</v>
      </c>
      <c r="HX25" s="7">
        <f>[5]q!HX$3</f>
        <v>207.93700000000001</v>
      </c>
      <c r="HY25" s="7">
        <f>[5]q!HY$3</f>
        <v>210.46100000000001</v>
      </c>
      <c r="HZ25" s="7">
        <f>[5]q!HZ$3</f>
        <v>212.77600000000001</v>
      </c>
      <c r="IA25" s="7">
        <f>[5]q!IA$3</f>
        <v>215.55199999999999</v>
      </c>
      <c r="IB25" s="7">
        <f>[5]q!IB$3</f>
        <v>218.922</v>
      </c>
      <c r="IC25" s="7">
        <f>[5]q!IC$3</f>
        <v>213.75300000000001</v>
      </c>
      <c r="ID25" s="7">
        <f>[5]q!ID$3</f>
        <v>212.45099999999999</v>
      </c>
      <c r="IE25" s="7">
        <f>[5]q!IE$3</f>
        <v>213.46800000000002</v>
      </c>
      <c r="IF25" s="7">
        <f>[5]q!IF$3</f>
        <v>215.41900000000001</v>
      </c>
      <c r="IG25" s="7">
        <f>[5]q!IG$3</f>
        <v>216.85300000000001</v>
      </c>
      <c r="IH25" s="7">
        <f>[5]q!IH$3</f>
        <v>217.54400000000001</v>
      </c>
      <c r="II25" s="7">
        <f>[5]q!II$3</f>
        <v>217.27</v>
      </c>
      <c r="IJ25" s="7">
        <f>[5]q!IJ$3</f>
        <v>218.03900000000002</v>
      </c>
      <c r="IK25" s="7">
        <f>[5]q!IK$3</f>
        <v>219.465</v>
      </c>
      <c r="IL25" s="7">
        <f>[5]q!IL$3</f>
        <v>222.274</v>
      </c>
      <c r="IM25" s="7">
        <f>[5]q!IM$3</f>
        <v>224.51400000000001</v>
      </c>
      <c r="IN25" s="7">
        <f>[5]q!IN$3</f>
        <v>226.21600000000001</v>
      </c>
      <c r="IO25" s="7" t="str">
        <f>IF(ISNUMBER('[4]Fortschreibung von Monatswerten'!IO17),'[4]Fortschreibung von Monatswerten'!IO17,"")</f>
        <v/>
      </c>
      <c r="IP25" s="7" t="str">
        <f>IF(ISNUMBER('[4]Fortschreibung von Monatswerten'!IP17),'[4]Fortschreibung von Monatswerten'!IP17,"")</f>
        <v/>
      </c>
      <c r="IQ25" s="7" t="str">
        <f>IF(ISNUMBER('[4]Fortschreibung von Monatswerten'!IQ17),'[4]Fortschreibung von Monatswerten'!IQ17,"")</f>
        <v/>
      </c>
      <c r="IR25" s="7" t="str">
        <f>IF(ISNUMBER('[4]Fortschreibung von Monatswerten'!IR17),'[4]Fortschreibung von Monatswerten'!IR17,"")</f>
        <v/>
      </c>
      <c r="IS25" s="7" t="str">
        <f>IF(ISNUMBER('[4]Fortschreibung von Monatswerten'!IS17),'[4]Fortschreibung von Monatswerten'!IS17,"")</f>
        <v/>
      </c>
      <c r="IT25" s="7" t="str">
        <f>IF(ISNUMBER('[4]Fortschreibung von Monatswerten'!IT17),'[4]Fortschreibung von Monatswerten'!IT17,"")</f>
        <v/>
      </c>
      <c r="IU25" s="7" t="str">
        <f>IF(ISNUMBER('[4]Fortschreibung von Monatswerten'!IU17),'[4]Fortschreibung von Monatswerten'!IU17,"")</f>
        <v/>
      </c>
      <c r="IV25" s="7" t="str">
        <f>IF(ISNUMBER('[4]Fortschreibung von Monatswerten'!IV17),'[4]Fortschreibung von Monatswerten'!IV17,"")</f>
        <v/>
      </c>
    </row>
    <row r="26" spans="1:256" s="6" customFormat="1" x14ac:dyDescent="0.25">
      <c r="A26" s="8" t="s">
        <v>30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>
        <f>[5]q!AD$5</f>
        <v>28.6</v>
      </c>
      <c r="AE26" s="7">
        <f>[5]q!AE$5</f>
        <v>28.833000000000002</v>
      </c>
      <c r="AF26" s="7">
        <f>[5]q!AF$5</f>
        <v>29.033000000000001</v>
      </c>
      <c r="AG26" s="7">
        <f>[5]q!AG$5</f>
        <v>29.266999999999999</v>
      </c>
      <c r="AH26" s="7">
        <f>[5]q!AH$5</f>
        <v>29.400000000000002</v>
      </c>
      <c r="AI26" s="7">
        <f>[5]q!AI$5</f>
        <v>29.533000000000001</v>
      </c>
      <c r="AJ26" s="7">
        <f>[5]q!AJ$5</f>
        <v>29.632999999999999</v>
      </c>
      <c r="AK26" s="7">
        <f>[5]q!AK$5</f>
        <v>29.8</v>
      </c>
      <c r="AL26" s="7">
        <f>[5]q!AL$5</f>
        <v>29.933</v>
      </c>
      <c r="AM26" s="7">
        <f>[5]q!AM$5</f>
        <v>30.1</v>
      </c>
      <c r="AN26" s="7">
        <f>[5]q!AN$5</f>
        <v>30.233000000000001</v>
      </c>
      <c r="AO26" s="7">
        <f>[5]q!AO$5</f>
        <v>30.433</v>
      </c>
      <c r="AP26" s="7">
        <f>[5]q!AP$5</f>
        <v>30.567</v>
      </c>
      <c r="AQ26" s="7">
        <f>[5]q!AQ$5</f>
        <v>30.632999999999999</v>
      </c>
      <c r="AR26" s="7">
        <f>[5]q!AR$5</f>
        <v>30.6</v>
      </c>
      <c r="AS26" s="7">
        <f>[5]q!AS$5</f>
        <v>30.766999999999999</v>
      </c>
      <c r="AT26" s="7">
        <f>[5]q!AT$5</f>
        <v>30.833000000000002</v>
      </c>
      <c r="AU26" s="7">
        <f>[5]q!AU$5</f>
        <v>30.933</v>
      </c>
      <c r="AV26" s="7">
        <f>[5]q!AV$5</f>
        <v>31.067</v>
      </c>
      <c r="AW26" s="7">
        <f>[5]q!AW$5</f>
        <v>31.167000000000002</v>
      </c>
      <c r="AX26" s="7">
        <f>[5]q!AX$5</f>
        <v>31.233000000000001</v>
      </c>
      <c r="AY26" s="7">
        <f>[5]q!AY$5</f>
        <v>31.367000000000001</v>
      </c>
      <c r="AZ26" s="7">
        <f>[5]q!AZ$5</f>
        <v>31.467000000000002</v>
      </c>
      <c r="BA26" s="7">
        <f>[5]q!BA$5</f>
        <v>31.533000000000001</v>
      </c>
      <c r="BB26" s="7">
        <f>[5]q!BB$5</f>
        <v>31.6</v>
      </c>
      <c r="BC26" s="7">
        <f>[5]q!BC$5</f>
        <v>31.733000000000001</v>
      </c>
      <c r="BD26" s="7">
        <f>[5]q!BD$5</f>
        <v>31.867000000000001</v>
      </c>
      <c r="BE26" s="7">
        <f>[5]q!BE$5</f>
        <v>32.033000000000001</v>
      </c>
      <c r="BF26" s="7">
        <f>[5]q!BF$5</f>
        <v>32.200000000000003</v>
      </c>
      <c r="BG26" s="7">
        <f>[5]q!BG$5</f>
        <v>32.233000000000004</v>
      </c>
      <c r="BH26" s="7">
        <f>[5]q!BH$5</f>
        <v>32.299999999999997</v>
      </c>
      <c r="BI26" s="7">
        <f>[5]q!BI$5</f>
        <v>32.466999999999999</v>
      </c>
      <c r="BJ26" s="7">
        <f>[5]q!BJ$5</f>
        <v>32.6</v>
      </c>
      <c r="BK26" s="7">
        <f>[5]q!BK$5</f>
        <v>32.700000000000003</v>
      </c>
      <c r="BL26" s="7">
        <f>[5]q!BL$5</f>
        <v>32.733000000000004</v>
      </c>
      <c r="BM26" s="7">
        <f>[5]q!BM$5</f>
        <v>32.9</v>
      </c>
      <c r="BN26" s="7">
        <f>[5]q!BN$5</f>
        <v>33.067</v>
      </c>
      <c r="BO26" s="7">
        <f>[5]q!BO$5</f>
        <v>33.4</v>
      </c>
      <c r="BP26" s="7">
        <f>[5]q!BP$5</f>
        <v>33.700000000000003</v>
      </c>
      <c r="BQ26" s="7">
        <f>[5]q!BQ$5</f>
        <v>34.033000000000001</v>
      </c>
      <c r="BR26" s="7">
        <f>[5]q!BR$5</f>
        <v>34.233000000000004</v>
      </c>
      <c r="BS26" s="7">
        <f>[5]q!BS$5</f>
        <v>34.5</v>
      </c>
      <c r="BT26" s="7">
        <f>[5]q!BT$5</f>
        <v>34.866999999999997</v>
      </c>
      <c r="BU26" s="7">
        <f>[5]q!BU$5</f>
        <v>35.233000000000004</v>
      </c>
      <c r="BV26" s="7">
        <f>[5]q!BV$5</f>
        <v>35.667000000000002</v>
      </c>
      <c r="BW26" s="7">
        <f>[5]q!BW$5</f>
        <v>36.033000000000001</v>
      </c>
      <c r="BX26" s="7">
        <f>[5]q!BX$5</f>
        <v>36.533000000000001</v>
      </c>
      <c r="BY26" s="7">
        <f>[5]q!BY$5</f>
        <v>37.067</v>
      </c>
      <c r="BZ26" s="7">
        <f>[5]q!BZ$5</f>
        <v>37.567</v>
      </c>
      <c r="CA26" s="7">
        <f>[5]q!CA$5</f>
        <v>38.167000000000002</v>
      </c>
      <c r="CB26" s="7">
        <f>[5]q!CB$5</f>
        <v>38.700000000000003</v>
      </c>
      <c r="CC26" s="7">
        <f>[5]q!CC$5</f>
        <v>39.233000000000004</v>
      </c>
      <c r="CD26" s="7">
        <f>[5]q!CD$5</f>
        <v>39.832999999999998</v>
      </c>
      <c r="CE26" s="7">
        <f>[5]q!CE$5</f>
        <v>40.567</v>
      </c>
      <c r="CF26" s="7">
        <f>[5]q!CF$5</f>
        <v>41.1</v>
      </c>
      <c r="CG26" s="7">
        <f>[5]q!CG$5</f>
        <v>41.767000000000003</v>
      </c>
      <c r="CH26" s="7">
        <f>[5]q!CH$5</f>
        <v>42.167000000000002</v>
      </c>
      <c r="CI26" s="7">
        <f>[5]q!CI$5</f>
        <v>42.6</v>
      </c>
      <c r="CJ26" s="7">
        <f>[5]q!CJ$5</f>
        <v>42.966999999999999</v>
      </c>
      <c r="CK26" s="7">
        <f>[5]q!CK$5</f>
        <v>43.2</v>
      </c>
      <c r="CL26" s="7">
        <f>[5]q!CL$5</f>
        <v>43.567</v>
      </c>
      <c r="CM26" s="7">
        <f>[5]q!CM$5</f>
        <v>43.9</v>
      </c>
      <c r="CN26" s="7">
        <f>[5]q!CN$5</f>
        <v>44.233000000000004</v>
      </c>
      <c r="CO26" s="7">
        <f>[5]q!CO$5</f>
        <v>44.466999999999999</v>
      </c>
      <c r="CP26" s="7">
        <f>[5]q!CP$5</f>
        <v>44.800000000000004</v>
      </c>
      <c r="CQ26" s="7">
        <f>[5]q!CQ$5</f>
        <v>45.267000000000003</v>
      </c>
      <c r="CR26" s="7">
        <f>[5]q!CR$5</f>
        <v>45.733000000000004</v>
      </c>
      <c r="CS26" s="7">
        <f>[5]q!CS$5</f>
        <v>46.5</v>
      </c>
      <c r="CT26" s="7">
        <f>[5]q!CT$5</f>
        <v>47.233000000000004</v>
      </c>
      <c r="CU26" s="7">
        <f>[5]q!CU$5</f>
        <v>48.466999999999999</v>
      </c>
      <c r="CV26" s="7">
        <f>[5]q!CV$5</f>
        <v>50.133000000000003</v>
      </c>
      <c r="CW26" s="7">
        <f>[5]q!CW$5</f>
        <v>51.6</v>
      </c>
      <c r="CX26" s="7">
        <f>[5]q!CX$5</f>
        <v>52.7</v>
      </c>
      <c r="CY26" s="7">
        <f>[5]q!CY$5</f>
        <v>53.533000000000001</v>
      </c>
      <c r="CZ26" s="7">
        <f>[5]q!CZ$5</f>
        <v>54.233000000000004</v>
      </c>
      <c r="DA26" s="7">
        <f>[5]q!DA$5</f>
        <v>55.167000000000002</v>
      </c>
      <c r="DB26" s="7">
        <f>[5]q!DB$5</f>
        <v>56.2</v>
      </c>
      <c r="DC26" s="7">
        <f>[5]q!DC$5</f>
        <v>56.966999999999999</v>
      </c>
      <c r="DD26" s="7">
        <f>[5]q!DD$5</f>
        <v>57.9</v>
      </c>
      <c r="DE26" s="7">
        <f>[5]q!DE$5</f>
        <v>58.7</v>
      </c>
      <c r="DF26" s="7">
        <f>[5]q!DF$5</f>
        <v>59.667000000000002</v>
      </c>
      <c r="DG26" s="7">
        <f>[5]q!DG$5</f>
        <v>60.633000000000003</v>
      </c>
      <c r="DH26" s="7">
        <f>[5]q!DH$5</f>
        <v>61.5</v>
      </c>
      <c r="DI26" s="7">
        <f>[5]q!DI$5</f>
        <v>62.332999999999998</v>
      </c>
      <c r="DJ26" s="7">
        <f>[5]q!DJ$5</f>
        <v>63.433</v>
      </c>
      <c r="DK26" s="7">
        <f>[5]q!DK$5</f>
        <v>64.733000000000004</v>
      </c>
      <c r="DL26" s="7">
        <f>[5]q!DL$5</f>
        <v>66.132999999999996</v>
      </c>
      <c r="DM26" s="7">
        <f>[5]q!DM$5</f>
        <v>67.599999999999994</v>
      </c>
      <c r="DN26" s="7">
        <f>[5]q!DN$5</f>
        <v>69.167000000000002</v>
      </c>
      <c r="DO26" s="7">
        <f>[5]q!DO$5</f>
        <v>70.8</v>
      </c>
      <c r="DP26" s="7">
        <f>[5]q!DP$5</f>
        <v>72.632999999999996</v>
      </c>
      <c r="DQ26" s="7">
        <f>[5]q!DQ$5</f>
        <v>74.832999999999998</v>
      </c>
      <c r="DR26" s="7">
        <f>[5]q!DR$5</f>
        <v>77.600000000000009</v>
      </c>
      <c r="DS26" s="7">
        <f>[5]q!DS$5</f>
        <v>80.2</v>
      </c>
      <c r="DT26" s="7">
        <f>[5]q!DT$5</f>
        <v>81.400000000000006</v>
      </c>
      <c r="DU26" s="7">
        <f>[5]q!DU$5</f>
        <v>83.933000000000007</v>
      </c>
      <c r="DV26" s="7">
        <f>[5]q!DV$5</f>
        <v>85.9</v>
      </c>
      <c r="DW26" s="7">
        <f>[5]q!DW$5</f>
        <v>87.8</v>
      </c>
      <c r="DX26" s="7">
        <f>[5]q!DX$5</f>
        <v>90.766999999999996</v>
      </c>
      <c r="DY26" s="7">
        <f>[5]q!DY$5</f>
        <v>92.533000000000001</v>
      </c>
      <c r="DZ26" s="7">
        <f>[5]q!DZ$5</f>
        <v>93.667000000000002</v>
      </c>
      <c r="EA26" s="7">
        <f>[5]q!EA$5</f>
        <v>95.4</v>
      </c>
      <c r="EB26" s="7">
        <f>[5]q!EB$5</f>
        <v>97</v>
      </c>
      <c r="EC26" s="7">
        <f>[5]q!EC$5</f>
        <v>97.332999999999998</v>
      </c>
      <c r="ED26" s="7">
        <f>[5]q!ED$5</f>
        <v>97.933000000000007</v>
      </c>
      <c r="EE26" s="7">
        <f>[5]q!EE$5</f>
        <v>98.9</v>
      </c>
      <c r="EF26" s="7">
        <f>[5]q!EF$5</f>
        <v>100.133</v>
      </c>
      <c r="EG26" s="7">
        <f>[5]q!EG$5</f>
        <v>101.43300000000001</v>
      </c>
      <c r="EH26" s="7">
        <f>[5]q!EH$5</f>
        <v>102.833</v>
      </c>
      <c r="EI26" s="7">
        <f>[5]q!EI$5</f>
        <v>104.10000000000001</v>
      </c>
      <c r="EJ26" s="7">
        <f>[5]q!EJ$5</f>
        <v>105.4</v>
      </c>
      <c r="EK26" s="7">
        <f>[5]q!EK$5</f>
        <v>106.467</v>
      </c>
      <c r="EL26" s="7">
        <f>[5]q!EL$5</f>
        <v>107.633</v>
      </c>
      <c r="EM26" s="7">
        <f>[5]q!EM$5</f>
        <v>108.767</v>
      </c>
      <c r="EN26" s="7">
        <f>[5]q!EN$5</f>
        <v>109.733</v>
      </c>
      <c r="EO26" s="7">
        <f>[5]q!EO$5</f>
        <v>111</v>
      </c>
      <c r="EP26" s="7">
        <f>[5]q!EP$5</f>
        <v>112.2</v>
      </c>
      <c r="EQ26" s="7">
        <f>[5]q!EQ$5</f>
        <v>113.133</v>
      </c>
      <c r="ER26" s="7">
        <f>[5]q!ER$5</f>
        <v>114.2</v>
      </c>
      <c r="ES26" s="7">
        <f>[5]q!ES$5</f>
        <v>115.3</v>
      </c>
      <c r="ET26" s="7">
        <f>[5]q!ET$5</f>
        <v>116.233</v>
      </c>
      <c r="EU26" s="7">
        <f>[5]q!EU$5</f>
        <v>117.633</v>
      </c>
      <c r="EV26" s="7">
        <f>[5]q!EV$5</f>
        <v>118.733</v>
      </c>
      <c r="EW26" s="7">
        <f>[5]q!EW$5</f>
        <v>120.10000000000001</v>
      </c>
      <c r="EX26" s="7">
        <f>[5]q!EX$5</f>
        <v>121.267</v>
      </c>
      <c r="EY26" s="7">
        <f>[5]q!EY$5</f>
        <v>122.733</v>
      </c>
      <c r="EZ26" s="7">
        <f>[5]q!EZ$5</f>
        <v>124.10000000000001</v>
      </c>
      <c r="FA26" s="7">
        <f>[5]q!FA$5</f>
        <v>125.60000000000001</v>
      </c>
      <c r="FB26" s="7">
        <f>[5]q!FB$5</f>
        <v>126.93300000000001</v>
      </c>
      <c r="FC26" s="7">
        <f>[5]q!FC$5</f>
        <v>128.30000000000001</v>
      </c>
      <c r="FD26" s="7">
        <f>[5]q!FD$5</f>
        <v>129.53300000000002</v>
      </c>
      <c r="FE26" s="7">
        <f>[5]q!FE$5</f>
        <v>131.1</v>
      </c>
      <c r="FF26" s="7">
        <f>[5]q!FF$5</f>
        <v>132.767</v>
      </c>
      <c r="FG26" s="7">
        <f>[5]q!FG$5</f>
        <v>134.5</v>
      </c>
      <c r="FH26" s="7">
        <f>[5]q!FH$5</f>
        <v>136.5</v>
      </c>
      <c r="FI26" s="7">
        <f>[5]q!FI$5</f>
        <v>138.06700000000001</v>
      </c>
      <c r="FJ26" s="7">
        <f>[5]q!FJ$5</f>
        <v>140.06700000000001</v>
      </c>
      <c r="FK26" s="7">
        <f>[5]q!FK$5</f>
        <v>141.333</v>
      </c>
      <c r="FL26" s="7">
        <f>[5]q!FL$5</f>
        <v>142.86699999999999</v>
      </c>
      <c r="FM26" s="7">
        <f>[5]q!FM$5</f>
        <v>144.20000000000002</v>
      </c>
      <c r="FN26" s="7">
        <f>[5]q!FN$5</f>
        <v>145.46700000000001</v>
      </c>
      <c r="FO26" s="7">
        <f>[5]q!FO$5</f>
        <v>146.733</v>
      </c>
      <c r="FP26" s="7">
        <f>[5]q!FP$5</f>
        <v>147.86699999999999</v>
      </c>
      <c r="FQ26" s="7">
        <f>[5]q!FQ$5</f>
        <v>149.20000000000002</v>
      </c>
      <c r="FR26" s="7">
        <f>[5]q!FR$5</f>
        <v>150.5</v>
      </c>
      <c r="FS26" s="7">
        <f>[5]q!FS$5</f>
        <v>151.767</v>
      </c>
      <c r="FT26" s="7">
        <f>[5]q!FT$5</f>
        <v>152.667</v>
      </c>
      <c r="FU26" s="7">
        <f>[5]q!FU$5</f>
        <v>153.86699999999999</v>
      </c>
      <c r="FV26" s="7">
        <f>[5]q!FV$5</f>
        <v>154.86699999999999</v>
      </c>
      <c r="FW26" s="7">
        <f>[5]q!FW$5</f>
        <v>155.93299999999999</v>
      </c>
      <c r="FX26" s="7">
        <f>[5]q!FX$5</f>
        <v>157.1</v>
      </c>
      <c r="FY26" s="7">
        <f>[5]q!FY$5</f>
        <v>158.1</v>
      </c>
      <c r="FZ26" s="7">
        <f>[5]q!FZ$5</f>
        <v>159.43299999999999</v>
      </c>
      <c r="GA26" s="7">
        <f>[5]q!GA$5</f>
        <v>160.733</v>
      </c>
      <c r="GB26" s="7">
        <f>[5]q!GB$5</f>
        <v>161.80000000000001</v>
      </c>
      <c r="GC26" s="7">
        <f>[5]q!GC$5</f>
        <v>162.93299999999999</v>
      </c>
      <c r="GD26" s="7">
        <f>[5]q!GD$5</f>
        <v>164.03300000000002</v>
      </c>
      <c r="GE26" s="7">
        <f>[5]q!GE$5</f>
        <v>165</v>
      </c>
      <c r="GF26" s="7">
        <f>[5]q!GF$5</f>
        <v>166.06700000000001</v>
      </c>
      <c r="GG26" s="7">
        <f>[5]q!GG$5</f>
        <v>167.13300000000001</v>
      </c>
      <c r="GH26" s="7">
        <f>[5]q!GH$5</f>
        <v>168.1</v>
      </c>
      <c r="GI26" s="7">
        <f>[5]q!GI$5</f>
        <v>169.167</v>
      </c>
      <c r="GJ26" s="7">
        <f>[5]q!GJ$5</f>
        <v>169.9</v>
      </c>
      <c r="GK26" s="7">
        <f>[5]q!GK$5</f>
        <v>170.86699999999999</v>
      </c>
      <c r="GL26" s="7">
        <f>[5]q!GL$5</f>
        <v>171.9</v>
      </c>
      <c r="GM26" s="7">
        <f>[5]q!GM$5</f>
        <v>172.86699999999999</v>
      </c>
      <c r="GN26" s="7">
        <f>[5]q!GN$5</f>
        <v>173.9</v>
      </c>
      <c r="GO26" s="7">
        <f>[5]q!GO$5</f>
        <v>174.86699999999999</v>
      </c>
      <c r="GP26" s="7">
        <f>[5]q!GP$5</f>
        <v>175.63300000000001</v>
      </c>
      <c r="GQ26" s="7">
        <f>[5]q!GQ$5</f>
        <v>176.46700000000001</v>
      </c>
      <c r="GR26" s="7">
        <f>[5]q!GR$5</f>
        <v>177.4</v>
      </c>
      <c r="GS26" s="7">
        <f>[5]q!GS$5</f>
        <v>178.4</v>
      </c>
      <c r="GT26" s="7">
        <f>[5]q!GT$5</f>
        <v>179.56700000000001</v>
      </c>
      <c r="GU26" s="7">
        <f>[5]q!GU$5</f>
        <v>180.70000000000002</v>
      </c>
      <c r="GV26" s="7">
        <f>[5]q!GV$5</f>
        <v>181.9</v>
      </c>
      <c r="GW26" s="7">
        <f>[5]q!GW$5</f>
        <v>183</v>
      </c>
      <c r="GX26" s="7">
        <f>[5]q!GX$5</f>
        <v>184.333</v>
      </c>
      <c r="GY26" s="7">
        <f>[5]q!GY$5</f>
        <v>185.46700000000001</v>
      </c>
      <c r="GZ26" s="7">
        <f>[5]q!GZ$5</f>
        <v>186.733</v>
      </c>
      <c r="HA26" s="7">
        <f>[5]q!HA$5</f>
        <v>187.96700000000001</v>
      </c>
      <c r="HB26" s="7">
        <f>[5]q!HB$5</f>
        <v>189</v>
      </c>
      <c r="HC26" s="7">
        <f>[5]q!HC$5</f>
        <v>189.96700000000001</v>
      </c>
      <c r="HD26" s="7">
        <f>[5]q!HD$5</f>
        <v>190.96700000000001</v>
      </c>
      <c r="HE26" s="7">
        <f>[5]q!HE$5</f>
        <v>191.833</v>
      </c>
      <c r="HF26" s="7">
        <f>[5]q!HF$5</f>
        <v>192.46700000000001</v>
      </c>
      <c r="HG26" s="7">
        <f>[5]q!HG$5</f>
        <v>192.8</v>
      </c>
      <c r="HH26" s="7">
        <f>[5]q!HH$5</f>
        <v>193.56700000000001</v>
      </c>
      <c r="HI26" s="7">
        <f>[5]q!HI$5</f>
        <v>194.06700000000001</v>
      </c>
      <c r="HJ26" s="7">
        <f>[5]q!HJ$5</f>
        <v>195</v>
      </c>
      <c r="HK26" s="7">
        <f>[5]q!HK$5</f>
        <v>196.233</v>
      </c>
      <c r="HL26" s="7">
        <f>[5]q!HL$5</f>
        <v>197.06700000000001</v>
      </c>
      <c r="HM26" s="7">
        <f>[5]q!HM$5</f>
        <v>198.267</v>
      </c>
      <c r="HN26" s="7">
        <f>[5]q!HN$5</f>
        <v>199.5</v>
      </c>
      <c r="HO26" s="7">
        <f>[5]q!HO$5</f>
        <v>200.43299999999999</v>
      </c>
      <c r="HP26" s="7">
        <f>[5]q!HP$5</f>
        <v>201.1</v>
      </c>
      <c r="HQ26" s="7">
        <f>[5]q!HQ$5</f>
        <v>202.43299999999999</v>
      </c>
      <c r="HR26" s="7">
        <f>[5]q!HR$5</f>
        <v>203.70000000000002</v>
      </c>
      <c r="HS26" s="7">
        <f>[5]q!HS$5</f>
        <v>205.36699999999999</v>
      </c>
      <c r="HT26" s="7">
        <f>[5]q!HT$5</f>
        <v>206.767</v>
      </c>
      <c r="HU26" s="7">
        <f>[5]q!HU$5</f>
        <v>207.833</v>
      </c>
      <c r="HV26" s="7">
        <f>[5]q!HV$5</f>
        <v>209.01</v>
      </c>
      <c r="HW26" s="7">
        <f>[5]q!HW$5</f>
        <v>210.071</v>
      </c>
      <c r="HX26" s="7">
        <f>[5]q!HX$5</f>
        <v>211.19300000000001</v>
      </c>
      <c r="HY26" s="7">
        <f>[5]q!HY$5</f>
        <v>212.63499999999999</v>
      </c>
      <c r="HZ26" s="7">
        <f>[5]q!HZ$5</f>
        <v>213.97800000000001</v>
      </c>
      <c r="IA26" s="7">
        <f>[5]q!IA$5</f>
        <v>214.97300000000001</v>
      </c>
      <c r="IB26" s="7">
        <f>[5]q!IB$5</f>
        <v>216.45699999999999</v>
      </c>
      <c r="IC26" s="7">
        <f>[5]q!IC$5</f>
        <v>216.85900000000001</v>
      </c>
      <c r="ID26" s="7">
        <f>[5]q!ID$5</f>
        <v>217.71</v>
      </c>
      <c r="IE26" s="7">
        <f>[5]q!IE$5</f>
        <v>218.916</v>
      </c>
      <c r="IF26" s="7">
        <f>[5]q!IF$5</f>
        <v>219.691</v>
      </c>
      <c r="IG26" s="7">
        <f>[5]q!IG$5</f>
        <v>220.62899999999999</v>
      </c>
      <c r="IH26" s="7">
        <f>[5]q!IH$5</f>
        <v>220.60300000000001</v>
      </c>
      <c r="II26" s="7">
        <f>[5]q!II$5</f>
        <v>221.053</v>
      </c>
      <c r="IJ26" s="7">
        <f>[5]q!IJ$5</f>
        <v>221.67099999999999</v>
      </c>
      <c r="IK26" s="7">
        <f>[5]q!IK$5</f>
        <v>222.02100000000002</v>
      </c>
      <c r="IL26" s="7">
        <f>[5]q!IL$5</f>
        <v>222.982</v>
      </c>
      <c r="IM26" s="7">
        <f>[5]q!IM$5</f>
        <v>224.363</v>
      </c>
      <c r="IN26" s="7">
        <f>[5]q!IN$5</f>
        <v>225.87100000000001</v>
      </c>
      <c r="IO26" s="7" t="str">
        <f>IF(ISNUMBER('[4]Fortschreibung von Monatswerten'!IO18),'[4]Fortschreibung von Monatswerten'!IO18,"")</f>
        <v/>
      </c>
      <c r="IP26" s="7" t="str">
        <f>IF(ISNUMBER('[4]Fortschreibung von Monatswerten'!IP18),'[4]Fortschreibung von Monatswerten'!IP18,"")</f>
        <v/>
      </c>
      <c r="IQ26" s="7" t="str">
        <f>IF(ISNUMBER('[4]Fortschreibung von Monatswerten'!IQ18),'[4]Fortschreibung von Monatswerten'!IQ18,"")</f>
        <v/>
      </c>
      <c r="IR26" s="7" t="str">
        <f>IF(ISNUMBER('[4]Fortschreibung von Monatswerten'!IR18),'[4]Fortschreibung von Monatswerten'!IR18,"")</f>
        <v/>
      </c>
      <c r="IS26" s="7" t="str">
        <f>IF(ISNUMBER('[4]Fortschreibung von Monatswerten'!IS18),'[4]Fortschreibung von Monatswerten'!IS18,"")</f>
        <v/>
      </c>
      <c r="IT26" s="7" t="str">
        <f>IF(ISNUMBER('[4]Fortschreibung von Monatswerten'!IT18),'[4]Fortschreibung von Monatswerten'!IT18,"")</f>
        <v/>
      </c>
      <c r="IU26" s="7" t="str">
        <f>IF(ISNUMBER('[4]Fortschreibung von Monatswerten'!IU18),'[4]Fortschreibung von Monatswerten'!IU18,"")</f>
        <v/>
      </c>
      <c r="IV26" s="7" t="str">
        <f>IF(ISNUMBER('[4]Fortschreibung von Monatswerten'!IV18),'[4]Fortschreibung von Monatswerten'!IV18,"")</f>
        <v/>
      </c>
    </row>
    <row r="27" spans="1:256" s="6" customFormat="1" x14ac:dyDescent="0.25">
      <c r="A27" s="8" t="s">
        <v>29</v>
      </c>
      <c r="B27" s="7"/>
      <c r="C27" s="7">
        <f>'[4]Fortschreibung von Monatswerten'!C19</f>
        <v>26.366666666666664</v>
      </c>
      <c r="D27" s="7">
        <f>'[4]Fortschreibung von Monatswerten'!D19</f>
        <v>27.866666666666671</v>
      </c>
      <c r="E27" s="7">
        <f>'[4]Fortschreibung von Monatswerten'!E19</f>
        <v>29.100000000000005</v>
      </c>
      <c r="F27" s="7">
        <f>'[4]Fortschreibung von Monatswerten'!F19</f>
        <v>30.766666666666669</v>
      </c>
      <c r="G27" s="7">
        <f>'[4]Fortschreibung von Monatswerten'!G19</f>
        <v>30.666666666666668</v>
      </c>
      <c r="H27" s="7">
        <f>'[4]Fortschreibung von Monatswerten'!H19</f>
        <v>30.166666666666668</v>
      </c>
      <c r="I27" s="7">
        <f>'[4]Fortschreibung von Monatswerten'!I19</f>
        <v>30.100000000000005</v>
      </c>
      <c r="J27" s="7">
        <f>'[4]Fortschreibung von Monatswerten'!J19</f>
        <v>29.866666666666664</v>
      </c>
      <c r="K27" s="7">
        <f>'[4]Fortschreibung von Monatswerten'!K19</f>
        <v>29.566666666666666</v>
      </c>
      <c r="L27" s="7">
        <f>'[4]Fortschreibung von Monatswerten'!L19</f>
        <v>29.666666666666668</v>
      </c>
      <c r="M27" s="7">
        <f>'[4]Fortschreibung von Monatswerten'!M19</f>
        <v>29.3</v>
      </c>
      <c r="N27" s="7">
        <f>'[4]Fortschreibung von Monatswerten'!N19</f>
        <v>29.133333333333336</v>
      </c>
      <c r="O27" s="7">
        <f>'[4]Fortschreibung von Monatswerten'!O19</f>
        <v>29.033333333333331</v>
      </c>
      <c r="P27" s="7">
        <f>'[4]Fortschreibung von Monatswerten'!P19</f>
        <v>29.366666666666671</v>
      </c>
      <c r="Q27" s="7">
        <f>'[4]Fortschreibung von Monatswerten'!Q19</f>
        <v>29.166666666666668</v>
      </c>
      <c r="R27" s="7">
        <f>'[4]Fortschreibung von Monatswerten'!R19</f>
        <v>29.333333333333332</v>
      </c>
      <c r="S27" s="7">
        <f>'[4]Fortschreibung von Monatswerten'!S19</f>
        <v>29.333333333333339</v>
      </c>
      <c r="T27" s="7">
        <f>'[4]Fortschreibung von Monatswerten'!T19</f>
        <v>29.266666666666666</v>
      </c>
      <c r="U27" s="7">
        <f>'[4]Fortschreibung von Monatswerten'!U19</f>
        <v>29.100000000000005</v>
      </c>
      <c r="V27" s="7">
        <f>'[4]Fortschreibung von Monatswerten'!V19</f>
        <v>29.233333333333334</v>
      </c>
      <c r="W27" s="7">
        <f>'[4]Fortschreibung von Monatswerten'!W19</f>
        <v>29.233333333333334</v>
      </c>
      <c r="X27" s="7">
        <f>[5]q!X$18</f>
        <v>29.400000000000002</v>
      </c>
      <c r="Y27" s="7">
        <f>[5]q!Y$18</f>
        <v>29.5</v>
      </c>
      <c r="Z27" s="7">
        <f>[5]q!Z$18</f>
        <v>29.8</v>
      </c>
      <c r="AA27" s="7">
        <f>[5]q!AA$18</f>
        <v>30.200000000000003</v>
      </c>
      <c r="AB27" s="7">
        <f>[5]q!AB$18</f>
        <v>30.400000000000002</v>
      </c>
      <c r="AC27" s="7">
        <f>[5]q!AC$18</f>
        <v>30.700000000000003</v>
      </c>
      <c r="AD27" s="7">
        <f>[5]q!AD$18</f>
        <v>31</v>
      </c>
      <c r="AE27" s="7">
        <f>[5]q!AE$18</f>
        <v>31.1</v>
      </c>
      <c r="AF27" s="7">
        <f>[5]q!AF$18</f>
        <v>31.3</v>
      </c>
      <c r="AG27" s="7">
        <f>[5]q!AG$18</f>
        <v>31.3</v>
      </c>
      <c r="AH27" s="7">
        <f>[5]q!AH$18</f>
        <v>31.6</v>
      </c>
      <c r="AI27" s="7">
        <f>[5]q!AI$18</f>
        <v>31.6</v>
      </c>
      <c r="AJ27" s="7">
        <f>[5]q!AJ$18</f>
        <v>31.6</v>
      </c>
      <c r="AK27" s="7">
        <f>[5]q!AK$18</f>
        <v>31.6</v>
      </c>
      <c r="AL27" s="7">
        <f>[5]q!AL$18</f>
        <v>31.700000000000003</v>
      </c>
      <c r="AM27" s="7">
        <f>[5]q!AM$18</f>
        <v>31.8</v>
      </c>
      <c r="AN27" s="7">
        <f>[5]q!AN$18</f>
        <v>31.700000000000003</v>
      </c>
      <c r="AO27" s="7">
        <f>[5]q!AO$18</f>
        <v>31.5</v>
      </c>
      <c r="AP27" s="7">
        <f>[5]q!AP$18</f>
        <v>31.700000000000003</v>
      </c>
      <c r="AQ27" s="7">
        <f>[5]q!AQ$18</f>
        <v>31.700000000000003</v>
      </c>
      <c r="AR27" s="7">
        <f>[5]q!AR$18</f>
        <v>31.6</v>
      </c>
      <c r="AS27" s="7">
        <f>[5]q!AS$18</f>
        <v>31.700000000000003</v>
      </c>
      <c r="AT27" s="7">
        <f>[5]q!AT$18</f>
        <v>31.8</v>
      </c>
      <c r="AU27" s="7">
        <f>[5]q!AU$18</f>
        <v>31.5</v>
      </c>
      <c r="AV27" s="7">
        <f>[5]q!AV$18</f>
        <v>31.5</v>
      </c>
      <c r="AW27" s="7">
        <f>[5]q!AW$18</f>
        <v>31.5</v>
      </c>
      <c r="AX27" s="7">
        <f>[5]q!AX$18</f>
        <v>31.700000000000003</v>
      </c>
      <c r="AY27" s="7">
        <f>[5]q!AY$18</f>
        <v>31.5</v>
      </c>
      <c r="AZ27" s="7">
        <f>[5]q!AZ$18</f>
        <v>31.700000000000003</v>
      </c>
      <c r="BA27" s="7">
        <f>[5]q!BA$18</f>
        <v>31.700000000000003</v>
      </c>
      <c r="BB27" s="7">
        <f>[5]q!BB$18</f>
        <v>31.5</v>
      </c>
      <c r="BC27" s="7">
        <f>[5]q!BC$18</f>
        <v>31.5</v>
      </c>
      <c r="BD27" s="7">
        <f>[5]q!BD$18</f>
        <v>31.6</v>
      </c>
      <c r="BE27" s="7">
        <f>[5]q!BE$18</f>
        <v>31.6</v>
      </c>
      <c r="BF27" s="7">
        <f>[5]q!BF$18</f>
        <v>31.700000000000003</v>
      </c>
      <c r="BG27" s="7">
        <f>[5]q!BG$18</f>
        <v>31.5</v>
      </c>
      <c r="BH27" s="7">
        <f>[5]q!BH$18</f>
        <v>31.6</v>
      </c>
      <c r="BI27" s="7">
        <f>[5]q!BI$18</f>
        <v>31.700000000000003</v>
      </c>
      <c r="BJ27" s="7">
        <f>[5]q!BJ$18</f>
        <v>31.900000000000002</v>
      </c>
      <c r="BK27" s="7">
        <f>[5]q!BK$18</f>
        <v>32.200000000000003</v>
      </c>
      <c r="BL27" s="7">
        <f>[5]q!BL$18</f>
        <v>32.4</v>
      </c>
      <c r="BM27" s="7">
        <f>[5]q!BM$18</f>
        <v>32.6</v>
      </c>
      <c r="BN27" s="7">
        <f>[5]q!BN$18</f>
        <v>33.1</v>
      </c>
      <c r="BO27" s="7">
        <f>[5]q!BO$18</f>
        <v>33.200000000000003</v>
      </c>
      <c r="BP27" s="7">
        <f>[5]q!BP$18</f>
        <v>33.6</v>
      </c>
      <c r="BQ27" s="7">
        <f>[5]q!BQ$18</f>
        <v>33.300000000000004</v>
      </c>
      <c r="BR27" s="7">
        <f>[5]q!BR$18</f>
        <v>33.4</v>
      </c>
      <c r="BS27" s="7">
        <f>[5]q!BS$18</f>
        <v>33.300000000000004</v>
      </c>
      <c r="BT27" s="7">
        <f>[5]q!BT$18</f>
        <v>33.4</v>
      </c>
      <c r="BU27" s="7">
        <f>[5]q!BU$18</f>
        <v>33.5</v>
      </c>
      <c r="BV27" s="7">
        <f>[5]q!BV$18</f>
        <v>34</v>
      </c>
      <c r="BW27" s="7">
        <f>[5]q!BW$18</f>
        <v>34.200000000000003</v>
      </c>
      <c r="BX27" s="7">
        <f>[5]q!BX$18</f>
        <v>34.300000000000004</v>
      </c>
      <c r="BY27" s="7">
        <f>[5]q!BY$18</f>
        <v>34.5</v>
      </c>
      <c r="BZ27" s="7">
        <f>[5]q!BZ$18</f>
        <v>35</v>
      </c>
      <c r="CA27" s="7">
        <f>[5]q!CA$18</f>
        <v>35.5</v>
      </c>
      <c r="CB27" s="7">
        <f>[5]q!CB$18</f>
        <v>35.800000000000004</v>
      </c>
      <c r="CC27" s="7">
        <f>[5]q!CC$18</f>
        <v>36.1</v>
      </c>
      <c r="CD27" s="7">
        <f>[5]q!CD$18</f>
        <v>36.6</v>
      </c>
      <c r="CE27" s="7">
        <f>[5]q!CE$18</f>
        <v>36.800000000000004</v>
      </c>
      <c r="CF27" s="7">
        <f>[5]q!CF$18</f>
        <v>37</v>
      </c>
      <c r="CG27" s="7">
        <f>[5]q!CG$18</f>
        <v>37.1</v>
      </c>
      <c r="CH27" s="7">
        <f>[5]q!CH$18</f>
        <v>37.6</v>
      </c>
      <c r="CI27" s="7">
        <f>[5]q!CI$18</f>
        <v>38.1</v>
      </c>
      <c r="CJ27" s="7">
        <f>[5]q!CJ$18</f>
        <v>38.400000000000006</v>
      </c>
      <c r="CK27" s="7">
        <f>[5]q!CK$18</f>
        <v>38.400000000000006</v>
      </c>
      <c r="CL27" s="7">
        <f>[5]q!CL$18</f>
        <v>39.1</v>
      </c>
      <c r="CM27" s="7">
        <f>[5]q!CM$18</f>
        <v>39.5</v>
      </c>
      <c r="CN27" s="7">
        <f>[5]q!CN$18</f>
        <v>40.1</v>
      </c>
      <c r="CO27" s="7">
        <f>[5]q!CO$18</f>
        <v>40.5</v>
      </c>
      <c r="CP27" s="7">
        <f>[5]q!CP$18</f>
        <v>42.5</v>
      </c>
      <c r="CQ27" s="7">
        <f>[5]q!CQ$18</f>
        <v>44.5</v>
      </c>
      <c r="CR27" s="7">
        <f>[5]q!CR$18</f>
        <v>46.400000000000006</v>
      </c>
      <c r="CS27" s="7">
        <f>[5]q!CS$18</f>
        <v>46.7</v>
      </c>
      <c r="CT27" s="7">
        <f>[5]q!CT$18</f>
        <v>49.900000000000006</v>
      </c>
      <c r="CU27" s="7">
        <f>[5]q!CU$18</f>
        <v>51.6</v>
      </c>
      <c r="CV27" s="7">
        <f>[5]q!CV$18</f>
        <v>55.300000000000004</v>
      </c>
      <c r="CW27" s="7">
        <f>[5]q!CW$18</f>
        <v>57.2</v>
      </c>
      <c r="CX27" s="7">
        <f>[5]q!CX$18</f>
        <v>57.2</v>
      </c>
      <c r="CY27" s="7">
        <f>[5]q!CY$18</f>
        <v>57.800000000000004</v>
      </c>
      <c r="CZ27" s="7">
        <f>[5]q!CZ$18</f>
        <v>59</v>
      </c>
      <c r="DA27" s="7">
        <f>[5]q!DA$18</f>
        <v>59.7</v>
      </c>
      <c r="DB27" s="7">
        <f>[5]q!DB$18</f>
        <v>59.900000000000006</v>
      </c>
      <c r="DC27" s="7">
        <f>[5]q!DC$18</f>
        <v>60.900000000000006</v>
      </c>
      <c r="DD27" s="7">
        <f>[5]q!DD$18</f>
        <v>61.6</v>
      </c>
      <c r="DE27" s="7">
        <f>[5]q!DE$18</f>
        <v>62.1</v>
      </c>
      <c r="DF27" s="7">
        <f>[5]q!DF$18</f>
        <v>63.5</v>
      </c>
      <c r="DG27" s="7">
        <f>[5]q!DG$18</f>
        <v>65</v>
      </c>
      <c r="DH27" s="7">
        <f>[5]q!DH$18</f>
        <v>65.100000000000009</v>
      </c>
      <c r="DI27" s="7">
        <f>[5]q!DI$18</f>
        <v>65.900000000000006</v>
      </c>
      <c r="DJ27" s="7">
        <f>[5]q!DJ$18</f>
        <v>67.5</v>
      </c>
      <c r="DK27" s="7">
        <f>[5]q!DK$18</f>
        <v>69.5</v>
      </c>
      <c r="DL27" s="7">
        <f>[5]q!DL$18</f>
        <v>70.600000000000009</v>
      </c>
      <c r="DM27" s="7">
        <f>[5]q!DM$18</f>
        <v>72.2</v>
      </c>
      <c r="DN27" s="7">
        <f>[5]q!DN$18</f>
        <v>74.8</v>
      </c>
      <c r="DO27" s="7">
        <f>[5]q!DO$18</f>
        <v>77.5</v>
      </c>
      <c r="DP27" s="7">
        <f>[5]q!DP$18</f>
        <v>79.900000000000006</v>
      </c>
      <c r="DQ27" s="7">
        <f>[5]q!DQ$18</f>
        <v>82.7</v>
      </c>
      <c r="DR27" s="7">
        <f>[5]q!DR$18</f>
        <v>86.5</v>
      </c>
      <c r="DS27" s="7">
        <f>[5]q!DS$18</f>
        <v>88.300000000000011</v>
      </c>
      <c r="DT27" s="7">
        <f>[5]q!DT$18</f>
        <v>91.2</v>
      </c>
      <c r="DU27" s="7">
        <f>[5]q!DU$18</f>
        <v>93.300000000000011</v>
      </c>
      <c r="DV27" s="7">
        <f>[5]q!DV$18</f>
        <v>96.100000000000009</v>
      </c>
      <c r="DW27" s="7">
        <f>[5]q!DW$18</f>
        <v>98.300000000000011</v>
      </c>
      <c r="DX27" s="7">
        <f>[5]q!DX$18</f>
        <v>98.9</v>
      </c>
      <c r="DY27" s="7">
        <f>[5]q!DY$18</f>
        <v>98.800000000000011</v>
      </c>
      <c r="DZ27" s="7">
        <f>[5]q!DZ$18</f>
        <v>99.7</v>
      </c>
      <c r="EA27" s="7">
        <f>[5]q!EA$18</f>
        <v>99.800000000000011</v>
      </c>
      <c r="EB27" s="7">
        <f>[5]q!EB$18</f>
        <v>100.2</v>
      </c>
      <c r="EC27" s="7">
        <f>[5]q!EC$18</f>
        <v>100.30000000000001</v>
      </c>
      <c r="ED27" s="7">
        <f>[5]q!ED$18</f>
        <v>100.4</v>
      </c>
      <c r="EE27" s="7">
        <f>[5]q!EE$18</f>
        <v>100.7</v>
      </c>
      <c r="EF27" s="7">
        <f>[5]q!EF$18</f>
        <v>101.7</v>
      </c>
      <c r="EG27" s="7">
        <f>[5]q!EG$18</f>
        <v>102.2</v>
      </c>
      <c r="EH27" s="7">
        <f>[5]q!EH$18</f>
        <v>103.30000000000001</v>
      </c>
      <c r="EI27" s="7">
        <f>[5]q!EI$18</f>
        <v>104</v>
      </c>
      <c r="EJ27" s="7">
        <f>[5]q!EJ$18</f>
        <v>103.80000000000001</v>
      </c>
      <c r="EK27" s="7">
        <f>[5]q!EK$18</f>
        <v>103.5</v>
      </c>
      <c r="EL27" s="7">
        <f>[5]q!EL$18</f>
        <v>103.30000000000001</v>
      </c>
      <c r="EM27" s="7">
        <f>[5]q!EM$18</f>
        <v>103.4</v>
      </c>
      <c r="EN27" s="7">
        <f>[5]q!EN$18</f>
        <v>102.7</v>
      </c>
      <c r="EO27" s="7">
        <f>[5]q!EO$18</f>
        <v>103.30000000000001</v>
      </c>
      <c r="EP27" s="7">
        <f>[5]q!EP$18</f>
        <v>101.7</v>
      </c>
      <c r="EQ27" s="7">
        <f>[5]q!EQ$18</f>
        <v>99.800000000000011</v>
      </c>
      <c r="ER27" s="7">
        <f>[5]q!ER$18</f>
        <v>99.4</v>
      </c>
      <c r="ES27" s="7">
        <f>[5]q!ES$18</f>
        <v>99.7</v>
      </c>
      <c r="ET27" s="7">
        <f>[5]q!ET$18</f>
        <v>100.9</v>
      </c>
      <c r="EU27" s="7">
        <f>[5]q!EU$18</f>
        <v>102.5</v>
      </c>
      <c r="EV27" s="7">
        <f>[5]q!EV$18</f>
        <v>103.7</v>
      </c>
      <c r="EW27" s="7">
        <f>[5]q!EW$18</f>
        <v>104.2</v>
      </c>
      <c r="EX27" s="7">
        <f>[5]q!EX$18</f>
        <v>104.80000000000001</v>
      </c>
      <c r="EY27" s="7">
        <f>[5]q!EY$18</f>
        <v>106.5</v>
      </c>
      <c r="EZ27" s="7">
        <f>[5]q!EZ$18</f>
        <v>108</v>
      </c>
      <c r="FA27" s="7">
        <f>[5]q!FA$18</f>
        <v>108.5</v>
      </c>
      <c r="FB27" s="7">
        <f>[5]q!FB$18</f>
        <v>110.9</v>
      </c>
      <c r="FC27" s="7">
        <f>[5]q!FC$18</f>
        <v>112.80000000000001</v>
      </c>
      <c r="FD27" s="7">
        <f>[5]q!FD$18</f>
        <v>112.4</v>
      </c>
      <c r="FE27" s="7">
        <f>[5]q!FE$18</f>
        <v>112.80000000000001</v>
      </c>
      <c r="FF27" s="7">
        <f>[5]q!FF$18</f>
        <v>114.5</v>
      </c>
      <c r="FG27" s="7">
        <f>[5]q!FG$18</f>
        <v>114.30000000000001</v>
      </c>
      <c r="FH27" s="7">
        <f>[5]q!FH$18</f>
        <v>116.5</v>
      </c>
      <c r="FI27" s="7">
        <f>[5]q!FI$18</f>
        <v>119.9</v>
      </c>
      <c r="FJ27" s="7">
        <f>[5]q!FJ$18</f>
        <v>117.5</v>
      </c>
      <c r="FK27" s="7">
        <f>[5]q!FK$18</f>
        <v>116.30000000000001</v>
      </c>
      <c r="FL27" s="7">
        <f>[5]q!FL$18</f>
        <v>116.10000000000001</v>
      </c>
      <c r="FM27" s="7">
        <f>[5]q!FM$18</f>
        <v>116.2</v>
      </c>
      <c r="FN27" s="7">
        <f>[5]q!FN$18</f>
        <v>115.9</v>
      </c>
      <c r="FO27" s="7">
        <f>[5]q!FO$18</f>
        <v>117.2</v>
      </c>
      <c r="FP27" s="7">
        <f>[5]q!FP$18</f>
        <v>117.9</v>
      </c>
      <c r="FQ27" s="7">
        <f>[5]q!FQ$18</f>
        <v>117.80000000000001</v>
      </c>
      <c r="FR27" s="7">
        <f>[5]q!FR$18</f>
        <v>118.4</v>
      </c>
      <c r="FS27" s="7">
        <f>[5]q!FS$18</f>
        <v>119.5</v>
      </c>
      <c r="FT27" s="7">
        <f>[5]q!FT$18</f>
        <v>118.9</v>
      </c>
      <c r="FU27" s="7">
        <f>[5]q!FU$18</f>
        <v>118.9</v>
      </c>
      <c r="FV27" s="7">
        <f>[5]q!FV$18</f>
        <v>119.4</v>
      </c>
      <c r="FW27" s="7">
        <f>[5]q!FW$18</f>
        <v>120</v>
      </c>
      <c r="FX27" s="7">
        <f>[5]q!FX$18</f>
        <v>121</v>
      </c>
      <c r="FY27" s="7">
        <f>[5]q!FY$18</f>
        <v>121.4</v>
      </c>
      <c r="FZ27" s="7">
        <f>[5]q!FZ$18</f>
        <v>123.4</v>
      </c>
      <c r="GA27" s="7">
        <f>[5]q!GA$18</f>
        <v>124.9</v>
      </c>
      <c r="GB27" s="7">
        <f>[5]q!GB$18</f>
        <v>125.2</v>
      </c>
      <c r="GC27" s="7">
        <f>[5]q!GC$18</f>
        <v>125.5</v>
      </c>
      <c r="GD27" s="7">
        <f>[5]q!GD$18</f>
        <v>126.30000000000001</v>
      </c>
      <c r="GE27" s="7">
        <f>[5]q!GE$18</f>
        <v>127.80000000000001</v>
      </c>
      <c r="GF27" s="7">
        <f>[5]q!GF$18</f>
        <v>128.20000000000002</v>
      </c>
      <c r="GG27" s="7">
        <f>[5]q!GG$18</f>
        <v>128.4</v>
      </c>
      <c r="GH27" s="7">
        <f>[5]q!GH$18</f>
        <v>128.5</v>
      </c>
      <c r="GI27" s="7">
        <f>[5]q!GI$18</f>
        <v>127.2</v>
      </c>
      <c r="GJ27" s="7">
        <f>[5]q!GJ$18</f>
        <v>127.2</v>
      </c>
      <c r="GK27" s="7">
        <f>[5]q!GK$18</f>
        <v>127.5</v>
      </c>
      <c r="GL27" s="7">
        <f>[5]q!GL$18</f>
        <v>125</v>
      </c>
      <c r="GM27" s="7">
        <f>[5]q!GM$18</f>
        <v>124.9</v>
      </c>
      <c r="GN27" s="7">
        <f>[5]q!GN$18</f>
        <v>124.30000000000001</v>
      </c>
      <c r="GO27" s="7">
        <f>[5]q!GO$18</f>
        <v>123.5</v>
      </c>
      <c r="GP27" s="7">
        <f>[5]q!GP$18</f>
        <v>122.60000000000001</v>
      </c>
      <c r="GQ27" s="7">
        <f>[5]q!GQ$18</f>
        <v>124.5</v>
      </c>
      <c r="GR27" s="7">
        <f>[5]q!GR$18</f>
        <v>126.9</v>
      </c>
      <c r="GS27" s="7">
        <f>[5]q!GS$18</f>
        <v>127.9</v>
      </c>
      <c r="GT27" s="7">
        <f>[5]q!GT$18</f>
        <v>129.6</v>
      </c>
      <c r="GU27" s="7">
        <f>[5]q!GU$18</f>
        <v>132</v>
      </c>
      <c r="GV27" s="7">
        <f>[5]q!GV$18</f>
        <v>133.80000000000001</v>
      </c>
      <c r="GW27" s="7">
        <f>[5]q!GW$18</f>
        <v>135.5</v>
      </c>
      <c r="GX27" s="7">
        <f>[5]q!GX$18</f>
        <v>137.80000000000001</v>
      </c>
      <c r="GY27" s="7">
        <f>[5]q!GY$18</f>
        <v>136.20000000000002</v>
      </c>
      <c r="GZ27" s="7">
        <f>[5]q!GZ$18</f>
        <v>133.4</v>
      </c>
      <c r="HA27" s="7">
        <f>[5]q!HA$18</f>
        <v>129.4</v>
      </c>
      <c r="HB27" s="7">
        <f>[5]q!HB$18</f>
        <v>128.9</v>
      </c>
      <c r="HC27" s="7">
        <f>[5]q!HC$18</f>
        <v>130.80000000000001</v>
      </c>
      <c r="HD27" s="7">
        <f>[5]q!HD$18</f>
        <v>131.70000000000002</v>
      </c>
      <c r="HE27" s="7">
        <f>[5]q!HE$18</f>
        <v>133.1</v>
      </c>
      <c r="HF27" s="7">
        <f>[5]q!HF$18</f>
        <v>138</v>
      </c>
      <c r="HG27" s="7">
        <f>[5]q!HG$18</f>
        <v>137.20000000000002</v>
      </c>
      <c r="HH27" s="7">
        <f>[5]q!HH$18</f>
        <v>138.1</v>
      </c>
      <c r="HI27" s="7">
        <f>[5]q!HI$18</f>
        <v>139.20000000000002</v>
      </c>
      <c r="HJ27" s="7">
        <f>[5]q!HJ$18</f>
        <v>142.20000000000002</v>
      </c>
      <c r="HK27" s="7">
        <f>[5]q!HK$18</f>
        <v>146.30000000000001</v>
      </c>
      <c r="HL27" s="7">
        <f>[5]q!HL$18</f>
        <v>147.70000000000002</v>
      </c>
      <c r="HM27" s="7">
        <f>[5]q!HM$18</f>
        <v>150.5</v>
      </c>
      <c r="HN27" s="7">
        <f>[5]q!HN$18</f>
        <v>152.1</v>
      </c>
      <c r="HO27" s="7">
        <f>[5]q!HO$18</f>
        <v>154.5</v>
      </c>
      <c r="HP27" s="7">
        <f>[5]q!HP$18</f>
        <v>158.70000000000002</v>
      </c>
      <c r="HQ27" s="7">
        <f>[5]q!HQ$18</f>
        <v>164.3</v>
      </c>
      <c r="HR27" s="7">
        <f>[5]q!HR$18</f>
        <v>162.80000000000001</v>
      </c>
      <c r="HS27" s="7">
        <f>[5]q!HS$18</f>
        <v>165.4</v>
      </c>
      <c r="HT27" s="7">
        <f>[5]q!HT$18</f>
        <v>166.70000000000002</v>
      </c>
      <c r="HU27" s="7">
        <f>[5]q!HU$18</f>
        <v>164.10000000000002</v>
      </c>
      <c r="HV27" s="7">
        <f>[5]q!HV$18</f>
        <v>166.70000000000002</v>
      </c>
      <c r="HW27" s="7">
        <f>[5]q!HW$18</f>
        <v>172.8</v>
      </c>
      <c r="HX27" s="7">
        <f>[5]q!HX$18</f>
        <v>173.70000000000002</v>
      </c>
      <c r="HY27" s="7">
        <f>[5]q!HY$18</f>
        <v>177.4</v>
      </c>
      <c r="HZ27" s="7">
        <f>[5]q!HZ$18</f>
        <v>183.9</v>
      </c>
      <c r="IA27" s="7">
        <f>[5]q!IA$18</f>
        <v>196</v>
      </c>
      <c r="IB27" s="7">
        <f>[5]q!IB$18</f>
        <v>200.5</v>
      </c>
      <c r="IC27" s="7">
        <f>[5]q!IC$18</f>
        <v>178</v>
      </c>
      <c r="ID27" s="7">
        <f>[5]q!ID$18</f>
        <v>169.5</v>
      </c>
      <c r="IE27" s="7">
        <f>[5]q!IE$18</f>
        <v>171.3</v>
      </c>
      <c r="IF27" s="7">
        <f>[5]q!IF$18</f>
        <v>173.9</v>
      </c>
      <c r="IG27" s="7">
        <f>[5]q!IG$18</f>
        <v>176.9</v>
      </c>
      <c r="IH27" s="7">
        <f>[5]q!IH$18</f>
        <v>182.10000000000002</v>
      </c>
      <c r="II27" s="7">
        <f>[5]q!II$18</f>
        <v>184.20000000000002</v>
      </c>
      <c r="IJ27" s="7">
        <f>[5]q!IJ$18</f>
        <v>184.60000000000002</v>
      </c>
      <c r="IK27" s="7">
        <f>[5]q!IK$18</f>
        <v>188</v>
      </c>
      <c r="IL27" s="7">
        <f>[5]q!IL$18</f>
        <v>195.9</v>
      </c>
      <c r="IM27" s="7">
        <f>[5]q!IM$18</f>
        <v>203.70000000000002</v>
      </c>
      <c r="IN27" s="7">
        <f>[5]q!IN$18</f>
        <v>203.9</v>
      </c>
    </row>
    <row r="28" spans="1:256" x14ac:dyDescent="0.25">
      <c r="A28" s="1" t="s">
        <v>62</v>
      </c>
      <c r="DJ28" s="2">
        <f>[5]q!DJ$10</f>
        <v>7.4</v>
      </c>
      <c r="DK28" s="2">
        <f>[5]q!DK$10</f>
        <v>8.3000000000000007</v>
      </c>
      <c r="DL28" s="2">
        <f>[5]q!DL$10</f>
        <v>8.9</v>
      </c>
      <c r="DM28" s="2">
        <f>[5]q!DM$10</f>
        <v>8.6</v>
      </c>
      <c r="DN28" s="2">
        <f>[5]q!DN$10</f>
        <v>10.4</v>
      </c>
      <c r="DO28" s="2">
        <f>[5]q!DO$10</f>
        <v>11.700000000000001</v>
      </c>
      <c r="DP28" s="2">
        <f>[5]q!DP$10</f>
        <v>11</v>
      </c>
      <c r="DQ28" s="2">
        <f>[5]q!DQ$10</f>
        <v>11</v>
      </c>
      <c r="DR28" s="2">
        <f>[5]q!DR$10</f>
        <v>12.600000000000001</v>
      </c>
      <c r="DS28" s="2">
        <f>[5]q!DS$10</f>
        <v>10.200000000000001</v>
      </c>
      <c r="DT28" s="2">
        <f>[5]q!DT$10</f>
        <v>9.4</v>
      </c>
      <c r="DU28" s="2">
        <f>[5]q!DU$10</f>
        <v>10.200000000000001</v>
      </c>
      <c r="DV28" s="2">
        <f>[5]q!DV$10</f>
        <v>8.5</v>
      </c>
      <c r="DW28" s="2">
        <f>[5]q!DW$10</f>
        <v>8.6</v>
      </c>
      <c r="DX28" s="2">
        <f>[5]q!DX$10</f>
        <v>8</v>
      </c>
      <c r="DY28" s="2">
        <f>[5]q!DY$10</f>
        <v>7.9</v>
      </c>
      <c r="DZ28" s="2">
        <f>[5]q!DZ$10</f>
        <v>6.2</v>
      </c>
      <c r="EA28" s="2">
        <f>[5]q!EA$10</f>
        <v>5.2</v>
      </c>
      <c r="EB28" s="2">
        <f>[5]q!EB$10</f>
        <v>5.8000000000000007</v>
      </c>
      <c r="EC28" s="2">
        <f>[5]q!EC$10</f>
        <v>5.3000000000000007</v>
      </c>
      <c r="ED28" s="2">
        <f>[5]q!ED$10</f>
        <v>4.1000000000000005</v>
      </c>
      <c r="EE28" s="2">
        <f>[5]q!EE$10</f>
        <v>4.5</v>
      </c>
      <c r="EF28" s="2">
        <f>[5]q!EF$10</f>
        <v>4.8000000000000007</v>
      </c>
      <c r="EG28" s="2">
        <f>[5]q!EG$10</f>
        <v>5.1000000000000005</v>
      </c>
      <c r="EH28" s="2">
        <f>[5]q!EH$10</f>
        <v>4.9000000000000004</v>
      </c>
      <c r="EI28" s="2">
        <f>[5]q!EI$10</f>
        <v>5.3000000000000007</v>
      </c>
      <c r="EJ28" s="2">
        <f>[5]q!EJ$10</f>
        <v>4.4000000000000004</v>
      </c>
      <c r="EK28" s="2">
        <f>[5]q!EK$10</f>
        <v>5</v>
      </c>
      <c r="EL28" s="2">
        <f>[5]q!EL$10</f>
        <v>4.4000000000000004</v>
      </c>
      <c r="EM28" s="2">
        <f>[5]q!EM$10</f>
        <v>4.8000000000000007</v>
      </c>
      <c r="EN28" s="2">
        <f>[5]q!EN$10</f>
        <v>4.1000000000000005</v>
      </c>
      <c r="EO28" s="2">
        <f>[5]q!EO$10</f>
        <v>4.7</v>
      </c>
      <c r="EP28" s="2">
        <f>[5]q!EP$10</f>
        <v>3.6</v>
      </c>
      <c r="EQ28" s="2">
        <f>[5]q!EQ$10</f>
        <v>3.5</v>
      </c>
      <c r="ER28" s="2">
        <f>[5]q!ER$10</f>
        <v>3.7</v>
      </c>
      <c r="ES28" s="2">
        <f>[5]q!ES$10</f>
        <v>3.8000000000000003</v>
      </c>
      <c r="ET28" s="2">
        <f>[5]q!ET$10</f>
        <v>3.9000000000000004</v>
      </c>
      <c r="EU28" s="2">
        <f>[5]q!EU$10</f>
        <v>4.3</v>
      </c>
      <c r="EV28" s="2">
        <f>[5]q!EV$10</f>
        <v>4.3</v>
      </c>
      <c r="EW28" s="2">
        <f>[5]q!EW$10</f>
        <v>4</v>
      </c>
      <c r="EX28" s="2">
        <f>[5]q!EX$10</f>
        <v>4.2</v>
      </c>
      <c r="EY28" s="2">
        <f>[5]q!EY$10</f>
        <v>5</v>
      </c>
      <c r="EZ28" s="2">
        <f>[5]q!EZ$10</f>
        <v>5.5</v>
      </c>
      <c r="FA28" s="2">
        <f>[5]q!FA$10</f>
        <v>5.2</v>
      </c>
      <c r="FB28" s="2">
        <f>[5]q!FB$10</f>
        <v>5.2</v>
      </c>
      <c r="FC28" s="2">
        <f>[5]q!FC$10</f>
        <v>5.3000000000000007</v>
      </c>
      <c r="FD28" s="2">
        <f>[5]q!FD$10</f>
        <v>4.7</v>
      </c>
      <c r="FE28" s="2">
        <f>[5]q!FE$10</f>
        <v>4.6000000000000005</v>
      </c>
      <c r="FF28" s="2">
        <f>[5]q!FF$10</f>
        <v>5.1000000000000005</v>
      </c>
      <c r="FG28" s="2">
        <f>[5]q!FG$10</f>
        <v>4.6000000000000005</v>
      </c>
      <c r="FH28" s="2">
        <f>[5]q!FH$10</f>
        <v>5.5</v>
      </c>
      <c r="FI28" s="2">
        <f>[5]q!FI$10</f>
        <v>5.6000000000000005</v>
      </c>
      <c r="FJ28" s="2">
        <f>[5]q!FJ$10</f>
        <v>4.6000000000000005</v>
      </c>
      <c r="FK28" s="2">
        <f>[5]q!FK$10</f>
        <v>4.4000000000000004</v>
      </c>
      <c r="FL28" s="2">
        <f>[5]q!FL$10</f>
        <v>3.8000000000000003</v>
      </c>
      <c r="FM28" s="2">
        <f>[5]q!FM$10</f>
        <v>4.2</v>
      </c>
      <c r="FN28" s="2">
        <f>[5]q!FN$10</f>
        <v>3.1</v>
      </c>
      <c r="FO28" s="2">
        <f>[5]q!FO$10</f>
        <v>3.6</v>
      </c>
      <c r="FP28" s="2">
        <f>[5]q!FP$10</f>
        <v>3.9000000000000004</v>
      </c>
      <c r="FQ28" s="2">
        <f>[5]q!FQ$10</f>
        <v>3.7</v>
      </c>
      <c r="FR28" s="2">
        <f>[5]q!FR$10</f>
        <v>4.3</v>
      </c>
      <c r="FS28" s="2">
        <f>[5]q!FS$10</f>
        <v>4.4000000000000004</v>
      </c>
      <c r="FT28" s="2">
        <f>[5]q!FT$10</f>
        <v>4.6000000000000005</v>
      </c>
      <c r="FU28" s="2">
        <f>[5]q!FU$10</f>
        <v>3.7</v>
      </c>
      <c r="FV28" s="2">
        <f>[5]q!FV$10</f>
        <v>3.8000000000000003</v>
      </c>
      <c r="FW28" s="2">
        <f>[5]q!FW$10</f>
        <v>4.1000000000000005</v>
      </c>
      <c r="FX28" s="2">
        <f>[5]q!FX$10</f>
        <v>4.5</v>
      </c>
      <c r="FY28" s="2">
        <f>[5]q!FY$10</f>
        <v>4.1000000000000005</v>
      </c>
      <c r="FZ28" s="2">
        <f>[5]q!FZ$10</f>
        <v>4.1000000000000005</v>
      </c>
      <c r="GA28" s="2">
        <f>[5]q!GA$10</f>
        <v>4</v>
      </c>
      <c r="GB28" s="2">
        <f>[5]q!GB$10</f>
        <v>3.9000000000000004</v>
      </c>
      <c r="GC28" s="2">
        <f>[5]q!GC$10</f>
        <v>3.5</v>
      </c>
      <c r="GD28" s="2">
        <f>[5]q!GD$10</f>
        <v>3.9000000000000004</v>
      </c>
      <c r="GE28" s="2">
        <f>[5]q!GE$10</f>
        <v>4.5</v>
      </c>
      <c r="GF28" s="2">
        <f>[5]q!GF$10</f>
        <v>4.2</v>
      </c>
      <c r="GG28" s="2">
        <f>[5]q!GG$10</f>
        <v>4</v>
      </c>
      <c r="GH28" s="2">
        <f>[5]q!GH$10</f>
        <v>3.8000000000000003</v>
      </c>
      <c r="GI28" s="2">
        <f>[5]q!GI$10</f>
        <v>3.6</v>
      </c>
      <c r="GJ28" s="2">
        <f>[5]q!GJ$10</f>
        <v>3.4000000000000004</v>
      </c>
      <c r="GK28" s="2">
        <f>[5]q!GK$10</f>
        <v>3.3000000000000003</v>
      </c>
      <c r="GL28" s="2">
        <f>[5]q!GL$10</f>
        <v>2.8000000000000003</v>
      </c>
      <c r="GM28" s="2">
        <f>[5]q!GM$10</f>
        <v>3</v>
      </c>
      <c r="GN28" s="2">
        <f>[5]q!GN$10</f>
        <v>2.8000000000000003</v>
      </c>
      <c r="GO28" s="2">
        <f>[5]q!GO$10</f>
        <v>2.7</v>
      </c>
      <c r="GP28" s="2">
        <f>[5]q!GP$10</f>
        <v>3</v>
      </c>
      <c r="GQ28" s="2">
        <f>[5]q!GQ$10</f>
        <v>3.1</v>
      </c>
      <c r="GR28" s="2">
        <f>[5]q!GR$10</f>
        <v>3.1</v>
      </c>
      <c r="GS28" s="2">
        <f>[5]q!GS$10</f>
        <v>3.5</v>
      </c>
      <c r="GT28" s="2">
        <f>[5]q!GT$10</f>
        <v>3.6</v>
      </c>
      <c r="GU28" s="2">
        <f>[5]q!GU$10</f>
        <v>3.5</v>
      </c>
      <c r="GV28" s="2">
        <f>[5]q!GV$10</f>
        <v>3.6</v>
      </c>
      <c r="GW28" s="2">
        <f>[5]q!GW$10</f>
        <v>3.8000000000000003</v>
      </c>
      <c r="GX28" s="2">
        <f>[5]q!GX$10</f>
        <v>3.4000000000000004</v>
      </c>
      <c r="GY28" s="2">
        <f>[5]q!GY$10</f>
        <v>3.9000000000000004</v>
      </c>
      <c r="GZ28" s="2">
        <f>[5]q!GZ$10</f>
        <v>3.1</v>
      </c>
      <c r="HA28" s="2">
        <f>[5]q!HA$10</f>
        <v>1.5</v>
      </c>
      <c r="HB28" s="2">
        <f>[5]q!HB$10</f>
        <v>2.6</v>
      </c>
      <c r="HC28" s="2">
        <f>[5]q!HC$10</f>
        <v>3.1</v>
      </c>
      <c r="HD28" s="2">
        <f>[5]q!HD$10</f>
        <v>2.8000000000000003</v>
      </c>
      <c r="HE28" s="2">
        <f>[5]q!HE$10</f>
        <v>2.7</v>
      </c>
      <c r="HF28" s="2">
        <f>[5]q!HF$10</f>
        <v>3.2</v>
      </c>
      <c r="HG28" s="2">
        <f>[5]q!HG$10</f>
        <v>2.6</v>
      </c>
      <c r="HH28" s="2">
        <f>[5]q!HH$10</f>
        <v>2.8000000000000003</v>
      </c>
      <c r="HI28" s="2">
        <f>[5]q!HI$10</f>
        <v>3</v>
      </c>
      <c r="HJ28" s="2">
        <f>[5]q!HJ$10</f>
        <v>3.1</v>
      </c>
      <c r="HK28" s="2">
        <f>[5]q!HK$10</f>
        <v>4</v>
      </c>
      <c r="HL28" s="2">
        <f>[5]q!HL$10</f>
        <v>3.3000000000000003</v>
      </c>
      <c r="HM28" s="2">
        <f>[5]q!HM$10</f>
        <v>3.4000000000000004</v>
      </c>
      <c r="HN28" s="2">
        <f>[5]q!HN$10</f>
        <v>3.6</v>
      </c>
      <c r="HO28" s="2">
        <f>[5]q!HO$10</f>
        <v>3.9000000000000004</v>
      </c>
      <c r="HP28" s="2">
        <f>[5]q!HP$10</f>
        <v>4.3</v>
      </c>
      <c r="HQ28" s="2">
        <f>[5]q!HQ$10</f>
        <v>4.6000000000000005</v>
      </c>
      <c r="HR28" s="2">
        <f>[5]q!HR$10</f>
        <v>3.7</v>
      </c>
      <c r="HS28" s="2">
        <f>[5]q!HS$10</f>
        <v>4.5</v>
      </c>
      <c r="HT28" s="2">
        <f>[5]q!HT$10</f>
        <v>4</v>
      </c>
      <c r="HU28" s="2">
        <f>[5]q!HU$10</f>
        <v>3.5</v>
      </c>
      <c r="HV28" s="2">
        <f>[5]q!HV$10</f>
        <v>3.6</v>
      </c>
      <c r="HW28" s="2">
        <f>[5]q!HW$10</f>
        <v>4.2</v>
      </c>
      <c r="HX28" s="2">
        <f>[5]q!HX$10</f>
        <v>4.1000000000000005</v>
      </c>
      <c r="HY28" s="2">
        <f>[5]q!HY$10</f>
        <v>4.1000000000000005</v>
      </c>
      <c r="HZ28" s="2">
        <f>[5]q!HZ$10</f>
        <v>4.2</v>
      </c>
      <c r="IA28" s="2">
        <f>[5]q!IA$10</f>
        <v>6.4</v>
      </c>
      <c r="IB28" s="2">
        <f>[5]q!IB$10</f>
        <v>5.4</v>
      </c>
      <c r="IC28" s="2">
        <f>[5]q!IC$10</f>
        <v>3</v>
      </c>
      <c r="ID28" s="2">
        <f>[5]q!ID$10</f>
        <v>2.4000000000000004</v>
      </c>
      <c r="IE28" s="2">
        <f>[5]q!IE$10</f>
        <v>3.4000000000000004</v>
      </c>
      <c r="IF28" s="2">
        <f>[5]q!IF$10</f>
        <v>3.1</v>
      </c>
      <c r="IG28" s="2">
        <f>[5]q!IG$10</f>
        <v>3.1</v>
      </c>
      <c r="IH28" s="2">
        <f>[5]q!IH$10</f>
        <v>3.5</v>
      </c>
      <c r="II28" s="2">
        <f>[5]q!II$10</f>
        <v>3.7</v>
      </c>
      <c r="IJ28" s="2">
        <f>[5]q!IJ$10</f>
        <v>3.2</v>
      </c>
      <c r="IK28" s="2">
        <f>[5]q!IK$10</f>
        <v>3.6</v>
      </c>
      <c r="IL28" s="2">
        <f>[5]q!IL$10</f>
        <v>4.6000000000000005</v>
      </c>
      <c r="IM28" s="2">
        <f>[5]q!IM$10</f>
        <v>4.8000000000000007</v>
      </c>
      <c r="IN28" s="2">
        <f>[5]q!IN$10</f>
        <v>4.4000000000000004</v>
      </c>
      <c r="IO28" s="6"/>
      <c r="IP28" s="6"/>
      <c r="IQ28" s="6"/>
      <c r="IR28" s="6"/>
      <c r="IS28" s="6"/>
      <c r="IT28" s="6"/>
      <c r="IU28" s="6"/>
      <c r="IV28" s="6"/>
    </row>
    <row r="29" spans="1:256" x14ac:dyDescent="0.25">
      <c r="A29" s="1" t="s">
        <v>61</v>
      </c>
      <c r="AD29" s="2">
        <f>[5]q!AD23</f>
        <v>2.08</v>
      </c>
      <c r="AE29" s="2">
        <f>[5]q!AE23</f>
        <v>2.08</v>
      </c>
      <c r="AF29" s="2">
        <f>[5]q!AF23</f>
        <v>2.08</v>
      </c>
      <c r="AG29" s="2">
        <f>[5]q!AG23</f>
        <v>2.08</v>
      </c>
      <c r="AH29" s="2">
        <f>[5]q!AH23</f>
        <v>2.21</v>
      </c>
      <c r="AI29" s="2">
        <f>[5]q!AI23</f>
        <v>2.21</v>
      </c>
      <c r="AJ29" s="2">
        <f>[5]q!AJ23</f>
        <v>2.21</v>
      </c>
      <c r="AK29" s="2">
        <f>[5]q!AK23</f>
        <v>2.21</v>
      </c>
      <c r="AL29" s="2">
        <f>[5]q!AL23</f>
        <v>2.09</v>
      </c>
      <c r="AM29" s="2">
        <f>[5]q!AM23</f>
        <v>2.0300000000000002</v>
      </c>
      <c r="AN29" s="2">
        <f>[5]q!AN23</f>
        <v>2.0300000000000002</v>
      </c>
      <c r="AO29" s="2">
        <f>[5]q!AO23</f>
        <v>2.0300000000000002</v>
      </c>
      <c r="AP29" s="2">
        <f>[5]q!AP23</f>
        <v>1.93</v>
      </c>
      <c r="AQ29" s="2">
        <f>[5]q!AQ23</f>
        <v>1.93</v>
      </c>
      <c r="AR29" s="2">
        <f>[5]q!AR23</f>
        <v>1.93</v>
      </c>
      <c r="AS29" s="2">
        <f>[5]q!AS23</f>
        <v>1.93</v>
      </c>
      <c r="AT29" s="2">
        <f>[5]q!AT23</f>
        <v>2.21</v>
      </c>
      <c r="AU29" s="2">
        <f>[5]q!AU23</f>
        <v>2.21</v>
      </c>
      <c r="AV29" s="2">
        <f>[5]q!AV23</f>
        <v>2.21</v>
      </c>
      <c r="AW29" s="2">
        <f>[5]q!AW23</f>
        <v>2.21</v>
      </c>
      <c r="AX29" s="2">
        <f>[5]q!AX23</f>
        <v>2.23</v>
      </c>
      <c r="AY29" s="2">
        <f>[5]q!AY23</f>
        <v>2.23</v>
      </c>
      <c r="AZ29" s="2">
        <f>[5]q!AZ23</f>
        <v>2.23</v>
      </c>
      <c r="BA29" s="2">
        <f>[5]q!BA23</f>
        <v>2.23</v>
      </c>
      <c r="BB29" s="2">
        <f>[5]q!BB23</f>
        <v>2.23</v>
      </c>
      <c r="BC29" s="2">
        <f>[5]q!BC23</f>
        <v>2.23</v>
      </c>
      <c r="BD29" s="2">
        <f>[5]q!BD23</f>
        <v>2.23</v>
      </c>
      <c r="BE29" s="2">
        <f>[5]q!BE23</f>
        <v>2.23</v>
      </c>
      <c r="BF29" s="2">
        <f>[5]q!BF23</f>
        <v>2.23</v>
      </c>
      <c r="BG29" s="2">
        <f>[5]q!BG23</f>
        <v>2.23</v>
      </c>
      <c r="BH29" s="2">
        <f>[5]q!BH23</f>
        <v>2.23</v>
      </c>
      <c r="BI29" s="2">
        <f>[5]q!BI23</f>
        <v>2.23</v>
      </c>
      <c r="BJ29" s="2">
        <f>[5]q!BJ23</f>
        <v>2.23</v>
      </c>
      <c r="BK29" s="2">
        <f>[5]q!BK23</f>
        <v>2.23</v>
      </c>
      <c r="BL29" s="2">
        <f>[5]q!BL23</f>
        <v>2.23</v>
      </c>
      <c r="BM29" s="2">
        <f>[5]q!BM23</f>
        <v>2.23</v>
      </c>
      <c r="BN29" s="2">
        <f>[5]q!BN23</f>
        <v>2.23</v>
      </c>
      <c r="BO29" s="2">
        <f>[5]q!BO23</f>
        <v>2.23</v>
      </c>
      <c r="BP29" s="2">
        <f>[5]q!BP23</f>
        <v>2.23</v>
      </c>
      <c r="BQ29" s="2">
        <f>[5]q!BQ23</f>
        <v>2.23</v>
      </c>
      <c r="BR29" s="2">
        <f>[5]q!BR23</f>
        <v>2.23</v>
      </c>
      <c r="BS29" s="2">
        <f>[5]q!BS23</f>
        <v>2.23</v>
      </c>
      <c r="BT29" s="2">
        <f>[5]q!BT23</f>
        <v>2.23</v>
      </c>
      <c r="BU29" s="2">
        <f>[5]q!BU23</f>
        <v>2.23</v>
      </c>
      <c r="BV29" s="2">
        <f>[5]q!BV23</f>
        <v>2.23</v>
      </c>
      <c r="BW29" s="2">
        <f>[5]q!BW23</f>
        <v>2.23</v>
      </c>
      <c r="BX29" s="2">
        <f>[5]q!BX23</f>
        <v>2.23</v>
      </c>
      <c r="BY29" s="2">
        <f>[5]q!BY23</f>
        <v>2.23</v>
      </c>
      <c r="BZ29" s="2">
        <f>[5]q!BZ23</f>
        <v>2.23</v>
      </c>
      <c r="CA29" s="2">
        <f>[5]q!CA23</f>
        <v>2.23</v>
      </c>
      <c r="CB29" s="2">
        <f>[5]q!CB23</f>
        <v>2.23</v>
      </c>
      <c r="CC29" s="2">
        <f>[5]q!CC23</f>
        <v>2.23</v>
      </c>
      <c r="CD29" s="2">
        <f>[5]q!CD23</f>
        <v>2.23</v>
      </c>
      <c r="CE29" s="2">
        <f>[5]q!CE23</f>
        <v>2.23</v>
      </c>
      <c r="CF29" s="2">
        <f>[5]q!CF23</f>
        <v>2.23</v>
      </c>
      <c r="CG29" s="2">
        <f>[5]q!CG23</f>
        <v>2.23</v>
      </c>
      <c r="CH29" s="2">
        <f>[5]q!CH23</f>
        <v>2.5500000000000003</v>
      </c>
      <c r="CI29" s="2">
        <f>[5]q!CI23</f>
        <v>3.45</v>
      </c>
      <c r="CJ29" s="2">
        <f>[5]q!CJ23</f>
        <v>3.42</v>
      </c>
      <c r="CK29" s="2">
        <f>[5]q!CK23</f>
        <v>3.4</v>
      </c>
      <c r="CL29" s="2">
        <f>[5]q!CL23</f>
        <v>3.58</v>
      </c>
      <c r="CM29" s="2">
        <f>[5]q!CM23</f>
        <v>3.64</v>
      </c>
      <c r="CN29" s="2">
        <f>[5]q!CN23</f>
        <v>3.62</v>
      </c>
      <c r="CO29" s="2">
        <f>[5]q!CO23</f>
        <v>3.62</v>
      </c>
      <c r="CP29" s="2">
        <f>[5]q!CP23</f>
        <v>3.7800000000000002</v>
      </c>
      <c r="CQ29" s="2">
        <f>[5]q!CQ23</f>
        <v>4.0999999999999996</v>
      </c>
      <c r="CR29" s="2">
        <f>[5]q!CR23</f>
        <v>4.53</v>
      </c>
      <c r="CS29" s="2">
        <f>[5]q!CS23</f>
        <v>4.6000000000000005</v>
      </c>
      <c r="CT29" s="2">
        <f>[5]q!CT23</f>
        <v>15.5</v>
      </c>
      <c r="CU29" s="2">
        <f>[5]q!CU23</f>
        <v>13</v>
      </c>
      <c r="CV29" s="2">
        <f>[5]q!CV23</f>
        <v>11.5</v>
      </c>
      <c r="CW29" s="2">
        <f>[5]q!CW23</f>
        <v>11.700000000000001</v>
      </c>
      <c r="CX29" s="2">
        <f>[5]q!CX23</f>
        <v>11.5</v>
      </c>
      <c r="CY29" s="2">
        <f>[5]q!CY23</f>
        <v>11.4</v>
      </c>
      <c r="CZ29" s="2">
        <f>[5]q!CZ23</f>
        <v>11.5</v>
      </c>
      <c r="DA29" s="2">
        <f>[5]q!DA23</f>
        <v>11.6</v>
      </c>
      <c r="DB29" s="2">
        <f>[5]q!DB23</f>
        <v>12.9</v>
      </c>
      <c r="DC29" s="2">
        <f>[5]q!DC23</f>
        <v>12.950000000000001</v>
      </c>
      <c r="DD29" s="2">
        <f>[5]q!DD23</f>
        <v>13.15</v>
      </c>
      <c r="DE29" s="2">
        <f>[5]q!DE23</f>
        <v>13.56</v>
      </c>
      <c r="DF29" s="2">
        <f>[5]q!DF23</f>
        <v>14.450000000000001</v>
      </c>
      <c r="DG29" s="2">
        <f>[5]q!DG23</f>
        <v>14.450000000000001</v>
      </c>
      <c r="DH29" s="2">
        <f>[5]q!DH23</f>
        <v>14.280000000000001</v>
      </c>
      <c r="DI29" s="2">
        <f>[5]q!DI23</f>
        <v>14.05</v>
      </c>
      <c r="DJ29" s="2">
        <f>[5]q!DJ23</f>
        <v>14</v>
      </c>
      <c r="DK29" s="2">
        <f>[5]q!DK23</f>
        <v>13.89</v>
      </c>
      <c r="DL29" s="2">
        <f>[5]q!DL23</f>
        <v>13.98</v>
      </c>
      <c r="DM29" s="2">
        <f>[5]q!DM23</f>
        <v>15.17</v>
      </c>
      <c r="DN29" s="2">
        <f>[5]q!DN23</f>
        <v>21.400000000000002</v>
      </c>
      <c r="DO29" s="2">
        <f>[5]q!DO23</f>
        <v>30.970000000000002</v>
      </c>
      <c r="DP29" s="2">
        <f>[5]q!DP23</f>
        <v>35.75</v>
      </c>
      <c r="DQ29" s="2">
        <f>[5]q!DQ23</f>
        <v>40.33</v>
      </c>
      <c r="DR29" s="2">
        <f>[5]q!DR23</f>
        <v>38.92</v>
      </c>
      <c r="DS29" s="2">
        <f>[5]q!DS23</f>
        <v>38.22</v>
      </c>
      <c r="DT29" s="2">
        <f>[5]q!DT23</f>
        <v>34.800000000000004</v>
      </c>
      <c r="DU29" s="2">
        <f>[5]q!DU23</f>
        <v>39.630000000000003</v>
      </c>
      <c r="DV29" s="2">
        <f>[5]q!DV23</f>
        <v>39.119999999999997</v>
      </c>
      <c r="DW29" s="2">
        <f>[5]q!DW23</f>
        <v>35.21</v>
      </c>
      <c r="DX29" s="2">
        <f>[5]q!DX23</f>
        <v>35.590000000000003</v>
      </c>
      <c r="DY29" s="2">
        <f>[5]q!DY23</f>
        <v>36.79</v>
      </c>
      <c r="DZ29" s="2">
        <f>[5]q!DZ23</f>
        <v>32.04</v>
      </c>
      <c r="EA29" s="2">
        <f>[5]q!EA23</f>
        <v>33.36</v>
      </c>
      <c r="EB29" s="2">
        <f>[5]q!EB23</f>
        <v>33.14</v>
      </c>
      <c r="EC29" s="2">
        <f>[5]q!EC23</f>
        <v>33.22</v>
      </c>
      <c r="ED29" s="2">
        <f>[5]q!ED23</f>
        <v>29.39</v>
      </c>
      <c r="EE29" s="2">
        <f>[5]q!EE23</f>
        <v>29.67</v>
      </c>
      <c r="EF29" s="2">
        <f>[5]q!EF23</f>
        <v>30.79</v>
      </c>
      <c r="EG29" s="2">
        <f>[5]q!EG23</f>
        <v>29.12</v>
      </c>
      <c r="EH29" s="2">
        <f>[5]q!EH23</f>
        <v>29.72</v>
      </c>
      <c r="EI29" s="2">
        <f>[5]q!EI23</f>
        <v>29.61</v>
      </c>
      <c r="EJ29" s="2">
        <f>[5]q!EJ23</f>
        <v>28.1</v>
      </c>
      <c r="EK29" s="2">
        <f>[5]q!EK23</f>
        <v>27.5</v>
      </c>
      <c r="EL29" s="2">
        <f>[5]q!EL23</f>
        <v>27.82</v>
      </c>
      <c r="EM29" s="2">
        <f>[5]q!EM23</f>
        <v>27.060000000000002</v>
      </c>
      <c r="EN29" s="2">
        <f>[5]q!EN23</f>
        <v>27.34</v>
      </c>
      <c r="EO29" s="2">
        <f>[5]q!EO23</f>
        <v>28.28</v>
      </c>
      <c r="EP29" s="2">
        <f>[5]q!EP23</f>
        <v>17.8</v>
      </c>
      <c r="EQ29" s="2">
        <f>[5]q!EQ23</f>
        <v>12.85</v>
      </c>
      <c r="ER29" s="2">
        <f>[5]q!ER23</f>
        <v>12.370000000000001</v>
      </c>
      <c r="ES29" s="2">
        <f>[5]q!ES23</f>
        <v>14.76</v>
      </c>
      <c r="ET29" s="2">
        <f>[5]q!ET23</f>
        <v>17.87</v>
      </c>
      <c r="EU29" s="2">
        <f>[5]q!EU23</f>
        <v>18.670000000000002</v>
      </c>
      <c r="EV29" s="2">
        <f>[5]q!EV23</f>
        <v>19.059999999999999</v>
      </c>
      <c r="EW29" s="2">
        <f>[5]q!EW23</f>
        <v>18.010000000000002</v>
      </c>
      <c r="EX29" s="2">
        <f>[5]q!EX23</f>
        <v>15.82</v>
      </c>
      <c r="EY29" s="2">
        <f>[5]q!EY23</f>
        <v>16.16</v>
      </c>
      <c r="EZ29" s="2">
        <f>[5]q!EZ23</f>
        <v>14.35</v>
      </c>
      <c r="FA29" s="2">
        <f>[5]q!FA23</f>
        <v>13.530000000000001</v>
      </c>
      <c r="FB29" s="2">
        <f>[5]q!FB23</f>
        <v>17.53</v>
      </c>
      <c r="FC29" s="2">
        <f>[5]q!FC23</f>
        <v>18.64</v>
      </c>
      <c r="FD29" s="2">
        <f>[5]q!FD23</f>
        <v>17.55</v>
      </c>
      <c r="FE29" s="2">
        <f>[5]q!FE23</f>
        <v>19.2</v>
      </c>
      <c r="FF29" s="2">
        <f>[5]q!FF23</f>
        <v>19.72</v>
      </c>
      <c r="FG29" s="2">
        <f>[5]q!FG23</f>
        <v>16.38</v>
      </c>
      <c r="FH29" s="2">
        <f>[5]q!FH23</f>
        <v>26.36</v>
      </c>
      <c r="FI29" s="2">
        <f>[5]q!FI23</f>
        <v>32.369999999999997</v>
      </c>
      <c r="FJ29" s="2">
        <f>[5]q!FJ23</f>
        <v>20.94</v>
      </c>
      <c r="FK29" s="2">
        <f>[5]q!FK23</f>
        <v>18.91</v>
      </c>
      <c r="FL29" s="2">
        <f>[5]q!FL23</f>
        <v>19.920000000000002</v>
      </c>
      <c r="FM29" s="2">
        <f>[5]q!FM23</f>
        <v>20.52</v>
      </c>
      <c r="FN29" s="2">
        <f>[5]q!FN23</f>
        <v>17.98</v>
      </c>
      <c r="FO29" s="2">
        <f>[5]q!FO23</f>
        <v>20.059999999999999</v>
      </c>
      <c r="FP29" s="2">
        <f>[5]q!FP23</f>
        <v>20.14</v>
      </c>
      <c r="FQ29" s="2">
        <f>[5]q!FQ23</f>
        <v>19.260000000000002</v>
      </c>
      <c r="FR29" s="2">
        <f>[5]q!FR23</f>
        <v>18.27</v>
      </c>
      <c r="FS29" s="2">
        <f>[5]q!FS23</f>
        <v>18.330000000000002</v>
      </c>
      <c r="FT29" s="2">
        <f>[5]q!FT23</f>
        <v>16.600000000000001</v>
      </c>
      <c r="FU29" s="2">
        <f>[5]q!FU23</f>
        <v>15.15</v>
      </c>
      <c r="FV29" s="2">
        <f>[5]q!FV23</f>
        <v>13.94</v>
      </c>
      <c r="FW29" s="2">
        <f>[5]q!FW23</f>
        <v>16.21</v>
      </c>
      <c r="FX29" s="2">
        <f>[5]q!FX23</f>
        <v>17.02</v>
      </c>
      <c r="FY29" s="2">
        <f>[5]q!FY23</f>
        <v>16.670000000000002</v>
      </c>
      <c r="FZ29" s="2">
        <f>[5]q!FZ23</f>
        <v>17.05</v>
      </c>
      <c r="GA29" s="2">
        <f>[5]q!GA23</f>
        <v>18.28</v>
      </c>
      <c r="GB29" s="2">
        <f>[5]q!GB23</f>
        <v>16.34</v>
      </c>
      <c r="GC29" s="2">
        <f>[5]q!GC23</f>
        <v>17.11</v>
      </c>
      <c r="GD29" s="2">
        <f>[5]q!GD23</f>
        <v>18.600000000000001</v>
      </c>
      <c r="GE29" s="2">
        <f>[5]q!GE23</f>
        <v>19.7</v>
      </c>
      <c r="GF29" s="2">
        <f>[5]q!GF23</f>
        <v>21.13</v>
      </c>
      <c r="GG29" s="2">
        <f>[5]q!GG23</f>
        <v>23.8</v>
      </c>
      <c r="GH29" s="2">
        <f>[5]q!GH23</f>
        <v>21.36</v>
      </c>
      <c r="GI29" s="2">
        <f>[5]q!GI23</f>
        <v>18.28</v>
      </c>
      <c r="GJ29" s="2">
        <f>[5]q!GJ23</f>
        <v>18.650000000000002</v>
      </c>
      <c r="GK29" s="2">
        <f>[5]q!GK23</f>
        <v>18.95</v>
      </c>
      <c r="GL29" s="2">
        <f>[5]q!GL23</f>
        <v>14.450000000000001</v>
      </c>
      <c r="GM29" s="2">
        <f>[5]q!GM23</f>
        <v>13.790000000000001</v>
      </c>
      <c r="GN29" s="2">
        <f>[5]q!GN23</f>
        <v>12.77</v>
      </c>
      <c r="GO29" s="2">
        <f>[5]q!GO23</f>
        <v>11.5</v>
      </c>
      <c r="GP29" s="2">
        <f>[5]q!GP23</f>
        <v>11.5</v>
      </c>
      <c r="GQ29" s="2">
        <f>[5]q!GQ23</f>
        <v>15.77</v>
      </c>
      <c r="GR29" s="2">
        <f>[5]q!GR23</f>
        <v>20.93</v>
      </c>
      <c r="GS29" s="2">
        <f>[5]q!GS23</f>
        <v>24.240000000000002</v>
      </c>
      <c r="GT29" s="2">
        <f>[5]q!GT23</f>
        <v>27.05</v>
      </c>
      <c r="GU29" s="2">
        <f>[5]q!GU23</f>
        <v>27.150000000000002</v>
      </c>
      <c r="GV29" s="2">
        <f>[5]q!GV23</f>
        <v>31.29</v>
      </c>
      <c r="GW29" s="2">
        <f>[5]q!GW23</f>
        <v>29.89</v>
      </c>
      <c r="GX29" s="2">
        <f>[5]q!GX23</f>
        <v>26.240000000000002</v>
      </c>
      <c r="GY29" s="2">
        <f>[5]q!GY23</f>
        <v>27.490000000000002</v>
      </c>
      <c r="GZ29" s="2">
        <f>[5]q!GZ23</f>
        <v>25.52</v>
      </c>
      <c r="HA29" s="2">
        <f>[5]q!HA23</f>
        <v>19.61</v>
      </c>
      <c r="HB29" s="2">
        <f>[5]q!HB23</f>
        <v>21.52</v>
      </c>
      <c r="HC29" s="2">
        <f>[5]q!HC23</f>
        <v>25.29</v>
      </c>
      <c r="HD29" s="2">
        <f>[5]q!HD23</f>
        <v>26.95</v>
      </c>
      <c r="HE29" s="2">
        <f>[5]q!HE23</f>
        <v>26.7</v>
      </c>
      <c r="HF29" s="2">
        <f>[5]q!HF23</f>
        <v>31.21</v>
      </c>
      <c r="HG29" s="2">
        <f>[5]q!HG23</f>
        <v>26.1</v>
      </c>
      <c r="HH29" s="2">
        <f>[5]q!HH23</f>
        <v>28.42</v>
      </c>
      <c r="HI29" s="2">
        <f>[5]q!HI23</f>
        <v>29.38</v>
      </c>
      <c r="HJ29" s="2">
        <f>[5]q!HJ23</f>
        <v>31.73</v>
      </c>
      <c r="HK29" s="2">
        <f>[5]q!HK23</f>
        <v>35.46</v>
      </c>
      <c r="HL29" s="2">
        <f>[5]q!HL23</f>
        <v>41.26</v>
      </c>
      <c r="HM29" s="2">
        <f>[5]q!HM23</f>
        <v>44.44</v>
      </c>
      <c r="HN29" s="2">
        <f>[5]q!HN23</f>
        <v>47.71</v>
      </c>
      <c r="HO29" s="2">
        <f>[5]q!HO23</f>
        <v>52.24</v>
      </c>
      <c r="HP29" s="2">
        <f>[5]q!HP23</f>
        <v>61.61</v>
      </c>
      <c r="HQ29" s="2">
        <f>[5]q!HQ23</f>
        <v>57.17</v>
      </c>
      <c r="HR29" s="2">
        <f>[5]q!HR23</f>
        <v>62.29</v>
      </c>
      <c r="HS29" s="2">
        <f>[5]q!HS23</f>
        <v>70.03</v>
      </c>
      <c r="HT29" s="2">
        <f>[5]q!HT23</f>
        <v>70.02</v>
      </c>
      <c r="HU29" s="2">
        <f>[5]q!HU23</f>
        <v>60.06</v>
      </c>
      <c r="HV29" s="2">
        <f>[5]q!HV23</f>
        <v>58.2</v>
      </c>
      <c r="HW29" s="2">
        <f>[5]q!HW23</f>
        <v>68.680000000000007</v>
      </c>
      <c r="HX29" s="2">
        <f>[5]q!HX23</f>
        <v>74.739999999999995</v>
      </c>
      <c r="HY29" s="2">
        <f>[5]q!HY23</f>
        <v>88.92</v>
      </c>
      <c r="HZ29" s="2">
        <f>[5]q!HZ23</f>
        <v>96.66</v>
      </c>
      <c r="IA29" s="2">
        <f>[5]q!IA23</f>
        <v>122.22</v>
      </c>
      <c r="IB29" s="2">
        <f>[5]q!IB23</f>
        <v>115.38</v>
      </c>
      <c r="IC29" s="2">
        <f>[5]q!IC23</f>
        <v>55.06</v>
      </c>
      <c r="ID29" s="2">
        <f>[5]q!ID23</f>
        <v>44.22</v>
      </c>
      <c r="IE29" s="2">
        <f>[5]q!IE23</f>
        <v>58.870000000000005</v>
      </c>
      <c r="IF29" s="2">
        <f>[5]q!IF23</f>
        <v>68.33</v>
      </c>
      <c r="IG29" s="2">
        <f>[5]q!IG23</f>
        <v>74.900000000000006</v>
      </c>
      <c r="IH29" s="2">
        <f>[5]q!IH23</f>
        <v>76.67</v>
      </c>
      <c r="II29" s="2">
        <f>[5]q!II23</f>
        <v>78.850000000000009</v>
      </c>
      <c r="IJ29" s="2">
        <f>[5]q!IJ23</f>
        <v>76.67</v>
      </c>
      <c r="IK29" s="2">
        <f>[5]q!IK23</f>
        <v>87.03</v>
      </c>
      <c r="IL29" s="2">
        <f>[5]q!IL23</f>
        <v>105.37</v>
      </c>
      <c r="IM29" s="2">
        <f>[5]q!IM23</f>
        <v>117.54</v>
      </c>
      <c r="IN29" s="2">
        <f>[5]q!IN23</f>
        <v>113.26</v>
      </c>
      <c r="IO29" s="6"/>
      <c r="IP29" s="6"/>
      <c r="IQ29" s="6"/>
      <c r="IR29" s="6"/>
      <c r="IS29" s="6"/>
      <c r="IT29" s="6"/>
      <c r="IU29" s="6"/>
      <c r="IV29" s="6"/>
    </row>
    <row r="30" spans="1:256" x14ac:dyDescent="0.25">
      <c r="A30" s="1" t="s">
        <v>60</v>
      </c>
      <c r="B30" s="2">
        <f>[5]q!B24</f>
        <v>18.466999999999999</v>
      </c>
      <c r="C30" s="2">
        <f>[5]q!C24</f>
        <v>18.442</v>
      </c>
      <c r="D30" s="2">
        <f>[5]q!D24</f>
        <v>18.452999999999999</v>
      </c>
      <c r="E30" s="2">
        <f>[5]q!E24</f>
        <v>18.757000000000001</v>
      </c>
      <c r="F30" s="2">
        <f>[5]q!F24</f>
        <v>19.405000000000001</v>
      </c>
      <c r="G30" s="2">
        <f>[5]q!G24</f>
        <v>19.827999999999999</v>
      </c>
      <c r="H30" s="2">
        <f>[5]q!H24</f>
        <v>19.616</v>
      </c>
      <c r="I30" s="2">
        <f>[5]q!I24</f>
        <v>19.852</v>
      </c>
      <c r="J30" s="2">
        <f>[5]q!J24</f>
        <v>19.984999999999999</v>
      </c>
      <c r="K30" s="2">
        <f>[5]q!K24</f>
        <v>20.211000000000002</v>
      </c>
      <c r="L30" s="2">
        <f>[5]q!L24</f>
        <v>20.427</v>
      </c>
      <c r="M30" s="2">
        <f>[5]q!M24</f>
        <v>20.606000000000002</v>
      </c>
      <c r="N30" s="2">
        <f>[5]q!N24</f>
        <v>20.655000000000001</v>
      </c>
      <c r="O30" s="2">
        <f>[5]q!O24</f>
        <v>20.701000000000001</v>
      </c>
      <c r="P30" s="2">
        <f>[5]q!P24</f>
        <v>21.016000000000002</v>
      </c>
      <c r="Q30" s="2">
        <f>[5]q!Q24</f>
        <v>21.052</v>
      </c>
      <c r="R30" s="2">
        <f>[5]q!R24</f>
        <v>21.198</v>
      </c>
      <c r="S30" s="2">
        <f>[5]q!S24</f>
        <v>21.211000000000002</v>
      </c>
      <c r="T30" s="2">
        <f>[5]q!T24</f>
        <v>20.933</v>
      </c>
      <c r="U30" s="2">
        <f>[5]q!U24</f>
        <v>20.911999999999999</v>
      </c>
      <c r="V30" s="2">
        <f>[5]q!V24</f>
        <v>20.522000000000002</v>
      </c>
      <c r="W30" s="2">
        <f>[5]q!W24</f>
        <v>20.637</v>
      </c>
      <c r="X30" s="2">
        <f>[5]q!X24</f>
        <v>20.672000000000001</v>
      </c>
      <c r="Y30" s="2">
        <f>[5]q!Y24</f>
        <v>21.052</v>
      </c>
      <c r="Z30" s="2">
        <f>[5]q!Z24</f>
        <v>21.696000000000002</v>
      </c>
      <c r="AA30" s="2">
        <f>[5]q!AA24</f>
        <v>22.024000000000001</v>
      </c>
      <c r="AB30" s="2">
        <f>[5]q!AB24</f>
        <v>22.257000000000001</v>
      </c>
      <c r="AC30" s="2">
        <f>[5]q!AC24</f>
        <v>22.295000000000002</v>
      </c>
      <c r="AD30" s="2">
        <f>[5]q!AD24</f>
        <v>22.599</v>
      </c>
      <c r="AE30" s="2">
        <f>[5]q!AE24</f>
        <v>22.808</v>
      </c>
      <c r="AF30" s="2">
        <f>[5]q!AF24</f>
        <v>22.775000000000002</v>
      </c>
      <c r="AG30" s="2">
        <f>[5]q!AG24</f>
        <v>22.943000000000001</v>
      </c>
      <c r="AH30" s="2">
        <f>[5]q!AH24</f>
        <v>23.361000000000001</v>
      </c>
      <c r="AI30" s="2">
        <f>[5]q!AI24</f>
        <v>23.093</v>
      </c>
      <c r="AJ30" s="2">
        <f>[5]q!AJ24</f>
        <v>23.084</v>
      </c>
      <c r="AK30" s="2">
        <f>[5]q!AK24</f>
        <v>23.021000000000001</v>
      </c>
      <c r="AL30" s="2">
        <f>[5]q!AL24</f>
        <v>23.106000000000002</v>
      </c>
      <c r="AM30" s="2">
        <f>[5]q!AM24</f>
        <v>23.004999999999999</v>
      </c>
      <c r="AN30" s="2">
        <f>[5]q!AN24</f>
        <v>23.193000000000001</v>
      </c>
      <c r="AO30" s="2">
        <f>[5]q!AO24</f>
        <v>23.446999999999999</v>
      </c>
      <c r="AP30" s="2">
        <f>[5]q!AP24</f>
        <v>23.414999999999999</v>
      </c>
      <c r="AQ30" s="2">
        <f>[5]q!AQ24</f>
        <v>23.771000000000001</v>
      </c>
      <c r="AR30" s="2">
        <f>[5]q!AR24</f>
        <v>23.702000000000002</v>
      </c>
      <c r="AS30" s="2">
        <f>[5]q!AS24</f>
        <v>24.103999999999999</v>
      </c>
      <c r="AT30" s="2">
        <f>[5]q!AT24</f>
        <v>24.082000000000001</v>
      </c>
      <c r="AU30" s="2">
        <f>[5]q!AU24</f>
        <v>23.795000000000002</v>
      </c>
      <c r="AV30" s="2">
        <f>[5]q!AV24</f>
        <v>23.721</v>
      </c>
      <c r="AW30" s="2">
        <f>[5]q!AW24</f>
        <v>23.731999999999999</v>
      </c>
      <c r="AX30" s="2">
        <f>[5]q!AX24</f>
        <v>23.739000000000001</v>
      </c>
      <c r="AY30" s="2">
        <f>[5]q!AY24</f>
        <v>23.876999999999999</v>
      </c>
      <c r="AZ30" s="2">
        <f>[5]q!AZ24</f>
        <v>23.728999999999999</v>
      </c>
      <c r="BA30" s="2">
        <f>[5]q!BA24</f>
        <v>23.827000000000002</v>
      </c>
      <c r="BB30" s="2">
        <f>[5]q!BB24</f>
        <v>23.786999999999999</v>
      </c>
      <c r="BC30" s="2">
        <f>[5]q!BC24</f>
        <v>23.731999999999999</v>
      </c>
      <c r="BD30" s="2">
        <f>[5]q!BD24</f>
        <v>23.584</v>
      </c>
      <c r="BE30" s="2">
        <f>[5]q!BE24</f>
        <v>23.757000000000001</v>
      </c>
      <c r="BF30" s="2">
        <f>[5]q!BF24</f>
        <v>23.593</v>
      </c>
      <c r="BG30" s="2">
        <f>[5]q!BG24</f>
        <v>23.718</v>
      </c>
      <c r="BH30" s="2">
        <f>[5]q!BH24</f>
        <v>23.792000000000002</v>
      </c>
      <c r="BI30" s="2">
        <f>[5]q!BI24</f>
        <v>24.131</v>
      </c>
      <c r="BJ30" s="2">
        <f>[5]q!BJ24</f>
        <v>23.932000000000002</v>
      </c>
      <c r="BK30" s="2">
        <f>[5]q!BK24</f>
        <v>24.030999999999999</v>
      </c>
      <c r="BL30" s="2">
        <f>[5]q!BL24</f>
        <v>23.775000000000002</v>
      </c>
      <c r="BM30" s="2">
        <f>[5]q!BM24</f>
        <v>23.678000000000001</v>
      </c>
      <c r="BN30" s="2">
        <f>[5]q!BN24</f>
        <v>23.815000000000001</v>
      </c>
      <c r="BO30" s="2">
        <f>[5]q!BO24</f>
        <v>24.376000000000001</v>
      </c>
      <c r="BP30" s="2">
        <f>[5]q!BP24</f>
        <v>24.733000000000001</v>
      </c>
      <c r="BQ30" s="2">
        <f>[5]q!BQ24</f>
        <v>24.931000000000001</v>
      </c>
      <c r="BR30" s="2">
        <f>[5]q!BR24</f>
        <v>24.905000000000001</v>
      </c>
      <c r="BS30" s="2">
        <f>[5]q!BS24</f>
        <v>25.16</v>
      </c>
      <c r="BT30" s="2">
        <f>[5]q!BT24</f>
        <v>25.437000000000001</v>
      </c>
      <c r="BU30" s="2">
        <f>[5]q!BU24</f>
        <v>25.687999999999999</v>
      </c>
      <c r="BV30" s="2">
        <f>[5]q!BV24</f>
        <v>25.914000000000001</v>
      </c>
      <c r="BW30" s="2">
        <f>[5]q!BW24</f>
        <v>26.103999999999999</v>
      </c>
      <c r="BX30" s="2">
        <f>[5]q!BX24</f>
        <v>26.582000000000001</v>
      </c>
      <c r="BY30" s="2">
        <f>[5]q!BY24</f>
        <v>27.150000000000002</v>
      </c>
      <c r="BZ30" s="2">
        <f>[5]q!BZ24</f>
        <v>27.184000000000001</v>
      </c>
      <c r="CA30" s="2">
        <f>[5]q!CA24</f>
        <v>27.904</v>
      </c>
      <c r="CB30" s="2">
        <f>[5]q!CB24</f>
        <v>28.42</v>
      </c>
      <c r="CC30" s="2">
        <f>[5]q!CC24</f>
        <v>29.094000000000001</v>
      </c>
      <c r="CD30" s="2">
        <f>[5]q!CD24</f>
        <v>29.533000000000001</v>
      </c>
      <c r="CE30" s="2">
        <f>[5]q!CE24</f>
        <v>29.565999999999999</v>
      </c>
      <c r="CF30" s="2">
        <f>[5]q!CF24</f>
        <v>29.602</v>
      </c>
      <c r="CG30" s="2">
        <f>[5]q!CG24</f>
        <v>30.161000000000001</v>
      </c>
      <c r="CH30" s="2">
        <f>[5]q!CH24</f>
        <v>29.856000000000002</v>
      </c>
      <c r="CI30" s="2">
        <f>[5]q!CI24</f>
        <v>30.189</v>
      </c>
      <c r="CJ30" s="2">
        <f>[5]q!CJ24</f>
        <v>30.378</v>
      </c>
      <c r="CK30" s="2">
        <f>[5]q!CK24</f>
        <v>30.876000000000001</v>
      </c>
      <c r="CL30" s="2">
        <f>[5]q!CL24</f>
        <v>31.305</v>
      </c>
      <c r="CM30" s="2">
        <f>[5]q!CM24</f>
        <v>30.925000000000001</v>
      </c>
      <c r="CN30" s="2">
        <f>[5]q!CN24</f>
        <v>31.18</v>
      </c>
      <c r="CO30" s="2">
        <f>[5]q!CO24</f>
        <v>31.548000000000002</v>
      </c>
      <c r="CP30" s="2">
        <f>[5]q!CP24</f>
        <v>31.872</v>
      </c>
      <c r="CQ30" s="2">
        <f>[5]q!CQ24</f>
        <v>32.264000000000003</v>
      </c>
      <c r="CR30" s="2">
        <f>[5]q!CR24</f>
        <v>33.39</v>
      </c>
      <c r="CS30" s="2">
        <f>[5]q!CS24</f>
        <v>33.930999999999997</v>
      </c>
      <c r="CT30" s="2">
        <f>[5]q!CT24</f>
        <v>35.072000000000003</v>
      </c>
      <c r="CU30" s="2">
        <f>[5]q!CU24</f>
        <v>36.035000000000004</v>
      </c>
      <c r="CV30" s="2">
        <f>[5]q!CV24</f>
        <v>37.487000000000002</v>
      </c>
      <c r="CW30" s="2">
        <f>[5]q!CW24</f>
        <v>38.04</v>
      </c>
      <c r="CX30" s="2">
        <f>[5]q!CX24</f>
        <v>38.660000000000004</v>
      </c>
      <c r="CY30" s="2">
        <f>[5]q!CY24</f>
        <v>38.770000000000003</v>
      </c>
      <c r="CZ30" s="2">
        <f>[5]q!CZ24</f>
        <v>38.92</v>
      </c>
      <c r="DA30" s="2">
        <f>[5]q!DA24</f>
        <v>39.691000000000003</v>
      </c>
      <c r="DB30" s="2">
        <f>[5]q!DB24</f>
        <v>40.090000000000003</v>
      </c>
      <c r="DC30" s="2">
        <f>[5]q!DC24</f>
        <v>40.625999999999998</v>
      </c>
      <c r="DD30" s="2">
        <f>[5]q!DD24</f>
        <v>41.410000000000004</v>
      </c>
      <c r="DE30" s="2">
        <f>[5]q!DE24</f>
        <v>42.158000000000001</v>
      </c>
      <c r="DF30" s="2">
        <f>[5]q!DF24</f>
        <v>42.683</v>
      </c>
      <c r="DG30" s="2">
        <f>[5]q!DG24</f>
        <v>43.258000000000003</v>
      </c>
      <c r="DH30" s="2">
        <f>[5]q!DH24</f>
        <v>43.605000000000004</v>
      </c>
      <c r="DI30" s="2">
        <f>[5]q!DI24</f>
        <v>44.883000000000003</v>
      </c>
      <c r="DJ30" s="2">
        <f>[5]q!DJ24</f>
        <v>46.619</v>
      </c>
      <c r="DK30" s="2">
        <f>[5]q!DK24</f>
        <v>46.195999999999998</v>
      </c>
      <c r="DL30" s="2">
        <f>[5]q!DL24</f>
        <v>46.838000000000001</v>
      </c>
      <c r="DM30" s="2">
        <f>[5]q!DM24</f>
        <v>47.792000000000002</v>
      </c>
      <c r="DN30" s="2">
        <f>[5]q!DN24</f>
        <v>49.544000000000004</v>
      </c>
      <c r="DO30" s="2">
        <f>[5]q!DO24</f>
        <v>50.774999999999999</v>
      </c>
      <c r="DP30" s="2">
        <f>[5]q!DP24</f>
        <v>51.936</v>
      </c>
      <c r="DQ30" s="2">
        <f>[5]q!DQ24</f>
        <v>53.285000000000004</v>
      </c>
      <c r="DR30" s="2">
        <f>[5]q!DR24</f>
        <v>54.597999999999999</v>
      </c>
      <c r="DS30" s="2">
        <f>[5]q!DS24</f>
        <v>56.657000000000004</v>
      </c>
      <c r="DT30" s="2">
        <f>[5]q!DT24</f>
        <v>57.99</v>
      </c>
      <c r="DU30" s="2">
        <f>[5]q!DU24</f>
        <v>58.822000000000003</v>
      </c>
      <c r="DV30" s="2">
        <f>[5]q!DV24</f>
        <v>59.184000000000005</v>
      </c>
      <c r="DW30" s="2">
        <f>[5]q!DW24</f>
        <v>60.853000000000002</v>
      </c>
      <c r="DX30" s="2">
        <f>[5]q!DX24</f>
        <v>61.36</v>
      </c>
      <c r="DY30" s="2">
        <f>[5]q!DY24</f>
        <v>63.186</v>
      </c>
      <c r="DZ30" s="2">
        <f>[5]q!DZ24</f>
        <v>65.242999999999995</v>
      </c>
      <c r="EA30" s="2">
        <f>[5]q!EA24</f>
        <v>65.692000000000007</v>
      </c>
      <c r="EB30" s="2">
        <f>[5]q!EB24</f>
        <v>66.597999999999999</v>
      </c>
      <c r="EC30" s="2">
        <f>[5]q!EC24</f>
        <v>66.807000000000002</v>
      </c>
      <c r="ED30" s="2">
        <f>[5]q!ED24</f>
        <v>66.783000000000001</v>
      </c>
      <c r="EE30" s="2">
        <f>[5]q!EE24</f>
        <v>66.207000000000008</v>
      </c>
      <c r="EF30" s="2">
        <f>[5]q!EF24</f>
        <v>66.218000000000004</v>
      </c>
      <c r="EG30" s="2">
        <f>[5]q!EG24</f>
        <v>66.543000000000006</v>
      </c>
      <c r="EH30" s="2">
        <f>[5]q!EH24</f>
        <v>67.031000000000006</v>
      </c>
      <c r="EI30" s="2">
        <f>[5]q!EI24</f>
        <v>67.061999999999998</v>
      </c>
      <c r="EJ30" s="2">
        <f>[5]q!EJ24</f>
        <v>67.626000000000005</v>
      </c>
      <c r="EK30" s="2">
        <f>[5]q!EK24</f>
        <v>67.992999999999995</v>
      </c>
      <c r="EL30" s="2">
        <f>[5]q!EL24</f>
        <v>68.593000000000004</v>
      </c>
      <c r="EM30" s="2">
        <f>[5]q!EM24</f>
        <v>68.908000000000001</v>
      </c>
      <c r="EN30" s="2">
        <f>[5]q!EN24</f>
        <v>68.811000000000007</v>
      </c>
      <c r="EO30" s="2">
        <f>[5]q!EO24</f>
        <v>69.789000000000001</v>
      </c>
      <c r="EP30" s="2">
        <f>[5]q!EP24</f>
        <v>69.863</v>
      </c>
      <c r="EQ30" s="2">
        <f>[5]q!EQ24</f>
        <v>70.097999999999999</v>
      </c>
      <c r="ER30" s="2">
        <f>[5]q!ER24</f>
        <v>70.498999999999995</v>
      </c>
      <c r="ES30" s="2">
        <f>[5]q!ES24</f>
        <v>71.597000000000008</v>
      </c>
      <c r="ET30" s="2">
        <f>[5]q!ET24</f>
        <v>72.418999999999997</v>
      </c>
      <c r="EU30" s="2">
        <f>[5]q!EU24</f>
        <v>72.463000000000008</v>
      </c>
      <c r="EV30" s="2">
        <f>[5]q!EV24</f>
        <v>73.144999999999996</v>
      </c>
      <c r="EW30" s="2">
        <f>[5]q!EW24</f>
        <v>73.375</v>
      </c>
      <c r="EX30" s="2">
        <f>[5]q!EX24</f>
        <v>74.489000000000004</v>
      </c>
      <c r="EY30" s="2">
        <f>[5]q!EY24</f>
        <v>75.281000000000006</v>
      </c>
      <c r="EZ30" s="2">
        <f>[5]q!EZ24</f>
        <v>76.043000000000006</v>
      </c>
      <c r="FA30" s="2">
        <f>[5]q!FA24</f>
        <v>76.272000000000006</v>
      </c>
      <c r="FB30" s="2">
        <f>[5]q!FB24</f>
        <v>76.432000000000002</v>
      </c>
      <c r="FC30" s="2">
        <f>[5]q!FC24</f>
        <v>76.41</v>
      </c>
      <c r="FD30" s="2">
        <f>[5]q!FD24</f>
        <v>76.597999999999999</v>
      </c>
      <c r="FE30" s="2">
        <f>[5]q!FE24</f>
        <v>77.52</v>
      </c>
      <c r="FF30" s="2">
        <f>[5]q!FF24</f>
        <v>78.418000000000006</v>
      </c>
      <c r="FG30" s="2">
        <f>[5]q!FG24</f>
        <v>79.486999999999995</v>
      </c>
      <c r="FH30" s="2">
        <f>[5]q!FH24</f>
        <v>80.287000000000006</v>
      </c>
      <c r="FI30" s="2">
        <f>[5]q!FI24</f>
        <v>81.707000000000008</v>
      </c>
      <c r="FJ30" s="2">
        <f>[5]q!FJ24</f>
        <v>82.218000000000004</v>
      </c>
      <c r="FK30" s="2">
        <f>[5]q!FK24</f>
        <v>82.545000000000002</v>
      </c>
      <c r="FL30" s="2">
        <f>[5]q!FL24</f>
        <v>82.981000000000009</v>
      </c>
      <c r="FM30" s="2">
        <f>[5]q!FM24</f>
        <v>83.463000000000008</v>
      </c>
      <c r="FN30" s="2">
        <f>[5]q!FN24</f>
        <v>83.519000000000005</v>
      </c>
      <c r="FO30" s="2">
        <f>[5]q!FO24</f>
        <v>83.513000000000005</v>
      </c>
      <c r="FP30" s="2">
        <f>[5]q!FP24</f>
        <v>83.960999999999999</v>
      </c>
      <c r="FQ30" s="2">
        <f>[5]q!FQ24</f>
        <v>83.739000000000004</v>
      </c>
      <c r="FR30" s="2">
        <f>[5]q!FR24</f>
        <v>84.637</v>
      </c>
      <c r="FS30" s="2">
        <f>[5]q!FS24</f>
        <v>85.29</v>
      </c>
      <c r="FT30" s="2">
        <f>[5]q!FT24</f>
        <v>85.519000000000005</v>
      </c>
      <c r="FU30" s="2">
        <f>[5]q!FU24</f>
        <v>85.076999999999998</v>
      </c>
      <c r="FV30" s="2">
        <f>[5]q!FV24</f>
        <v>85.555999999999997</v>
      </c>
      <c r="FW30" s="2">
        <f>[5]q!FW24</f>
        <v>85.444000000000003</v>
      </c>
      <c r="FX30" s="2">
        <f>[5]q!FX24</f>
        <v>85.91</v>
      </c>
      <c r="FY30" s="2">
        <f>[5]q!FY24</f>
        <v>85.686999999999998</v>
      </c>
      <c r="FZ30" s="2">
        <f>[5]q!FZ24</f>
        <v>86.876999999999995</v>
      </c>
      <c r="GA30" s="2">
        <f>[5]q!GA24</f>
        <v>87.251000000000005</v>
      </c>
      <c r="GB30" s="2">
        <f>[5]q!GB24</f>
        <v>87.644999999999996</v>
      </c>
      <c r="GC30" s="2">
        <f>[5]q!GC24</f>
        <v>87.691000000000003</v>
      </c>
      <c r="GD30" s="2">
        <f>[5]q!GD24</f>
        <v>87.626000000000005</v>
      </c>
      <c r="GE30" s="2">
        <f>[5]q!GE24</f>
        <v>87.42</v>
      </c>
      <c r="GF30" s="2">
        <f>[5]q!GF24</f>
        <v>87.891000000000005</v>
      </c>
      <c r="GG30" s="2">
        <f>[5]q!GG24</f>
        <v>88.141000000000005</v>
      </c>
      <c r="GH30" s="2">
        <f>[5]q!GH24</f>
        <v>88.921000000000006</v>
      </c>
      <c r="GI30" s="2">
        <f>[5]q!GI24</f>
        <v>88.539000000000001</v>
      </c>
      <c r="GJ30" s="2">
        <f>[5]q!GJ24</f>
        <v>88.722000000000008</v>
      </c>
      <c r="GK30" s="2">
        <f>[5]q!GK24</f>
        <v>90.007000000000005</v>
      </c>
      <c r="GL30" s="2">
        <f>[5]q!GL24</f>
        <v>91.207000000000008</v>
      </c>
      <c r="GM30" s="2">
        <f>[5]q!GM24</f>
        <v>91.945999999999998</v>
      </c>
      <c r="GN30" s="2">
        <f>[5]q!GN24</f>
        <v>92.072000000000003</v>
      </c>
      <c r="GO30" s="2">
        <f>[5]q!GO24</f>
        <v>91.742999999999995</v>
      </c>
      <c r="GP30" s="2">
        <f>[5]q!GP24</f>
        <v>92.465000000000003</v>
      </c>
      <c r="GQ30" s="2">
        <f>[5]q!GQ24</f>
        <v>92.545000000000002</v>
      </c>
      <c r="GR30" s="2">
        <f>[5]q!GR24</f>
        <v>92.570999999999998</v>
      </c>
      <c r="GS30" s="2">
        <f>[5]q!GS24</f>
        <v>92.866</v>
      </c>
      <c r="GT30" s="2">
        <f>[5]q!GT24</f>
        <v>96.528000000000006</v>
      </c>
      <c r="GU30" s="2">
        <f>[5]q!GU24</f>
        <v>94.725000000000009</v>
      </c>
      <c r="GV30" s="2">
        <f>[5]q!GV24</f>
        <v>96.692000000000007</v>
      </c>
      <c r="GW30" s="2">
        <f>[5]q!GW24</f>
        <v>96.322000000000003</v>
      </c>
      <c r="GX30" s="2">
        <f>[5]q!GX24</f>
        <v>98.924000000000007</v>
      </c>
      <c r="GY30" s="2">
        <f>[5]q!GY24</f>
        <v>97.593000000000004</v>
      </c>
      <c r="GZ30" s="2">
        <f>[5]q!GZ24</f>
        <v>97.359000000000009</v>
      </c>
      <c r="HA30" s="2">
        <f>[5]q!HA24</f>
        <v>96.790999999999997</v>
      </c>
      <c r="HB30" s="2">
        <f>[5]q!HB24</f>
        <v>96</v>
      </c>
      <c r="HC30" s="2">
        <f>[5]q!HC24</f>
        <v>96.622</v>
      </c>
      <c r="HD30" s="2">
        <f>[5]q!HD24</f>
        <v>96.138000000000005</v>
      </c>
      <c r="HE30" s="2">
        <f>[5]q!HE24</f>
        <v>96.641999999999996</v>
      </c>
      <c r="HF30" s="2">
        <f>[5]q!HF24</f>
        <v>97.257999999999996</v>
      </c>
      <c r="HG30" s="2">
        <f>[5]q!HG24</f>
        <v>97.503</v>
      </c>
      <c r="HH30" s="2">
        <f>[5]q!HH24</f>
        <v>96.740000000000009</v>
      </c>
      <c r="HI30" s="2">
        <f>[5]q!HI24</f>
        <v>97.260999999999996</v>
      </c>
      <c r="HJ30" s="2">
        <f>[5]q!HJ24</f>
        <v>96.492000000000004</v>
      </c>
      <c r="HK30" s="2">
        <f>[5]q!HK24</f>
        <v>97.222000000000008</v>
      </c>
      <c r="HL30" s="2">
        <f>[5]q!HL24</f>
        <v>98.548000000000002</v>
      </c>
      <c r="HM30" s="2">
        <f>[5]q!HM24</f>
        <v>99.094000000000008</v>
      </c>
      <c r="HN30" s="2">
        <f>[5]q!HN24</f>
        <v>98.915999999999997</v>
      </c>
      <c r="HO30" s="2">
        <f>[5]q!HO24</f>
        <v>99.709000000000003</v>
      </c>
      <c r="HP30" s="2">
        <f>[5]q!HP24</f>
        <v>100.334</v>
      </c>
      <c r="HQ30" s="2">
        <f>[5]q!HQ24</f>
        <v>101.008</v>
      </c>
      <c r="HR30" s="2">
        <f>[5]q!HR24</f>
        <v>101.78700000000001</v>
      </c>
      <c r="HS30" s="2">
        <f>[5]q!HS24</f>
        <v>101.96900000000001</v>
      </c>
      <c r="HT30" s="2">
        <f>[5]q!HT24</f>
        <v>102.947</v>
      </c>
      <c r="HU30" s="2">
        <f>[5]q!HU24</f>
        <v>104.667</v>
      </c>
      <c r="HV30" s="2">
        <f>[5]q!HV24</f>
        <v>105.761</v>
      </c>
      <c r="HW30" s="2">
        <f>[5]q!HW24</f>
        <v>105.38200000000001</v>
      </c>
      <c r="HX30" s="2">
        <f>[5]q!HX24</f>
        <v>104.944</v>
      </c>
      <c r="HY30" s="2">
        <f>[5]q!HY24</f>
        <v>105.956</v>
      </c>
      <c r="HZ30" s="2">
        <f>[5]q!HZ24</f>
        <v>108.01300000000001</v>
      </c>
      <c r="IA30" s="2">
        <f>[5]q!IA24</f>
        <v>107.13</v>
      </c>
      <c r="IB30" s="2">
        <f>[5]q!IB24</f>
        <v>108.271</v>
      </c>
      <c r="IC30" s="2">
        <f>[5]q!IC24</f>
        <v>109.60300000000001</v>
      </c>
      <c r="ID30" s="2">
        <f>[5]q!ID24</f>
        <v>108.47</v>
      </c>
      <c r="IE30" s="2">
        <f>[5]q!IE24</f>
        <v>108.111</v>
      </c>
      <c r="IF30" s="2">
        <f>[5]q!IF24</f>
        <v>107</v>
      </c>
      <c r="IG30" s="2">
        <f>[5]q!IG24</f>
        <v>105.935</v>
      </c>
      <c r="IH30" s="2">
        <f>[5]q!IH24</f>
        <v>105.148</v>
      </c>
      <c r="II30" s="2">
        <f>[5]q!II24</f>
        <v>105.47500000000001</v>
      </c>
      <c r="IJ30" s="2">
        <f>[5]q!IJ24</f>
        <v>105.384</v>
      </c>
      <c r="IK30" s="2">
        <f>[5]q!IK24</f>
        <v>105.04</v>
      </c>
      <c r="IL30" s="2">
        <f>[5]q!IL24</f>
        <v>106.792</v>
      </c>
      <c r="IM30" s="2">
        <f>[5]q!IM24</f>
        <v>107.584</v>
      </c>
      <c r="IN30" s="2">
        <f>[5]q!IN24</f>
        <v>106.92700000000001</v>
      </c>
      <c r="IO30" s="6"/>
      <c r="IP30" s="6"/>
      <c r="IQ30" s="6"/>
      <c r="IR30" s="6"/>
      <c r="IS30" s="6"/>
      <c r="IT30" s="6"/>
      <c r="IU30" s="6"/>
      <c r="IV30" s="6"/>
    </row>
    <row r="31" spans="1:256" x14ac:dyDescent="0.25">
      <c r="A31" s="1" t="s">
        <v>59</v>
      </c>
      <c r="B31">
        <f>[1]q!B72</f>
        <v>275.2</v>
      </c>
      <c r="C31">
        <f>[1]q!C72</f>
        <v>284.5</v>
      </c>
      <c r="D31">
        <f>[1]q!D72</f>
        <v>301.90000000000003</v>
      </c>
      <c r="E31">
        <f>[1]q!E72</f>
        <v>313.3</v>
      </c>
      <c r="F31">
        <f>[1]q!F72</f>
        <v>329</v>
      </c>
      <c r="G31">
        <f>[1]q!G72</f>
        <v>336.6</v>
      </c>
      <c r="H31">
        <f>[1]q!H72</f>
        <v>343.5</v>
      </c>
      <c r="I31">
        <f>[1]q!I72</f>
        <v>347.90000000000003</v>
      </c>
      <c r="J31">
        <f>[1]q!J72</f>
        <v>351.20000000000005</v>
      </c>
      <c r="K31">
        <f>[1]q!K72</f>
        <v>352.1</v>
      </c>
      <c r="L31">
        <f>[1]q!L72</f>
        <v>358.5</v>
      </c>
      <c r="M31">
        <f>[1]q!M72</f>
        <v>371.40000000000003</v>
      </c>
      <c r="N31">
        <f>[1]q!N72</f>
        <v>378.40000000000003</v>
      </c>
      <c r="O31">
        <f>[1]q!O72</f>
        <v>382</v>
      </c>
      <c r="P31">
        <f>[1]q!P72</f>
        <v>381.1</v>
      </c>
      <c r="Q31">
        <f>[1]q!Q72</f>
        <v>375.90000000000003</v>
      </c>
      <c r="R31">
        <f>[1]q!R72</f>
        <v>375.20000000000005</v>
      </c>
      <c r="S31">
        <f>[1]q!S72</f>
        <v>376</v>
      </c>
      <c r="T31">
        <f>[1]q!T72</f>
        <v>380.8</v>
      </c>
      <c r="U31">
        <f>[1]q!U72</f>
        <v>389.40000000000003</v>
      </c>
      <c r="V31">
        <f>[1]q!V72</f>
        <v>402.6</v>
      </c>
      <c r="W31">
        <f>[1]q!W72</f>
        <v>410.90000000000003</v>
      </c>
      <c r="X31">
        <f>[1]q!X72</f>
        <v>419.40000000000003</v>
      </c>
      <c r="Y31">
        <f>[1]q!Y72</f>
        <v>426</v>
      </c>
      <c r="Z31">
        <f>[1]q!Z72</f>
        <v>428.3</v>
      </c>
      <c r="AA31">
        <f>[1]q!AA72</f>
        <v>434.20000000000005</v>
      </c>
      <c r="AB31">
        <f>[1]q!AB72</f>
        <v>439.20000000000005</v>
      </c>
      <c r="AC31">
        <f>[1]q!AC72</f>
        <v>448.1</v>
      </c>
      <c r="AD31">
        <f>[1]q!AD72</f>
        <v>457.20000000000005</v>
      </c>
      <c r="AE31">
        <f>[1]q!AE72</f>
        <v>459.20000000000005</v>
      </c>
      <c r="AF31">
        <f>[1]q!AF72</f>
        <v>466.40000000000003</v>
      </c>
      <c r="AG31">
        <f>[1]q!AG72</f>
        <v>461.5</v>
      </c>
      <c r="AH31">
        <f>[1]q!AH72</f>
        <v>453.90000000000003</v>
      </c>
      <c r="AI31">
        <f>[1]q!AI72</f>
        <v>458</v>
      </c>
      <c r="AJ31">
        <f>[1]q!AJ72</f>
        <v>471.70000000000005</v>
      </c>
      <c r="AK31">
        <f>[1]q!AK72</f>
        <v>485</v>
      </c>
      <c r="AL31">
        <f>[1]q!AL72</f>
        <v>495.5</v>
      </c>
      <c r="AM31">
        <f>[1]q!AM72</f>
        <v>508.5</v>
      </c>
      <c r="AN31">
        <f>[1]q!AN72</f>
        <v>509.3</v>
      </c>
      <c r="AO31">
        <f>[1]q!AO72</f>
        <v>513.20000000000005</v>
      </c>
      <c r="AP31">
        <f>[1]q!AP72</f>
        <v>527</v>
      </c>
      <c r="AQ31">
        <f>[1]q!AQ72</f>
        <v>526.20000000000005</v>
      </c>
      <c r="AR31">
        <f>[1]q!AR72</f>
        <v>529</v>
      </c>
      <c r="AS31">
        <f>[1]q!AS72</f>
        <v>523.70000000000005</v>
      </c>
      <c r="AT31">
        <f>[1]q!AT72</f>
        <v>528</v>
      </c>
      <c r="AU31">
        <f>[1]q!AU72</f>
        <v>539</v>
      </c>
      <c r="AV31">
        <f>[1]q!AV72</f>
        <v>549.5</v>
      </c>
      <c r="AW31">
        <f>[1]q!AW72</f>
        <v>562.6</v>
      </c>
      <c r="AX31">
        <f>[1]q!AX72</f>
        <v>576.1</v>
      </c>
      <c r="AY31">
        <f>[1]q!AY72</f>
        <v>583.20000000000005</v>
      </c>
      <c r="AZ31">
        <f>[1]q!AZ72</f>
        <v>590</v>
      </c>
      <c r="BA31">
        <f>[1]q!BA72</f>
        <v>593.30000000000007</v>
      </c>
      <c r="BB31">
        <f>[1]q!BB72</f>
        <v>602.5</v>
      </c>
      <c r="BC31">
        <f>[1]q!BC72</f>
        <v>611.20000000000005</v>
      </c>
      <c r="BD31">
        <f>[1]q!BD72</f>
        <v>623.90000000000009</v>
      </c>
      <c r="BE31">
        <f>[1]q!BE72</f>
        <v>633.5</v>
      </c>
      <c r="BF31">
        <f>[1]q!BF72</f>
        <v>649.6</v>
      </c>
      <c r="BG31">
        <f>[1]q!BG72</f>
        <v>658.90000000000009</v>
      </c>
      <c r="BH31">
        <f>[1]q!BH72</f>
        <v>670.5</v>
      </c>
      <c r="BI31">
        <f>[1]q!BI72</f>
        <v>675.6</v>
      </c>
      <c r="BJ31">
        <f>[1]q!BJ72</f>
        <v>695.7</v>
      </c>
      <c r="BK31">
        <f>[1]q!BK72</f>
        <v>708.1</v>
      </c>
      <c r="BL31">
        <f>[1]q!BL72</f>
        <v>725.2</v>
      </c>
      <c r="BM31">
        <f>[1]q!BM72</f>
        <v>747.5</v>
      </c>
      <c r="BN31">
        <f>[1]q!BN72</f>
        <v>770.80000000000007</v>
      </c>
      <c r="BO31">
        <f>[1]q!BO72</f>
        <v>779.90000000000009</v>
      </c>
      <c r="BP31">
        <f>[1]q!BP72</f>
        <v>793.1</v>
      </c>
      <c r="BQ31">
        <f>[1]q!BQ72</f>
        <v>806.90000000000009</v>
      </c>
      <c r="BR31">
        <f>[1]q!BR72</f>
        <v>817.80000000000007</v>
      </c>
      <c r="BS31">
        <f>[1]q!BS72</f>
        <v>822.30000000000007</v>
      </c>
      <c r="BT31">
        <f>[1]q!BT72</f>
        <v>837</v>
      </c>
      <c r="BU31">
        <f>[1]q!BU72</f>
        <v>852.7</v>
      </c>
      <c r="BV31">
        <f>[1]q!BV72</f>
        <v>879.80000000000007</v>
      </c>
      <c r="BW31">
        <f>[1]q!BW72</f>
        <v>904.1</v>
      </c>
      <c r="BX31">
        <f>[1]q!BX72</f>
        <v>919.30000000000007</v>
      </c>
      <c r="BY31">
        <f>[1]q!BY72</f>
        <v>936.2</v>
      </c>
      <c r="BZ31">
        <f>[1]q!BZ72</f>
        <v>960.90000000000009</v>
      </c>
      <c r="CA31">
        <f>[1]q!CA72</f>
        <v>976.1</v>
      </c>
      <c r="CB31">
        <f>[1]q!CB72</f>
        <v>996.30000000000007</v>
      </c>
      <c r="CC31">
        <f>[1]q!CC72</f>
        <v>1004.5</v>
      </c>
      <c r="CD31">
        <f>[1]q!CD72</f>
        <v>1017.1</v>
      </c>
      <c r="CE31">
        <f>[1]q!CE72</f>
        <v>1033.1000000000001</v>
      </c>
      <c r="CF31">
        <f>[1]q!CF72</f>
        <v>1050.5</v>
      </c>
      <c r="CG31">
        <f>[1]q!CG72</f>
        <v>1052.7</v>
      </c>
      <c r="CH31">
        <f>[1]q!CH72</f>
        <v>1098.1000000000001</v>
      </c>
      <c r="CI31">
        <f>[1]q!CI72</f>
        <v>1118.8</v>
      </c>
      <c r="CJ31">
        <f>[1]q!CJ72</f>
        <v>1139.1000000000001</v>
      </c>
      <c r="CK31">
        <f>[1]q!CK72</f>
        <v>1151.4000000000001</v>
      </c>
      <c r="CL31">
        <f>[1]q!CL72</f>
        <v>1190.1000000000001</v>
      </c>
      <c r="CM31">
        <f>[1]q!CM72</f>
        <v>1225.6000000000001</v>
      </c>
      <c r="CN31">
        <f>[1]q!CN72</f>
        <v>1249.3000000000002</v>
      </c>
      <c r="CO31">
        <f>[1]q!CO72</f>
        <v>1286.6000000000001</v>
      </c>
      <c r="CP31">
        <f>[1]q!CP72</f>
        <v>1335.1000000000001</v>
      </c>
      <c r="CQ31">
        <f>[1]q!CQ72</f>
        <v>1371.5</v>
      </c>
      <c r="CR31">
        <f>[1]q!CR72</f>
        <v>1390.7</v>
      </c>
      <c r="CS31">
        <f>[1]q!CS72</f>
        <v>1431.8000000000002</v>
      </c>
      <c r="CT31">
        <f>[1]q!CT72</f>
        <v>1446.5</v>
      </c>
      <c r="CU31">
        <f>[1]q!CU72</f>
        <v>1484.8000000000002</v>
      </c>
      <c r="CV31">
        <f>[1]q!CV72</f>
        <v>1513.7</v>
      </c>
      <c r="CW31">
        <f>[1]q!CW72</f>
        <v>1552.8000000000002</v>
      </c>
      <c r="CX31">
        <f>[1]q!CX72</f>
        <v>1569.4</v>
      </c>
      <c r="CY31">
        <f>[1]q!CY72</f>
        <v>1605</v>
      </c>
      <c r="CZ31">
        <f>[1]q!CZ72</f>
        <v>1662.4</v>
      </c>
      <c r="DA31">
        <f>[1]q!DA72</f>
        <v>1713.9</v>
      </c>
      <c r="DB31">
        <f>[1]q!DB72</f>
        <v>1771.9</v>
      </c>
      <c r="DC31">
        <f>[1]q!DC72</f>
        <v>1804.2</v>
      </c>
      <c r="DD31">
        <f>[1]q!DD72</f>
        <v>1837.7</v>
      </c>
      <c r="DE31">
        <f>[1]q!DE72</f>
        <v>1884.5</v>
      </c>
      <c r="DF31">
        <f>[1]q!DF72</f>
        <v>1938.5</v>
      </c>
      <c r="DG31">
        <f>[1]q!DG72</f>
        <v>2005.2</v>
      </c>
      <c r="DH31">
        <f>[1]q!DH72</f>
        <v>2066</v>
      </c>
      <c r="DI31">
        <f>[1]q!DI72</f>
        <v>2110.8000000000002</v>
      </c>
      <c r="DJ31">
        <f>[1]q!DJ72</f>
        <v>2149.1</v>
      </c>
      <c r="DK31">
        <f>[1]q!DK72</f>
        <v>2274.7000000000003</v>
      </c>
      <c r="DL31">
        <f>[1]q!DL72</f>
        <v>2335.2000000000003</v>
      </c>
      <c r="DM31">
        <f>[1]q!DM72</f>
        <v>2416</v>
      </c>
      <c r="DN31">
        <f>[1]q!DN72</f>
        <v>2463.3000000000002</v>
      </c>
      <c r="DO31">
        <f>[1]q!DO72</f>
        <v>2526.4</v>
      </c>
      <c r="DP31">
        <f>[1]q!DP72</f>
        <v>2599.7000000000003</v>
      </c>
      <c r="DQ31">
        <f>[1]q!DQ72</f>
        <v>2659.4</v>
      </c>
      <c r="DR31">
        <f>[1]q!DR72</f>
        <v>2724.1000000000004</v>
      </c>
      <c r="DS31">
        <f>[1]q!DS72</f>
        <v>2728</v>
      </c>
      <c r="DT31">
        <f>[1]q!DT72</f>
        <v>2785.2000000000003</v>
      </c>
      <c r="DU31">
        <f>[1]q!DU72</f>
        <v>2915.3</v>
      </c>
      <c r="DV31">
        <f>[1]q!DV72</f>
        <v>3051.4</v>
      </c>
      <c r="DW31">
        <f>[1]q!DW72</f>
        <v>3084.3</v>
      </c>
      <c r="DX31">
        <f>[1]q!DX72</f>
        <v>3177</v>
      </c>
      <c r="DY31">
        <f>[1]q!DY72</f>
        <v>3194.7000000000003</v>
      </c>
      <c r="DZ31">
        <f>[1]q!DZ72</f>
        <v>3184.9</v>
      </c>
      <c r="EA31">
        <f>[1]q!EA72</f>
        <v>3240.9</v>
      </c>
      <c r="EB31">
        <f>[1]q!EB72</f>
        <v>3274.4</v>
      </c>
      <c r="EC31">
        <f>[1]q!EC72</f>
        <v>3312.5</v>
      </c>
      <c r="ED31">
        <f>[1]q!ED72</f>
        <v>3381</v>
      </c>
      <c r="EE31">
        <f>[1]q!EE72</f>
        <v>3482.2000000000003</v>
      </c>
      <c r="EF31">
        <f>[1]q!EF72</f>
        <v>3587.1000000000004</v>
      </c>
      <c r="EG31">
        <f>[1]q!EG72</f>
        <v>3688.1000000000004</v>
      </c>
      <c r="EH31">
        <f>[1]q!EH72</f>
        <v>3807.4</v>
      </c>
      <c r="EI31">
        <f>[1]q!EI72</f>
        <v>3906.3</v>
      </c>
      <c r="EJ31">
        <f>[1]q!EJ72</f>
        <v>3976</v>
      </c>
      <c r="EK31">
        <f>[1]q!EK72</f>
        <v>4034</v>
      </c>
      <c r="EL31">
        <f>[1]q!EL72</f>
        <v>4117.2</v>
      </c>
      <c r="EM31">
        <f>[1]q!EM72</f>
        <v>4175.7</v>
      </c>
      <c r="EN31">
        <f>[1]q!EN72</f>
        <v>4258.3</v>
      </c>
      <c r="EO31">
        <f>[1]q!EO72</f>
        <v>4318.7</v>
      </c>
      <c r="EP31">
        <f>[1]q!EP72</f>
        <v>4382.4000000000005</v>
      </c>
      <c r="EQ31">
        <f>[1]q!EQ72</f>
        <v>4423.2</v>
      </c>
      <c r="ER31">
        <f>[1]q!ER72</f>
        <v>4491.3</v>
      </c>
      <c r="ES31">
        <f>[1]q!ES72</f>
        <v>4543.3</v>
      </c>
      <c r="ET31">
        <f>[1]q!ET72</f>
        <v>4611.1000000000004</v>
      </c>
      <c r="EU31">
        <f>[1]q!EU72</f>
        <v>4686.7</v>
      </c>
      <c r="EV31">
        <f>[1]q!EV72</f>
        <v>4764.5</v>
      </c>
      <c r="EW31">
        <f>[1]q!EW72</f>
        <v>4883.1000000000004</v>
      </c>
      <c r="EX31">
        <f>[1]q!EX72</f>
        <v>4948.6000000000004</v>
      </c>
      <c r="EY31">
        <f>[1]q!EY72</f>
        <v>5059.3</v>
      </c>
      <c r="EZ31">
        <f>[1]q!EZ72</f>
        <v>5142.8</v>
      </c>
      <c r="FA31">
        <f>[1]q!FA72</f>
        <v>5251</v>
      </c>
      <c r="FB31">
        <f>[1]q!FB72</f>
        <v>5360.3</v>
      </c>
      <c r="FC31">
        <f>[1]q!FC72</f>
        <v>5453.6</v>
      </c>
      <c r="FD31">
        <f>[1]q!FD72</f>
        <v>5532.9000000000005</v>
      </c>
      <c r="FE31">
        <f>[1]q!FE72</f>
        <v>5581.7000000000007</v>
      </c>
      <c r="FF31">
        <f>[1]q!FF72</f>
        <v>5708.1</v>
      </c>
      <c r="FG31">
        <f>[1]q!FG72</f>
        <v>5797.4000000000005</v>
      </c>
      <c r="FH31">
        <f>[1]q!FH72</f>
        <v>5850.6</v>
      </c>
      <c r="FI31">
        <f>[1]q!FI72</f>
        <v>5846</v>
      </c>
      <c r="FJ31">
        <f>[1]q!FJ72</f>
        <v>5880.2000000000007</v>
      </c>
      <c r="FK31">
        <f>[1]q!FK72</f>
        <v>5962</v>
      </c>
      <c r="FL31">
        <f>[1]q!FL72</f>
        <v>6033.7000000000007</v>
      </c>
      <c r="FM31">
        <f>[1]q!FM72</f>
        <v>6092.5</v>
      </c>
      <c r="FN31">
        <f>[1]q!FN72</f>
        <v>6190.7000000000007</v>
      </c>
      <c r="FO31">
        <f>[1]q!FO72</f>
        <v>6295.2000000000007</v>
      </c>
      <c r="FP31">
        <f>[1]q!FP72</f>
        <v>6389.7000000000007</v>
      </c>
      <c r="FQ31">
        <f>[1]q!FQ72</f>
        <v>6493.6</v>
      </c>
      <c r="FR31">
        <f>[1]q!FR72</f>
        <v>6544.5</v>
      </c>
      <c r="FS31">
        <f>[1]q!FS72</f>
        <v>6622.7000000000007</v>
      </c>
      <c r="FT31">
        <f>[1]q!FT72</f>
        <v>6688.3</v>
      </c>
      <c r="FU31">
        <f>[1]q!FU72</f>
        <v>6813.8</v>
      </c>
      <c r="FV31">
        <f>[1]q!FV72</f>
        <v>6916.3</v>
      </c>
      <c r="FW31">
        <f>[1]q!FW72</f>
        <v>7044.3</v>
      </c>
      <c r="FX31">
        <f>[1]q!FX72</f>
        <v>7131.8</v>
      </c>
      <c r="FY31">
        <f>[1]q!FY72</f>
        <v>7248.2000000000007</v>
      </c>
      <c r="FZ31">
        <f>[1]q!FZ72</f>
        <v>7307.7000000000007</v>
      </c>
      <c r="GA31">
        <f>[1]q!GA72</f>
        <v>7355.8</v>
      </c>
      <c r="GB31">
        <f>[1]q!GB72</f>
        <v>7452.5</v>
      </c>
      <c r="GC31">
        <f>[1]q!GC72</f>
        <v>7542.5</v>
      </c>
      <c r="GD31">
        <f>[1]q!GD72</f>
        <v>7638.2000000000007</v>
      </c>
      <c r="GE31">
        <f>[1]q!GE72</f>
        <v>7800</v>
      </c>
      <c r="GF31">
        <f>[1]q!GF72</f>
        <v>7892.7000000000007</v>
      </c>
      <c r="GG31">
        <f>[1]q!GG72</f>
        <v>8023</v>
      </c>
      <c r="GH31">
        <f>[1]q!GH72</f>
        <v>8137</v>
      </c>
      <c r="GI31">
        <f>[1]q!GI72</f>
        <v>8276.8000000000011</v>
      </c>
      <c r="GJ31">
        <f>[1]q!GJ72</f>
        <v>8409.9</v>
      </c>
      <c r="GK31">
        <f>[1]q!GK72</f>
        <v>8505.7000000000007</v>
      </c>
      <c r="GL31">
        <f>[1]q!GL72</f>
        <v>8600.6</v>
      </c>
      <c r="GM31">
        <f>[1]q!GM72</f>
        <v>8698.6</v>
      </c>
      <c r="GN31">
        <f>[1]q!GN72</f>
        <v>8847.2000000000007</v>
      </c>
      <c r="GO31">
        <f>[1]q!GO72</f>
        <v>9027.5</v>
      </c>
      <c r="GP31">
        <f>[1]q!GP72</f>
        <v>9148.6</v>
      </c>
      <c r="GQ31">
        <f>[1]q!GQ72</f>
        <v>9252.6</v>
      </c>
      <c r="GR31">
        <f>[1]q!GR72</f>
        <v>9405.1</v>
      </c>
      <c r="GS31">
        <f>[1]q!GS72</f>
        <v>9607.7000000000007</v>
      </c>
      <c r="GT31">
        <f>[1]q!GT72</f>
        <v>9709.5</v>
      </c>
      <c r="GU31">
        <f>[1]q!GU72</f>
        <v>9949.1</v>
      </c>
      <c r="GV31">
        <f>[1]q!GV72</f>
        <v>10017.5</v>
      </c>
      <c r="GW31">
        <f>[1]q!GW72</f>
        <v>10129.800000000001</v>
      </c>
      <c r="GX31">
        <f>[1]q!GX72</f>
        <v>10165.1</v>
      </c>
      <c r="GY31">
        <f>[1]q!GY72</f>
        <v>10301.300000000001</v>
      </c>
      <c r="GZ31">
        <f>[1]q!GZ72</f>
        <v>10305.200000000001</v>
      </c>
      <c r="HA31">
        <f>[1]q!HA72</f>
        <v>10373.1</v>
      </c>
      <c r="HB31">
        <f>[1]q!HB72</f>
        <v>10498.7</v>
      </c>
      <c r="HC31">
        <f>[1]q!HC72</f>
        <v>10601.900000000001</v>
      </c>
      <c r="HD31">
        <f>[1]q!HD72</f>
        <v>10701.7</v>
      </c>
      <c r="HE31">
        <f>[1]q!HE72</f>
        <v>10766.900000000001</v>
      </c>
      <c r="HF31">
        <f>[1]q!HF72</f>
        <v>10887.400000000001</v>
      </c>
      <c r="HG31">
        <f>[1]q!HG72</f>
        <v>11011.6</v>
      </c>
      <c r="HH31">
        <f>[1]q!HH72</f>
        <v>11255.1</v>
      </c>
      <c r="HI31">
        <f>[1]q!HI72</f>
        <v>11414.800000000001</v>
      </c>
      <c r="HJ31">
        <f>[1]q!HJ72</f>
        <v>11589.900000000001</v>
      </c>
      <c r="HK31">
        <f>[1]q!HK72</f>
        <v>11762.900000000001</v>
      </c>
      <c r="HL31">
        <f>[1]q!HL72</f>
        <v>11936.300000000001</v>
      </c>
      <c r="HM31">
        <f>[1]q!HM72</f>
        <v>12123.900000000001</v>
      </c>
      <c r="HN31">
        <f>[1]q!HN72</f>
        <v>12361.800000000001</v>
      </c>
      <c r="HO31">
        <f>[1]q!HO72</f>
        <v>12500</v>
      </c>
      <c r="HP31">
        <f>[1]q!HP72</f>
        <v>12728.6</v>
      </c>
      <c r="HQ31">
        <f>[1]q!HQ72</f>
        <v>12901.400000000001</v>
      </c>
      <c r="HR31">
        <f>[1]q!HR72</f>
        <v>13161.400000000001</v>
      </c>
      <c r="HS31">
        <f>[1]q!HS72</f>
        <v>13330.400000000001</v>
      </c>
      <c r="HT31">
        <f>[1]q!HT72</f>
        <v>13432.800000000001</v>
      </c>
      <c r="HU31">
        <f>[1]q!HU72</f>
        <v>13584.2</v>
      </c>
      <c r="HV31">
        <f>[1]q!HV72</f>
        <v>13758.5</v>
      </c>
      <c r="HW31">
        <f>[1]q!HW72</f>
        <v>13976.800000000001</v>
      </c>
      <c r="HX31">
        <f>[1]q!HX72</f>
        <v>14126.2</v>
      </c>
      <c r="HY31">
        <f>[1]q!HY72</f>
        <v>14253.2</v>
      </c>
      <c r="HZ31">
        <f>[1]q!HZ72</f>
        <v>14273.900000000001</v>
      </c>
      <c r="IA31">
        <f>[1]q!IA72</f>
        <v>14415.5</v>
      </c>
      <c r="IB31">
        <f>[1]q!IB72</f>
        <v>14395.1</v>
      </c>
      <c r="IC31">
        <f>[1]q!IC72</f>
        <v>14081.7</v>
      </c>
      <c r="ID31">
        <f>[1]q!ID72</f>
        <v>13893.7</v>
      </c>
      <c r="IE31">
        <f>[1]q!IE72</f>
        <v>13854.1</v>
      </c>
      <c r="IF31">
        <f>[1]q!IF72</f>
        <v>13920.5</v>
      </c>
      <c r="IG31">
        <f>[1]q!IG72</f>
        <v>14087.400000000001</v>
      </c>
      <c r="IH31">
        <f>[1]q!IH72</f>
        <v>14277.900000000001</v>
      </c>
      <c r="II31">
        <f>[1]q!II72</f>
        <v>14467.800000000001</v>
      </c>
      <c r="IJ31">
        <f>[1]q!IJ72</f>
        <v>14605.5</v>
      </c>
      <c r="IK31">
        <f>[1]q!IK72</f>
        <v>14755</v>
      </c>
      <c r="IL31">
        <f>[1]q!IL72</f>
        <v>14867.800000000001</v>
      </c>
      <c r="IM31">
        <f>[1]q!IM72</f>
        <v>15012.800000000001</v>
      </c>
      <c r="IN31">
        <f>[1]q!IN72</f>
        <v>15198.6</v>
      </c>
      <c r="IO31" s="6"/>
      <c r="IP31" s="6"/>
      <c r="IQ31" s="6"/>
      <c r="IR31" s="6"/>
      <c r="IS31" s="6"/>
      <c r="IT31" s="6"/>
      <c r="IU31" s="6"/>
      <c r="IV31" s="6"/>
    </row>
    <row r="32" spans="1:256" x14ac:dyDescent="0.25">
      <c r="A32" s="1" t="s">
        <v>58</v>
      </c>
      <c r="B32">
        <f>[6]q!B5</f>
        <v>-8.3000000000000007</v>
      </c>
      <c r="C32">
        <f>[6]q!C5</f>
        <v>2.8000000000000003</v>
      </c>
      <c r="D32">
        <f>[6]q!D5</f>
        <v>13.600000000000001</v>
      </c>
      <c r="E32">
        <f>[6]q!E5</f>
        <v>14.200000000000001</v>
      </c>
      <c r="F32">
        <f>[6]q!F5</f>
        <v>17.3</v>
      </c>
      <c r="G32">
        <f>[6]q!G5</f>
        <v>10.100000000000001</v>
      </c>
      <c r="H32">
        <f>[6]q!H5</f>
        <v>5.4</v>
      </c>
      <c r="I32">
        <f>[6]q!I5</f>
        <v>6</v>
      </c>
      <c r="J32">
        <f>[6]q!J5</f>
        <v>6.9</v>
      </c>
      <c r="K32">
        <f>[6]q!K5</f>
        <v>3.4000000000000004</v>
      </c>
      <c r="L32">
        <f>[6]q!L5</f>
        <v>1.1000000000000001</v>
      </c>
      <c r="M32">
        <f>[6]q!M5</f>
        <v>3.5</v>
      </c>
      <c r="N32">
        <f>[6]q!N5</f>
        <v>4.3</v>
      </c>
      <c r="O32">
        <f>[6]q!O5</f>
        <v>2.6</v>
      </c>
      <c r="P32">
        <f>[6]q!P5</f>
        <v>3.5</v>
      </c>
      <c r="Q32">
        <f>[6]q!Q5</f>
        <v>-3.2</v>
      </c>
      <c r="R32">
        <f>[6]q!R5</f>
        <v>-3.4000000000000004</v>
      </c>
      <c r="S32">
        <f>[6]q!S5</f>
        <v>-2</v>
      </c>
      <c r="T32">
        <f>[6]q!T5</f>
        <v>-1.4000000000000001</v>
      </c>
      <c r="U32">
        <f>[6]q!U5</f>
        <v>0</v>
      </c>
      <c r="V32">
        <f>[6]q!V5</f>
        <v>3.5</v>
      </c>
      <c r="W32">
        <f>[6]q!W5</f>
        <v>6.7</v>
      </c>
      <c r="X32">
        <f>[6]q!X5</f>
        <v>4.8000000000000007</v>
      </c>
      <c r="Y32">
        <f>[6]q!Y5</f>
        <v>7.7</v>
      </c>
      <c r="Z32">
        <f>[6]q!Z5</f>
        <v>8.5</v>
      </c>
      <c r="AA32">
        <f>[6]q!AA5</f>
        <v>6.6000000000000005</v>
      </c>
      <c r="AB32">
        <f>[6]q!AB5</f>
        <v>7.7</v>
      </c>
      <c r="AC32">
        <f>[6]q!AC5</f>
        <v>7.2</v>
      </c>
      <c r="AD32">
        <f>[6]q!AD5</f>
        <v>6.1000000000000005</v>
      </c>
      <c r="AE32">
        <f>[6]q!AE5</f>
        <v>4.3</v>
      </c>
      <c r="AF32">
        <f>[6]q!AF5</f>
        <v>4.3</v>
      </c>
      <c r="AG32">
        <f>[6]q!AG5</f>
        <v>-1.6</v>
      </c>
      <c r="AH32">
        <f>[6]q!AH5</f>
        <v>-3.3000000000000003</v>
      </c>
      <c r="AI32">
        <f>[6]q!AI5</f>
        <v>-8.4</v>
      </c>
      <c r="AJ32">
        <f>[6]q!AJ5</f>
        <v>-6.5</v>
      </c>
      <c r="AK32">
        <f>[6]q!AK5</f>
        <v>-3.6</v>
      </c>
      <c r="AL32">
        <f>[6]q!AL5</f>
        <v>3.1</v>
      </c>
      <c r="AM32">
        <f>[6]q!AM5</f>
        <v>5.1000000000000005</v>
      </c>
      <c r="AN32">
        <f>[6]q!AN5</f>
        <v>2.8000000000000003</v>
      </c>
      <c r="AO32">
        <f>[6]q!AO5</f>
        <v>2</v>
      </c>
      <c r="AP32">
        <f>[6]q!AP5</f>
        <v>11.600000000000001</v>
      </c>
      <c r="AQ32">
        <f>[6]q!AQ5</f>
        <v>8.2000000000000011</v>
      </c>
      <c r="AR32">
        <f>[6]q!AR5</f>
        <v>6.6000000000000005</v>
      </c>
      <c r="AS32">
        <f>[6]q!AS5</f>
        <v>2.1</v>
      </c>
      <c r="AT32">
        <f>[6]q!AT5</f>
        <v>2.4000000000000004</v>
      </c>
      <c r="AU32">
        <f>[6]q!AU5</f>
        <v>0.70000000000000007</v>
      </c>
      <c r="AV32">
        <f>[6]q!AV5</f>
        <v>2.4000000000000004</v>
      </c>
      <c r="AW32">
        <f>[6]q!AW5</f>
        <v>4.6000000000000005</v>
      </c>
      <c r="AX32">
        <f>[6]q!AX5</f>
        <v>2.3000000000000003</v>
      </c>
      <c r="AY32">
        <f>[6]q!AY5</f>
        <v>2.1</v>
      </c>
      <c r="AZ32">
        <f>[6]q!AZ5</f>
        <v>3</v>
      </c>
      <c r="BA32">
        <f>[6]q!BA5</f>
        <v>2.3000000000000003</v>
      </c>
      <c r="BB32">
        <f>[6]q!BB5</f>
        <v>4</v>
      </c>
      <c r="BC32">
        <f>[6]q!BC5</f>
        <v>6.2</v>
      </c>
      <c r="BD32">
        <f>[6]q!BD5</f>
        <v>5.8000000000000007</v>
      </c>
      <c r="BE32">
        <f>[6]q!BE5</f>
        <v>5.1000000000000005</v>
      </c>
      <c r="BF32">
        <f>[6]q!BF5</f>
        <v>1.9000000000000001</v>
      </c>
      <c r="BG32">
        <f>[6]q!BG5</f>
        <v>-2.7</v>
      </c>
      <c r="BH32">
        <f>[6]q!BH5</f>
        <v>1.2000000000000002</v>
      </c>
      <c r="BI32">
        <f>[6]q!BI5</f>
        <v>3.1</v>
      </c>
      <c r="BJ32">
        <f>[6]q!BJ5</f>
        <v>7.5</v>
      </c>
      <c r="BK32">
        <f>[6]q!BK5</f>
        <v>6.7</v>
      </c>
      <c r="BL32">
        <f>[6]q!BL5</f>
        <v>-0.5</v>
      </c>
      <c r="BM32">
        <f>[6]q!BM5</f>
        <v>-0.70000000000000007</v>
      </c>
      <c r="BN32">
        <f>[6]q!BN5</f>
        <v>4.9000000000000004</v>
      </c>
      <c r="BO32">
        <f>[6]q!BO5</f>
        <v>3.4000000000000004</v>
      </c>
      <c r="BP32">
        <f>[6]q!BP5</f>
        <v>1.5</v>
      </c>
      <c r="BQ32">
        <f>[6]q!BQ5</f>
        <v>-0.8</v>
      </c>
      <c r="BR32">
        <f>[6]q!BR5</f>
        <v>-9.6000000000000014</v>
      </c>
      <c r="BS32">
        <f>[6]q!BS5</f>
        <v>-10.4</v>
      </c>
      <c r="BT32">
        <f>[6]q!BT5</f>
        <v>-8.5</v>
      </c>
      <c r="BU32">
        <f>[6]q!BU5</f>
        <v>-8.9</v>
      </c>
      <c r="BV32">
        <f>[6]q!BV5</f>
        <v>-6</v>
      </c>
      <c r="BW32">
        <f>[6]q!BW5</f>
        <v>-7.5</v>
      </c>
      <c r="BX32">
        <f>[6]q!BX5</f>
        <v>1.4000000000000001</v>
      </c>
      <c r="BY32">
        <f>[6]q!BY5</f>
        <v>2.4000000000000004</v>
      </c>
      <c r="BZ32">
        <f>[6]q!BZ5</f>
        <v>14.4</v>
      </c>
      <c r="CA32">
        <f>[6]q!CA5</f>
        <v>11.4</v>
      </c>
      <c r="CB32">
        <f>[6]q!CB5</f>
        <v>5.5</v>
      </c>
      <c r="CC32">
        <f>[6]q!CC5</f>
        <v>3</v>
      </c>
      <c r="CD32">
        <f>[6]q!CD5</f>
        <v>-2.5</v>
      </c>
      <c r="CE32">
        <f>[6]q!CE5</f>
        <v>-16.2</v>
      </c>
      <c r="CF32">
        <f>[6]q!CF5</f>
        <v>-19.700000000000003</v>
      </c>
      <c r="CG32">
        <f>[6]q!CG5</f>
        <v>-23.5</v>
      </c>
      <c r="CH32">
        <f>[6]q!CH5</f>
        <v>-23.900000000000002</v>
      </c>
      <c r="CI32">
        <f>[6]q!CI5</f>
        <v>-30.400000000000002</v>
      </c>
      <c r="CJ32">
        <f>[6]q!CJ5</f>
        <v>-29.5</v>
      </c>
      <c r="CK32">
        <f>[6]q!CK5</f>
        <v>-31</v>
      </c>
      <c r="CL32">
        <f>[6]q!CL5</f>
        <v>-22.900000000000002</v>
      </c>
      <c r="CM32">
        <f>[6]q!CM5</f>
        <v>-28.200000000000003</v>
      </c>
      <c r="CN32">
        <f>[6]q!CN5</f>
        <v>-17.100000000000001</v>
      </c>
      <c r="CO32">
        <f>[6]q!CO5</f>
        <v>-31.400000000000002</v>
      </c>
      <c r="CP32">
        <f>[6]q!CP5</f>
        <v>-15.200000000000001</v>
      </c>
      <c r="CQ32">
        <f>[6]q!CQ5</f>
        <v>-15.200000000000001</v>
      </c>
      <c r="CR32">
        <f>[6]q!CR5</f>
        <v>-10.600000000000001</v>
      </c>
      <c r="CS32">
        <f>[6]q!CS5</f>
        <v>-6.2</v>
      </c>
      <c r="CT32">
        <f>[6]q!CT5</f>
        <v>-8.9</v>
      </c>
      <c r="CU32">
        <f>[6]q!CU5</f>
        <v>-11.4</v>
      </c>
      <c r="CV32">
        <f>[6]q!CV5</f>
        <v>-11.3</v>
      </c>
      <c r="CW32">
        <f>[6]q!CW5</f>
        <v>-26.400000000000002</v>
      </c>
      <c r="CX32">
        <f>[6]q!CX5</f>
        <v>-48.5</v>
      </c>
      <c r="CY32">
        <f>[6]q!CY5</f>
        <v>-105.7</v>
      </c>
      <c r="CZ32">
        <f>[6]q!CZ5</f>
        <v>-63.7</v>
      </c>
      <c r="DA32">
        <f>[6]q!DA5</f>
        <v>-64.600000000000009</v>
      </c>
      <c r="DB32">
        <f>[6]q!DB5</f>
        <v>-54.300000000000004</v>
      </c>
      <c r="DC32">
        <f>[6]q!DC5</f>
        <v>-50</v>
      </c>
      <c r="DD32">
        <f>[6]q!DD5</f>
        <v>-53.6</v>
      </c>
      <c r="DE32">
        <f>[6]q!DE5</f>
        <v>-56.800000000000004</v>
      </c>
      <c r="DF32">
        <f>[6]q!DF5</f>
        <v>-47.2</v>
      </c>
      <c r="DG32">
        <f>[6]q!DG5</f>
        <v>-41.300000000000004</v>
      </c>
      <c r="DH32">
        <f>[6]q!DH5</f>
        <v>-47.300000000000004</v>
      </c>
      <c r="DI32">
        <f>[6]q!DI5</f>
        <v>-48.7</v>
      </c>
      <c r="DJ32">
        <f>[6]q!DJ5</f>
        <v>-48.6</v>
      </c>
      <c r="DK32">
        <f>[6]q!DK5</f>
        <v>-27.900000000000002</v>
      </c>
      <c r="DL32">
        <f>[6]q!DL5</f>
        <v>-21.900000000000002</v>
      </c>
      <c r="DM32">
        <f>[6]q!DM5</f>
        <v>-17.2</v>
      </c>
      <c r="DN32">
        <f>[6]q!DN5</f>
        <v>-8.7000000000000011</v>
      </c>
      <c r="DO32">
        <f>[6]q!DO5</f>
        <v>-8.9</v>
      </c>
      <c r="DP32">
        <f>[6]q!DP5</f>
        <v>-14.600000000000001</v>
      </c>
      <c r="DQ32">
        <f>[6]q!DQ5</f>
        <v>-23.6</v>
      </c>
      <c r="DR32">
        <f>[6]q!DR5</f>
        <v>-33.700000000000003</v>
      </c>
      <c r="DS32">
        <f>[6]q!DS5</f>
        <v>-57.6</v>
      </c>
      <c r="DT32">
        <f>[6]q!DT5</f>
        <v>-71.8</v>
      </c>
      <c r="DU32">
        <f>[6]q!DU5</f>
        <v>-63.400000000000006</v>
      </c>
      <c r="DV32">
        <f>[6]q!DV5</f>
        <v>-42.6</v>
      </c>
      <c r="DW32">
        <f>[6]q!DW5</f>
        <v>-46.900000000000006</v>
      </c>
      <c r="DX32">
        <f>[6]q!DX5</f>
        <v>-54.6</v>
      </c>
      <c r="DY32">
        <f>[6]q!DY5</f>
        <v>-83</v>
      </c>
      <c r="DZ32">
        <f>[6]q!DZ5</f>
        <v>-103.9</v>
      </c>
      <c r="EA32">
        <f>[6]q!EA5</f>
        <v>-109.4</v>
      </c>
      <c r="EB32">
        <f>[6]q!EB5</f>
        <v>-147.20000000000002</v>
      </c>
      <c r="EC32">
        <f>[6]q!EC5</f>
        <v>-180.60000000000002</v>
      </c>
      <c r="ED32">
        <f>[6]q!ED5</f>
        <v>-176.4</v>
      </c>
      <c r="EE32">
        <f>[6]q!EE5</f>
        <v>-172.60000000000002</v>
      </c>
      <c r="EF32">
        <f>[6]q!EF5</f>
        <v>-188.9</v>
      </c>
      <c r="EG32">
        <f>[6]q!EG5</f>
        <v>-167</v>
      </c>
      <c r="EH32">
        <f>[6]q!EH5</f>
        <v>-157</v>
      </c>
      <c r="EI32">
        <f>[6]q!EI5</f>
        <v>-167.3</v>
      </c>
      <c r="EJ32">
        <f>[6]q!EJ5</f>
        <v>-175.20000000000002</v>
      </c>
      <c r="EK32">
        <f>[6]q!EK5</f>
        <v>-186.4</v>
      </c>
      <c r="EL32">
        <f>[6]q!EL5</f>
        <v>-150.70000000000002</v>
      </c>
      <c r="EM32">
        <f>[6]q!EM5</f>
        <v>-201</v>
      </c>
      <c r="EN32">
        <f>[6]q!EN5</f>
        <v>-178</v>
      </c>
      <c r="EO32">
        <f>[6]q!EO5</f>
        <v>-184.70000000000002</v>
      </c>
      <c r="EP32">
        <f>[6]q!EP5</f>
        <v>-184.20000000000002</v>
      </c>
      <c r="EQ32">
        <f>[6]q!EQ5</f>
        <v>-205.70000000000002</v>
      </c>
      <c r="ER32">
        <f>[6]q!ER5</f>
        <v>-210.9</v>
      </c>
      <c r="ES32">
        <f>[6]q!ES5</f>
        <v>-177.70000000000002</v>
      </c>
      <c r="ET32">
        <f>[6]q!ET5</f>
        <v>-181.9</v>
      </c>
      <c r="EU32">
        <f>[6]q!EU5</f>
        <v>-127.80000000000001</v>
      </c>
      <c r="EV32">
        <f>[6]q!EV5</f>
        <v>-139</v>
      </c>
      <c r="EW32">
        <f>[6]q!EW5</f>
        <v>-148.70000000000002</v>
      </c>
      <c r="EX32">
        <f>[6]q!EX5</f>
        <v>-147.9</v>
      </c>
      <c r="EY32">
        <f>[6]q!EY5</f>
        <v>-137.9</v>
      </c>
      <c r="EZ32">
        <f>[6]q!EZ5</f>
        <v>-130</v>
      </c>
      <c r="FA32">
        <f>[6]q!FA5</f>
        <v>-137.80000000000001</v>
      </c>
      <c r="FB32">
        <f>[6]q!FB5</f>
        <v>-115.4</v>
      </c>
      <c r="FC32">
        <f>[6]q!FC5</f>
        <v>-134.9</v>
      </c>
      <c r="FD32">
        <f>[6]q!FD5</f>
        <v>-140.80000000000001</v>
      </c>
      <c r="FE32">
        <f>[6]q!FE5</f>
        <v>-144.70000000000002</v>
      </c>
      <c r="FF32">
        <f>[6]q!FF5</f>
        <v>-171.3</v>
      </c>
      <c r="FG32">
        <f>[6]q!FG5</f>
        <v>-176.70000000000002</v>
      </c>
      <c r="FH32">
        <f>[6]q!FH5</f>
        <v>-172</v>
      </c>
      <c r="FI32">
        <f>[6]q!FI5</f>
        <v>-185.8</v>
      </c>
      <c r="FJ32">
        <f>[6]q!FJ5</f>
        <v>-157.4</v>
      </c>
      <c r="FK32">
        <f>[6]q!FK5</f>
        <v>-217.10000000000002</v>
      </c>
      <c r="FL32">
        <f>[6]q!FL5</f>
        <v>-240.5</v>
      </c>
      <c r="FM32">
        <f>[6]q!FM5</f>
        <v>-258.7</v>
      </c>
      <c r="FN32">
        <f>[6]q!FN5</f>
        <v>-296</v>
      </c>
      <c r="FO32">
        <f>[6]q!FO5</f>
        <v>-302.2</v>
      </c>
      <c r="FP32">
        <f>[6]q!FP5</f>
        <v>-313.20000000000005</v>
      </c>
      <c r="FQ32">
        <f>[6]q!FQ5</f>
        <v>-298.60000000000002</v>
      </c>
      <c r="FR32">
        <f>[6]q!FR5</f>
        <v>-312.10000000000002</v>
      </c>
      <c r="FS32">
        <f>[6]q!FS5</f>
        <v>-275.3</v>
      </c>
      <c r="FT32">
        <f>[6]q!FT5</f>
        <v>-282.2</v>
      </c>
      <c r="FU32">
        <f>[6]q!FU5</f>
        <v>-251.3</v>
      </c>
      <c r="FV32">
        <f>[6]q!FV5</f>
        <v>-236.4</v>
      </c>
      <c r="FW32">
        <f>[6]q!FW5</f>
        <v>-202.9</v>
      </c>
      <c r="FX32">
        <f>[6]q!FX5</f>
        <v>-220.60000000000002</v>
      </c>
      <c r="FY32">
        <f>[6]q!FY5</f>
        <v>-221.70000000000002</v>
      </c>
      <c r="FZ32">
        <f>[6]q!FZ5</f>
        <v>-221.4</v>
      </c>
      <c r="GA32">
        <f>[6]q!GA5</f>
        <v>-206.20000000000002</v>
      </c>
      <c r="GB32">
        <f>[6]q!GB5</f>
        <v>-210.3</v>
      </c>
      <c r="GC32">
        <f>[6]q!GC5</f>
        <v>-186.70000000000002</v>
      </c>
      <c r="GD32">
        <f>[6]q!GD5</f>
        <v>-194.3</v>
      </c>
      <c r="GE32">
        <f>[6]q!GE5</f>
        <v>-149.5</v>
      </c>
      <c r="GF32">
        <f>[6]q!GF5</f>
        <v>-138.30000000000001</v>
      </c>
      <c r="GG32">
        <f>[6]q!GG5</f>
        <v>-110.80000000000001</v>
      </c>
      <c r="GH32">
        <f>[6]q!GH5</f>
        <v>-92.4</v>
      </c>
      <c r="GI32">
        <f>[6]q!GI5</f>
        <v>-71</v>
      </c>
      <c r="GJ32">
        <f>[6]q!GJ5</f>
        <v>-35.6</v>
      </c>
      <c r="GK32">
        <f>[6]q!GK5</f>
        <v>-41.5</v>
      </c>
      <c r="GL32">
        <f>[6]q!GL5</f>
        <v>7.9</v>
      </c>
      <c r="GM32">
        <f>[6]q!GM5</f>
        <v>20.700000000000003</v>
      </c>
      <c r="GN32">
        <f>[6]q!GN5</f>
        <v>52.300000000000004</v>
      </c>
      <c r="GO32">
        <f>[6]q!GO5</f>
        <v>53.400000000000006</v>
      </c>
      <c r="GP32">
        <f>[6]q!GP5</f>
        <v>79.100000000000009</v>
      </c>
      <c r="GQ32">
        <f>[6]q!GQ5</f>
        <v>96.100000000000009</v>
      </c>
      <c r="GR32">
        <f>[6]q!GR5</f>
        <v>103.5</v>
      </c>
      <c r="GS32">
        <f>[6]q!GS5</f>
        <v>116.60000000000001</v>
      </c>
      <c r="GT32">
        <f>[6]q!GT5</f>
        <v>205.3</v>
      </c>
      <c r="GU32">
        <f>[6]q!GU5</f>
        <v>175</v>
      </c>
      <c r="GV32">
        <f>[6]q!GV5</f>
        <v>181.8</v>
      </c>
      <c r="GW32">
        <f>[6]q!GW5</f>
        <v>178.8</v>
      </c>
      <c r="GX32">
        <f>[6]q!GX5</f>
        <v>159.4</v>
      </c>
      <c r="GY32">
        <f>[6]q!GY5</f>
        <v>119</v>
      </c>
      <c r="GZ32">
        <f>[6]q!GZ5</f>
        <v>-104.4</v>
      </c>
      <c r="HA32">
        <f>[6]q!HA5</f>
        <v>-12</v>
      </c>
      <c r="HB32">
        <f>[6]q!HB5</f>
        <v>-205.4</v>
      </c>
      <c r="HC32">
        <f>[6]q!HC5</f>
        <v>-249.70000000000002</v>
      </c>
      <c r="HD32">
        <f>[6]q!HD5</f>
        <v>-262.90000000000003</v>
      </c>
      <c r="HE32">
        <f>[6]q!HE5</f>
        <v>-293</v>
      </c>
      <c r="HF32">
        <f>[6]q!HF5</f>
        <v>-300.60000000000002</v>
      </c>
      <c r="HG32">
        <f>[6]q!HG5</f>
        <v>-375</v>
      </c>
      <c r="HH32">
        <f>[6]q!HH5</f>
        <v>-451.40000000000003</v>
      </c>
      <c r="HI32">
        <f>[6]q!HI5</f>
        <v>-378.5</v>
      </c>
      <c r="HJ32">
        <f>[6]q!HJ5</f>
        <v>-409.3</v>
      </c>
      <c r="HK32">
        <f>[6]q!HK5</f>
        <v>-384.40000000000003</v>
      </c>
      <c r="HL32">
        <f>[6]q!HL5</f>
        <v>-361.6</v>
      </c>
      <c r="HM32">
        <f>[6]q!HM5</f>
        <v>-362.5</v>
      </c>
      <c r="HN32">
        <f>[6]q!HN5</f>
        <v>-288.90000000000003</v>
      </c>
      <c r="HO32">
        <f>[6]q!HO5</f>
        <v>-288.10000000000002</v>
      </c>
      <c r="HP32">
        <f>[6]q!HP5</f>
        <v>-287.40000000000003</v>
      </c>
      <c r="HQ32">
        <f>[6]q!HQ5</f>
        <v>-267.7</v>
      </c>
      <c r="HR32">
        <f>[6]q!HR5</f>
        <v>-207.3</v>
      </c>
      <c r="HS32">
        <f>[6]q!HS5</f>
        <v>-229.4</v>
      </c>
      <c r="HT32">
        <f>[6]q!HT5</f>
        <v>-215.5</v>
      </c>
      <c r="HU32">
        <f>[6]q!HU5</f>
        <v>-163</v>
      </c>
      <c r="HV32">
        <f>[6]q!HV5</f>
        <v>-201.60000000000002</v>
      </c>
      <c r="HW32">
        <f>[6]q!HW5</f>
        <v>-237.4</v>
      </c>
      <c r="HX32">
        <f>[6]q!HX5</f>
        <v>-265.2</v>
      </c>
      <c r="HY32">
        <f>[6]q!HY5</f>
        <v>-276.7</v>
      </c>
      <c r="HZ32">
        <f>[6]q!HZ5</f>
        <v>-388.8</v>
      </c>
      <c r="IA32">
        <f>[6]q!IA5</f>
        <v>-764.40000000000009</v>
      </c>
      <c r="IB32">
        <f>[6]q!IB5</f>
        <v>-639.1</v>
      </c>
      <c r="IC32">
        <f>[6]q!IC5</f>
        <v>-661.7</v>
      </c>
      <c r="ID32">
        <f>[6]q!ID5</f>
        <v>-993.90000000000009</v>
      </c>
      <c r="IE32">
        <f>[6]q!IE5</f>
        <v>-1303</v>
      </c>
      <c r="IF32">
        <f>[6]q!IF5</f>
        <v>-1305.4000000000001</v>
      </c>
      <c r="IG32">
        <f>[6]q!IG5</f>
        <v>-1269.4000000000001</v>
      </c>
      <c r="IH32">
        <f>[6]q!IH5</f>
        <v>-1271.8000000000002</v>
      </c>
      <c r="II32">
        <f>[6]q!II5</f>
        <v>-1278</v>
      </c>
      <c r="IJ32">
        <f>[6]q!IJ5</f>
        <v>-1257.7</v>
      </c>
      <c r="IK32">
        <f>[6]q!IK5</f>
        <v>-1287.3000000000002</v>
      </c>
      <c r="IL32">
        <f>[6]q!IL5</f>
        <v>-1201.1000000000001</v>
      </c>
      <c r="IM32">
        <f>[6]q!IM5</f>
        <v>-1265.1000000000001</v>
      </c>
      <c r="IN32" t="str">
        <f>[6]q!IN5</f>
        <v>NA</v>
      </c>
      <c r="IO32" s="6"/>
      <c r="IP32" s="6"/>
      <c r="IQ32" s="6"/>
      <c r="IR32" s="6"/>
      <c r="IS32" s="6"/>
      <c r="IT32" s="6"/>
      <c r="IU32" s="6"/>
      <c r="IV32" s="6"/>
    </row>
    <row r="33" spans="1:256" x14ac:dyDescent="0.25">
      <c r="A33" s="1" t="s">
        <v>15</v>
      </c>
      <c r="R33" s="2">
        <f>[3]q!N104</f>
        <v>2.9566666666666666</v>
      </c>
      <c r="S33" s="2">
        <f>[3]q!O104</f>
        <v>2.8766666666666669</v>
      </c>
      <c r="T33" s="2">
        <f>[3]q!P104</f>
        <v>2.8833333333333333</v>
      </c>
      <c r="U33" s="2">
        <f>[3]q!Q104</f>
        <v>2.8866666666666667</v>
      </c>
      <c r="V33" s="2">
        <f>[3]q!R104</f>
        <v>2.9600000000000004</v>
      </c>
      <c r="W33" s="2">
        <f>[3]q!S104</f>
        <v>3.0333333333333337</v>
      </c>
      <c r="X33" s="2">
        <f>[3]q!T104</f>
        <v>3.1</v>
      </c>
      <c r="Y33" s="2">
        <f>[3]q!U104</f>
        <v>3.1166666666666667</v>
      </c>
      <c r="Z33" s="2">
        <f>[3]q!V104</f>
        <v>3.0966666666666662</v>
      </c>
      <c r="AA33" s="2">
        <f>[3]q!W104</f>
        <v>3.2600000000000002</v>
      </c>
      <c r="AB33" s="2">
        <f>[3]q!X104</f>
        <v>3.4233333333333338</v>
      </c>
      <c r="AC33" s="2">
        <f>[3]q!Y104</f>
        <v>3.6766666666666663</v>
      </c>
      <c r="AD33" s="2">
        <f>[3]q!Z104</f>
        <v>3.6999999999999997</v>
      </c>
      <c r="AE33" s="2">
        <f>[3]q!AA104</f>
        <v>3.7733333333333334</v>
      </c>
      <c r="AF33" s="2">
        <f>[3]q!AB104</f>
        <v>4.07</v>
      </c>
      <c r="AG33" s="2">
        <f>[3]q!AC104</f>
        <v>3.9966666666666666</v>
      </c>
      <c r="AH33" s="2">
        <f>[3]q!AD104</f>
        <v>3.6066666666666669</v>
      </c>
      <c r="AI33" s="2">
        <f>[3]q!AE104</f>
        <v>3.58</v>
      </c>
      <c r="AJ33" s="2">
        <f>[3]q!AF104</f>
        <v>3.8699999999999997</v>
      </c>
      <c r="AK33" s="2">
        <f>[3]q!AG104</f>
        <v>4.0933333333333328</v>
      </c>
      <c r="AL33" s="2">
        <f>[3]q!AH104</f>
        <v>4.13</v>
      </c>
      <c r="AM33" s="2">
        <f>[3]q!AI104</f>
        <v>4.3533333333333344</v>
      </c>
      <c r="AN33" s="2">
        <f>[3]q!AJ104</f>
        <v>4.4733333333333327</v>
      </c>
      <c r="AO33" s="2">
        <f>[3]q!AK104</f>
        <v>4.57</v>
      </c>
      <c r="AP33" s="2">
        <f>[3]q!AL104</f>
        <v>4.5533333333333337</v>
      </c>
      <c r="AQ33" s="2">
        <f>[3]q!AM104</f>
        <v>4.4533333333333331</v>
      </c>
      <c r="AR33" s="2">
        <f>[3]q!AN104</f>
        <v>4.3133333333333335</v>
      </c>
      <c r="AS33" s="2">
        <f>[3]q!AO104</f>
        <v>4.32</v>
      </c>
      <c r="AT33" s="2">
        <f>[3]q!AP104</f>
        <v>4.2699999999999996</v>
      </c>
      <c r="AU33" s="2">
        <f>[3]q!AQ104</f>
        <v>4.2833333333333332</v>
      </c>
      <c r="AV33" s="2">
        <f>[3]q!AR104</f>
        <v>4.4366666666666665</v>
      </c>
      <c r="AW33" s="2">
        <f>[3]q!AS104</f>
        <v>4.4099999999999993</v>
      </c>
      <c r="AX33" s="2">
        <f>[3]q!AT104</f>
        <v>4.41</v>
      </c>
      <c r="AY33" s="2">
        <f>[3]q!AU104</f>
        <v>4.2966666666666669</v>
      </c>
      <c r="AZ33" s="2">
        <f>[3]q!AV104</f>
        <v>4.3366666666666669</v>
      </c>
      <c r="BA33" s="2">
        <f>[3]q!AW104</f>
        <v>4.2566666666666668</v>
      </c>
      <c r="BB33" s="2">
        <f>[3]q!AX104</f>
        <v>4.1966666666666663</v>
      </c>
      <c r="BC33" s="2">
        <f>[3]q!AY104</f>
        <v>4.22</v>
      </c>
      <c r="BD33" s="2">
        <f>[3]q!AZ104</f>
        <v>4.2866666666666671</v>
      </c>
      <c r="BE33" s="2">
        <f>[3]q!BA104</f>
        <v>4.333333333333333</v>
      </c>
      <c r="BF33" s="2">
        <f>[3]q!BB104</f>
        <v>4.376666666666666</v>
      </c>
      <c r="BG33" s="2">
        <f>[3]q!BC104</f>
        <v>4.4066666666666672</v>
      </c>
      <c r="BH33" s="2">
        <f>[3]q!BD104</f>
        <v>4.41</v>
      </c>
      <c r="BI33" s="2">
        <f>[3]q!BE104</f>
        <v>4.43</v>
      </c>
      <c r="BJ33" s="2">
        <f>[3]q!BF104</f>
        <v>4.42</v>
      </c>
      <c r="BK33" s="2">
        <f>[3]q!BG104</f>
        <v>4.4433333333333342</v>
      </c>
      <c r="BL33" s="2">
        <f>[3]q!BH104</f>
        <v>4.496666666666667</v>
      </c>
      <c r="BM33" s="2">
        <f>[3]q!BI104</f>
        <v>4.6133333333333333</v>
      </c>
      <c r="BN33" s="2">
        <f>[3]q!BJ104</f>
        <v>4.8133333333333335</v>
      </c>
      <c r="BO33" s="2">
        <f>[3]q!BK104</f>
        <v>5.0033333333333339</v>
      </c>
      <c r="BP33" s="2">
        <f>[3]q!BL104</f>
        <v>5.32</v>
      </c>
      <c r="BQ33" s="2">
        <f>[3]q!BM104</f>
        <v>5.3833333333333337</v>
      </c>
      <c r="BR33" s="2">
        <f>[3]q!BN104</f>
        <v>5.12</v>
      </c>
      <c r="BS33" s="2">
        <f>[3]q!BO104</f>
        <v>5.2633333333333345</v>
      </c>
      <c r="BT33" s="2">
        <f>[3]q!BP104</f>
        <v>5.6166666666666671</v>
      </c>
      <c r="BU33" s="2">
        <f>[3]q!BQ104</f>
        <v>6.0266666666666673</v>
      </c>
      <c r="BV33" s="2">
        <f>[3]q!BR104</f>
        <v>6.126666666666666</v>
      </c>
      <c r="BW33" s="2">
        <f>[3]q!BS104</f>
        <v>6.2533333333333339</v>
      </c>
      <c r="BX33" s="2">
        <f>[3]q!BT104</f>
        <v>6.0766666666666671</v>
      </c>
      <c r="BY33" s="2">
        <f>[3]q!BU104</f>
        <v>6.2433333333333332</v>
      </c>
      <c r="BZ33" s="2">
        <f>[3]q!BV104</f>
        <v>6.7</v>
      </c>
      <c r="CA33" s="2">
        <f>[3]q!BW104</f>
        <v>6.8866666666666667</v>
      </c>
      <c r="CB33" s="2">
        <f>[3]q!BX104</f>
        <v>7.0633333333333335</v>
      </c>
      <c r="CC33" s="2">
        <f>[3]q!BY104</f>
        <v>7.4666666666666659</v>
      </c>
      <c r="CD33" s="2">
        <f>[3]q!BZ104</f>
        <v>7.8933333333333335</v>
      </c>
      <c r="CE33" s="2">
        <f>[3]q!CA104</f>
        <v>8.14</v>
      </c>
      <c r="CF33" s="2">
        <f>[3]q!CB104</f>
        <v>8.2200000000000006</v>
      </c>
      <c r="CG33" s="2">
        <f>[3]q!CC104</f>
        <v>7.9066666666666663</v>
      </c>
      <c r="CH33" s="2">
        <f>[3]q!CD104</f>
        <v>7.2166666666666677</v>
      </c>
      <c r="CI33" s="2">
        <f>[3]q!CE104</f>
        <v>7.4733333333333336</v>
      </c>
      <c r="CJ33" s="2">
        <f>[3]q!CF104</f>
        <v>7.5566666666666675</v>
      </c>
      <c r="CK33" s="2">
        <f>[3]q!CG104</f>
        <v>7.3</v>
      </c>
      <c r="CL33" s="2">
        <f>[3]q!CH104</f>
        <v>7.2333333333333343</v>
      </c>
      <c r="CM33" s="2">
        <f>[3]q!CI104</f>
        <v>7.2766666666666664</v>
      </c>
      <c r="CN33" s="2">
        <f>[3]q!CJ104</f>
        <v>7.206666666666667</v>
      </c>
      <c r="CO33" s="2">
        <f>[3]q!CK104</f>
        <v>7.1366666666666667</v>
      </c>
      <c r="CP33" s="2">
        <f>[3]q!CL104</f>
        <v>7.22</v>
      </c>
      <c r="CQ33" s="2">
        <f>[3]q!CM104</f>
        <v>7.3066666666666675</v>
      </c>
      <c r="CR33" s="2">
        <f>[3]q!CN104</f>
        <v>7.586666666666666</v>
      </c>
      <c r="CS33" s="2">
        <f>[3]q!CO104</f>
        <v>7.6499999999999995</v>
      </c>
      <c r="CT33" s="2">
        <f>[3]q!CP104</f>
        <v>7.8966666666666656</v>
      </c>
      <c r="CU33" s="2">
        <f>[3]q!CQ104</f>
        <v>8.3633333333333351</v>
      </c>
      <c r="CV33" s="2">
        <f>[3]q!CR104</f>
        <v>8.9866666666666664</v>
      </c>
      <c r="CW33" s="2">
        <f>[3]q!CS104</f>
        <v>9.0166666666666675</v>
      </c>
      <c r="CX33" s="2">
        <f>[3]q!CT104</f>
        <v>8.7066666666666688</v>
      </c>
      <c r="CY33" s="2">
        <f>[3]q!CU104</f>
        <v>8.8733333333333331</v>
      </c>
      <c r="CZ33" s="2">
        <f>[3]q!CV104</f>
        <v>8.913333333333334</v>
      </c>
      <c r="DA33" s="2">
        <f>[3]q!CW104</f>
        <v>8.81</v>
      </c>
      <c r="DB33" s="2">
        <f>[3]q!CX104</f>
        <v>8.5566666666666666</v>
      </c>
      <c r="DC33" s="2">
        <f>[3]q!CY104</f>
        <v>8.5333333333333332</v>
      </c>
      <c r="DD33" s="2">
        <f>[3]q!CZ104</f>
        <v>8.4633333333333329</v>
      </c>
      <c r="DE33" s="2">
        <f>[3]q!DA104</f>
        <v>8.1833333333333336</v>
      </c>
      <c r="DF33" s="2">
        <f>[3]q!DB104</f>
        <v>8.0333333333333332</v>
      </c>
      <c r="DG33" s="2">
        <f>[3]q!DC104</f>
        <v>8.0133333333333336</v>
      </c>
      <c r="DH33" s="2">
        <f>[3]q!DD104</f>
        <v>7.9466666666666681</v>
      </c>
      <c r="DI33" s="2">
        <f>[3]q!DE104</f>
        <v>8.1033333333333335</v>
      </c>
      <c r="DJ33" s="2">
        <f>[3]q!DF104</f>
        <v>8.4500000000000011</v>
      </c>
      <c r="DK33" s="2">
        <f>[3]q!DG104</f>
        <v>8.67</v>
      </c>
      <c r="DL33" s="2">
        <f>[3]q!DH104</f>
        <v>8.7533333333333321</v>
      </c>
      <c r="DM33" s="2">
        <f>[3]q!DI104</f>
        <v>9.0266666666666673</v>
      </c>
      <c r="DN33" s="2">
        <f>[3]q!DJ104</f>
        <v>9.293333333333333</v>
      </c>
      <c r="DO33" s="2">
        <f>[3]q!DK104</f>
        <v>9.39</v>
      </c>
      <c r="DP33" s="2">
        <f>[3]q!DL104</f>
        <v>9.2899999999999991</v>
      </c>
      <c r="DQ33" s="2">
        <f>[3]q!DM104</f>
        <v>10.543333333333335</v>
      </c>
      <c r="DR33" s="2">
        <f>[3]q!DN104</f>
        <v>12.143333333333333</v>
      </c>
      <c r="DS33" s="2">
        <f>[3]q!DO104</f>
        <v>11.203333333333333</v>
      </c>
      <c r="DT33" s="2">
        <f>[3]q!DP104</f>
        <v>11.576666666666668</v>
      </c>
      <c r="DU33" s="2">
        <f>[3]q!DQ104</f>
        <v>12.83</v>
      </c>
      <c r="DV33" s="2">
        <f>[3]q!DR104</f>
        <v>13.163333333333334</v>
      </c>
      <c r="DW33" s="2">
        <f>[3]q!DS104</f>
        <v>13.983333333333334</v>
      </c>
      <c r="DX33" s="2">
        <f>[3]q!DT104</f>
        <v>14.920000000000002</v>
      </c>
      <c r="DY33" s="2">
        <f>[3]q!DU104</f>
        <v>14.616666666666667</v>
      </c>
      <c r="DZ33" s="2">
        <f>[3]q!DV104</f>
        <v>15.01</v>
      </c>
      <c r="EA33" s="2">
        <f>[3]q!DW104</f>
        <v>14.51</v>
      </c>
      <c r="EB33" s="2">
        <f>[3]q!DX104</f>
        <v>13.753333333333332</v>
      </c>
      <c r="EC33" s="2">
        <f>[3]q!DY104</f>
        <v>11.876666666666667</v>
      </c>
      <c r="ED33" s="2">
        <f>[3]q!DZ104</f>
        <v>11.843333333333334</v>
      </c>
      <c r="EE33" s="2">
        <f>[3]q!EA104</f>
        <v>11.57</v>
      </c>
      <c r="EF33" s="2">
        <f>[3]q!EB104</f>
        <v>12.343333333333334</v>
      </c>
      <c r="EG33" s="2">
        <f>[3]q!EC104</f>
        <v>12.410000000000002</v>
      </c>
      <c r="EH33" s="2">
        <f>[3]q!ED104</f>
        <v>12.283333333333333</v>
      </c>
      <c r="EI33" s="2">
        <f>[3]q!EE104</f>
        <v>13.213333333333333</v>
      </c>
      <c r="EJ33" s="2">
        <f>[3]q!EF104</f>
        <v>12.99</v>
      </c>
      <c r="EK33" s="2">
        <f>[3]q!EG104</f>
        <v>12.350000000000001</v>
      </c>
      <c r="EL33" s="2">
        <f>[3]q!EH104</f>
        <v>12.256666666666668</v>
      </c>
      <c r="EM33" s="2">
        <f>[3]q!EI104</f>
        <v>11.63</v>
      </c>
      <c r="EN33" s="2">
        <f>[3]q!EJ104</f>
        <v>11.030000000000001</v>
      </c>
      <c r="EO33" s="2">
        <f>[3]q!EK104</f>
        <v>10.576666666666666</v>
      </c>
      <c r="EP33" s="2">
        <f>[3]q!EL104</f>
        <v>9.5733333333333324</v>
      </c>
      <c r="EQ33" s="2">
        <f>[3]q!EM104</f>
        <v>9.0033333333333356</v>
      </c>
      <c r="ER33" s="2">
        <f>[3]q!EN104</f>
        <v>8.83</v>
      </c>
      <c r="ES33" s="2">
        <f>[3]q!EO104</f>
        <v>8.6766666666666676</v>
      </c>
      <c r="ET33" s="2">
        <f>[3]q!EP104</f>
        <v>8.3666666666666671</v>
      </c>
      <c r="EU33" s="2">
        <f>[3]q!EQ104</f>
        <v>9.1666666666666661</v>
      </c>
      <c r="EV33" s="2">
        <f>[3]q!ER104</f>
        <v>9.7566666666666659</v>
      </c>
      <c r="EW33" s="2">
        <f>[3]q!ES104</f>
        <v>10.213333333333333</v>
      </c>
      <c r="EX33" s="2">
        <f>[3]q!ET104</f>
        <v>9.5566666666666666</v>
      </c>
      <c r="EY33" s="2">
        <f>[3]q!EU104</f>
        <v>9.81</v>
      </c>
      <c r="EZ33" s="2">
        <f>[3]q!EV104</f>
        <v>9.9633333333333329</v>
      </c>
      <c r="FA33" s="2">
        <f>[3]q!EW104</f>
        <v>9.51</v>
      </c>
      <c r="FB33" s="2">
        <f>[3]q!EX104</f>
        <v>9.6866666666666674</v>
      </c>
      <c r="FC33" s="2">
        <f>[3]q!EY104</f>
        <v>9.4866666666666664</v>
      </c>
      <c r="FD33" s="2">
        <f>[3]q!EZ104</f>
        <v>8.9666666666666668</v>
      </c>
      <c r="FE33" s="2">
        <f>[3]q!FA104</f>
        <v>8.89</v>
      </c>
      <c r="FF33" s="2">
        <f>[3]q!FB104</f>
        <v>9.1933333333333334</v>
      </c>
      <c r="FG33" s="2">
        <f>[3]q!FC104</f>
        <v>9.3966666666666665</v>
      </c>
      <c r="FH33" s="2">
        <f>[3]q!FD104</f>
        <v>9.4033333333333342</v>
      </c>
      <c r="FI33" s="2">
        <f>[3]q!FE104</f>
        <v>9.293333333333333</v>
      </c>
      <c r="FJ33" s="2">
        <f>[3]q!FF104</f>
        <v>8.9333333333333336</v>
      </c>
      <c r="FK33" s="2">
        <f>[3]q!FG104</f>
        <v>8.9099999999999984</v>
      </c>
      <c r="FL33" s="2">
        <f>[3]q!FH104</f>
        <v>8.7866666666666671</v>
      </c>
      <c r="FM33" s="2">
        <f>[3]q!FI104</f>
        <v>8.4466666666666672</v>
      </c>
      <c r="FN33" s="2">
        <f>[3]q!FJ104</f>
        <v>8.2800000000000011</v>
      </c>
      <c r="FO33" s="2">
        <f>[3]q!FK104</f>
        <v>8.2766666666666655</v>
      </c>
      <c r="FP33" s="2">
        <f>[3]q!FL104</f>
        <v>7.9799999999999995</v>
      </c>
      <c r="FQ33" s="2">
        <f>[3]q!FM104</f>
        <v>8.0233333333333334</v>
      </c>
      <c r="FR33" s="2">
        <f>[3]q!FN104</f>
        <v>7.7333333333333343</v>
      </c>
      <c r="FS33" s="2">
        <f>[3]q!FO104</f>
        <v>7.4066666666666663</v>
      </c>
      <c r="FT33" s="2">
        <f>[3]q!FP104</f>
        <v>6.8933333333333335</v>
      </c>
      <c r="FU33" s="2">
        <f>[3]q!FQ104</f>
        <v>6.8433333333333337</v>
      </c>
      <c r="FV33" s="2">
        <f>[3]q!FR104</f>
        <v>7.16</v>
      </c>
      <c r="FW33" s="2">
        <f>[3]q!FS104</f>
        <v>7.9466666666666663</v>
      </c>
      <c r="FX33" s="2">
        <f>[3]q!FT104</f>
        <v>8.1733333333333338</v>
      </c>
      <c r="FY33" s="2">
        <f>[3]q!FU104</f>
        <v>8.57</v>
      </c>
      <c r="FZ33" s="2">
        <f>[3]q!FV104</f>
        <v>8.2799999999999994</v>
      </c>
      <c r="GA33" s="2">
        <f>[3]q!FW104</f>
        <v>7.66</v>
      </c>
      <c r="GB33" s="2">
        <f>[3]q!FX104</f>
        <v>7.4333333333333336</v>
      </c>
      <c r="GC33" s="2">
        <f>[3]q!FY104</f>
        <v>6.9866666666666672</v>
      </c>
      <c r="GD33" s="2">
        <f>[3]q!FZ104</f>
        <v>7.0500000000000007</v>
      </c>
      <c r="GE33" s="2">
        <f>[3]q!GA104</f>
        <v>7.61</v>
      </c>
      <c r="GF33" s="2">
        <f>[3]q!GB104</f>
        <v>7.59</v>
      </c>
      <c r="GG33" s="2">
        <f>[3]q!GC104</f>
        <v>7.23</v>
      </c>
      <c r="GH33" s="2">
        <f>[3]q!GD104</f>
        <v>7.4266666666666667</v>
      </c>
      <c r="GI33" s="2">
        <f>[3]q!GE104</f>
        <v>7.5733333333333333</v>
      </c>
      <c r="GJ33" s="2">
        <f>[3]q!GF104</f>
        <v>7.169999999999999</v>
      </c>
      <c r="GK33" s="2">
        <f>[3]q!GG104</f>
        <v>6.8766666666666678</v>
      </c>
      <c r="GL33" s="2">
        <f>[3]q!GH104</f>
        <v>6.666666666666667</v>
      </c>
      <c r="GM33" s="2">
        <f>[3]q!GI104</f>
        <v>6.6366666666666667</v>
      </c>
      <c r="GN33" s="2">
        <f>[3]q!GJ104</f>
        <v>6.4899999999999993</v>
      </c>
      <c r="GO33" s="2">
        <f>[3]q!GK104</f>
        <v>6.333333333333333</v>
      </c>
      <c r="GP33" s="2">
        <f>[3]q!GL104</f>
        <v>6.4200000000000008</v>
      </c>
      <c r="GQ33" s="2">
        <f>[3]q!GM104</f>
        <v>6.9333333333333336</v>
      </c>
      <c r="GR33" s="2">
        <f>[3]q!GN104</f>
        <v>7.3266666666666671</v>
      </c>
      <c r="GS33" s="2">
        <f>[3]q!GO104</f>
        <v>7.4866666666666672</v>
      </c>
      <c r="GT33" s="2">
        <f>[3]q!GP104</f>
        <v>7.7133333333333338</v>
      </c>
      <c r="GU33" s="2">
        <f>[3]q!GQ104</f>
        <v>7.7666666666666666</v>
      </c>
      <c r="GV33" s="2">
        <f>[3]q!GR104</f>
        <v>7.6066666666666665</v>
      </c>
      <c r="GW33" s="2">
        <f>[3]q!GS104</f>
        <v>7.4033333333333333</v>
      </c>
      <c r="GX33" s="2">
        <f>[3]q!GT104</f>
        <v>7.0766666666666671</v>
      </c>
      <c r="GY33" s="2">
        <f>[3]q!GU104</f>
        <v>7.2233333333333336</v>
      </c>
      <c r="GZ33" s="2">
        <f>[3]q!GV104</f>
        <v>7.1066666666666665</v>
      </c>
      <c r="HA33" s="2">
        <f>[3]q!GW104</f>
        <v>6.9233333333333329</v>
      </c>
      <c r="HB33" s="2">
        <f>[3]q!GX104</f>
        <v>6.6233333333333322</v>
      </c>
      <c r="HC33" s="2">
        <f>[3]q!GY104</f>
        <v>6.7133333333333338</v>
      </c>
      <c r="HD33" s="2">
        <f>[3]q!GZ104</f>
        <v>6.3500000000000005</v>
      </c>
      <c r="HE33" s="2">
        <f>[3]q!HA104</f>
        <v>6.28</v>
      </c>
      <c r="HF33" s="2">
        <f>[3]q!HB104</f>
        <v>6.0033333333333339</v>
      </c>
      <c r="HG33" s="2">
        <f>[3]q!HC104</f>
        <v>5.31</v>
      </c>
      <c r="HH33" s="2">
        <f>[3]q!HD104</f>
        <v>5.6966666666666663</v>
      </c>
      <c r="HI33" s="2">
        <f>[3]q!HE104</f>
        <v>5.6566666666666672</v>
      </c>
      <c r="HJ33" s="2">
        <f>[3]q!HF104</f>
        <v>5.4566666666666661</v>
      </c>
      <c r="HK33" s="2">
        <f>[3]q!HG104</f>
        <v>5.9266666666666667</v>
      </c>
      <c r="HL33" s="2">
        <f>[3]q!HH104</f>
        <v>5.6433333333333335</v>
      </c>
      <c r="HM33" s="2">
        <f>[3]q!HI104</f>
        <v>5.4866666666666672</v>
      </c>
      <c r="HN33" s="2">
        <f>[3]q!HJ104</f>
        <v>5.32</v>
      </c>
      <c r="HO33" s="2">
        <f>[3]q!HK104</f>
        <v>5.1466666666666674</v>
      </c>
      <c r="HP33" s="2">
        <f>[3]q!HL104</f>
        <v>5.0933333333333337</v>
      </c>
      <c r="HQ33" s="2">
        <f>[3]q!HM104</f>
        <v>5.38</v>
      </c>
      <c r="HR33" s="2">
        <f>[3]q!HN104</f>
        <v>5.3900000000000006</v>
      </c>
      <c r="HS33" s="2">
        <f>[3]q!HO104</f>
        <v>5.8933333333333335</v>
      </c>
      <c r="HT33" s="2">
        <f>[3]q!HP104</f>
        <v>5.68</v>
      </c>
      <c r="HU33" s="2">
        <f>[3]q!HQ104</f>
        <v>5.3866666666666667</v>
      </c>
      <c r="HV33" s="2">
        <f>[3]q!HR104</f>
        <v>5.3633333333333333</v>
      </c>
      <c r="HW33" s="2">
        <f>[3]q!HS104</f>
        <v>5.5766666666666671</v>
      </c>
      <c r="HX33" s="2">
        <f>[3]q!HT104</f>
        <v>5.753333333333333</v>
      </c>
      <c r="HY33" s="2">
        <f>[3]q!HU104</f>
        <v>5.5300000000000011</v>
      </c>
      <c r="HZ33" s="2">
        <f>[3]q!HV104</f>
        <v>5.4566666666666661</v>
      </c>
      <c r="IA33" s="2">
        <f>[3]q!HW104</f>
        <v>5.6000000000000005</v>
      </c>
      <c r="IB33" s="2">
        <f>[3]q!HX104</f>
        <v>5.6533333333333333</v>
      </c>
      <c r="IC33" s="2">
        <f>[3]q!HY104</f>
        <v>5.8166666666666664</v>
      </c>
      <c r="ID33" s="2">
        <f>[3]q!HZ104</f>
        <v>5.2733333333333334</v>
      </c>
      <c r="IE33" s="2">
        <f>[3]q!IA104</f>
        <v>5.5133333333333328</v>
      </c>
      <c r="IF33" s="2">
        <f>[3]q!IB104</f>
        <v>5.2666666666666666</v>
      </c>
      <c r="IG33" s="2">
        <f>[3]q!IC104</f>
        <v>5.2</v>
      </c>
      <c r="IH33" s="2">
        <f>[3]q!ID104</f>
        <v>5.293333333333333</v>
      </c>
      <c r="II33" s="2">
        <f>[3]q!IE104</f>
        <v>5.043333333333333</v>
      </c>
      <c r="IJ33" s="2">
        <f>[3]q!IF104</f>
        <v>4.580000000000001</v>
      </c>
      <c r="IK33" s="2">
        <f>[3]q!IG104</f>
        <v>4.8566666666666665</v>
      </c>
      <c r="IL33" s="2">
        <f>[3]q!IH104</f>
        <v>5.13</v>
      </c>
      <c r="IM33" s="2">
        <f>[3]q!II104</f>
        <v>5.0366666666666671</v>
      </c>
      <c r="IN33" s="2">
        <f>[3]q!IJ104</f>
        <v>4.93</v>
      </c>
      <c r="IO33" s="6"/>
      <c r="IP33" s="6"/>
      <c r="IQ33" s="6"/>
      <c r="IR33" s="6"/>
      <c r="IS33" s="6"/>
      <c r="IT33" s="6"/>
      <c r="IU33" s="6"/>
      <c r="IV33" s="6"/>
    </row>
    <row r="34" spans="1:256" x14ac:dyDescent="0.25">
      <c r="A34" s="1" t="s">
        <v>14</v>
      </c>
      <c r="R34" s="2">
        <f>[3]q!N105</f>
        <v>3.61</v>
      </c>
      <c r="S34" s="2">
        <f>[3]q!O105</f>
        <v>3.4766666666666666</v>
      </c>
      <c r="T34" s="2">
        <f>[3]q!P105</f>
        <v>3.4866666666666668</v>
      </c>
      <c r="U34" s="2">
        <f>[3]q!Q105</f>
        <v>3.4533333333333331</v>
      </c>
      <c r="V34" s="2">
        <f>[3]q!R105</f>
        <v>3.4666666666666668</v>
      </c>
      <c r="W34" s="2">
        <f>[3]q!S105</f>
        <v>3.5</v>
      </c>
      <c r="X34" s="2">
        <f>[3]q!T105</f>
        <v>3.5566666666666666</v>
      </c>
      <c r="Y34" s="2">
        <f>[3]q!U105</f>
        <v>3.5966666666666662</v>
      </c>
      <c r="Z34" s="2">
        <f>[3]q!V105</f>
        <v>3.5933333333333333</v>
      </c>
      <c r="AA34" s="2">
        <f>[3]q!W105</f>
        <v>3.7233333333333332</v>
      </c>
      <c r="AB34" s="2">
        <f>[3]q!X105</f>
        <v>3.9333333333333336</v>
      </c>
      <c r="AC34" s="2">
        <f>[3]q!Y105</f>
        <v>4.2600000000000007</v>
      </c>
      <c r="AD34" s="2">
        <f>[3]q!Z105</f>
        <v>4.4633333333333338</v>
      </c>
      <c r="AE34" s="2">
        <f>[3]q!AA105</f>
        <v>4.53</v>
      </c>
      <c r="AF34" s="2">
        <f>[3]q!AB105</f>
        <v>4.8266666666666671</v>
      </c>
      <c r="AG34" s="2">
        <f>[3]q!AC105</f>
        <v>5.0366666666666662</v>
      </c>
      <c r="AH34" s="2">
        <f>[3]q!AD105</f>
        <v>4.7233333333333336</v>
      </c>
      <c r="AI34" s="2">
        <f>[3]q!AE105</f>
        <v>4.6133333333333333</v>
      </c>
      <c r="AJ34" s="2">
        <f>[3]q!AF105</f>
        <v>4.6900000000000004</v>
      </c>
      <c r="AK34" s="2">
        <f>[3]q!AG105</f>
        <v>4.88</v>
      </c>
      <c r="AL34" s="2">
        <f>[3]q!AH105</f>
        <v>4.87</v>
      </c>
      <c r="AM34" s="2">
        <f>[3]q!AI105</f>
        <v>4.9533333333333331</v>
      </c>
      <c r="AN34" s="2">
        <f>[3]q!AJ105</f>
        <v>5.1166666666666663</v>
      </c>
      <c r="AO34" s="2">
        <f>[3]q!AK105</f>
        <v>5.2733333333333334</v>
      </c>
      <c r="AP34" s="2">
        <f>[3]q!AL105</f>
        <v>5.31</v>
      </c>
      <c r="AQ34" s="2">
        <f>[3]q!AM105</f>
        <v>5.246666666666667</v>
      </c>
      <c r="AR34" s="2">
        <f>[3]q!AN105</f>
        <v>5.1033333333333335</v>
      </c>
      <c r="AS34" s="2">
        <f>[3]q!AO105</f>
        <v>5.0966666666666676</v>
      </c>
      <c r="AT34" s="2">
        <f>[3]q!AP105</f>
        <v>5.0633333333333335</v>
      </c>
      <c r="AU34" s="2">
        <f>[3]q!AQ105</f>
        <v>5.0166666666666666</v>
      </c>
      <c r="AV34" s="2">
        <f>[3]q!AR105</f>
        <v>5.1066666666666665</v>
      </c>
      <c r="AW34" s="2">
        <f>[3]q!AS105</f>
        <v>5.1133333333333333</v>
      </c>
      <c r="AX34" s="2">
        <f>[3]q!AT105</f>
        <v>5.0633333333333335</v>
      </c>
      <c r="AY34" s="2">
        <f>[3]q!AU105</f>
        <v>5.0133333333333328</v>
      </c>
      <c r="AZ34" s="2">
        <f>[3]q!AV105</f>
        <v>5.0466666666666669</v>
      </c>
      <c r="BA34" s="2">
        <f>[3]q!AW105</f>
        <v>4.9566666666666661</v>
      </c>
      <c r="BB34" s="2">
        <f>[3]q!AX105</f>
        <v>4.8933333333333335</v>
      </c>
      <c r="BC34" s="2">
        <f>[3]q!AY105</f>
        <v>4.8533333333333335</v>
      </c>
      <c r="BD34" s="2">
        <f>[3]q!AZ105</f>
        <v>4.8366666666666669</v>
      </c>
      <c r="BE34" s="2">
        <f>[3]q!BA105</f>
        <v>4.84</v>
      </c>
      <c r="BF34" s="2">
        <f>[3]q!BB105</f>
        <v>4.83</v>
      </c>
      <c r="BG34" s="2">
        <f>[3]q!BC105</f>
        <v>4.8500000000000005</v>
      </c>
      <c r="BH34" s="2">
        <f>[3]q!BD105</f>
        <v>4.8233333333333333</v>
      </c>
      <c r="BI34" s="2">
        <f>[3]q!BE105</f>
        <v>4.8100000000000005</v>
      </c>
      <c r="BJ34" s="2">
        <f>[3]q!BF105</f>
        <v>4.7866666666666662</v>
      </c>
      <c r="BK34" s="2">
        <f>[3]q!BG105</f>
        <v>4.82</v>
      </c>
      <c r="BL34" s="2">
        <f>[3]q!BH105</f>
        <v>4.8899999999999997</v>
      </c>
      <c r="BM34" s="2">
        <f>[3]q!BI105</f>
        <v>4.9666666666666659</v>
      </c>
      <c r="BN34" s="2">
        <f>[3]q!BJ105</f>
        <v>5.166666666666667</v>
      </c>
      <c r="BO34" s="2">
        <f>[3]q!BK105</f>
        <v>5.4899999999999993</v>
      </c>
      <c r="BP34" s="2">
        <f>[3]q!BL105</f>
        <v>5.8666666666666671</v>
      </c>
      <c r="BQ34" s="2">
        <f>[3]q!BM105</f>
        <v>6.1366666666666667</v>
      </c>
      <c r="BR34" s="2">
        <f>[3]q!BN105</f>
        <v>5.88</v>
      </c>
      <c r="BS34" s="2">
        <f>[3]q!BO105</f>
        <v>5.9799999999999995</v>
      </c>
      <c r="BT34" s="2">
        <f>[3]q!BP105</f>
        <v>6.330000000000001</v>
      </c>
      <c r="BU34" s="2">
        <f>[3]q!BQ105</f>
        <v>6.7233333333333336</v>
      </c>
      <c r="BV34" s="2">
        <f>[3]q!BR105</f>
        <v>6.830000000000001</v>
      </c>
      <c r="BW34" s="2">
        <f>[3]q!BS105</f>
        <v>7.0233333333333334</v>
      </c>
      <c r="BX34" s="2">
        <f>[3]q!BT105</f>
        <v>6.8633333333333333</v>
      </c>
      <c r="BY34" s="2">
        <f>[3]q!BU105</f>
        <v>7.0266666666666664</v>
      </c>
      <c r="BZ34" s="2">
        <f>[3]q!BV105</f>
        <v>7.3766666666666678</v>
      </c>
      <c r="CA34" s="2">
        <f>[3]q!BW105</f>
        <v>7.5866666666666669</v>
      </c>
      <c r="CB34" s="2">
        <f>[3]q!BX105</f>
        <v>7.916666666666667</v>
      </c>
      <c r="CC34" s="2">
        <f>[3]q!BY105</f>
        <v>8.3733333333333331</v>
      </c>
      <c r="CD34" s="2">
        <f>[3]q!BZ105</f>
        <v>8.7566666666666677</v>
      </c>
      <c r="CE34" s="2">
        <f>[3]q!CA105</f>
        <v>8.9766666666666666</v>
      </c>
      <c r="CF34" s="2">
        <f>[3]q!CB105</f>
        <v>9.41</v>
      </c>
      <c r="CG34" s="2">
        <f>[3]q!CC105</f>
        <v>9.2766666666666673</v>
      </c>
      <c r="CH34" s="2">
        <f>[3]q!CD105</f>
        <v>8.5300000000000011</v>
      </c>
      <c r="CI34" s="2">
        <f>[3]q!CE105</f>
        <v>8.6066666666666674</v>
      </c>
      <c r="CJ34" s="2">
        <f>[3]q!CF105</f>
        <v>8.7033333333333331</v>
      </c>
      <c r="CK34" s="2">
        <f>[3]q!CG105</f>
        <v>8.413333333333334</v>
      </c>
      <c r="CL34" s="2">
        <f>[3]q!CH105</f>
        <v>8.2333333333333343</v>
      </c>
      <c r="CM34" s="2">
        <f>[3]q!CI105</f>
        <v>8.2233333333333327</v>
      </c>
      <c r="CN34" s="2">
        <f>[3]q!CJ105</f>
        <v>8.17</v>
      </c>
      <c r="CO34" s="2">
        <f>[3]q!CK105</f>
        <v>7.9933333333333332</v>
      </c>
      <c r="CP34" s="2">
        <f>[3]q!CL105</f>
        <v>7.9666666666666659</v>
      </c>
      <c r="CQ34" s="2">
        <f>[3]q!CM105</f>
        <v>8.0933333333333337</v>
      </c>
      <c r="CR34" s="2">
        <f>[3]q!CN105</f>
        <v>8.4666666666666668</v>
      </c>
      <c r="CS34" s="2">
        <f>[3]q!CO105</f>
        <v>8.4366666666666656</v>
      </c>
      <c r="CT34" s="2">
        <f>[3]q!CP105</f>
        <v>8.543333333333333</v>
      </c>
      <c r="CU34" s="2">
        <f>[3]q!CQ105</f>
        <v>9.0633333333333344</v>
      </c>
      <c r="CV34" s="2">
        <f>[3]q!CR105</f>
        <v>9.81</v>
      </c>
      <c r="CW34" s="2">
        <f>[3]q!CS105</f>
        <v>10.57</v>
      </c>
      <c r="CX34" s="2">
        <f>[3]q!CT105</f>
        <v>10.646666666666667</v>
      </c>
      <c r="CY34" s="2">
        <f>[3]q!CU105</f>
        <v>10.63</v>
      </c>
      <c r="CZ34" s="2">
        <f>[3]q!CV105</f>
        <v>10.583333333333334</v>
      </c>
      <c r="DA34" s="2">
        <f>[3]q!CW105</f>
        <v>10.58</v>
      </c>
      <c r="DB34" s="2">
        <f>[3]q!CX105</f>
        <v>10.256666666666666</v>
      </c>
      <c r="DC34" s="2">
        <f>[3]q!CY105</f>
        <v>9.8966666666666665</v>
      </c>
      <c r="DD34" s="2">
        <f>[3]q!CZ105</f>
        <v>9.6199999999999992</v>
      </c>
      <c r="DE34" s="2">
        <f>[3]q!DA105</f>
        <v>9.2133333333333347</v>
      </c>
      <c r="DF34" s="2">
        <f>[3]q!DB105</f>
        <v>9.1066666666666674</v>
      </c>
      <c r="DG34" s="2">
        <f>[3]q!DC105</f>
        <v>8.9966666666666661</v>
      </c>
      <c r="DH34" s="2">
        <f>[3]q!DD105</f>
        <v>8.83</v>
      </c>
      <c r="DI34" s="2">
        <f>[3]q!DE105</f>
        <v>8.9433333333333351</v>
      </c>
      <c r="DJ34" s="2">
        <f>[3]q!DF105</f>
        <v>9.1966666666666672</v>
      </c>
      <c r="DK34" s="2">
        <f>[3]q!DG105</f>
        <v>9.4700000000000006</v>
      </c>
      <c r="DL34" s="2">
        <f>[3]q!DH105</f>
        <v>9.5</v>
      </c>
      <c r="DM34" s="2">
        <f>[3]q!DI105</f>
        <v>9.7866666666666671</v>
      </c>
      <c r="DN34" s="2">
        <f>[3]q!DJ105</f>
        <v>10.156666666666666</v>
      </c>
      <c r="DO34" s="2">
        <f>[3]q!DK105</f>
        <v>10.393333333333333</v>
      </c>
      <c r="DP34" s="2">
        <f>[3]q!DL105</f>
        <v>10.393333333333333</v>
      </c>
      <c r="DQ34" s="2">
        <f>[3]q!DM105</f>
        <v>11.816666666666668</v>
      </c>
      <c r="DR34" s="2">
        <f>[3]q!DN105</f>
        <v>13.480000000000002</v>
      </c>
      <c r="DS34" s="2">
        <f>[3]q!DO105</f>
        <v>13.356666666666667</v>
      </c>
      <c r="DT34" s="2">
        <f>[3]q!DP105</f>
        <v>13.166666666666666</v>
      </c>
      <c r="DU34" s="2">
        <f>[3]q!DQ105</f>
        <v>14.670000000000002</v>
      </c>
      <c r="DV34" s="2">
        <f>[3]q!DR105</f>
        <v>15.246666666666668</v>
      </c>
      <c r="DW34" s="2">
        <f>[3]q!DS105</f>
        <v>15.770000000000001</v>
      </c>
      <c r="DX34" s="2">
        <f>[3]q!DT105</f>
        <v>16.47666666666667</v>
      </c>
      <c r="DY34" s="2">
        <f>[3]q!DU105</f>
        <v>16.683333333333334</v>
      </c>
      <c r="DZ34" s="2">
        <f>[3]q!DV105</f>
        <v>17.033333333333335</v>
      </c>
      <c r="EA34" s="2">
        <f>[3]q!DW105</f>
        <v>16.78</v>
      </c>
      <c r="EB34" s="2">
        <f>[3]q!DX105</f>
        <v>16.250000000000004</v>
      </c>
      <c r="EC34" s="2">
        <f>[3]q!DY105</f>
        <v>14.39</v>
      </c>
      <c r="ED34" s="2">
        <f>[3]q!DZ105</f>
        <v>13.833333333333334</v>
      </c>
      <c r="EE34" s="2">
        <f>[3]q!EA105</f>
        <v>13.25</v>
      </c>
      <c r="EF34" s="2">
        <f>[3]q!EB105</f>
        <v>13.526666666666666</v>
      </c>
      <c r="EG34" s="2">
        <f>[3]q!EC105</f>
        <v>13.606666666666667</v>
      </c>
      <c r="EH34" s="2">
        <f>[3]q!ED105</f>
        <v>13.743333333333334</v>
      </c>
      <c r="EI34" s="2">
        <f>[3]q!EE105</f>
        <v>14.700000000000001</v>
      </c>
      <c r="EJ34" s="2">
        <f>[3]q!EF105</f>
        <v>14.71</v>
      </c>
      <c r="EK34" s="2">
        <f>[3]q!EG105</f>
        <v>13.606666666666667</v>
      </c>
      <c r="EL34" s="2">
        <f>[3]q!EH105</f>
        <v>13.393333333333333</v>
      </c>
      <c r="EM34" s="2">
        <f>[3]q!EI105</f>
        <v>13.020000000000001</v>
      </c>
      <c r="EN34" s="2">
        <f>[3]q!EJ105</f>
        <v>12.469999999999999</v>
      </c>
      <c r="EO34" s="2">
        <f>[3]q!EK105</f>
        <v>11.976666666666667</v>
      </c>
      <c r="EP34" s="2">
        <f>[3]q!EL105</f>
        <v>11.016666666666666</v>
      </c>
      <c r="EQ34" s="2">
        <f>[3]q!EM105</f>
        <v>10.273333333333333</v>
      </c>
      <c r="ER34" s="2">
        <f>[3]q!EN105</f>
        <v>10.18</v>
      </c>
      <c r="ES34" s="2">
        <f>[3]q!EO105</f>
        <v>10.093333333333334</v>
      </c>
      <c r="ET34" s="2">
        <f>[3]q!EP105</f>
        <v>9.66</v>
      </c>
      <c r="EU34" s="2">
        <f>[3]q!EQ105</f>
        <v>10.356666666666667</v>
      </c>
      <c r="EV34" s="2">
        <f>[3]q!ER105</f>
        <v>10.906666666666666</v>
      </c>
      <c r="EW34" s="2">
        <f>[3]q!ES105</f>
        <v>11.38</v>
      </c>
      <c r="EX34" s="2">
        <f>[3]q!ET105</f>
        <v>10.753333333333336</v>
      </c>
      <c r="EY34" s="2">
        <f>[3]q!EU105</f>
        <v>10.979999999999999</v>
      </c>
      <c r="EZ34" s="2">
        <f>[3]q!EV105</f>
        <v>11.073333333333332</v>
      </c>
      <c r="FA34" s="2">
        <f>[3]q!EW105</f>
        <v>10.513333333333334</v>
      </c>
      <c r="FB34" s="2">
        <f>[3]q!EX105</f>
        <v>10.643333333333333</v>
      </c>
      <c r="FC34" s="2">
        <f>[3]q!EY105</f>
        <v>10.366666666666667</v>
      </c>
      <c r="FD34" s="2">
        <f>[3]q!EZ105</f>
        <v>9.8866666666666667</v>
      </c>
      <c r="FE34" s="2">
        <f>[3]q!FA105</f>
        <v>9.8133333333333344</v>
      </c>
      <c r="FF34" s="2">
        <f>[3]q!FB105</f>
        <v>10.096666666666666</v>
      </c>
      <c r="FG34" s="2">
        <f>[3]q!FC105</f>
        <v>10.31</v>
      </c>
      <c r="FH34" s="2">
        <f>[3]q!FD105</f>
        <v>10.416666666666666</v>
      </c>
      <c r="FI34" s="2">
        <f>[3]q!FE105</f>
        <v>10.596666666666666</v>
      </c>
      <c r="FJ34" s="2">
        <f>[3]q!FF105</f>
        <v>10.203333333333335</v>
      </c>
      <c r="FK34" s="2">
        <f>[3]q!FG105</f>
        <v>9.92</v>
      </c>
      <c r="FL34" s="2">
        <f>[3]q!FH105</f>
        <v>9.6833333333333318</v>
      </c>
      <c r="FM34" s="2">
        <f>[3]q!FI105</f>
        <v>9.4</v>
      </c>
      <c r="FN34" s="2">
        <f>[3]q!FJ105</f>
        <v>9.2033333333333331</v>
      </c>
      <c r="FO34" s="2">
        <f>[3]q!FK105</f>
        <v>9.1300000000000008</v>
      </c>
      <c r="FP34" s="2">
        <f>[3]q!FL105</f>
        <v>8.7033333333333349</v>
      </c>
      <c r="FQ34" s="2">
        <f>[3]q!FM105</f>
        <v>8.8699999999999992</v>
      </c>
      <c r="FR34" s="2">
        <f>[3]q!FN105</f>
        <v>8.4033333333333342</v>
      </c>
      <c r="FS34" s="2">
        <f>[3]q!FO105</f>
        <v>8.14</v>
      </c>
      <c r="FT34" s="2">
        <f>[3]q!FP105</f>
        <v>7.623333333333334</v>
      </c>
      <c r="FU34" s="2">
        <f>[3]q!FQ105</f>
        <v>7.5533333333333337</v>
      </c>
      <c r="FV34" s="2">
        <f>[3]q!FR105</f>
        <v>7.8466666666666667</v>
      </c>
      <c r="FW34" s="2">
        <f>[3]q!FS105</f>
        <v>8.5966666666666658</v>
      </c>
      <c r="FX34" s="2">
        <f>[3]q!FT105</f>
        <v>8.84</v>
      </c>
      <c r="FY34" s="2">
        <f>[3]q!FU105</f>
        <v>9.2066666666666688</v>
      </c>
      <c r="FZ34" s="2">
        <f>[3]q!FV105</f>
        <v>8.8766666666666669</v>
      </c>
      <c r="GA34" s="2">
        <f>[3]q!FW105</f>
        <v>8.2333333333333325</v>
      </c>
      <c r="GB34" s="2">
        <f>[3]q!FX105</f>
        <v>8.0533333333333328</v>
      </c>
      <c r="GC34" s="2">
        <f>[3]q!FY105</f>
        <v>7.6400000000000006</v>
      </c>
      <c r="GD34" s="2">
        <f>[3]q!FZ105</f>
        <v>7.71</v>
      </c>
      <c r="GE34" s="2">
        <f>[3]q!GA105</f>
        <v>8.2966666666666669</v>
      </c>
      <c r="GF34" s="2">
        <f>[3]q!GB105</f>
        <v>8.2933333333333348</v>
      </c>
      <c r="GG34" s="2">
        <f>[3]q!GC105</f>
        <v>7.916666666666667</v>
      </c>
      <c r="GH34" s="2">
        <f>[3]q!GD105</f>
        <v>8.07</v>
      </c>
      <c r="GI34" s="2">
        <f>[3]q!GE105</f>
        <v>8.1866666666666656</v>
      </c>
      <c r="GJ34" s="2">
        <f>[3]q!GF105</f>
        <v>7.7566666666666668</v>
      </c>
      <c r="GK34" s="2">
        <f>[3]q!GG105</f>
        <v>7.4366666666666674</v>
      </c>
      <c r="GL34" s="2">
        <f>[3]q!GH105</f>
        <v>7.2533333333333339</v>
      </c>
      <c r="GM34" s="2">
        <f>[3]q!GI105</f>
        <v>7.253333333333333</v>
      </c>
      <c r="GN34" s="2">
        <f>[3]q!GJ105</f>
        <v>7.1266666666666678</v>
      </c>
      <c r="GO34" s="2">
        <f>[3]q!GK105</f>
        <v>7.25</v>
      </c>
      <c r="GP34" s="2">
        <f>[3]q!GL105</f>
        <v>7.4033333333333333</v>
      </c>
      <c r="GQ34" s="2">
        <f>[3]q!GM105</f>
        <v>7.7399999999999993</v>
      </c>
      <c r="GR34" s="2">
        <f>[3]q!GN105</f>
        <v>8.1</v>
      </c>
      <c r="GS34" s="2">
        <f>[3]q!GO105</f>
        <v>8.24</v>
      </c>
      <c r="GT34" s="2">
        <f>[3]q!GP105</f>
        <v>8.33</v>
      </c>
      <c r="GU34" s="2">
        <f>[3]q!GQ105</f>
        <v>8.5933333333333337</v>
      </c>
      <c r="GV34" s="2">
        <f>[3]q!GR105</f>
        <v>8.32</v>
      </c>
      <c r="GW34" s="2">
        <f>[3]q!GS105</f>
        <v>8.2133333333333329</v>
      </c>
      <c r="GX34" s="2">
        <f>[3]q!GT105</f>
        <v>7.88</v>
      </c>
      <c r="GY34" s="2">
        <f>[3]q!GU105</f>
        <v>8.0366666666666671</v>
      </c>
      <c r="GZ34" s="2">
        <f>[3]q!GV105</f>
        <v>7.95</v>
      </c>
      <c r="HA34" s="2">
        <f>[3]q!GW105</f>
        <v>7.9233333333333347</v>
      </c>
      <c r="HB34" s="2">
        <f>[3]q!GX105</f>
        <v>7.956666666666667</v>
      </c>
      <c r="HC34" s="2">
        <f>[3]q!GY105</f>
        <v>8.0233333333333317</v>
      </c>
      <c r="HD34" s="2">
        <f>[3]q!GZ105</f>
        <v>7.6266666666666678</v>
      </c>
      <c r="HE34" s="2">
        <f>[3]q!HA105</f>
        <v>7.6000000000000005</v>
      </c>
      <c r="HF34" s="2">
        <f>[3]q!HB105</f>
        <v>7.12</v>
      </c>
      <c r="HG34" s="2">
        <f>[3]q!HC105</f>
        <v>6.4733333333333336</v>
      </c>
      <c r="HH34" s="2">
        <f>[3]q!HD105</f>
        <v>6.8066666666666658</v>
      </c>
      <c r="HI34" s="2">
        <f>[3]q!HE105</f>
        <v>6.663333333333334</v>
      </c>
      <c r="HJ34" s="2">
        <f>[3]q!HF105</f>
        <v>6.2733333333333334</v>
      </c>
      <c r="HK34" s="2">
        <f>[3]q!HG105</f>
        <v>6.663333333333334</v>
      </c>
      <c r="HL34" s="2">
        <f>[3]q!HH105</f>
        <v>6.45</v>
      </c>
      <c r="HM34" s="2">
        <f>[3]q!HI105</f>
        <v>6.1866666666666674</v>
      </c>
      <c r="HN34" s="2">
        <f>[3]q!HJ105</f>
        <v>5.9666666666666659</v>
      </c>
      <c r="HO34" s="2">
        <f>[3]q!HK105</f>
        <v>5.9733333333333327</v>
      </c>
      <c r="HP34" s="2">
        <f>[3]q!HL105</f>
        <v>5.98</v>
      </c>
      <c r="HQ34" s="2">
        <f>[3]q!HM105</f>
        <v>6.3366666666666669</v>
      </c>
      <c r="HR34" s="2">
        <f>[3]q!HN105</f>
        <v>6.3066666666666675</v>
      </c>
      <c r="HS34" s="2">
        <f>[3]q!HO105</f>
        <v>6.7366666666666672</v>
      </c>
      <c r="HT34" s="2">
        <f>[3]q!HP105</f>
        <v>6.5933333333333337</v>
      </c>
      <c r="HU34" s="2">
        <f>[3]q!HQ105</f>
        <v>6.28</v>
      </c>
      <c r="HV34" s="2">
        <f>[3]q!HR105</f>
        <v>6.2966666666666669</v>
      </c>
      <c r="HW34" s="2">
        <f>[3]q!HS105</f>
        <v>6.4933333333333332</v>
      </c>
      <c r="HX34" s="2">
        <f>[3]q!HT105</f>
        <v>6.63</v>
      </c>
      <c r="HY34" s="2">
        <f>[3]q!HU105</f>
        <v>6.5100000000000007</v>
      </c>
      <c r="HZ34" s="2">
        <f>[3]q!HV105</f>
        <v>6.75</v>
      </c>
      <c r="IA34" s="2">
        <f>[3]q!HW105</f>
        <v>6.9899999999999993</v>
      </c>
      <c r="IB34" s="2">
        <f>[3]q!HX105</f>
        <v>7.206666666666667</v>
      </c>
      <c r="IC34" s="2">
        <f>[3]q!HY105</f>
        <v>8.8400000000000016</v>
      </c>
      <c r="ID34" s="2">
        <f>[3]q!HZ105</f>
        <v>8.2133333333333329</v>
      </c>
      <c r="IE34" s="2">
        <f>[3]q!IA105</f>
        <v>7.9833333333333343</v>
      </c>
      <c r="IF34" s="2">
        <f>[3]q!IB105</f>
        <v>6.66</v>
      </c>
      <c r="IG34" s="2">
        <f>[3]q!IC105</f>
        <v>6.3266666666666671</v>
      </c>
      <c r="IH34" s="2">
        <f>[3]q!ID105</f>
        <v>6.2866666666666662</v>
      </c>
      <c r="II34" s="2">
        <f>[3]q!IE105</f>
        <v>6.1766666666666667</v>
      </c>
      <c r="IJ34" s="2">
        <f>[3]q!IF105</f>
        <v>5.7766666666666664</v>
      </c>
      <c r="IK34" s="2">
        <f>[3]q!IG105</f>
        <v>5.913333333333334</v>
      </c>
      <c r="IL34" s="2">
        <f>[3]q!IH105</f>
        <v>6.09</v>
      </c>
      <c r="IM34" s="2">
        <f>[3]q!II105</f>
        <v>5.8500000000000005</v>
      </c>
      <c r="IN34" s="2">
        <f>[3]q!IJ105</f>
        <v>5.76</v>
      </c>
      <c r="IO34" s="6"/>
      <c r="IP34" s="6"/>
      <c r="IQ34" s="6"/>
      <c r="IR34" s="6"/>
      <c r="IS34" s="6"/>
      <c r="IT34" s="6"/>
      <c r="IU34" s="6"/>
      <c r="IV34" s="6"/>
    </row>
    <row r="35" spans="1:256" x14ac:dyDescent="0.25">
      <c r="A35" t="s">
        <v>20</v>
      </c>
      <c r="R35" s="2">
        <f>[3]q!N102</f>
        <v>1.1666666666666667</v>
      </c>
      <c r="S35" s="2">
        <f>[3]q!O102</f>
        <v>0.79999999999999993</v>
      </c>
      <c r="T35" s="2">
        <f>[3]q!P102</f>
        <v>1.0266666666666666</v>
      </c>
      <c r="U35" s="2">
        <f>[3]q!Q102</f>
        <v>0.98666666666666669</v>
      </c>
      <c r="V35" s="2">
        <f>[3]q!R102</f>
        <v>1.3433333333333335</v>
      </c>
      <c r="W35" s="2">
        <f>[3]q!S102</f>
        <v>1.5</v>
      </c>
      <c r="X35" s="2">
        <f>[3]q!T102</f>
        <v>1.9400000000000002</v>
      </c>
      <c r="Y35" s="2">
        <f>[3]q!U102</f>
        <v>2.3566666666666669</v>
      </c>
      <c r="Z35" s="2">
        <f>[3]q!V102</f>
        <v>2.4833333333333334</v>
      </c>
      <c r="AA35" s="2">
        <f>[3]q!W102</f>
        <v>2.6933333333333334</v>
      </c>
      <c r="AB35" s="2">
        <f>[3]q!X102</f>
        <v>2.81</v>
      </c>
      <c r="AC35" s="2">
        <f>[3]q!Y102</f>
        <v>2.9266666666666663</v>
      </c>
      <c r="AD35" s="2">
        <f>[3]q!Z102</f>
        <v>2.9333333333333336</v>
      </c>
      <c r="AE35" s="2">
        <f>[3]q!AA102</f>
        <v>3</v>
      </c>
      <c r="AF35" s="2">
        <f>[3]q!AB102</f>
        <v>3.2333333333333338</v>
      </c>
      <c r="AG35" s="2">
        <f>[3]q!AC102</f>
        <v>3.2533333333333334</v>
      </c>
      <c r="AH35" s="2">
        <f>[3]q!AD102</f>
        <v>1.8633333333333335</v>
      </c>
      <c r="AI35" s="2">
        <f>[3]q!AE102</f>
        <v>0.94000000000000006</v>
      </c>
      <c r="AJ35" s="2">
        <f>[3]q!AF102</f>
        <v>1.3233333333333333</v>
      </c>
      <c r="AK35" s="2">
        <f>[3]q!AG102</f>
        <v>2.1633333333333336</v>
      </c>
      <c r="AL35" s="2">
        <f>[3]q!AH102</f>
        <v>2.5700000000000003</v>
      </c>
      <c r="AM35" s="2">
        <f>[3]q!AI102</f>
        <v>3.0833333333333335</v>
      </c>
      <c r="AN35" s="2">
        <f>[3]q!AJ102</f>
        <v>3.5766666666666667</v>
      </c>
      <c r="AO35" s="2">
        <f>[3]q!AK102</f>
        <v>3.99</v>
      </c>
      <c r="AP35" s="2">
        <f>[3]q!AL102</f>
        <v>3.9333333333333336</v>
      </c>
      <c r="AQ35" s="2">
        <f>[3]q!AM102</f>
        <v>3.6966666666666668</v>
      </c>
      <c r="AR35" s="2">
        <f>[3]q!AN102</f>
        <v>2.936666666666667</v>
      </c>
      <c r="AS35" s="2">
        <f>[3]q!AO102</f>
        <v>2.2966666666666669</v>
      </c>
      <c r="AT35" s="2">
        <f>[3]q!AP102</f>
        <v>2.0033333333333334</v>
      </c>
      <c r="AU35" s="2">
        <f>[3]q!AQ102</f>
        <v>1.7333333333333332</v>
      </c>
      <c r="AV35" s="2">
        <f>[3]q!AR102</f>
        <v>1.6833333333333333</v>
      </c>
      <c r="AW35" s="2">
        <f>[3]q!AS102</f>
        <v>2.4</v>
      </c>
      <c r="AX35" s="2">
        <f>[3]q!AT102</f>
        <v>2.4566666666666666</v>
      </c>
      <c r="AY35" s="2">
        <f>[3]q!AU102</f>
        <v>2.6066666666666669</v>
      </c>
      <c r="AZ35" s="2">
        <f>[3]q!AV102</f>
        <v>2.8466666666666671</v>
      </c>
      <c r="BA35" s="2">
        <f>[3]q!AW102</f>
        <v>2.9233333333333333</v>
      </c>
      <c r="BB35" s="2">
        <f>[3]q!AX102</f>
        <v>2.9666666666666668</v>
      </c>
      <c r="BC35" s="2">
        <f>[3]q!AY102</f>
        <v>2.9633333333333334</v>
      </c>
      <c r="BD35" s="2">
        <f>[3]q!AZ102</f>
        <v>3.33</v>
      </c>
      <c r="BE35" s="2">
        <f>[3]q!BA102</f>
        <v>3.4533333333333331</v>
      </c>
      <c r="BF35" s="2">
        <f>[3]q!BB102</f>
        <v>3.4633333333333334</v>
      </c>
      <c r="BG35" s="2">
        <f>[3]q!BC102</f>
        <v>3.49</v>
      </c>
      <c r="BH35" s="2">
        <f>[3]q!BD102</f>
        <v>3.456666666666667</v>
      </c>
      <c r="BI35" s="2">
        <f>[3]q!BE102</f>
        <v>3.5766666666666667</v>
      </c>
      <c r="BJ35" s="2">
        <f>[3]q!BF102</f>
        <v>3.9733333333333332</v>
      </c>
      <c r="BK35" s="2">
        <f>[3]q!BG102</f>
        <v>4.0766666666666671</v>
      </c>
      <c r="BL35" s="2">
        <f>[3]q!BH102</f>
        <v>4.0733333333333333</v>
      </c>
      <c r="BM35" s="2">
        <f>[3]q!BI102</f>
        <v>4.166666666666667</v>
      </c>
      <c r="BN35" s="2">
        <f>[3]q!BJ102</f>
        <v>4.5566666666666666</v>
      </c>
      <c r="BO35" s="2">
        <f>[3]q!BK102</f>
        <v>4.9133333333333331</v>
      </c>
      <c r="BP35" s="2">
        <f>[3]q!BL102</f>
        <v>5.41</v>
      </c>
      <c r="BQ35" s="2">
        <f>[3]q!BM102</f>
        <v>5.5633333333333326</v>
      </c>
      <c r="BR35" s="2">
        <f>[3]q!BN102</f>
        <v>4.8233333333333341</v>
      </c>
      <c r="BS35" s="2">
        <f>[3]q!BO102</f>
        <v>3.99</v>
      </c>
      <c r="BT35" s="2">
        <f>[3]q!BP102</f>
        <v>3.8933333333333331</v>
      </c>
      <c r="BU35" s="2">
        <f>[3]q!BQ102</f>
        <v>4.1733333333333329</v>
      </c>
      <c r="BV35" s="2">
        <f>[3]q!BR102</f>
        <v>4.7866666666666662</v>
      </c>
      <c r="BW35" s="2">
        <f>[3]q!BS102</f>
        <v>5.98</v>
      </c>
      <c r="BX35" s="2">
        <f>[3]q!BT102</f>
        <v>5.9433333333333342</v>
      </c>
      <c r="BY35" s="2">
        <f>[3]q!BU102</f>
        <v>5.916666666666667</v>
      </c>
      <c r="BZ35" s="2">
        <f>[3]q!BV102</f>
        <v>6.5666666666666664</v>
      </c>
      <c r="CA35" s="2">
        <f>[3]q!BW102</f>
        <v>8.3266666666666662</v>
      </c>
      <c r="CB35" s="2">
        <f>[3]q!BX102</f>
        <v>8.9833333333333325</v>
      </c>
      <c r="CC35" s="2">
        <f>[3]q!BY102</f>
        <v>8.94</v>
      </c>
      <c r="CD35" s="2">
        <f>[3]q!BZ102</f>
        <v>8.5733333333333324</v>
      </c>
      <c r="CE35" s="2">
        <f>[3]q!CA102</f>
        <v>7.88</v>
      </c>
      <c r="CF35" s="2">
        <f>[3]q!CB102</f>
        <v>6.7033333333333331</v>
      </c>
      <c r="CG35" s="2">
        <f>[3]q!CC102</f>
        <v>5.5666666666666673</v>
      </c>
      <c r="CH35" s="2">
        <f>[3]q!CD102</f>
        <v>3.8566666666666669</v>
      </c>
      <c r="CI35" s="2">
        <f>[3]q!CE102</f>
        <v>4.5633333333333335</v>
      </c>
      <c r="CJ35" s="2">
        <f>[3]q!CF102</f>
        <v>5.4733333333333336</v>
      </c>
      <c r="CK35" s="2">
        <f>[3]q!CG102</f>
        <v>4.75</v>
      </c>
      <c r="CL35" s="2">
        <f>[3]q!CH102</f>
        <v>3.436666666666667</v>
      </c>
      <c r="CM35" s="2">
        <f>[3]q!CI102</f>
        <v>3.77</v>
      </c>
      <c r="CN35" s="2">
        <f>[3]q!CJ102</f>
        <v>4.22</v>
      </c>
      <c r="CO35" s="2">
        <f>[3]q!CK102</f>
        <v>4.8633333333333333</v>
      </c>
      <c r="CP35" s="2">
        <f>[3]q!CL102</f>
        <v>5.7</v>
      </c>
      <c r="CQ35" s="2">
        <f>[3]q!CM102</f>
        <v>6.6033333333333344</v>
      </c>
      <c r="CR35" s="2">
        <f>[3]q!CN102</f>
        <v>8.3233333333333324</v>
      </c>
      <c r="CS35" s="2">
        <f>[3]q!CO102</f>
        <v>7.5</v>
      </c>
      <c r="CT35" s="2">
        <f>[3]q!CP102</f>
        <v>7.6166666666666671</v>
      </c>
      <c r="CU35" s="2">
        <f>[3]q!CQ102</f>
        <v>8.1533333333333342</v>
      </c>
      <c r="CV35" s="2">
        <f>[3]q!CR102</f>
        <v>8.19</v>
      </c>
      <c r="CW35" s="2">
        <f>[3]q!CS102</f>
        <v>7.3599999999999994</v>
      </c>
      <c r="CX35" s="2">
        <f>[3]q!CT102</f>
        <v>5.75</v>
      </c>
      <c r="CY35" s="2">
        <f>[3]q!CU102</f>
        <v>5.3933333333333335</v>
      </c>
      <c r="CZ35" s="2">
        <f>[3]q!CV102</f>
        <v>6.330000000000001</v>
      </c>
      <c r="DA35" s="2">
        <f>[3]q!CW102</f>
        <v>5.6266666666666678</v>
      </c>
      <c r="DB35" s="2">
        <f>[3]q!CX102</f>
        <v>4.916666666666667</v>
      </c>
      <c r="DC35" s="2">
        <f>[3]q!CY102</f>
        <v>5.1566666666666672</v>
      </c>
      <c r="DD35" s="2">
        <f>[3]q!CZ102</f>
        <v>5.15</v>
      </c>
      <c r="DE35" s="2">
        <f>[3]q!DA102</f>
        <v>4.54</v>
      </c>
      <c r="DF35" s="2">
        <f>[3]q!DB102</f>
        <v>4.6066666666666665</v>
      </c>
      <c r="DG35" s="2">
        <f>[3]q!DC102</f>
        <v>4.8933333333333335</v>
      </c>
      <c r="DH35" s="2">
        <f>[3]q!DD102</f>
        <v>5.61</v>
      </c>
      <c r="DI35" s="2">
        <f>[3]q!DE102</f>
        <v>6.1033333333333344</v>
      </c>
      <c r="DJ35" s="2">
        <f>[3]q!DF102</f>
        <v>6.416666666666667</v>
      </c>
      <c r="DK35" s="2">
        <f>[3]q!DG102</f>
        <v>6.66</v>
      </c>
      <c r="DL35" s="2">
        <f>[3]q!DH102</f>
        <v>7.3366666666666669</v>
      </c>
      <c r="DM35" s="2">
        <f>[3]q!DI102</f>
        <v>8.9699999999999989</v>
      </c>
      <c r="DN35" s="2">
        <f>[3]q!DJ102</f>
        <v>9.3733333333333331</v>
      </c>
      <c r="DO35" s="2">
        <f>[3]q!DK102</f>
        <v>9.3466666666666658</v>
      </c>
      <c r="DP35" s="2">
        <f>[3]q!DL102</f>
        <v>9.69</v>
      </c>
      <c r="DQ35" s="2">
        <f>[3]q!DM102</f>
        <v>12.076666666666666</v>
      </c>
      <c r="DR35" s="2">
        <f>[3]q!DN102</f>
        <v>13.633333333333333</v>
      </c>
      <c r="DS35" s="2">
        <f>[3]q!DO102</f>
        <v>8.9233333333333338</v>
      </c>
      <c r="DT35" s="2">
        <f>[3]q!DP102</f>
        <v>10.006666666666668</v>
      </c>
      <c r="DU35" s="2">
        <f>[3]q!DQ102</f>
        <v>13.993333333333334</v>
      </c>
      <c r="DV35" s="2">
        <f>[3]q!DR102</f>
        <v>13.866666666666667</v>
      </c>
      <c r="DW35" s="2">
        <f>[3]q!DS102</f>
        <v>14.800000000000002</v>
      </c>
      <c r="DX35" s="2">
        <f>[3]q!DT102</f>
        <v>14.97</v>
      </c>
      <c r="DY35" s="2">
        <f>[3]q!DU102</f>
        <v>11.63</v>
      </c>
      <c r="DZ35" s="2">
        <f>[3]q!DV102</f>
        <v>12.79</v>
      </c>
      <c r="EA35" s="2">
        <f>[3]q!DW102</f>
        <v>12.216666666666667</v>
      </c>
      <c r="EB35" s="2">
        <f>[3]q!DX102</f>
        <v>8.7433333333333341</v>
      </c>
      <c r="EC35" s="2">
        <f>[3]q!DY102</f>
        <v>7.9799999999999995</v>
      </c>
      <c r="ED35" s="2">
        <f>[3]q!DZ102</f>
        <v>8.1966666666666672</v>
      </c>
      <c r="EE35" s="2">
        <f>[3]q!EA102</f>
        <v>8.49</v>
      </c>
      <c r="EF35" s="2">
        <f>[3]q!EB102</f>
        <v>9.09</v>
      </c>
      <c r="EG35" s="2">
        <f>[3]q!EC102</f>
        <v>8.6266666666666669</v>
      </c>
      <c r="EH35" s="2">
        <f>[3]q!ED102</f>
        <v>9.2366666666666664</v>
      </c>
      <c r="EI35" s="2">
        <f>[3]q!EE102</f>
        <v>9.7866666666666671</v>
      </c>
      <c r="EJ35" s="2">
        <f>[3]q!EF102</f>
        <v>10.443333333333333</v>
      </c>
      <c r="EK35" s="2">
        <f>[3]q!EG102</f>
        <v>8.4166666666666661</v>
      </c>
      <c r="EL35" s="2">
        <f>[3]q!EH102</f>
        <v>8.2100000000000009</v>
      </c>
      <c r="EM35" s="2">
        <f>[3]q!EI102</f>
        <v>7.2766666666666664</v>
      </c>
      <c r="EN35" s="2">
        <f>[3]q!EJ102</f>
        <v>7.2933333333333339</v>
      </c>
      <c r="EO35" s="2">
        <f>[3]q!EK102</f>
        <v>7.3533333333333344</v>
      </c>
      <c r="EP35" s="2">
        <f>[3]q!EL102</f>
        <v>6.98</v>
      </c>
      <c r="EQ35" s="2">
        <f>[3]q!EM102</f>
        <v>6.2233333333333336</v>
      </c>
      <c r="ER35" s="2">
        <f>[3]q!EN102</f>
        <v>5.5366666666666662</v>
      </c>
      <c r="ES35" s="2">
        <f>[3]q!EO102</f>
        <v>5.57</v>
      </c>
      <c r="ET35" s="2">
        <f>[3]q!EP102</f>
        <v>5.71</v>
      </c>
      <c r="EU35" s="2">
        <f>[3]q!EQ102</f>
        <v>5.7866666666666662</v>
      </c>
      <c r="EV35" s="2">
        <f>[3]q!ER102</f>
        <v>6.45</v>
      </c>
      <c r="EW35" s="2">
        <f>[3]q!ES102</f>
        <v>5.4733333333333336</v>
      </c>
      <c r="EX35" s="2">
        <f>[3]q!ET102</f>
        <v>5.8266666666666671</v>
      </c>
      <c r="EY35" s="2">
        <f>[3]q!EU102</f>
        <v>6.5133333333333328</v>
      </c>
      <c r="EZ35" s="2">
        <f>[3]q!EV102</f>
        <v>7.4000000000000012</v>
      </c>
      <c r="FA35" s="2">
        <f>[3]q!EW102</f>
        <v>8.0299999999999994</v>
      </c>
      <c r="FB35" s="2">
        <f>[3]q!EX102</f>
        <v>8.9666666666666668</v>
      </c>
      <c r="FC35" s="2">
        <f>[3]q!EY102</f>
        <v>8.6300000000000008</v>
      </c>
      <c r="FD35" s="2">
        <f>[3]q!EZ102</f>
        <v>8.1199999999999992</v>
      </c>
      <c r="FE35" s="2">
        <f>[3]q!FA102</f>
        <v>7.913333333333334</v>
      </c>
      <c r="FF35" s="2">
        <f>[3]q!FB102</f>
        <v>8.0333333333333332</v>
      </c>
      <c r="FG35" s="2">
        <f>[3]q!FC102</f>
        <v>8.0200000000000014</v>
      </c>
      <c r="FH35" s="2">
        <f>[3]q!FD102</f>
        <v>7.5733333333333341</v>
      </c>
      <c r="FI35" s="2">
        <f>[3]q!FE102</f>
        <v>7.0799999999999992</v>
      </c>
      <c r="FJ35" s="2">
        <f>[3]q!FF102</f>
        <v>6.163333333333334</v>
      </c>
      <c r="FK35" s="2">
        <f>[3]q!FG102</f>
        <v>5.69</v>
      </c>
      <c r="FL35" s="2">
        <f>[3]q!FH102</f>
        <v>5.4766666666666666</v>
      </c>
      <c r="FM35" s="2">
        <f>[3]q!FI102</f>
        <v>4.456666666666667</v>
      </c>
      <c r="FN35" s="2">
        <f>[3]q!FJ102</f>
        <v>4.0366666666666671</v>
      </c>
      <c r="FO35" s="2">
        <f>[3]q!FK102</f>
        <v>3.7466666666666666</v>
      </c>
      <c r="FP35" s="2">
        <f>[3]q!FL102</f>
        <v>3.0733333333333337</v>
      </c>
      <c r="FQ35" s="2">
        <f>[3]q!FM102</f>
        <v>3.17</v>
      </c>
      <c r="FR35" s="2">
        <f>[3]q!FN102</f>
        <v>2.9766666666666666</v>
      </c>
      <c r="FS35" s="2">
        <f>[3]q!FO102</f>
        <v>3.06</v>
      </c>
      <c r="FT35" s="2">
        <f>[3]q!FP102</f>
        <v>3.0566666666666666</v>
      </c>
      <c r="FU35" s="2">
        <f>[3]q!FQ102</f>
        <v>3.08</v>
      </c>
      <c r="FV35" s="2">
        <f>[3]q!FR102</f>
        <v>3.3466666666666671</v>
      </c>
      <c r="FW35" s="2">
        <f>[3]q!FS102</f>
        <v>4.1566666666666672</v>
      </c>
      <c r="FX35" s="2">
        <f>[3]q!FT102</f>
        <v>4.6133333333333333</v>
      </c>
      <c r="FY35" s="2">
        <f>[3]q!FU102</f>
        <v>5.5333333333333341</v>
      </c>
      <c r="FZ35" s="2">
        <f>[3]q!FV102</f>
        <v>5.94</v>
      </c>
      <c r="GA35" s="2">
        <f>[3]q!FW102</f>
        <v>5.79</v>
      </c>
      <c r="GB35" s="2">
        <f>[3]q!FX102</f>
        <v>5.4833333333333343</v>
      </c>
      <c r="GC35" s="2">
        <f>[3]q!FY102</f>
        <v>5.3733333333333322</v>
      </c>
      <c r="GD35" s="2">
        <f>[3]q!FZ102</f>
        <v>5.0699999999999994</v>
      </c>
      <c r="GE35" s="2">
        <f>[3]q!GA102</f>
        <v>5.16</v>
      </c>
      <c r="GF35" s="2">
        <f>[3]q!GB102</f>
        <v>5.2166666666666659</v>
      </c>
      <c r="GG35" s="2">
        <f>[3]q!GC102</f>
        <v>5.1433333333333335</v>
      </c>
      <c r="GH35" s="2">
        <f>[3]q!GD102</f>
        <v>5.2366666666666672</v>
      </c>
      <c r="GI35" s="2">
        <f>[3]q!GE102</f>
        <v>5.12</v>
      </c>
      <c r="GJ35" s="2">
        <f>[3]q!GF102</f>
        <v>5.1933333333333342</v>
      </c>
      <c r="GK35" s="2">
        <f>[3]q!GG102</f>
        <v>5.2600000000000007</v>
      </c>
      <c r="GL35" s="2">
        <f>[3]q!GH102</f>
        <v>5.2233333333333336</v>
      </c>
      <c r="GM35" s="2">
        <f>[3]q!GI102</f>
        <v>5.0333333333333341</v>
      </c>
      <c r="GN35" s="2">
        <f>[3]q!GJ102</f>
        <v>4.7766666666666664</v>
      </c>
      <c r="GO35" s="2">
        <f>[3]q!GK102</f>
        <v>4.4466666666666663</v>
      </c>
      <c r="GP35" s="2">
        <f>[3]q!GL102</f>
        <v>4.5566666666666666</v>
      </c>
      <c r="GQ35" s="2">
        <f>[3]q!GM102</f>
        <v>4.663333333333334</v>
      </c>
      <c r="GR35" s="2">
        <f>[3]q!GN102</f>
        <v>4.8466666666666667</v>
      </c>
      <c r="GS35" s="2">
        <f>[3]q!GO102</f>
        <v>5.2233333333333327</v>
      </c>
      <c r="GT35" s="2">
        <f>[3]q!GP102</f>
        <v>5.7866666666666662</v>
      </c>
      <c r="GU35" s="2">
        <f>[3]q!GQ102</f>
        <v>5.7733333333333334</v>
      </c>
      <c r="GV35" s="2">
        <f>[3]q!GR102</f>
        <v>6.2366666666666672</v>
      </c>
      <c r="GW35" s="2">
        <f>[3]q!GS102</f>
        <v>6.1566666666666663</v>
      </c>
      <c r="GX35" s="2">
        <f>[3]q!GT102</f>
        <v>4.706666666666667</v>
      </c>
      <c r="GY35" s="2">
        <f>[3]q!GU102</f>
        <v>3.686666666666667</v>
      </c>
      <c r="GZ35" s="2">
        <f>[3]q!GV102</f>
        <v>3.0933333333333337</v>
      </c>
      <c r="HA35" s="2">
        <f>[3]q!GW102</f>
        <v>1.8533333333333335</v>
      </c>
      <c r="HB35" s="2">
        <f>[3]q!GX102</f>
        <v>1.7733333333333334</v>
      </c>
      <c r="HC35" s="2">
        <f>[3]q!GY102</f>
        <v>1.7166666666666668</v>
      </c>
      <c r="HD35" s="2">
        <f>[3]q!GZ102</f>
        <v>1.64</v>
      </c>
      <c r="HE35" s="2">
        <f>[3]q!HA102</f>
        <v>1.2966666666666666</v>
      </c>
      <c r="HF35" s="2">
        <f>[3]q!HB102</f>
        <v>1.1399999999999999</v>
      </c>
      <c r="HG35" s="2">
        <f>[3]q!HC102</f>
        <v>1.0133333333333334</v>
      </c>
      <c r="HH35" s="2">
        <f>[3]q!HD102</f>
        <v>0.94666666666666677</v>
      </c>
      <c r="HI35" s="2">
        <f>[3]q!HE102</f>
        <v>0.91666666666666663</v>
      </c>
      <c r="HJ35" s="2">
        <f>[3]q!HF102</f>
        <v>0.92</v>
      </c>
      <c r="HK35" s="2">
        <f>[3]q!HG102</f>
        <v>1.1066666666666667</v>
      </c>
      <c r="HL35" s="2">
        <f>[3]q!HH102</f>
        <v>1.5599999999999998</v>
      </c>
      <c r="HM35" s="2">
        <f>[3]q!HI102</f>
        <v>2.08</v>
      </c>
      <c r="HN35" s="2">
        <f>[3]q!HJ102</f>
        <v>2.6433333333333331</v>
      </c>
      <c r="HO35" s="2">
        <f>[3]q!HK102</f>
        <v>2.9433333333333334</v>
      </c>
      <c r="HP35" s="2">
        <f>[3]q!HL102</f>
        <v>3.4166666666666665</v>
      </c>
      <c r="HQ35" s="2">
        <f>[3]q!HM102</f>
        <v>3.9133333333333336</v>
      </c>
      <c r="HR35" s="2">
        <f>[3]q!HN102</f>
        <v>4.4666666666666659</v>
      </c>
      <c r="HS35" s="2">
        <f>[3]q!HO102</f>
        <v>4.7533333333333339</v>
      </c>
      <c r="HT35" s="2">
        <f>[3]q!HP102</f>
        <v>4.8866666666666667</v>
      </c>
      <c r="HU35" s="2">
        <f>[3]q!HQ102</f>
        <v>4.913333333333334</v>
      </c>
      <c r="HV35" s="2">
        <f>[3]q!HR102</f>
        <v>4.9666666666666668</v>
      </c>
      <c r="HW35" s="2">
        <f>[3]q!HS102</f>
        <v>4.6900000000000004</v>
      </c>
      <c r="HX35" s="2">
        <f>[3]q!HT102</f>
        <v>4.1500000000000004</v>
      </c>
      <c r="HY35" s="2">
        <f>[3]q!HU102</f>
        <v>3.4033333333333338</v>
      </c>
      <c r="HZ35" s="2">
        <f>[3]q!HV102</f>
        <v>1.6966666666666665</v>
      </c>
      <c r="IA35" s="2">
        <f>[3]q!HW102</f>
        <v>1.71</v>
      </c>
      <c r="IB35" s="2">
        <f>[3]q!HX102</f>
        <v>1.4133333333333333</v>
      </c>
      <c r="IC35" s="2">
        <f>[3]q!HY102</f>
        <v>0.18666666666666668</v>
      </c>
      <c r="ID35" s="2">
        <f>[3]q!HZ102</f>
        <v>0.23666666666666666</v>
      </c>
      <c r="IE35" s="2">
        <f>[3]q!IA102</f>
        <v>0.15666666666666668</v>
      </c>
      <c r="IF35" s="2">
        <f>[3]q!IB102</f>
        <v>0.15666666666666665</v>
      </c>
      <c r="IG35" s="2">
        <f>[3]q!IC102</f>
        <v>5.6666666666666664E-2</v>
      </c>
      <c r="IH35" s="2">
        <f>[3]q!ID102</f>
        <v>0.12333333333333334</v>
      </c>
      <c r="II35" s="2">
        <f>[3]q!IE102</f>
        <v>0.16666666666666666</v>
      </c>
      <c r="IJ35" s="2">
        <f>[3]q!IF102</f>
        <v>0.15000000000000002</v>
      </c>
      <c r="IK35" s="2">
        <f>[3]q!IG102</f>
        <v>0.13666666666666669</v>
      </c>
      <c r="IL35" s="2">
        <f>[3]q!IH102</f>
        <v>0.13</v>
      </c>
      <c r="IM35" s="2">
        <f>[3]q!II102</f>
        <v>4.3333333333333335E-2</v>
      </c>
      <c r="IN35" s="2">
        <f>[3]q!IJ102</f>
        <v>6.0000000000000005E-2</v>
      </c>
      <c r="IO35" s="7" t="str">
        <f>IF(ISNUMBER('[4]Fortschreibung von Monatswerten'!IO28),'[4]Fortschreibung von Monatswerten'!IO28,"")</f>
        <v/>
      </c>
      <c r="IP35" s="7" t="str">
        <f>IF(ISNUMBER('[4]Fortschreibung von Monatswerten'!IP28),'[4]Fortschreibung von Monatswerten'!IP28,"")</f>
        <v/>
      </c>
      <c r="IQ35" s="7" t="str">
        <f>IF(ISNUMBER('[4]Fortschreibung von Monatswerten'!IQ28),'[4]Fortschreibung von Monatswerten'!IQ28,"")</f>
        <v/>
      </c>
      <c r="IR35" s="7" t="str">
        <f>IF(ISNUMBER('[4]Fortschreibung von Monatswerten'!IR28),'[4]Fortschreibung von Monatswerten'!IR28,"")</f>
        <v/>
      </c>
      <c r="IS35" s="7" t="str">
        <f>IF(ISNUMBER('[4]Fortschreibung von Monatswerten'!IS28),'[4]Fortschreibung von Monatswerten'!IS28,"")</f>
        <v/>
      </c>
      <c r="IT35" s="7" t="str">
        <f>IF(ISNUMBER('[4]Fortschreibung von Monatswerten'!IT28),'[4]Fortschreibung von Monatswerten'!IT28,"")</f>
        <v/>
      </c>
      <c r="IU35" s="7" t="str">
        <f>IF(ISNUMBER('[4]Fortschreibung von Monatswerten'!IU28),'[4]Fortschreibung von Monatswerten'!IU28,"")</f>
        <v/>
      </c>
      <c r="IV35" s="7" t="str">
        <f>IF(ISNUMBER('[4]Fortschreibung von Monatswerten'!IV28),'[4]Fortschreibung von Monatswerten'!IV28,"")</f>
        <v/>
      </c>
    </row>
    <row r="36" spans="1:256" x14ac:dyDescent="0.25">
      <c r="A36" t="s">
        <v>19</v>
      </c>
      <c r="R36" s="2">
        <f>[3]q!N103</f>
        <v>2.44</v>
      </c>
      <c r="S36" s="2">
        <f>[3]q!O103</f>
        <v>2.3466666666666667</v>
      </c>
      <c r="T36" s="2">
        <f>[3]q!P103</f>
        <v>2.3466666666666667</v>
      </c>
      <c r="U36" s="2">
        <f>[3]q!Q103</f>
        <v>2.4733333333333332</v>
      </c>
      <c r="V36" s="2">
        <f>[3]q!R103</f>
        <v>2.6466666666666665</v>
      </c>
      <c r="W36" s="2">
        <f>[3]q!S103</f>
        <v>2.7633333333333332</v>
      </c>
      <c r="X36" s="2">
        <f>[3]q!T103</f>
        <v>2.9466666666666668</v>
      </c>
      <c r="Y36" s="2">
        <f>[3]q!U103</f>
        <v>2.91</v>
      </c>
      <c r="Z36" s="2">
        <f>[3]q!V103</f>
        <v>2.9</v>
      </c>
      <c r="AA36" s="2">
        <f>[3]q!W103</f>
        <v>3.0833333333333335</v>
      </c>
      <c r="AB36" s="2">
        <f>[3]q!X103</f>
        <v>3.2733333333333334</v>
      </c>
      <c r="AC36" s="2">
        <f>[3]q!Y103</f>
        <v>3.4733333333333332</v>
      </c>
      <c r="AD36" s="2">
        <f>[3]q!Z103</f>
        <v>3.4033333333333338</v>
      </c>
      <c r="AE36" s="2">
        <f>[3]q!AA103</f>
        <v>3.6266666666666669</v>
      </c>
      <c r="AF36" s="2">
        <f>[3]q!AB103</f>
        <v>3.9266666666666672</v>
      </c>
      <c r="AG36" s="2">
        <f>[3]q!AC103</f>
        <v>3.6333333333333333</v>
      </c>
      <c r="AH36" s="2">
        <f>[3]q!AD103</f>
        <v>3.0400000000000005</v>
      </c>
      <c r="AI36" s="2">
        <f>[3]q!AE103</f>
        <v>2.9233333333333333</v>
      </c>
      <c r="AJ36" s="2">
        <f>[3]q!AF103</f>
        <v>3.5</v>
      </c>
      <c r="AK36" s="2">
        <f>[3]q!AG103</f>
        <v>3.8000000000000003</v>
      </c>
      <c r="AL36" s="2">
        <f>[3]q!AH103</f>
        <v>3.99</v>
      </c>
      <c r="AM36" s="2">
        <f>[3]q!AI103</f>
        <v>4.2566666666666668</v>
      </c>
      <c r="AN36" s="2">
        <f>[3]q!AJ103</f>
        <v>4.503333333333333</v>
      </c>
      <c r="AO36" s="2">
        <f>[3]q!AK103</f>
        <v>4.583333333333333</v>
      </c>
      <c r="AP36" s="2">
        <f>[3]q!AL103</f>
        <v>4.4866666666666672</v>
      </c>
      <c r="AQ36" s="2">
        <f>[3]q!AM103</f>
        <v>4.2600000000000007</v>
      </c>
      <c r="AR36" s="2">
        <f>[3]q!AN103</f>
        <v>3.8333333333333335</v>
      </c>
      <c r="AS36" s="2">
        <f>[3]q!AO103</f>
        <v>3.8866666666666667</v>
      </c>
      <c r="AT36" s="2">
        <f>[3]q!AP103</f>
        <v>3.7866666666666666</v>
      </c>
      <c r="AU36" s="2">
        <f>[3]q!AQ103</f>
        <v>3.7900000000000005</v>
      </c>
      <c r="AV36" s="2">
        <f>[3]q!AR103</f>
        <v>3.98</v>
      </c>
      <c r="AW36" s="2">
        <f>[3]q!AS103</f>
        <v>3.9733333333333332</v>
      </c>
      <c r="AX36" s="2">
        <f>[3]q!AT103</f>
        <v>4.0166666666666666</v>
      </c>
      <c r="AY36" s="2">
        <f>[3]q!AU103</f>
        <v>3.8733333333333335</v>
      </c>
      <c r="AZ36" s="2">
        <f>[3]q!AV103</f>
        <v>3.99</v>
      </c>
      <c r="BA36" s="2">
        <f>[3]q!AW103</f>
        <v>3.9033333333333329</v>
      </c>
      <c r="BB36" s="2">
        <f>[3]q!AX103</f>
        <v>3.8933333333333331</v>
      </c>
      <c r="BC36" s="2">
        <f>[3]q!AY103</f>
        <v>3.9633333333333334</v>
      </c>
      <c r="BD36" s="2">
        <f>[3]q!AZ103</f>
        <v>4.0333333333333332</v>
      </c>
      <c r="BE36" s="2">
        <f>[3]q!BA103</f>
        <v>4.12</v>
      </c>
      <c r="BF36" s="2">
        <f>[3]q!BB103</f>
        <v>4.18</v>
      </c>
      <c r="BG36" s="2">
        <f>[3]q!BC103</f>
        <v>4.2</v>
      </c>
      <c r="BH36" s="2">
        <f>[3]q!BD103</f>
        <v>4.1933333333333342</v>
      </c>
      <c r="BI36" s="2">
        <f>[3]q!BE103</f>
        <v>4.1733333333333329</v>
      </c>
      <c r="BJ36" s="2">
        <f>[3]q!BF103</f>
        <v>4.2033333333333331</v>
      </c>
      <c r="BK36" s="2">
        <f>[3]q!BG103</f>
        <v>4.206666666666667</v>
      </c>
      <c r="BL36" s="2">
        <f>[3]q!BH103</f>
        <v>4.2466666666666661</v>
      </c>
      <c r="BM36" s="2">
        <f>[3]q!BI103</f>
        <v>4.4733333333333336</v>
      </c>
      <c r="BN36" s="2">
        <f>[3]q!BJ103</f>
        <v>4.7700000000000005</v>
      </c>
      <c r="BO36" s="2">
        <f>[3]q!BK103</f>
        <v>4.78</v>
      </c>
      <c r="BP36" s="2">
        <f>[3]q!BL103</f>
        <v>5.14</v>
      </c>
      <c r="BQ36" s="2">
        <f>[3]q!BM103</f>
        <v>5.003333333333333</v>
      </c>
      <c r="BR36" s="2">
        <f>[3]q!BN103</f>
        <v>4.583333333333333</v>
      </c>
      <c r="BS36" s="2">
        <f>[3]q!BO103</f>
        <v>4.82</v>
      </c>
      <c r="BT36" s="2">
        <f>[3]q!BP103</f>
        <v>5.246666666666667</v>
      </c>
      <c r="BU36" s="2">
        <f>[3]q!BQ103</f>
        <v>5.6433333333333335</v>
      </c>
      <c r="BV36" s="2">
        <f>[3]q!BR103</f>
        <v>5.6099999999999994</v>
      </c>
      <c r="BW36" s="2">
        <f>[3]q!BS103</f>
        <v>5.7433333333333332</v>
      </c>
      <c r="BX36" s="2">
        <f>[3]q!BT103</f>
        <v>5.46</v>
      </c>
      <c r="BY36" s="2">
        <f>[3]q!BU103</f>
        <v>5.7700000000000005</v>
      </c>
      <c r="BZ36" s="2">
        <f>[3]q!BV103</f>
        <v>6.1766666666666667</v>
      </c>
      <c r="CA36" s="2">
        <f>[3]q!BW103</f>
        <v>6.3533333333333344</v>
      </c>
      <c r="CB36" s="2">
        <f>[3]q!BX103</f>
        <v>6.8566666666666665</v>
      </c>
      <c r="CC36" s="2">
        <f>[3]q!BY103</f>
        <v>7.2966666666666669</v>
      </c>
      <c r="CD36" s="2">
        <f>[3]q!BZ103</f>
        <v>7.3666666666666671</v>
      </c>
      <c r="CE36" s="2">
        <f>[3]q!CA103</f>
        <v>7.7133333333333338</v>
      </c>
      <c r="CF36" s="2">
        <f>[3]q!CB103</f>
        <v>7.4600000000000009</v>
      </c>
      <c r="CG36" s="2">
        <f>[3]q!CC103</f>
        <v>6.8533333333333344</v>
      </c>
      <c r="CH36" s="2">
        <f>[3]q!CD103</f>
        <v>6.0166666666666666</v>
      </c>
      <c r="CI36" s="2">
        <f>[3]q!CE103</f>
        <v>6.246666666666667</v>
      </c>
      <c r="CJ36" s="2">
        <f>[3]q!CF103</f>
        <v>6.4833333333333343</v>
      </c>
      <c r="CK36" s="2">
        <f>[3]q!CG103</f>
        <v>5.8900000000000006</v>
      </c>
      <c r="CL36" s="2">
        <f>[3]q!CH103</f>
        <v>6.0333333333333341</v>
      </c>
      <c r="CM36" s="2">
        <f>[3]q!CI103</f>
        <v>6.1433333333333335</v>
      </c>
      <c r="CN36" s="2">
        <f>[3]q!CJ103</f>
        <v>6.29</v>
      </c>
      <c r="CO36" s="2">
        <f>[3]q!CK103</f>
        <v>6.373333333333334</v>
      </c>
      <c r="CP36" s="2">
        <f>[3]q!CL103</f>
        <v>6.6033333333333344</v>
      </c>
      <c r="CQ36" s="2">
        <f>[3]q!CM103</f>
        <v>6.8066666666666675</v>
      </c>
      <c r="CR36" s="2">
        <f>[3]q!CN103</f>
        <v>7.206666666666667</v>
      </c>
      <c r="CS36" s="2">
        <f>[3]q!CO103</f>
        <v>6.753333333333333</v>
      </c>
      <c r="CT36" s="2">
        <f>[3]q!CP103</f>
        <v>7.0533333333333337</v>
      </c>
      <c r="CU36" s="2">
        <f>[3]q!CQ103</f>
        <v>7.543333333333333</v>
      </c>
      <c r="CV36" s="2">
        <f>[3]q!CR103</f>
        <v>7.9633333333333338</v>
      </c>
      <c r="CW36" s="2">
        <f>[3]q!CS103</f>
        <v>7.669999999999999</v>
      </c>
      <c r="CX36" s="2">
        <f>[3]q!CT103</f>
        <v>7.54</v>
      </c>
      <c r="CY36" s="2">
        <f>[3]q!CU103</f>
        <v>8.0499999999999989</v>
      </c>
      <c r="CZ36" s="2">
        <f>[3]q!CV103</f>
        <v>8.2966666666666669</v>
      </c>
      <c r="DA36" s="2">
        <f>[3]q!CW103</f>
        <v>8.0633333333333344</v>
      </c>
      <c r="DB36" s="2">
        <f>[3]q!CX103</f>
        <v>7.7533333333333339</v>
      </c>
      <c r="DC36" s="2">
        <f>[3]q!CY103</f>
        <v>7.7733333333333334</v>
      </c>
      <c r="DD36" s="2">
        <f>[3]q!CZ103</f>
        <v>7.73</v>
      </c>
      <c r="DE36" s="2">
        <f>[3]q!DA103</f>
        <v>7.19</v>
      </c>
      <c r="DF36" s="2">
        <f>[3]q!DB103</f>
        <v>7.3533333333333344</v>
      </c>
      <c r="DG36" s="2">
        <f>[3]q!DC103</f>
        <v>7.37</v>
      </c>
      <c r="DH36" s="2">
        <f>[3]q!DD103</f>
        <v>7.3566666666666665</v>
      </c>
      <c r="DI36" s="2">
        <f>[3]q!DE103</f>
        <v>7.5966666666666676</v>
      </c>
      <c r="DJ36" s="2">
        <f>[3]q!DF103</f>
        <v>8.01</v>
      </c>
      <c r="DK36" s="2">
        <f>[3]q!DG103</f>
        <v>8.32</v>
      </c>
      <c r="DL36" s="2">
        <f>[3]q!DH103</f>
        <v>8.49</v>
      </c>
      <c r="DM36" s="2">
        <f>[3]q!DI103</f>
        <v>8.82</v>
      </c>
      <c r="DN36" s="2">
        <f>[3]q!DJ103</f>
        <v>9.1066666666666674</v>
      </c>
      <c r="DO36" s="2">
        <f>[3]q!DK103</f>
        <v>9.1133333333333333</v>
      </c>
      <c r="DP36" s="2">
        <f>[3]q!DL103</f>
        <v>9.1033333333333335</v>
      </c>
      <c r="DQ36" s="2">
        <f>[3]q!DM103</f>
        <v>10.446666666666667</v>
      </c>
      <c r="DR36" s="2">
        <f>[3]q!DN103</f>
        <v>11.986666666666666</v>
      </c>
      <c r="DS36" s="2">
        <f>[3]q!DO103</f>
        <v>10.476666666666667</v>
      </c>
      <c r="DT36" s="2">
        <f>[3]q!DP103</f>
        <v>10.953333333333333</v>
      </c>
      <c r="DU36" s="2">
        <f>[3]q!DQ103</f>
        <v>12.423333333333332</v>
      </c>
      <c r="DV36" s="2">
        <f>[3]q!DR103</f>
        <v>12.959999999999999</v>
      </c>
      <c r="DW36" s="2">
        <f>[3]q!DS103</f>
        <v>13.75</v>
      </c>
      <c r="DX36" s="2">
        <f>[3]q!DT103</f>
        <v>14.846666666666666</v>
      </c>
      <c r="DY36" s="2">
        <f>[3]q!DU103</f>
        <v>14.086666666666666</v>
      </c>
      <c r="DZ36" s="2">
        <f>[3]q!DV103</f>
        <v>14.293333333333331</v>
      </c>
      <c r="EA36" s="2">
        <f>[3]q!DW103</f>
        <v>13.930000000000001</v>
      </c>
      <c r="EB36" s="2">
        <f>[3]q!DX103</f>
        <v>13.116666666666667</v>
      </c>
      <c r="EC36" s="2">
        <f>[3]q!DY103</f>
        <v>10.666666666666666</v>
      </c>
      <c r="ED36" s="2">
        <f>[3]q!DZ103</f>
        <v>10.563333333333333</v>
      </c>
      <c r="EE36" s="2">
        <f>[3]q!EA103</f>
        <v>10.543333333333335</v>
      </c>
      <c r="EF36" s="2">
        <f>[3]q!EB103</f>
        <v>11.626666666666667</v>
      </c>
      <c r="EG36" s="2">
        <f>[3]q!EC103</f>
        <v>11.686666666666667</v>
      </c>
      <c r="EH36" s="2">
        <f>[3]q!ED103</f>
        <v>11.943333333333333</v>
      </c>
      <c r="EI36" s="2">
        <f>[3]q!EE103</f>
        <v>13.200000000000001</v>
      </c>
      <c r="EJ36" s="2">
        <f>[3]q!EF103</f>
        <v>12.866666666666665</v>
      </c>
      <c r="EK36" s="2">
        <f>[3]q!EG103</f>
        <v>11.743333333333334</v>
      </c>
      <c r="EL36" s="2">
        <f>[3]q!EH103</f>
        <v>11.583333333333334</v>
      </c>
      <c r="EM36" s="2">
        <f>[3]q!EI103</f>
        <v>10.813333333333333</v>
      </c>
      <c r="EN36" s="2">
        <f>[3]q!EJ103</f>
        <v>10.336666666666668</v>
      </c>
      <c r="EO36" s="2">
        <f>[3]q!EK103</f>
        <v>9.76</v>
      </c>
      <c r="EP36" s="2">
        <f>[3]q!EL103</f>
        <v>8.5566666666666666</v>
      </c>
      <c r="EQ36" s="2">
        <f>[3]q!EM103</f>
        <v>7.6033333333333326</v>
      </c>
      <c r="ER36" s="2">
        <f>[3]q!EN103</f>
        <v>7.3066666666666658</v>
      </c>
      <c r="ES36" s="2">
        <f>[3]q!EO103</f>
        <v>7.2633333333333328</v>
      </c>
      <c r="ET36" s="2">
        <f>[3]q!EP103</f>
        <v>7.1933333333333325</v>
      </c>
      <c r="EU36" s="2">
        <f>[3]q!EQ103</f>
        <v>8.3433333333333337</v>
      </c>
      <c r="EV36" s="2">
        <f>[3]q!ER103</f>
        <v>8.8766666666666669</v>
      </c>
      <c r="EW36" s="2">
        <f>[3]q!ES103</f>
        <v>9.1233333333333331</v>
      </c>
      <c r="EX36" s="2">
        <f>[3]q!ET103</f>
        <v>8.4166666666666679</v>
      </c>
      <c r="EY36" s="2">
        <f>[3]q!EU103</f>
        <v>8.9100000000000019</v>
      </c>
      <c r="EZ36" s="2">
        <f>[3]q!EV103</f>
        <v>9.1</v>
      </c>
      <c r="FA36" s="2">
        <f>[3]q!EW103</f>
        <v>8.956666666666667</v>
      </c>
      <c r="FB36" s="2">
        <f>[3]q!EX103</f>
        <v>9.2066666666666652</v>
      </c>
      <c r="FC36" s="2">
        <f>[3]q!EY103</f>
        <v>8.7733333333333334</v>
      </c>
      <c r="FD36" s="2">
        <f>[3]q!EZ103</f>
        <v>8.1066666666666674</v>
      </c>
      <c r="FE36" s="2">
        <f>[3]q!FA103</f>
        <v>7.9066666666666663</v>
      </c>
      <c r="FF36" s="2">
        <f>[3]q!FB103</f>
        <v>8.4233333333333338</v>
      </c>
      <c r="FG36" s="2">
        <f>[3]q!FC103</f>
        <v>8.6766666666666676</v>
      </c>
      <c r="FH36" s="2">
        <f>[3]q!FD103</f>
        <v>8.7033333333333331</v>
      </c>
      <c r="FI36" s="2">
        <f>[3]q!FE103</f>
        <v>8.3966666666666665</v>
      </c>
      <c r="FJ36" s="2">
        <f>[3]q!FF103</f>
        <v>8.0166666666666675</v>
      </c>
      <c r="FK36" s="2">
        <f>[3]q!FG103</f>
        <v>8.1300000000000008</v>
      </c>
      <c r="FL36" s="2">
        <f>[3]q!FH103</f>
        <v>7.94</v>
      </c>
      <c r="FM36" s="2">
        <f>[3]q!FI103</f>
        <v>7.3466666666666667</v>
      </c>
      <c r="FN36" s="2">
        <f>[3]q!FJ103</f>
        <v>7.3033333333333337</v>
      </c>
      <c r="FO36" s="2">
        <f>[3]q!FK103</f>
        <v>7.3766666666666678</v>
      </c>
      <c r="FP36" s="2">
        <f>[3]q!FL103</f>
        <v>6.6166666666666671</v>
      </c>
      <c r="FQ36" s="2">
        <f>[3]q!FM103</f>
        <v>6.7433333333333332</v>
      </c>
      <c r="FR36" s="2">
        <f>[3]q!FN103</f>
        <v>6.28</v>
      </c>
      <c r="FS36" s="2">
        <f>[3]q!FO103</f>
        <v>5.9899999999999993</v>
      </c>
      <c r="FT36" s="2">
        <f>[3]q!FP103</f>
        <v>5.6166666666666671</v>
      </c>
      <c r="FU36" s="2">
        <f>[3]q!FQ103</f>
        <v>5.6066666666666665</v>
      </c>
      <c r="FV36" s="2">
        <f>[3]q!FR103</f>
        <v>6.0666666666666664</v>
      </c>
      <c r="FW36" s="2">
        <f>[3]q!FS103</f>
        <v>7.083333333333333</v>
      </c>
      <c r="FX36" s="2">
        <f>[3]q!FT103</f>
        <v>7.333333333333333</v>
      </c>
      <c r="FY36" s="2">
        <f>[3]q!FU103</f>
        <v>7.836666666666666</v>
      </c>
      <c r="FZ36" s="2">
        <f>[3]q!FV103</f>
        <v>7.4833333333333334</v>
      </c>
      <c r="GA36" s="2">
        <f>[3]q!FW103</f>
        <v>6.62</v>
      </c>
      <c r="GB36" s="2">
        <f>[3]q!FX103</f>
        <v>6.3233333333333333</v>
      </c>
      <c r="GC36" s="2">
        <f>[3]q!FY103</f>
        <v>5.8933333333333335</v>
      </c>
      <c r="GD36" s="2">
        <f>[3]q!FZ103</f>
        <v>5.91</v>
      </c>
      <c r="GE36" s="2">
        <f>[3]q!GA103</f>
        <v>6.72</v>
      </c>
      <c r="GF36" s="2">
        <f>[3]q!GB103</f>
        <v>6.7800000000000011</v>
      </c>
      <c r="GG36" s="2">
        <f>[3]q!GC103</f>
        <v>6.3433333333333337</v>
      </c>
      <c r="GH36" s="2">
        <f>[3]q!GD103</f>
        <v>6.5633333333333335</v>
      </c>
      <c r="GI36" s="2">
        <f>[3]q!GE103</f>
        <v>6.6966666666666681</v>
      </c>
      <c r="GJ36" s="2">
        <f>[3]q!GF103</f>
        <v>6.2433333333333332</v>
      </c>
      <c r="GK36" s="2">
        <f>[3]q!GG103</f>
        <v>5.9066666666666663</v>
      </c>
      <c r="GL36" s="2">
        <f>[3]q!GH103</f>
        <v>5.586666666666666</v>
      </c>
      <c r="GM36" s="2">
        <f>[3]q!GI103</f>
        <v>5.5966666666666667</v>
      </c>
      <c r="GN36" s="2">
        <f>[3]q!GJ103</f>
        <v>5.203333333333334</v>
      </c>
      <c r="GO36" s="2">
        <f>[3]q!GK103</f>
        <v>4.67</v>
      </c>
      <c r="GP36" s="2">
        <f>[3]q!GL103</f>
        <v>4.9833333333333334</v>
      </c>
      <c r="GQ36" s="2">
        <f>[3]q!GM103</f>
        <v>5.5399999999999991</v>
      </c>
      <c r="GR36" s="2">
        <f>[3]q!GN103</f>
        <v>5.8833333333333329</v>
      </c>
      <c r="GS36" s="2">
        <f>[3]q!GO103</f>
        <v>6.1400000000000006</v>
      </c>
      <c r="GT36" s="2">
        <f>[3]q!GP103</f>
        <v>6.4799999999999995</v>
      </c>
      <c r="GU36" s="2">
        <f>[3]q!GQ103</f>
        <v>6.1766666666666667</v>
      </c>
      <c r="GV36" s="2">
        <f>[3]q!GR103</f>
        <v>5.8933333333333335</v>
      </c>
      <c r="GW36" s="2">
        <f>[3]q!GS103</f>
        <v>5.5666666666666673</v>
      </c>
      <c r="GX36" s="2">
        <f>[3]q!GT103</f>
        <v>5.0500000000000007</v>
      </c>
      <c r="GY36" s="2">
        <f>[3]q!GU103</f>
        <v>5.27</v>
      </c>
      <c r="GZ36" s="2">
        <f>[3]q!GV103</f>
        <v>4.9800000000000004</v>
      </c>
      <c r="HA36" s="2">
        <f>[3]q!GW103</f>
        <v>4.7700000000000005</v>
      </c>
      <c r="HB36" s="2">
        <f>[3]q!GX103</f>
        <v>5.0766666666666671</v>
      </c>
      <c r="HC36" s="2">
        <f>[3]q!GY103</f>
        <v>5.1000000000000005</v>
      </c>
      <c r="HD36" s="2">
        <f>[3]q!GZ103</f>
        <v>4.2600000000000007</v>
      </c>
      <c r="HE36" s="2">
        <f>[3]q!HA103</f>
        <v>4.0066666666666668</v>
      </c>
      <c r="HF36" s="2">
        <f>[3]q!HB103</f>
        <v>3.92</v>
      </c>
      <c r="HG36" s="2">
        <f>[3]q!HC103</f>
        <v>3.6199999999999997</v>
      </c>
      <c r="HH36" s="2">
        <f>[3]q!HD103</f>
        <v>4.2333333333333334</v>
      </c>
      <c r="HI36" s="2">
        <f>[3]q!HE103</f>
        <v>4.2866666666666662</v>
      </c>
      <c r="HJ36" s="2">
        <f>[3]q!HF103</f>
        <v>4.0200000000000005</v>
      </c>
      <c r="HK36" s="2">
        <f>[3]q!HG103</f>
        <v>4.6000000000000005</v>
      </c>
      <c r="HL36" s="2">
        <f>[3]q!HH103</f>
        <v>4.3033333333333337</v>
      </c>
      <c r="HM36" s="2">
        <f>[3]q!HI103</f>
        <v>4.1733333333333329</v>
      </c>
      <c r="HN36" s="2">
        <f>[3]q!HJ103</f>
        <v>4.2966666666666669</v>
      </c>
      <c r="HO36" s="2">
        <f>[3]q!HK103</f>
        <v>4.16</v>
      </c>
      <c r="HP36" s="2">
        <f>[3]q!HL103</f>
        <v>4.2133333333333338</v>
      </c>
      <c r="HQ36" s="2">
        <f>[3]q!HM103</f>
        <v>4.4899999999999993</v>
      </c>
      <c r="HR36" s="2">
        <f>[3]q!HN103</f>
        <v>4.57</v>
      </c>
      <c r="HS36" s="2">
        <f>[3]q!HO103</f>
        <v>5.07</v>
      </c>
      <c r="HT36" s="2">
        <f>[3]q!HP103</f>
        <v>4.8966666666666656</v>
      </c>
      <c r="HU36" s="2">
        <f>[3]q!HQ103</f>
        <v>4.6300000000000008</v>
      </c>
      <c r="HV36" s="2">
        <f>[3]q!HR103</f>
        <v>4.6800000000000006</v>
      </c>
      <c r="HW36" s="2">
        <f>[3]q!HS103</f>
        <v>4.8466666666666676</v>
      </c>
      <c r="HX36" s="2">
        <f>[3]q!HT103</f>
        <v>4.7300000000000004</v>
      </c>
      <c r="HY36" s="2">
        <f>[3]q!HU103</f>
        <v>4.26</v>
      </c>
      <c r="HZ36" s="2">
        <f>[3]q!HV103</f>
        <v>3.6633333333333336</v>
      </c>
      <c r="IA36" s="2">
        <f>[3]q!HW103</f>
        <v>3.8866666666666667</v>
      </c>
      <c r="IB36" s="2">
        <f>[3]q!HX103</f>
        <v>3.8633333333333333</v>
      </c>
      <c r="IC36" s="2">
        <f>[3]q!HY103</f>
        <v>3.2533333333333334</v>
      </c>
      <c r="ID36" s="2">
        <f>[3]q!HZ103</f>
        <v>2.7366666666666668</v>
      </c>
      <c r="IE36" s="2">
        <f>[3]q!IA103</f>
        <v>3.3133333333333339</v>
      </c>
      <c r="IF36" s="2">
        <f>[3]q!IB103</f>
        <v>3.5166666666666671</v>
      </c>
      <c r="IG36" s="2">
        <f>[3]q!IC103</f>
        <v>3.4599999999999995</v>
      </c>
      <c r="IH36" s="2">
        <f>[3]q!ID103</f>
        <v>3.7166666666666668</v>
      </c>
      <c r="II36" s="2">
        <f>[3]q!IE103</f>
        <v>3.4899999999999998</v>
      </c>
      <c r="IJ36" s="2">
        <f>[3]q!IF103</f>
        <v>2.7866666666666671</v>
      </c>
      <c r="IK36" s="2">
        <f>[3]q!IG103</f>
        <v>2.8633333333333333</v>
      </c>
      <c r="IL36" s="2">
        <f>[3]q!IH103</f>
        <v>3.4600000000000004</v>
      </c>
      <c r="IM36" s="2">
        <f>[3]q!II103</f>
        <v>3.2099999999999995</v>
      </c>
      <c r="IN36" s="2">
        <f>[3]q!IJ103</f>
        <v>3</v>
      </c>
      <c r="IO36" s="7" t="str">
        <f>IF(ISNUMBER('[4]Fortschreibung von Monatswerten'!IO29),'[4]Fortschreibung von Monatswerten'!IO29,"")</f>
        <v/>
      </c>
      <c r="IP36" s="7" t="str">
        <f>IF(ISNUMBER('[4]Fortschreibung von Monatswerten'!IP29),'[4]Fortschreibung von Monatswerten'!IP29,"")</f>
        <v/>
      </c>
      <c r="IQ36" s="7" t="str">
        <f>IF(ISNUMBER('[4]Fortschreibung von Monatswerten'!IQ29),'[4]Fortschreibung von Monatswerten'!IQ29,"")</f>
        <v/>
      </c>
      <c r="IR36" s="7" t="str">
        <f>IF(ISNUMBER('[4]Fortschreibung von Monatswerten'!IR29),'[4]Fortschreibung von Monatswerten'!IR29,"")</f>
        <v/>
      </c>
      <c r="IS36" s="7" t="str">
        <f>IF(ISNUMBER('[4]Fortschreibung von Monatswerten'!IS29),'[4]Fortschreibung von Monatswerten'!IS29,"")</f>
        <v/>
      </c>
      <c r="IT36" s="7" t="str">
        <f>IF(ISNUMBER('[4]Fortschreibung von Monatswerten'!IT29),'[4]Fortschreibung von Monatswerten'!IT29,"")</f>
        <v/>
      </c>
      <c r="IU36" s="7" t="str">
        <f>IF(ISNUMBER('[4]Fortschreibung von Monatswerten'!IU29),'[4]Fortschreibung von Monatswerten'!IU29,"")</f>
        <v/>
      </c>
      <c r="IV36" s="7" t="str">
        <f>IF(ISNUMBER('[4]Fortschreibung von Monatswerten'!IV29),'[4]Fortschreibung von Monatswerten'!IV29,"")</f>
        <v/>
      </c>
    </row>
    <row r="37" spans="1:256" x14ac:dyDescent="0.25">
      <c r="A37" s="1" t="s">
        <v>57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>
        <f>[3]q!AL71</f>
        <v>0.63</v>
      </c>
      <c r="AQ37" s="3">
        <f>[3]q!AM71</f>
        <v>-1.76</v>
      </c>
      <c r="AR37" s="3">
        <f>[3]q!AN71</f>
        <v>-0.6</v>
      </c>
      <c r="AS37" s="3">
        <f>[3]q!AO71</f>
        <v>-0.02</v>
      </c>
      <c r="AT37" s="3">
        <f>[3]q!AP71</f>
        <v>7.0000000000000007E-2</v>
      </c>
      <c r="AU37" s="3">
        <f>[3]q!AQ71</f>
        <v>7.0000000000000007E-2</v>
      </c>
      <c r="AV37" s="3">
        <f>[3]q!AR71</f>
        <v>1.02</v>
      </c>
      <c r="AW37" s="3">
        <f>[3]q!AS71</f>
        <v>0.66</v>
      </c>
      <c r="AX37" s="3">
        <f>[3]q!AT71</f>
        <v>0.36</v>
      </c>
      <c r="AY37" s="3">
        <f>[3]q!AU71</f>
        <v>0.62</v>
      </c>
      <c r="AZ37" s="3">
        <f>[3]q!AV71</f>
        <v>-0.02</v>
      </c>
      <c r="BA37" s="3">
        <f>[3]q!AW71</f>
        <v>-0.03</v>
      </c>
      <c r="BB37" s="3">
        <f>[3]q!AX71</f>
        <v>0.71</v>
      </c>
      <c r="BC37" s="3">
        <f>[3]q!AY71</f>
        <v>1.44</v>
      </c>
      <c r="BD37" s="3">
        <f>[3]q!AZ71</f>
        <v>0.39</v>
      </c>
      <c r="BE37" s="3">
        <f>[3]q!BA71</f>
        <v>0.63</v>
      </c>
      <c r="BF37" s="3">
        <f>[3]q!BB71</f>
        <v>1.31</v>
      </c>
      <c r="BG37" s="3">
        <f>[3]q!BC71</f>
        <v>-1.1000000000000001</v>
      </c>
      <c r="BH37" s="3">
        <f>[3]q!BD71</f>
        <v>-0.34</v>
      </c>
      <c r="BI37" s="3">
        <f>[3]q!BE71</f>
        <v>-0.37</v>
      </c>
      <c r="BJ37" s="3">
        <f>[3]q!BF71</f>
        <v>0.08</v>
      </c>
      <c r="BK37" s="3">
        <f>[3]q!BG71</f>
        <v>0.15</v>
      </c>
      <c r="BL37" s="3">
        <f>[3]q!BH71</f>
        <v>0.08</v>
      </c>
      <c r="BM37" s="3">
        <f>[3]q!BI71</f>
        <v>-0.41000000000000003</v>
      </c>
      <c r="BN37" s="3">
        <f>[3]q!BJ71</f>
        <v>0.42</v>
      </c>
      <c r="BO37" s="3">
        <f>[3]q!BK71</f>
        <v>-1.47</v>
      </c>
      <c r="BP37" s="3">
        <f>[3]q!BL71</f>
        <v>-0.55000000000000004</v>
      </c>
      <c r="BQ37" s="3">
        <f>[3]q!BM71</f>
        <v>-1.7</v>
      </c>
      <c r="BR37" s="3">
        <f>[3]q!BN71</f>
        <v>-0.43</v>
      </c>
      <c r="BS37" s="3">
        <f>[3]q!BO71</f>
        <v>1.57</v>
      </c>
      <c r="BT37" s="3">
        <f>[3]q!BP71</f>
        <v>0.77</v>
      </c>
      <c r="BU37" s="3">
        <f>[3]q!BQ71</f>
        <v>0.93</v>
      </c>
      <c r="BV37" s="3">
        <f>[3]q!BR71</f>
        <v>0.11</v>
      </c>
      <c r="BW37" s="3">
        <f>[3]q!BS71</f>
        <v>0.43</v>
      </c>
      <c r="BX37" s="3">
        <f>[3]q!BT71</f>
        <v>0.3</v>
      </c>
      <c r="BY37" s="3">
        <f>[3]q!BU71</f>
        <v>0.21</v>
      </c>
      <c r="BZ37" s="3">
        <f>[3]q!BV71</f>
        <v>0.64</v>
      </c>
      <c r="CA37" s="3">
        <f>[3]q!BW71</f>
        <v>-0.19</v>
      </c>
      <c r="CB37" s="3">
        <f>[3]q!BX71</f>
        <v>-0.14000000000000001</v>
      </c>
      <c r="CC37" s="3">
        <f>[3]q!BY71</f>
        <v>-1.27</v>
      </c>
      <c r="CD37" s="3">
        <f>[3]q!BZ71</f>
        <v>0.03</v>
      </c>
      <c r="CE37" s="3">
        <f>[3]q!CA71</f>
        <v>-1.08</v>
      </c>
      <c r="CF37" s="3">
        <f>[3]q!CB71</f>
        <v>0.8</v>
      </c>
      <c r="CG37" s="3">
        <f>[3]q!CC71</f>
        <v>1.62</v>
      </c>
      <c r="CH37" s="3">
        <f>[3]q!CD71</f>
        <v>0.94000000000000006</v>
      </c>
      <c r="CI37" s="3">
        <f>[3]q!CE71</f>
        <v>1.8</v>
      </c>
      <c r="CJ37" s="3">
        <f>[3]q!CF71</f>
        <v>0.97</v>
      </c>
      <c r="CK37" s="3">
        <f>[3]q!CG71</f>
        <v>0.79</v>
      </c>
      <c r="CL37" s="3">
        <f>[3]q!CH71</f>
        <v>1.43</v>
      </c>
      <c r="CM37" s="3">
        <f>[3]q!CI71</f>
        <v>0.45</v>
      </c>
      <c r="CN37" s="3">
        <f>[3]q!CJ71</f>
        <v>0.05</v>
      </c>
      <c r="CO37" s="3">
        <f>[3]q!CK71</f>
        <v>0.8</v>
      </c>
      <c r="CP37" s="3">
        <f>[3]q!CL71</f>
        <v>0.79</v>
      </c>
      <c r="CQ37" s="3">
        <f>[3]q!CM71</f>
        <v>-1.19</v>
      </c>
      <c r="CR37" s="3">
        <f>[3]q!CN71</f>
        <v>-0.95000000000000007</v>
      </c>
      <c r="CS37" s="3">
        <f>[3]q!CO71</f>
        <v>-1.03</v>
      </c>
      <c r="CT37" s="3">
        <f>[3]q!CP71</f>
        <v>-1.5</v>
      </c>
      <c r="CU37" s="3">
        <f>[3]q!CQ71</f>
        <v>-0.83000000000000007</v>
      </c>
      <c r="CV37" s="3">
        <f>[3]q!CR71</f>
        <v>-0.59</v>
      </c>
      <c r="CW37" s="3">
        <f>[3]q!CS71</f>
        <v>-2.31</v>
      </c>
      <c r="CX37" s="3">
        <f>[3]q!CT71</f>
        <v>-0.94000000000000006</v>
      </c>
      <c r="CY37" s="3">
        <f>[3]q!CU71</f>
        <v>0.33</v>
      </c>
      <c r="CZ37" s="3">
        <f>[3]q!CV71</f>
        <v>1.05</v>
      </c>
      <c r="DA37" s="3">
        <f>[3]q!CW71</f>
        <v>0.68</v>
      </c>
      <c r="DB37" s="3">
        <f>[3]q!CX71</f>
        <v>1.6400000000000001</v>
      </c>
      <c r="DC37" s="3">
        <f>[3]q!CY71</f>
        <v>0.49</v>
      </c>
      <c r="DD37" s="3">
        <f>[3]q!CZ71</f>
        <v>-0.28999999999999998</v>
      </c>
      <c r="DE37" s="3">
        <f>[3]q!DA71</f>
        <v>2.25</v>
      </c>
      <c r="DF37" s="3">
        <f>[3]q!DB71</f>
        <v>0.61</v>
      </c>
      <c r="DG37" s="3">
        <f>[3]q!DC71</f>
        <v>2.34</v>
      </c>
      <c r="DH37" s="3">
        <f>[3]q!DD71</f>
        <v>-7.0000000000000007E-2</v>
      </c>
      <c r="DI37" s="3">
        <f>[3]q!DE71</f>
        <v>-0.3</v>
      </c>
      <c r="DJ37" s="3">
        <f>[3]q!DF71</f>
        <v>0.1</v>
      </c>
      <c r="DK37" s="3">
        <f>[3]q!DG71</f>
        <v>1.1100000000000001</v>
      </c>
      <c r="DL37" s="3">
        <f>[3]q!DH71</f>
        <v>0.32</v>
      </c>
      <c r="DM37" s="3">
        <f>[3]q!DI71</f>
        <v>-0.08</v>
      </c>
      <c r="DN37" s="3">
        <f>[3]q!DJ71</f>
        <v>-0.54</v>
      </c>
      <c r="DO37" s="3">
        <f>[3]q!DK71</f>
        <v>-0.42</v>
      </c>
      <c r="DP37" s="3">
        <f>[3]q!DL71</f>
        <v>-0.27</v>
      </c>
      <c r="DQ37" s="3">
        <f>[3]q!DM71</f>
        <v>-0.84</v>
      </c>
      <c r="DR37" s="3">
        <f>[3]q!DN71</f>
        <v>-1.6500000000000001</v>
      </c>
      <c r="DS37" s="3">
        <f>[3]q!DO71</f>
        <v>-3.63</v>
      </c>
      <c r="DT37" s="3">
        <f>[3]q!DP71</f>
        <v>0.28000000000000003</v>
      </c>
      <c r="DU37" s="3">
        <f>[3]q!DQ71</f>
        <v>1.6400000000000001</v>
      </c>
      <c r="DV37" s="3">
        <f>[3]q!DR71</f>
        <v>-0.3</v>
      </c>
      <c r="DW37" s="3">
        <f>[3]q!DS71</f>
        <v>-0.57999999999999996</v>
      </c>
      <c r="DX37" s="3">
        <f>[3]q!DT71</f>
        <v>-1.28</v>
      </c>
      <c r="DY37" s="3">
        <f>[3]q!DU71</f>
        <v>-1.55</v>
      </c>
      <c r="DZ37" s="3">
        <f>[3]q!DV71</f>
        <v>-0.79</v>
      </c>
      <c r="EA37" s="3">
        <f>[3]q!DW71</f>
        <v>-0.42</v>
      </c>
      <c r="EB37" s="3">
        <f>[3]q!DX71</f>
        <v>-0.04</v>
      </c>
      <c r="EC37" s="3">
        <f>[3]q!DY71</f>
        <v>0.92</v>
      </c>
      <c r="ED37" s="3">
        <f>[3]q!DZ71</f>
        <v>2.2800000000000002</v>
      </c>
      <c r="EE37" s="3">
        <f>[3]q!EA71</f>
        <v>1.84</v>
      </c>
      <c r="EF37" s="3">
        <f>[3]q!EB71</f>
        <v>1.68</v>
      </c>
      <c r="EG37" s="3">
        <f>[3]q!EC71</f>
        <v>0.77</v>
      </c>
      <c r="EH37" s="3">
        <f>[3]q!ED71</f>
        <v>0.52</v>
      </c>
      <c r="EI37" s="3">
        <f>[3]q!EE71</f>
        <v>0.35000000000000003</v>
      </c>
      <c r="EJ37" s="3">
        <f>[3]q!EF71</f>
        <v>-0.17</v>
      </c>
      <c r="EK37" s="3">
        <f>[3]q!EG71</f>
        <v>0.02</v>
      </c>
      <c r="EL37" s="3">
        <f>[3]q!EH71</f>
        <v>-0.06</v>
      </c>
      <c r="EM37" s="3">
        <f>[3]q!EI71</f>
        <v>0.14000000000000001</v>
      </c>
      <c r="EN37" s="3">
        <f>[3]q!EJ71</f>
        <v>0.23</v>
      </c>
      <c r="EO37" s="3">
        <f>[3]q!EK71</f>
        <v>0.42</v>
      </c>
      <c r="EP37" s="3">
        <f>[3]q!EL71</f>
        <v>0.78</v>
      </c>
      <c r="EQ37" s="3">
        <f>[3]q!EM71</f>
        <v>1.04</v>
      </c>
      <c r="ER37" s="3">
        <f>[3]q!EN71</f>
        <v>0.31</v>
      </c>
      <c r="ES37" s="3">
        <f>[3]q!EO71</f>
        <v>-0.04</v>
      </c>
      <c r="ET37" s="3">
        <f>[3]q!EP71</f>
        <v>-0.06</v>
      </c>
      <c r="EU37" s="3">
        <f>[3]q!EQ71</f>
        <v>0.09</v>
      </c>
      <c r="EV37" s="3">
        <f>[3]q!ER71</f>
        <v>-0.06</v>
      </c>
      <c r="EW37" s="3">
        <f>[3]q!ES71</f>
        <v>0.1</v>
      </c>
      <c r="EX37" s="3">
        <f>[3]q!ET71</f>
        <v>-0.42</v>
      </c>
      <c r="EY37" s="3">
        <f>[3]q!EU71</f>
        <v>0.15</v>
      </c>
      <c r="EZ37" s="3">
        <f>[3]q!EV71</f>
        <v>0.01</v>
      </c>
      <c r="FA37" s="3">
        <f>[3]q!EW71</f>
        <v>0.16</v>
      </c>
      <c r="FB37" s="3">
        <f>[3]q!EX71</f>
        <v>-0.12</v>
      </c>
      <c r="FC37" s="3">
        <f>[3]q!EY71</f>
        <v>-0.54</v>
      </c>
      <c r="FD37" s="3">
        <f>[3]q!EZ71</f>
        <v>-0.19</v>
      </c>
      <c r="FE37" s="3">
        <f>[3]q!FA71</f>
        <v>-0.36</v>
      </c>
      <c r="FF37" s="3">
        <f>[3]q!FB71</f>
        <v>0.17</v>
      </c>
      <c r="FG37" s="3">
        <f>[3]q!FC71</f>
        <v>-0.64</v>
      </c>
      <c r="FH37" s="3">
        <f>[3]q!FD71</f>
        <v>-0.91</v>
      </c>
      <c r="FI37" s="3">
        <f>[3]q!FE71</f>
        <v>-0.83000000000000007</v>
      </c>
      <c r="FJ37" s="3">
        <f>[3]q!FF71</f>
        <v>-0.84</v>
      </c>
      <c r="FK37" s="3">
        <f>[3]q!FG71</f>
        <v>0.31</v>
      </c>
      <c r="FL37" s="3">
        <f>[3]q!FH71</f>
        <v>0.56000000000000005</v>
      </c>
      <c r="FM37" s="3">
        <f>[3]q!FI71</f>
        <v>0.3</v>
      </c>
      <c r="FN37" s="3">
        <f>[3]q!FJ71</f>
        <v>0.72</v>
      </c>
      <c r="FO37" s="3">
        <f>[3]q!FK71</f>
        <v>0.56000000000000005</v>
      </c>
      <c r="FP37" s="3">
        <f>[3]q!FL71</f>
        <v>0.04</v>
      </c>
      <c r="FQ37" s="3">
        <f>[3]q!FM71</f>
        <v>0.51</v>
      </c>
      <c r="FR37" s="3">
        <f>[3]q!FN71</f>
        <v>7.0000000000000007E-2</v>
      </c>
      <c r="FS37" s="3">
        <f>[3]q!FO71</f>
        <v>0.18</v>
      </c>
      <c r="FT37" s="3">
        <f>[3]q!FP71</f>
        <v>0.54</v>
      </c>
      <c r="FU37" s="3">
        <f>[3]q!FQ71</f>
        <v>0.82000000000000006</v>
      </c>
      <c r="FV37" s="3">
        <f>[3]q!FR71</f>
        <v>0.36</v>
      </c>
      <c r="FW37" s="3">
        <f>[3]q!FS71</f>
        <v>0.57000000000000006</v>
      </c>
      <c r="FX37" s="3">
        <f>[3]q!FT71</f>
        <v>-0.19</v>
      </c>
      <c r="FY37" s="3">
        <f>[3]q!FU71</f>
        <v>-0.23</v>
      </c>
      <c r="FZ37" s="3">
        <f>[3]q!FV71</f>
        <v>-0.38</v>
      </c>
      <c r="GA37" s="3">
        <f>[3]q!FW71</f>
        <v>-0.52948517439037612</v>
      </c>
      <c r="GB37" s="3">
        <f>[3]q!FX71</f>
        <v>0.49431554419481216</v>
      </c>
      <c r="GC37" s="3">
        <f>[3]q!FY71</f>
        <v>0.36839586698595994</v>
      </c>
      <c r="GD37" s="3">
        <f>[3]q!FZ71</f>
        <v>0.43671142406307428</v>
      </c>
      <c r="GE37" s="3">
        <f>[3]q!GA71</f>
        <v>0.71279417118452759</v>
      </c>
      <c r="GF37" s="3">
        <f>[3]q!GB71</f>
        <v>-4.5123931807711237E-2</v>
      </c>
      <c r="GG37" s="3">
        <f>[3]q!GC71</f>
        <v>-0.17942080878303734</v>
      </c>
      <c r="GH37" s="3">
        <f>[3]q!GD71</f>
        <v>5.8088355649221768E-2</v>
      </c>
      <c r="GI37" s="3">
        <f>[3]q!GE71</f>
        <v>0.21038241073270125</v>
      </c>
      <c r="GJ37" s="3">
        <f>[3]q!GF71</f>
        <v>7.7101723427053237E-2</v>
      </c>
      <c r="GK37" s="3">
        <f>[3]q!GG71</f>
        <v>0.17302360567732489</v>
      </c>
      <c r="GL37" s="3">
        <f>[3]q!GH71</f>
        <v>0.30136064369530313</v>
      </c>
      <c r="GM37" s="3">
        <f>[3]q!GI71</f>
        <v>0.51031318741598941</v>
      </c>
      <c r="GN37" s="3">
        <f>[3]q!GJ71</f>
        <v>0.52483102378029223</v>
      </c>
      <c r="GO37" s="3">
        <f>[3]q!GK71</f>
        <v>0.42995467485003047</v>
      </c>
      <c r="GP37" s="3">
        <f>[3]q!GL71</f>
        <v>0.10618599525127337</v>
      </c>
      <c r="GQ37" s="3">
        <f>[3]q!GM71</f>
        <v>0.19581513324278266</v>
      </c>
      <c r="GR37" s="3">
        <f>[3]q!GN71</f>
        <v>0.15375771373806746</v>
      </c>
      <c r="GS37" s="3">
        <f>[3]q!GO71</f>
        <v>0.22245126185147512</v>
      </c>
      <c r="GT37" s="3">
        <f>[3]q!GP71</f>
        <v>0.14452484349689598</v>
      </c>
      <c r="GU37" s="3">
        <f>[3]q!GQ71</f>
        <v>-0.12610894557159025</v>
      </c>
      <c r="GV37" s="3">
        <f>[3]q!GR71</f>
        <v>-0.31931773054281187</v>
      </c>
      <c r="GW37" s="3">
        <f>[3]q!GS71</f>
        <v>1.5547948236305231E-2</v>
      </c>
      <c r="GX37" s="3">
        <f>[3]q!GT71</f>
        <v>8.0785897686763697E-2</v>
      </c>
      <c r="GY37" s="3">
        <f>[3]q!GU71</f>
        <v>0.25414077962542247</v>
      </c>
      <c r="GZ37" s="3">
        <f>[3]q!GV71</f>
        <v>0.100627672511866</v>
      </c>
      <c r="HA37" s="3">
        <f>[3]q!GW71</f>
        <v>-0.15889399871050758</v>
      </c>
      <c r="HB37" s="3">
        <f>[3]q!GX71</f>
        <v>0.49482112251220123</v>
      </c>
      <c r="HC37" s="3">
        <f>[3]q!GY71</f>
        <v>0.46113785316990175</v>
      </c>
      <c r="HD37" s="3">
        <f>[3]q!GZ71</f>
        <v>0.10908652389973739</v>
      </c>
      <c r="HE37" s="3">
        <f>[3]q!HA71</f>
        <v>0.29634822263755467</v>
      </c>
      <c r="HF37" s="3">
        <f>[3]q!HB71</f>
        <v>0.18950091249958501</v>
      </c>
      <c r="HG37" s="3">
        <f>[3]q!HC71</f>
        <v>0.4562764873061953</v>
      </c>
      <c r="HH37" s="3">
        <f>[3]q!HD71</f>
        <v>1.0351873417776103</v>
      </c>
      <c r="HI37" s="3">
        <f>[3]q!HE71</f>
        <v>0.57579201681485781</v>
      </c>
      <c r="HJ37" s="3">
        <f>[3]q!HF71</f>
        <v>0.1967861124853254</v>
      </c>
      <c r="HK37" s="3">
        <f>[3]q!HG71</f>
        <v>0.83561265906579862</v>
      </c>
      <c r="HL37" s="3">
        <f>[3]q!HH71</f>
        <v>0.23431671300953028</v>
      </c>
      <c r="HM37" s="3">
        <f>[3]q!HI71</f>
        <v>0.18416675516701453</v>
      </c>
      <c r="HN37" s="3">
        <f>[3]q!HJ71</f>
        <v>0.43111238987851852</v>
      </c>
      <c r="HO37" s="3">
        <f>[3]q!HK71</f>
        <v>0.55615789018765849</v>
      </c>
      <c r="HP37" s="3">
        <f>[3]q!HL71</f>
        <v>0.25146438225436274</v>
      </c>
      <c r="HQ37" s="3">
        <f>[3]q!HM71</f>
        <v>6.3931770636793672E-3</v>
      </c>
      <c r="HR37" s="3">
        <f>[3]q!HN71</f>
        <v>-0.26641105835640833</v>
      </c>
      <c r="HS37" s="3">
        <f>[3]q!HO71</f>
        <v>-1.1185363445583296</v>
      </c>
      <c r="HT37" s="3">
        <f>[3]q!HP71</f>
        <v>-1.3483385138331805</v>
      </c>
      <c r="HU37" s="3">
        <f>[3]q!HQ71</f>
        <v>-1.1719030966501398</v>
      </c>
      <c r="HV37" s="3">
        <f>[3]q!HR71</f>
        <v>-0.90661784291898861</v>
      </c>
      <c r="HW37" s="3">
        <f>[3]q!HS71</f>
        <v>-0.61915442232032269</v>
      </c>
      <c r="HX37" s="3">
        <f>[3]q!HT71</f>
        <v>-1.2438795277563419</v>
      </c>
      <c r="HY37" s="3">
        <f>[3]q!HU71</f>
        <v>-1.4295876865553114</v>
      </c>
      <c r="HZ37" s="3">
        <f>[3]q!HV71</f>
        <v>-1.2593452805257921</v>
      </c>
      <c r="IA37" s="3">
        <f>[3]q!HW71</f>
        <v>-0.5519239621926797</v>
      </c>
      <c r="IB37" s="3">
        <f>[3]q!HX71</f>
        <v>-0.73410524510657549</v>
      </c>
      <c r="IC37" s="3">
        <f>[3]q!HY71</f>
        <v>-1.2244167232107528</v>
      </c>
      <c r="ID37" s="3">
        <f>[3]q!HZ71</f>
        <v>-1.2046233226521097</v>
      </c>
      <c r="IE37" s="3">
        <f>[3]q!IA71</f>
        <v>-0.61104042520490065</v>
      </c>
      <c r="IF37" s="3">
        <f>[3]q!IB71</f>
        <v>0.40997808938805225</v>
      </c>
      <c r="IG37" s="3">
        <f>[3]q!IC71</f>
        <v>-9.9504282849927073E-2</v>
      </c>
      <c r="IH37" s="3">
        <f>[3]q!ID71</f>
        <v>-0.40601432271519799</v>
      </c>
      <c r="II37" s="3">
        <f>[3]q!IE71</f>
        <v>0.49808141174618736</v>
      </c>
      <c r="IJ37" s="3">
        <f>[3]q!IF71</f>
        <v>-0.75985378297505068</v>
      </c>
      <c r="IK37" s="3">
        <f>[3]q!IG71</f>
        <v>5.5882117682726218E-2</v>
      </c>
      <c r="IL37" s="3">
        <f>[3]q!IH71</f>
        <v>-5.5504021787189384E-2</v>
      </c>
      <c r="IM37" s="3">
        <f>[3]q!II71</f>
        <v>9.139120009398205E-2</v>
      </c>
      <c r="IN37" s="3">
        <f>[3]q!IJ71</f>
        <v>5.2197151032595812E-2</v>
      </c>
      <c r="IO37" s="6"/>
      <c r="IP37" s="6"/>
      <c r="IQ37" s="6"/>
      <c r="IR37" s="6"/>
      <c r="IS37" s="6"/>
      <c r="IT37" s="6"/>
      <c r="IU37" s="6"/>
      <c r="IV37" s="6"/>
    </row>
    <row r="38" spans="1:256" s="6" customFormat="1" x14ac:dyDescent="0.25">
      <c r="A38" s="8" t="s">
        <v>56</v>
      </c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>
        <f>AVERAGE(INDEX(RATS_m!$AM$509:$AM$761,(FO2-170)*3+1,1):INDEX(RATS_m!$AM$509:$AM$761,(FO2-169)*3,1))</f>
        <v>116654.66666666667</v>
      </c>
      <c r="FP38" s="7">
        <f>AVERAGE(INDEX(RATS_m!$AM$509:$AM$761,(FP2-170)*3+1,1):INDEX(RATS_m!$AM$509:$AM$761,(FP2-169)*3,1))</f>
        <v>114974</v>
      </c>
      <c r="FQ38" s="7">
        <f>AVERAGE(INDEX(RATS_m!$AM$509:$AM$761,(FQ2-170)*3+1,1):INDEX(RATS_m!$AM$509:$AM$761,(FQ2-169)*3,1))</f>
        <v>116005</v>
      </c>
      <c r="FR38" s="7">
        <f>AVERAGE(INDEX(RATS_m!$AM$509:$AM$761,(FR2-170)*3+1,1):INDEX(RATS_m!$AM$509:$AM$761,(FR2-169)*3,1))</f>
        <v>118531</v>
      </c>
      <c r="FS38" s="7">
        <f>AVERAGE(INDEX(RATS_m!$AM$509:$AM$761,(FS2-170)*3+1,1):INDEX(RATS_m!$AM$509:$AM$761,(FS2-169)*3,1))</f>
        <v>121420.66666666667</v>
      </c>
      <c r="FT38" s="7">
        <f>AVERAGE(INDEX(RATS_m!$AM$509:$AM$761,(FT2-170)*3+1,1):INDEX(RATS_m!$AM$509:$AM$761,(FT2-169)*3,1))</f>
        <v>120547.33333333333</v>
      </c>
      <c r="FU38" s="7">
        <f>AVERAGE(INDEX(RATS_m!$AM$509:$AM$761,(FU2-170)*3+1,1):INDEX(RATS_m!$AM$509:$AM$761,(FU2-169)*3,1))</f>
        <v>126004.33333333333</v>
      </c>
      <c r="FV38" s="7">
        <f>AVERAGE(INDEX(RATS_m!$AM$509:$AM$761,(FV2-170)*3+1,1):INDEX(RATS_m!$AM$509:$AM$761,(FV2-169)*3,1))</f>
        <v>131026.66666666667</v>
      </c>
      <c r="FW38" s="7">
        <f>AVERAGE(INDEX(RATS_m!$AM$509:$AM$761,(FW2-170)*3+1,1):INDEX(RATS_m!$AM$509:$AM$761,(FW2-169)*3,1))</f>
        <v>135968.33333333334</v>
      </c>
      <c r="FX38" s="7">
        <f>AVERAGE(INDEX(RATS_m!$AM$509:$AM$761,(FX2-170)*3+1,1):INDEX(RATS_m!$AM$509:$AM$761,(FX2-169)*3,1))</f>
        <v>138784.66666666666</v>
      </c>
      <c r="FY38" s="7">
        <f>AVERAGE(INDEX(RATS_m!$AM$509:$AM$761,(FY2-170)*3+1,1):INDEX(RATS_m!$AM$509:$AM$761,(FY2-169)*3,1))</f>
        <v>143244</v>
      </c>
      <c r="FZ38" s="7">
        <f>AVERAGE(INDEX(RATS_m!$AM$509:$AM$761,(FZ2-170)*3+1,1):INDEX(RATS_m!$AM$509:$AM$761,(FZ2-169)*3,1))</f>
        <v>146121</v>
      </c>
      <c r="GA38" s="7">
        <f>AVERAGE(INDEX(RATS_m!$AM$509:$AM$761,(GA2-170)*3+1,1):INDEX(RATS_m!$AM$509:$AM$761,(GA2-169)*3,1))</f>
        <v>145111</v>
      </c>
      <c r="GB38" s="7">
        <f>AVERAGE(INDEX(RATS_m!$AM$509:$AM$761,(GB2-170)*3+1,1):INDEX(RATS_m!$AM$509:$AM$761,(GB2-169)*3,1))</f>
        <v>147955</v>
      </c>
      <c r="GC38" s="7">
        <f>AVERAGE(INDEX(RATS_m!$AM$509:$AM$761,(GC2-170)*3+1,1):INDEX(RATS_m!$AM$509:$AM$761,(GC2-169)*3,1))</f>
        <v>152386.33333333334</v>
      </c>
      <c r="GD38" s="7">
        <f>AVERAGE(INDEX(RATS_m!$AM$509:$AM$761,(GD2-170)*3+1,1):INDEX(RATS_m!$AM$509:$AM$761,(GD2-169)*3,1))</f>
        <v>148889.33333333334</v>
      </c>
      <c r="GE38" s="7">
        <f>AVERAGE(INDEX(RATS_m!$AM$509:$AM$761,(GE2-170)*3+1,1):INDEX(RATS_m!$AM$509:$AM$761,(GE2-169)*3,1))</f>
        <v>154601.66666666666</v>
      </c>
      <c r="GF38" s="7">
        <f>AVERAGE(INDEX(RATS_m!$AM$509:$AM$761,(GF2-170)*3+1,1):INDEX(RATS_m!$AM$509:$AM$761,(GF2-169)*3,1))</f>
        <v>156304.66666666666</v>
      </c>
      <c r="GG38" s="7">
        <f>AVERAGE(INDEX(RATS_m!$AM$509:$AM$761,(GG2-170)*3+1,1):INDEX(RATS_m!$AM$509:$AM$761,(GG2-169)*3,1))</f>
        <v>155627.33333333334</v>
      </c>
      <c r="GH38" s="7">
        <f>AVERAGE(INDEX(RATS_m!$AM$509:$AM$761,(GH2-170)*3+1,1):INDEX(RATS_m!$AM$509:$AM$761,(GH2-169)*3,1))</f>
        <v>161095</v>
      </c>
      <c r="GI38" s="7">
        <f>AVERAGE(INDEX(RATS_m!$AM$509:$AM$761,(GI2-170)*3+1,1):INDEX(RATS_m!$AM$509:$AM$761,(GI2-169)*3,1))</f>
        <v>165860.33333333334</v>
      </c>
      <c r="GJ38" s="7">
        <f>AVERAGE(INDEX(RATS_m!$AM$509:$AM$761,(GJ2-170)*3+1,1):INDEX(RATS_m!$AM$509:$AM$761,(GJ2-169)*3,1))</f>
        <v>171712.66666666666</v>
      </c>
      <c r="GK38" s="7">
        <f>AVERAGE(INDEX(RATS_m!$AM$509:$AM$761,(GK2-170)*3+1,1):INDEX(RATS_m!$AM$509:$AM$761,(GK2-169)*3,1))</f>
        <v>175450</v>
      </c>
      <c r="GL38" s="7">
        <f>AVERAGE(INDEX(RATS_m!$AM$509:$AM$761,(GL2-170)*3+1,1):INDEX(RATS_m!$AM$509:$AM$761,(GL2-169)*3,1))</f>
        <v>171784.66666666666</v>
      </c>
      <c r="GM38" s="7">
        <f>AVERAGE(INDEX(RATS_m!$AM$509:$AM$761,(GM2-170)*3+1,1):INDEX(RATS_m!$AM$509:$AM$761,(GM2-169)*3,1))</f>
        <v>171927.33333333334</v>
      </c>
      <c r="GN38" s="7">
        <f>AVERAGE(INDEX(RATS_m!$AM$509:$AM$761,(GN2-170)*3+1,1):INDEX(RATS_m!$AM$509:$AM$761,(GN2-169)*3,1))</f>
        <v>170381.33333333334</v>
      </c>
      <c r="GO38" s="7">
        <f>AVERAGE(INDEX(RATS_m!$AM$509:$AM$761,(GO2-170)*3+1,1):INDEX(RATS_m!$AM$509:$AM$761,(GO2-169)*3,1))</f>
        <v>173726.66666666666</v>
      </c>
      <c r="GP38" s="7">
        <f>AVERAGE(INDEX(RATS_m!$AM$509:$AM$761,(GP2-170)*3+1,1):INDEX(RATS_m!$AM$509:$AM$761,(GP2-169)*3,1))</f>
        <v>177990.66666666666</v>
      </c>
      <c r="GQ38" s="7">
        <f>AVERAGE(INDEX(RATS_m!$AM$509:$AM$761,(GQ2-170)*3+1,1):INDEX(RATS_m!$AM$509:$AM$761,(GQ2-169)*3,1))</f>
        <v>178041.66666666666</v>
      </c>
      <c r="GR38" s="7">
        <f>AVERAGE(INDEX(RATS_m!$AM$509:$AM$761,(GR2-170)*3+1,1):INDEX(RATS_m!$AM$509:$AM$761,(GR2-169)*3,1))</f>
        <v>183397.66666666666</v>
      </c>
      <c r="GS38" s="7">
        <f>AVERAGE(INDEX(RATS_m!$AM$509:$AM$761,(GS2-170)*3+1,1):INDEX(RATS_m!$AM$509:$AM$761,(GS2-169)*3,1))</f>
        <v>185632.33333333334</v>
      </c>
      <c r="GT38" s="7">
        <f>AVERAGE(INDEX(RATS_m!$AM$509:$AM$761,(GT2-170)*3+1,1):INDEX(RATS_m!$AM$509:$AM$761,(GT2-169)*3,1))</f>
        <v>185697.33333333334</v>
      </c>
      <c r="GU38" s="7">
        <f>AVERAGE(INDEX(RATS_m!$AM$509:$AM$761,(GU2-170)*3+1,1):INDEX(RATS_m!$AM$509:$AM$761,(GU2-169)*3,1))</f>
        <v>188863.33333333334</v>
      </c>
      <c r="GV38" s="7">
        <f>AVERAGE(INDEX(RATS_m!$AM$509:$AM$761,(GV2-170)*3+1,1):INDEX(RATS_m!$AM$509:$AM$761,(GV2-169)*3,1))</f>
        <v>186875.33333333334</v>
      </c>
      <c r="GW38" s="7">
        <f>AVERAGE(INDEX(RATS_m!$AM$509:$AM$761,(GW2-170)*3+1,1):INDEX(RATS_m!$AM$509:$AM$761,(GW2-169)*3,1))</f>
        <v>182110.33333333334</v>
      </c>
      <c r="GX38" s="7">
        <f>AVERAGE(INDEX(RATS_m!$AM$509:$AM$761,(GX2-170)*3+1,1):INDEX(RATS_m!$AM$509:$AM$761,(GX2-169)*3,1))</f>
        <v>173128.66666666666</v>
      </c>
      <c r="GY38" s="7">
        <f>AVERAGE(INDEX(RATS_m!$AM$509:$AM$761,(GY2-170)*3+1,1):INDEX(RATS_m!$AM$509:$AM$761,(GY2-169)*3,1))</f>
        <v>168594.33333333334</v>
      </c>
      <c r="GZ38" s="7">
        <f>AVERAGE(INDEX(RATS_m!$AM$509:$AM$761,(GZ2-170)*3+1,1):INDEX(RATS_m!$AM$509:$AM$761,(GZ2-169)*3,1))</f>
        <v>160886</v>
      </c>
      <c r="HA38" s="7">
        <f>AVERAGE(INDEX(RATS_m!$AM$509:$AM$761,(HA2-170)*3+1,1):INDEX(RATS_m!$AM$509:$AM$761,(HA2-169)*3,1))</f>
        <v>156004.66666666666</v>
      </c>
      <c r="HB38" s="7">
        <f>AVERAGE(INDEX(RATS_m!$AM$509:$AM$761,(HB2-170)*3+1,1):INDEX(RATS_m!$AM$509:$AM$761,(HB2-169)*3,1))</f>
        <v>158417.33333333334</v>
      </c>
      <c r="HC38" s="7">
        <f>AVERAGE(INDEX(RATS_m!$AM$509:$AM$761,(HC2-170)*3+1,1):INDEX(RATS_m!$AM$509:$AM$761,(HC2-169)*3,1))</f>
        <v>162906.66666666666</v>
      </c>
      <c r="HD38" s="7">
        <f>AVERAGE(INDEX(RATS_m!$AM$509:$AM$761,(HD2-170)*3+1,1):INDEX(RATS_m!$AM$509:$AM$761,(HD2-169)*3,1))</f>
        <v>164156.66666666666</v>
      </c>
      <c r="HE38" s="7">
        <f>AVERAGE(INDEX(RATS_m!$AM$509:$AM$761,(HE2-170)*3+1,1):INDEX(RATS_m!$AM$509:$AM$761,(HE2-169)*3,1))</f>
        <v>160560.33333333334</v>
      </c>
      <c r="HF38" s="7">
        <f>AVERAGE(INDEX(RATS_m!$AM$509:$AM$761,(HF2-170)*3+1,1):INDEX(RATS_m!$AM$509:$AM$761,(HF2-169)*3,1))</f>
        <v>162845.33333333334</v>
      </c>
      <c r="HG38" s="7">
        <f>AVERAGE(INDEX(RATS_m!$AM$509:$AM$761,(HG2-170)*3+1,1):INDEX(RATS_m!$AM$509:$AM$761,(HG2-169)*3,1))</f>
        <v>161553</v>
      </c>
      <c r="HH38" s="7">
        <f>AVERAGE(INDEX(RATS_m!$AM$509:$AM$761,(HH2-170)*3+1,1):INDEX(RATS_m!$AM$509:$AM$761,(HH2-169)*3,1))</f>
        <v>165579.33333333334</v>
      </c>
      <c r="HI38" s="7">
        <f>AVERAGE(INDEX(RATS_m!$AM$509:$AM$761,(HI2-170)*3+1,1):INDEX(RATS_m!$AM$509:$AM$761,(HI2-169)*3,1))</f>
        <v>171823.66666666666</v>
      </c>
      <c r="HJ38" s="7">
        <f>AVERAGE(INDEX(RATS_m!$AM$509:$AM$761,(HJ2-170)*3+1,1):INDEX(RATS_m!$AM$509:$AM$761,(HJ2-169)*3,1))</f>
        <v>172878</v>
      </c>
      <c r="HK38" s="7">
        <f>AVERAGE(INDEX(RATS_m!$AM$509:$AM$761,(HK2-170)*3+1,1):INDEX(RATS_m!$AM$509:$AM$761,(HK2-169)*3,1))</f>
        <v>174580</v>
      </c>
      <c r="HL38" s="7">
        <f>AVERAGE(INDEX(RATS_m!$AM$509:$AM$761,(HL2-170)*3+1,1):INDEX(RATS_m!$AM$509:$AM$761,(HL2-169)*3,1))</f>
        <v>177796.33333333334</v>
      </c>
      <c r="HM38" s="7">
        <f>AVERAGE(INDEX(RATS_m!$AM$509:$AM$761,(HM2-170)*3+1,1):INDEX(RATS_m!$AM$509:$AM$761,(HM2-169)*3,1))</f>
        <v>181514.33333333334</v>
      </c>
      <c r="HN38" s="7">
        <f>AVERAGE(INDEX(RATS_m!$AM$509:$AM$761,(HN2-170)*3+1,1):INDEX(RATS_m!$AM$509:$AM$761,(HN2-169)*3,1))</f>
        <v>184636</v>
      </c>
      <c r="HO38" s="7">
        <f>AVERAGE(INDEX(RATS_m!$AM$509:$AM$761,(HO2-170)*3+1,1):INDEX(RATS_m!$AM$509:$AM$761,(HO2-169)*3,1))</f>
        <v>194672</v>
      </c>
      <c r="HP38" s="7">
        <f>AVERAGE(INDEX(RATS_m!$AM$509:$AM$761,(HP2-170)*3+1,1):INDEX(RATS_m!$AM$509:$AM$761,(HP2-169)*3,1))</f>
        <v>193061.66666666666</v>
      </c>
      <c r="HQ38" s="7">
        <f>AVERAGE(INDEX(RATS_m!$AM$509:$AM$761,(HQ2-170)*3+1,1):INDEX(RATS_m!$AM$509:$AM$761,(HQ2-169)*3,1))</f>
        <v>207913.33333333334</v>
      </c>
      <c r="HR38" s="7">
        <f>AVERAGE(INDEX(RATS_m!$AM$509:$AM$761,(HR2-170)*3+1,1):INDEX(RATS_m!$AM$509:$AM$761,(HR2-169)*3,1))</f>
        <v>207038</v>
      </c>
      <c r="HS38" s="7">
        <f>AVERAGE(INDEX(RATS_m!$AM$509:$AM$761,(HS2-170)*3+1,1):INDEX(RATS_m!$AM$509:$AM$761,(HS2-169)*3,1))</f>
        <v>206833</v>
      </c>
      <c r="HT38" s="7">
        <f>AVERAGE(INDEX(RATS_m!$AM$509:$AM$761,(HT2-170)*3+1,1):INDEX(RATS_m!$AM$509:$AM$761,(HT2-169)*3,1))</f>
        <v>207066.66666666666</v>
      </c>
      <c r="HU38" s="7">
        <f>AVERAGE(INDEX(RATS_m!$AM$509:$AM$761,(HU2-170)*3+1,1):INDEX(RATS_m!$AM$509:$AM$761,(HU2-169)*3,1))</f>
        <v>212339.66666666666</v>
      </c>
      <c r="HV38" s="7">
        <f>AVERAGE(INDEX(RATS_m!$AM$509:$AM$761,(HV2-170)*3+1,1):INDEX(RATS_m!$AM$509:$AM$761,(HV2-169)*3,1))</f>
        <v>212831.33333333334</v>
      </c>
      <c r="HW38" s="7">
        <f>AVERAGE(INDEX(RATS_m!$AM$509:$AM$761,(HW2-170)*3+1,1):INDEX(RATS_m!$AM$509:$AM$761,(HW2-169)*3,1))</f>
        <v>221385.33333333334</v>
      </c>
      <c r="HX38" s="7">
        <f>AVERAGE(INDEX(RATS_m!$AM$509:$AM$761,(HX2-170)*3+1,1):INDEX(RATS_m!$AM$509:$AM$761,(HX2-169)*3,1))</f>
        <v>219778</v>
      </c>
      <c r="HY38" s="7">
        <f>AVERAGE(INDEX(RATS_m!$AM$509:$AM$761,(HY2-170)*3+1,1):INDEX(RATS_m!$AM$509:$AM$761,(HY2-169)*3,1))</f>
        <v>223003.66666666666</v>
      </c>
      <c r="HZ38" s="7">
        <f>AVERAGE(INDEX(RATS_m!$AM$509:$AM$761,(HZ2-170)*3+1,1):INDEX(RATS_m!$AM$509:$AM$761,(HZ2-169)*3,1))</f>
        <v>219347.33333333334</v>
      </c>
      <c r="IA38" s="7">
        <f>AVERAGE(INDEX(RATS_m!$AM$509:$AM$761,(IA2-170)*3+1,1):INDEX(RATS_m!$AM$509:$AM$761,(IA2-169)*3,1))</f>
        <v>215666</v>
      </c>
      <c r="IB38" s="7">
        <f>AVERAGE(INDEX(RATS_m!$AM$509:$AM$761,(IB2-170)*3+1,1):INDEX(RATS_m!$AM$509:$AM$761,(IB2-169)*3,1))</f>
        <v>203355.66666666666</v>
      </c>
      <c r="IC38" s="7">
        <f>AVERAGE(INDEX(RATS_m!$AM$509:$AM$761,(IC2-170)*3+1,1):INDEX(RATS_m!$AM$509:$AM$761,(IC2-169)*3,1))</f>
        <v>170190</v>
      </c>
      <c r="ID38" s="7">
        <f>AVERAGE(INDEX(RATS_m!$AM$509:$AM$761,(ID2-170)*3+1,1):INDEX(RATS_m!$AM$509:$AM$761,(ID2-169)*3,1))</f>
        <v>141970.33333333334</v>
      </c>
      <c r="IE38" s="7">
        <f>AVERAGE(INDEX(RATS_m!$AM$509:$AM$761,(IE2-170)*3+1,1):INDEX(RATS_m!$AM$509:$AM$761,(IE2-169)*3,1))</f>
        <v>138619.33333333334</v>
      </c>
      <c r="IF38" s="7">
        <f>AVERAGE(INDEX(RATS_m!$AM$509:$AM$761,(IF2-170)*3+1,1):INDEX(RATS_m!$AM$509:$AM$761,(IF2-169)*3,1))</f>
        <v>148878.33333333334</v>
      </c>
      <c r="IG38" s="7">
        <f>AVERAGE(INDEX(RATS_m!$AM$509:$AM$761,(IG2-170)*3+1,1):INDEX(RATS_m!$AM$509:$AM$761,(IG2-169)*3,1))</f>
        <v>152463.66666666666</v>
      </c>
      <c r="IH38" s="7">
        <f>AVERAGE(INDEX(RATS_m!$AM$509:$AM$761,(IH2-170)*3+1,1):INDEX(RATS_m!$AM$509:$AM$761,(IH2-169)*3,1))</f>
        <v>161225.66666666666</v>
      </c>
      <c r="II38" s="7">
        <f>AVERAGE(INDEX(RATS_m!$AM$509:$AM$761,(II2-170)*3+1,1):INDEX(RATS_m!$AM$509:$AM$761,(II2-169)*3,1))</f>
        <v>167536</v>
      </c>
      <c r="IJ38" s="7">
        <f>AVERAGE(INDEX(RATS_m!$AM$509:$AM$761,(IJ2-170)*3+1,1):INDEX(RATS_m!$AM$509:$AM$761,(IJ2-169)*3,1))</f>
        <v>172961.66666666666</v>
      </c>
      <c r="IK38" s="7">
        <f>AVERAGE(INDEX(RATS_m!$AM$509:$AM$761,(IK2-170)*3+1,1):INDEX(RATS_m!$AM$509:$AM$761,(IK2-169)*3,1))</f>
        <v>173309.33333333334</v>
      </c>
      <c r="IL38" s="7">
        <f>AVERAGE(INDEX(RATS_m!$AM$509:$AM$761,(IL2-170)*3+1,1):INDEX(RATS_m!$AM$509:$AM$761,(IL2-169)*3,1))</f>
        <v>181216.66666666666</v>
      </c>
      <c r="IM38" s="7">
        <f>AVERAGE(INDEX(RATS_m!$AM$509:$AM$761,(IM2-170)*3+1,1):INDEX(RATS_m!$AM$509:$AM$761,(IM2-169)*3,1))</f>
        <v>183015.33333333334</v>
      </c>
      <c r="IN38" s="7">
        <f>AVERAGE(INDEX(RATS_m!$AM$509:$AM$761,(IN2-170)*3+1,1):INDEX(RATS_m!$AM$509:$AM$761,(IN2-169)*3,1))</f>
        <v>191186.66666666666</v>
      </c>
    </row>
    <row r="39" spans="1:256" x14ac:dyDescent="0.25">
      <c r="A39" s="1" t="s">
        <v>55</v>
      </c>
      <c r="AT39">
        <f>[7]q!AT$21</f>
        <v>22.6</v>
      </c>
      <c r="AU39">
        <f>[7]q!AU$21</f>
        <v>22.900000000000002</v>
      </c>
      <c r="AV39">
        <f>[7]q!AV$21</f>
        <v>23.2</v>
      </c>
      <c r="AW39">
        <f>[7]q!AW$21</f>
        <v>23.6</v>
      </c>
      <c r="AX39">
        <f>[7]q!AX$21</f>
        <v>24</v>
      </c>
      <c r="AY39">
        <f>[7]q!AY$21</f>
        <v>24.2</v>
      </c>
      <c r="AZ39">
        <f>[7]q!AZ$21</f>
        <v>24.6</v>
      </c>
      <c r="BA39">
        <f>[7]q!BA$21</f>
        <v>24.7</v>
      </c>
      <c r="BB39">
        <f>[7]q!BB$21</f>
        <v>24.8</v>
      </c>
      <c r="BC39">
        <f>[7]q!BC$21</f>
        <v>25.400000000000002</v>
      </c>
      <c r="BD39">
        <f>[7]q!BD$21</f>
        <v>25.900000000000002</v>
      </c>
      <c r="BE39">
        <f>[7]q!BE$21</f>
        <v>26.3</v>
      </c>
      <c r="BF39">
        <f>[7]q!BF$21</f>
        <v>26.8</v>
      </c>
      <c r="BG39">
        <f>[7]q!BG$21</f>
        <v>27.1</v>
      </c>
      <c r="BH39">
        <f>[7]q!BH$21</f>
        <v>27.400000000000002</v>
      </c>
      <c r="BI39">
        <f>[7]q!BI$21</f>
        <v>27.6</v>
      </c>
      <c r="BJ39">
        <f>[7]q!BJ$21</f>
        <v>28.2</v>
      </c>
      <c r="BK39">
        <f>[7]q!BK$21</f>
        <v>28.5</v>
      </c>
      <c r="BL39">
        <f>[7]q!BL$21</f>
        <v>28.900000000000002</v>
      </c>
      <c r="BM39">
        <f>[7]q!BM$21</f>
        <v>29.400000000000002</v>
      </c>
      <c r="BN39">
        <f>[7]q!BN$21</f>
        <v>29.900000000000002</v>
      </c>
      <c r="BO39">
        <f>[7]q!BO$21</f>
        <v>30.3</v>
      </c>
      <c r="BP39">
        <f>[7]q!BP$21</f>
        <v>30.6</v>
      </c>
      <c r="BQ39">
        <f>[7]q!BQ$21</f>
        <v>30.8</v>
      </c>
      <c r="BR39">
        <f>[7]q!BR$21</f>
        <v>31.1</v>
      </c>
      <c r="BS39">
        <f>[7]q!BS$21</f>
        <v>31.3</v>
      </c>
      <c r="BT39">
        <f>[7]q!BT$21</f>
        <v>31.7</v>
      </c>
      <c r="BU39">
        <f>[7]q!BU$21</f>
        <v>32</v>
      </c>
      <c r="BV39">
        <f>[7]q!BV$21</f>
        <v>32.6</v>
      </c>
      <c r="BW39">
        <f>[7]q!BW$21</f>
        <v>33</v>
      </c>
      <c r="BX39">
        <f>[7]q!BX$21</f>
        <v>33.6</v>
      </c>
      <c r="BY39">
        <f>[7]q!BY$21</f>
        <v>34.1</v>
      </c>
      <c r="BZ39">
        <f>[7]q!BZ$21</f>
        <v>34.6</v>
      </c>
      <c r="CA39">
        <f>[7]q!CA$21</f>
        <v>35</v>
      </c>
      <c r="CB39">
        <f>[7]q!CB$21</f>
        <v>35.4</v>
      </c>
      <c r="CC39">
        <f>[7]q!CC$21</f>
        <v>35.700000000000003</v>
      </c>
      <c r="CD39">
        <f>[7]q!CD$21</f>
        <v>36</v>
      </c>
      <c r="CE39">
        <f>[7]q!CE$21</f>
        <v>36.4</v>
      </c>
      <c r="CF39">
        <f>[7]q!CF$21</f>
        <v>36.9</v>
      </c>
      <c r="CG39">
        <f>[7]q!CG$21</f>
        <v>36.9</v>
      </c>
      <c r="CH39">
        <f>[7]q!CH$21</f>
        <v>37.200000000000003</v>
      </c>
      <c r="CI39">
        <f>[7]q!CI$21</f>
        <v>37.6</v>
      </c>
      <c r="CJ39">
        <f>[7]q!CJ$21</f>
        <v>38.1</v>
      </c>
      <c r="CK39">
        <f>[7]q!CK$21</f>
        <v>38.300000000000004</v>
      </c>
      <c r="CL39">
        <f>[7]q!CL$21</f>
        <v>38.9</v>
      </c>
      <c r="CM39">
        <f>[7]q!CM$21</f>
        <v>39.6</v>
      </c>
      <c r="CN39">
        <f>[7]q!CN$21</f>
        <v>40.1</v>
      </c>
      <c r="CO39">
        <f>[7]q!CO$21</f>
        <v>40.800000000000004</v>
      </c>
      <c r="CP39">
        <f>[7]q!CP$21</f>
        <v>41.800000000000004</v>
      </c>
      <c r="CQ39">
        <f>[7]q!CQ$21</f>
        <v>42.2</v>
      </c>
      <c r="CR39">
        <f>[7]q!CR$21</f>
        <v>42.4</v>
      </c>
      <c r="CS39">
        <f>[7]q!CS$21</f>
        <v>42.9</v>
      </c>
      <c r="CT39">
        <f>[7]q!CT$21</f>
        <v>42.7</v>
      </c>
      <c r="CU39">
        <f>[7]q!CU$21</f>
        <v>42.9</v>
      </c>
      <c r="CV39">
        <f>[7]q!CV$21</f>
        <v>42.9</v>
      </c>
      <c r="CW39">
        <f>[7]q!CW$21</f>
        <v>42.6</v>
      </c>
      <c r="CX39">
        <f>[7]q!CX$21</f>
        <v>42.4</v>
      </c>
      <c r="CY39">
        <f>[7]q!CY$21</f>
        <v>42.6</v>
      </c>
      <c r="CZ39">
        <f>[7]q!CZ$21</f>
        <v>43.1</v>
      </c>
      <c r="DA39">
        <f>[7]q!DA$21</f>
        <v>43.6</v>
      </c>
      <c r="DB39">
        <f>[7]q!DB$21</f>
        <v>44.4</v>
      </c>
      <c r="DC39">
        <f>[7]q!DC$21</f>
        <v>44.800000000000004</v>
      </c>
      <c r="DD39">
        <f>[7]q!DD$21</f>
        <v>45.1</v>
      </c>
      <c r="DE39">
        <f>[7]q!DE$21</f>
        <v>45.6</v>
      </c>
      <c r="DF39">
        <f>[7]q!DF$21</f>
        <v>46</v>
      </c>
      <c r="DG39">
        <f>[7]q!DG$21</f>
        <v>46.4</v>
      </c>
      <c r="DH39">
        <f>[7]q!DH$21</f>
        <v>46.800000000000004</v>
      </c>
      <c r="DI39">
        <f>[7]q!DI$21</f>
        <v>47.1</v>
      </c>
      <c r="DJ39">
        <f>[7]q!DJ$21</f>
        <v>47.5</v>
      </c>
      <c r="DK39">
        <f>[7]q!DK$21</f>
        <v>48.5</v>
      </c>
      <c r="DL39">
        <f>[7]q!DL$21</f>
        <v>48.9</v>
      </c>
      <c r="DM39">
        <f>[7]q!DM$21</f>
        <v>49.5</v>
      </c>
      <c r="DN39">
        <f>[7]q!DN$21</f>
        <v>49.800000000000004</v>
      </c>
      <c r="DO39">
        <f>[7]q!DO$21</f>
        <v>50.300000000000004</v>
      </c>
      <c r="DP39">
        <f>[7]q!DP$21</f>
        <v>50.6</v>
      </c>
      <c r="DQ39">
        <f>[7]q!DQ$21</f>
        <v>51</v>
      </c>
      <c r="DR39">
        <f>[7]q!DR$21</f>
        <v>51.300000000000004</v>
      </c>
      <c r="DS39">
        <f>[7]q!DS$21</f>
        <v>50.7</v>
      </c>
      <c r="DT39">
        <f>[7]q!DT$21</f>
        <v>50.800000000000004</v>
      </c>
      <c r="DU39">
        <f>[7]q!DU$21</f>
        <v>51.4</v>
      </c>
      <c r="DV39">
        <f>[7]q!DV$21</f>
        <v>52</v>
      </c>
      <c r="DW39">
        <f>[7]q!DW$21</f>
        <v>52</v>
      </c>
      <c r="DX39">
        <f>[7]q!DX$21</f>
        <v>52.300000000000004</v>
      </c>
      <c r="DY39">
        <f>[7]q!DY$21</f>
        <v>52.2</v>
      </c>
      <c r="DZ39">
        <f>[7]q!DZ$21</f>
        <v>52.1</v>
      </c>
      <c r="EA39">
        <f>[7]q!EA$21</f>
        <v>52.2</v>
      </c>
      <c r="EB39">
        <f>[7]q!EB$21</f>
        <v>52.1</v>
      </c>
      <c r="EC39">
        <f>[7]q!EC$21</f>
        <v>52.2</v>
      </c>
      <c r="ED39">
        <f>[7]q!ED$21</f>
        <v>52.6</v>
      </c>
      <c r="EE39">
        <f>[7]q!EE$21</f>
        <v>53.2</v>
      </c>
      <c r="EF39">
        <f>[7]q!EF$21</f>
        <v>53.800000000000004</v>
      </c>
      <c r="EG39">
        <f>[7]q!EG$21</f>
        <v>54.6</v>
      </c>
      <c r="EH39">
        <f>[7]q!EH$21</f>
        <v>55.4</v>
      </c>
      <c r="EI39">
        <f>[7]q!EI$21</f>
        <v>55.800000000000004</v>
      </c>
      <c r="EJ39">
        <f>[7]q!EJ$21</f>
        <v>56.4</v>
      </c>
      <c r="EK39">
        <f>[7]q!EK$21</f>
        <v>56.800000000000004</v>
      </c>
      <c r="EL39">
        <f>[7]q!EL$21</f>
        <v>57.300000000000004</v>
      </c>
      <c r="EM39">
        <f>[7]q!EM$21</f>
        <v>57.9</v>
      </c>
      <c r="EN39">
        <f>[7]q!EN$21</f>
        <v>58.6</v>
      </c>
      <c r="EO39">
        <f>[7]q!EO$21</f>
        <v>59.1</v>
      </c>
      <c r="EP39">
        <f>[7]q!EP$21</f>
        <v>59.300000000000004</v>
      </c>
      <c r="EQ39">
        <f>[7]q!EQ$21</f>
        <v>59.7</v>
      </c>
      <c r="ER39">
        <f>[7]q!ER$21</f>
        <v>60.1</v>
      </c>
      <c r="ES39">
        <f>[7]q!ES$21</f>
        <v>60.4</v>
      </c>
      <c r="ET39">
        <f>[7]q!ET$21</f>
        <v>60.5</v>
      </c>
      <c r="EU39">
        <f>[7]q!EU$21</f>
        <v>61.4</v>
      </c>
      <c r="EV39">
        <f>[7]q!EV$21</f>
        <v>62.1</v>
      </c>
      <c r="EW39">
        <f>[7]q!EW$21</f>
        <v>63.2</v>
      </c>
      <c r="EX39">
        <f>[7]q!EX$21</f>
        <v>63.7</v>
      </c>
      <c r="EY39">
        <f>[7]q!EY$21</f>
        <v>64.2</v>
      </c>
      <c r="EZ39">
        <f>[7]q!EZ$21</f>
        <v>64.8</v>
      </c>
      <c r="FA39">
        <f>[7]q!FA$21</f>
        <v>65.5</v>
      </c>
      <c r="FB39">
        <f>[7]q!FB$21</f>
        <v>66.400000000000006</v>
      </c>
      <c r="FC39">
        <f>[7]q!FC$21</f>
        <v>66.599999999999994</v>
      </c>
      <c r="FD39">
        <f>[7]q!FD$21</f>
        <v>67.2</v>
      </c>
      <c r="FE39">
        <f>[7]q!FE$21</f>
        <v>67.8</v>
      </c>
      <c r="FF39">
        <f>[7]q!FF$21</f>
        <v>68.5</v>
      </c>
      <c r="FG39">
        <f>[7]q!FG$21</f>
        <v>69.100000000000009</v>
      </c>
      <c r="FH39">
        <f>[7]q!FH$21</f>
        <v>69.3</v>
      </c>
      <c r="FI39">
        <f>[7]q!FI$21</f>
        <v>69.400000000000006</v>
      </c>
      <c r="FJ39">
        <f>[7]q!FJ$21</f>
        <v>69.400000000000006</v>
      </c>
      <c r="FK39">
        <f>[7]q!FK$21</f>
        <v>69.8</v>
      </c>
      <c r="FL39">
        <f>[7]q!FL$21</f>
        <v>69.900000000000006</v>
      </c>
      <c r="FM39">
        <f>[7]q!FM$21</f>
        <v>70.3</v>
      </c>
      <c r="FN39">
        <f>[7]q!FN$21</f>
        <v>70.900000000000006</v>
      </c>
      <c r="FO39">
        <f>[7]q!FO$21</f>
        <v>71.100000000000009</v>
      </c>
      <c r="FP39">
        <f>[7]q!FP$21</f>
        <v>71.400000000000006</v>
      </c>
      <c r="FQ39">
        <f>[7]q!FQ$21</f>
        <v>71.600000000000009</v>
      </c>
      <c r="FR39">
        <f>[7]q!FR$21</f>
        <v>71.7</v>
      </c>
      <c r="FS39">
        <f>[7]q!FS$21</f>
        <v>72</v>
      </c>
      <c r="FT39">
        <f>[7]q!FT$21</f>
        <v>72.3</v>
      </c>
      <c r="FU39">
        <f>[7]q!FU$21</f>
        <v>72.900000000000006</v>
      </c>
      <c r="FV39">
        <f>[7]q!FV$21</f>
        <v>73.5</v>
      </c>
      <c r="FW39">
        <f>[7]q!FW$21</f>
        <v>74</v>
      </c>
      <c r="FX39">
        <f>[7]q!FX$21</f>
        <v>74.7</v>
      </c>
      <c r="FY39">
        <f>[7]q!FY$21</f>
        <v>75.3</v>
      </c>
      <c r="FZ39">
        <f>[7]q!FZ$21</f>
        <v>75.5</v>
      </c>
      <c r="GA39">
        <f>[7]q!GA$21</f>
        <v>75.7</v>
      </c>
      <c r="GB39">
        <f>[7]q!GB$21</f>
        <v>76.3</v>
      </c>
      <c r="GC39">
        <f>[7]q!GC$21</f>
        <v>76.7</v>
      </c>
      <c r="GD39">
        <f>[7]q!GD$21</f>
        <v>77.100000000000009</v>
      </c>
      <c r="GE39">
        <f>[7]q!GE$21</f>
        <v>78</v>
      </c>
      <c r="GF39">
        <f>[7]q!GF$21</f>
        <v>78.600000000000009</v>
      </c>
      <c r="GG39">
        <f>[7]q!GG$21</f>
        <v>79.3</v>
      </c>
      <c r="GH39">
        <f>[7]q!GH$21</f>
        <v>79.900000000000006</v>
      </c>
      <c r="GI39">
        <f>[7]q!GI$21</f>
        <v>80.900000000000006</v>
      </c>
      <c r="GJ39">
        <f>[7]q!GJ$21</f>
        <v>81.5</v>
      </c>
      <c r="GK39">
        <f>[7]q!GK$21</f>
        <v>82.2</v>
      </c>
      <c r="GL39">
        <f>[7]q!GL$21</f>
        <v>82.4</v>
      </c>
      <c r="GM39">
        <f>[7]q!GM$21</f>
        <v>82.9</v>
      </c>
      <c r="GN39">
        <f>[7]q!GN$21</f>
        <v>83.600000000000009</v>
      </c>
      <c r="GO39">
        <f>[7]q!GO$21</f>
        <v>84.3</v>
      </c>
      <c r="GP39">
        <f>[7]q!GP$21</f>
        <v>84.9</v>
      </c>
      <c r="GQ39">
        <f>[7]q!GQ$21</f>
        <v>85.5</v>
      </c>
      <c r="GR39">
        <f>[7]q!GR$21</f>
        <v>86.5</v>
      </c>
      <c r="GS39">
        <f>[7]q!GS$21</f>
        <v>87.8</v>
      </c>
      <c r="GT39">
        <f>[7]q!GT$21</f>
        <v>88.600000000000009</v>
      </c>
      <c r="GU39">
        <f>[7]q!GU$21</f>
        <v>89.8</v>
      </c>
      <c r="GV39">
        <f>[7]q!GV$21</f>
        <v>90.2</v>
      </c>
      <c r="GW39">
        <f>[7]q!GW$21</f>
        <v>90.7</v>
      </c>
      <c r="GX39">
        <f>[7]q!GX$21</f>
        <v>90.8</v>
      </c>
      <c r="GY39">
        <f>[7]q!GY$21</f>
        <v>91</v>
      </c>
      <c r="GZ39">
        <f>[7]q!GZ$21</f>
        <v>91</v>
      </c>
      <c r="HA39">
        <f>[7]q!HA$21</f>
        <v>91.100000000000009</v>
      </c>
      <c r="HB39">
        <f>[7]q!HB$21</f>
        <v>91.7</v>
      </c>
      <c r="HC39">
        <f>[7]q!HC$21</f>
        <v>92.3</v>
      </c>
      <c r="HD39">
        <f>[7]q!HD$21</f>
        <v>92.9</v>
      </c>
      <c r="HE39">
        <f>[7]q!HE$21</f>
        <v>93.100000000000009</v>
      </c>
      <c r="HF39">
        <f>[7]q!HF$21</f>
        <v>93.3</v>
      </c>
      <c r="HG39">
        <f>[7]q!HG$21</f>
        <v>93.8</v>
      </c>
      <c r="HH39">
        <f>[7]q!HH$21</f>
        <v>94.8</v>
      </c>
      <c r="HI39">
        <f>[7]q!HI$21</f>
        <v>95.7</v>
      </c>
      <c r="HJ39">
        <f>[7]q!HJ$21</f>
        <v>96.5</v>
      </c>
      <c r="HK39">
        <f>[7]q!HK$21</f>
        <v>97.100000000000009</v>
      </c>
      <c r="HL39">
        <f>[7]q!HL$21</f>
        <v>97.600000000000009</v>
      </c>
      <c r="HM39">
        <f>[7]q!HM$21</f>
        <v>98.2</v>
      </c>
      <c r="HN39">
        <f>[7]q!HN$21</f>
        <v>98.9</v>
      </c>
      <c r="HO39">
        <f>[7]q!HO$21</f>
        <v>99.600000000000009</v>
      </c>
      <c r="HP39">
        <f>[7]q!HP$21</f>
        <v>100.4</v>
      </c>
      <c r="HQ39">
        <f>[7]q!HQ$21</f>
        <v>101.10000000000001</v>
      </c>
      <c r="HR39">
        <f>[7]q!HR$21</f>
        <v>102.10000000000001</v>
      </c>
      <c r="HS39">
        <f>[7]q!HS$21</f>
        <v>103</v>
      </c>
      <c r="HT39">
        <f>[7]q!HT$21</f>
        <v>103.4</v>
      </c>
      <c r="HU39">
        <f>[7]q!HU$21</f>
        <v>104.2</v>
      </c>
      <c r="HV39">
        <f>[7]q!HV$21</f>
        <v>104.9</v>
      </c>
      <c r="HW39">
        <f>[7]q!HW$21</f>
        <v>105.8</v>
      </c>
      <c r="HX39">
        <f>[7]q!HX$21</f>
        <v>106.4</v>
      </c>
      <c r="HY39">
        <f>[7]q!HY$21</f>
        <v>107.10000000000001</v>
      </c>
      <c r="HZ39">
        <f>[7]q!HZ$21</f>
        <v>107.3</v>
      </c>
      <c r="IA39">
        <f>[7]q!IA$21</f>
        <v>107.10000000000001</v>
      </c>
      <c r="IB39">
        <f>[7]q!IB$21</f>
        <v>106.3</v>
      </c>
      <c r="IC39">
        <f>[7]q!IC$21</f>
        <v>104</v>
      </c>
      <c r="ID39">
        <f>[7]q!ID$21</f>
        <v>101.4</v>
      </c>
      <c r="IE39">
        <f>[7]q!IE$21</f>
        <v>101.60000000000001</v>
      </c>
      <c r="IF39">
        <f>[7]q!IF$21</f>
        <v>102.3</v>
      </c>
      <c r="IG39">
        <f>[7]q!IG$21</f>
        <v>103.10000000000001</v>
      </c>
      <c r="IH39">
        <f>[7]q!IH$21</f>
        <v>104</v>
      </c>
      <c r="II39">
        <f>[7]q!II$21</f>
        <v>105</v>
      </c>
      <c r="IJ39">
        <f>[7]q!IJ$21</f>
        <v>105.7</v>
      </c>
      <c r="IK39">
        <f>[7]q!IK$21</f>
        <v>106.2</v>
      </c>
      <c r="IL39">
        <f>[7]q!IL$21</f>
        <v>106.5</v>
      </c>
      <c r="IM39">
        <f>[7]q!IM$21</f>
        <v>106.9</v>
      </c>
      <c r="IN39" t="str">
        <f>[7]q!IN$21</f>
        <v>NA</v>
      </c>
      <c r="IO39" s="6"/>
      <c r="IP39" s="6"/>
      <c r="IQ39" s="6"/>
      <c r="IR39" s="6"/>
      <c r="IS39" s="6"/>
      <c r="IT39" s="6"/>
      <c r="IU39" s="6"/>
      <c r="IV39" s="6"/>
    </row>
    <row r="40" spans="1:256" x14ac:dyDescent="0.25">
      <c r="A40" s="1" t="s">
        <v>54</v>
      </c>
      <c r="CP40" s="2">
        <f>[7]q!CP$20</f>
        <v>100</v>
      </c>
      <c r="CQ40" s="2">
        <f>[7]q!CQ$20</f>
        <v>97.483000000000004</v>
      </c>
      <c r="CR40" s="2">
        <f>[7]q!CR$20</f>
        <v>95.849000000000004</v>
      </c>
      <c r="CS40" s="2">
        <f>[7]q!CS$20</f>
        <v>98.292000000000002</v>
      </c>
      <c r="CT40" s="2">
        <f>[7]q!CT$20</f>
        <v>95.777000000000001</v>
      </c>
      <c r="CU40" s="2">
        <f>[7]q!CU$20</f>
        <v>94.423000000000002</v>
      </c>
      <c r="CV40" s="2">
        <f>[7]q!CV$20</f>
        <v>96.492000000000004</v>
      </c>
      <c r="CW40" s="2">
        <f>[7]q!CW$20</f>
        <v>94.695999999999998</v>
      </c>
      <c r="CX40" s="2">
        <f>[7]q!CX$20</f>
        <v>92.289000000000001</v>
      </c>
      <c r="CY40" s="2">
        <f>[7]q!CY$20</f>
        <v>92.664000000000001</v>
      </c>
      <c r="CZ40" s="2">
        <f>[7]q!CZ$20</f>
        <v>96.555999999999997</v>
      </c>
      <c r="DA40" s="2">
        <f>[7]q!DA$20</f>
        <v>96.352000000000004</v>
      </c>
      <c r="DB40" s="2">
        <f>[7]q!DB$20</f>
        <v>94.504999999999995</v>
      </c>
      <c r="DC40" s="2">
        <f>[7]q!DC$20</f>
        <v>94.558999999999997</v>
      </c>
      <c r="DD40" s="2">
        <f>[7]q!DD$20</f>
        <v>94.378</v>
      </c>
      <c r="DE40" s="2">
        <f>[7]q!DE$20</f>
        <v>94.445999999999998</v>
      </c>
      <c r="DF40" s="2">
        <f>[7]q!DF$20</f>
        <v>94.278000000000006</v>
      </c>
      <c r="DG40" s="2">
        <f>[7]q!DG$20</f>
        <v>93.66</v>
      </c>
      <c r="DH40" s="2">
        <f>[7]q!DH$20</f>
        <v>92.707999999999998</v>
      </c>
      <c r="DI40" s="2">
        <f>[7]q!DI$20</f>
        <v>89.704999999999998</v>
      </c>
      <c r="DJ40" s="2">
        <f>[7]q!DJ$20</f>
        <v>88.555999999999997</v>
      </c>
      <c r="DK40" s="2">
        <f>[7]q!DK$20</f>
        <v>88.79</v>
      </c>
      <c r="DL40" s="2">
        <f>[7]q!DL$20</f>
        <v>85.619</v>
      </c>
      <c r="DM40" s="2">
        <f>[7]q!DM$20</f>
        <v>86.228999999999999</v>
      </c>
      <c r="DN40" s="2">
        <f>[7]q!DN$20</f>
        <v>87.28</v>
      </c>
      <c r="DO40" s="2">
        <f>[7]q!DO$20</f>
        <v>89.457000000000008</v>
      </c>
      <c r="DP40" s="2">
        <f>[7]q!DP$20</f>
        <v>88.290999999999997</v>
      </c>
      <c r="DQ40" s="2">
        <f>[7]q!DQ$20</f>
        <v>89.588000000000008</v>
      </c>
      <c r="DR40" s="2">
        <f>[7]q!DR$20</f>
        <v>92.483000000000004</v>
      </c>
      <c r="DS40" s="2">
        <f>[7]q!DS$20</f>
        <v>88.923000000000002</v>
      </c>
      <c r="DT40" s="2">
        <f>[7]q!DT$20</f>
        <v>88.135999999999996</v>
      </c>
      <c r="DU40" s="2">
        <f>[7]q!DU$20</f>
        <v>90.620999999999995</v>
      </c>
      <c r="DV40" s="2">
        <f>[7]q!DV$20</f>
        <v>92.302000000000007</v>
      </c>
      <c r="DW40" s="2">
        <f>[7]q!DW$20</f>
        <v>98.347000000000008</v>
      </c>
      <c r="DX40" s="2">
        <f>[7]q!DX$20</f>
        <v>99.947000000000003</v>
      </c>
      <c r="DY40" s="2">
        <f>[7]q!DY$20</f>
        <v>97.197000000000003</v>
      </c>
      <c r="DZ40" s="2">
        <f>[7]q!DZ$20</f>
        <v>103.21600000000001</v>
      </c>
      <c r="EA40" s="2">
        <f>[7]q!EA$20</f>
        <v>106.916</v>
      </c>
      <c r="EB40" s="2">
        <f>[7]q!EB$20</f>
        <v>110.839</v>
      </c>
      <c r="EC40" s="2">
        <f>[7]q!EC$20</f>
        <v>107.047</v>
      </c>
      <c r="ED40" s="2">
        <f>[7]q!ED$20</f>
        <v>107.724</v>
      </c>
      <c r="EE40" s="2">
        <f>[7]q!EE$20</f>
        <v>110.77500000000001</v>
      </c>
      <c r="EF40" s="2">
        <f>[7]q!EF$20</f>
        <v>113.23700000000001</v>
      </c>
      <c r="EG40" s="2">
        <f>[7]q!EG$20</f>
        <v>113.84400000000001</v>
      </c>
      <c r="EH40" s="2">
        <f>[7]q!EH$20</f>
        <v>112.44800000000001</v>
      </c>
      <c r="EI40" s="2">
        <f>[7]q!EI$20</f>
        <v>116.2</v>
      </c>
      <c r="EJ40" s="2">
        <f>[7]q!EJ$20</f>
        <v>122.188</v>
      </c>
      <c r="EK40" s="2">
        <f>[7]q!EK$20</f>
        <v>123.401</v>
      </c>
      <c r="EL40" s="2">
        <f>[7]q!EL$20</f>
        <v>128.43700000000001</v>
      </c>
      <c r="EM40" s="2">
        <f>[7]q!EM$20</f>
        <v>124.94200000000001</v>
      </c>
      <c r="EN40" s="2">
        <f>[7]q!EN$20</f>
        <v>122.37</v>
      </c>
      <c r="EO40" s="2">
        <f>[7]q!EO$20</f>
        <v>115.79</v>
      </c>
      <c r="EP40" s="2">
        <f>[7]q!EP$20</f>
        <v>109.36500000000001</v>
      </c>
      <c r="EQ40" s="2">
        <f>[7]q!EQ$20</f>
        <v>107.658</v>
      </c>
      <c r="ER40" s="2">
        <f>[7]q!ER$20</f>
        <v>104.676</v>
      </c>
      <c r="ES40" s="2">
        <f>[7]q!ES$20</f>
        <v>105.04900000000001</v>
      </c>
      <c r="ET40" s="2">
        <f>[7]q!ET$20</f>
        <v>100.711</v>
      </c>
      <c r="EU40" s="2">
        <f>[7]q!EU$20</f>
        <v>99.141000000000005</v>
      </c>
      <c r="EV40" s="2">
        <f>[7]q!EV$20</f>
        <v>98.435000000000002</v>
      </c>
      <c r="EW40" s="2">
        <f>[7]q!EW$20</f>
        <v>92.37</v>
      </c>
      <c r="EX40" s="2">
        <f>[7]q!EX$20</f>
        <v>91.251000000000005</v>
      </c>
      <c r="EY40" s="2">
        <f>[7]q!EY$20</f>
        <v>91.802999999999997</v>
      </c>
      <c r="EZ40" s="2">
        <f>[7]q!EZ$20</f>
        <v>94.731000000000009</v>
      </c>
      <c r="FA40" s="2">
        <f>[7]q!FA$20</f>
        <v>89.847000000000008</v>
      </c>
      <c r="FB40" s="2">
        <f>[7]q!FB$20</f>
        <v>92.731000000000009</v>
      </c>
      <c r="FC40" s="2">
        <f>[7]q!FC$20</f>
        <v>96.225000000000009</v>
      </c>
      <c r="FD40" s="2">
        <f>[7]q!FD$20</f>
        <v>95.408000000000001</v>
      </c>
      <c r="FE40" s="2">
        <f>[7]q!FE$20</f>
        <v>93.174999999999997</v>
      </c>
      <c r="FF40" s="2">
        <f>[7]q!FF$20</f>
        <v>94.102000000000004</v>
      </c>
      <c r="FG40" s="2">
        <f>[7]q!FG$20</f>
        <v>93.307000000000002</v>
      </c>
      <c r="FH40" s="2">
        <f>[7]q!FH$20</f>
        <v>89.349000000000004</v>
      </c>
      <c r="FI40" s="2">
        <f>[7]q!FI$20</f>
        <v>88.231999999999999</v>
      </c>
      <c r="FJ40" s="2">
        <f>[7]q!FJ$20</f>
        <v>89.778000000000006</v>
      </c>
      <c r="FK40" s="2">
        <f>[7]q!FK$20</f>
        <v>92.212000000000003</v>
      </c>
      <c r="FL40" s="2">
        <f>[7]q!FL$20</f>
        <v>90</v>
      </c>
      <c r="FM40" s="2">
        <f>[7]q!FM$20</f>
        <v>87.176000000000002</v>
      </c>
      <c r="FN40" s="2">
        <f>[7]q!FN$20</f>
        <v>89.706000000000003</v>
      </c>
      <c r="FO40" s="2">
        <f>[7]q!FO$20</f>
        <v>87.141000000000005</v>
      </c>
      <c r="FP40" s="2">
        <f>[7]q!FP$20</f>
        <v>85.656000000000006</v>
      </c>
      <c r="FQ40" s="2">
        <f>[7]q!FQ$20</f>
        <v>89.983000000000004</v>
      </c>
      <c r="FR40" s="2">
        <f>[7]q!FR$20</f>
        <v>90.070000000000007</v>
      </c>
      <c r="FS40" s="2">
        <f>[7]q!FS$20</f>
        <v>88.394000000000005</v>
      </c>
      <c r="FT40" s="2">
        <f>[7]q!FT$20</f>
        <v>88.096000000000004</v>
      </c>
      <c r="FU40" s="2">
        <f>[7]q!FU$20</f>
        <v>89.314000000000007</v>
      </c>
      <c r="FV40" s="2">
        <f>[7]q!FV$20</f>
        <v>90.817999999999998</v>
      </c>
      <c r="FW40" s="2">
        <f>[7]q!FW$20</f>
        <v>89.606000000000009</v>
      </c>
      <c r="FX40" s="2">
        <f>[7]q!FX$20</f>
        <v>87.024000000000001</v>
      </c>
      <c r="FY40" s="2">
        <f>[7]q!FY$20</f>
        <v>88.125</v>
      </c>
      <c r="FZ40" s="2">
        <f>[7]q!FZ$20</f>
        <v>87.781999999999996</v>
      </c>
      <c r="GA40" s="2">
        <f>[7]q!GA$20</f>
        <v>84.233999999999995</v>
      </c>
      <c r="GB40" s="2">
        <f>[7]q!GB$20</f>
        <v>86.802000000000007</v>
      </c>
      <c r="GC40" s="2">
        <f>[7]q!GC$20</f>
        <v>87.673000000000002</v>
      </c>
      <c r="GD40" s="2">
        <f>[7]q!GD$20</f>
        <v>88.251000000000005</v>
      </c>
      <c r="GE40" s="2">
        <f>[7]q!GE$20</f>
        <v>88.787000000000006</v>
      </c>
      <c r="GF40" s="2">
        <f>[7]q!GF$20</f>
        <v>88.507999999999996</v>
      </c>
      <c r="GG40" s="2">
        <f>[7]q!GG$20</f>
        <v>89.085000000000008</v>
      </c>
      <c r="GH40" s="2">
        <f>[7]q!GH$20</f>
        <v>92.308999999999997</v>
      </c>
      <c r="GI40" s="2">
        <f>[7]q!GI$20</f>
        <v>91.135000000000005</v>
      </c>
      <c r="GJ40" s="2">
        <f>[7]q!GJ$20</f>
        <v>93.953000000000003</v>
      </c>
      <c r="GK40" s="2">
        <f>[7]q!GK$20</f>
        <v>99.362000000000009</v>
      </c>
      <c r="GL40" s="2">
        <f>[7]q!GL$20</f>
        <v>100.06</v>
      </c>
      <c r="GM40" s="2">
        <f>[7]q!GM$20</f>
        <v>102.727</v>
      </c>
      <c r="GN40" s="2">
        <f>[7]q!GN$20</f>
        <v>102.837</v>
      </c>
      <c r="GO40" s="2">
        <f>[7]q!GO$20</f>
        <v>98.710999999999999</v>
      </c>
      <c r="GP40" s="2">
        <f>[7]q!GP$20</f>
        <v>101.089</v>
      </c>
      <c r="GQ40" s="2">
        <f>[7]q!GQ$20</f>
        <v>101.16500000000001</v>
      </c>
      <c r="GR40" s="2">
        <f>[7]q!GR$20</f>
        <v>100.045</v>
      </c>
      <c r="GS40" s="2">
        <f>[7]q!GS$20</f>
        <v>99.947000000000003</v>
      </c>
      <c r="GT40" s="2">
        <f>[7]q!GT$20</f>
        <v>101.732</v>
      </c>
      <c r="GU40" s="2">
        <f>[7]q!GU$20</f>
        <v>103.65900000000001</v>
      </c>
      <c r="GV40" s="2">
        <f>[7]q!GV$20</f>
        <v>105.90300000000001</v>
      </c>
      <c r="GW40" s="2">
        <f>[7]q!GW$20</f>
        <v>107.14700000000001</v>
      </c>
      <c r="GX40" s="2">
        <f>[7]q!GX$20</f>
        <v>109.896</v>
      </c>
      <c r="GY40" s="2">
        <f>[7]q!GY$20</f>
        <v>111.411</v>
      </c>
      <c r="GZ40" s="2">
        <f>[7]q!GZ$20</f>
        <v>110.18300000000001</v>
      </c>
      <c r="HA40" s="2">
        <f>[7]q!HA$20</f>
        <v>110.95400000000001</v>
      </c>
      <c r="HB40" s="2">
        <f>[7]q!HB$20</f>
        <v>112.252</v>
      </c>
      <c r="HC40" s="2">
        <f>[7]q!HC$20</f>
        <v>109.15900000000001</v>
      </c>
      <c r="HD40" s="2">
        <f>[7]q!HD$20</f>
        <v>109.75</v>
      </c>
      <c r="HE40" s="2">
        <f>[7]q!HE$20</f>
        <v>108.69800000000001</v>
      </c>
      <c r="HF40" s="2">
        <f>[7]q!HF$20</f>
        <v>107.004</v>
      </c>
      <c r="HG40" s="2">
        <f>[7]q!HG$20</f>
        <v>101.827</v>
      </c>
      <c r="HH40" s="2">
        <f>[7]q!HH$20</f>
        <v>103.376</v>
      </c>
      <c r="HI40" s="2">
        <f>[7]q!HI$20</f>
        <v>99.292000000000002</v>
      </c>
      <c r="HJ40" s="2">
        <f>[7]q!HJ$20</f>
        <v>99.314000000000007</v>
      </c>
      <c r="HK40" s="2">
        <f>[7]q!HK$20</f>
        <v>100.848</v>
      </c>
      <c r="HL40" s="2">
        <f>[7]q!HL$20</f>
        <v>99.768000000000001</v>
      </c>
      <c r="HM40" s="2">
        <f>[7]q!HM$20</f>
        <v>95.212000000000003</v>
      </c>
      <c r="HN40" s="2">
        <f>[7]q!HN$20</f>
        <v>95.471000000000004</v>
      </c>
      <c r="HO40" s="2">
        <f>[7]q!HO$20</f>
        <v>97.516000000000005</v>
      </c>
      <c r="HP40" s="2">
        <f>[7]q!HP$20</f>
        <v>98.240000000000009</v>
      </c>
      <c r="HQ40" s="2">
        <f>[7]q!HQ$20</f>
        <v>98.441000000000003</v>
      </c>
      <c r="HR40" s="2">
        <f>[7]q!HR$20</f>
        <v>97.674000000000007</v>
      </c>
      <c r="HS40" s="2">
        <f>[7]q!HS$20</f>
        <v>96.513999999999996</v>
      </c>
      <c r="HT40" s="2">
        <f>[7]q!HT$20</f>
        <v>95.936999999999998</v>
      </c>
      <c r="HU40" s="2">
        <f>[7]q!HU$20</f>
        <v>94.045000000000002</v>
      </c>
      <c r="HV40" s="2">
        <f>[7]q!HV$20</f>
        <v>94.548000000000002</v>
      </c>
      <c r="HW40" s="2">
        <f>[7]q!HW$20</f>
        <v>92.501999999999995</v>
      </c>
      <c r="HX40" s="2">
        <f>[7]q!HX$20</f>
        <v>90.289000000000001</v>
      </c>
      <c r="HY40" s="2">
        <f>[7]q!HY$20</f>
        <v>87.923000000000002</v>
      </c>
      <c r="HZ40" s="2">
        <f>[7]q!HZ$20</f>
        <v>84.557000000000002</v>
      </c>
      <c r="IA40" s="2">
        <f>[7]q!IA$20</f>
        <v>84.885999999999996</v>
      </c>
      <c r="IB40" s="2">
        <f>[7]q!IB$20</f>
        <v>88.778999999999996</v>
      </c>
      <c r="IC40" s="2">
        <f>[7]q!IC$20</f>
        <v>93.16</v>
      </c>
      <c r="ID40" s="2">
        <f>[7]q!ID$20</f>
        <v>96.849000000000004</v>
      </c>
      <c r="IE40" s="2">
        <f>[7]q!IE$20</f>
        <v>90.987000000000009</v>
      </c>
      <c r="IF40" s="2">
        <f>[7]q!IF$20</f>
        <v>89.024000000000001</v>
      </c>
      <c r="IG40" s="2">
        <f>[7]q!IG$20</f>
        <v>87.492000000000004</v>
      </c>
      <c r="IH40" s="2">
        <f>[7]q!IH$20</f>
        <v>87.792000000000002</v>
      </c>
      <c r="II40" s="2">
        <f>[7]q!II$20</f>
        <v>89.588999999999999</v>
      </c>
      <c r="IJ40" s="2">
        <f>[7]q!IJ$20</f>
        <v>86.609000000000009</v>
      </c>
      <c r="IK40" s="2">
        <f>[7]q!IK$20</f>
        <v>84.679000000000002</v>
      </c>
      <c r="IL40" s="2">
        <f>[7]q!IL$20</f>
        <v>82.606999999999999</v>
      </c>
      <c r="IM40" s="2">
        <f>[7]q!IM$20</f>
        <v>80.941000000000003</v>
      </c>
      <c r="IN40" s="2">
        <f>[7]q!IN$20</f>
        <v>83.534000000000006</v>
      </c>
      <c r="IO40" s="6"/>
      <c r="IP40" s="6"/>
      <c r="IQ40" s="6"/>
      <c r="IR40" s="6"/>
      <c r="IS40" s="6"/>
      <c r="IT40" s="6"/>
      <c r="IU40" s="6"/>
      <c r="IV40" s="6"/>
    </row>
    <row r="41" spans="1:256" x14ac:dyDescent="0.25">
      <c r="A41" s="1" t="s">
        <v>53</v>
      </c>
      <c r="FN41" s="3">
        <f>[7]q!FN$6</f>
        <v>108063</v>
      </c>
      <c r="FO41" s="3">
        <f>[7]q!FO$6</f>
        <v>107941</v>
      </c>
      <c r="FP41" s="3">
        <f>[7]q!FP$6</f>
        <v>110847</v>
      </c>
      <c r="FQ41" s="3">
        <f>[7]q!FQ$6</f>
        <v>112780</v>
      </c>
      <c r="FR41" s="3">
        <f>[7]q!FR$6</f>
        <v>112099</v>
      </c>
      <c r="FS41" s="3">
        <f>[7]q!FS$6</f>
        <v>113257</v>
      </c>
      <c r="FT41" s="3">
        <f>[7]q!FT$6</f>
        <v>112982</v>
      </c>
      <c r="FU41" s="3">
        <f>[7]q!FU$6</f>
        <v>118606</v>
      </c>
      <c r="FV41" s="3">
        <f>[7]q!FV$6</f>
        <v>118833</v>
      </c>
      <c r="FW41" s="3">
        <f>[7]q!FW$6</f>
        <v>122251</v>
      </c>
      <c r="FX41" s="3">
        <f>[7]q!FX$6</f>
        <v>128947</v>
      </c>
      <c r="FY41" s="3">
        <f>[7]q!FY$6</f>
        <v>132828</v>
      </c>
      <c r="FZ41" s="3">
        <f>[7]q!FZ$6</f>
        <v>138371</v>
      </c>
      <c r="GA41" s="3">
        <f>[7]q!GA$6</f>
        <v>142521</v>
      </c>
      <c r="GB41" s="3">
        <f>[7]q!GB$6</f>
        <v>146536</v>
      </c>
      <c r="GC41" s="3">
        <f>[7]q!GC$6</f>
        <v>147777</v>
      </c>
      <c r="GD41" s="3">
        <f>[7]q!GD$6</f>
        <v>150553</v>
      </c>
      <c r="GE41" s="3">
        <f>[7]q!GE$6</f>
        <v>152861</v>
      </c>
      <c r="GF41" s="3">
        <f>[7]q!GF$6</f>
        <v>151856</v>
      </c>
      <c r="GG41" s="3">
        <f>[7]q!GG$6</f>
        <v>156844</v>
      </c>
      <c r="GH41" s="3">
        <f>[7]q!GH$6</f>
        <v>162670</v>
      </c>
      <c r="GI41" s="3">
        <f>[7]q!GI$6</f>
        <v>170249</v>
      </c>
      <c r="GJ41" s="3">
        <f>[7]q!GJ$6</f>
        <v>173154</v>
      </c>
      <c r="GK41" s="3">
        <f>[7]q!GK$6</f>
        <v>172291</v>
      </c>
      <c r="GL41" s="3">
        <f>[7]q!GL$6</f>
        <v>171061</v>
      </c>
      <c r="GM41" s="3">
        <f>[7]q!GM$6</f>
        <v>165559</v>
      </c>
      <c r="GN41" s="3">
        <f>[7]q!GN$6</f>
        <v>164053</v>
      </c>
      <c r="GO41" s="3">
        <f>[7]q!GO$6</f>
        <v>169744</v>
      </c>
      <c r="GP41" s="3">
        <f>[7]q!GP$6</f>
        <v>167904</v>
      </c>
      <c r="GQ41" s="3">
        <f>[7]q!GQ$6</f>
        <v>170270</v>
      </c>
      <c r="GR41" s="3">
        <f>[7]q!GR$6</f>
        <v>176350</v>
      </c>
      <c r="GS41" s="3">
        <f>[7]q!GS$6</f>
        <v>183695</v>
      </c>
      <c r="GT41" s="3">
        <f>[7]q!GT$6</f>
        <v>188447</v>
      </c>
      <c r="GU41" s="3">
        <f>[7]q!GU$6</f>
        <v>194625</v>
      </c>
      <c r="GV41" s="3">
        <f>[7]q!GV$6</f>
        <v>201770</v>
      </c>
      <c r="GW41" s="3">
        <f>[7]q!GW$6</f>
        <v>199939</v>
      </c>
      <c r="GX41" s="3">
        <f>[7]q!GX$6</f>
        <v>196762</v>
      </c>
      <c r="GY41" s="3">
        <f>[7]q!GY$6</f>
        <v>188487</v>
      </c>
      <c r="GZ41" s="3">
        <f>[7]q!GZ$6</f>
        <v>175917</v>
      </c>
      <c r="HA41" s="3">
        <f>[7]q!HA$6</f>
        <v>170022</v>
      </c>
      <c r="HB41" s="3">
        <f>[7]q!HB$6</f>
        <v>168672</v>
      </c>
      <c r="HC41" s="3">
        <f>[7]q!HC$6</f>
        <v>175681</v>
      </c>
      <c r="HD41" s="3">
        <f>[7]q!HD$6</f>
        <v>178288</v>
      </c>
      <c r="HE41" s="3">
        <f>[7]q!HE$6</f>
        <v>174798</v>
      </c>
      <c r="HF41" s="3">
        <f>[7]q!HF$6</f>
        <v>177427</v>
      </c>
      <c r="HG41" s="3">
        <f>[7]q!HG$6</f>
        <v>178413</v>
      </c>
      <c r="HH41" s="3">
        <f>[7]q!HH$6</f>
        <v>182186</v>
      </c>
      <c r="HI41" s="3">
        <f>[7]q!HI$6</f>
        <v>191790</v>
      </c>
      <c r="HJ41" s="3">
        <f>[7]q!HJ$6</f>
        <v>197824</v>
      </c>
      <c r="HK41" s="3">
        <f>[7]q!HK$6</f>
        <v>203915</v>
      </c>
      <c r="HL41" s="3">
        <f>[7]q!HL$6</f>
        <v>207198</v>
      </c>
      <c r="HM41" s="3">
        <f>[7]q!HM$6</f>
        <v>213050</v>
      </c>
      <c r="HN41" s="3">
        <f>[7]q!HN$6</f>
        <v>219215</v>
      </c>
      <c r="HO41" s="3">
        <f>[7]q!HO$6</f>
        <v>227630</v>
      </c>
      <c r="HP41" s="3">
        <f>[7]q!HP$6</f>
        <v>228111</v>
      </c>
      <c r="HQ41" s="3">
        <f>[7]q!HQ$6</f>
        <v>236730</v>
      </c>
      <c r="HR41" s="3">
        <f>[7]q!HR$6</f>
        <v>249308</v>
      </c>
      <c r="HS41" s="3">
        <f>[7]q!HS$6</f>
        <v>257794</v>
      </c>
      <c r="HT41" s="3">
        <f>[7]q!HT$6</f>
        <v>261991</v>
      </c>
      <c r="HU41" s="3">
        <f>[7]q!HU$6</f>
        <v>270314</v>
      </c>
      <c r="HV41" s="3">
        <f>[7]q!HV$6</f>
        <v>276492</v>
      </c>
      <c r="HW41" s="3">
        <f>[7]q!HW$6</f>
        <v>285624</v>
      </c>
      <c r="HX41" s="3">
        <f>[7]q!HX$6</f>
        <v>295341</v>
      </c>
      <c r="HY41" s="3">
        <f>[7]q!HY$6</f>
        <v>306499</v>
      </c>
      <c r="HZ41" s="3">
        <f>[7]q!HZ$6</f>
        <v>323358</v>
      </c>
      <c r="IA41" s="3">
        <f>[7]q!IA$6</f>
        <v>342620</v>
      </c>
      <c r="IB41" s="3">
        <f>[7]q!IB$6</f>
        <v>346909</v>
      </c>
      <c r="IC41" s="3">
        <f>[7]q!IC$6</f>
        <v>294612</v>
      </c>
      <c r="ID41" s="3">
        <f>[7]q!ID$6</f>
        <v>254413</v>
      </c>
      <c r="IE41" s="3">
        <f>[7]q!IE$6</f>
        <v>253887</v>
      </c>
      <c r="IF41" s="3">
        <f>[7]q!IF$6</f>
        <v>270290</v>
      </c>
      <c r="IG41" s="3">
        <f>[7]q!IG$6</f>
        <v>290901</v>
      </c>
      <c r="IH41" s="3">
        <f>[7]q!IH$6</f>
        <v>304572</v>
      </c>
      <c r="II41" s="3">
        <f>[7]q!II$6</f>
        <v>315953</v>
      </c>
      <c r="IJ41" s="3">
        <f>[7]q!IJ$6</f>
        <v>325514</v>
      </c>
      <c r="IK41" s="3">
        <f>[7]q!IK$6</f>
        <v>342660</v>
      </c>
      <c r="IL41" s="3">
        <f>[7]q!IL$6</f>
        <v>361544</v>
      </c>
      <c r="IM41" s="3">
        <f>[7]q!IM$6</f>
        <v>373085</v>
      </c>
      <c r="IN41" s="3" t="str">
        <f>[7]q!IN$6</f>
        <v>NA</v>
      </c>
      <c r="IO41" s="6"/>
      <c r="IP41" s="6"/>
      <c r="IQ41" s="6"/>
      <c r="IR41" s="6"/>
      <c r="IS41" s="6"/>
      <c r="IT41" s="6"/>
      <c r="IU41" s="6"/>
      <c r="IV41" s="6"/>
    </row>
    <row r="42" spans="1:256" x14ac:dyDescent="0.25">
      <c r="A42" s="1" t="s">
        <v>52</v>
      </c>
      <c r="FN42" s="3">
        <f>[7]q!FN$9</f>
        <v>44164</v>
      </c>
      <c r="FO42" s="3">
        <f>[7]q!FO$9</f>
        <v>44132</v>
      </c>
      <c r="FP42" s="3">
        <f>[7]q!FP$9</f>
        <v>44610</v>
      </c>
      <c r="FQ42" s="3">
        <f>[7]q!FQ$9</f>
        <v>44344</v>
      </c>
      <c r="FR42" s="3">
        <f>[7]q!FR$9</f>
        <v>45984</v>
      </c>
      <c r="FS42" s="3">
        <f>[7]q!FS$9</f>
        <v>46457</v>
      </c>
      <c r="FT42" s="3">
        <f>[7]q!FT$9</f>
        <v>46708</v>
      </c>
      <c r="FU42" s="3">
        <f>[7]q!FU$9</f>
        <v>46767</v>
      </c>
      <c r="FV42" s="3">
        <f>[7]q!FV$9</f>
        <v>48362</v>
      </c>
      <c r="FW42" s="3">
        <f>[7]q!FW$9</f>
        <v>49978</v>
      </c>
      <c r="FX42" s="3">
        <f>[7]q!FX$9</f>
        <v>50667</v>
      </c>
      <c r="FY42" s="3">
        <f>[7]q!FY$9</f>
        <v>51390</v>
      </c>
      <c r="FZ42" s="3">
        <f>[7]q!FZ$9</f>
        <v>52173</v>
      </c>
      <c r="GA42" s="3">
        <f>[7]q!GA$9</f>
        <v>53163</v>
      </c>
      <c r="GB42" s="3">
        <f>[7]q!GB$9</f>
        <v>56436</v>
      </c>
      <c r="GC42" s="3">
        <f>[7]q!GC$9</f>
        <v>57408</v>
      </c>
      <c r="GD42" s="3">
        <f>[7]q!GD$9</f>
        <v>57442</v>
      </c>
      <c r="GE42" s="3">
        <f>[7]q!GE$9</f>
        <v>59350</v>
      </c>
      <c r="GF42" s="3">
        <f>[7]q!GF$9</f>
        <v>58664</v>
      </c>
      <c r="GG42" s="3">
        <f>[7]q!GG$9</f>
        <v>64030</v>
      </c>
      <c r="GH42" s="3">
        <f>[7]q!GH$9</f>
        <v>62515</v>
      </c>
      <c r="GI42" s="3">
        <f>[7]q!GI$9</f>
        <v>64292</v>
      </c>
      <c r="GJ42" s="3">
        <f>[7]q!GJ$9</f>
        <v>64854</v>
      </c>
      <c r="GK42" s="3">
        <f>[7]q!GK$9</f>
        <v>64430</v>
      </c>
      <c r="GL42" s="3">
        <f>[7]q!GL$9</f>
        <v>64690</v>
      </c>
      <c r="GM42" s="3">
        <f>[7]q!GM$9</f>
        <v>66175</v>
      </c>
      <c r="GN42" s="3">
        <f>[7]q!GN$9</f>
        <v>64787</v>
      </c>
      <c r="GO42" s="3">
        <f>[7]q!GO$9</f>
        <v>67106</v>
      </c>
      <c r="GP42" s="3">
        <f>[7]q!GP$9</f>
        <v>65610</v>
      </c>
      <c r="GQ42" s="3">
        <f>[7]q!GQ$9</f>
        <v>66299</v>
      </c>
      <c r="GR42" s="3">
        <f>[7]q!GR$9</f>
        <v>67896</v>
      </c>
      <c r="GS42" s="3">
        <f>[7]q!GS$9</f>
        <v>68983</v>
      </c>
      <c r="GT42" s="3">
        <f>[7]q!GT$9</f>
        <v>70442</v>
      </c>
      <c r="GU42" s="3">
        <f>[7]q!GU$9</f>
        <v>72372</v>
      </c>
      <c r="GV42" s="3">
        <f>[7]q!GV$9</f>
        <v>72323</v>
      </c>
      <c r="GW42" s="3">
        <f>[7]q!GW$9</f>
        <v>72864</v>
      </c>
      <c r="GX42" s="3">
        <f>[7]q!GX$9</f>
        <v>72511</v>
      </c>
      <c r="GY42" s="3">
        <f>[7]q!GY$9</f>
        <v>71248</v>
      </c>
      <c r="GZ42" s="3">
        <f>[7]q!GZ$9</f>
        <v>68065</v>
      </c>
      <c r="HA42" s="3">
        <f>[7]q!HA$9</f>
        <v>64710</v>
      </c>
      <c r="HB42" s="3">
        <f>[7]q!HB$9</f>
        <v>68817</v>
      </c>
      <c r="HC42" s="3">
        <f>[7]q!HC$9</f>
        <v>70206</v>
      </c>
      <c r="HD42" s="3">
        <f>[7]q!HD$9</f>
        <v>71215</v>
      </c>
      <c r="HE42" s="3">
        <f>[7]q!HE$9</f>
        <v>73201</v>
      </c>
      <c r="HF42" s="3">
        <f>[7]q!HF$9</f>
        <v>71006</v>
      </c>
      <c r="HG42" s="3">
        <f>[7]q!HG$9</f>
        <v>70185</v>
      </c>
      <c r="HH42" s="3">
        <f>[7]q!HH$9</f>
        <v>74061</v>
      </c>
      <c r="HI42" s="3">
        <f>[7]q!HI$9</f>
        <v>78449</v>
      </c>
      <c r="HJ42" s="3">
        <f>[7]q!HJ$9</f>
        <v>82583</v>
      </c>
      <c r="HK42" s="3">
        <f>[7]q!HK$9</f>
        <v>84259</v>
      </c>
      <c r="HL42" s="3">
        <f>[7]q!HL$9</f>
        <v>85066</v>
      </c>
      <c r="HM42" s="3">
        <f>[7]q!HM$9</f>
        <v>89252</v>
      </c>
      <c r="HN42" s="3">
        <f>[7]q!HN$9</f>
        <v>92045</v>
      </c>
      <c r="HO42" s="3">
        <f>[7]q!HO$9</f>
        <v>92471</v>
      </c>
      <c r="HP42" s="3">
        <f>[7]q!HP$9</f>
        <v>94194</v>
      </c>
      <c r="HQ42" s="3">
        <f>[7]q!HQ$9</f>
        <v>97044</v>
      </c>
      <c r="HR42" s="3">
        <f>[7]q!HR$9</f>
        <v>100481</v>
      </c>
      <c r="HS42" s="3">
        <f>[7]q!HS$9</f>
        <v>104386</v>
      </c>
      <c r="HT42" s="3">
        <f>[7]q!HT$9</f>
        <v>104381</v>
      </c>
      <c r="HU42" s="3">
        <f>[7]q!HU$9</f>
        <v>111169</v>
      </c>
      <c r="HV42" s="3">
        <f>[7]q!HV$9</f>
        <v>114691</v>
      </c>
      <c r="HW42" s="3">
        <f>[7]q!HW$9</f>
        <v>118426</v>
      </c>
      <c r="HX42" s="3">
        <f>[7]q!HX$9</f>
        <v>125336</v>
      </c>
      <c r="HY42" s="3">
        <f>[7]q!HY$9</f>
        <v>132152</v>
      </c>
      <c r="HZ42" s="3">
        <f>[7]q!HZ$9</f>
        <v>131685</v>
      </c>
      <c r="IA42" s="3">
        <f>[7]q!IA$9</f>
        <v>136154</v>
      </c>
      <c r="IB42" s="3">
        <f>[7]q!IB$9</f>
        <v>136300</v>
      </c>
      <c r="IC42" s="3">
        <f>[7]q!IC$9</f>
        <v>131044</v>
      </c>
      <c r="ID42" s="3">
        <f>[7]q!ID$9</f>
        <v>123869</v>
      </c>
      <c r="IE42" s="3">
        <f>[7]q!IE$9</f>
        <v>124134</v>
      </c>
      <c r="IF42" s="3">
        <f>[7]q!IF$9</f>
        <v>125799</v>
      </c>
      <c r="IG42" s="3">
        <f>[7]q!IG$9</f>
        <v>131746</v>
      </c>
      <c r="IH42" s="3">
        <f>[7]q!IH$9</f>
        <v>131930</v>
      </c>
      <c r="II42" s="3">
        <f>[7]q!II$9</f>
        <v>135180</v>
      </c>
      <c r="IJ42" s="3">
        <f>[7]q!IJ$9</f>
        <v>139680</v>
      </c>
      <c r="IK42" s="3">
        <f>[7]q!IK$9</f>
        <v>142088</v>
      </c>
      <c r="IL42" s="3">
        <f>[7]q!IL$9</f>
        <v>146013</v>
      </c>
      <c r="IM42" s="3">
        <f>[7]q!IM$9</f>
        <v>150657</v>
      </c>
      <c r="IN42" s="3" t="str">
        <f>[7]q!IN$9</f>
        <v>NA</v>
      </c>
      <c r="IO42" s="6"/>
      <c r="IP42" s="6"/>
      <c r="IQ42" s="6"/>
      <c r="IR42" s="6"/>
      <c r="IS42" s="6"/>
      <c r="IT42" s="6"/>
      <c r="IU42" s="6"/>
      <c r="IV42" s="6"/>
    </row>
    <row r="43" spans="1:256" x14ac:dyDescent="0.25">
      <c r="A43" s="1" t="s">
        <v>51</v>
      </c>
      <c r="BW43">
        <f>[7]q!BW$22</f>
        <v>259.47000000000003</v>
      </c>
      <c r="BX43">
        <f>[7]q!BX$22</f>
        <v>275.14</v>
      </c>
      <c r="BY43">
        <f>[7]q!BY$22</f>
        <v>283.05</v>
      </c>
      <c r="BZ43">
        <f>[7]q!BZ$22</f>
        <v>282.22000000000003</v>
      </c>
      <c r="CA43">
        <f>[7]q!CA$22</f>
        <v>302.63</v>
      </c>
      <c r="CB43">
        <f>[7]q!CB$22</f>
        <v>307.62</v>
      </c>
      <c r="CC43">
        <f>[7]q!CC$22</f>
        <v>314.08</v>
      </c>
      <c r="CD43">
        <f>[7]q!CD$22</f>
        <v>323.44</v>
      </c>
      <c r="CE43">
        <f>[7]q!CE$22</f>
        <v>331.28000000000003</v>
      </c>
      <c r="CF43">
        <f>[7]q!CF$22</f>
        <v>336.37</v>
      </c>
      <c r="CG43">
        <f>[7]q!CG$22</f>
        <v>343.39</v>
      </c>
      <c r="CH43">
        <f>[7]q!CH$22</f>
        <v>345.88</v>
      </c>
      <c r="CI43">
        <f>[7]q!CI$22</f>
        <v>353.78000000000003</v>
      </c>
      <c r="CJ43">
        <f>[7]q!CJ$22</f>
        <v>362.40000000000003</v>
      </c>
      <c r="CK43">
        <f>[7]q!CK$22</f>
        <v>357.7</v>
      </c>
      <c r="CL43">
        <f>[7]q!CL$22</f>
        <v>375.13</v>
      </c>
      <c r="CM43">
        <f>[7]q!CM$22</f>
        <v>379.48</v>
      </c>
      <c r="CN43">
        <f>[7]q!CN$22</f>
        <v>389.67</v>
      </c>
      <c r="CO43">
        <f>[7]q!CO$22</f>
        <v>411.51</v>
      </c>
      <c r="CP43">
        <f>[7]q!CP$22</f>
        <v>425.1</v>
      </c>
      <c r="CQ43">
        <f>[7]q!CQ$22</f>
        <v>435.41</v>
      </c>
      <c r="CR43">
        <f>[7]q!CR$22</f>
        <v>440.73</v>
      </c>
      <c r="CS43">
        <f>[7]q!CS$22</f>
        <v>452.07</v>
      </c>
      <c r="CT43">
        <f>[7]q!CT$22</f>
        <v>457.27</v>
      </c>
      <c r="CU43">
        <f>[7]q!CU$22</f>
        <v>465.05</v>
      </c>
      <c r="CV43">
        <f>[7]q!CV$22</f>
        <v>465.96000000000004</v>
      </c>
      <c r="CW43">
        <f>[7]q!CW$22</f>
        <v>456.28000000000003</v>
      </c>
      <c r="CX43">
        <f>[7]q!CX$22</f>
        <v>438.11</v>
      </c>
      <c r="CY43">
        <f>[7]q!CY$22</f>
        <v>432.04</v>
      </c>
      <c r="CZ43">
        <f>[7]q!CZ$22</f>
        <v>440.69</v>
      </c>
      <c r="DA43">
        <f>[7]q!DA$22</f>
        <v>459.03000000000003</v>
      </c>
      <c r="DB43">
        <f>[7]q!DB$22</f>
        <v>473.31</v>
      </c>
      <c r="DC43">
        <f>[7]q!DC$22</f>
        <v>489.07</v>
      </c>
      <c r="DD43">
        <f>[7]q!DD$22</f>
        <v>501.46000000000004</v>
      </c>
      <c r="DE43">
        <f>[7]q!DE$22</f>
        <v>509.1</v>
      </c>
      <c r="DF43">
        <f>[7]q!DF$22</f>
        <v>510.49</v>
      </c>
      <c r="DG43">
        <f>[7]q!DG$22</f>
        <v>518.75</v>
      </c>
      <c r="DH43">
        <f>[7]q!DH$22</f>
        <v>522.28</v>
      </c>
      <c r="DI43">
        <f>[7]q!DI$22</f>
        <v>526.01</v>
      </c>
      <c r="DJ43">
        <f>[7]q!DJ$22</f>
        <v>534.21</v>
      </c>
      <c r="DK43">
        <f>[7]q!DK$22</f>
        <v>548.5</v>
      </c>
      <c r="DL43">
        <f>[7]q!DL$22</f>
        <v>557.75</v>
      </c>
      <c r="DM43">
        <f>[7]q!DM$22</f>
        <v>570.99</v>
      </c>
      <c r="DN43">
        <f>[7]q!DN$22</f>
        <v>575.68000000000006</v>
      </c>
      <c r="DO43">
        <f>[7]q!DO$22</f>
        <v>590.03</v>
      </c>
      <c r="DP43">
        <f>[7]q!DP$22</f>
        <v>600.70000000000005</v>
      </c>
      <c r="DQ43">
        <f>[7]q!DQ$22</f>
        <v>612.04</v>
      </c>
      <c r="DR43">
        <f>[7]q!DR$22</f>
        <v>624.16</v>
      </c>
      <c r="DS43">
        <f>[7]q!DS$22</f>
        <v>612.34</v>
      </c>
      <c r="DT43">
        <f>[7]q!DT$22</f>
        <v>606</v>
      </c>
      <c r="DU43">
        <f>[7]q!DU$22</f>
        <v>614.87</v>
      </c>
      <c r="DV43">
        <f>[7]q!DV$22</f>
        <v>624.33000000000004</v>
      </c>
      <c r="DW43">
        <f>[7]q!DW$22</f>
        <v>637.03</v>
      </c>
      <c r="DX43">
        <f>[7]q!DX$22</f>
        <v>642.83000000000004</v>
      </c>
      <c r="DY43">
        <f>[7]q!DY$22</f>
        <v>647.94000000000005</v>
      </c>
      <c r="DZ43">
        <f>[7]q!DZ$22</f>
        <v>644.21</v>
      </c>
      <c r="EA43">
        <f>[7]q!EA$22</f>
        <v>640.06000000000006</v>
      </c>
      <c r="EB43">
        <f>[7]q!EB$22</f>
        <v>635.85</v>
      </c>
      <c r="EC43">
        <f>[7]q!EC$22</f>
        <v>627.87</v>
      </c>
      <c r="ED43">
        <f>[7]q!ED$22</f>
        <v>632.5</v>
      </c>
      <c r="EE43">
        <f>[7]q!EE$22</f>
        <v>648.66</v>
      </c>
      <c r="EF43">
        <f>[7]q!EF$22</f>
        <v>665.75</v>
      </c>
      <c r="EG43">
        <f>[7]q!EG$22</f>
        <v>688.4</v>
      </c>
      <c r="EH43">
        <f>[7]q!EH$22</f>
        <v>714.93000000000006</v>
      </c>
      <c r="EI43">
        <f>[7]q!EI$22</f>
        <v>723.13</v>
      </c>
      <c r="EJ43">
        <f>[7]q!EJ$22</f>
        <v>744.32</v>
      </c>
      <c r="EK43">
        <f>[7]q!EK$22</f>
        <v>752.68000000000006</v>
      </c>
      <c r="EL43">
        <f>[7]q!EL$22</f>
        <v>768.98</v>
      </c>
      <c r="EM43">
        <f>[7]q!EM$22</f>
        <v>774.94</v>
      </c>
      <c r="EN43">
        <f>[7]q!EN$22</f>
        <v>776.58</v>
      </c>
      <c r="EO43">
        <f>[7]q!EO$22</f>
        <v>792.91</v>
      </c>
      <c r="EP43">
        <f>[7]q!EP$22</f>
        <v>791.46</v>
      </c>
      <c r="EQ43">
        <f>[7]q!EQ$22</f>
        <v>811.81000000000006</v>
      </c>
      <c r="ER43">
        <f>[7]q!ER$22</f>
        <v>826.18000000000006</v>
      </c>
      <c r="ES43">
        <f>[7]q!ES$22</f>
        <v>832.1</v>
      </c>
      <c r="ET43">
        <f>[7]q!ET$22</f>
        <v>839.37</v>
      </c>
      <c r="EU43">
        <f>[7]q!EU$22</f>
        <v>858.6</v>
      </c>
      <c r="EV43">
        <f>[7]q!EV$22</f>
        <v>884.69</v>
      </c>
      <c r="EW43">
        <f>[7]q!EW$22</f>
        <v>906.75</v>
      </c>
      <c r="EX43">
        <f>[7]q!EX$22</f>
        <v>916.46</v>
      </c>
      <c r="EY43">
        <f>[7]q!EY$22</f>
        <v>940.13</v>
      </c>
      <c r="EZ43">
        <f>[7]q!EZ$22</f>
        <v>967.75</v>
      </c>
      <c r="FA43">
        <f>[7]q!FA$22</f>
        <v>988.11</v>
      </c>
      <c r="FB43">
        <f>[7]q!FB$22</f>
        <v>1008.27</v>
      </c>
      <c r="FC43">
        <f>[7]q!FC$22</f>
        <v>1022.88</v>
      </c>
      <c r="FD43">
        <f>[7]q!FD$22</f>
        <v>1036.5899999999999</v>
      </c>
      <c r="FE43">
        <f>[7]q!FE$22</f>
        <v>1046.3499999999999</v>
      </c>
      <c r="FF43">
        <f>[7]q!FF$22</f>
        <v>1069.3399999999999</v>
      </c>
      <c r="FG43">
        <f>[7]q!FG$22</f>
        <v>1079.42</v>
      </c>
      <c r="FH43">
        <f>[7]q!FH$22</f>
        <v>1100.8900000000001</v>
      </c>
      <c r="FI43">
        <f>[7]q!FI$22</f>
        <v>1113.73</v>
      </c>
      <c r="FJ43">
        <f>[7]q!FJ$22</f>
        <v>1118.3</v>
      </c>
      <c r="FK43">
        <f>[7]q!FK$22</f>
        <v>1135.8800000000001</v>
      </c>
      <c r="FL43">
        <f>[7]q!FL$22</f>
        <v>1161.1200000000001</v>
      </c>
      <c r="FM43">
        <f>[7]q!FM$22</f>
        <v>1176.42</v>
      </c>
      <c r="FN43" s="3">
        <f>[7]q!FN$22</f>
        <v>1205.8800000000001</v>
      </c>
      <c r="FO43" s="3">
        <f>[7]q!FO$22</f>
        <v>1222.1000000000001</v>
      </c>
      <c r="FP43" s="3">
        <f>[7]q!FP$22</f>
        <v>1233.06</v>
      </c>
      <c r="FQ43" s="3">
        <f>[7]q!FQ$22</f>
        <v>1251.18</v>
      </c>
      <c r="FR43" s="3">
        <f>[7]q!FR$22</f>
        <v>1250.79</v>
      </c>
      <c r="FS43" s="3">
        <f>[7]q!FS$22</f>
        <v>1266.19</v>
      </c>
      <c r="FT43" s="3">
        <f>[7]q!FT$22</f>
        <v>1294.81</v>
      </c>
      <c r="FU43" s="3">
        <f>[7]q!FU$22</f>
        <v>1325.3</v>
      </c>
      <c r="FV43" s="3">
        <f>[7]q!FV$22</f>
        <v>1347.33</v>
      </c>
      <c r="FW43" s="3">
        <f>[7]q!FW$22</f>
        <v>1393.8</v>
      </c>
      <c r="FX43" s="3">
        <f>[7]q!FX$22</f>
        <v>1424.74</v>
      </c>
      <c r="FY43" s="3">
        <f>[7]q!FY$22</f>
        <v>1481.1100000000001</v>
      </c>
      <c r="FZ43" s="3">
        <f>[7]q!FZ$22</f>
        <v>1515.29</v>
      </c>
      <c r="GA43" s="3">
        <f>[7]q!GA$22</f>
        <v>1546.5900000000001</v>
      </c>
      <c r="GB43" s="3">
        <f>[7]q!GB$22</f>
        <v>1574.02</v>
      </c>
      <c r="GC43" s="3">
        <f>[7]q!GC$22</f>
        <v>1598.2</v>
      </c>
      <c r="GD43" s="3">
        <f>[7]q!GD$22</f>
        <v>1640.05</v>
      </c>
      <c r="GE43" s="3">
        <f>[7]q!GE$22</f>
        <v>1656.73</v>
      </c>
      <c r="GF43" s="3">
        <f>[7]q!GF$22</f>
        <v>1697.54</v>
      </c>
      <c r="GG43" s="3">
        <f>[7]q!GG$22</f>
        <v>1743.91</v>
      </c>
      <c r="GH43" s="3">
        <f>[7]q!GH$22</f>
        <v>1788.76</v>
      </c>
      <c r="GI43" s="3">
        <f>[7]q!GI$22</f>
        <v>1852.05</v>
      </c>
      <c r="GJ43" s="3">
        <f>[7]q!GJ$22</f>
        <v>1895.46</v>
      </c>
      <c r="GK43" s="3">
        <f>[7]q!GK$22</f>
        <v>1931.66</v>
      </c>
      <c r="GL43" s="3">
        <f>[7]q!GL$22</f>
        <v>1954.39</v>
      </c>
      <c r="GM43" s="3">
        <f>[7]q!GM$22</f>
        <v>1959.82</v>
      </c>
      <c r="GN43" s="3">
        <f>[7]q!GN$22</f>
        <v>1964.8600000000001</v>
      </c>
      <c r="GO43" s="3">
        <f>[7]q!GO$22</f>
        <v>1974.17</v>
      </c>
      <c r="GP43" s="3">
        <f>[7]q!GP$22</f>
        <v>1996.74</v>
      </c>
      <c r="GQ43" s="3">
        <f>[7]q!GQ$22</f>
        <v>2056.63</v>
      </c>
      <c r="GR43" s="3">
        <f>[7]q!GR$22</f>
        <v>2122.0300000000002</v>
      </c>
      <c r="GS43" s="3">
        <f>[7]q!GS$22</f>
        <v>2187.59</v>
      </c>
      <c r="GT43" s="3">
        <f>[7]q!GT$22</f>
        <v>2276.2600000000002</v>
      </c>
      <c r="GU43" s="3">
        <f>[7]q!GU$22</f>
        <v>2337.6799999999998</v>
      </c>
      <c r="GV43" s="3">
        <f>[7]q!GV$22</f>
        <v>2404.1799999999998</v>
      </c>
      <c r="GW43" s="3">
        <f>[7]q!GW$22</f>
        <v>2443.9900000000002</v>
      </c>
      <c r="GX43" s="3">
        <f>[7]q!GX$22</f>
        <v>2434.92</v>
      </c>
      <c r="GY43" s="3">
        <f>[7]q!GY$22</f>
        <v>2398.91</v>
      </c>
      <c r="GZ43" s="3">
        <f>[7]q!GZ$22</f>
        <v>2370.56</v>
      </c>
      <c r="HA43" s="3">
        <f>[7]q!HA$22</f>
        <v>2361.79</v>
      </c>
      <c r="HB43" s="3">
        <f>[7]q!HB$22</f>
        <v>2415.7000000000003</v>
      </c>
      <c r="HC43" s="3">
        <f>[7]q!HC$22</f>
        <v>2489.25</v>
      </c>
      <c r="HD43" s="3">
        <f>[7]q!HD$22</f>
        <v>2534.0300000000002</v>
      </c>
      <c r="HE43" s="3">
        <f>[7]q!HE$22</f>
        <v>2560.89</v>
      </c>
      <c r="HF43" s="3">
        <f>[7]q!HF$22</f>
        <v>2596.85</v>
      </c>
      <c r="HG43" s="3">
        <f>[7]q!HG$22</f>
        <v>2600.14</v>
      </c>
      <c r="HH43" s="3">
        <f>[7]q!HH$22</f>
        <v>2669.4700000000003</v>
      </c>
      <c r="HI43" s="3">
        <f>[7]q!HI$22</f>
        <v>2766.6</v>
      </c>
      <c r="HJ43" s="3">
        <f>[7]q!HJ$22</f>
        <v>2844.2400000000002</v>
      </c>
      <c r="HK43" s="3">
        <f>[7]q!HK$22</f>
        <v>2930.9700000000003</v>
      </c>
      <c r="HL43" s="3">
        <f>[7]q!HL$22</f>
        <v>2980.25</v>
      </c>
      <c r="HM43" s="3">
        <f>[7]q!HM$22</f>
        <v>3051.77</v>
      </c>
      <c r="HN43" s="3">
        <f>[7]q!HN$22</f>
        <v>3072.34</v>
      </c>
      <c r="HO43" s="3">
        <f>[7]q!HO$22</f>
        <v>3167.04</v>
      </c>
      <c r="HP43" s="3">
        <f>[7]q!HP$22</f>
        <v>3235.75</v>
      </c>
      <c r="HQ43" s="3">
        <f>[7]q!HQ$22</f>
        <v>3315.8</v>
      </c>
      <c r="HR43" s="3">
        <f>[7]q!HR$22</f>
        <v>3408.25</v>
      </c>
      <c r="HS43" s="3">
        <f>[7]q!HS$22</f>
        <v>3472.7000000000003</v>
      </c>
      <c r="HT43" s="3">
        <f>[7]q!HT$22</f>
        <v>3503.31</v>
      </c>
      <c r="HU43" s="3">
        <f>[7]q!HU$22</f>
        <v>3582.57</v>
      </c>
      <c r="HV43" s="3">
        <f>[7]q!HV$22</f>
        <v>3657.79</v>
      </c>
      <c r="HW43" s="3">
        <f>[7]q!HW$22</f>
        <v>3709.56</v>
      </c>
      <c r="HX43" s="3">
        <f>[7]q!HX$22</f>
        <v>3784.25</v>
      </c>
      <c r="HY43" s="3">
        <f>[7]q!HY$22</f>
        <v>3848.9900000000002</v>
      </c>
      <c r="HZ43" s="3">
        <f>[7]q!HZ$22</f>
        <v>3916.96</v>
      </c>
      <c r="IA43" s="3">
        <f>[7]q!IA$22</f>
        <v>3929.4500000000003</v>
      </c>
      <c r="IB43" s="3">
        <f>[7]q!IB$22</f>
        <v>3911.02</v>
      </c>
      <c r="IC43" s="3">
        <f>[7]q!IC$22</f>
        <v>3667.28</v>
      </c>
      <c r="ID43" s="3">
        <f>[7]q!ID$22</f>
        <v>3346.9300000000003</v>
      </c>
      <c r="IE43" s="3">
        <f>[7]q!IE$22</f>
        <v>3357.25</v>
      </c>
      <c r="IF43" s="3">
        <f>[7]q!IF$22</f>
        <v>3474.76</v>
      </c>
      <c r="IG43" s="3">
        <f>[7]q!IG$22</f>
        <v>3580.91</v>
      </c>
      <c r="IH43" s="3">
        <f>[7]q!IH$22</f>
        <v>3700.25</v>
      </c>
      <c r="II43" s="3">
        <f>[7]q!II$22</f>
        <v>3844.58</v>
      </c>
      <c r="IJ43" s="3">
        <f>[7]q!IJ$22</f>
        <v>3918.23</v>
      </c>
      <c r="IK43" s="3">
        <f>[7]q!IK$22</f>
        <v>3973.34</v>
      </c>
      <c r="IL43" s="3">
        <f>[7]q!IL$22</f>
        <v>4053.8</v>
      </c>
      <c r="IM43" s="3">
        <f>[7]q!IM$22</f>
        <v>4072.31</v>
      </c>
      <c r="IN43" s="3" t="str">
        <f>[7]q!IN$22</f>
        <v>NA</v>
      </c>
      <c r="IO43" s="6"/>
      <c r="IP43" s="6"/>
      <c r="IQ43" s="6"/>
      <c r="IR43" s="6"/>
      <c r="IS43" s="6"/>
      <c r="IT43" s="6"/>
      <c r="IU43" s="6"/>
      <c r="IV43" s="6"/>
    </row>
    <row r="44" spans="1:256" x14ac:dyDescent="0.25">
      <c r="A44" s="1" t="s">
        <v>50</v>
      </c>
      <c r="G44" s="5">
        <f>[3]q!C72</f>
        <v>4.6396831504860678</v>
      </c>
      <c r="H44" s="5">
        <f>[3]q!D72</f>
        <v>-4.8393348244659853</v>
      </c>
      <c r="I44" s="5">
        <f>[3]q!E72</f>
        <v>-5.1520207960925815</v>
      </c>
      <c r="J44" s="5">
        <f>[3]q!F72</f>
        <v>0.68386796369608516</v>
      </c>
      <c r="K44" s="5">
        <f>[3]q!G72</f>
        <v>-5.9757490438511596</v>
      </c>
      <c r="L44" s="5">
        <f>[3]q!H72</f>
        <v>6.605911833684071</v>
      </c>
      <c r="M44" s="5">
        <f>[3]q!I72</f>
        <v>0.19919543095819048</v>
      </c>
      <c r="N44" s="5">
        <f>[3]q!J72</f>
        <v>-1.0992291322741949</v>
      </c>
      <c r="O44" s="5">
        <f>[3]q!K72</f>
        <v>-8.3503551806122178E-2</v>
      </c>
      <c r="P44" s="5">
        <f>[3]q!L72</f>
        <v>-1.3921513367376894</v>
      </c>
      <c r="Q44" s="5">
        <f>[3]q!M72</f>
        <v>-3.8885261525529762</v>
      </c>
      <c r="R44" s="5">
        <f>[3]q!N72</f>
        <v>0.58549684883086539</v>
      </c>
      <c r="S44" s="5">
        <f>[3]q!O72</f>
        <v>-1.0054667164356323</v>
      </c>
      <c r="T44" s="5">
        <f>[3]q!P72</f>
        <v>0.60601449797821871</v>
      </c>
      <c r="U44" s="5">
        <f>[3]q!Q72</f>
        <v>1.4426800070763512</v>
      </c>
      <c r="V44" s="5">
        <f>[3]q!R72</f>
        <v>3.9722865867932287</v>
      </c>
      <c r="W44" s="5">
        <f>[3]q!S72</f>
        <v>1.4273770452356893</v>
      </c>
      <c r="X44" s="5">
        <f>[3]q!T72</f>
        <v>-0.39808112045900512</v>
      </c>
      <c r="Y44" s="5">
        <f>[3]q!U72</f>
        <v>1.365685750593761</v>
      </c>
      <c r="Z44" s="5">
        <f>[3]q!V72</f>
        <v>-0.92749349962314653</v>
      </c>
      <c r="AA44" s="5">
        <f>[3]q!W72</f>
        <v>-1.1886539777144987</v>
      </c>
      <c r="AB44" s="5">
        <f>[3]q!X72</f>
        <v>-0.59223552979687932</v>
      </c>
      <c r="AC44" s="5">
        <f>[3]q!Y72</f>
        <v>-0.2242659282764094</v>
      </c>
      <c r="AD44" s="5">
        <f>[3]q!Z72</f>
        <v>-0.94982239339758046</v>
      </c>
      <c r="AE44" s="5">
        <f>[3]q!AA72</f>
        <v>0.50879472775912638</v>
      </c>
      <c r="AF44" s="5">
        <f>[3]q!AB72</f>
        <v>0.75877648685308363</v>
      </c>
      <c r="AG44" s="5">
        <f>[3]q!AC72</f>
        <v>-4.2681180792084845</v>
      </c>
      <c r="AH44" s="5">
        <f>[3]q!AD72</f>
        <v>-0.71806859847056614</v>
      </c>
      <c r="AI44" s="5">
        <f>[3]q!AE72</f>
        <v>0.2341048815922302</v>
      </c>
      <c r="AJ44" s="5">
        <f>[3]q!AF72</f>
        <v>3.6093733424000534</v>
      </c>
      <c r="AK44" s="5">
        <f>[3]q!AG72</f>
        <v>1.8845656956935621</v>
      </c>
      <c r="AL44" s="5">
        <f>[3]q!AH72</f>
        <v>0.37144203336846182</v>
      </c>
      <c r="AM44" s="5">
        <f>[3]q!AI72</f>
        <v>3.5826788178919107</v>
      </c>
      <c r="AN44" s="5">
        <f>[3]q!AJ72</f>
        <v>-5.2145888405774503</v>
      </c>
      <c r="AO44" s="5">
        <f>[3]q!AK72</f>
        <v>2.8465144555335029</v>
      </c>
      <c r="AP44" s="5">
        <f>[3]q!AL72</f>
        <v>4.5909690486555181</v>
      </c>
      <c r="AQ44" s="5">
        <f>[3]q!AM72</f>
        <v>-5.7066810495327491</v>
      </c>
      <c r="AR44" s="5">
        <f>[3]q!AN72</f>
        <v>1.1413022271703805</v>
      </c>
      <c r="AS44" s="5">
        <f>[3]q!AO72</f>
        <v>-7.0649479005568523</v>
      </c>
      <c r="AT44" s="5">
        <f>[3]q!AP72</f>
        <v>2.0969694380396628</v>
      </c>
      <c r="AU44" s="5">
        <f>[3]q!AQ72</f>
        <v>3.2960402392278301</v>
      </c>
      <c r="AV44" s="5">
        <f>[3]q!AR72</f>
        <v>3.4817442715892817</v>
      </c>
      <c r="AW44" s="5">
        <f>[3]q!AS72</f>
        <v>-0.6791854837813871</v>
      </c>
      <c r="AX44" s="5">
        <f>[3]q!AT72</f>
        <v>2.5047043854275337</v>
      </c>
      <c r="AY44" s="5">
        <f>[3]q!AU72</f>
        <v>-2.2253607097302797</v>
      </c>
      <c r="AZ44" s="5">
        <f>[3]q!AV72</f>
        <v>0.64837487016748097</v>
      </c>
      <c r="BA44" s="5">
        <f>[3]q!AW72</f>
        <v>-1.7657123362008329</v>
      </c>
      <c r="BB44" s="5">
        <f>[3]q!AX72</f>
        <v>2.5927934366802505</v>
      </c>
      <c r="BC44" s="5">
        <f>[3]q!AY72</f>
        <v>-1.6562054941498547</v>
      </c>
      <c r="BD44" s="5">
        <f>[3]q!AZ72</f>
        <v>0.59593251842407913</v>
      </c>
      <c r="BE44" s="5">
        <f>[3]q!BA72</f>
        <v>-1.0358960612778607</v>
      </c>
      <c r="BF44" s="5">
        <f>[3]q!BB72</f>
        <v>0.43218358874921581</v>
      </c>
      <c r="BG44" s="5">
        <f>[3]q!BC72</f>
        <v>-7.7126450264066726E-2</v>
      </c>
      <c r="BH44" s="5">
        <f>[3]q!BD72</f>
        <v>0.54182210988378676</v>
      </c>
      <c r="BI44" s="5">
        <f>[3]q!BE72</f>
        <v>2.5913144734670435E-2</v>
      </c>
      <c r="BJ44" s="5">
        <f>[3]q!BF72</f>
        <v>3.5723872093767404</v>
      </c>
      <c r="BK44" s="5">
        <f>[3]q!BG72</f>
        <v>-1.7294582100778171</v>
      </c>
      <c r="BL44" s="5">
        <f>[3]q!BH72</f>
        <v>0.75225531471188578</v>
      </c>
      <c r="BM44" s="5">
        <f>[3]q!BI72</f>
        <v>-0.94116540829750206</v>
      </c>
      <c r="BN44" s="5">
        <f>[3]q!BJ72</f>
        <v>3.3938614589958331</v>
      </c>
      <c r="BO44" s="5">
        <f>[3]q!BK72</f>
        <v>-0.40076235033092167</v>
      </c>
      <c r="BP44" s="5">
        <f>[3]q!BL72</f>
        <v>-0.6091435732766417</v>
      </c>
      <c r="BQ44" s="5">
        <f>[3]q!BM72</f>
        <v>2.1811756353877674</v>
      </c>
      <c r="BR44" s="5">
        <f>[3]q!BN72</f>
        <v>-0.41845491542120228</v>
      </c>
      <c r="BS44" s="5">
        <f>[3]q!BO72</f>
        <v>-4.0982463892244194</v>
      </c>
      <c r="BT44" s="5">
        <f>[3]q!BP72</f>
        <v>1.1855087633127555</v>
      </c>
      <c r="BU44" s="5">
        <f>[3]q!BQ72</f>
        <v>-0.44490556255746272</v>
      </c>
      <c r="BV44" s="5">
        <f>[3]q!BR72</f>
        <v>4.0084647303639809E-3</v>
      </c>
      <c r="BW44" s="5">
        <f>[3]q!BS72</f>
        <v>2.874181634232623</v>
      </c>
      <c r="BX44" s="5">
        <f>[3]q!BT72</f>
        <v>-2.8796511090140919</v>
      </c>
      <c r="BY44" s="5">
        <f>[3]q!BU72</f>
        <v>-0.76657299556767022</v>
      </c>
      <c r="BZ44" s="5">
        <f>[3]q!BV72</f>
        <v>2.2852741099568097</v>
      </c>
      <c r="CA44" s="5">
        <f>[3]q!BW72</f>
        <v>-0.76470160068406068</v>
      </c>
      <c r="CB44" s="5">
        <f>[3]q!BX72</f>
        <v>0.50420443508009882</v>
      </c>
      <c r="CC44" s="5">
        <f>[3]q!BY72</f>
        <v>-1.9254429637058545</v>
      </c>
      <c r="CD44" s="5">
        <f>[3]q!BZ72</f>
        <v>-1.6876841719803917</v>
      </c>
      <c r="CE44" s="5">
        <f>[3]q!CA72</f>
        <v>1.5156377575799209</v>
      </c>
      <c r="CF44" s="5">
        <f>[3]q!CB72</f>
        <v>5.858248569893032E-3</v>
      </c>
      <c r="CG44" s="5">
        <f>[3]q!CC72</f>
        <v>-3.496199084903032</v>
      </c>
      <c r="CH44" s="5">
        <f>[3]q!CD72</f>
        <v>6.2170738936180259</v>
      </c>
      <c r="CI44" s="5">
        <f>[3]q!CE72</f>
        <v>-0.49073863348287383</v>
      </c>
      <c r="CJ44" s="5">
        <f>[3]q!CF72</f>
        <v>-0.29706197638911291</v>
      </c>
      <c r="CK44" s="5">
        <f>[3]q!CG72</f>
        <v>-3.6948070580414574</v>
      </c>
      <c r="CL44" s="5">
        <f>[3]q!CH72</f>
        <v>1.6230842512445687</v>
      </c>
      <c r="CM44" s="5">
        <f>[3]q!CI72</f>
        <v>2.9753093919131941</v>
      </c>
      <c r="CN44" s="5">
        <f>[3]q!CJ72</f>
        <v>0.3021508000517853</v>
      </c>
      <c r="CO44" s="5">
        <f>[3]q!CK72</f>
        <v>-2.5149811400823716</v>
      </c>
      <c r="CP44" s="5">
        <f>[3]q!CL72</f>
        <v>1.6897239688680994</v>
      </c>
      <c r="CQ44" s="5">
        <f>[3]q!CM72</f>
        <v>2.8015714085663284</v>
      </c>
      <c r="CR44" s="5">
        <f>[3]q!CN72</f>
        <v>-2.4975412941196402</v>
      </c>
      <c r="CS44" s="5">
        <f>[3]q!CO72</f>
        <v>3.5054112914158875</v>
      </c>
      <c r="CT44" s="5">
        <f>[3]q!CP72</f>
        <v>-2.8420446484487036</v>
      </c>
      <c r="CU44" s="5">
        <f>[3]q!CQ72</f>
        <v>0.65140454879240273</v>
      </c>
      <c r="CV44" s="5">
        <f>[3]q!CR72</f>
        <v>-2.7846182770331236</v>
      </c>
      <c r="CW44" s="5">
        <f>[3]q!CS72</f>
        <v>4.0421074405079764</v>
      </c>
      <c r="CX44" s="5">
        <f>[3]q!CT72</f>
        <v>-8.1677122887934797</v>
      </c>
      <c r="CY44" s="5">
        <f>[3]q!CU72</f>
        <v>-1.2492067778022373</v>
      </c>
      <c r="CZ44" s="5">
        <f>[3]q!CV72</f>
        <v>3.0680563939440733</v>
      </c>
      <c r="DA44" s="5">
        <f>[3]q!CW72</f>
        <v>0.58461559475423286</v>
      </c>
      <c r="DB44" s="5">
        <f>[3]q!CX72</f>
        <v>3.8430068077617809</v>
      </c>
      <c r="DC44" s="5">
        <f>[3]q!CY72</f>
        <v>1.786204594255397</v>
      </c>
      <c r="DD44" s="5">
        <f>[3]q!CZ72</f>
        <v>-0.47638173156748026</v>
      </c>
      <c r="DE44" s="5">
        <f>[3]q!DA72</f>
        <v>-2.6731760456128537</v>
      </c>
      <c r="DF44" s="5">
        <f>[3]q!DB72</f>
        <v>0.77372832687870741</v>
      </c>
      <c r="DG44" s="5">
        <f>[3]q!DC72</f>
        <v>1.5609669375111794</v>
      </c>
      <c r="DH44" s="5">
        <f>[3]q!DD72</f>
        <v>3.0371689482218951</v>
      </c>
      <c r="DI44" s="5">
        <f>[3]q!DE72</f>
        <v>-3.2580879357855745</v>
      </c>
      <c r="DJ44" s="5">
        <f>[3]q!DF72</f>
        <v>0.99312966523077673</v>
      </c>
      <c r="DK44" s="5">
        <f>[3]q!DG72</f>
        <v>0.43071141095739129</v>
      </c>
      <c r="DL44" s="5">
        <f>[3]q!DH72</f>
        <v>0.40082524552558718</v>
      </c>
      <c r="DM44" s="5">
        <f>[3]q!DI72</f>
        <v>0.32944776492438144</v>
      </c>
      <c r="DN44" s="5">
        <f>[3]q!DJ72</f>
        <v>-0.5006617561834581</v>
      </c>
      <c r="DO44" s="5">
        <f>[3]q!DK72</f>
        <v>0.43158693152683492</v>
      </c>
      <c r="DP44" s="5">
        <f>[3]q!DL72</f>
        <v>-2.8022593306006836</v>
      </c>
      <c r="DQ44" s="5">
        <f>[3]q!DM72</f>
        <v>-0.67118102322380668</v>
      </c>
      <c r="DR44" s="5">
        <f>[3]q!DN72</f>
        <v>0.55093383911518257</v>
      </c>
      <c r="DS44" s="5">
        <f>[3]q!DO72</f>
        <v>-0.30002397887983889</v>
      </c>
      <c r="DT44" s="5">
        <f>[3]q!DP72</f>
        <v>-5.958125139432056</v>
      </c>
      <c r="DU44" s="5">
        <f>[3]q!DQ72</f>
        <v>3.8122966797433029</v>
      </c>
      <c r="DV44" s="5">
        <f>[3]q!DR72</f>
        <v>6.3780836091917905</v>
      </c>
      <c r="DW44" s="5">
        <f>[3]q!DS72</f>
        <v>-4.034984567735064</v>
      </c>
      <c r="DX44" s="5">
        <f>[3]q!DT72</f>
        <v>4.3675299949785611</v>
      </c>
      <c r="DY44" s="5">
        <f>[3]q!DU72</f>
        <v>-2.6870486702639158</v>
      </c>
      <c r="DZ44" s="5">
        <f>[3]q!DV72</f>
        <v>-5.4780577005714113</v>
      </c>
      <c r="EA44" s="5">
        <f>[3]q!DW72</f>
        <v>2.3543373844327995</v>
      </c>
      <c r="EB44" s="5">
        <f>[3]q!DX72</f>
        <v>1.1524591605062204</v>
      </c>
      <c r="EC44" s="5">
        <f>[3]q!DY72</f>
        <v>-5.4857120877429715</v>
      </c>
      <c r="ED44" s="5">
        <f>[3]q!DZ72</f>
        <v>0.93445594156665868</v>
      </c>
      <c r="EE44" s="5">
        <f>[3]q!EA72</f>
        <v>3.5093139205217216</v>
      </c>
      <c r="EF44" s="5">
        <f>[3]q!EB72</f>
        <v>0.60806067930220653</v>
      </c>
      <c r="EG44" s="5">
        <f>[3]q!EC72</f>
        <v>3.0883964172011118</v>
      </c>
      <c r="EH44" s="5">
        <f>[3]q!ED72</f>
        <v>5.077954232009021</v>
      </c>
      <c r="EI44" s="5">
        <f>[3]q!EE72</f>
        <v>-0.30536810036034101</v>
      </c>
      <c r="EJ44" s="5">
        <f>[3]q!EF72</f>
        <v>0.21474866207958909</v>
      </c>
      <c r="EK44" s="5">
        <f>[3]q!EG72</f>
        <v>-2.502051050619686</v>
      </c>
      <c r="EL44" s="5">
        <f>[3]q!EH72</f>
        <v>-2.9351221173690498</v>
      </c>
      <c r="EM44" s="5">
        <f>[3]q!EI72</f>
        <v>0.34877741219538272</v>
      </c>
      <c r="EN44" s="5">
        <f>[3]q!EJ72</f>
        <v>-0.15304427305190571</v>
      </c>
      <c r="EO44" s="5">
        <f>[3]q!EK72</f>
        <v>1.4535410516264269</v>
      </c>
      <c r="EP44" s="5">
        <f>[3]q!EL72</f>
        <v>-0.16961097728174668</v>
      </c>
      <c r="EQ44" s="5">
        <f>[3]q!EM72</f>
        <v>-1.3327125466022245</v>
      </c>
      <c r="ER44" s="5">
        <f>[3]q!EN72</f>
        <v>-1.6886894509041195</v>
      </c>
      <c r="ES44" s="5">
        <f>[3]q!EO72</f>
        <v>-0.28140756662691369</v>
      </c>
      <c r="ET44" s="5">
        <f>[3]q!EP72</f>
        <v>3.3347082791227995</v>
      </c>
      <c r="EU44" s="5">
        <f>[3]q!EQ72</f>
        <v>-0.98953323326117137</v>
      </c>
      <c r="EV44" s="5">
        <f>[3]q!ER72</f>
        <v>-1.2651007804002905</v>
      </c>
      <c r="EW44" s="5">
        <f>[3]q!ES72</f>
        <v>5.0943639352577383</v>
      </c>
      <c r="EX44" s="5">
        <f>[3]q!ET72</f>
        <v>-3.7972859587973846</v>
      </c>
      <c r="EY44" s="5">
        <f>[3]q!EU72</f>
        <v>0.33720216825098714</v>
      </c>
      <c r="EZ44" s="5">
        <f>[3]q!EV72</f>
        <v>0.16293134393193731</v>
      </c>
      <c r="FA44" s="5">
        <f>[3]q!EW72</f>
        <v>0.24779231688383707</v>
      </c>
      <c r="FB44" s="5">
        <f>[3]q!EX72</f>
        <v>1.8360258770379327</v>
      </c>
      <c r="FC44" s="5">
        <f>[3]q!EY72</f>
        <v>-0.86128602557898437</v>
      </c>
      <c r="FD44" s="5">
        <f>[3]q!EZ72</f>
        <v>-1.8309197727363282</v>
      </c>
      <c r="FE44" s="5">
        <f>[3]q!FA72</f>
        <v>0.36653773680020918</v>
      </c>
      <c r="FF44" s="5">
        <f>[3]q!FB72</f>
        <v>-0.12667503700784322</v>
      </c>
      <c r="FG44" s="5">
        <f>[3]q!FC72</f>
        <v>1.4403796212858968</v>
      </c>
      <c r="FH44" s="5">
        <f>[3]q!FD72</f>
        <v>-0.75496718552964748</v>
      </c>
      <c r="FI44" s="5">
        <f>[3]q!FE72</f>
        <v>-2.0310909283507184</v>
      </c>
      <c r="FJ44" s="5">
        <f>[3]q!FF72</f>
        <v>-0.26036602876323167</v>
      </c>
      <c r="FK44" s="5">
        <f>[3]q!FG72</f>
        <v>-0.12346159331209444</v>
      </c>
      <c r="FL44" s="5">
        <f>[3]q!FH72</f>
        <v>1.1663171613943784</v>
      </c>
      <c r="FM44" s="5">
        <f>[3]q!FI72</f>
        <v>1.9482345634101745</v>
      </c>
      <c r="FN44" s="2">
        <f>[3]q!FJ72</f>
        <v>-1.7763096752564371</v>
      </c>
      <c r="FO44" s="2">
        <f>[3]q!FK72</f>
        <v>1.4081552800027883</v>
      </c>
      <c r="FP44" s="2">
        <f>[3]q!FL72</f>
        <v>-0.21810528523848727</v>
      </c>
      <c r="FQ44" s="2">
        <f>[3]q!FM72</f>
        <v>0.11235980203388674</v>
      </c>
      <c r="FR44" s="2">
        <f>[3]q!FN72</f>
        <v>1.0492758196054226</v>
      </c>
      <c r="FS44" s="2">
        <f>[3]q!FO72</f>
        <v>-0.72637975473695926</v>
      </c>
      <c r="FT44" s="2">
        <f>[3]q!FP72</f>
        <v>-0.99936952099272025</v>
      </c>
      <c r="FU44" s="2">
        <f>[3]q!FQ72</f>
        <v>0.50965696956075224</v>
      </c>
      <c r="FV44" s="2">
        <f>[3]q!FR72</f>
        <v>1.7524072304472078</v>
      </c>
      <c r="FW44" s="2">
        <f>[3]q!FS72</f>
        <v>2.1454830725885934</v>
      </c>
      <c r="FX44" s="2">
        <f>[3]q!FT72</f>
        <v>-1.6903148516041417</v>
      </c>
      <c r="FY44" s="2">
        <f>[3]q!FU72</f>
        <v>1.3166416865203725</v>
      </c>
      <c r="FZ44" s="2">
        <f>[3]q!FV72</f>
        <v>-0.61365901347609642</v>
      </c>
      <c r="GA44" s="2">
        <f>[3]q!FW72</f>
        <v>-1.4779868725142973</v>
      </c>
      <c r="GB44" s="2">
        <f>[3]q!FX72</f>
        <v>-1.378781765059518</v>
      </c>
      <c r="GC44" s="2">
        <f>[3]q!FY72</f>
        <v>0.44257990426556937</v>
      </c>
      <c r="GD44" s="2">
        <f>[3]q!FZ72</f>
        <v>-0.75211557272169927</v>
      </c>
      <c r="GE44" s="2">
        <f>[3]q!GA72</f>
        <v>1.1951072594147307</v>
      </c>
      <c r="GF44" s="2">
        <f>[3]q!GB72</f>
        <v>1.7134420898955902</v>
      </c>
      <c r="GG44" s="2">
        <f>[3]q!GC72</f>
        <v>-1.2148686570849319</v>
      </c>
      <c r="GH44" s="2">
        <f>[3]q!GD72</f>
        <v>0.25148064779696</v>
      </c>
      <c r="GI44" s="2">
        <f>[3]q!GE72</f>
        <v>2.7979256462445585</v>
      </c>
      <c r="GJ44" s="2">
        <f>[3]q!GF72</f>
        <v>-1.22658806047734</v>
      </c>
      <c r="GK44" s="2">
        <f>[3]q!GG72</f>
        <v>0.51921296413244145</v>
      </c>
      <c r="GL44" s="2">
        <f>[3]q!GH72</f>
        <v>1.3024317843144622</v>
      </c>
      <c r="GM44" s="2">
        <f>[3]q!GI72</f>
        <v>-3.0674955961573573</v>
      </c>
      <c r="GN44" s="2">
        <f>[3]q!GJ72</f>
        <v>0.71282057664690113</v>
      </c>
      <c r="GO44" s="2">
        <f>[3]q!GK72</f>
        <v>0.21814100386084689</v>
      </c>
      <c r="GP44" s="2">
        <f>[3]q!GL72</f>
        <v>0.95140378564819583</v>
      </c>
      <c r="GQ44" s="2">
        <f>[3]q!GM72</f>
        <v>-1.8283210277369004</v>
      </c>
      <c r="GR44" s="2">
        <f>[3]q!GN72</f>
        <v>0.17639281148162889</v>
      </c>
      <c r="GS44" s="2">
        <f>[3]q!GO72</f>
        <v>2.1485625983539407</v>
      </c>
      <c r="GT44" s="2">
        <f>[3]q!GP72</f>
        <v>-2.9682971942745633</v>
      </c>
      <c r="GU44" s="2">
        <f>[3]q!GQ72</f>
        <v>3.1529415348364163</v>
      </c>
      <c r="GV44" s="2">
        <f>[3]q!GR72</f>
        <v>-1.3780236642525323</v>
      </c>
      <c r="GW44" s="2">
        <f>[3]q!GS72</f>
        <v>-0.17878989903987</v>
      </c>
      <c r="GX44" s="2">
        <f>[3]q!GT72</f>
        <v>-3.3280682473073142</v>
      </c>
      <c r="GY44" s="2">
        <f>[3]q!GU72</f>
        <v>0.86182737724403791</v>
      </c>
      <c r="GZ44" s="2">
        <f>[3]q!GV72</f>
        <v>-0.66683237056913347</v>
      </c>
      <c r="HA44" s="2">
        <f>[3]q!GW72</f>
        <v>-2.0482968242108468</v>
      </c>
      <c r="HB44" s="2">
        <f>[3]q!GX72</f>
        <v>2.6545860986203622</v>
      </c>
      <c r="HC44" s="2">
        <f>[3]q!GY72</f>
        <v>1.0300972608220549</v>
      </c>
      <c r="HD44" s="2">
        <f>[3]q!GZ72</f>
        <v>0.25072720081982747</v>
      </c>
      <c r="HE44" s="2">
        <f>[3]q!HA72</f>
        <v>0.43663866932299289</v>
      </c>
      <c r="HF44" s="2">
        <f>[3]q!HB72</f>
        <v>-4.6418315761001749E-2</v>
      </c>
      <c r="HG44" s="2">
        <f>[3]q!HC72</f>
        <v>-1.2082444124504266</v>
      </c>
      <c r="HH44" s="2">
        <f>[3]q!HD72</f>
        <v>0.2835167046637066</v>
      </c>
      <c r="HI44" s="2">
        <f>[3]q!HE72</f>
        <v>1.1970317065450153</v>
      </c>
      <c r="HJ44" s="2">
        <f>[3]q!HF72</f>
        <v>0.48800211282089739</v>
      </c>
      <c r="HK44" s="2">
        <f>[3]q!HG72</f>
        <v>0.88641645687555082</v>
      </c>
      <c r="HL44" s="2">
        <f>[3]q!HH72</f>
        <v>-0.47431141171884339</v>
      </c>
      <c r="HM44" s="2">
        <f>[3]q!HI72</f>
        <v>0.29296287199010917</v>
      </c>
      <c r="HN44" s="2">
        <f>[3]q!HJ72</f>
        <v>0.65225860352256992</v>
      </c>
      <c r="HO44" s="2">
        <f>[3]q!HK72</f>
        <v>-2.407847251011785</v>
      </c>
      <c r="HP44" s="2">
        <f>[3]q!HL72</f>
        <v>-9.6437422007247586E-2</v>
      </c>
      <c r="HQ44" s="2">
        <f>[3]q!HM72</f>
        <v>2.2096447981799554</v>
      </c>
      <c r="HR44" s="2">
        <f>[3]q!HN72</f>
        <v>-0.49545663129799822</v>
      </c>
      <c r="HS44" s="2">
        <f>[3]q!HO72</f>
        <v>0.20030576037883524</v>
      </c>
      <c r="HT44" s="2">
        <f>[3]q!HP72</f>
        <v>-0.13126935380474636</v>
      </c>
      <c r="HU44" s="2">
        <f>[3]q!HQ72</f>
        <v>-1.0720396340382048</v>
      </c>
      <c r="HV44" s="2">
        <f>[3]q!HR72</f>
        <v>-0.48968916245879635</v>
      </c>
      <c r="HW44" s="2">
        <f>[3]q!HS72</f>
        <v>0.910688222465589</v>
      </c>
      <c r="HX44" s="2">
        <f>[3]q!HT72</f>
        <v>-0.28336592104713321</v>
      </c>
      <c r="HY44" s="2">
        <f>[3]q!HU72</f>
        <v>-0.77208895141717759</v>
      </c>
      <c r="HZ44" s="2">
        <f>[3]q!HV72</f>
        <v>-0.65507525266958444</v>
      </c>
      <c r="IA44" s="2">
        <f>[3]q!HW72</f>
        <v>-0.11915951379384748</v>
      </c>
      <c r="IB44" s="2">
        <f>[3]q!HX72</f>
        <v>-0.68247564045813203</v>
      </c>
      <c r="IC44" s="2">
        <f>[3]q!HY72</f>
        <v>-1.4563552808150257</v>
      </c>
      <c r="ID44" s="2">
        <f>[3]q!HZ72</f>
        <v>-2.5800048825056683</v>
      </c>
      <c r="IE44" s="2">
        <f>[3]q!IA72</f>
        <v>-0.52179498705839222</v>
      </c>
      <c r="IF44" s="2">
        <f>[3]q!IB72</f>
        <v>0.24459759776879841</v>
      </c>
      <c r="IG44" s="2">
        <f>[3]q!IC72</f>
        <v>3.944351421387926</v>
      </c>
      <c r="IH44" s="2">
        <f>[3]q!ID72</f>
        <v>3.0895400574339829</v>
      </c>
      <c r="II44" s="2">
        <f>[3]q!IE72</f>
        <v>0.7888668866340125</v>
      </c>
      <c r="IJ44" s="2">
        <f>[3]q!IF72</f>
        <v>0.85190222275673322</v>
      </c>
      <c r="IK44" s="2">
        <f>[3]q!IG72</f>
        <v>-1.7958630351403264</v>
      </c>
      <c r="IL44" s="2">
        <f>[3]q!IH72</f>
        <v>0.31246515097603789</v>
      </c>
      <c r="IM44" s="2">
        <f>[3]q!II72</f>
        <v>-0.28134471744206691</v>
      </c>
      <c r="IN44" s="2">
        <f>[3]q!IJ72</f>
        <v>-1.0658553570051537</v>
      </c>
      <c r="IO44" s="6"/>
      <c r="IP44" s="6"/>
      <c r="IQ44" s="6"/>
      <c r="IR44" s="6"/>
      <c r="IS44" s="6"/>
      <c r="IT44" s="6"/>
      <c r="IU44" s="6"/>
      <c r="IV44" s="6"/>
    </row>
    <row r="45" spans="1:256" x14ac:dyDescent="0.25">
      <c r="A45" s="1" t="s">
        <v>49</v>
      </c>
      <c r="GA45">
        <f>INDEX([2]Surveys_q!$Y$126:$Y$326,GA$2-162,1)</f>
        <v>13.5</v>
      </c>
      <c r="GB45">
        <f>INDEX([2]Surveys_q!$Y$126:$Y$326,GB$2-162,1)</f>
        <v>20.7</v>
      </c>
      <c r="GC45">
        <f>INDEX([2]Surveys_q!$Y$126:$Y$326,GC$2-162,1)</f>
        <v>25.5</v>
      </c>
      <c r="GD45">
        <f>INDEX([2]Surveys_q!$Y$126:$Y$326,GD$2-162,1)</f>
        <v>8.9</v>
      </c>
      <c r="GE45">
        <f>INDEX([2]Surveys_q!$Y$126:$Y$326,GE$2-162,1)</f>
        <v>-1.8</v>
      </c>
      <c r="GF45">
        <f>INDEX([2]Surveys_q!$Y$126:$Y$326,GF$2-162,1)</f>
        <v>13.3</v>
      </c>
      <c r="GG45">
        <f>INDEX([2]Surveys_q!$Y$126:$Y$326,GG$2-162,1)</f>
        <v>17.600000000000001</v>
      </c>
      <c r="GH45">
        <f>INDEX([2]Surveys_q!$Y$126:$Y$326,GH$2-162,1)</f>
        <v>16.399999999999999</v>
      </c>
      <c r="GI45">
        <f>INDEX([2]Surveys_q!$Y$126:$Y$326,GI$2-162,1)</f>
        <v>10.4</v>
      </c>
      <c r="GJ45">
        <f>INDEX([2]Surveys_q!$Y$126:$Y$326,GJ$2-162,1)</f>
        <v>15.1</v>
      </c>
      <c r="GK45">
        <f>INDEX([2]Surveys_q!$Y$126:$Y$326,GK$2-162,1)</f>
        <v>36.9</v>
      </c>
      <c r="GL45">
        <f>INDEX([2]Surveys_q!$Y$126:$Y$326,GL$2-162,1)</f>
        <v>39.9</v>
      </c>
      <c r="GM45">
        <f>INDEX([2]Surveys_q!$Y$126:$Y$326,GM$2-162,1)</f>
        <v>47.4</v>
      </c>
      <c r="GN45">
        <f>INDEX([2]Surveys_q!$Y$126:$Y$326,GN$2-162,1)</f>
        <v>25</v>
      </c>
      <c r="GO45">
        <f>INDEX([2]Surveys_q!$Y$126:$Y$326,GO$2-162,1)</f>
        <v>0</v>
      </c>
      <c r="GP45">
        <f>INDEX([2]Surveys_q!$Y$126:$Y$326,GP$2-162,1)</f>
        <v>29.6</v>
      </c>
      <c r="GQ45">
        <f>INDEX([2]Surveys_q!$Y$126:$Y$326,GQ$2-162,1)</f>
        <v>10.1</v>
      </c>
      <c r="GR45">
        <f>INDEX([2]Surveys_q!$Y$126:$Y$326,GR$2-162,1)</f>
        <v>10.700000000000001</v>
      </c>
      <c r="GS45">
        <f>INDEX([2]Surveys_q!$Y$126:$Y$326,GS$2-162,1)</f>
        <v>1.9000000000000001</v>
      </c>
      <c r="GT45">
        <f>INDEX([2]Surveys_q!$Y$126:$Y$326,GT$2-162,1)</f>
        <v>11.1</v>
      </c>
      <c r="GU45">
        <f>INDEX([2]Surveys_q!$Y$126:$Y$326,GU$2-162,1)</f>
        <v>5.4</v>
      </c>
      <c r="GV45">
        <f>INDEX([2]Surveys_q!$Y$126:$Y$326,GV$2-162,1)</f>
        <v>-7.1000000000000005</v>
      </c>
      <c r="GW45">
        <f>INDEX([2]Surveys_q!$Y$126:$Y$326,GW$2-162,1)</f>
        <v>-8.7000000000000011</v>
      </c>
      <c r="GX45">
        <f>INDEX([2]Surveys_q!$Y$126:$Y$326,GX$2-162,1)</f>
        <v>-28.6</v>
      </c>
      <c r="GY45">
        <f>INDEX([2]Surveys_q!$Y$126:$Y$326,GY$2-162,1)</f>
        <v>-21.8</v>
      </c>
      <c r="GZ45">
        <f>INDEX([2]Surveys_q!$Y$126:$Y$326,GZ$2-162,1)</f>
        <v>-30.900000000000002</v>
      </c>
      <c r="HA45">
        <f>INDEX([2]Surveys_q!$Y$126:$Y$326,HA$2-162,1)</f>
        <v>-51.800000000000004</v>
      </c>
      <c r="HB45">
        <f>INDEX([2]Surveys_q!$Y$126:$Y$326,HB$2-162,1)</f>
        <v>-42.6</v>
      </c>
      <c r="HC45">
        <f>INDEX([2]Surveys_q!$Y$126:$Y$326,HC$2-162,1)</f>
        <v>-29.1</v>
      </c>
      <c r="HD45">
        <f>INDEX([2]Surveys_q!$Y$126:$Y$326,HD$2-162,1)</f>
        <v>-32.700000000000003</v>
      </c>
      <c r="HE45">
        <f>INDEX([2]Surveys_q!$Y$126:$Y$326,HE$2-162,1)</f>
        <v>-35.200000000000003</v>
      </c>
      <c r="HF45">
        <f>INDEX([2]Surveys_q!$Y$126:$Y$326,HF$2-162,1)</f>
        <v>-20.3</v>
      </c>
      <c r="HG45">
        <f>INDEX([2]Surveys_q!$Y$126:$Y$326,HG$2-162,1)</f>
        <v>-28.6</v>
      </c>
      <c r="HH45">
        <f>INDEX([2]Surveys_q!$Y$126:$Y$326,HH$2-162,1)</f>
        <v>-12</v>
      </c>
      <c r="HI45">
        <f>INDEX([2]Surveys_q!$Y$126:$Y$326,HI$2-162,1)</f>
        <v>-10.5</v>
      </c>
      <c r="HJ45">
        <f>INDEX([2]Surveys_q!$Y$126:$Y$326,HJ$2-162,1)</f>
        <v>16.399999999999999</v>
      </c>
      <c r="HK45">
        <f>INDEX([2]Surveys_q!$Y$126:$Y$326,HK$2-162,1)</f>
        <v>21.5</v>
      </c>
      <c r="HL45">
        <f>INDEX([2]Surveys_q!$Y$126:$Y$326,HL$2-162,1)</f>
        <v>25</v>
      </c>
      <c r="HM45">
        <f>INDEX([2]Surveys_q!$Y$126:$Y$326,HM$2-162,1)</f>
        <v>22.8</v>
      </c>
      <c r="HN45">
        <f>INDEX([2]Surveys_q!$Y$126:$Y$326,HN$2-162,1)</f>
        <v>16.399999999999999</v>
      </c>
      <c r="HO45">
        <f>INDEX([2]Surveys_q!$Y$126:$Y$326,HO$2-162,1)</f>
        <v>20.400000000000002</v>
      </c>
      <c r="HP45">
        <f>INDEX([2]Surveys_q!$Y$126:$Y$326,HP$2-162,1)</f>
        <v>24</v>
      </c>
      <c r="HQ45">
        <f>INDEX([2]Surveys_q!$Y$126:$Y$326,HQ$2-162,1)</f>
        <v>12.3</v>
      </c>
      <c r="HR45">
        <f>INDEX([2]Surveys_q!$Y$126:$Y$326,HR$2-162,1)</f>
        <v>3.6</v>
      </c>
      <c r="HS45">
        <f>INDEX([2]Surveys_q!$Y$126:$Y$326,HS$2-162,1)</f>
        <v>5.3</v>
      </c>
      <c r="HT45">
        <f>INDEX([2]Surveys_q!$Y$126:$Y$326,HT$2-162,1)</f>
        <v>-3.6</v>
      </c>
      <c r="HU45">
        <f>INDEX([2]Surveys_q!$Y$126:$Y$326,HU$2-162,1)</f>
        <v>-27.2</v>
      </c>
      <c r="HV45">
        <f>INDEX([2]Surveys_q!$Y$126:$Y$326,HV$2-162,1)</f>
        <v>-35.1</v>
      </c>
      <c r="HW45">
        <f>INDEX([2]Surveys_q!$Y$126:$Y$326,HW$2-162,1)</f>
        <v>-35.800000000000004</v>
      </c>
      <c r="HX45">
        <f>INDEX([2]Surveys_q!$Y$126:$Y$326,HX$2-162,1)</f>
        <v>-28.8</v>
      </c>
      <c r="HY45">
        <f>INDEX([2]Surveys_q!$Y$126:$Y$326,HY$2-162,1)</f>
        <v>-34.6</v>
      </c>
      <c r="HZ45">
        <f>INDEX([2]Surveys_q!$Y$126:$Y$326,HZ$2-162,1)</f>
        <v>-46.5</v>
      </c>
      <c r="IA45">
        <f>INDEX([2]Surveys_q!$Y$126:$Y$326,IA$2-162,1)</f>
        <v>-37.5</v>
      </c>
      <c r="IB45">
        <f>INDEX([2]Surveys_q!$Y$126:$Y$326,IB$2-162,1)</f>
        <v>-30.8</v>
      </c>
      <c r="IC45">
        <f>INDEX([2]Surveys_q!$Y$126:$Y$326,IC$2-162,1)</f>
        <v>-55.6</v>
      </c>
      <c r="ID45">
        <f>INDEX([2]Surveys_q!$Y$126:$Y$326,ID$2-162,1)</f>
        <v>-54.7</v>
      </c>
      <c r="IE45">
        <f>INDEX([2]Surveys_q!$Y$126:$Y$326,IE$2-162,1)</f>
        <v>-66</v>
      </c>
      <c r="IF45">
        <f>INDEX([2]Surveys_q!$Y$126:$Y$326,IF$2-162,1)</f>
        <v>-63</v>
      </c>
      <c r="IG45">
        <f>INDEX([2]Surveys_q!$Y$126:$Y$326,IG$2-162,1)</f>
        <v>-42.9</v>
      </c>
      <c r="IH45">
        <f>INDEX([2]Surveys_q!$Y$126:$Y$326,IH$2-162,1)</f>
        <v>-27.3</v>
      </c>
      <c r="II45">
        <f>INDEX([2]Surveys_q!$Y$126:$Y$326,II$2-162,1)</f>
        <v>-7.1000000000000005</v>
      </c>
      <c r="IJ45">
        <f>INDEX([2]Surveys_q!$Y$126:$Y$326,IJ$2-162,1)</f>
        <v>-7</v>
      </c>
      <c r="IK45">
        <f>INDEX([2]Surveys_q!$Y$126:$Y$326,IK$2-162,1)</f>
        <v>1.8</v>
      </c>
      <c r="IL45">
        <f>INDEX([2]Surveys_q!$Y$126:$Y$326,IL$2-162,1)</f>
        <v>12.3</v>
      </c>
      <c r="IM45">
        <f>INDEX([2]Surveys_q!$Y$126:$Y$326,IM$2-162,1)</f>
        <v>34.5</v>
      </c>
      <c r="IN45">
        <f>INDEX([2]Surveys_q!$Y$126:$Y$326,IN$2-162,1)</f>
        <v>21.8</v>
      </c>
    </row>
    <row r="46" spans="1:256" x14ac:dyDescent="0.25">
      <c r="A46" s="1" t="s">
        <v>48</v>
      </c>
      <c r="FH46">
        <f>INDEX([2]Surveys_q!$Z$126:$Z$326,FH$2-162,1)</f>
        <v>69.38</v>
      </c>
      <c r="FI46">
        <f>INDEX([2]Surveys_q!$Z$126:$Z$326,FI$2-162,1)</f>
        <v>61.68</v>
      </c>
      <c r="FJ46">
        <f>INDEX([2]Surveys_q!$Z$126:$Z$326,FJ$2-162,1)</f>
        <v>46.43</v>
      </c>
      <c r="FK46">
        <f>INDEX([2]Surveys_q!$Z$126:$Z$326,FK$2-162,1)</f>
        <v>25.75</v>
      </c>
      <c r="FL46">
        <f>INDEX([2]Surveys_q!$Z$126:$Z$326,FL$2-162,1)</f>
        <v>27.13</v>
      </c>
      <c r="FM46">
        <f>INDEX([2]Surveys_q!$Z$126:$Z$326,FM$2-162,1)</f>
        <v>14.93</v>
      </c>
      <c r="FN46">
        <f>INDEX([2]Surveys_q!$Z$126:$Z$326,FN$2-162,1)</f>
        <v>7.1000000000000005</v>
      </c>
      <c r="FO46">
        <f>INDEX([2]Surveys_q!$Z$126:$Z$326,FO$2-162,1)</f>
        <v>10.1</v>
      </c>
      <c r="FP46">
        <f>INDEX([2]Surveys_q!$Z$126:$Z$326,FP$2-162,1)</f>
        <v>4.38</v>
      </c>
      <c r="FQ46">
        <f>INDEX([2]Surveys_q!$Z$126:$Z$326,FQ$2-162,1)</f>
        <v>3.5</v>
      </c>
      <c r="FR46">
        <f>INDEX([2]Surveys_q!$Z$126:$Z$326,FR$2-162,1)</f>
        <v>2.23</v>
      </c>
      <c r="FS46">
        <f>INDEX([2]Surveys_q!$Z$126:$Z$326,FS$2-162,1)</f>
        <v>2.1800000000000002</v>
      </c>
      <c r="FT46">
        <f>INDEX([2]Surveys_q!$Z$126:$Z$326,FT$2-162,1)</f>
        <v>-0.85</v>
      </c>
      <c r="FU46">
        <f>INDEX([2]Surveys_q!$Z$126:$Z$326,FU$2-162,1)</f>
        <v>-3.88</v>
      </c>
      <c r="FV46">
        <f>INDEX([2]Surveys_q!$Z$126:$Z$326,FV$2-162,1)</f>
        <v>-4.7300000000000004</v>
      </c>
      <c r="FW46">
        <f>INDEX([2]Surveys_q!$Z$126:$Z$326,FW$2-162,1)</f>
        <v>-7.13</v>
      </c>
      <c r="FX46">
        <f>INDEX([2]Surveys_q!$Z$126:$Z$326,FX$2-162,1)</f>
        <v>-3.1</v>
      </c>
      <c r="FY46">
        <f>INDEX([2]Surveys_q!$Z$126:$Z$326,FY$2-162,1)</f>
        <v>-3.0500000000000003</v>
      </c>
      <c r="FZ46">
        <f>INDEX([2]Surveys_q!$Z$126:$Z$326,FZ$2-162,1)</f>
        <v>0.45</v>
      </c>
      <c r="GA46">
        <f>INDEX([2]Surveys_q!$Z$126:$Z$326,GA$2-162,1)</f>
        <v>-0.43</v>
      </c>
      <c r="GB46">
        <f>INDEX([2]Surveys_q!$Z$126:$Z$326,GB$2-162,1)</f>
        <v>2.98</v>
      </c>
      <c r="GC46">
        <f>INDEX([2]Surveys_q!$Z$126:$Z$326,GC$2-162,1)</f>
        <v>6.08</v>
      </c>
      <c r="GD46">
        <f>INDEX([2]Surveys_q!$Z$126:$Z$326,GD$2-162,1)</f>
        <v>13.33</v>
      </c>
      <c r="GE46">
        <f>INDEX([2]Surveys_q!$Z$126:$Z$326,GE$2-162,1)</f>
        <v>10.9</v>
      </c>
      <c r="GF46">
        <f>INDEX([2]Surveys_q!$Z$126:$Z$326,GF$2-162,1)</f>
        <v>5.7</v>
      </c>
      <c r="GG46">
        <f>INDEX([2]Surveys_q!$Z$126:$Z$326,GG$2-162,1)</f>
        <v>-1.7</v>
      </c>
      <c r="GH46">
        <f>INDEX([2]Surveys_q!$Z$126:$Z$326,GH$2-162,1)</f>
        <v>-1.8</v>
      </c>
      <c r="GI46">
        <f>INDEX([2]Surveys_q!$Z$126:$Z$326,GI$2-162,1)</f>
        <v>-5.2</v>
      </c>
      <c r="GJ46">
        <f>INDEX([2]Surveys_q!$Z$126:$Z$326,GJ$2-162,1)</f>
        <v>-11.4</v>
      </c>
      <c r="GK46">
        <f>INDEX([2]Surveys_q!$Z$126:$Z$326,GK$2-162,1)</f>
        <v>-8.8000000000000007</v>
      </c>
      <c r="GL46">
        <f>INDEX([2]Surveys_q!$Z$126:$Z$326,GL$2-162,1)</f>
        <v>-7.2</v>
      </c>
      <c r="GM46">
        <f>INDEX([2]Surveys_q!$Z$126:$Z$326,GM$2-162,1)</f>
        <v>-7.2</v>
      </c>
      <c r="GN46">
        <f>INDEX([2]Surveys_q!$Z$126:$Z$326,GN$2-162,1)</f>
        <v>0</v>
      </c>
      <c r="GO46">
        <f>INDEX([2]Surveys_q!$Z$126:$Z$326,GO$2-162,1)</f>
        <v>46.4</v>
      </c>
      <c r="GP46">
        <f>INDEX([2]Surveys_q!$Z$126:$Z$326,GP$2-162,1)</f>
        <v>14.8</v>
      </c>
      <c r="GQ46">
        <f>INDEX([2]Surveys_q!$Z$126:$Z$326,GQ$2-162,1)</f>
        <v>5.1000000000000005</v>
      </c>
      <c r="GR46">
        <f>INDEX([2]Surveys_q!$Z$126:$Z$326,GR$2-162,1)</f>
        <v>8.9</v>
      </c>
      <c r="GS46">
        <f>INDEX([2]Surveys_q!$Z$126:$Z$326,GS$2-162,1)</f>
        <v>9.1</v>
      </c>
      <c r="GT46">
        <f>INDEX([2]Surveys_q!$Z$126:$Z$326,GT$2-162,1)</f>
        <v>10.9</v>
      </c>
      <c r="GU46">
        <f>INDEX([2]Surveys_q!$Z$126:$Z$326,GU$2-162,1)</f>
        <v>21.400000000000002</v>
      </c>
      <c r="GV46">
        <f>INDEX([2]Surveys_q!$Z$126:$Z$326,GV$2-162,1)</f>
        <v>32.1</v>
      </c>
      <c r="GW46">
        <f>INDEX([2]Surveys_q!$Z$126:$Z$326,GW$2-162,1)</f>
        <v>26.3</v>
      </c>
      <c r="GX46">
        <f>INDEX([2]Surveys_q!$Z$126:$Z$326,GX$2-162,1)</f>
        <v>44.6</v>
      </c>
      <c r="GY46">
        <f>INDEX([2]Surveys_q!$Z$126:$Z$326,GY$2-162,1)</f>
        <v>41.800000000000004</v>
      </c>
      <c r="GZ46">
        <f>INDEX([2]Surveys_q!$Z$126:$Z$326,GZ$2-162,1)</f>
        <v>42.6</v>
      </c>
      <c r="HA46">
        <f>INDEX([2]Surveys_q!$Z$126:$Z$326,HA$2-162,1)</f>
        <v>44.7</v>
      </c>
      <c r="HB46">
        <f>INDEX([2]Surveys_q!$Z$126:$Z$326,HB$2-162,1)</f>
        <v>46.300000000000004</v>
      </c>
      <c r="HC46">
        <f>INDEX([2]Surveys_q!$Z$126:$Z$326,HC$2-162,1)</f>
        <v>30.900000000000002</v>
      </c>
      <c r="HD46">
        <f>INDEX([2]Surveys_q!$Z$126:$Z$326,HD$2-162,1)</f>
        <v>25.5</v>
      </c>
      <c r="HE46">
        <f>INDEX([2]Surveys_q!$Z$126:$Z$326,HE$2-162,1)</f>
        <v>22.2</v>
      </c>
      <c r="HF46">
        <f>INDEX([2]Surveys_q!$Z$126:$Z$326,HF$2-162,1)</f>
        <v>13.6</v>
      </c>
      <c r="HG46">
        <f>INDEX([2]Surveys_q!$Z$126:$Z$326,HG$2-162,1)</f>
        <v>17.8</v>
      </c>
      <c r="HH46">
        <f>INDEX([2]Surveys_q!$Z$126:$Z$326,HH$2-162,1)</f>
        <v>13.8</v>
      </c>
      <c r="HI46">
        <f>INDEX([2]Surveys_q!$Z$126:$Z$326,HI$2-162,1)</f>
        <v>0</v>
      </c>
      <c r="HJ46">
        <f>INDEX([2]Surveys_q!$Z$126:$Z$326,HJ$2-162,1)</f>
        <v>-5.5</v>
      </c>
      <c r="HK46">
        <f>INDEX([2]Surveys_q!$Z$126:$Z$326,HK$2-162,1)</f>
        <v>-10.700000000000001</v>
      </c>
      <c r="HL46">
        <f>INDEX([2]Surveys_q!$Z$126:$Z$326,HL$2-162,1)</f>
        <v>-8.9</v>
      </c>
      <c r="HM46">
        <f>INDEX([2]Surveys_q!$Z$126:$Z$326,HM$2-162,1)</f>
        <v>-17.5</v>
      </c>
      <c r="HN46">
        <f>INDEX([2]Surveys_q!$Z$126:$Z$326,HN$2-162,1)</f>
        <v>-23.7</v>
      </c>
      <c r="HO46">
        <f>INDEX([2]Surveys_q!$Z$126:$Z$326,HO$2-162,1)</f>
        <v>-22.2</v>
      </c>
      <c r="HP46">
        <f>INDEX([2]Surveys_q!$Z$126:$Z$326,HP$2-162,1)</f>
        <v>-12.9</v>
      </c>
      <c r="HQ46">
        <f>INDEX([2]Surveys_q!$Z$126:$Z$326,HQ$2-162,1)</f>
        <v>-5.2</v>
      </c>
      <c r="HR46">
        <f>INDEX([2]Surveys_q!$Z$126:$Z$326,HR$2-162,1)</f>
        <v>1.8</v>
      </c>
      <c r="HS46">
        <f>INDEX([2]Surveys_q!$Z$126:$Z$326,HS$2-162,1)</f>
        <v>1.8</v>
      </c>
      <c r="HT46">
        <f>INDEX([2]Surveys_q!$Z$126:$Z$326,HT$2-162,1)</f>
        <v>10.700000000000001</v>
      </c>
      <c r="HU46">
        <f>INDEX([2]Surveys_q!$Z$126:$Z$326,HU$2-162,1)</f>
        <v>36.300000000000004</v>
      </c>
      <c r="HV46">
        <f>INDEX([2]Surveys_q!$Z$126:$Z$326,HV$2-162,1)</f>
        <v>26.3</v>
      </c>
      <c r="HW46">
        <f>INDEX([2]Surveys_q!$Z$126:$Z$326,HW$2-162,1)</f>
        <v>30.2</v>
      </c>
      <c r="HX46">
        <f>INDEX([2]Surveys_q!$Z$126:$Z$326,HX$2-162,1)</f>
        <v>25</v>
      </c>
      <c r="HY46">
        <f>INDEX([2]Surveys_q!$Z$126:$Z$326,HY$2-162,1)</f>
        <v>50</v>
      </c>
      <c r="HZ46">
        <f>INDEX([2]Surveys_q!$Z$126:$Z$326,HZ$2-162,1)</f>
        <v>80.3</v>
      </c>
      <c r="IA46">
        <f>INDEX([2]Surveys_q!$Z$126:$Z$326,IA$2-162,1)</f>
        <v>78.600000000000009</v>
      </c>
      <c r="IB46">
        <f>INDEX([2]Surveys_q!$Z$126:$Z$326,IB$2-162,1)</f>
        <v>80.7</v>
      </c>
      <c r="IC46">
        <f>INDEX([2]Surveys_q!$Z$126:$Z$326,IC$2-162,1)</f>
        <v>87</v>
      </c>
      <c r="ID46">
        <f>INDEX([2]Surveys_q!$Z$126:$Z$326,ID$2-162,1)</f>
        <v>79.2</v>
      </c>
      <c r="IE46">
        <f>INDEX([2]Surveys_q!$Z$126:$Z$326,IE$2-162,1)</f>
        <v>66</v>
      </c>
      <c r="IF46">
        <f>INDEX([2]Surveys_q!$Z$126:$Z$326,IF$2-162,1)</f>
        <v>46.300000000000004</v>
      </c>
      <c r="IG46">
        <f>INDEX([2]Surveys_q!$Z$126:$Z$326,IG$2-162,1)</f>
        <v>33.9</v>
      </c>
      <c r="IH46">
        <f>INDEX([2]Surveys_q!$Z$126:$Z$326,IH$2-162,1)</f>
        <v>27.3</v>
      </c>
      <c r="II46">
        <f>INDEX([2]Surveys_q!$Z$126:$Z$326,II$2-162,1)</f>
        <v>12.5</v>
      </c>
      <c r="IJ46">
        <f>INDEX([2]Surveys_q!$Z$126:$Z$326,IJ$2-162,1)</f>
        <v>5.3</v>
      </c>
      <c r="IK46">
        <f>INDEX([2]Surveys_q!$Z$126:$Z$326,IK$2-162,1)</f>
        <v>3.6</v>
      </c>
      <c r="IL46">
        <f>INDEX([2]Surveys_q!$Z$126:$Z$326,IL$2-162,1)</f>
        <v>0</v>
      </c>
      <c r="IM46">
        <f>INDEX([2]Surveys_q!$Z$126:$Z$326,IM$2-162,1)</f>
        <v>-5.5</v>
      </c>
      <c r="IN46">
        <f>INDEX([2]Surveys_q!$Z$126:$Z$326,IN$2-162,1)</f>
        <v>-5.5</v>
      </c>
    </row>
    <row r="47" spans="1:256" x14ac:dyDescent="0.25">
      <c r="A47" s="1"/>
    </row>
    <row r="48" spans="1:256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V752"/>
  <sheetViews>
    <sheetView tabSelected="1" workbookViewId="0">
      <pane xSplit="1" ySplit="1" topLeftCell="M720" activePane="bottomRight" state="frozen"/>
      <selection pane="topRight" activeCell="B1" sqref="B1"/>
      <selection pane="bottomLeft" activeCell="A2" sqref="A2"/>
      <selection pane="bottomRight" activeCell="Q733" sqref="Q733"/>
    </sheetView>
  </sheetViews>
  <sheetFormatPr baseColWidth="10" defaultColWidth="8.85546875" defaultRowHeight="15" x14ac:dyDescent="0.25"/>
  <cols>
    <col min="1" max="1" width="10.140625" bestFit="1" customWidth="1"/>
  </cols>
  <sheetData>
    <row r="1" spans="1:48" x14ac:dyDescent="0.25">
      <c r="A1" t="s">
        <v>47</v>
      </c>
      <c r="B1" t="s">
        <v>46</v>
      </c>
      <c r="C1" t="s">
        <v>45</v>
      </c>
      <c r="D1" t="s">
        <v>44</v>
      </c>
      <c r="E1" t="s">
        <v>43</v>
      </c>
      <c r="F1" t="s">
        <v>42</v>
      </c>
      <c r="G1" t="s">
        <v>41</v>
      </c>
      <c r="H1" t="s">
        <v>40</v>
      </c>
      <c r="I1" t="s">
        <v>39</v>
      </c>
      <c r="J1" t="s">
        <v>38</v>
      </c>
      <c r="K1" t="s">
        <v>37</v>
      </c>
      <c r="L1" t="s">
        <v>36</v>
      </c>
      <c r="M1" t="s">
        <v>35</v>
      </c>
      <c r="N1" t="s">
        <v>34</v>
      </c>
      <c r="O1" t="s">
        <v>33</v>
      </c>
      <c r="P1" t="s">
        <v>32</v>
      </c>
      <c r="Q1" t="s">
        <v>31</v>
      </c>
      <c r="R1" t="s">
        <v>30</v>
      </c>
      <c r="S1" t="s">
        <v>29</v>
      </c>
      <c r="T1" t="s">
        <v>28</v>
      </c>
      <c r="U1" t="s">
        <v>27</v>
      </c>
      <c r="V1" t="s">
        <v>26</v>
      </c>
      <c r="W1" t="s">
        <v>25</v>
      </c>
      <c r="X1" t="s">
        <v>24</v>
      </c>
      <c r="Y1" t="s">
        <v>23</v>
      </c>
      <c r="Z1" t="s">
        <v>22</v>
      </c>
      <c r="AA1" t="s">
        <v>21</v>
      </c>
      <c r="AB1" t="s">
        <v>20</v>
      </c>
      <c r="AC1" t="s">
        <v>19</v>
      </c>
      <c r="AD1" t="s">
        <v>18</v>
      </c>
      <c r="AE1" t="s">
        <v>17</v>
      </c>
      <c r="AF1" t="s">
        <v>16</v>
      </c>
      <c r="AG1" t="s">
        <v>15</v>
      </c>
      <c r="AH1" t="s">
        <v>14</v>
      </c>
      <c r="AI1" t="s">
        <v>13</v>
      </c>
      <c r="AJ1" t="s">
        <v>12</v>
      </c>
      <c r="AK1" t="s">
        <v>11</v>
      </c>
      <c r="AL1" t="s">
        <v>10</v>
      </c>
      <c r="AM1" t="s">
        <v>9</v>
      </c>
      <c r="AN1" t="s">
        <v>8</v>
      </c>
      <c r="AO1" t="s">
        <v>7</v>
      </c>
      <c r="AP1" t="s">
        <v>6</v>
      </c>
      <c r="AQ1" t="s">
        <v>5</v>
      </c>
      <c r="AR1" t="s">
        <v>4</v>
      </c>
      <c r="AS1" t="s">
        <v>3</v>
      </c>
      <c r="AT1" t="s">
        <v>2</v>
      </c>
      <c r="AU1" t="s">
        <v>1</v>
      </c>
      <c r="AV1" t="s">
        <v>0</v>
      </c>
    </row>
    <row r="2" spans="1:48" x14ac:dyDescent="0.25">
      <c r="A2" s="1">
        <v>18264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1</v>
      </c>
      <c r="M2">
        <v>2</v>
      </c>
      <c r="N2">
        <v>0</v>
      </c>
      <c r="O2">
        <v>0</v>
      </c>
      <c r="P2">
        <v>0</v>
      </c>
      <c r="Q2">
        <v>2</v>
      </c>
      <c r="R2">
        <v>2</v>
      </c>
      <c r="S2">
        <v>2</v>
      </c>
      <c r="T2">
        <v>0</v>
      </c>
      <c r="U2">
        <v>0</v>
      </c>
      <c r="V2">
        <v>0</v>
      </c>
      <c r="W2">
        <v>2</v>
      </c>
      <c r="X2">
        <v>2</v>
      </c>
      <c r="Y2">
        <v>2</v>
      </c>
      <c r="Z2">
        <v>2</v>
      </c>
      <c r="AA2">
        <v>2</v>
      </c>
      <c r="AB2">
        <v>0</v>
      </c>
      <c r="AC2">
        <v>0</v>
      </c>
      <c r="AD2">
        <v>2</v>
      </c>
      <c r="AE2">
        <v>2</v>
      </c>
      <c r="AF2">
        <v>2</v>
      </c>
      <c r="AG2">
        <v>0</v>
      </c>
      <c r="AH2">
        <v>0</v>
      </c>
      <c r="AI2">
        <v>2</v>
      </c>
      <c r="AJ2">
        <v>2</v>
      </c>
      <c r="AK2">
        <v>0</v>
      </c>
      <c r="AL2">
        <v>2</v>
      </c>
      <c r="AM2">
        <v>2</v>
      </c>
      <c r="AN2">
        <v>2</v>
      </c>
      <c r="AO2">
        <v>2</v>
      </c>
      <c r="AP2">
        <v>2</v>
      </c>
      <c r="AQ2">
        <v>2</v>
      </c>
      <c r="AR2">
        <v>0</v>
      </c>
      <c r="AS2">
        <v>2</v>
      </c>
      <c r="AT2">
        <v>2</v>
      </c>
      <c r="AU2">
        <v>0</v>
      </c>
      <c r="AV2">
        <v>2</v>
      </c>
    </row>
    <row r="3" spans="1:48" x14ac:dyDescent="0.25">
      <c r="A3" s="1">
        <v>18295</v>
      </c>
      <c r="Q3">
        <f>[5]m!$B5</f>
        <v>23.61</v>
      </c>
      <c r="S3">
        <f>[5]m!$Q5</f>
        <v>26.1</v>
      </c>
      <c r="AF3" s="2">
        <f>[8]m!$AS5</f>
        <v>19.400000000000002</v>
      </c>
      <c r="AG3" s="2">
        <f>[8]m!$H5</f>
        <v>2.58</v>
      </c>
      <c r="AH3" s="2">
        <f>[8]m!$I5</f>
        <v>3.24</v>
      </c>
      <c r="AI3" s="2">
        <f>[7]m!C4</f>
        <v>795</v>
      </c>
      <c r="AJ3" s="2">
        <f>[7]m!D4</f>
        <v>592</v>
      </c>
      <c r="AK3" s="2"/>
      <c r="AL3" s="2"/>
    </row>
    <row r="4" spans="1:48" x14ac:dyDescent="0.25">
      <c r="A4" s="1">
        <v>18323</v>
      </c>
      <c r="Q4">
        <f>[5]m!$B6</f>
        <v>23.64</v>
      </c>
      <c r="S4">
        <f>[5]m!$Q6</f>
        <v>26.1</v>
      </c>
      <c r="AF4" s="2">
        <f>[8]m!$AS6</f>
        <v>19.700000000000003</v>
      </c>
      <c r="AG4" s="2">
        <f>[8]m!$H6</f>
        <v>2.58</v>
      </c>
      <c r="AH4" s="2">
        <f>[8]m!$I6</f>
        <v>3.24</v>
      </c>
      <c r="AI4" s="2">
        <f>[7]m!C5</f>
        <v>792</v>
      </c>
      <c r="AJ4" s="2">
        <f>[7]m!D5</f>
        <v>606</v>
      </c>
      <c r="AK4" s="2"/>
      <c r="AL4" s="2"/>
    </row>
    <row r="5" spans="1:48" x14ac:dyDescent="0.25">
      <c r="A5" s="1">
        <v>18354</v>
      </c>
      <c r="Q5">
        <f>[5]m!$B7</f>
        <v>23.650000000000002</v>
      </c>
      <c r="S5">
        <f>[5]m!$Q7</f>
        <v>26.1</v>
      </c>
      <c r="AF5" s="2">
        <f>[8]m!$AS7</f>
        <v>20.100000000000001</v>
      </c>
      <c r="AG5" s="2">
        <f>[8]m!$H7</f>
        <v>2.6</v>
      </c>
      <c r="AH5" s="2">
        <f>[8]m!$I7</f>
        <v>3.23</v>
      </c>
      <c r="AI5" s="2">
        <f>[7]m!C6</f>
        <v>772</v>
      </c>
      <c r="AJ5" s="2">
        <f>[7]m!D6</f>
        <v>577</v>
      </c>
      <c r="AK5" s="2"/>
      <c r="AL5" s="2"/>
    </row>
    <row r="6" spans="1:48" x14ac:dyDescent="0.25">
      <c r="A6" s="1">
        <v>18384</v>
      </c>
      <c r="Q6">
        <f>[5]m!$B8</f>
        <v>23.77</v>
      </c>
      <c r="S6">
        <f>[5]m!$Q8</f>
        <v>26.400000000000002</v>
      </c>
      <c r="AF6" s="2">
        <f>[8]m!$AS8</f>
        <v>20.6</v>
      </c>
      <c r="AG6" s="2">
        <f>[8]m!$H8</f>
        <v>2.61</v>
      </c>
      <c r="AH6" s="2">
        <f>[8]m!$I8</f>
        <v>3.25</v>
      </c>
      <c r="AI6" s="2">
        <f>[7]m!C7</f>
        <v>786</v>
      </c>
      <c r="AJ6" s="2">
        <f>[7]m!D7</f>
        <v>606</v>
      </c>
      <c r="AK6" s="2"/>
      <c r="AL6" s="2"/>
    </row>
    <row r="7" spans="1:48" x14ac:dyDescent="0.25">
      <c r="A7" s="1">
        <v>18415</v>
      </c>
      <c r="Q7">
        <f>[5]m!$B9</f>
        <v>23.88</v>
      </c>
      <c r="S7">
        <f>[5]m!$Q9</f>
        <v>26.6</v>
      </c>
      <c r="AF7" s="2">
        <f>[8]m!$AS9</f>
        <v>21.1</v>
      </c>
      <c r="AG7" s="2">
        <f>[8]m!$H9</f>
        <v>2.62</v>
      </c>
      <c r="AH7" s="2">
        <f>[8]m!$I9</f>
        <v>3.2800000000000002</v>
      </c>
      <c r="AI7" s="2">
        <f>[7]m!C8</f>
        <v>772</v>
      </c>
      <c r="AJ7" s="2">
        <f>[7]m!D8</f>
        <v>636</v>
      </c>
      <c r="AK7" s="2"/>
      <c r="AL7" s="2"/>
    </row>
    <row r="8" spans="1:48" x14ac:dyDescent="0.25">
      <c r="A8" s="1">
        <v>18445</v>
      </c>
      <c r="Q8">
        <f>[5]m!$B10</f>
        <v>24.07</v>
      </c>
      <c r="S8">
        <f>[5]m!$Q10</f>
        <v>27.3</v>
      </c>
      <c r="AF8" s="2">
        <f>[8]m!$AS10</f>
        <v>22.1</v>
      </c>
      <c r="AG8" s="2">
        <f>[8]m!$H10</f>
        <v>2.65</v>
      </c>
      <c r="AH8" s="2">
        <f>[8]m!$I10</f>
        <v>3.3200000000000003</v>
      </c>
      <c r="AI8" s="2">
        <f>[7]m!C9</f>
        <v>831</v>
      </c>
      <c r="AJ8" s="2">
        <f>[7]m!D9</f>
        <v>684</v>
      </c>
      <c r="AK8" s="2"/>
      <c r="AL8" s="2"/>
    </row>
    <row r="9" spans="1:48" x14ac:dyDescent="0.25">
      <c r="A9" s="1">
        <v>18476</v>
      </c>
      <c r="Q9">
        <f>[5]m!$B11</f>
        <v>24.2</v>
      </c>
      <c r="S9">
        <f>[5]m!$Q11</f>
        <v>27.900000000000002</v>
      </c>
      <c r="AF9" s="2">
        <f>[8]m!$AS11</f>
        <v>22.700000000000003</v>
      </c>
      <c r="AG9" s="2">
        <f>[8]m!$H11</f>
        <v>2.61</v>
      </c>
      <c r="AH9" s="2">
        <f>[8]m!$I11</f>
        <v>3.23</v>
      </c>
      <c r="AI9" s="2">
        <f>[7]m!C10</f>
        <v>821</v>
      </c>
      <c r="AJ9" s="2">
        <f>[7]m!D10</f>
        <v>787</v>
      </c>
      <c r="AK9" s="2"/>
      <c r="AL9" s="2"/>
    </row>
    <row r="10" spans="1:48" x14ac:dyDescent="0.25">
      <c r="A10" s="1">
        <v>18507</v>
      </c>
      <c r="Q10">
        <f>[5]m!$B12</f>
        <v>24.34</v>
      </c>
      <c r="S10">
        <f>[5]m!$Q12</f>
        <v>28.400000000000002</v>
      </c>
      <c r="AF10" s="2">
        <f>[8]m!$AS12</f>
        <v>23.200000000000003</v>
      </c>
      <c r="AG10" s="2">
        <f>[8]m!$H12</f>
        <v>2.64</v>
      </c>
      <c r="AH10" s="2">
        <f>[8]m!$I12</f>
        <v>3.21</v>
      </c>
      <c r="AI10" s="2">
        <f>[7]m!C11</f>
        <v>813</v>
      </c>
      <c r="AJ10" s="2">
        <f>[7]m!D11</f>
        <v>821</v>
      </c>
      <c r="AK10" s="2"/>
      <c r="AL10" s="2"/>
    </row>
    <row r="11" spans="1:48" x14ac:dyDescent="0.25">
      <c r="A11" s="1">
        <v>18537</v>
      </c>
      <c r="Q11">
        <f>[5]m!$B13</f>
        <v>24.5</v>
      </c>
      <c r="S11">
        <f>[5]m!$Q13</f>
        <v>28.6</v>
      </c>
      <c r="AF11" s="2">
        <f>[8]m!$AS13</f>
        <v>23.200000000000003</v>
      </c>
      <c r="AG11" s="2">
        <f>[8]m!$H13</f>
        <v>2.67</v>
      </c>
      <c r="AH11" s="2">
        <f>[8]m!$I13</f>
        <v>3.22</v>
      </c>
      <c r="AI11" s="2">
        <f>[7]m!C12</f>
        <v>889</v>
      </c>
      <c r="AJ11" s="2">
        <f>[7]m!D12</f>
        <v>955</v>
      </c>
      <c r="AK11" s="2"/>
      <c r="AL11" s="2"/>
    </row>
    <row r="12" spans="1:48" x14ac:dyDescent="0.25">
      <c r="A12" s="1">
        <v>18568</v>
      </c>
      <c r="Q12">
        <f>[5]m!$B14</f>
        <v>24.6</v>
      </c>
      <c r="S12">
        <f>[5]m!$Q14</f>
        <v>29</v>
      </c>
      <c r="AF12" s="2">
        <f>[8]m!$AS14</f>
        <v>23.3</v>
      </c>
      <c r="AG12" s="2">
        <f>[8]m!$H14</f>
        <v>2.67</v>
      </c>
      <c r="AH12" s="2">
        <f>[8]m!$I14</f>
        <v>3.22</v>
      </c>
      <c r="AI12" s="2">
        <f>[7]m!C13</f>
        <v>893</v>
      </c>
      <c r="AJ12" s="2">
        <f>[7]m!D13</f>
        <v>912</v>
      </c>
      <c r="AK12" s="2"/>
      <c r="AL12" s="2"/>
    </row>
    <row r="13" spans="1:48" x14ac:dyDescent="0.25">
      <c r="A13" s="1">
        <v>18598</v>
      </c>
      <c r="Q13">
        <f>[5]m!$B15</f>
        <v>24.98</v>
      </c>
      <c r="S13">
        <f>[5]m!$Q15</f>
        <v>29.700000000000003</v>
      </c>
      <c r="AF13" s="2">
        <f>[8]m!$AS15</f>
        <v>23.200000000000003</v>
      </c>
      <c r="AG13" s="2">
        <f>[8]m!$H15</f>
        <v>2.67</v>
      </c>
      <c r="AH13" s="2">
        <f>[8]m!$I15</f>
        <v>3.2</v>
      </c>
      <c r="AI13" s="2">
        <f>[7]m!C14</f>
        <v>940</v>
      </c>
      <c r="AJ13" s="2">
        <f>[7]m!D14</f>
        <v>876</v>
      </c>
      <c r="AK13" s="2"/>
      <c r="AL13" s="2"/>
    </row>
    <row r="14" spans="1:48" x14ac:dyDescent="0.25">
      <c r="A14" s="1">
        <v>18629</v>
      </c>
      <c r="Q14">
        <f>[5]m!$B16</f>
        <v>25.38</v>
      </c>
      <c r="S14">
        <f>[5]m!$Q16</f>
        <v>30.5</v>
      </c>
      <c r="AF14" s="2">
        <f>[8]m!$AS16</f>
        <v>23.8</v>
      </c>
      <c r="AG14" s="2">
        <f>[8]m!$H16</f>
        <v>2.66</v>
      </c>
      <c r="AH14" s="2">
        <f>[8]m!$I16</f>
        <v>3.17</v>
      </c>
      <c r="AI14" s="2">
        <f>[7]m!C15</f>
        <v>915</v>
      </c>
      <c r="AJ14" s="2">
        <f>[7]m!D15</f>
        <v>891</v>
      </c>
      <c r="AK14" s="2"/>
      <c r="AL14" s="4">
        <f t="shared" ref="AL14:AL77" si="0">AL15*AN14/AN15</f>
        <v>1977.1760154738881</v>
      </c>
      <c r="AN14" s="2">
        <v>40</v>
      </c>
    </row>
    <row r="15" spans="1:48" x14ac:dyDescent="0.25">
      <c r="A15" s="1">
        <v>18660</v>
      </c>
      <c r="Q15">
        <f>[5]m!$B17</f>
        <v>25.830000000000002</v>
      </c>
      <c r="S15">
        <f>[5]m!$Q17</f>
        <v>30.900000000000002</v>
      </c>
      <c r="AF15" s="2">
        <f>[8]m!$AS17</f>
        <v>24.1</v>
      </c>
      <c r="AG15" s="2">
        <f>[8]m!$H17</f>
        <v>2.66</v>
      </c>
      <c r="AH15" s="2">
        <f>[8]m!$I17</f>
        <v>3.16</v>
      </c>
      <c r="AI15" s="2">
        <f>[7]m!C16</f>
        <v>970</v>
      </c>
      <c r="AJ15" s="2">
        <f>[7]m!D16</f>
        <v>939</v>
      </c>
      <c r="AK15" s="2"/>
      <c r="AL15" s="4">
        <f t="shared" si="0"/>
        <v>2026.6054158607351</v>
      </c>
      <c r="AN15" s="2">
        <v>41</v>
      </c>
    </row>
    <row r="16" spans="1:48" x14ac:dyDescent="0.25">
      <c r="A16" s="1">
        <v>18688</v>
      </c>
      <c r="Q16">
        <f>[5]m!$B18</f>
        <v>25.88</v>
      </c>
      <c r="S16">
        <f>[5]m!$Q18</f>
        <v>30.900000000000002</v>
      </c>
      <c r="AF16" s="2">
        <f>[8]m!$AS18</f>
        <v>24.3</v>
      </c>
      <c r="AG16" s="2">
        <f>[8]m!$H18</f>
        <v>2.7800000000000002</v>
      </c>
      <c r="AH16" s="2">
        <f>[8]m!$I18</f>
        <v>3.23</v>
      </c>
      <c r="AI16" s="2">
        <f>[7]m!C17</f>
        <v>1022</v>
      </c>
      <c r="AJ16" s="2">
        <f>[7]m!D17</f>
        <v>927</v>
      </c>
      <c r="AK16" s="2"/>
      <c r="AL16" s="4">
        <f t="shared" si="0"/>
        <v>2125.4642166344297</v>
      </c>
      <c r="AN16" s="2">
        <v>43</v>
      </c>
    </row>
    <row r="17" spans="1:40" x14ac:dyDescent="0.25">
      <c r="A17" s="1">
        <v>18719</v>
      </c>
      <c r="Q17">
        <f>[5]m!$B19</f>
        <v>25.92</v>
      </c>
      <c r="S17">
        <f>[5]m!$Q19</f>
        <v>30.8</v>
      </c>
      <c r="AF17" s="2">
        <f>[8]m!$AS19</f>
        <v>24.1</v>
      </c>
      <c r="AG17" s="2">
        <f>[8]m!$H19</f>
        <v>2.87</v>
      </c>
      <c r="AH17" s="2">
        <f>[8]m!$I19</f>
        <v>3.35</v>
      </c>
      <c r="AI17" s="2">
        <f>[7]m!C18</f>
        <v>1080</v>
      </c>
      <c r="AJ17" s="2">
        <f>[7]m!D18</f>
        <v>997</v>
      </c>
      <c r="AK17" s="2"/>
      <c r="AL17" s="4">
        <f t="shared" si="0"/>
        <v>2076.0348162475825</v>
      </c>
      <c r="AN17" s="2">
        <v>42</v>
      </c>
    </row>
    <row r="18" spans="1:40" x14ac:dyDescent="0.25">
      <c r="A18" s="1">
        <v>18749</v>
      </c>
      <c r="Q18">
        <f>[5]m!$B20</f>
        <v>25.990000000000002</v>
      </c>
      <c r="S18">
        <f>[5]m!$Q20</f>
        <v>30.700000000000003</v>
      </c>
      <c r="AF18" s="2">
        <f>[8]m!$AS20</f>
        <v>24</v>
      </c>
      <c r="AG18" s="2">
        <f>[8]m!$H20</f>
        <v>2.89</v>
      </c>
      <c r="AH18" s="2">
        <f>[8]m!$I20</f>
        <v>3.4</v>
      </c>
      <c r="AI18" s="2">
        <f>[7]m!C19</f>
        <v>1256</v>
      </c>
      <c r="AJ18" s="2">
        <f>[7]m!D19</f>
        <v>1005</v>
      </c>
      <c r="AK18" s="2"/>
      <c r="AL18" s="4">
        <f t="shared" si="0"/>
        <v>2125.4642166344297</v>
      </c>
      <c r="AN18" s="2">
        <v>43</v>
      </c>
    </row>
    <row r="19" spans="1:40" x14ac:dyDescent="0.25">
      <c r="A19" s="1">
        <v>18780</v>
      </c>
      <c r="Q19">
        <f>[5]m!$B21</f>
        <v>25.93</v>
      </c>
      <c r="S19">
        <f>[5]m!$Q21</f>
        <v>30.5</v>
      </c>
      <c r="AF19" s="2">
        <f>[8]m!$AS21</f>
        <v>23.8</v>
      </c>
      <c r="AG19" s="2">
        <f>[8]m!$H21</f>
        <v>2.94</v>
      </c>
      <c r="AH19" s="2">
        <f>[8]m!$I21</f>
        <v>3.49</v>
      </c>
      <c r="AI19" s="2">
        <f>[7]m!C20</f>
        <v>1133</v>
      </c>
      <c r="AJ19" s="2">
        <f>[7]m!D20</f>
        <v>986</v>
      </c>
      <c r="AK19" s="2"/>
      <c r="AL19" s="4">
        <f t="shared" si="0"/>
        <v>2026.6054158607353</v>
      </c>
      <c r="AN19" s="2">
        <v>41</v>
      </c>
    </row>
    <row r="20" spans="1:40" x14ac:dyDescent="0.25">
      <c r="A20" s="1">
        <v>18810</v>
      </c>
      <c r="Q20">
        <f>[5]m!$B22</f>
        <v>25.91</v>
      </c>
      <c r="S20">
        <f>[5]m!$Q22</f>
        <v>30.3</v>
      </c>
      <c r="AF20" s="2">
        <f>[8]m!$AS22</f>
        <v>23.700000000000003</v>
      </c>
      <c r="AG20" s="2">
        <f>[8]m!$H22</f>
        <v>2.94</v>
      </c>
      <c r="AH20" s="2">
        <f>[8]m!$I22</f>
        <v>3.5300000000000002</v>
      </c>
      <c r="AI20" s="2">
        <f>[7]m!C21</f>
        <v>1132</v>
      </c>
      <c r="AJ20" s="2">
        <f>[7]m!D21</f>
        <v>967</v>
      </c>
      <c r="AK20" s="2"/>
      <c r="AL20" s="4">
        <f t="shared" si="0"/>
        <v>2076.0348162475825</v>
      </c>
      <c r="AN20" s="2">
        <v>42</v>
      </c>
    </row>
    <row r="21" spans="1:40" x14ac:dyDescent="0.25">
      <c r="A21" s="1">
        <v>18841</v>
      </c>
      <c r="Q21">
        <f>[5]m!$B23</f>
        <v>25.86</v>
      </c>
      <c r="S21">
        <f>[5]m!$Q23</f>
        <v>30.1</v>
      </c>
      <c r="AF21" s="2">
        <f>[8]m!$AS23</f>
        <v>23.900000000000002</v>
      </c>
      <c r="AG21" s="2">
        <f>[8]m!$H23</f>
        <v>2.88</v>
      </c>
      <c r="AH21" s="2">
        <f>[8]m!$I23</f>
        <v>3.5</v>
      </c>
      <c r="AI21" s="2">
        <f>[7]m!C22</f>
        <v>1234</v>
      </c>
      <c r="AJ21" s="2">
        <f>[7]m!D22</f>
        <v>940</v>
      </c>
      <c r="AK21" s="2"/>
      <c r="AL21" s="4">
        <f t="shared" si="0"/>
        <v>2076.0348162475825</v>
      </c>
      <c r="AN21" s="2">
        <v>42</v>
      </c>
    </row>
    <row r="22" spans="1:40" x14ac:dyDescent="0.25">
      <c r="A22" s="1">
        <v>18872</v>
      </c>
      <c r="Q22">
        <f>[5]m!$B24</f>
        <v>26.03</v>
      </c>
      <c r="S22">
        <f>[5]m!$Q24</f>
        <v>30.1</v>
      </c>
      <c r="AF22" s="2">
        <f>[8]m!$AS24</f>
        <v>24.1</v>
      </c>
      <c r="AG22" s="2">
        <f>[8]m!$H24</f>
        <v>2.84</v>
      </c>
      <c r="AH22" s="2">
        <f>[8]m!$I24</f>
        <v>3.46</v>
      </c>
      <c r="AI22" s="2">
        <f>[7]m!C23</f>
        <v>1233</v>
      </c>
      <c r="AJ22" s="2">
        <f>[7]m!D23</f>
        <v>885</v>
      </c>
      <c r="AK22" s="2"/>
      <c r="AL22" s="4">
        <f t="shared" si="0"/>
        <v>2026.6054158607353</v>
      </c>
      <c r="AN22" s="2">
        <v>41</v>
      </c>
    </row>
    <row r="23" spans="1:40" x14ac:dyDescent="0.25">
      <c r="A23" s="1">
        <v>18902</v>
      </c>
      <c r="Q23">
        <f>[5]m!$B25</f>
        <v>26.16</v>
      </c>
      <c r="S23">
        <f>[5]m!$Q25</f>
        <v>30.1</v>
      </c>
      <c r="AF23" s="2">
        <f>[8]m!$AS25</f>
        <v>24.3</v>
      </c>
      <c r="AG23" s="2">
        <f>[8]m!$H25</f>
        <v>2.89</v>
      </c>
      <c r="AH23" s="2">
        <f>[8]m!$I25</f>
        <v>3.5</v>
      </c>
      <c r="AI23" s="2">
        <f>[7]m!C24</f>
        <v>1233</v>
      </c>
      <c r="AJ23" s="2">
        <f>[7]m!D24</f>
        <v>838</v>
      </c>
      <c r="AK23" s="2"/>
      <c r="AL23" s="4">
        <f t="shared" si="0"/>
        <v>2076.0348162475825</v>
      </c>
      <c r="AN23" s="2">
        <v>42</v>
      </c>
    </row>
    <row r="24" spans="1:40" x14ac:dyDescent="0.25">
      <c r="A24" s="1">
        <v>18933</v>
      </c>
      <c r="Q24">
        <f>[5]m!$B26</f>
        <v>26.32</v>
      </c>
      <c r="S24">
        <f>[5]m!$Q26</f>
        <v>30.1</v>
      </c>
      <c r="AF24" s="2">
        <f>[8]m!$AS26</f>
        <v>24.6</v>
      </c>
      <c r="AG24" s="2">
        <f>[8]m!$H26</f>
        <v>2.96</v>
      </c>
      <c r="AH24" s="2">
        <f>[8]m!$I26</f>
        <v>3.56</v>
      </c>
      <c r="AI24" s="2">
        <f>[7]m!C25</f>
        <v>1101</v>
      </c>
      <c r="AJ24" s="2">
        <f>[7]m!D25</f>
        <v>800</v>
      </c>
      <c r="AK24" s="2"/>
      <c r="AL24" s="4">
        <f t="shared" si="0"/>
        <v>2076.0348162475825</v>
      </c>
      <c r="AN24" s="2">
        <v>42</v>
      </c>
    </row>
    <row r="25" spans="1:40" x14ac:dyDescent="0.25">
      <c r="A25" s="1">
        <v>18963</v>
      </c>
      <c r="Q25">
        <f>[5]m!$B27</f>
        <v>26.47</v>
      </c>
      <c r="S25">
        <f>[5]m!$Q27</f>
        <v>30.1</v>
      </c>
      <c r="AF25" s="2">
        <f>[8]m!$AS27</f>
        <v>24.6</v>
      </c>
      <c r="AG25" s="2">
        <f>[8]m!$H27</f>
        <v>3.0100000000000002</v>
      </c>
      <c r="AH25" s="2">
        <f>[8]m!$I27</f>
        <v>3.61</v>
      </c>
      <c r="AI25" s="2">
        <f>[7]m!C26</f>
        <v>1273</v>
      </c>
      <c r="AJ25" s="2">
        <f>[7]m!D26</f>
        <v>845</v>
      </c>
      <c r="AK25" s="2"/>
      <c r="AL25" s="4">
        <f t="shared" si="0"/>
        <v>2076.0348162475825</v>
      </c>
      <c r="AN25" s="2">
        <v>42</v>
      </c>
    </row>
    <row r="26" spans="1:40" x14ac:dyDescent="0.25">
      <c r="A26" s="1">
        <v>18994</v>
      </c>
      <c r="Q26">
        <f>[5]m!$B28</f>
        <v>26.45</v>
      </c>
      <c r="S26">
        <f>[5]m!$Q28</f>
        <v>30</v>
      </c>
      <c r="AF26" s="2">
        <f>[8]m!$AS28</f>
        <v>24.8</v>
      </c>
      <c r="AG26" s="2">
        <f>[8]m!$H28</f>
        <v>2.98</v>
      </c>
      <c r="AH26" s="2">
        <f>[8]m!$I28</f>
        <v>3.59</v>
      </c>
      <c r="AI26" s="2">
        <f>[7]m!C27</f>
        <v>1309</v>
      </c>
      <c r="AJ26" s="2">
        <f>[7]m!D27</f>
        <v>812</v>
      </c>
      <c r="AK26" s="2"/>
      <c r="AL26" s="4">
        <f t="shared" si="0"/>
        <v>2174.8936170212769</v>
      </c>
      <c r="AN26" s="2">
        <v>44</v>
      </c>
    </row>
    <row r="27" spans="1:40" x14ac:dyDescent="0.25">
      <c r="A27" s="1">
        <v>19025</v>
      </c>
      <c r="Q27">
        <f>[5]m!$B29</f>
        <v>26.41</v>
      </c>
      <c r="S27">
        <f>[5]m!$Q29</f>
        <v>29.8</v>
      </c>
      <c r="AF27" s="2">
        <f>[8]m!$AS29</f>
        <v>25.200000000000003</v>
      </c>
      <c r="AG27" s="2">
        <f>[8]m!$H29</f>
        <v>2.93</v>
      </c>
      <c r="AH27" s="2">
        <f>[8]m!$I29</f>
        <v>3.5300000000000002</v>
      </c>
      <c r="AI27" s="2">
        <f>[7]m!C28</f>
        <v>1250</v>
      </c>
      <c r="AJ27" s="2">
        <f>[7]m!D28</f>
        <v>856</v>
      </c>
      <c r="AK27" s="2"/>
      <c r="AL27" s="4">
        <f t="shared" si="0"/>
        <v>2125.4642166344297</v>
      </c>
      <c r="AN27" s="2">
        <v>43</v>
      </c>
    </row>
    <row r="28" spans="1:40" x14ac:dyDescent="0.25">
      <c r="A28" s="1">
        <v>19054</v>
      </c>
      <c r="Q28">
        <f>[5]m!$B30</f>
        <v>26.39</v>
      </c>
      <c r="S28">
        <f>[5]m!$Q30</f>
        <v>29.8</v>
      </c>
      <c r="AF28" s="2">
        <f>[8]m!$AS30</f>
        <v>25.200000000000003</v>
      </c>
      <c r="AG28" s="2">
        <f>[8]m!$H30</f>
        <v>2.96</v>
      </c>
      <c r="AH28" s="2">
        <f>[8]m!$I30</f>
        <v>3.5100000000000002</v>
      </c>
      <c r="AI28" s="2">
        <f>[7]m!C29</f>
        <v>1236</v>
      </c>
      <c r="AJ28" s="2">
        <f>[7]m!D29</f>
        <v>881</v>
      </c>
      <c r="AK28" s="2"/>
      <c r="AL28" s="4">
        <f t="shared" si="0"/>
        <v>2076.0348162475825</v>
      </c>
      <c r="AN28" s="2">
        <v>42</v>
      </c>
    </row>
    <row r="29" spans="1:40" x14ac:dyDescent="0.25">
      <c r="A29" s="1">
        <v>19085</v>
      </c>
      <c r="Q29">
        <f>[5]m!$B31</f>
        <v>26.46</v>
      </c>
      <c r="S29">
        <f>[5]m!$Q31</f>
        <v>29.6</v>
      </c>
      <c r="AF29" s="2">
        <f>[8]m!$AS31</f>
        <v>25.5</v>
      </c>
      <c r="AG29" s="2">
        <f>[8]m!$H31</f>
        <v>2.93</v>
      </c>
      <c r="AH29" s="2">
        <f>[8]m!$I31</f>
        <v>3.5</v>
      </c>
      <c r="AI29" s="2">
        <f>[7]m!C30</f>
        <v>1281</v>
      </c>
      <c r="AJ29" s="2">
        <f>[7]m!D30</f>
        <v>904</v>
      </c>
      <c r="AK29" s="2"/>
      <c r="AL29" s="4">
        <f t="shared" si="0"/>
        <v>2125.4642166344297</v>
      </c>
      <c r="AN29" s="2">
        <v>43</v>
      </c>
    </row>
    <row r="30" spans="1:40" x14ac:dyDescent="0.25">
      <c r="A30" s="1">
        <v>19115</v>
      </c>
      <c r="Q30">
        <f>[5]m!$B32</f>
        <v>26.47</v>
      </c>
      <c r="S30">
        <f>[5]m!$Q32</f>
        <v>29.6</v>
      </c>
      <c r="AF30" s="2">
        <f>[8]m!$AS32</f>
        <v>26.1</v>
      </c>
      <c r="AG30" s="2">
        <f>[8]m!$H32</f>
        <v>2.93</v>
      </c>
      <c r="AH30" s="2">
        <f>[8]m!$I32</f>
        <v>3.49</v>
      </c>
      <c r="AI30" s="2">
        <f>[7]m!C31</f>
        <v>1138</v>
      </c>
      <c r="AJ30" s="2">
        <f>[7]m!D31</f>
        <v>870</v>
      </c>
      <c r="AK30" s="2"/>
      <c r="AL30" s="4">
        <f t="shared" si="0"/>
        <v>2076.0348162475825</v>
      </c>
      <c r="AN30" s="2">
        <v>42</v>
      </c>
    </row>
    <row r="31" spans="1:40" x14ac:dyDescent="0.25">
      <c r="A31" s="1">
        <v>19146</v>
      </c>
      <c r="Q31">
        <f>[5]m!$B33</f>
        <v>26.53</v>
      </c>
      <c r="S31">
        <f>[5]m!$Q33</f>
        <v>29.5</v>
      </c>
      <c r="AF31" s="2">
        <f>[8]m!$AS33</f>
        <v>26.8</v>
      </c>
      <c r="AG31" s="2">
        <f>[8]m!$H33</f>
        <v>2.94</v>
      </c>
      <c r="AH31" s="2">
        <f>[8]m!$I33</f>
        <v>3.5</v>
      </c>
      <c r="AI31" s="2">
        <f>[7]m!C32</f>
        <v>1129</v>
      </c>
      <c r="AJ31" s="2">
        <f>[7]m!D32</f>
        <v>839</v>
      </c>
      <c r="AK31" s="2"/>
      <c r="AL31" s="4">
        <f t="shared" si="0"/>
        <v>2076.0348162475825</v>
      </c>
      <c r="AN31" s="2">
        <v>42</v>
      </c>
    </row>
    <row r="32" spans="1:40" x14ac:dyDescent="0.25">
      <c r="A32" s="1">
        <v>19176</v>
      </c>
      <c r="Q32">
        <f>[5]m!$B34</f>
        <v>26.68</v>
      </c>
      <c r="S32">
        <f>[5]m!$Q34</f>
        <v>29.6</v>
      </c>
      <c r="AF32" s="2">
        <f>[8]m!$AS34</f>
        <v>27.200000000000003</v>
      </c>
      <c r="AG32" s="2">
        <f>[8]m!$H34</f>
        <v>2.95</v>
      </c>
      <c r="AH32" s="2">
        <f>[8]m!$I34</f>
        <v>3.5</v>
      </c>
      <c r="AI32" s="2">
        <f>[7]m!C33</f>
        <v>1063</v>
      </c>
      <c r="AJ32" s="2">
        <f>[7]m!D33</f>
        <v>882</v>
      </c>
      <c r="AK32" s="2"/>
      <c r="AL32" s="4">
        <f t="shared" si="0"/>
        <v>2125.4642166344297</v>
      </c>
      <c r="AN32" s="2">
        <v>43</v>
      </c>
    </row>
    <row r="33" spans="1:40" x14ac:dyDescent="0.25">
      <c r="A33" s="1">
        <v>19207</v>
      </c>
      <c r="Q33">
        <f>[5]m!$B35</f>
        <v>26.69</v>
      </c>
      <c r="S33">
        <f>[5]m!$Q35</f>
        <v>29.8</v>
      </c>
      <c r="AF33" s="2">
        <f>[8]m!$AS35</f>
        <v>27.5</v>
      </c>
      <c r="AG33" s="2">
        <f>[8]m!$H35</f>
        <v>2.94</v>
      </c>
      <c r="AH33" s="2">
        <f>[8]m!$I35</f>
        <v>3.5100000000000002</v>
      </c>
      <c r="AI33" s="2">
        <f>[7]m!C34</f>
        <v>970</v>
      </c>
      <c r="AJ33" s="2">
        <f>[7]m!D34</f>
        <v>846</v>
      </c>
      <c r="AK33" s="2"/>
      <c r="AL33" s="4">
        <f t="shared" si="0"/>
        <v>2125.4642166344297</v>
      </c>
      <c r="AN33" s="2">
        <v>43</v>
      </c>
    </row>
    <row r="34" spans="1:40" x14ac:dyDescent="0.25">
      <c r="A34" s="1">
        <v>19238</v>
      </c>
      <c r="Q34">
        <f>[5]m!$B36</f>
        <v>26.63</v>
      </c>
      <c r="S34">
        <f>[5]m!$Q36</f>
        <v>29.6</v>
      </c>
      <c r="AF34" s="2">
        <f>[8]m!$AS36</f>
        <v>27.900000000000002</v>
      </c>
      <c r="AG34" s="2">
        <f>[8]m!$H36</f>
        <v>2.95</v>
      </c>
      <c r="AH34" s="2">
        <f>[8]m!$I36</f>
        <v>3.52</v>
      </c>
      <c r="AI34" s="2">
        <f>[7]m!C35</f>
        <v>1012</v>
      </c>
      <c r="AJ34" s="2">
        <f>[7]m!D35</f>
        <v>897</v>
      </c>
      <c r="AK34" s="2"/>
      <c r="AL34" s="4">
        <f t="shared" si="0"/>
        <v>2273.7524177949713</v>
      </c>
      <c r="AN34" s="2">
        <v>46</v>
      </c>
    </row>
    <row r="35" spans="1:40" x14ac:dyDescent="0.25">
      <c r="A35" s="1">
        <v>19268</v>
      </c>
      <c r="Q35">
        <f>[5]m!$B37</f>
        <v>26.69</v>
      </c>
      <c r="S35">
        <f>[5]m!$Q37</f>
        <v>29.5</v>
      </c>
      <c r="AF35" s="2">
        <f>[8]m!$AS37</f>
        <v>28.5</v>
      </c>
      <c r="AG35" s="2">
        <f>[8]m!$H37</f>
        <v>3.0100000000000002</v>
      </c>
      <c r="AH35" s="2">
        <f>[8]m!$I37</f>
        <v>3.54</v>
      </c>
      <c r="AI35" s="2">
        <f>[7]m!C36</f>
        <v>1028</v>
      </c>
      <c r="AJ35" s="2">
        <f>[7]m!D36</f>
        <v>915</v>
      </c>
      <c r="AK35" s="2"/>
      <c r="AL35" s="4">
        <f t="shared" si="0"/>
        <v>2372.6112185686657</v>
      </c>
      <c r="AN35" s="2">
        <v>48</v>
      </c>
    </row>
    <row r="36" spans="1:40" x14ac:dyDescent="0.25">
      <c r="A36" s="1">
        <v>19299</v>
      </c>
      <c r="Q36">
        <f>[5]m!$B38</f>
        <v>26.69</v>
      </c>
      <c r="S36">
        <f>[5]m!$Q38</f>
        <v>29.3</v>
      </c>
      <c r="AF36" s="2">
        <f>[8]m!$AS38</f>
        <v>29</v>
      </c>
      <c r="AG36" s="2">
        <f>[8]m!$H38</f>
        <v>2.98</v>
      </c>
      <c r="AH36" s="2">
        <f>[8]m!$I38</f>
        <v>3.5300000000000002</v>
      </c>
      <c r="AI36" s="2">
        <f>[7]m!C37</f>
        <v>1004</v>
      </c>
      <c r="AJ36" s="2">
        <f>[7]m!D37</f>
        <v>899</v>
      </c>
      <c r="AK36" s="2"/>
      <c r="AL36" s="4">
        <f t="shared" si="0"/>
        <v>2372.6112185686657</v>
      </c>
      <c r="AN36" s="2">
        <v>48</v>
      </c>
    </row>
    <row r="37" spans="1:40" x14ac:dyDescent="0.25">
      <c r="A37" s="1">
        <v>19329</v>
      </c>
      <c r="Q37">
        <f>[5]m!$B39</f>
        <v>26.71</v>
      </c>
      <c r="S37">
        <f>[5]m!$Q39</f>
        <v>29.1</v>
      </c>
      <c r="AF37" s="2">
        <f>[8]m!$AS39</f>
        <v>29.700000000000003</v>
      </c>
      <c r="AG37" s="2">
        <f>[8]m!$H39</f>
        <v>2.97</v>
      </c>
      <c r="AH37" s="2">
        <f>[8]m!$I39</f>
        <v>3.5100000000000002</v>
      </c>
      <c r="AI37" s="2">
        <f>[7]m!C38</f>
        <v>1026</v>
      </c>
      <c r="AJ37" s="2">
        <f>[7]m!D38</f>
        <v>904</v>
      </c>
      <c r="AK37" s="2"/>
      <c r="AL37" s="4">
        <f t="shared" si="0"/>
        <v>2372.6112185686657</v>
      </c>
      <c r="AN37" s="2">
        <v>48</v>
      </c>
    </row>
    <row r="38" spans="1:40" x14ac:dyDescent="0.25">
      <c r="A38" s="1">
        <v>19360</v>
      </c>
      <c r="Q38">
        <f>[5]m!$B40</f>
        <v>26.64</v>
      </c>
      <c r="S38">
        <f>[5]m!$Q40</f>
        <v>29.1</v>
      </c>
      <c r="AF38" s="2">
        <f>[8]m!$AS40</f>
        <v>30.5</v>
      </c>
      <c r="AG38" s="2">
        <f>[8]m!$H40</f>
        <v>3.02</v>
      </c>
      <c r="AH38" s="2">
        <f>[8]m!$I40</f>
        <v>3.5100000000000002</v>
      </c>
      <c r="AI38" s="2">
        <f>[7]m!C39</f>
        <v>1016</v>
      </c>
      <c r="AJ38" s="2">
        <f>[7]m!D39</f>
        <v>978</v>
      </c>
      <c r="AK38" s="2"/>
      <c r="AL38" s="4">
        <f t="shared" si="0"/>
        <v>2323.1818181818185</v>
      </c>
      <c r="AN38" s="2">
        <v>47</v>
      </c>
    </row>
    <row r="39" spans="1:40" x14ac:dyDescent="0.25">
      <c r="A39" s="1">
        <v>19391</v>
      </c>
      <c r="Q39">
        <f>[5]m!$B41</f>
        <v>26.59</v>
      </c>
      <c r="S39">
        <f>[5]m!$Q41</f>
        <v>29.1</v>
      </c>
      <c r="AF39" s="2">
        <f>[8]m!$AS41</f>
        <v>30.900000000000002</v>
      </c>
      <c r="AG39" s="2">
        <f>[8]m!$H41</f>
        <v>3.0700000000000003</v>
      </c>
      <c r="AH39" s="2">
        <f>[8]m!$I41</f>
        <v>3.5300000000000002</v>
      </c>
      <c r="AI39" s="2">
        <f>[7]m!C40</f>
        <v>1041</v>
      </c>
      <c r="AJ39" s="2">
        <f>[7]m!D40</f>
        <v>904</v>
      </c>
      <c r="AK39" s="2"/>
      <c r="AL39" s="4">
        <f t="shared" si="0"/>
        <v>2323.1818181818185</v>
      </c>
      <c r="AN39" s="2">
        <v>47</v>
      </c>
    </row>
    <row r="40" spans="1:40" x14ac:dyDescent="0.25">
      <c r="A40" s="1">
        <v>19419</v>
      </c>
      <c r="Q40">
        <f>[5]m!$B42</f>
        <v>26.63</v>
      </c>
      <c r="S40">
        <f>[5]m!$Q42</f>
        <v>29.200000000000003</v>
      </c>
      <c r="AF40" s="2">
        <f>[8]m!$AS42</f>
        <v>31.6</v>
      </c>
      <c r="AG40" s="2">
        <f>[8]m!$H42</f>
        <v>3.12</v>
      </c>
      <c r="AH40" s="2">
        <f>[8]m!$I42</f>
        <v>3.5700000000000003</v>
      </c>
      <c r="AI40" s="2">
        <f>[7]m!C41</f>
        <v>971</v>
      </c>
      <c r="AJ40" s="2">
        <f>[7]m!D41</f>
        <v>902</v>
      </c>
      <c r="AK40" s="2"/>
      <c r="AL40" s="4">
        <f t="shared" si="0"/>
        <v>2471.47001934236</v>
      </c>
      <c r="AN40" s="2">
        <v>50</v>
      </c>
    </row>
    <row r="41" spans="1:40" x14ac:dyDescent="0.25">
      <c r="A41" s="1">
        <v>19450</v>
      </c>
      <c r="Q41">
        <f>[5]m!$B43</f>
        <v>26.69</v>
      </c>
      <c r="S41">
        <f>[5]m!$Q43</f>
        <v>29</v>
      </c>
      <c r="AC41" s="2">
        <f>[8]m!$F43</f>
        <v>2.83</v>
      </c>
      <c r="AF41" s="2">
        <f>[8]m!$AS43</f>
        <v>32.1</v>
      </c>
      <c r="AG41" s="2">
        <f>[8]m!$H43</f>
        <v>3.23</v>
      </c>
      <c r="AH41" s="2">
        <f>[8]m!$I43</f>
        <v>3.65</v>
      </c>
      <c r="AI41" s="2">
        <f>[7]m!C42</f>
        <v>1001</v>
      </c>
      <c r="AJ41" s="2">
        <f>[7]m!D42</f>
        <v>923</v>
      </c>
      <c r="AK41" s="2"/>
      <c r="AL41" s="4">
        <f t="shared" si="0"/>
        <v>2422.0406189555129</v>
      </c>
      <c r="AN41" s="2">
        <v>49</v>
      </c>
    </row>
    <row r="42" spans="1:40" x14ac:dyDescent="0.25">
      <c r="A42" s="1">
        <v>19480</v>
      </c>
      <c r="Q42">
        <f>[5]m!$B44</f>
        <v>26.7</v>
      </c>
      <c r="S42">
        <f>[5]m!$Q44</f>
        <v>29.1</v>
      </c>
      <c r="AC42" s="2">
        <f>[8]m!$F44</f>
        <v>3.0500000000000003</v>
      </c>
      <c r="AF42" s="2">
        <f>[8]m!$AS44</f>
        <v>32.4</v>
      </c>
      <c r="AG42" s="2">
        <f>[8]m!$H44</f>
        <v>3.34</v>
      </c>
      <c r="AH42" s="2">
        <f>[8]m!$I44</f>
        <v>3.7800000000000002</v>
      </c>
      <c r="AI42" s="2">
        <f>[7]m!C43</f>
        <v>1024</v>
      </c>
      <c r="AJ42" s="2">
        <f>[7]m!D43</f>
        <v>998</v>
      </c>
      <c r="AK42" s="2"/>
      <c r="AL42" s="4">
        <f t="shared" si="0"/>
        <v>2323.1818181818185</v>
      </c>
      <c r="AN42" s="2">
        <v>47</v>
      </c>
    </row>
    <row r="43" spans="1:40" x14ac:dyDescent="0.25">
      <c r="A43" s="1">
        <v>19511</v>
      </c>
      <c r="Q43">
        <f>[5]m!$B45</f>
        <v>26.77</v>
      </c>
      <c r="S43">
        <f>[5]m!$Q45</f>
        <v>29</v>
      </c>
      <c r="AC43" s="2">
        <f>[8]m!$F45</f>
        <v>3.11</v>
      </c>
      <c r="AF43" s="2">
        <f>[8]m!$AS45</f>
        <v>32.5</v>
      </c>
      <c r="AG43" s="2">
        <f>[8]m!$H45</f>
        <v>3.4</v>
      </c>
      <c r="AH43" s="2">
        <f>[8]m!$I45</f>
        <v>3.86</v>
      </c>
      <c r="AI43" s="2">
        <f>[7]m!C44</f>
        <v>1008</v>
      </c>
      <c r="AJ43" s="2">
        <f>[7]m!D44</f>
        <v>931</v>
      </c>
      <c r="AK43" s="2"/>
      <c r="AL43" s="4">
        <f t="shared" si="0"/>
        <v>2224.3230174081241</v>
      </c>
      <c r="AN43" s="2">
        <v>45</v>
      </c>
    </row>
    <row r="44" spans="1:40" x14ac:dyDescent="0.25">
      <c r="A44" s="1">
        <v>19541</v>
      </c>
      <c r="Q44">
        <f>[5]m!$B46</f>
        <v>26.79</v>
      </c>
      <c r="S44">
        <f>[5]m!$Q46</f>
        <v>29.400000000000002</v>
      </c>
      <c r="AC44" s="2">
        <f>[8]m!$F46</f>
        <v>2.93</v>
      </c>
      <c r="AF44" s="2">
        <f>[8]m!$AS46</f>
        <v>32.800000000000004</v>
      </c>
      <c r="AG44" s="2">
        <f>[8]m!$H46</f>
        <v>3.2800000000000002</v>
      </c>
      <c r="AH44" s="2">
        <f>[8]m!$I46</f>
        <v>3.86</v>
      </c>
      <c r="AI44" s="2">
        <f>[7]m!C45</f>
        <v>998</v>
      </c>
      <c r="AJ44" s="2">
        <f>[7]m!D45</f>
        <v>913</v>
      </c>
      <c r="AK44" s="2"/>
      <c r="AL44" s="4">
        <f t="shared" si="0"/>
        <v>2125.4642166344297</v>
      </c>
      <c r="AN44" s="2">
        <v>43</v>
      </c>
    </row>
    <row r="45" spans="1:40" x14ac:dyDescent="0.25">
      <c r="A45" s="1">
        <v>19572</v>
      </c>
      <c r="Q45">
        <f>[5]m!$B47</f>
        <v>26.85</v>
      </c>
      <c r="S45">
        <f>[5]m!$Q47</f>
        <v>29.3</v>
      </c>
      <c r="AC45" s="2">
        <f>[8]m!$F47</f>
        <v>2.95</v>
      </c>
      <c r="AF45" s="2">
        <f>[8]m!$AS47</f>
        <v>33.1</v>
      </c>
      <c r="AG45" s="2">
        <f>[8]m!$H47</f>
        <v>3.24</v>
      </c>
      <c r="AH45" s="2">
        <f>[8]m!$I47</f>
        <v>3.85</v>
      </c>
      <c r="AI45" s="2">
        <f>[7]m!C46</f>
        <v>1011</v>
      </c>
      <c r="AJ45" s="2">
        <f>[7]m!D46</f>
        <v>899</v>
      </c>
      <c r="AK45" s="2"/>
      <c r="AL45" s="4">
        <f t="shared" si="0"/>
        <v>2026.6054158607353</v>
      </c>
      <c r="AN45" s="2">
        <v>41</v>
      </c>
    </row>
    <row r="46" spans="1:40" x14ac:dyDescent="0.25">
      <c r="A46" s="1">
        <v>19603</v>
      </c>
      <c r="Q46">
        <f>[5]m!$B48</f>
        <v>26.89</v>
      </c>
      <c r="S46">
        <f>[5]m!$Q48</f>
        <v>29.400000000000002</v>
      </c>
      <c r="AC46" s="2">
        <f>[8]m!$F48</f>
        <v>2.87</v>
      </c>
      <c r="AF46" s="2">
        <f>[8]m!$AS48</f>
        <v>33.300000000000004</v>
      </c>
      <c r="AG46" s="2">
        <f>[8]m!$H48</f>
        <v>3.29</v>
      </c>
      <c r="AH46" s="2">
        <f>[8]m!$I48</f>
        <v>3.88</v>
      </c>
      <c r="AI46" s="2">
        <f>[7]m!C47</f>
        <v>1026</v>
      </c>
      <c r="AJ46" s="2">
        <f>[7]m!D47</f>
        <v>910</v>
      </c>
      <c r="AK46" s="2"/>
      <c r="AL46" s="4">
        <f t="shared" si="0"/>
        <v>1977.1760154738881</v>
      </c>
      <c r="AN46" s="2">
        <v>40</v>
      </c>
    </row>
    <row r="47" spans="1:40" x14ac:dyDescent="0.25">
      <c r="A47" s="1">
        <v>19633</v>
      </c>
      <c r="Q47">
        <f>[5]m!$B49</f>
        <v>26.95</v>
      </c>
      <c r="S47">
        <f>[5]m!$Q49</f>
        <v>29.200000000000003</v>
      </c>
      <c r="AC47" s="2">
        <f>[8]m!$F49</f>
        <v>2.66</v>
      </c>
      <c r="AF47" s="2">
        <f>[8]m!$AS49</f>
        <v>33.5</v>
      </c>
      <c r="AG47" s="2">
        <f>[8]m!$H49</f>
        <v>3.16</v>
      </c>
      <c r="AH47" s="2">
        <f>[8]m!$I49</f>
        <v>3.8200000000000003</v>
      </c>
      <c r="AI47" s="2">
        <f>[7]m!C48</f>
        <v>1154</v>
      </c>
      <c r="AJ47" s="2">
        <f>[7]m!D48</f>
        <v>968</v>
      </c>
      <c r="AK47" s="2"/>
      <c r="AL47" s="4">
        <f t="shared" si="0"/>
        <v>1779.4584139264994</v>
      </c>
      <c r="AN47" s="2">
        <v>36</v>
      </c>
    </row>
    <row r="48" spans="1:40" x14ac:dyDescent="0.25">
      <c r="A48" s="1">
        <v>19664</v>
      </c>
      <c r="Q48">
        <f>[5]m!$B50</f>
        <v>26.85</v>
      </c>
      <c r="S48">
        <f>[5]m!$Q50</f>
        <v>29.1</v>
      </c>
      <c r="AC48" s="2">
        <f>[8]m!$F50</f>
        <v>2.68</v>
      </c>
      <c r="AF48" s="2">
        <f>[8]m!$AS50</f>
        <v>33.6</v>
      </c>
      <c r="AG48" s="2">
        <f>[8]m!$H50</f>
        <v>3.11</v>
      </c>
      <c r="AH48" s="2">
        <f>[8]m!$I50</f>
        <v>3.75</v>
      </c>
      <c r="AI48" s="2">
        <f>[7]m!C49</f>
        <v>951</v>
      </c>
      <c r="AJ48" s="2">
        <f>[7]m!D49</f>
        <v>818</v>
      </c>
      <c r="AK48" s="2"/>
      <c r="AL48" s="4">
        <f t="shared" si="0"/>
        <v>1631.1702127659578</v>
      </c>
      <c r="AN48" s="2">
        <v>33</v>
      </c>
    </row>
    <row r="49" spans="1:40" x14ac:dyDescent="0.25">
      <c r="A49" s="1">
        <v>19694</v>
      </c>
      <c r="Q49">
        <f>[5]m!$B51</f>
        <v>26.87</v>
      </c>
      <c r="S49">
        <f>[5]m!$Q51</f>
        <v>29.200000000000003</v>
      </c>
      <c r="AC49" s="2">
        <f>[8]m!$F51</f>
        <v>2.59</v>
      </c>
      <c r="AF49" s="2">
        <f>[8]m!$AS51</f>
        <v>33.700000000000003</v>
      </c>
      <c r="AG49" s="2">
        <f>[8]m!$H51</f>
        <v>3.13</v>
      </c>
      <c r="AH49" s="2">
        <f>[8]m!$I51</f>
        <v>3.74</v>
      </c>
      <c r="AI49" s="2">
        <f>[7]m!C50</f>
        <v>1035</v>
      </c>
      <c r="AJ49" s="2">
        <f>[7]m!D50</f>
        <v>873</v>
      </c>
      <c r="AK49" s="2"/>
      <c r="AL49" s="4">
        <f t="shared" si="0"/>
        <v>1482.882011605416</v>
      </c>
      <c r="AN49" s="2">
        <v>30</v>
      </c>
    </row>
    <row r="50" spans="1:40" x14ac:dyDescent="0.25">
      <c r="A50" s="1">
        <v>19725</v>
      </c>
      <c r="N50" s="2">
        <f>[8]m!$C52</f>
        <v>0.73</v>
      </c>
      <c r="Q50">
        <f>[5]m!$B52</f>
        <v>26.94</v>
      </c>
      <c r="S50">
        <f>[5]m!$Q52</f>
        <v>29.400000000000002</v>
      </c>
      <c r="T50">
        <f>[6]m!B52</f>
        <v>-185</v>
      </c>
      <c r="AB50" s="2">
        <f>[8]m!$C52</f>
        <v>0.73</v>
      </c>
      <c r="AC50" s="2">
        <f>[8]m!$F52</f>
        <v>2.48</v>
      </c>
      <c r="AF50" s="2">
        <f>[8]m!$AS52</f>
        <v>34.1</v>
      </c>
      <c r="AG50" s="2">
        <f>[8]m!$H52</f>
        <v>3.06</v>
      </c>
      <c r="AH50" s="2">
        <f>[8]m!$I52</f>
        <v>3.71</v>
      </c>
      <c r="AI50" s="2">
        <f>[7]m!C51</f>
        <v>1073</v>
      </c>
      <c r="AJ50" s="2">
        <f>[7]m!D51</f>
        <v>837</v>
      </c>
      <c r="AK50" s="2"/>
      <c r="AL50" s="4">
        <f t="shared" si="0"/>
        <v>1433.4526112185688</v>
      </c>
      <c r="AN50" s="2">
        <v>29</v>
      </c>
    </row>
    <row r="51" spans="1:40" x14ac:dyDescent="0.25">
      <c r="A51" s="1">
        <v>19756</v>
      </c>
      <c r="N51" s="2">
        <f>[8]m!$C53</f>
        <v>1.51</v>
      </c>
      <c r="Q51">
        <f>[5]m!$B53</f>
        <v>26.990000000000002</v>
      </c>
      <c r="S51">
        <f>[5]m!$Q53</f>
        <v>29.3</v>
      </c>
      <c r="T51">
        <f>[6]m!B53</f>
        <v>737</v>
      </c>
      <c r="AB51" s="2">
        <f>[8]m!$C53</f>
        <v>1.51</v>
      </c>
      <c r="AC51" s="2">
        <f>[8]m!$F53</f>
        <v>2.4700000000000002</v>
      </c>
      <c r="AF51" s="2">
        <f>[8]m!$AS53</f>
        <v>33.700000000000003</v>
      </c>
      <c r="AG51" s="2">
        <f>[8]m!$H53</f>
        <v>2.95</v>
      </c>
      <c r="AH51" s="2">
        <f>[8]m!$I53</f>
        <v>3.61</v>
      </c>
      <c r="AI51" s="2">
        <f>[7]m!C52</f>
        <v>962</v>
      </c>
      <c r="AJ51" s="2">
        <f>[7]m!D52</f>
        <v>855</v>
      </c>
      <c r="AK51" s="2"/>
      <c r="AL51" s="4">
        <f t="shared" si="0"/>
        <v>1384.0232108317216</v>
      </c>
      <c r="AN51" s="2">
        <v>28</v>
      </c>
    </row>
    <row r="52" spans="1:40" x14ac:dyDescent="0.25">
      <c r="A52" s="1">
        <v>19784</v>
      </c>
      <c r="N52" s="2">
        <f>[8]m!$C54</f>
        <v>1.26</v>
      </c>
      <c r="Q52">
        <f>[5]m!$B54</f>
        <v>26.93</v>
      </c>
      <c r="S52">
        <f>[5]m!$Q54</f>
        <v>29.3</v>
      </c>
      <c r="T52">
        <f>[6]m!B54</f>
        <v>5879</v>
      </c>
      <c r="AB52" s="2">
        <f>[8]m!$C54</f>
        <v>1.26</v>
      </c>
      <c r="AC52" s="2">
        <f>[8]m!$F54</f>
        <v>2.37</v>
      </c>
      <c r="AF52" s="2">
        <f>[8]m!$AS54</f>
        <v>33.5</v>
      </c>
      <c r="AG52" s="2">
        <f>[8]m!$H54</f>
        <v>2.86</v>
      </c>
      <c r="AH52" s="2">
        <f>[8]m!$I54</f>
        <v>3.5100000000000002</v>
      </c>
      <c r="AI52" s="2">
        <f>[7]m!C53</f>
        <v>1047</v>
      </c>
      <c r="AJ52" s="2">
        <f>[7]m!D53</f>
        <v>852</v>
      </c>
      <c r="AK52" s="2"/>
      <c r="AL52" s="4">
        <f t="shared" si="0"/>
        <v>1334.5938104448744</v>
      </c>
      <c r="AN52" s="2">
        <v>27</v>
      </c>
    </row>
    <row r="53" spans="1:40" x14ac:dyDescent="0.25">
      <c r="A53" s="1">
        <v>19815</v>
      </c>
      <c r="N53" s="2">
        <f>[8]m!$C55</f>
        <v>0.85</v>
      </c>
      <c r="Q53">
        <f>[5]m!$B55</f>
        <v>26.86</v>
      </c>
      <c r="S53">
        <f>[5]m!$Q55</f>
        <v>29.400000000000002</v>
      </c>
      <c r="T53">
        <f>[6]m!B55</f>
        <v>-2545</v>
      </c>
      <c r="AB53" s="2">
        <f>[8]m!$C55</f>
        <v>0.85</v>
      </c>
      <c r="AC53" s="2">
        <f>[8]m!$F55</f>
        <v>2.29</v>
      </c>
      <c r="AF53" s="2">
        <f>[8]m!$AS55</f>
        <v>33.700000000000003</v>
      </c>
      <c r="AG53" s="2">
        <f>[8]m!$H55</f>
        <v>2.85</v>
      </c>
      <c r="AH53" s="2">
        <f>[8]m!$I55</f>
        <v>3.47</v>
      </c>
      <c r="AI53" s="2">
        <f>[7]m!C54</f>
        <v>862</v>
      </c>
      <c r="AJ53" s="2">
        <f>[7]m!D54</f>
        <v>762</v>
      </c>
      <c r="AK53" s="2"/>
      <c r="AL53" s="4">
        <f t="shared" si="0"/>
        <v>1334.5938104448746</v>
      </c>
      <c r="AN53" s="2">
        <v>27</v>
      </c>
    </row>
    <row r="54" spans="1:40" x14ac:dyDescent="0.25">
      <c r="A54" s="1">
        <v>19845</v>
      </c>
      <c r="N54" s="2">
        <f>[8]m!$C56</f>
        <v>0.86</v>
      </c>
      <c r="Q54">
        <f>[5]m!$B56</f>
        <v>26.93</v>
      </c>
      <c r="S54">
        <f>[5]m!$Q56</f>
        <v>29.400000000000002</v>
      </c>
      <c r="T54">
        <f>[6]m!B56</f>
        <v>-1611</v>
      </c>
      <c r="AB54" s="2">
        <f>[8]m!$C56</f>
        <v>0.86</v>
      </c>
      <c r="AC54" s="2">
        <f>[8]m!$F56</f>
        <v>2.37</v>
      </c>
      <c r="AF54" s="2">
        <f>[8]m!$AS56</f>
        <v>33.700000000000003</v>
      </c>
      <c r="AG54" s="2">
        <f>[8]m!$H56</f>
        <v>2.88</v>
      </c>
      <c r="AH54" s="2">
        <f>[8]m!$I56</f>
        <v>3.47</v>
      </c>
      <c r="AI54" s="2">
        <f>[7]m!C55</f>
        <v>1196</v>
      </c>
      <c r="AJ54" s="2">
        <f>[7]m!D55</f>
        <v>945</v>
      </c>
      <c r="AK54" s="2"/>
      <c r="AL54" s="4">
        <f t="shared" si="0"/>
        <v>1285.1644100580274</v>
      </c>
      <c r="AN54" s="2">
        <v>26</v>
      </c>
    </row>
    <row r="55" spans="1:40" x14ac:dyDescent="0.25">
      <c r="A55" s="1">
        <v>19876</v>
      </c>
      <c r="N55" s="2">
        <f>[8]m!$C57</f>
        <v>0.69000000000000006</v>
      </c>
      <c r="Q55">
        <f>[5]m!$B57</f>
        <v>26.94</v>
      </c>
      <c r="S55">
        <f>[5]m!$Q57</f>
        <v>29.200000000000003</v>
      </c>
      <c r="T55">
        <f>[6]m!B57</f>
        <v>3336</v>
      </c>
      <c r="AB55" s="2">
        <f>[8]m!$C57</f>
        <v>0.69000000000000006</v>
      </c>
      <c r="AC55" s="2">
        <f>[8]m!$F57</f>
        <v>2.38</v>
      </c>
      <c r="AF55" s="2">
        <f>[8]m!$AS57</f>
        <v>33.800000000000004</v>
      </c>
      <c r="AG55" s="2">
        <f>[8]m!$H57</f>
        <v>2.9</v>
      </c>
      <c r="AH55" s="2">
        <f>[8]m!$I57</f>
        <v>3.49</v>
      </c>
      <c r="AI55" s="2">
        <f>[7]m!C56</f>
        <v>1087</v>
      </c>
      <c r="AJ55" s="2">
        <f>[7]m!D56</f>
        <v>848</v>
      </c>
      <c r="AK55" s="2"/>
      <c r="AL55" s="4">
        <f t="shared" si="0"/>
        <v>1334.5938104448746</v>
      </c>
      <c r="AN55" s="2">
        <v>27</v>
      </c>
    </row>
    <row r="56" spans="1:40" x14ac:dyDescent="0.25">
      <c r="A56" s="1">
        <v>19906</v>
      </c>
      <c r="N56" s="2">
        <f>[8]m!$C58</f>
        <v>0.8</v>
      </c>
      <c r="Q56">
        <f>[5]m!$B58</f>
        <v>26.86</v>
      </c>
      <c r="S56">
        <f>[5]m!$Q58</f>
        <v>29.3</v>
      </c>
      <c r="T56">
        <f>[6]m!B58</f>
        <v>-2000</v>
      </c>
      <c r="AB56" s="2">
        <f>[8]m!$C58</f>
        <v>0.8</v>
      </c>
      <c r="AC56" s="2">
        <f>[8]m!$F58</f>
        <v>2.3000000000000003</v>
      </c>
      <c r="AF56" s="2">
        <f>[8]m!$AS58</f>
        <v>34.1</v>
      </c>
      <c r="AG56" s="2">
        <f>[8]m!$H58</f>
        <v>2.89</v>
      </c>
      <c r="AH56" s="2">
        <f>[8]m!$I58</f>
        <v>3.5</v>
      </c>
      <c r="AI56" s="2">
        <f>[7]m!C57</f>
        <v>1091</v>
      </c>
      <c r="AJ56" s="2">
        <f>[7]m!D57</f>
        <v>935</v>
      </c>
      <c r="AK56" s="2"/>
      <c r="AL56" s="4">
        <f t="shared" si="0"/>
        <v>1285.1644100580274</v>
      </c>
      <c r="AN56" s="2">
        <v>26</v>
      </c>
    </row>
    <row r="57" spans="1:40" x14ac:dyDescent="0.25">
      <c r="A57" s="1">
        <v>19937</v>
      </c>
      <c r="N57" s="2">
        <f>[8]m!$C59</f>
        <v>1.22</v>
      </c>
      <c r="Q57">
        <f>[5]m!$B59</f>
        <v>26.85</v>
      </c>
      <c r="S57">
        <f>[5]m!$Q59</f>
        <v>29.3</v>
      </c>
      <c r="T57">
        <f>[6]m!B59</f>
        <v>-2820</v>
      </c>
      <c r="AB57" s="2">
        <f>[8]m!$C59</f>
        <v>1.22</v>
      </c>
      <c r="AC57" s="2">
        <f>[8]m!$F59</f>
        <v>2.36</v>
      </c>
      <c r="AF57" s="2">
        <f>[8]m!$AS59</f>
        <v>34</v>
      </c>
      <c r="AG57" s="2">
        <f>[8]m!$H59</f>
        <v>2.87</v>
      </c>
      <c r="AH57" s="2">
        <f>[8]m!$I59</f>
        <v>3.49</v>
      </c>
      <c r="AI57" s="2">
        <f>[7]m!C58</f>
        <v>1076</v>
      </c>
      <c r="AJ57" s="2">
        <f>[7]m!D58</f>
        <v>847</v>
      </c>
      <c r="AK57" s="2"/>
      <c r="AL57" s="4">
        <f t="shared" si="0"/>
        <v>1285.1644100580274</v>
      </c>
      <c r="AN57" s="2">
        <v>26</v>
      </c>
    </row>
    <row r="58" spans="1:40" x14ac:dyDescent="0.25">
      <c r="A58" s="1">
        <v>19968</v>
      </c>
      <c r="N58" s="2">
        <f>[8]m!$C60</f>
        <v>1.06</v>
      </c>
      <c r="Q58">
        <f>[5]m!$B60</f>
        <v>26.810000000000002</v>
      </c>
      <c r="S58">
        <f>[5]m!$Q60</f>
        <v>29.200000000000003</v>
      </c>
      <c r="T58">
        <f>[6]m!B60</f>
        <v>-68</v>
      </c>
      <c r="AB58" s="2">
        <f>[8]m!$C60</f>
        <v>1.06</v>
      </c>
      <c r="AC58" s="2">
        <f>[8]m!$F60</f>
        <v>2.38</v>
      </c>
      <c r="AF58" s="2">
        <f>[8]m!$AS60</f>
        <v>34.1</v>
      </c>
      <c r="AG58" s="2">
        <f>[8]m!$H60</f>
        <v>2.89</v>
      </c>
      <c r="AH58" s="2">
        <f>[8]m!$I60</f>
        <v>3.47</v>
      </c>
      <c r="AI58" s="2">
        <f>[7]m!C59</f>
        <v>1067</v>
      </c>
      <c r="AJ58" s="2">
        <f>[7]m!D59</f>
        <v>851</v>
      </c>
      <c r="AK58" s="2"/>
      <c r="AL58" s="4">
        <f t="shared" si="0"/>
        <v>1285.1644100580274</v>
      </c>
      <c r="AN58" s="2">
        <v>26</v>
      </c>
    </row>
    <row r="59" spans="1:40" x14ac:dyDescent="0.25">
      <c r="A59" s="1">
        <v>19998</v>
      </c>
      <c r="N59" s="2">
        <f>[8]m!$C61</f>
        <v>0.85</v>
      </c>
      <c r="Q59">
        <f>[5]m!$B61</f>
        <v>26.72</v>
      </c>
      <c r="S59">
        <f>[5]m!$Q61</f>
        <v>29.1</v>
      </c>
      <c r="T59">
        <f>[6]m!B61</f>
        <v>-2218</v>
      </c>
      <c r="AB59" s="2">
        <f>[8]m!$C61</f>
        <v>0.85</v>
      </c>
      <c r="AC59" s="2">
        <f>[8]m!$F61</f>
        <v>2.4300000000000002</v>
      </c>
      <c r="AF59" s="2">
        <f>[8]m!$AS61</f>
        <v>34.4</v>
      </c>
      <c r="AG59" s="2">
        <f>[8]m!$H61</f>
        <v>2.87</v>
      </c>
      <c r="AH59" s="2">
        <f>[8]m!$I61</f>
        <v>3.46</v>
      </c>
      <c r="AI59" s="2">
        <f>[7]m!C60</f>
        <v>1056</v>
      </c>
      <c r="AJ59" s="2">
        <f>[7]m!D60</f>
        <v>818</v>
      </c>
      <c r="AK59" s="2"/>
      <c r="AL59" s="4">
        <f t="shared" si="0"/>
        <v>1285.1644100580274</v>
      </c>
      <c r="AN59" s="2">
        <v>26</v>
      </c>
    </row>
    <row r="60" spans="1:40" x14ac:dyDescent="0.25">
      <c r="A60" s="1">
        <v>20029</v>
      </c>
      <c r="N60" s="2">
        <f>[8]m!$C62</f>
        <v>0.83000000000000007</v>
      </c>
      <c r="Q60">
        <f>[5]m!$B62</f>
        <v>26.78</v>
      </c>
      <c r="S60">
        <f>[5]m!$Q62</f>
        <v>29.200000000000003</v>
      </c>
      <c r="T60">
        <f>[6]m!B62</f>
        <v>359</v>
      </c>
      <c r="AB60" s="2">
        <f>[8]m!$C62</f>
        <v>0.83000000000000007</v>
      </c>
      <c r="AC60" s="2">
        <f>[8]m!$F62</f>
        <v>2.48</v>
      </c>
      <c r="AF60" s="2">
        <f>[8]m!$AS62</f>
        <v>34.6</v>
      </c>
      <c r="AG60" s="2">
        <f>[8]m!$H62</f>
        <v>2.89</v>
      </c>
      <c r="AH60" s="2">
        <f>[8]m!$I62</f>
        <v>3.45</v>
      </c>
      <c r="AI60" s="2">
        <f>[7]m!C61</f>
        <v>1111</v>
      </c>
      <c r="AJ60" s="2">
        <f>[7]m!D61</f>
        <v>805</v>
      </c>
      <c r="AK60" s="2"/>
      <c r="AL60" s="4">
        <f t="shared" si="0"/>
        <v>1384.0232108317221</v>
      </c>
      <c r="AN60" s="2">
        <v>28</v>
      </c>
    </row>
    <row r="61" spans="1:40" x14ac:dyDescent="0.25">
      <c r="A61" s="1">
        <v>20059</v>
      </c>
      <c r="N61" s="2">
        <f>[8]m!$C63</f>
        <v>1.28</v>
      </c>
      <c r="Q61">
        <f>[5]m!$B63</f>
        <v>26.77</v>
      </c>
      <c r="S61">
        <f>[5]m!$Q63</f>
        <v>29</v>
      </c>
      <c r="T61">
        <f>[6]m!B63</f>
        <v>-2546</v>
      </c>
      <c r="AB61" s="2">
        <f>[8]m!$C63</f>
        <v>1.28</v>
      </c>
      <c r="AC61" s="2">
        <f>[8]m!$F63</f>
        <v>2.5100000000000002</v>
      </c>
      <c r="AF61" s="2">
        <f>[8]m!$AS63</f>
        <v>35</v>
      </c>
      <c r="AG61" s="2">
        <f>[8]m!$H63</f>
        <v>2.9</v>
      </c>
      <c r="AH61" s="2">
        <f>[8]m!$I63</f>
        <v>3.45</v>
      </c>
      <c r="AI61" s="2">
        <f>[7]m!C62</f>
        <v>1147</v>
      </c>
      <c r="AJ61" s="2">
        <f>[7]m!D62</f>
        <v>821</v>
      </c>
      <c r="AK61" s="2"/>
      <c r="AL61" s="4">
        <f t="shared" si="0"/>
        <v>1433.4526112185692</v>
      </c>
      <c r="AN61" s="2">
        <v>29</v>
      </c>
    </row>
    <row r="62" spans="1:40" x14ac:dyDescent="0.25">
      <c r="A62" s="1">
        <v>20090</v>
      </c>
      <c r="N62" s="2">
        <f>[8]m!$C64</f>
        <v>1.3900000000000001</v>
      </c>
      <c r="Q62">
        <f>[5]m!$B64</f>
        <v>26.77</v>
      </c>
      <c r="S62">
        <f>[5]m!$Q64</f>
        <v>29.200000000000003</v>
      </c>
      <c r="T62">
        <f>[6]m!B64</f>
        <v>-287</v>
      </c>
      <c r="AB62" s="2">
        <f>[8]m!$C64</f>
        <v>1.3900000000000001</v>
      </c>
      <c r="AC62" s="2">
        <f>[8]m!$F64</f>
        <v>2.61</v>
      </c>
      <c r="AF62" s="2">
        <f>[8]m!$AS64</f>
        <v>35.4</v>
      </c>
      <c r="AG62" s="2">
        <f>[8]m!$H64</f>
        <v>2.93</v>
      </c>
      <c r="AH62" s="2">
        <f>[8]m!$I64</f>
        <v>3.45</v>
      </c>
      <c r="AI62" s="2">
        <f>[7]m!C63</f>
        <v>1130</v>
      </c>
      <c r="AJ62" s="2">
        <f>[7]m!D63</f>
        <v>874</v>
      </c>
      <c r="AK62" s="2"/>
      <c r="AL62" s="4">
        <f t="shared" si="0"/>
        <v>1482.8820116054164</v>
      </c>
      <c r="AN62" s="2">
        <v>30</v>
      </c>
    </row>
    <row r="63" spans="1:40" x14ac:dyDescent="0.25">
      <c r="A63" s="1">
        <v>20121</v>
      </c>
      <c r="N63" s="2">
        <f>[8]m!$C65</f>
        <v>1.29</v>
      </c>
      <c r="Q63">
        <f>[5]m!$B65</f>
        <v>26.82</v>
      </c>
      <c r="S63">
        <f>[5]m!$Q65</f>
        <v>29.3</v>
      </c>
      <c r="T63">
        <f>[6]m!B65</f>
        <v>596</v>
      </c>
      <c r="AB63" s="2">
        <f>[8]m!$C65</f>
        <v>1.29</v>
      </c>
      <c r="AC63" s="2">
        <f>[8]m!$F65</f>
        <v>2.65</v>
      </c>
      <c r="AF63" s="2">
        <f>[8]m!$AS65</f>
        <v>35.9</v>
      </c>
      <c r="AG63" s="2">
        <f>[8]m!$H65</f>
        <v>2.93</v>
      </c>
      <c r="AH63" s="2">
        <f>[8]m!$I65</f>
        <v>3.47</v>
      </c>
      <c r="AI63" s="2">
        <f>[7]m!C64</f>
        <v>1168</v>
      </c>
      <c r="AJ63" s="2">
        <f>[7]m!D64</f>
        <v>886</v>
      </c>
      <c r="AK63" s="2"/>
      <c r="AL63" s="4">
        <f t="shared" si="0"/>
        <v>1581.7408123791108</v>
      </c>
      <c r="AN63" s="2">
        <v>32</v>
      </c>
    </row>
    <row r="64" spans="1:40" x14ac:dyDescent="0.25">
      <c r="A64" s="1">
        <v>20149</v>
      </c>
      <c r="N64" s="2">
        <f>[8]m!$C66</f>
        <v>1.35</v>
      </c>
      <c r="Q64">
        <f>[5]m!$B66</f>
        <v>26.79</v>
      </c>
      <c r="S64">
        <f>[5]m!$Q66</f>
        <v>29.200000000000003</v>
      </c>
      <c r="T64">
        <f>[6]m!B66</f>
        <v>3847</v>
      </c>
      <c r="AB64" s="2">
        <f>[8]m!$C66</f>
        <v>1.35</v>
      </c>
      <c r="AC64" s="2">
        <f>[8]m!$F66</f>
        <v>2.68</v>
      </c>
      <c r="AF64" s="2">
        <f>[8]m!$AS66</f>
        <v>36.5</v>
      </c>
      <c r="AG64" s="2">
        <f>[8]m!$H66</f>
        <v>3.02</v>
      </c>
      <c r="AH64" s="2">
        <f>[8]m!$I66</f>
        <v>3.48</v>
      </c>
      <c r="AI64" s="2">
        <f>[7]m!C65</f>
        <v>1198</v>
      </c>
      <c r="AJ64" s="2">
        <f>[7]m!D65</f>
        <v>897</v>
      </c>
      <c r="AK64" s="2"/>
      <c r="AL64" s="4">
        <f t="shared" si="0"/>
        <v>1680.5996131528052</v>
      </c>
      <c r="AN64" s="2">
        <v>34</v>
      </c>
    </row>
    <row r="65" spans="1:40" x14ac:dyDescent="0.25">
      <c r="A65" s="1">
        <v>20180</v>
      </c>
      <c r="N65" s="2">
        <f>[8]m!$C67</f>
        <v>1.43</v>
      </c>
      <c r="Q65">
        <f>[5]m!$B67</f>
        <v>26.79</v>
      </c>
      <c r="S65">
        <f>[5]m!$Q67</f>
        <v>29.3</v>
      </c>
      <c r="T65">
        <f>[6]m!B67</f>
        <v>-1496</v>
      </c>
      <c r="AB65" s="2">
        <f>[8]m!$C67</f>
        <v>1.43</v>
      </c>
      <c r="AC65" s="2">
        <f>[8]m!$F67</f>
        <v>2.75</v>
      </c>
      <c r="AF65" s="2">
        <f>[8]m!$AS67</f>
        <v>37.200000000000003</v>
      </c>
      <c r="AG65" s="2">
        <f>[8]m!$H67</f>
        <v>3.0100000000000002</v>
      </c>
      <c r="AH65" s="2">
        <f>[8]m!$I67</f>
        <v>3.49</v>
      </c>
      <c r="AI65" s="2">
        <f>[7]m!C66</f>
        <v>1159</v>
      </c>
      <c r="AJ65" s="2">
        <f>[7]m!D66</f>
        <v>907</v>
      </c>
      <c r="AK65" s="2"/>
      <c r="AL65" s="4">
        <f t="shared" si="0"/>
        <v>1680.5996131528052</v>
      </c>
      <c r="AN65" s="2">
        <v>34</v>
      </c>
    </row>
    <row r="66" spans="1:40" x14ac:dyDescent="0.25">
      <c r="A66" s="1">
        <v>20210</v>
      </c>
      <c r="N66" s="2">
        <f>[8]m!$C68</f>
        <v>1.43</v>
      </c>
      <c r="Q66">
        <f>[5]m!$B68</f>
        <v>26.77</v>
      </c>
      <c r="S66">
        <f>[5]m!$Q68</f>
        <v>29.1</v>
      </c>
      <c r="T66">
        <f>[6]m!B68</f>
        <v>-918</v>
      </c>
      <c r="AB66" s="2">
        <f>[8]m!$C68</f>
        <v>1.43</v>
      </c>
      <c r="AC66" s="2">
        <f>[8]m!$F68</f>
        <v>2.7600000000000002</v>
      </c>
      <c r="AF66" s="2">
        <f>[8]m!$AS68</f>
        <v>37.700000000000003</v>
      </c>
      <c r="AG66" s="2">
        <f>[8]m!$H68</f>
        <v>3.04</v>
      </c>
      <c r="AH66" s="2">
        <f>[8]m!$I68</f>
        <v>3.5</v>
      </c>
      <c r="AI66" s="2">
        <f>[7]m!C67</f>
        <v>1113</v>
      </c>
      <c r="AJ66" s="2">
        <f>[7]m!D67</f>
        <v>902</v>
      </c>
      <c r="AK66" s="2"/>
      <c r="AL66" s="4">
        <f t="shared" si="0"/>
        <v>1779.4584139264996</v>
      </c>
      <c r="AN66" s="2">
        <v>36</v>
      </c>
    </row>
    <row r="67" spans="1:40" x14ac:dyDescent="0.25">
      <c r="A67" s="1">
        <v>20241</v>
      </c>
      <c r="N67" s="2">
        <f>[8]m!$C69</f>
        <v>1.6400000000000001</v>
      </c>
      <c r="Q67">
        <f>[5]m!$B69</f>
        <v>26.71</v>
      </c>
      <c r="S67">
        <f>[5]m!$Q69</f>
        <v>29.3</v>
      </c>
      <c r="T67">
        <f>[6]m!B69</f>
        <v>3372</v>
      </c>
      <c r="AB67" s="2">
        <f>[8]m!$C69</f>
        <v>1.6400000000000001</v>
      </c>
      <c r="AC67" s="2">
        <f>[8]m!$F69</f>
        <v>2.7800000000000002</v>
      </c>
      <c r="AF67" s="2">
        <f>[8]m!$AS69</f>
        <v>38.5</v>
      </c>
      <c r="AG67" s="2">
        <f>[8]m!$H69</f>
        <v>3.0500000000000003</v>
      </c>
      <c r="AH67" s="2">
        <f>[8]m!$I69</f>
        <v>3.5100000000000002</v>
      </c>
      <c r="AI67" s="2">
        <f>[7]m!C68</f>
        <v>1132</v>
      </c>
      <c r="AJ67" s="2">
        <f>[7]m!D68</f>
        <v>939</v>
      </c>
      <c r="AK67" s="2"/>
      <c r="AL67" s="4">
        <f t="shared" si="0"/>
        <v>1878.3172147001942</v>
      </c>
      <c r="AN67" s="2">
        <v>38</v>
      </c>
    </row>
    <row r="68" spans="1:40" x14ac:dyDescent="0.25">
      <c r="A68" s="1">
        <v>20271</v>
      </c>
      <c r="N68" s="2">
        <f>[8]m!$C70</f>
        <v>1.68</v>
      </c>
      <c r="Q68">
        <f>[5]m!$B70</f>
        <v>26.76</v>
      </c>
      <c r="S68">
        <f>[5]m!$Q70</f>
        <v>29.3</v>
      </c>
      <c r="T68">
        <f>[6]m!B70</f>
        <v>-2617</v>
      </c>
      <c r="AB68" s="2">
        <f>[8]m!$C70</f>
        <v>1.68</v>
      </c>
      <c r="AC68" s="2">
        <f>[8]m!$F70</f>
        <v>2.9</v>
      </c>
      <c r="AF68" s="2">
        <f>[8]m!$AS70</f>
        <v>39</v>
      </c>
      <c r="AG68" s="2">
        <f>[8]m!$H70</f>
        <v>3.06</v>
      </c>
      <c r="AH68" s="2">
        <f>[8]m!$I70</f>
        <v>3.52</v>
      </c>
      <c r="AI68" s="2">
        <f>[7]m!C69</f>
        <v>1170</v>
      </c>
      <c r="AJ68" s="2">
        <f>[7]m!D69</f>
        <v>928</v>
      </c>
      <c r="AK68" s="2"/>
      <c r="AL68" s="4">
        <f t="shared" si="0"/>
        <v>1927.7466150870414</v>
      </c>
      <c r="AN68" s="2">
        <v>39</v>
      </c>
    </row>
    <row r="69" spans="1:40" x14ac:dyDescent="0.25">
      <c r="A69" s="1">
        <v>20302</v>
      </c>
      <c r="N69" s="2">
        <f>[8]m!$C71</f>
        <v>1.96</v>
      </c>
      <c r="Q69">
        <f>[5]m!$B71</f>
        <v>26.72</v>
      </c>
      <c r="S69">
        <f>[5]m!$Q71</f>
        <v>29.400000000000002</v>
      </c>
      <c r="T69">
        <f>[6]m!B71</f>
        <v>-1491</v>
      </c>
      <c r="AB69" s="2">
        <f>[8]m!$C71</f>
        <v>1.96</v>
      </c>
      <c r="AC69" s="2">
        <f>[8]m!$F71</f>
        <v>2.97</v>
      </c>
      <c r="AF69" s="2">
        <f>[8]m!$AS71</f>
        <v>39.700000000000003</v>
      </c>
      <c r="AG69" s="2">
        <f>[8]m!$H71</f>
        <v>3.11</v>
      </c>
      <c r="AH69" s="2">
        <f>[8]m!$I71</f>
        <v>3.56</v>
      </c>
      <c r="AI69" s="2">
        <f>[7]m!C70</f>
        <v>1223</v>
      </c>
      <c r="AJ69" s="2">
        <f>[7]m!D70</f>
        <v>953</v>
      </c>
      <c r="AK69" s="2"/>
      <c r="AL69" s="4">
        <f t="shared" si="0"/>
        <v>2026.6054158607358</v>
      </c>
      <c r="AN69" s="2">
        <v>41</v>
      </c>
    </row>
    <row r="70" spans="1:40" x14ac:dyDescent="0.25">
      <c r="A70" s="1">
        <v>20333</v>
      </c>
      <c r="N70" s="2">
        <f>[8]m!$C72</f>
        <v>2.1800000000000002</v>
      </c>
      <c r="Q70">
        <f>[5]m!$B72</f>
        <v>26.85</v>
      </c>
      <c r="S70">
        <f>[5]m!$Q72</f>
        <v>29.6</v>
      </c>
      <c r="T70">
        <f>[6]m!B72</f>
        <v>158</v>
      </c>
      <c r="AB70" s="2">
        <f>[8]m!$C72</f>
        <v>2.1800000000000002</v>
      </c>
      <c r="AC70" s="2">
        <f>[8]m!$F72</f>
        <v>2.97</v>
      </c>
      <c r="AF70" s="2">
        <f>[8]m!$AS72</f>
        <v>40.400000000000006</v>
      </c>
      <c r="AG70" s="2">
        <f>[8]m!$H72</f>
        <v>3.13</v>
      </c>
      <c r="AH70" s="2">
        <f>[8]m!$I72</f>
        <v>3.59</v>
      </c>
      <c r="AI70" s="2">
        <f>[7]m!C71</f>
        <v>1215</v>
      </c>
      <c r="AJ70" s="2">
        <f>[7]m!D71</f>
        <v>952</v>
      </c>
      <c r="AK70" s="2"/>
      <c r="AL70" s="4">
        <f t="shared" si="0"/>
        <v>2125.4642166344302</v>
      </c>
      <c r="AN70" s="2">
        <v>43</v>
      </c>
    </row>
    <row r="71" spans="1:40" x14ac:dyDescent="0.25">
      <c r="A71" s="1">
        <v>20363</v>
      </c>
      <c r="N71" s="2">
        <f>[8]m!$C73</f>
        <v>2.2400000000000002</v>
      </c>
      <c r="Q71">
        <f>[5]m!$B73</f>
        <v>26.82</v>
      </c>
      <c r="S71">
        <f>[5]m!$Q73</f>
        <v>29.6</v>
      </c>
      <c r="T71">
        <f>[6]m!B73</f>
        <v>-2663</v>
      </c>
      <c r="AB71" s="2">
        <f>[8]m!$C73</f>
        <v>2.2400000000000002</v>
      </c>
      <c r="AC71" s="2">
        <f>[8]m!$F73</f>
        <v>2.88</v>
      </c>
      <c r="AF71" s="2">
        <f>[8]m!$AS73</f>
        <v>40.800000000000004</v>
      </c>
      <c r="AG71" s="2">
        <f>[8]m!$H73</f>
        <v>3.1</v>
      </c>
      <c r="AH71" s="2">
        <f>[8]m!$I73</f>
        <v>3.59</v>
      </c>
      <c r="AI71" s="2">
        <f>[7]m!C72</f>
        <v>1235</v>
      </c>
      <c r="AJ71" s="2">
        <f>[7]m!D72</f>
        <v>992</v>
      </c>
      <c r="AK71" s="2"/>
      <c r="AL71" s="4">
        <f t="shared" si="0"/>
        <v>2076.034816247583</v>
      </c>
      <c r="AN71" s="2">
        <v>42</v>
      </c>
    </row>
    <row r="72" spans="1:40" x14ac:dyDescent="0.25">
      <c r="A72" s="1">
        <v>20394</v>
      </c>
      <c r="N72" s="2">
        <f>[8]m!$C74</f>
        <v>2.35</v>
      </c>
      <c r="Q72">
        <f>[5]m!$B74</f>
        <v>26.88</v>
      </c>
      <c r="S72">
        <f>[5]m!$Q74</f>
        <v>29.5</v>
      </c>
      <c r="T72">
        <f>[6]m!B74</f>
        <v>-510</v>
      </c>
      <c r="AB72" s="2">
        <f>[8]m!$C74</f>
        <v>2.35</v>
      </c>
      <c r="AC72" s="2">
        <f>[8]m!$F74</f>
        <v>2.89</v>
      </c>
      <c r="AF72" s="2">
        <f>[8]m!$AS74</f>
        <v>41.400000000000006</v>
      </c>
      <c r="AG72" s="2">
        <f>[8]m!$H74</f>
        <v>3.1</v>
      </c>
      <c r="AH72" s="2">
        <f>[8]m!$I74</f>
        <v>3.58</v>
      </c>
      <c r="AI72" s="2">
        <f>[7]m!C73</f>
        <v>1260</v>
      </c>
      <c r="AJ72" s="2">
        <f>[7]m!D73</f>
        <v>1045</v>
      </c>
      <c r="AK72" s="2"/>
      <c r="AL72" s="4">
        <f t="shared" si="0"/>
        <v>2174.8936170212774</v>
      </c>
      <c r="AN72" s="2">
        <v>44</v>
      </c>
    </row>
    <row r="73" spans="1:40" x14ac:dyDescent="0.25">
      <c r="A73" s="1">
        <v>20424</v>
      </c>
      <c r="N73" s="2">
        <f>[8]m!$C75</f>
        <v>2.48</v>
      </c>
      <c r="Q73">
        <f>[5]m!$B75</f>
        <v>26.87</v>
      </c>
      <c r="S73">
        <f>[5]m!$Q75</f>
        <v>29.5</v>
      </c>
      <c r="T73">
        <f>[6]m!B75</f>
        <v>-762</v>
      </c>
      <c r="AB73" s="2">
        <f>[8]m!$C75</f>
        <v>2.48</v>
      </c>
      <c r="AC73" s="2">
        <f>[8]m!$F75</f>
        <v>2.96</v>
      </c>
      <c r="AF73" s="2">
        <f>[8]m!$AS75</f>
        <v>41.900000000000006</v>
      </c>
      <c r="AG73" s="2">
        <f>[8]m!$H75</f>
        <v>3.15</v>
      </c>
      <c r="AH73" s="2">
        <f>[8]m!$I75</f>
        <v>3.62</v>
      </c>
      <c r="AI73" s="2">
        <f>[7]m!C74</f>
        <v>1215</v>
      </c>
      <c r="AJ73" s="2">
        <f>[7]m!D74</f>
        <v>1045</v>
      </c>
      <c r="AK73" s="2"/>
      <c r="AL73" s="4">
        <f t="shared" si="0"/>
        <v>2273.7524177949717</v>
      </c>
      <c r="AN73" s="2">
        <v>46</v>
      </c>
    </row>
    <row r="74" spans="1:40" x14ac:dyDescent="0.25">
      <c r="A74" s="1">
        <v>20455</v>
      </c>
      <c r="N74" s="2">
        <f>[8]m!$C76</f>
        <v>2.4500000000000002</v>
      </c>
      <c r="Q74">
        <f>[5]m!$B76</f>
        <v>26.830000000000002</v>
      </c>
      <c r="S74">
        <f>[5]m!$Q76</f>
        <v>29.700000000000003</v>
      </c>
      <c r="T74">
        <f>[6]m!B76</f>
        <v>-590</v>
      </c>
      <c r="AB74" s="2">
        <f>[8]m!$C76</f>
        <v>2.4500000000000002</v>
      </c>
      <c r="AC74" s="2">
        <f>[8]m!$F76</f>
        <v>2.9</v>
      </c>
      <c r="AF74" s="2">
        <f>[8]m!$AS76</f>
        <v>42.1</v>
      </c>
      <c r="AG74" s="2">
        <f>[8]m!$H76</f>
        <v>3.11</v>
      </c>
      <c r="AH74" s="2">
        <f>[8]m!$I76</f>
        <v>3.6</v>
      </c>
      <c r="AI74" s="2">
        <f>[7]m!C75</f>
        <v>1226</v>
      </c>
      <c r="AJ74" s="2">
        <f>[7]m!D75</f>
        <v>971</v>
      </c>
      <c r="AK74" s="2"/>
      <c r="AL74" s="4">
        <f t="shared" si="0"/>
        <v>2174.8936170212774</v>
      </c>
      <c r="AN74" s="2">
        <v>44</v>
      </c>
    </row>
    <row r="75" spans="1:40" x14ac:dyDescent="0.25">
      <c r="A75" s="1">
        <v>20486</v>
      </c>
      <c r="N75" s="2">
        <f>[8]m!$C77</f>
        <v>2.5</v>
      </c>
      <c r="Q75">
        <f>[5]m!$B77</f>
        <v>26.86</v>
      </c>
      <c r="S75">
        <f>[5]m!$Q77</f>
        <v>29.8</v>
      </c>
      <c r="T75">
        <f>[6]m!B77</f>
        <v>1245</v>
      </c>
      <c r="AB75" s="2">
        <f>[8]m!$C77</f>
        <v>2.5</v>
      </c>
      <c r="AC75" s="2">
        <f>[8]m!$F77</f>
        <v>2.84</v>
      </c>
      <c r="AF75" s="2">
        <f>[8]m!$AS77</f>
        <v>42.6</v>
      </c>
      <c r="AG75" s="2">
        <f>[8]m!$H77</f>
        <v>3.08</v>
      </c>
      <c r="AH75" s="2">
        <f>[8]m!$I77</f>
        <v>3.58</v>
      </c>
      <c r="AI75" s="2">
        <f>[7]m!C76</f>
        <v>1289</v>
      </c>
      <c r="AJ75" s="2">
        <f>[7]m!D76</f>
        <v>1045</v>
      </c>
      <c r="AK75" s="2"/>
      <c r="AL75" s="4">
        <f t="shared" si="0"/>
        <v>2224.3230174081245</v>
      </c>
      <c r="AN75" s="2">
        <v>45</v>
      </c>
    </row>
    <row r="76" spans="1:40" x14ac:dyDescent="0.25">
      <c r="A76" s="1">
        <v>20515</v>
      </c>
      <c r="N76" s="2">
        <f>[8]m!$C78</f>
        <v>2.5</v>
      </c>
      <c r="Q76">
        <f>[5]m!$B78</f>
        <v>26.89</v>
      </c>
      <c r="S76">
        <f>[5]m!$Q78</f>
        <v>29.900000000000002</v>
      </c>
      <c r="T76">
        <f>[6]m!B78</f>
        <v>5914</v>
      </c>
      <c r="AB76" s="2">
        <f>[8]m!$C78</f>
        <v>2.5</v>
      </c>
      <c r="AC76" s="2">
        <f>[8]m!$F78</f>
        <v>2.96</v>
      </c>
      <c r="AF76" s="2">
        <f>[8]m!$AS78</f>
        <v>43.2</v>
      </c>
      <c r="AG76" s="2">
        <f>[8]m!$H78</f>
        <v>3.1</v>
      </c>
      <c r="AH76" s="2">
        <f>[8]m!$I78</f>
        <v>3.6</v>
      </c>
      <c r="AI76" s="2">
        <f>[7]m!C77</f>
        <v>1290</v>
      </c>
      <c r="AJ76" s="2">
        <f>[7]m!D77</f>
        <v>1063</v>
      </c>
      <c r="AK76" s="2"/>
      <c r="AL76" s="4">
        <f t="shared" si="0"/>
        <v>2224.3230174081245</v>
      </c>
      <c r="AN76" s="2">
        <v>45</v>
      </c>
    </row>
    <row r="77" spans="1:40" x14ac:dyDescent="0.25">
      <c r="A77" s="1">
        <v>20546</v>
      </c>
      <c r="N77" s="2">
        <f>[8]m!$C79</f>
        <v>2.62</v>
      </c>
      <c r="Q77">
        <f>[5]m!$B79</f>
        <v>26.93</v>
      </c>
      <c r="S77">
        <f>[5]m!$Q79</f>
        <v>30.1</v>
      </c>
      <c r="T77">
        <f>[6]m!B79</f>
        <v>-1305</v>
      </c>
      <c r="AB77" s="2">
        <f>[8]m!$C79</f>
        <v>2.62</v>
      </c>
      <c r="AC77" s="2">
        <f>[8]m!$F79</f>
        <v>3.18</v>
      </c>
      <c r="AF77" s="2">
        <f>[8]m!$AS79</f>
        <v>43.400000000000006</v>
      </c>
      <c r="AG77" s="2">
        <f>[8]m!$H79</f>
        <v>3.24</v>
      </c>
      <c r="AH77" s="2">
        <f>[8]m!$I79</f>
        <v>3.68</v>
      </c>
      <c r="AI77" s="2">
        <f>[7]m!C78</f>
        <v>1348</v>
      </c>
      <c r="AJ77" s="2">
        <f>[7]m!D78</f>
        <v>1034</v>
      </c>
      <c r="AK77" s="2"/>
      <c r="AL77" s="4">
        <f t="shared" si="0"/>
        <v>2224.3230174081245</v>
      </c>
      <c r="AN77" s="2">
        <v>45</v>
      </c>
    </row>
    <row r="78" spans="1:40" x14ac:dyDescent="0.25">
      <c r="A78" s="1">
        <v>20576</v>
      </c>
      <c r="N78" s="2">
        <f>[8]m!$C80</f>
        <v>2.75</v>
      </c>
      <c r="Q78">
        <f>[5]m!$B80</f>
        <v>27.03</v>
      </c>
      <c r="S78">
        <f>[5]m!$Q80</f>
        <v>30.3</v>
      </c>
      <c r="T78">
        <f>[6]m!B80</f>
        <v>-417</v>
      </c>
      <c r="AB78" s="2">
        <f>[8]m!$C80</f>
        <v>2.75</v>
      </c>
      <c r="AC78" s="2">
        <f>[8]m!$F80</f>
        <v>3.0700000000000003</v>
      </c>
      <c r="AF78" s="2">
        <f>[8]m!$AS80</f>
        <v>43.800000000000004</v>
      </c>
      <c r="AG78" s="2">
        <f>[8]m!$H80</f>
        <v>3.2800000000000002</v>
      </c>
      <c r="AH78" s="2">
        <f>[8]m!$I80</f>
        <v>3.73</v>
      </c>
      <c r="AI78" s="2">
        <f>[7]m!C79</f>
        <v>1394</v>
      </c>
      <c r="AJ78" s="2">
        <f>[7]m!D79</f>
        <v>1019</v>
      </c>
      <c r="AK78" s="2"/>
      <c r="AL78" s="4">
        <f t="shared" ref="AL78:AL141" si="1">AL79*AN78/AN79</f>
        <v>2224.3230174081245</v>
      </c>
      <c r="AN78" s="2">
        <v>45</v>
      </c>
    </row>
    <row r="79" spans="1:40" x14ac:dyDescent="0.25">
      <c r="A79" s="1">
        <v>20607</v>
      </c>
      <c r="N79" s="2">
        <f>[8]m!$C81</f>
        <v>2.71</v>
      </c>
      <c r="Q79">
        <f>[5]m!$B81</f>
        <v>27.150000000000002</v>
      </c>
      <c r="S79">
        <f>[5]m!$Q81</f>
        <v>30.3</v>
      </c>
      <c r="T79">
        <f>[6]m!B81</f>
        <v>4664</v>
      </c>
      <c r="AB79" s="2">
        <f>[8]m!$C81</f>
        <v>2.71</v>
      </c>
      <c r="AC79" s="2">
        <f>[8]m!$F81</f>
        <v>3</v>
      </c>
      <c r="AF79" s="2">
        <f>[8]m!$AS81</f>
        <v>44.1</v>
      </c>
      <c r="AG79" s="2">
        <f>[8]m!$H81</f>
        <v>3.2600000000000002</v>
      </c>
      <c r="AH79" s="2">
        <f>[8]m!$I81</f>
        <v>3.7600000000000002</v>
      </c>
      <c r="AI79" s="2">
        <f>[7]m!C80</f>
        <v>1413</v>
      </c>
      <c r="AJ79" s="2">
        <f>[7]m!D80</f>
        <v>1040</v>
      </c>
      <c r="AK79" s="2"/>
      <c r="AL79" s="4">
        <f t="shared" si="1"/>
        <v>2174.8936170212774</v>
      </c>
      <c r="AN79" s="2">
        <v>44</v>
      </c>
    </row>
    <row r="80" spans="1:40" x14ac:dyDescent="0.25">
      <c r="A80" s="1">
        <v>20637</v>
      </c>
      <c r="N80" s="2">
        <f>[8]m!$C82</f>
        <v>2.75</v>
      </c>
      <c r="Q80">
        <f>[5]m!$B82</f>
        <v>27.29</v>
      </c>
      <c r="S80">
        <f>[5]m!$Q82</f>
        <v>30.200000000000003</v>
      </c>
      <c r="T80">
        <f>[6]m!B82</f>
        <v>-2057</v>
      </c>
      <c r="AB80" s="2">
        <f>[8]m!$C82</f>
        <v>2.75</v>
      </c>
      <c r="AC80" s="2">
        <f>[8]m!$F82</f>
        <v>3.11</v>
      </c>
      <c r="AF80" s="2">
        <f>[8]m!$AS82</f>
        <v>44.2</v>
      </c>
      <c r="AG80" s="2">
        <f>[8]m!$H82</f>
        <v>3.2800000000000002</v>
      </c>
      <c r="AH80" s="2">
        <f>[8]m!$I82</f>
        <v>3.8000000000000003</v>
      </c>
      <c r="AI80" s="2">
        <f>[7]m!C81</f>
        <v>1442</v>
      </c>
      <c r="AJ80" s="2">
        <f>[7]m!D81</f>
        <v>1069</v>
      </c>
      <c r="AK80" s="2"/>
      <c r="AL80" s="4">
        <f t="shared" si="1"/>
        <v>2076.034816247583</v>
      </c>
      <c r="AN80" s="2">
        <v>42</v>
      </c>
    </row>
    <row r="81" spans="1:40" x14ac:dyDescent="0.25">
      <c r="A81" s="1">
        <v>20668</v>
      </c>
      <c r="N81" s="2">
        <f>[8]m!$C83</f>
        <v>2.73</v>
      </c>
      <c r="Q81">
        <f>[5]m!$B83</f>
        <v>27.310000000000002</v>
      </c>
      <c r="S81">
        <f>[5]m!$Q83</f>
        <v>30.400000000000002</v>
      </c>
      <c r="T81">
        <f>[6]m!B83</f>
        <v>-948</v>
      </c>
      <c r="AB81" s="2">
        <f>[8]m!$C83</f>
        <v>2.73</v>
      </c>
      <c r="AC81" s="2">
        <f>[8]m!$F83</f>
        <v>3.33</v>
      </c>
      <c r="AF81" s="2">
        <f>[8]m!$AS83</f>
        <v>44.5</v>
      </c>
      <c r="AG81" s="2">
        <f>[8]m!$H83</f>
        <v>3.43</v>
      </c>
      <c r="AH81" s="2">
        <f>[8]m!$I83</f>
        <v>3.93</v>
      </c>
      <c r="AI81" s="2">
        <f>[7]m!C82</f>
        <v>1412</v>
      </c>
      <c r="AJ81" s="2">
        <f>[7]m!D82</f>
        <v>1063</v>
      </c>
      <c r="AK81" s="2"/>
      <c r="AL81" s="4">
        <f t="shared" si="1"/>
        <v>2125.4642166344302</v>
      </c>
      <c r="AN81" s="2">
        <v>43</v>
      </c>
    </row>
    <row r="82" spans="1:40" x14ac:dyDescent="0.25">
      <c r="A82" s="1">
        <v>20699</v>
      </c>
      <c r="N82" s="2">
        <f>[8]m!$C84</f>
        <v>2.95</v>
      </c>
      <c r="Q82">
        <f>[5]m!$B84</f>
        <v>27.35</v>
      </c>
      <c r="S82">
        <f>[5]m!$Q84</f>
        <v>30.6</v>
      </c>
      <c r="T82">
        <f>[6]m!B84</f>
        <v>1300</v>
      </c>
      <c r="AB82" s="2">
        <f>[8]m!$C84</f>
        <v>2.95</v>
      </c>
      <c r="AC82" s="2">
        <f>[8]m!$F84</f>
        <v>3.38</v>
      </c>
      <c r="AF82" s="2">
        <f>[8]m!$AS84</f>
        <v>44.800000000000004</v>
      </c>
      <c r="AG82" s="2">
        <f>[8]m!$H84</f>
        <v>3.56</v>
      </c>
      <c r="AH82" s="2">
        <f>[8]m!$I84</f>
        <v>4.07</v>
      </c>
      <c r="AI82" s="2">
        <f>[7]m!C83</f>
        <v>1454</v>
      </c>
      <c r="AJ82" s="2">
        <f>[7]m!D83</f>
        <v>1065</v>
      </c>
      <c r="AK82" s="2"/>
      <c r="AL82" s="4">
        <f t="shared" si="1"/>
        <v>2125.4642166344302</v>
      </c>
      <c r="AN82" s="2">
        <v>43</v>
      </c>
    </row>
    <row r="83" spans="1:40" x14ac:dyDescent="0.25">
      <c r="A83" s="1">
        <v>20729</v>
      </c>
      <c r="N83" s="2">
        <f>[8]m!$C85</f>
        <v>2.96</v>
      </c>
      <c r="Q83">
        <f>[5]m!$B85</f>
        <v>27.51</v>
      </c>
      <c r="S83">
        <f>[5]m!$Q85</f>
        <v>30.6</v>
      </c>
      <c r="T83">
        <f>[6]m!B85</f>
        <v>-2811</v>
      </c>
      <c r="AB83" s="2">
        <f>[8]m!$C85</f>
        <v>2.96</v>
      </c>
      <c r="AC83" s="2">
        <f>[8]m!$F85</f>
        <v>3.34</v>
      </c>
      <c r="AF83" s="2">
        <f>[8]m!$AS85</f>
        <v>44.900000000000006</v>
      </c>
      <c r="AG83" s="2">
        <f>[8]m!$H85</f>
        <v>3.59</v>
      </c>
      <c r="AH83" s="2">
        <f>[8]m!$I85</f>
        <v>4.17</v>
      </c>
      <c r="AI83" s="2">
        <f>[7]m!C84</f>
        <v>1586</v>
      </c>
      <c r="AJ83" s="2">
        <f>[7]m!D84</f>
        <v>1132</v>
      </c>
      <c r="AK83" s="2"/>
      <c r="AL83" s="4">
        <f t="shared" si="1"/>
        <v>2224.3230174081245</v>
      </c>
      <c r="AN83" s="2">
        <v>45</v>
      </c>
    </row>
    <row r="84" spans="1:40" x14ac:dyDescent="0.25">
      <c r="A84" s="1">
        <v>20760</v>
      </c>
      <c r="N84" s="2">
        <f>[8]m!$C86</f>
        <v>2.88</v>
      </c>
      <c r="Q84">
        <f>[5]m!$B86</f>
        <v>27.51</v>
      </c>
      <c r="S84">
        <f>[5]m!$Q86</f>
        <v>30.700000000000003</v>
      </c>
      <c r="T84">
        <f>[6]m!B86</f>
        <v>-912</v>
      </c>
      <c r="AB84" s="2">
        <f>[8]m!$C86</f>
        <v>2.88</v>
      </c>
      <c r="AC84" s="2">
        <f>[8]m!$F86</f>
        <v>3.49</v>
      </c>
      <c r="AF84" s="2">
        <f>[8]m!$AS86</f>
        <v>45.400000000000006</v>
      </c>
      <c r="AG84" s="2">
        <f>[8]m!$H86</f>
        <v>3.69</v>
      </c>
      <c r="AH84" s="2">
        <f>[8]m!$I86</f>
        <v>4.24</v>
      </c>
      <c r="AI84" s="2">
        <f>[7]m!C85</f>
        <v>1509</v>
      </c>
      <c r="AJ84" s="2">
        <f>[7]m!D85</f>
        <v>1055</v>
      </c>
      <c r="AK84" s="2"/>
      <c r="AL84" s="4">
        <f t="shared" si="1"/>
        <v>2224.3230174081245</v>
      </c>
      <c r="AN84" s="2">
        <v>45</v>
      </c>
    </row>
    <row r="85" spans="1:40" x14ac:dyDescent="0.25">
      <c r="A85" s="1">
        <v>20790</v>
      </c>
      <c r="N85" s="2">
        <f>[8]m!$C87</f>
        <v>2.94</v>
      </c>
      <c r="Q85">
        <f>[5]m!$B87</f>
        <v>27.63</v>
      </c>
      <c r="S85">
        <f>[5]m!$Q87</f>
        <v>30.8</v>
      </c>
      <c r="T85">
        <f>[6]m!B87</f>
        <v>-306</v>
      </c>
      <c r="AB85" s="2">
        <f>[8]m!$C87</f>
        <v>2.94</v>
      </c>
      <c r="AC85" s="2">
        <f>[8]m!$F87</f>
        <v>3.59</v>
      </c>
      <c r="AF85" s="2">
        <f>[8]m!$AS87</f>
        <v>45.400000000000006</v>
      </c>
      <c r="AG85" s="2">
        <f>[8]m!$H87</f>
        <v>3.75</v>
      </c>
      <c r="AH85" s="2">
        <f>[8]m!$I87</f>
        <v>4.37</v>
      </c>
      <c r="AI85" s="2">
        <f>[7]m!C86</f>
        <v>1360</v>
      </c>
      <c r="AJ85" s="2">
        <f>[7]m!D86</f>
        <v>969</v>
      </c>
      <c r="AK85" s="2"/>
      <c r="AL85" s="4">
        <f t="shared" si="1"/>
        <v>2125.4642166344302</v>
      </c>
      <c r="AN85" s="2">
        <v>43</v>
      </c>
    </row>
    <row r="86" spans="1:40" x14ac:dyDescent="0.25">
      <c r="A86" s="1">
        <v>20821</v>
      </c>
      <c r="N86" s="2">
        <f>[8]m!$C88</f>
        <v>2.84</v>
      </c>
      <c r="Q86">
        <f>[5]m!$B88</f>
        <v>27.67</v>
      </c>
      <c r="R86">
        <f>[5]m!$D88</f>
        <v>28.5</v>
      </c>
      <c r="S86">
        <f>[5]m!$Q88</f>
        <v>31</v>
      </c>
      <c r="T86">
        <f>[6]m!B88</f>
        <v>-1286</v>
      </c>
      <c r="AB86" s="2">
        <f>[8]m!$C88</f>
        <v>2.84</v>
      </c>
      <c r="AC86" s="2">
        <f>[8]m!$F88</f>
        <v>3.46</v>
      </c>
      <c r="AF86" s="2">
        <f>[8]m!$AS88</f>
        <v>45.7</v>
      </c>
      <c r="AG86" s="2">
        <f>[8]m!$H88</f>
        <v>3.77</v>
      </c>
      <c r="AH86" s="2">
        <f>[8]m!$I88</f>
        <v>4.49</v>
      </c>
      <c r="AI86" s="2">
        <f>[7]m!C87</f>
        <v>1836</v>
      </c>
      <c r="AJ86" s="2">
        <f>[7]m!D87</f>
        <v>1050</v>
      </c>
      <c r="AK86" s="2"/>
      <c r="AL86" s="4">
        <f t="shared" si="1"/>
        <v>2224.3230174081245</v>
      </c>
      <c r="AN86" s="2">
        <v>45</v>
      </c>
    </row>
    <row r="87" spans="1:40" x14ac:dyDescent="0.25">
      <c r="A87" s="1">
        <v>20852</v>
      </c>
      <c r="N87" s="2">
        <f>[8]m!$C89</f>
        <v>3</v>
      </c>
      <c r="Q87">
        <f>[5]m!$B89</f>
        <v>27.8</v>
      </c>
      <c r="R87">
        <f>[5]m!$D89</f>
        <v>28.6</v>
      </c>
      <c r="S87">
        <f>[5]m!$Q89</f>
        <v>31</v>
      </c>
      <c r="T87">
        <f>[6]m!B89</f>
        <v>445</v>
      </c>
      <c r="AB87" s="2">
        <f>[8]m!$C89</f>
        <v>3</v>
      </c>
      <c r="AC87" s="2">
        <f>[8]m!$F89</f>
        <v>3.34</v>
      </c>
      <c r="AF87" s="2">
        <f>[8]m!$AS89</f>
        <v>46</v>
      </c>
      <c r="AG87" s="2">
        <f>[8]m!$H89</f>
        <v>3.67</v>
      </c>
      <c r="AH87" s="2">
        <f>[8]m!$I89</f>
        <v>4.47</v>
      </c>
      <c r="AI87" s="2">
        <f>[7]m!C88</f>
        <v>1653</v>
      </c>
      <c r="AJ87" s="2">
        <f>[7]m!D88</f>
        <v>1057</v>
      </c>
      <c r="AK87" s="2"/>
      <c r="AL87" s="4">
        <f t="shared" si="1"/>
        <v>2125.4642166344302</v>
      </c>
      <c r="AN87" s="2">
        <v>43</v>
      </c>
    </row>
    <row r="88" spans="1:40" x14ac:dyDescent="0.25">
      <c r="A88" s="1">
        <v>20880</v>
      </c>
      <c r="N88" s="2">
        <f>[8]m!$C90</f>
        <v>2.96</v>
      </c>
      <c r="Q88">
        <f>[5]m!$B90</f>
        <v>27.86</v>
      </c>
      <c r="R88">
        <f>[5]m!$D90</f>
        <v>28.7</v>
      </c>
      <c r="S88">
        <f>[5]m!$Q90</f>
        <v>31</v>
      </c>
      <c r="T88">
        <f>[6]m!B90</f>
        <v>5153</v>
      </c>
      <c r="AB88" s="2">
        <f>[8]m!$C90</f>
        <v>2.96</v>
      </c>
      <c r="AC88" s="2">
        <f>[8]m!$F90</f>
        <v>3.41</v>
      </c>
      <c r="AF88" s="2">
        <f>[8]m!$AS90</f>
        <v>46.2</v>
      </c>
      <c r="AG88" s="2">
        <f>[8]m!$H90</f>
        <v>3.66</v>
      </c>
      <c r="AH88" s="2">
        <f>[8]m!$I90</f>
        <v>4.43</v>
      </c>
      <c r="AI88" s="2">
        <f>[7]m!C89</f>
        <v>1577</v>
      </c>
      <c r="AJ88" s="2">
        <f>[7]m!D89</f>
        <v>1056</v>
      </c>
      <c r="AK88" s="2"/>
      <c r="AL88" s="4">
        <f t="shared" si="1"/>
        <v>2076.034816247583</v>
      </c>
      <c r="AN88" s="2">
        <v>42</v>
      </c>
    </row>
    <row r="89" spans="1:40" x14ac:dyDescent="0.25">
      <c r="A89" s="1">
        <v>20911</v>
      </c>
      <c r="N89" s="2">
        <f>[8]m!$C91</f>
        <v>3</v>
      </c>
      <c r="Q89">
        <f>[5]m!$B91</f>
        <v>27.93</v>
      </c>
      <c r="R89">
        <f>[5]m!$D91</f>
        <v>28.8</v>
      </c>
      <c r="S89">
        <f>[5]m!$Q91</f>
        <v>31.1</v>
      </c>
      <c r="T89">
        <f>[6]m!B91</f>
        <v>-1731</v>
      </c>
      <c r="AB89" s="2">
        <f>[8]m!$C91</f>
        <v>3</v>
      </c>
      <c r="AC89" s="2">
        <f>[8]m!$F91</f>
        <v>3.48</v>
      </c>
      <c r="AF89" s="2">
        <f>[8]m!$AS91</f>
        <v>46.5</v>
      </c>
      <c r="AG89" s="2">
        <f>[8]m!$H91</f>
        <v>3.67</v>
      </c>
      <c r="AH89" s="2">
        <f>[8]m!$I91</f>
        <v>4.4400000000000004</v>
      </c>
      <c r="AI89" s="2">
        <f>[7]m!C90</f>
        <v>1881</v>
      </c>
      <c r="AJ89" s="2">
        <f>[7]m!D90</f>
        <v>1118</v>
      </c>
      <c r="AK89" s="2"/>
      <c r="AL89" s="4">
        <f t="shared" si="1"/>
        <v>1977.1760154738884</v>
      </c>
      <c r="AN89" s="2">
        <v>40</v>
      </c>
    </row>
    <row r="90" spans="1:40" x14ac:dyDescent="0.25">
      <c r="A90" s="1">
        <v>20941</v>
      </c>
      <c r="N90" s="2">
        <f>[8]m!$C92</f>
        <v>3</v>
      </c>
      <c r="Q90">
        <f>[5]m!$B92</f>
        <v>28</v>
      </c>
      <c r="R90">
        <f>[5]m!$D92</f>
        <v>28.8</v>
      </c>
      <c r="S90">
        <f>[5]m!$Q92</f>
        <v>31</v>
      </c>
      <c r="T90">
        <f>[6]m!B92</f>
        <v>-662</v>
      </c>
      <c r="AB90" s="2">
        <f>[8]m!$C92</f>
        <v>3</v>
      </c>
      <c r="AC90" s="2">
        <f>[8]m!$F92</f>
        <v>3.6</v>
      </c>
      <c r="AF90" s="2">
        <f>[8]m!$AS92</f>
        <v>46.800000000000004</v>
      </c>
      <c r="AG90" s="2">
        <f>[8]m!$H92</f>
        <v>3.74</v>
      </c>
      <c r="AH90" s="2">
        <f>[8]m!$I92</f>
        <v>4.5200000000000005</v>
      </c>
      <c r="AI90" s="2">
        <f>[7]m!C91</f>
        <v>1739</v>
      </c>
      <c r="AJ90" s="2">
        <f>[7]m!D91</f>
        <v>1100</v>
      </c>
      <c r="AK90" s="2"/>
      <c r="AL90" s="4">
        <f t="shared" si="1"/>
        <v>1977.1760154738884</v>
      </c>
      <c r="AN90" s="2">
        <v>40</v>
      </c>
    </row>
    <row r="91" spans="1:40" x14ac:dyDescent="0.25">
      <c r="A91" s="1">
        <v>20972</v>
      </c>
      <c r="N91" s="2">
        <f>[8]m!$C93</f>
        <v>3</v>
      </c>
      <c r="Q91">
        <f>[5]m!$B93</f>
        <v>28.11</v>
      </c>
      <c r="R91">
        <f>[5]m!$D93</f>
        <v>28.900000000000002</v>
      </c>
      <c r="S91">
        <f>[5]m!$Q93</f>
        <v>31.1</v>
      </c>
      <c r="T91">
        <f>[6]m!B93</f>
        <v>5409</v>
      </c>
      <c r="AB91" s="2">
        <f>[8]m!$C93</f>
        <v>3</v>
      </c>
      <c r="AC91" s="2">
        <f>[8]m!$F93</f>
        <v>3.8000000000000003</v>
      </c>
      <c r="AF91" s="2">
        <f>[8]m!$AS93</f>
        <v>47</v>
      </c>
      <c r="AG91" s="2">
        <f>[8]m!$H93</f>
        <v>3.91</v>
      </c>
      <c r="AH91" s="2">
        <f>[8]m!$I93</f>
        <v>4.63</v>
      </c>
      <c r="AI91" s="2">
        <f>[7]m!C92</f>
        <v>1560</v>
      </c>
      <c r="AJ91" s="2">
        <f>[7]m!D92</f>
        <v>1060</v>
      </c>
      <c r="AK91" s="2"/>
      <c r="AL91" s="4">
        <f t="shared" si="1"/>
        <v>1878.3172147001942</v>
      </c>
      <c r="AN91" s="2">
        <v>38</v>
      </c>
    </row>
    <row r="92" spans="1:40" x14ac:dyDescent="0.25">
      <c r="A92" s="1">
        <v>21002</v>
      </c>
      <c r="N92" s="2">
        <f>[8]m!$C94</f>
        <v>2.99</v>
      </c>
      <c r="Q92">
        <f>[5]m!$B94</f>
        <v>28.19</v>
      </c>
      <c r="R92">
        <f>[5]m!$D94</f>
        <v>29</v>
      </c>
      <c r="S92">
        <f>[5]m!$Q94</f>
        <v>31.3</v>
      </c>
      <c r="T92">
        <f>[6]m!B94</f>
        <v>-3290</v>
      </c>
      <c r="AB92" s="2">
        <f>[8]m!$C94</f>
        <v>2.99</v>
      </c>
      <c r="AC92" s="2">
        <f>[8]m!$F94</f>
        <v>3.93</v>
      </c>
      <c r="AF92" s="2">
        <f>[8]m!$AS94</f>
        <v>47.400000000000006</v>
      </c>
      <c r="AG92" s="2">
        <f>[8]m!$H94</f>
        <v>3.99</v>
      </c>
      <c r="AH92" s="2">
        <f>[8]m!$I94</f>
        <v>4.7300000000000004</v>
      </c>
      <c r="AI92" s="2">
        <f>[7]m!C93</f>
        <v>1674</v>
      </c>
      <c r="AJ92" s="2">
        <f>[7]m!D93</f>
        <v>1058</v>
      </c>
      <c r="AK92" s="2"/>
      <c r="AL92" s="4">
        <f t="shared" si="1"/>
        <v>1927.7466150870412</v>
      </c>
      <c r="AN92" s="2">
        <v>39</v>
      </c>
    </row>
    <row r="93" spans="1:40" x14ac:dyDescent="0.25">
      <c r="A93" s="1">
        <v>21033</v>
      </c>
      <c r="N93" s="2">
        <f>[8]m!$C95</f>
        <v>3.24</v>
      </c>
      <c r="Q93">
        <f>[5]m!$B95</f>
        <v>28.28</v>
      </c>
      <c r="R93">
        <f>[5]m!$D95</f>
        <v>29</v>
      </c>
      <c r="S93">
        <f>[5]m!$Q95</f>
        <v>31.400000000000002</v>
      </c>
      <c r="T93">
        <f>[6]m!B95</f>
        <v>-802</v>
      </c>
      <c r="AB93" s="2">
        <f>[8]m!$C95</f>
        <v>3.24</v>
      </c>
      <c r="AC93" s="2">
        <f>[8]m!$F95</f>
        <v>3.93</v>
      </c>
      <c r="AF93" s="2">
        <f>[8]m!$AS95</f>
        <v>47.6</v>
      </c>
      <c r="AG93" s="2">
        <f>[8]m!$H95</f>
        <v>4.0999999999999996</v>
      </c>
      <c r="AH93" s="2">
        <f>[8]m!$I95</f>
        <v>4.82</v>
      </c>
      <c r="AI93" s="2">
        <f>[7]m!C94</f>
        <v>1617</v>
      </c>
      <c r="AJ93" s="2">
        <f>[7]m!D94</f>
        <v>1111</v>
      </c>
      <c r="AK93" s="2"/>
      <c r="AL93" s="4">
        <f t="shared" si="1"/>
        <v>1828.8878143133468</v>
      </c>
      <c r="AN93" s="2">
        <v>37</v>
      </c>
    </row>
    <row r="94" spans="1:40" x14ac:dyDescent="0.25">
      <c r="A94" s="1">
        <v>21064</v>
      </c>
      <c r="N94" s="2">
        <f>[8]m!$C96</f>
        <v>3.47</v>
      </c>
      <c r="Q94">
        <f>[5]m!$B96</f>
        <v>28.32</v>
      </c>
      <c r="R94">
        <f>[5]m!$D96</f>
        <v>29.1</v>
      </c>
      <c r="S94">
        <f>[5]m!$Q96</f>
        <v>31.3</v>
      </c>
      <c r="T94">
        <f>[6]m!B96</f>
        <v>1558</v>
      </c>
      <c r="AB94" s="2">
        <f>[8]m!$C96</f>
        <v>3.47</v>
      </c>
      <c r="AC94" s="2">
        <f>[8]m!$F96</f>
        <v>3.92</v>
      </c>
      <c r="AF94" s="2">
        <f>[8]m!$AS96</f>
        <v>47.7</v>
      </c>
      <c r="AG94" s="2">
        <f>[8]m!$H96</f>
        <v>4.12</v>
      </c>
      <c r="AH94" s="2">
        <f>[8]m!$I96</f>
        <v>4.93</v>
      </c>
      <c r="AI94" s="2">
        <f>[7]m!C95</f>
        <v>1617</v>
      </c>
      <c r="AJ94" s="2">
        <f>[7]m!D95</f>
        <v>1099</v>
      </c>
      <c r="AK94" s="2"/>
      <c r="AL94" s="4">
        <f t="shared" si="1"/>
        <v>1779.4584139264994</v>
      </c>
      <c r="AN94" s="2">
        <v>36</v>
      </c>
    </row>
    <row r="95" spans="1:40" x14ac:dyDescent="0.25">
      <c r="A95" s="1">
        <v>21094</v>
      </c>
      <c r="N95" s="2">
        <f>[8]m!$C97</f>
        <v>3.5</v>
      </c>
      <c r="Q95">
        <f>[5]m!$B97</f>
        <v>28.32</v>
      </c>
      <c r="R95">
        <f>[5]m!$D97</f>
        <v>29.2</v>
      </c>
      <c r="S95">
        <f>[5]m!$Q97</f>
        <v>31.200000000000003</v>
      </c>
      <c r="T95">
        <f>[6]m!B97</f>
        <v>-3370</v>
      </c>
      <c r="AB95" s="2">
        <f>[8]m!$C97</f>
        <v>3.5</v>
      </c>
      <c r="AC95" s="2">
        <f>[8]m!$F97</f>
        <v>3.97</v>
      </c>
      <c r="AF95" s="2">
        <f>[8]m!$AS97</f>
        <v>47.900000000000006</v>
      </c>
      <c r="AG95" s="2">
        <f>[8]m!$H97</f>
        <v>4.0999999999999996</v>
      </c>
      <c r="AH95" s="2">
        <f>[8]m!$I97</f>
        <v>4.99</v>
      </c>
      <c r="AI95" s="2">
        <f>[7]m!C96</f>
        <v>1605</v>
      </c>
      <c r="AJ95" s="2">
        <f>[7]m!D96</f>
        <v>1074</v>
      </c>
      <c r="AK95" s="2"/>
      <c r="AL95" s="4">
        <f t="shared" si="1"/>
        <v>1680.599613152805</v>
      </c>
      <c r="AN95" s="2">
        <v>34</v>
      </c>
    </row>
    <row r="96" spans="1:40" x14ac:dyDescent="0.25">
      <c r="A96" s="1">
        <v>21125</v>
      </c>
      <c r="N96" s="2">
        <f>[8]m!$C98</f>
        <v>3.2800000000000002</v>
      </c>
      <c r="Q96">
        <f>[5]m!$B98</f>
        <v>28.41</v>
      </c>
      <c r="R96">
        <f>[5]m!$D98</f>
        <v>29.3</v>
      </c>
      <c r="S96">
        <f>[5]m!$Q98</f>
        <v>31.3</v>
      </c>
      <c r="T96">
        <f>[6]m!B98</f>
        <v>-979</v>
      </c>
      <c r="AB96" s="2">
        <f>[8]m!$C98</f>
        <v>3.2800000000000002</v>
      </c>
      <c r="AC96" s="2">
        <f>[8]m!$F98</f>
        <v>3.72</v>
      </c>
      <c r="AF96" s="2">
        <f>[8]m!$AS98</f>
        <v>48</v>
      </c>
      <c r="AG96" s="2">
        <f>[8]m!$H98</f>
        <v>4.08</v>
      </c>
      <c r="AH96" s="2">
        <f>[8]m!$I98</f>
        <v>5.09</v>
      </c>
      <c r="AI96" s="2">
        <f>[7]m!C97</f>
        <v>1546</v>
      </c>
      <c r="AJ96" s="2">
        <f>[7]m!D97</f>
        <v>1086</v>
      </c>
      <c r="AK96" s="2"/>
      <c r="AL96" s="4">
        <f t="shared" si="1"/>
        <v>1482.8820116054162</v>
      </c>
      <c r="AN96" s="2">
        <v>30</v>
      </c>
    </row>
    <row r="97" spans="1:40" x14ac:dyDescent="0.25">
      <c r="A97" s="1">
        <v>21155</v>
      </c>
      <c r="N97" s="2">
        <f>[8]m!$C99</f>
        <v>2.98</v>
      </c>
      <c r="Q97">
        <f>[5]m!$B99</f>
        <v>28.47</v>
      </c>
      <c r="R97">
        <f>[5]m!$D99</f>
        <v>29.3</v>
      </c>
      <c r="S97">
        <f>[5]m!$Q99</f>
        <v>31.400000000000002</v>
      </c>
      <c r="T97">
        <f>[6]m!B99</f>
        <v>147</v>
      </c>
      <c r="AB97" s="2">
        <f>[8]m!$C99</f>
        <v>2.98</v>
      </c>
      <c r="AC97" s="2">
        <f>[8]m!$F99</f>
        <v>3.21</v>
      </c>
      <c r="AF97" s="2">
        <f>[8]m!$AS99</f>
        <v>48.1</v>
      </c>
      <c r="AG97" s="2">
        <f>[8]m!$H99</f>
        <v>3.81</v>
      </c>
      <c r="AH97" s="2">
        <f>[8]m!$I99</f>
        <v>5.03</v>
      </c>
      <c r="AI97" s="2">
        <f>[7]m!C98</f>
        <v>1534</v>
      </c>
      <c r="AJ97" s="2">
        <f>[7]m!D98</f>
        <v>1065</v>
      </c>
      <c r="AK97" s="2"/>
      <c r="AL97" s="4">
        <f t="shared" si="1"/>
        <v>1433.452611218569</v>
      </c>
      <c r="AN97" s="2">
        <v>29</v>
      </c>
    </row>
    <row r="98" spans="1:40" x14ac:dyDescent="0.25">
      <c r="A98" s="1">
        <v>21186</v>
      </c>
      <c r="N98" s="2">
        <f>[8]m!$C100</f>
        <v>2.72</v>
      </c>
      <c r="Q98">
        <f>[5]m!$B100</f>
        <v>28.64</v>
      </c>
      <c r="R98">
        <f>[5]m!$D100</f>
        <v>29.3</v>
      </c>
      <c r="S98">
        <f>[5]m!$Q100</f>
        <v>31.5</v>
      </c>
      <c r="T98">
        <f>[6]m!B100</f>
        <v>-1225</v>
      </c>
      <c r="AB98" s="2">
        <f>[8]m!$C100</f>
        <v>2.72</v>
      </c>
      <c r="AC98" s="2">
        <f>[8]m!$F100</f>
        <v>3.09</v>
      </c>
      <c r="AF98" s="2">
        <f>[8]m!$AS100</f>
        <v>48.300000000000004</v>
      </c>
      <c r="AG98" s="2">
        <f>[8]m!$H100</f>
        <v>3.6</v>
      </c>
      <c r="AH98" s="2">
        <f>[8]m!$I100</f>
        <v>4.83</v>
      </c>
      <c r="AI98" s="2">
        <f>[7]m!C99</f>
        <v>1493</v>
      </c>
      <c r="AJ98" s="2">
        <f>[7]m!D99</f>
        <v>1080</v>
      </c>
      <c r="AK98" s="2"/>
      <c r="AL98" s="4">
        <f t="shared" si="1"/>
        <v>1384.0232108317218</v>
      </c>
      <c r="AN98" s="2">
        <v>28</v>
      </c>
    </row>
    <row r="99" spans="1:40" x14ac:dyDescent="0.25">
      <c r="A99" s="1">
        <v>21217</v>
      </c>
      <c r="N99" s="2">
        <f>[8]m!$C101</f>
        <v>1.67</v>
      </c>
      <c r="Q99">
        <f>[5]m!$B101</f>
        <v>28.7</v>
      </c>
      <c r="R99">
        <f>[5]m!$D101</f>
        <v>29.400000000000002</v>
      </c>
      <c r="S99">
        <f>[5]m!$Q101</f>
        <v>31.5</v>
      </c>
      <c r="T99">
        <f>[6]m!B101</f>
        <v>771</v>
      </c>
      <c r="AB99" s="2">
        <f>[8]m!$C101</f>
        <v>1.67</v>
      </c>
      <c r="AC99" s="2">
        <f>[8]m!$F101</f>
        <v>3.0500000000000003</v>
      </c>
      <c r="AF99" s="2">
        <f>[8]m!$AS101</f>
        <v>48.1</v>
      </c>
      <c r="AG99" s="2">
        <f>[8]m!$H101</f>
        <v>3.59</v>
      </c>
      <c r="AH99" s="2">
        <f>[8]m!$I101</f>
        <v>4.66</v>
      </c>
      <c r="AI99" s="2">
        <f>[7]m!C100</f>
        <v>1423</v>
      </c>
      <c r="AJ99" s="2">
        <f>[7]m!D100</f>
        <v>1053</v>
      </c>
      <c r="AK99" s="2"/>
      <c r="AL99" s="4">
        <f t="shared" si="1"/>
        <v>1285.1644100580274</v>
      </c>
      <c r="AN99" s="2">
        <v>26</v>
      </c>
    </row>
    <row r="100" spans="1:40" x14ac:dyDescent="0.25">
      <c r="A100" s="1">
        <v>21245</v>
      </c>
      <c r="N100" s="2">
        <f>[8]m!$C102</f>
        <v>1.2</v>
      </c>
      <c r="Q100">
        <f>[5]m!$B102</f>
        <v>28.87</v>
      </c>
      <c r="R100">
        <f>[5]m!$D102</f>
        <v>29.5</v>
      </c>
      <c r="S100">
        <f>[5]m!$Q102</f>
        <v>31.700000000000003</v>
      </c>
      <c r="T100">
        <f>[6]m!B102</f>
        <v>3752</v>
      </c>
      <c r="AB100" s="2">
        <f>[8]m!$C102</f>
        <v>1.2</v>
      </c>
      <c r="AC100" s="2">
        <f>[8]m!$F102</f>
        <v>2.98</v>
      </c>
      <c r="AF100" s="2">
        <f>[8]m!$AS102</f>
        <v>47.800000000000004</v>
      </c>
      <c r="AG100" s="2">
        <f>[8]m!$H102</f>
        <v>3.63</v>
      </c>
      <c r="AH100" s="2">
        <f>[8]m!$I102</f>
        <v>4.68</v>
      </c>
      <c r="AI100" s="2">
        <f>[7]m!C101</f>
        <v>1322</v>
      </c>
      <c r="AJ100" s="2">
        <f>[7]m!D101</f>
        <v>1022</v>
      </c>
      <c r="AK100" s="2"/>
      <c r="AL100" s="4">
        <f t="shared" si="1"/>
        <v>1235.7350096711803</v>
      </c>
      <c r="AN100" s="2">
        <v>25</v>
      </c>
    </row>
    <row r="101" spans="1:40" x14ac:dyDescent="0.25">
      <c r="A101" s="1">
        <v>21276</v>
      </c>
      <c r="N101" s="2">
        <f>[8]m!$C103</f>
        <v>1.26</v>
      </c>
      <c r="Q101">
        <f>[5]m!$B103</f>
        <v>28.94</v>
      </c>
      <c r="R101">
        <f>[5]m!$D103</f>
        <v>29.5</v>
      </c>
      <c r="S101">
        <f>[5]m!$Q103</f>
        <v>31.6</v>
      </c>
      <c r="T101">
        <f>[6]m!B103</f>
        <v>-2626</v>
      </c>
      <c r="AB101" s="2">
        <f>[8]m!$C103</f>
        <v>1.26</v>
      </c>
      <c r="AC101" s="2">
        <f>[8]m!$F103</f>
        <v>2.88</v>
      </c>
      <c r="AF101" s="2">
        <f>[8]m!$AS103</f>
        <v>47.7</v>
      </c>
      <c r="AG101" s="2">
        <f>[8]m!$H103</f>
        <v>3.6</v>
      </c>
      <c r="AH101" s="2">
        <f>[8]m!$I103</f>
        <v>4.67</v>
      </c>
      <c r="AI101" s="2">
        <f>[7]m!C102</f>
        <v>1385</v>
      </c>
      <c r="AJ101" s="2">
        <f>[7]m!D102</f>
        <v>1051</v>
      </c>
      <c r="AK101" s="2"/>
      <c r="AL101" s="4">
        <f t="shared" si="1"/>
        <v>1186.3056092843331</v>
      </c>
      <c r="AN101" s="2">
        <v>24</v>
      </c>
    </row>
    <row r="102" spans="1:40" x14ac:dyDescent="0.25">
      <c r="A102" s="1">
        <v>21306</v>
      </c>
      <c r="N102" s="2">
        <f>[8]m!$C104</f>
        <v>0.63</v>
      </c>
      <c r="Q102">
        <f>[5]m!$B104</f>
        <v>28.94</v>
      </c>
      <c r="R102">
        <f>[5]m!$D104</f>
        <v>29.5</v>
      </c>
      <c r="S102">
        <f>[5]m!$Q104</f>
        <v>31.700000000000003</v>
      </c>
      <c r="T102">
        <f>[6]m!B104</f>
        <v>-921</v>
      </c>
      <c r="AB102" s="2">
        <f>[8]m!$C104</f>
        <v>0.63</v>
      </c>
      <c r="AC102" s="2">
        <f>[8]m!$F104</f>
        <v>2.92</v>
      </c>
      <c r="AF102" s="2">
        <f>[8]m!$AS104</f>
        <v>47.6</v>
      </c>
      <c r="AG102" s="2">
        <f>[8]m!$H104</f>
        <v>3.5700000000000003</v>
      </c>
      <c r="AH102" s="2">
        <f>[8]m!$I104</f>
        <v>4.62</v>
      </c>
      <c r="AI102" s="2">
        <f>[7]m!C103</f>
        <v>1364</v>
      </c>
      <c r="AJ102" s="2">
        <f>[7]m!D103</f>
        <v>1051</v>
      </c>
      <c r="AK102" s="2"/>
      <c r="AL102" s="4">
        <f t="shared" si="1"/>
        <v>1186.3056092843331</v>
      </c>
      <c r="AN102" s="2">
        <v>24</v>
      </c>
    </row>
    <row r="103" spans="1:40" x14ac:dyDescent="0.25">
      <c r="A103" s="1">
        <v>21337</v>
      </c>
      <c r="N103" s="2">
        <f>[8]m!$C105</f>
        <v>0.93</v>
      </c>
      <c r="Q103">
        <f>[5]m!$B105</f>
        <v>28.91</v>
      </c>
      <c r="R103">
        <f>[5]m!$D105</f>
        <v>29.6</v>
      </c>
      <c r="S103">
        <f>[5]m!$Q105</f>
        <v>31.6</v>
      </c>
      <c r="T103">
        <f>[6]m!B105</f>
        <v>4164</v>
      </c>
      <c r="AB103" s="2">
        <f>[8]m!$C105</f>
        <v>0.93</v>
      </c>
      <c r="AC103" s="2">
        <f>[8]m!$F105</f>
        <v>2.97</v>
      </c>
      <c r="AF103" s="2">
        <f>[8]m!$AS105</f>
        <v>47.5</v>
      </c>
      <c r="AG103" s="2">
        <f>[8]m!$H105</f>
        <v>3.5700000000000003</v>
      </c>
      <c r="AH103" s="2">
        <f>[8]m!$I105</f>
        <v>4.55</v>
      </c>
      <c r="AI103" s="2">
        <f>[7]m!C104</f>
        <v>1379</v>
      </c>
      <c r="AJ103" s="2">
        <f>[7]m!D104</f>
        <v>1066</v>
      </c>
      <c r="AK103" s="2"/>
      <c r="AL103" s="4">
        <f t="shared" si="1"/>
        <v>1235.7350096711803</v>
      </c>
      <c r="AN103" s="2">
        <v>25</v>
      </c>
    </row>
    <row r="104" spans="1:40" x14ac:dyDescent="0.25">
      <c r="A104" s="1">
        <v>21367</v>
      </c>
      <c r="N104" s="2">
        <f>[8]m!$C106</f>
        <v>0.68</v>
      </c>
      <c r="Q104">
        <f>[5]m!$B106</f>
        <v>28.89</v>
      </c>
      <c r="R104">
        <f>[5]m!$D106</f>
        <v>29.6</v>
      </c>
      <c r="S104">
        <f>[5]m!$Q106</f>
        <v>31.6</v>
      </c>
      <c r="T104">
        <f>[6]m!B106</f>
        <v>-3667</v>
      </c>
      <c r="AB104" s="2">
        <f>[8]m!$C106</f>
        <v>0.68</v>
      </c>
      <c r="AC104" s="2">
        <f>[8]m!$F106</f>
        <v>3.2</v>
      </c>
      <c r="AF104" s="2">
        <f>[8]m!$AS106</f>
        <v>47.6</v>
      </c>
      <c r="AG104" s="2">
        <f>[8]m!$H106</f>
        <v>3.67</v>
      </c>
      <c r="AH104" s="2">
        <f>[8]m!$I106</f>
        <v>4.53</v>
      </c>
      <c r="AI104" s="2">
        <f>[7]m!C105</f>
        <v>1337</v>
      </c>
      <c r="AJ104" s="2">
        <f>[7]m!D105</f>
        <v>1037</v>
      </c>
      <c r="AK104" s="2"/>
      <c r="AL104" s="4">
        <f t="shared" si="1"/>
        <v>1285.1644100580274</v>
      </c>
      <c r="AN104" s="2">
        <v>26</v>
      </c>
    </row>
    <row r="105" spans="1:40" x14ac:dyDescent="0.25">
      <c r="A105" s="1">
        <v>21398</v>
      </c>
      <c r="N105" s="2">
        <f>[8]m!$C107</f>
        <v>1.53</v>
      </c>
      <c r="Q105">
        <f>[5]m!$B107</f>
        <v>28.94</v>
      </c>
      <c r="R105">
        <f>[5]m!$D107</f>
        <v>29.6</v>
      </c>
      <c r="S105">
        <f>[5]m!$Q107</f>
        <v>31.6</v>
      </c>
      <c r="T105">
        <f>[6]m!B107</f>
        <v>-1360</v>
      </c>
      <c r="AB105" s="2">
        <f>[8]m!$C107</f>
        <v>1.53</v>
      </c>
      <c r="AC105" s="2">
        <f>[8]m!$F107</f>
        <v>3.54</v>
      </c>
      <c r="AF105" s="2">
        <f>[8]m!$AS107</f>
        <v>47.6</v>
      </c>
      <c r="AG105" s="2">
        <f>[8]m!$H107</f>
        <v>3.85</v>
      </c>
      <c r="AH105" s="2">
        <f>[8]m!$I107</f>
        <v>4.67</v>
      </c>
      <c r="AI105" s="2">
        <f>[7]m!C106</f>
        <v>1361</v>
      </c>
      <c r="AJ105" s="2">
        <f>[7]m!D106</f>
        <v>1023</v>
      </c>
      <c r="AK105" s="2"/>
      <c r="AL105" s="4">
        <f t="shared" si="1"/>
        <v>1334.5938104448746</v>
      </c>
      <c r="AN105" s="2">
        <v>27</v>
      </c>
    </row>
    <row r="106" spans="1:40" x14ac:dyDescent="0.25">
      <c r="A106" s="1">
        <v>21429</v>
      </c>
      <c r="N106" s="2">
        <f>[8]m!$C108</f>
        <v>1.76</v>
      </c>
      <c r="Q106">
        <f>[5]m!$B108</f>
        <v>28.91</v>
      </c>
      <c r="R106">
        <f>[5]m!$D108</f>
        <v>29.7</v>
      </c>
      <c r="S106">
        <f>[5]m!$Q108</f>
        <v>31.6</v>
      </c>
      <c r="T106">
        <f>[6]m!B108</f>
        <v>575</v>
      </c>
      <c r="AB106" s="2">
        <f>[8]m!$C108</f>
        <v>1.76</v>
      </c>
      <c r="AC106" s="2">
        <f>[8]m!$F108</f>
        <v>3.7600000000000002</v>
      </c>
      <c r="AF106" s="2">
        <f>[8]m!$AS108</f>
        <v>47.7</v>
      </c>
      <c r="AG106" s="2">
        <f>[8]m!$H108</f>
        <v>4.09</v>
      </c>
      <c r="AH106" s="2">
        <f>[8]m!$I108</f>
        <v>4.87</v>
      </c>
      <c r="AI106" s="2">
        <f>[7]m!C107</f>
        <v>1365</v>
      </c>
      <c r="AJ106" s="2">
        <f>[7]m!D107</f>
        <v>1046</v>
      </c>
      <c r="AK106" s="2"/>
      <c r="AL106" s="4">
        <f t="shared" si="1"/>
        <v>1433.452611218569</v>
      </c>
      <c r="AN106" s="2">
        <v>29</v>
      </c>
    </row>
    <row r="107" spans="1:40" x14ac:dyDescent="0.25">
      <c r="A107" s="1">
        <v>21459</v>
      </c>
      <c r="N107" s="2">
        <f>[8]m!$C109</f>
        <v>1.8</v>
      </c>
      <c r="Q107">
        <f>[5]m!$B109</f>
        <v>28.91</v>
      </c>
      <c r="R107">
        <f>[5]m!$D109</f>
        <v>29.7</v>
      </c>
      <c r="S107">
        <f>[5]m!$Q109</f>
        <v>31.5</v>
      </c>
      <c r="T107">
        <f>[6]m!B109</f>
        <v>-4375</v>
      </c>
      <c r="AB107" s="2">
        <f>[8]m!$C109</f>
        <v>1.8</v>
      </c>
      <c r="AC107" s="2">
        <f>[8]m!$F109</f>
        <v>3.8000000000000003</v>
      </c>
      <c r="AF107" s="2">
        <f>[8]m!$AS109</f>
        <v>47.800000000000004</v>
      </c>
      <c r="AG107" s="2">
        <f>[8]m!$H109</f>
        <v>4.1100000000000003</v>
      </c>
      <c r="AH107" s="2">
        <f>[8]m!$I109</f>
        <v>4.92</v>
      </c>
      <c r="AI107" s="2">
        <f>[7]m!C108</f>
        <v>1354</v>
      </c>
      <c r="AJ107" s="2">
        <f>[7]m!D108</f>
        <v>1083</v>
      </c>
      <c r="AK107" s="2"/>
      <c r="AL107" s="4">
        <f t="shared" si="1"/>
        <v>1433.4526112185692</v>
      </c>
      <c r="AN107" s="2">
        <v>29</v>
      </c>
    </row>
    <row r="108" spans="1:40" x14ac:dyDescent="0.25">
      <c r="A108" s="1">
        <v>21490</v>
      </c>
      <c r="N108" s="2">
        <f>[8]m!$C110</f>
        <v>2.27</v>
      </c>
      <c r="Q108">
        <f>[5]m!$B110</f>
        <v>28.95</v>
      </c>
      <c r="R108">
        <f>[5]m!$D110</f>
        <v>29.8</v>
      </c>
      <c r="S108">
        <f>[5]m!$Q110</f>
        <v>31.6</v>
      </c>
      <c r="T108">
        <f>[6]m!B110</f>
        <v>-1275</v>
      </c>
      <c r="AB108" s="2">
        <f>[8]m!$C110</f>
        <v>2.27</v>
      </c>
      <c r="AC108" s="2">
        <f>[8]m!$F110</f>
        <v>3.74</v>
      </c>
      <c r="AF108" s="2">
        <f>[8]m!$AS110</f>
        <v>48</v>
      </c>
      <c r="AG108" s="2">
        <f>[8]m!$H110</f>
        <v>4.09</v>
      </c>
      <c r="AH108" s="2">
        <f>[8]m!$I110</f>
        <v>4.87</v>
      </c>
      <c r="AI108" s="2">
        <f>[7]m!C109</f>
        <v>1349</v>
      </c>
      <c r="AJ108" s="2">
        <f>[7]m!D109</f>
        <v>1091</v>
      </c>
      <c r="AK108" s="2"/>
      <c r="AL108" s="4">
        <f t="shared" si="1"/>
        <v>1482.8820116054164</v>
      </c>
      <c r="AN108" s="2">
        <v>30</v>
      </c>
    </row>
    <row r="109" spans="1:40" x14ac:dyDescent="0.25">
      <c r="A109" s="1">
        <v>21520</v>
      </c>
      <c r="N109" s="2">
        <f>[8]m!$C111</f>
        <v>2.42</v>
      </c>
      <c r="Q109">
        <f>[5]m!$B111</f>
        <v>28.97</v>
      </c>
      <c r="R109">
        <f>[5]m!$D111</f>
        <v>29.900000000000002</v>
      </c>
      <c r="S109">
        <f>[5]m!$Q111</f>
        <v>31.6</v>
      </c>
      <c r="T109">
        <f>[6]m!B111</f>
        <v>-900</v>
      </c>
      <c r="AB109" s="2">
        <f>[8]m!$C111</f>
        <v>2.42</v>
      </c>
      <c r="AC109" s="2">
        <f>[8]m!$F111</f>
        <v>3.86</v>
      </c>
      <c r="AF109" s="2">
        <f>[8]m!$AS111</f>
        <v>48.400000000000006</v>
      </c>
      <c r="AG109" s="2">
        <f>[8]m!$H111</f>
        <v>4.08</v>
      </c>
      <c r="AH109" s="2">
        <f>[8]m!$I111</f>
        <v>4.8500000000000005</v>
      </c>
      <c r="AI109" s="2">
        <f>[7]m!C110</f>
        <v>1401</v>
      </c>
      <c r="AJ109" s="2">
        <f>[7]m!D110</f>
        <v>1156</v>
      </c>
      <c r="AK109" s="2"/>
      <c r="AL109" s="4">
        <f t="shared" si="1"/>
        <v>1581.7408123791108</v>
      </c>
      <c r="AN109" s="2">
        <v>32</v>
      </c>
    </row>
    <row r="110" spans="1:40" x14ac:dyDescent="0.25">
      <c r="A110" s="1">
        <v>21551</v>
      </c>
      <c r="N110" s="2">
        <f>[8]m!$C112</f>
        <v>2.48</v>
      </c>
      <c r="Q110">
        <f>[5]m!$B112</f>
        <v>29.01</v>
      </c>
      <c r="R110">
        <f>[5]m!$D112</f>
        <v>29.900000000000002</v>
      </c>
      <c r="S110">
        <f>[5]m!$Q112</f>
        <v>31.700000000000003</v>
      </c>
      <c r="T110">
        <f>[6]m!B112</f>
        <v>-2248</v>
      </c>
      <c r="AB110" s="2">
        <f>[8]m!$C112</f>
        <v>2.48</v>
      </c>
      <c r="AC110" s="2">
        <f>[8]m!$F112</f>
        <v>4.0200000000000005</v>
      </c>
      <c r="AF110" s="2">
        <f>[8]m!$AS112</f>
        <v>49</v>
      </c>
      <c r="AG110" s="2">
        <f>[8]m!$H112</f>
        <v>4.12</v>
      </c>
      <c r="AH110" s="2">
        <f>[8]m!$I112</f>
        <v>4.87</v>
      </c>
      <c r="AI110" s="2">
        <f>[7]m!C111</f>
        <v>1339</v>
      </c>
      <c r="AJ110" s="2">
        <f>[7]m!D111</f>
        <v>1139</v>
      </c>
      <c r="AK110" s="2"/>
      <c r="AL110" s="4">
        <f t="shared" si="1"/>
        <v>1581.7408123791108</v>
      </c>
      <c r="AN110" s="2">
        <v>32</v>
      </c>
    </row>
    <row r="111" spans="1:40" x14ac:dyDescent="0.25">
      <c r="A111" s="1">
        <v>21582</v>
      </c>
      <c r="N111" s="2">
        <f>[8]m!$C113</f>
        <v>2.4300000000000002</v>
      </c>
      <c r="Q111">
        <f>[5]m!$B113</f>
        <v>29</v>
      </c>
      <c r="R111">
        <f>[5]m!$D113</f>
        <v>29.900000000000002</v>
      </c>
      <c r="S111">
        <f>[5]m!$Q113</f>
        <v>31.700000000000003</v>
      </c>
      <c r="T111">
        <f>[6]m!B113</f>
        <v>245</v>
      </c>
      <c r="AB111" s="2">
        <f>[8]m!$C113</f>
        <v>2.4300000000000002</v>
      </c>
      <c r="AC111" s="2">
        <f>[8]m!$F113</f>
        <v>3.96</v>
      </c>
      <c r="AF111" s="2">
        <f>[8]m!$AS113</f>
        <v>49.5</v>
      </c>
      <c r="AG111" s="2">
        <f>[8]m!$H113</f>
        <v>4.1399999999999997</v>
      </c>
      <c r="AH111" s="2">
        <f>[8]m!$I113</f>
        <v>4.8899999999999997</v>
      </c>
      <c r="AI111" s="2">
        <f>[7]m!C112</f>
        <v>1314</v>
      </c>
      <c r="AJ111" s="2">
        <f>[7]m!D112</f>
        <v>1166</v>
      </c>
      <c r="AK111" s="2"/>
      <c r="AL111" s="4">
        <f t="shared" si="1"/>
        <v>1680.5996131528052</v>
      </c>
      <c r="AN111" s="2">
        <v>34</v>
      </c>
    </row>
    <row r="112" spans="1:40" x14ac:dyDescent="0.25">
      <c r="A112" s="1">
        <v>21610</v>
      </c>
      <c r="N112" s="2">
        <f>[8]m!$C114</f>
        <v>2.8000000000000003</v>
      </c>
      <c r="Q112">
        <f>[5]m!$B114</f>
        <v>28.97</v>
      </c>
      <c r="R112">
        <f>[5]m!$D114</f>
        <v>30</v>
      </c>
      <c r="S112">
        <f>[5]m!$Q114</f>
        <v>31.700000000000003</v>
      </c>
      <c r="T112">
        <f>[6]m!B114</f>
        <v>1965</v>
      </c>
      <c r="AB112" s="2">
        <f>[8]m!$C114</f>
        <v>2.8000000000000003</v>
      </c>
      <c r="AC112" s="2">
        <f>[8]m!$F114</f>
        <v>3.99</v>
      </c>
      <c r="AF112" s="2">
        <f>[8]m!$AS114</f>
        <v>50</v>
      </c>
      <c r="AG112" s="2">
        <f>[8]m!$H114</f>
        <v>4.13</v>
      </c>
      <c r="AH112" s="2">
        <f>[8]m!$I114</f>
        <v>4.8500000000000005</v>
      </c>
      <c r="AI112" s="2">
        <f>[7]m!C113</f>
        <v>1256</v>
      </c>
      <c r="AJ112" s="2">
        <f>[7]m!D113</f>
        <v>1202</v>
      </c>
      <c r="AK112" s="2"/>
      <c r="AL112" s="4">
        <f t="shared" si="1"/>
        <v>1779.4584139264996</v>
      </c>
      <c r="AN112" s="2">
        <v>36</v>
      </c>
    </row>
    <row r="113" spans="1:47" x14ac:dyDescent="0.25">
      <c r="A113" s="1">
        <v>21641</v>
      </c>
      <c r="N113" s="2">
        <f>[8]m!$C115</f>
        <v>2.96</v>
      </c>
      <c r="Q113">
        <f>[5]m!$B115</f>
        <v>28.98</v>
      </c>
      <c r="R113">
        <f>[5]m!$D115</f>
        <v>30</v>
      </c>
      <c r="S113">
        <f>[5]m!$Q115</f>
        <v>31.8</v>
      </c>
      <c r="T113">
        <f>[6]m!B115</f>
        <v>-2169</v>
      </c>
      <c r="AB113" s="2">
        <f>[8]m!$C115</f>
        <v>2.96</v>
      </c>
      <c r="AC113" s="2">
        <f>[8]m!$F115</f>
        <v>4.12</v>
      </c>
      <c r="AF113" s="2">
        <f>[8]m!$AS115</f>
        <v>50.5</v>
      </c>
      <c r="AG113" s="2">
        <f>[8]m!$H115</f>
        <v>4.2300000000000004</v>
      </c>
      <c r="AH113" s="2">
        <f>[8]m!$I115</f>
        <v>4.8600000000000003</v>
      </c>
      <c r="AI113" s="2">
        <f>[7]m!C114</f>
        <v>1326</v>
      </c>
      <c r="AJ113" s="2">
        <f>[7]m!D114</f>
        <v>1220</v>
      </c>
      <c r="AK113" s="2"/>
      <c r="AL113" s="4">
        <f t="shared" si="1"/>
        <v>1878.317214700194</v>
      </c>
      <c r="AN113" s="2">
        <v>38</v>
      </c>
    </row>
    <row r="114" spans="1:47" x14ac:dyDescent="0.25">
      <c r="A114" s="1">
        <v>21671</v>
      </c>
      <c r="N114" s="2">
        <f>[8]m!$C116</f>
        <v>2.9</v>
      </c>
      <c r="Q114">
        <f>[5]m!$B116</f>
        <v>29.04</v>
      </c>
      <c r="R114">
        <f>[5]m!$D116</f>
        <v>30.1</v>
      </c>
      <c r="S114">
        <f>[5]m!$Q116</f>
        <v>31.8</v>
      </c>
      <c r="T114">
        <f>[6]m!B116</f>
        <v>-739</v>
      </c>
      <c r="AB114" s="2">
        <f>[8]m!$C116</f>
        <v>2.9</v>
      </c>
      <c r="AC114" s="2">
        <f>[8]m!$F116</f>
        <v>4.3100000000000005</v>
      </c>
      <c r="AF114" s="2">
        <f>[8]m!$AS116</f>
        <v>51</v>
      </c>
      <c r="AG114" s="2">
        <f>[8]m!$H116</f>
        <v>4.37</v>
      </c>
      <c r="AH114" s="2">
        <f>[8]m!$I116</f>
        <v>4.96</v>
      </c>
      <c r="AI114" s="2">
        <f>[7]m!C115</f>
        <v>1305</v>
      </c>
      <c r="AJ114" s="2">
        <f>[7]m!D115</f>
        <v>1218</v>
      </c>
      <c r="AK114" s="2"/>
      <c r="AL114" s="4">
        <f t="shared" si="1"/>
        <v>1878.317214700194</v>
      </c>
      <c r="AN114" s="2">
        <v>38</v>
      </c>
    </row>
    <row r="115" spans="1:47" x14ac:dyDescent="0.25">
      <c r="A115" s="1">
        <v>21702</v>
      </c>
      <c r="N115" s="2">
        <f>[8]m!$C117</f>
        <v>3.39</v>
      </c>
      <c r="Q115">
        <f>[5]m!$B117</f>
        <v>29.11</v>
      </c>
      <c r="R115">
        <f>[5]m!$D117</f>
        <v>30.2</v>
      </c>
      <c r="S115">
        <f>[5]m!$Q117</f>
        <v>31.700000000000003</v>
      </c>
      <c r="T115">
        <f>[6]m!B117</f>
        <v>1523</v>
      </c>
      <c r="AB115" s="2">
        <f>[8]m!$C117</f>
        <v>3.39</v>
      </c>
      <c r="AC115" s="2">
        <f>[8]m!$F117</f>
        <v>4.34</v>
      </c>
      <c r="AF115" s="2">
        <f>[8]m!$AS117</f>
        <v>51.7</v>
      </c>
      <c r="AG115" s="2">
        <f>[8]m!$H117</f>
        <v>4.46</v>
      </c>
      <c r="AH115" s="2">
        <f>[8]m!$I117</f>
        <v>5.04</v>
      </c>
      <c r="AI115" s="2">
        <f>[7]m!C116</f>
        <v>1320</v>
      </c>
      <c r="AJ115" s="2">
        <f>[7]m!D116</f>
        <v>1330</v>
      </c>
      <c r="AK115" s="2"/>
      <c r="AL115" s="4">
        <f t="shared" si="1"/>
        <v>1977.1760154738884</v>
      </c>
      <c r="AN115" s="2">
        <v>40</v>
      </c>
    </row>
    <row r="116" spans="1:47" x14ac:dyDescent="0.25">
      <c r="A116" s="1">
        <v>21732</v>
      </c>
      <c r="N116" s="2">
        <f>[8]m!$C118</f>
        <v>3.47</v>
      </c>
      <c r="Q116">
        <f>[5]m!$B118</f>
        <v>29.150000000000002</v>
      </c>
      <c r="R116">
        <f>[5]m!$D118</f>
        <v>30.2</v>
      </c>
      <c r="S116">
        <f>[5]m!$Q118</f>
        <v>31.700000000000003</v>
      </c>
      <c r="T116">
        <f>[6]m!B118</f>
        <v>-3311</v>
      </c>
      <c r="AB116" s="2">
        <f>[8]m!$C118</f>
        <v>3.47</v>
      </c>
      <c r="AC116" s="2">
        <f>[8]m!$F118</f>
        <v>4.4000000000000004</v>
      </c>
      <c r="AF116" s="2">
        <f>[8]m!$AS118</f>
        <v>52.400000000000006</v>
      </c>
      <c r="AG116" s="2">
        <f>[8]m!$H118</f>
        <v>4.47</v>
      </c>
      <c r="AH116" s="2">
        <f>[8]m!$I118</f>
        <v>5.08</v>
      </c>
      <c r="AI116" s="2">
        <f>[7]m!C117</f>
        <v>1357</v>
      </c>
      <c r="AJ116" s="2">
        <f>[7]m!D117</f>
        <v>1301</v>
      </c>
      <c r="AK116" s="2"/>
      <c r="AL116" s="4">
        <f t="shared" si="1"/>
        <v>2076.034816247583</v>
      </c>
      <c r="AN116" s="2">
        <v>42</v>
      </c>
    </row>
    <row r="117" spans="1:47" x14ac:dyDescent="0.25">
      <c r="A117" s="1">
        <v>21763</v>
      </c>
      <c r="N117" s="2">
        <f>[8]m!$C119</f>
        <v>3.5</v>
      </c>
      <c r="Q117">
        <f>[5]m!$B119</f>
        <v>29.18</v>
      </c>
      <c r="R117">
        <f>[5]m!$D119</f>
        <v>30.2</v>
      </c>
      <c r="S117">
        <f>[5]m!$Q119</f>
        <v>31.6</v>
      </c>
      <c r="T117">
        <f>[6]m!B119</f>
        <v>-626</v>
      </c>
      <c r="AB117" s="2">
        <f>[8]m!$C119</f>
        <v>3.5</v>
      </c>
      <c r="AC117" s="2">
        <f>[8]m!$F119</f>
        <v>4.43</v>
      </c>
      <c r="AF117" s="2">
        <f>[8]m!$AS119</f>
        <v>53</v>
      </c>
      <c r="AG117" s="2">
        <f>[8]m!$H119</f>
        <v>4.43</v>
      </c>
      <c r="AH117" s="2">
        <f>[8]m!$I119</f>
        <v>5.09</v>
      </c>
      <c r="AI117" s="2">
        <f>[7]m!C118</f>
        <v>1397</v>
      </c>
      <c r="AJ117" s="2">
        <f>[7]m!D118</f>
        <v>1227</v>
      </c>
      <c r="AK117" s="2"/>
      <c r="AL117" s="4">
        <f t="shared" si="1"/>
        <v>1977.1760154738888</v>
      </c>
      <c r="AN117" s="2">
        <v>40</v>
      </c>
    </row>
    <row r="118" spans="1:47" x14ac:dyDescent="0.25">
      <c r="A118" s="1">
        <v>21794</v>
      </c>
      <c r="N118" s="2">
        <f>[8]m!$C120</f>
        <v>3.7600000000000002</v>
      </c>
      <c r="Q118">
        <f>[5]m!$B120</f>
        <v>29.25</v>
      </c>
      <c r="R118">
        <f>[5]m!$D120</f>
        <v>30.3</v>
      </c>
      <c r="S118">
        <f>[5]m!$Q120</f>
        <v>31.700000000000003</v>
      </c>
      <c r="T118">
        <f>[6]m!B120</f>
        <v>2129</v>
      </c>
      <c r="AB118" s="2">
        <f>[8]m!$C120</f>
        <v>3.7600000000000002</v>
      </c>
      <c r="AC118" s="2">
        <f>[8]m!$F120</f>
        <v>4.68</v>
      </c>
      <c r="AF118" s="2">
        <f>[8]m!$AS120</f>
        <v>53.7</v>
      </c>
      <c r="AG118" s="2">
        <f>[8]m!$H120</f>
        <v>4.5200000000000005</v>
      </c>
      <c r="AH118" s="2">
        <f>[8]m!$I120</f>
        <v>5.18</v>
      </c>
      <c r="AI118" s="2">
        <f>[7]m!C119</f>
        <v>1432</v>
      </c>
      <c r="AJ118" s="2">
        <f>[7]m!D119</f>
        <v>1289</v>
      </c>
      <c r="AK118" s="2"/>
      <c r="AL118" s="4">
        <f t="shared" si="1"/>
        <v>2026.605415860736</v>
      </c>
      <c r="AN118" s="2">
        <v>41</v>
      </c>
    </row>
    <row r="119" spans="1:47" x14ac:dyDescent="0.25">
      <c r="A119" s="1">
        <v>21824</v>
      </c>
      <c r="N119" s="2">
        <f>[8]m!$C121</f>
        <v>3.98</v>
      </c>
      <c r="Q119">
        <f>[5]m!$B121</f>
        <v>29.35</v>
      </c>
      <c r="R119">
        <f>[5]m!$D121</f>
        <v>30.400000000000002</v>
      </c>
      <c r="S119">
        <f>[5]m!$Q121</f>
        <v>31.6</v>
      </c>
      <c r="T119">
        <f>[6]m!B121</f>
        <v>-3845</v>
      </c>
      <c r="AB119" s="2">
        <f>[8]m!$C121</f>
        <v>3.98</v>
      </c>
      <c r="AC119" s="2">
        <f>[8]m!$F121</f>
        <v>4.53</v>
      </c>
      <c r="AF119" s="2">
        <f>[8]m!$AS121</f>
        <v>54.400000000000006</v>
      </c>
      <c r="AG119" s="2">
        <f>[8]m!$H121</f>
        <v>4.57</v>
      </c>
      <c r="AH119" s="2">
        <f>[8]m!$I121</f>
        <v>5.28</v>
      </c>
      <c r="AI119" s="2">
        <f>[7]m!C120</f>
        <v>1528</v>
      </c>
      <c r="AJ119" s="2">
        <f>[7]m!D120</f>
        <v>1411</v>
      </c>
      <c r="AK119" s="2"/>
      <c r="AL119" s="4">
        <f t="shared" si="1"/>
        <v>1977.1760154738888</v>
      </c>
      <c r="AN119" s="2">
        <v>40</v>
      </c>
    </row>
    <row r="120" spans="1:47" x14ac:dyDescent="0.25">
      <c r="A120" s="1">
        <v>21855</v>
      </c>
      <c r="N120" s="2">
        <f>[8]m!$C122</f>
        <v>4</v>
      </c>
      <c r="Q120">
        <f>[5]m!$B122</f>
        <v>29.35</v>
      </c>
      <c r="R120">
        <f>[5]m!$D122</f>
        <v>30.400000000000002</v>
      </c>
      <c r="S120">
        <f>[5]m!$Q122</f>
        <v>31.5</v>
      </c>
      <c r="T120">
        <f>[6]m!B122</f>
        <v>-701</v>
      </c>
      <c r="AB120" s="2">
        <f>[8]m!$C122</f>
        <v>4</v>
      </c>
      <c r="AC120" s="2">
        <f>[8]m!$F122</f>
        <v>4.53</v>
      </c>
      <c r="AF120" s="2">
        <f>[8]m!$AS122</f>
        <v>54.800000000000004</v>
      </c>
      <c r="AG120" s="2">
        <f>[8]m!$H122</f>
        <v>4.5600000000000005</v>
      </c>
      <c r="AH120" s="2">
        <f>[8]m!$I122</f>
        <v>5.26</v>
      </c>
      <c r="AI120" s="2">
        <f>[7]m!C121</f>
        <v>1328</v>
      </c>
      <c r="AJ120" s="2">
        <f>[7]m!D121</f>
        <v>1184</v>
      </c>
      <c r="AK120" s="2"/>
      <c r="AL120" s="4">
        <f t="shared" si="1"/>
        <v>1977.1760154738888</v>
      </c>
      <c r="AN120" s="2">
        <v>40</v>
      </c>
      <c r="AR120" s="3"/>
    </row>
    <row r="121" spans="1:47" x14ac:dyDescent="0.25">
      <c r="A121" s="1">
        <v>21885</v>
      </c>
      <c r="N121" s="2">
        <f>[8]m!$C123</f>
        <v>3.99</v>
      </c>
      <c r="Q121">
        <f>[5]m!$B123</f>
        <v>29.41</v>
      </c>
      <c r="R121">
        <f>[5]m!$D123</f>
        <v>30.5</v>
      </c>
      <c r="S121">
        <f>[5]m!$Q123</f>
        <v>31.5</v>
      </c>
      <c r="T121">
        <f>[6]m!B123</f>
        <v>738</v>
      </c>
      <c r="AB121" s="2">
        <f>[8]m!$C123</f>
        <v>3.99</v>
      </c>
      <c r="AC121" s="2">
        <f>[8]m!$F123</f>
        <v>4.6900000000000004</v>
      </c>
      <c r="AF121" s="2">
        <f>[8]m!$AS123</f>
        <v>56</v>
      </c>
      <c r="AG121" s="2">
        <f>[8]m!$H123</f>
        <v>4.58</v>
      </c>
      <c r="AH121" s="2">
        <f>[8]m!$I123</f>
        <v>5.28</v>
      </c>
      <c r="AI121" s="2">
        <f>[7]m!C122</f>
        <v>1376</v>
      </c>
      <c r="AJ121" s="2">
        <f>[7]m!D122</f>
        <v>1292</v>
      </c>
      <c r="AK121" s="2"/>
      <c r="AL121" s="4">
        <f t="shared" si="1"/>
        <v>1977.1760154738888</v>
      </c>
      <c r="AN121" s="2">
        <v>40</v>
      </c>
      <c r="AR121" s="3"/>
    </row>
    <row r="122" spans="1:47" x14ac:dyDescent="0.25">
      <c r="A122" s="1">
        <v>21916</v>
      </c>
      <c r="B122" s="2">
        <f>[2]Indicators!G4</f>
        <v>324.17</v>
      </c>
      <c r="C122" s="2">
        <f>[2]Indicators!H4</f>
        <v>43.228999999999999</v>
      </c>
      <c r="D122" s="2">
        <f>[2]Indicators!I4</f>
        <v>129.61199999999999</v>
      </c>
      <c r="E122" s="2">
        <f>[2]Indicators!J4</f>
        <v>151.32900000000001</v>
      </c>
      <c r="M122" s="2">
        <f>[2]Indicators!AB4</f>
        <v>24.090300000000003</v>
      </c>
      <c r="N122" s="2">
        <f>[8]m!$C124</f>
        <v>3.99</v>
      </c>
      <c r="O122">
        <f>[9]Unemployment!$B4</f>
        <v>5.2</v>
      </c>
      <c r="Q122">
        <f>[5]m!$B124</f>
        <v>29.37</v>
      </c>
      <c r="R122">
        <f>[5]m!$D124</f>
        <v>30.5</v>
      </c>
      <c r="S122">
        <f>[5]m!$Q124</f>
        <v>31.6</v>
      </c>
      <c r="T122">
        <f>[6]m!B124</f>
        <v>-1290</v>
      </c>
      <c r="U122" s="2">
        <f>[9]Unemployment!$F4</f>
        <v>13.5</v>
      </c>
      <c r="V122" s="2"/>
      <c r="W122">
        <f>[9]Unemployment!$E4</f>
        <v>3615</v>
      </c>
      <c r="X122">
        <f>[9]Unemployment!N4</f>
        <v>1638</v>
      </c>
      <c r="Y122">
        <f>[9]Unemployment!O4</f>
        <v>1045</v>
      </c>
      <c r="Z122">
        <f>[9]Unemployment!P4-[9]Unemployment!Q4</f>
        <v>450</v>
      </c>
      <c r="AA122">
        <f>[9]Unemployment!$Q4</f>
        <v>465</v>
      </c>
      <c r="AB122" s="2">
        <f>[8]m!$C124</f>
        <v>3.99</v>
      </c>
      <c r="AC122" s="2">
        <f>[8]m!$F124</f>
        <v>4.72</v>
      </c>
      <c r="AD122">
        <f>[9]Employment!$B4</f>
        <v>54274</v>
      </c>
      <c r="AE122" s="2">
        <f>[2]Indicators!$AB4</f>
        <v>24.090300000000003</v>
      </c>
      <c r="AF122" s="2">
        <f>[8]m!$AS124</f>
        <v>56</v>
      </c>
      <c r="AG122" s="2">
        <f>[8]m!$H124</f>
        <v>4.6100000000000003</v>
      </c>
      <c r="AH122" s="2">
        <f>[8]m!$I124</f>
        <v>5.34</v>
      </c>
      <c r="AI122" s="2">
        <f>[7]m!C123</f>
        <v>1493</v>
      </c>
      <c r="AJ122" s="2">
        <f>[7]m!D123</f>
        <v>1353</v>
      </c>
      <c r="AK122" s="2">
        <f>[2]Surveys_m!$AB4</f>
        <v>61.5</v>
      </c>
      <c r="AL122" s="4">
        <f t="shared" si="1"/>
        <v>2026.6054158607358</v>
      </c>
      <c r="AN122" s="2">
        <v>41</v>
      </c>
      <c r="AQ122" s="3">
        <f>[9]LaborForce!$B3*[9]LaborForce!$C3/100</f>
        <v>68907.054000000004</v>
      </c>
      <c r="AR122" s="3">
        <f>[9]Unemployment!$AB4</f>
        <v>282.60000000000002</v>
      </c>
      <c r="AS122">
        <f>[2]Indicators!BC4</f>
        <v>32.700000000000003</v>
      </c>
      <c r="AT122">
        <f>[2]Indicators!BD4</f>
        <v>24.058500000000002</v>
      </c>
      <c r="AU122">
        <f>[2]Indicators!BE4</f>
        <v>101.6058</v>
      </c>
    </row>
    <row r="123" spans="1:47" x14ac:dyDescent="0.25">
      <c r="A123" s="1">
        <v>21947</v>
      </c>
      <c r="B123" s="2">
        <f>[2]Indicators!G5</f>
        <v>325.90899999999999</v>
      </c>
      <c r="C123" s="2">
        <f>[2]Indicators!H5</f>
        <v>45.747999999999998</v>
      </c>
      <c r="D123" s="2">
        <f>[2]Indicators!I5</f>
        <v>128.36600000000001</v>
      </c>
      <c r="E123" s="2">
        <f>[2]Indicators!J5</f>
        <v>151.79500000000002</v>
      </c>
      <c r="M123" s="2">
        <f>[2]Indicators!AB5</f>
        <v>23.875900000000001</v>
      </c>
      <c r="N123" s="2">
        <f>[8]m!$C125</f>
        <v>3.97</v>
      </c>
      <c r="O123">
        <f>[9]Unemployment!$B5</f>
        <v>4.8000000000000007</v>
      </c>
      <c r="Q123">
        <f>[5]m!$B125</f>
        <v>29.41</v>
      </c>
      <c r="R123">
        <f>[5]m!$D125</f>
        <v>30.6</v>
      </c>
      <c r="S123">
        <f>[5]m!$Q125</f>
        <v>31.6</v>
      </c>
      <c r="T123">
        <f>[6]m!B125</f>
        <v>1095</v>
      </c>
      <c r="U123" s="2">
        <f>[9]Unemployment!$F5</f>
        <v>13.100000000000001</v>
      </c>
      <c r="V123" s="2"/>
      <c r="W123">
        <f>[9]Unemployment!$E5</f>
        <v>3329</v>
      </c>
      <c r="X123">
        <f>[9]Unemployment!N5</f>
        <v>1431</v>
      </c>
      <c r="Y123">
        <f>[9]Unemployment!O5</f>
        <v>1034</v>
      </c>
      <c r="Z123">
        <f>[9]Unemployment!P5-[9]Unemployment!Q5</f>
        <v>412</v>
      </c>
      <c r="AA123">
        <f>[9]Unemployment!$Q5</f>
        <v>429</v>
      </c>
      <c r="AB123" s="2">
        <f>[8]m!$C125</f>
        <v>3.97</v>
      </c>
      <c r="AC123" s="2">
        <f>[8]m!$F125</f>
        <v>4.49</v>
      </c>
      <c r="AD123">
        <f>[9]Employment!$B5</f>
        <v>54513</v>
      </c>
      <c r="AE123" s="2">
        <f>[2]Indicators!$AB5</f>
        <v>23.875900000000001</v>
      </c>
      <c r="AF123" s="2">
        <f>[8]m!$AS125</f>
        <v>56.400000000000006</v>
      </c>
      <c r="AG123" s="2">
        <f>[8]m!$H125</f>
        <v>4.5600000000000005</v>
      </c>
      <c r="AH123" s="2">
        <f>[8]m!$I125</f>
        <v>5.34</v>
      </c>
      <c r="AI123" s="2">
        <f>[7]m!C124</f>
        <v>2048</v>
      </c>
      <c r="AJ123" s="2">
        <f>[7]m!D124</f>
        <v>1883</v>
      </c>
      <c r="AK123" s="2">
        <f>[2]Surveys_m!$AB5</f>
        <v>52.300000000000004</v>
      </c>
      <c r="AL123" s="4">
        <f t="shared" si="1"/>
        <v>2026.6054158607358</v>
      </c>
      <c r="AN123" s="2">
        <v>41</v>
      </c>
      <c r="AQ123" s="3">
        <f>[9]LaborForce!$B4*[9]LaborForce!$C4/100</f>
        <v>68970.881999999998</v>
      </c>
      <c r="AR123" s="3">
        <f>[9]Unemployment!$AB5</f>
        <v>272.60000000000002</v>
      </c>
      <c r="AS123">
        <f>[2]Indicators!BC5</f>
        <v>32.5</v>
      </c>
      <c r="AT123">
        <f>[2]Indicators!BD5</f>
        <v>23.976000000000003</v>
      </c>
      <c r="AU123">
        <f>[2]Indicators!BE5</f>
        <v>100.95320000000001</v>
      </c>
    </row>
    <row r="124" spans="1:47" x14ac:dyDescent="0.25">
      <c r="A124" s="1">
        <v>21976</v>
      </c>
      <c r="B124" s="2">
        <f>[2]Indicators!G6</f>
        <v>330.72899999999998</v>
      </c>
      <c r="C124" s="2">
        <f>[2]Indicators!H6</f>
        <v>47.389000000000003</v>
      </c>
      <c r="D124" s="2">
        <f>[2]Indicators!I6</f>
        <v>130.83699999999999</v>
      </c>
      <c r="E124" s="2">
        <f>[2]Indicators!J6</f>
        <v>152.50300000000001</v>
      </c>
      <c r="M124" s="2">
        <f>[2]Indicators!AB6</f>
        <v>23.6615</v>
      </c>
      <c r="N124" s="2">
        <f>[8]m!$C126</f>
        <v>3.84</v>
      </c>
      <c r="O124">
        <f>[9]Unemployment!$B6</f>
        <v>5.4</v>
      </c>
      <c r="Q124">
        <f>[5]m!$B126</f>
        <v>29.41</v>
      </c>
      <c r="R124">
        <f>[5]m!$D126</f>
        <v>30.6</v>
      </c>
      <c r="S124">
        <f>[5]m!$Q126</f>
        <v>31.8</v>
      </c>
      <c r="T124">
        <f>[6]m!B126</f>
        <v>3157</v>
      </c>
      <c r="U124" s="2">
        <f>[9]Unemployment!$F6</f>
        <v>13</v>
      </c>
      <c r="V124" s="2"/>
      <c r="W124">
        <f>[9]Unemployment!$E6</f>
        <v>3726</v>
      </c>
      <c r="X124">
        <f>[9]Unemployment!N6</f>
        <v>1666</v>
      </c>
      <c r="Y124">
        <f>[9]Unemployment!O6</f>
        <v>1120</v>
      </c>
      <c r="Z124">
        <f>[9]Unemployment!P6-[9]Unemployment!Q6</f>
        <v>519</v>
      </c>
      <c r="AA124">
        <f>[9]Unemployment!$Q6</f>
        <v>440</v>
      </c>
      <c r="AB124" s="2">
        <f>[8]m!$C126</f>
        <v>3.84</v>
      </c>
      <c r="AC124" s="2">
        <f>[8]m!$F126</f>
        <v>4.25</v>
      </c>
      <c r="AD124">
        <f>[9]Employment!$B6</f>
        <v>54458</v>
      </c>
      <c r="AE124" s="2">
        <f>[2]Indicators!$AB6</f>
        <v>23.6615</v>
      </c>
      <c r="AF124" s="2">
        <f>[8]m!$AS126</f>
        <v>56.900000000000006</v>
      </c>
      <c r="AG124" s="2">
        <f>[8]m!$H126</f>
        <v>4.49</v>
      </c>
      <c r="AH124" s="2">
        <f>[8]m!$I126</f>
        <v>5.25</v>
      </c>
      <c r="AI124" s="2">
        <f>[7]m!C125</f>
        <v>2068</v>
      </c>
      <c r="AJ124" s="2">
        <f>[7]m!D125</f>
        <v>1989</v>
      </c>
      <c r="AK124" s="2">
        <f>[2]Surveys_m!$AB6</f>
        <v>47.800000000000004</v>
      </c>
      <c r="AL124" s="4">
        <f t="shared" si="1"/>
        <v>1927.7466150870414</v>
      </c>
      <c r="AN124" s="2">
        <v>39</v>
      </c>
      <c r="AQ124" s="3">
        <f>[9]LaborForce!$B5*[9]LaborForce!$C5/100</f>
        <v>68343.794999999998</v>
      </c>
      <c r="AR124" s="3">
        <f>[9]Unemployment!$AB6</f>
        <v>305.3</v>
      </c>
      <c r="AS124">
        <f>[2]Indicators!BC6</f>
        <v>32.200000000000003</v>
      </c>
      <c r="AT124">
        <f>[2]Indicators!BD6</f>
        <v>23.870100000000001</v>
      </c>
      <c r="AU124">
        <f>[2]Indicators!BE6</f>
        <v>100.20020000000001</v>
      </c>
    </row>
    <row r="125" spans="1:47" x14ac:dyDescent="0.25">
      <c r="A125" s="1">
        <v>22007</v>
      </c>
      <c r="B125" s="2">
        <f>[2]Indicators!G7</f>
        <v>337.07100000000003</v>
      </c>
      <c r="C125" s="2">
        <f>[2]Indicators!H7</f>
        <v>49.116</v>
      </c>
      <c r="D125" s="2">
        <f>[2]Indicators!I7</f>
        <v>134.095</v>
      </c>
      <c r="E125" s="2">
        <f>[2]Indicators!J7</f>
        <v>153.86000000000001</v>
      </c>
      <c r="M125" s="2">
        <f>[2]Indicators!AB7</f>
        <v>23.474</v>
      </c>
      <c r="N125" s="2">
        <f>[8]m!$C127</f>
        <v>3.92</v>
      </c>
      <c r="O125">
        <f>[9]Unemployment!$B7</f>
        <v>5.2</v>
      </c>
      <c r="Q125">
        <f>[5]m!$B127</f>
        <v>29.54</v>
      </c>
      <c r="R125">
        <f>[5]m!$D127</f>
        <v>30.6</v>
      </c>
      <c r="S125">
        <f>[5]m!$Q127</f>
        <v>31.8</v>
      </c>
      <c r="T125">
        <f>[6]m!B127</f>
        <v>-968</v>
      </c>
      <c r="U125" s="2">
        <f>[9]Unemployment!$F7</f>
        <v>12.600000000000001</v>
      </c>
      <c r="V125" s="2"/>
      <c r="W125">
        <f>[9]Unemployment!$E7</f>
        <v>3620</v>
      </c>
      <c r="X125">
        <f>[9]Unemployment!N7</f>
        <v>1735</v>
      </c>
      <c r="Y125">
        <f>[9]Unemployment!O7</f>
        <v>1002</v>
      </c>
      <c r="Z125">
        <f>[9]Unemployment!P7-[9]Unemployment!Q7</f>
        <v>465</v>
      </c>
      <c r="AA125">
        <f>[9]Unemployment!$Q7</f>
        <v>431</v>
      </c>
      <c r="AB125" s="2">
        <f>[8]m!$C127</f>
        <v>3.92</v>
      </c>
      <c r="AC125" s="2">
        <f>[8]m!$F127</f>
        <v>4.28</v>
      </c>
      <c r="AD125">
        <f>[9]Employment!$B7</f>
        <v>54812</v>
      </c>
      <c r="AE125" s="2">
        <f>[2]Indicators!$AB7</f>
        <v>23.474</v>
      </c>
      <c r="AF125" s="2">
        <f>[8]m!$AS127</f>
        <v>57.7</v>
      </c>
      <c r="AG125" s="2">
        <f>[8]m!$H127</f>
        <v>4.45</v>
      </c>
      <c r="AH125" s="2">
        <f>[8]m!$I127</f>
        <v>5.2</v>
      </c>
      <c r="AI125" s="2">
        <f>[7]m!C126</f>
        <v>2055</v>
      </c>
      <c r="AJ125" s="2">
        <f>[7]m!D126</f>
        <v>1927</v>
      </c>
      <c r="AK125" s="2">
        <f>[2]Surveys_m!$AB7</f>
        <v>45.300000000000004</v>
      </c>
      <c r="AL125" s="4">
        <f t="shared" si="1"/>
        <v>1878.3172147001942</v>
      </c>
      <c r="AN125" s="2">
        <v>38</v>
      </c>
      <c r="AQ125" s="3">
        <f>[9]LaborForce!$B6*[9]LaborForce!$C6/100</f>
        <v>69561.45</v>
      </c>
      <c r="AR125" s="3">
        <f>[9]Unemployment!$AB7</f>
        <v>296</v>
      </c>
      <c r="AS125">
        <f>[2]Indicators!BC7</f>
        <v>32.200000000000003</v>
      </c>
      <c r="AT125">
        <f>[2]Indicators!BD7</f>
        <v>23.780800000000003</v>
      </c>
      <c r="AU125">
        <f>[2]Indicators!BE7</f>
        <v>99.514200000000002</v>
      </c>
    </row>
    <row r="126" spans="1:47" x14ac:dyDescent="0.25">
      <c r="A126" s="1">
        <v>22037</v>
      </c>
      <c r="B126" s="2">
        <f>[2]Indicators!G8</f>
        <v>330.63900000000001</v>
      </c>
      <c r="C126" s="2">
        <f>[2]Indicators!H8</f>
        <v>45.730000000000004</v>
      </c>
      <c r="D126" s="2">
        <f>[2]Indicators!I8</f>
        <v>130.274</v>
      </c>
      <c r="E126" s="2">
        <f>[2]Indicators!J8</f>
        <v>154.636</v>
      </c>
      <c r="M126" s="2">
        <f>[2]Indicators!AB8</f>
        <v>23.447200000000002</v>
      </c>
      <c r="N126" s="2">
        <f>[8]m!$C128</f>
        <v>3.85</v>
      </c>
      <c r="O126">
        <f>[9]Unemployment!$B8</f>
        <v>5.1000000000000005</v>
      </c>
      <c r="Q126">
        <f>[5]m!$B128</f>
        <v>29.57</v>
      </c>
      <c r="R126">
        <f>[5]m!$D128</f>
        <v>30.6</v>
      </c>
      <c r="S126">
        <f>[5]m!$Q128</f>
        <v>31.700000000000003</v>
      </c>
      <c r="T126">
        <f>[6]m!B128</f>
        <v>477</v>
      </c>
      <c r="U126" s="2">
        <f>[9]Unemployment!$F8</f>
        <v>11.9</v>
      </c>
      <c r="V126" s="2"/>
      <c r="W126">
        <f>[9]Unemployment!$E8</f>
        <v>3569</v>
      </c>
      <c r="X126">
        <f>[9]Unemployment!N8</f>
        <v>1718</v>
      </c>
      <c r="Y126">
        <f>[9]Unemployment!O8</f>
        <v>1074</v>
      </c>
      <c r="Z126">
        <f>[9]Unemployment!P8-[9]Unemployment!Q8</f>
        <v>408</v>
      </c>
      <c r="AA126">
        <f>[9]Unemployment!$Q8</f>
        <v>389</v>
      </c>
      <c r="AB126" s="2">
        <f>[8]m!$C128</f>
        <v>3.85</v>
      </c>
      <c r="AC126" s="2">
        <f>[8]m!$F128</f>
        <v>4.3500000000000005</v>
      </c>
      <c r="AD126">
        <f>[9]Employment!$B8</f>
        <v>54472</v>
      </c>
      <c r="AE126" s="2">
        <f>[2]Indicators!$AB8</f>
        <v>23.447200000000002</v>
      </c>
      <c r="AF126" s="2">
        <f>[8]m!$AS128</f>
        <v>58</v>
      </c>
      <c r="AG126" s="2">
        <f>[8]m!$H128</f>
        <v>4.46</v>
      </c>
      <c r="AH126" s="2">
        <f>[8]m!$I128</f>
        <v>5.28</v>
      </c>
      <c r="AI126" s="2">
        <f>[7]m!C127</f>
        <v>2199</v>
      </c>
      <c r="AJ126" s="2">
        <f>[7]m!D127</f>
        <v>1988</v>
      </c>
      <c r="AK126" s="2">
        <f>[2]Surveys_m!$AB8</f>
        <v>42.6</v>
      </c>
      <c r="AL126" s="4">
        <f t="shared" si="1"/>
        <v>1878.3172147001944</v>
      </c>
      <c r="AN126" s="2">
        <v>38</v>
      </c>
      <c r="AQ126" s="3">
        <f>[9]LaborForce!$B7*[9]LaborForce!$C7/100</f>
        <v>69634.634999999995</v>
      </c>
      <c r="AR126" s="3">
        <f>[9]Unemployment!$AB8</f>
        <v>318.10000000000002</v>
      </c>
      <c r="AS126">
        <f>[2]Indicators!BC8</f>
        <v>32.200000000000003</v>
      </c>
      <c r="AT126">
        <f>[2]Indicators!BD8</f>
        <v>23.717400000000001</v>
      </c>
      <c r="AU126">
        <f>[2]Indicators!BE8</f>
        <v>98.934000000000012</v>
      </c>
    </row>
    <row r="127" spans="1:47" x14ac:dyDescent="0.25">
      <c r="A127" s="1">
        <v>22068</v>
      </c>
      <c r="B127" s="2">
        <f>[2]Indicators!G9</f>
        <v>330.70400000000001</v>
      </c>
      <c r="C127" s="2">
        <f>[2]Indicators!H9</f>
        <v>44.457000000000001</v>
      </c>
      <c r="D127" s="2">
        <f>[2]Indicators!I9</f>
        <v>131.51500000000001</v>
      </c>
      <c r="E127" s="2">
        <f>[2]Indicators!J9</f>
        <v>154.732</v>
      </c>
      <c r="M127" s="2">
        <f>[2]Indicators!AB9</f>
        <v>23.1524</v>
      </c>
      <c r="N127" s="2">
        <f>[8]m!$C129</f>
        <v>3.3200000000000003</v>
      </c>
      <c r="O127">
        <f>[9]Unemployment!$B9</f>
        <v>5.4</v>
      </c>
      <c r="Q127">
        <f>[5]m!$B129</f>
        <v>29.61</v>
      </c>
      <c r="R127">
        <f>[5]m!$D129</f>
        <v>30.7</v>
      </c>
      <c r="S127">
        <f>[5]m!$Q129</f>
        <v>31.700000000000003</v>
      </c>
      <c r="T127">
        <f>[6]m!B129</f>
        <v>4370</v>
      </c>
      <c r="U127" s="2">
        <f>[9]Unemployment!$F9</f>
        <v>11.9</v>
      </c>
      <c r="V127" s="2"/>
      <c r="W127">
        <f>[9]Unemployment!$E9</f>
        <v>3766</v>
      </c>
      <c r="X127">
        <f>[9]Unemployment!N9</f>
        <v>1738</v>
      </c>
      <c r="Y127">
        <f>[9]Unemployment!O9</f>
        <v>1182</v>
      </c>
      <c r="Z127">
        <f>[9]Unemployment!P9-[9]Unemployment!Q9</f>
        <v>458</v>
      </c>
      <c r="AA127">
        <f>[9]Unemployment!$Q9</f>
        <v>396</v>
      </c>
      <c r="AB127" s="2">
        <f>[8]m!$C129</f>
        <v>3.3200000000000003</v>
      </c>
      <c r="AC127" s="2">
        <f>[8]m!$F129</f>
        <v>4.1500000000000004</v>
      </c>
      <c r="AD127">
        <f>[9]Employment!$B9</f>
        <v>54347</v>
      </c>
      <c r="AE127" s="2">
        <f>[2]Indicators!$AB9</f>
        <v>23.1524</v>
      </c>
      <c r="AF127" s="2">
        <f>[8]m!$AS129</f>
        <v>58.400000000000006</v>
      </c>
      <c r="AG127" s="2">
        <f>[8]m!$H129</f>
        <v>4.45</v>
      </c>
      <c r="AH127" s="2">
        <f>[8]m!$I129</f>
        <v>5.26</v>
      </c>
      <c r="AI127" s="2">
        <f>[7]m!C128</f>
        <v>2216</v>
      </c>
      <c r="AJ127" s="2">
        <f>[7]m!D128</f>
        <v>1913</v>
      </c>
      <c r="AK127" s="2">
        <f>[2]Surveys_m!$AB9</f>
        <v>44.400000000000006</v>
      </c>
      <c r="AL127" s="4">
        <f t="shared" si="1"/>
        <v>1828.887814313347</v>
      </c>
      <c r="AN127" s="2">
        <v>37</v>
      </c>
      <c r="AQ127" s="3">
        <f>[9]LaborForce!$B8*[9]LaborForce!$C8/100</f>
        <v>69948.699000000008</v>
      </c>
      <c r="AR127" s="3">
        <f>[9]Unemployment!$AB9</f>
        <v>323.8</v>
      </c>
      <c r="AS127">
        <f>[2]Indicators!BC9</f>
        <v>32.299999999999997</v>
      </c>
      <c r="AT127">
        <f>[2]Indicators!BD9</f>
        <v>23.6753</v>
      </c>
      <c r="AU127">
        <f>[2]Indicators!BE9</f>
        <v>98.4392</v>
      </c>
    </row>
    <row r="128" spans="1:47" x14ac:dyDescent="0.25">
      <c r="A128" s="1">
        <v>22098</v>
      </c>
      <c r="B128" s="2">
        <f>[2]Indicators!G10</f>
        <v>331.983</v>
      </c>
      <c r="C128" s="2">
        <f>[2]Indicators!H10</f>
        <v>44.853999999999999</v>
      </c>
      <c r="D128" s="2">
        <f>[2]Indicators!I10</f>
        <v>132.18700000000001</v>
      </c>
      <c r="E128" s="2">
        <f>[2]Indicators!J10</f>
        <v>154.94200000000001</v>
      </c>
      <c r="M128" s="2">
        <f>[2]Indicators!AB10</f>
        <v>23.072000000000003</v>
      </c>
      <c r="N128" s="2">
        <f>[8]m!$C130</f>
        <v>3.23</v>
      </c>
      <c r="O128">
        <f>[9]Unemployment!$B10</f>
        <v>5.5</v>
      </c>
      <c r="Q128">
        <f>[5]m!$B130</f>
        <v>29.55</v>
      </c>
      <c r="R128">
        <f>[5]m!$D130</f>
        <v>30.6</v>
      </c>
      <c r="S128">
        <f>[5]m!$Q130</f>
        <v>31.700000000000003</v>
      </c>
      <c r="T128">
        <f>[6]m!B130</f>
        <v>-3044</v>
      </c>
      <c r="U128" s="2">
        <f>[9]Unemployment!$F10</f>
        <v>12.600000000000001</v>
      </c>
      <c r="V128" s="2"/>
      <c r="W128">
        <f>[9]Unemployment!$E10</f>
        <v>3836</v>
      </c>
      <c r="X128">
        <f>[9]Unemployment!N10</f>
        <v>1709</v>
      </c>
      <c r="Y128">
        <f>[9]Unemployment!O10</f>
        <v>1184</v>
      </c>
      <c r="Z128">
        <f>[9]Unemployment!P10-[9]Unemployment!Q10</f>
        <v>521</v>
      </c>
      <c r="AA128">
        <f>[9]Unemployment!$Q10</f>
        <v>400</v>
      </c>
      <c r="AB128" s="2">
        <f>[8]m!$C130</f>
        <v>3.23</v>
      </c>
      <c r="AC128" s="2">
        <f>[8]m!$F130</f>
        <v>3.9</v>
      </c>
      <c r="AD128">
        <f>[9]Employment!$B10</f>
        <v>54303</v>
      </c>
      <c r="AE128" s="2">
        <f>[2]Indicators!$AB10</f>
        <v>23.072000000000003</v>
      </c>
      <c r="AF128" s="2">
        <f>[8]m!$AS130</f>
        <v>58.7</v>
      </c>
      <c r="AG128" s="2">
        <f>[8]m!$H130</f>
        <v>4.41</v>
      </c>
      <c r="AH128" s="2">
        <f>[8]m!$I130</f>
        <v>5.22</v>
      </c>
      <c r="AI128" s="2">
        <f>[7]m!C129</f>
        <v>2215</v>
      </c>
      <c r="AJ128" s="2">
        <f>[7]m!D129</f>
        <v>1911</v>
      </c>
      <c r="AK128" s="2">
        <f>[2]Surveys_m!$AB10</f>
        <v>43.7</v>
      </c>
      <c r="AL128" s="4">
        <f t="shared" si="1"/>
        <v>1779.4584139265</v>
      </c>
      <c r="AN128" s="2">
        <v>36</v>
      </c>
      <c r="AQ128" s="3">
        <f>[9]LaborForce!$B9*[9]LaborForce!$C9/100</f>
        <v>69782.195000000007</v>
      </c>
      <c r="AR128" s="3">
        <f>[9]Unemployment!$AB10</f>
        <v>337.70000000000005</v>
      </c>
      <c r="AS128">
        <f>[2]Indicators!BC10</f>
        <v>32.299999999999997</v>
      </c>
      <c r="AT128">
        <f>[2]Indicators!BD10</f>
        <v>23.642800000000001</v>
      </c>
      <c r="AU128">
        <f>[2]Indicators!BE10</f>
        <v>97.980200000000011</v>
      </c>
    </row>
    <row r="129" spans="1:47" x14ac:dyDescent="0.25">
      <c r="A129" s="1">
        <v>22129</v>
      </c>
      <c r="B129" s="2">
        <f>[2]Indicators!G11</f>
        <v>332.24</v>
      </c>
      <c r="C129" s="2">
        <f>[2]Indicators!H11</f>
        <v>45.765000000000001</v>
      </c>
      <c r="D129" s="2">
        <f>[2]Indicators!I11</f>
        <v>131.42600000000002</v>
      </c>
      <c r="E129" s="2">
        <f>[2]Indicators!J11</f>
        <v>155.04900000000001</v>
      </c>
      <c r="M129" s="2">
        <f>[2]Indicators!AB11</f>
        <v>23.045200000000001</v>
      </c>
      <c r="N129" s="2">
        <f>[8]m!$C131</f>
        <v>2.98</v>
      </c>
      <c r="O129">
        <f>[9]Unemployment!$B11</f>
        <v>5.6000000000000005</v>
      </c>
      <c r="Q129">
        <f>[5]m!$B131</f>
        <v>29.61</v>
      </c>
      <c r="R129">
        <f>[5]m!$D131</f>
        <v>30.6</v>
      </c>
      <c r="S129">
        <f>[5]m!$Q131</f>
        <v>31.6</v>
      </c>
      <c r="T129">
        <f>[6]m!B131</f>
        <v>-349</v>
      </c>
      <c r="U129" s="2">
        <f>[9]Unemployment!$F11</f>
        <v>12.200000000000001</v>
      </c>
      <c r="V129" s="2"/>
      <c r="W129">
        <f>[9]Unemployment!$E11</f>
        <v>3946</v>
      </c>
      <c r="X129">
        <f>[9]Unemployment!N11</f>
        <v>1746</v>
      </c>
      <c r="Y129">
        <f>[9]Unemployment!O11</f>
        <v>1287</v>
      </c>
      <c r="Z129">
        <f>[9]Unemployment!P11-[9]Unemployment!Q11</f>
        <v>517</v>
      </c>
      <c r="AA129">
        <f>[9]Unemployment!$Q11</f>
        <v>410</v>
      </c>
      <c r="AB129" s="2">
        <f>[8]m!$C131</f>
        <v>2.98</v>
      </c>
      <c r="AC129" s="2">
        <f>[8]m!$F131</f>
        <v>3.8000000000000003</v>
      </c>
      <c r="AD129">
        <f>[9]Employment!$B11</f>
        <v>54272</v>
      </c>
      <c r="AE129" s="2">
        <f>[2]Indicators!$AB11</f>
        <v>23.045200000000001</v>
      </c>
      <c r="AF129" s="2">
        <f>[8]m!$AS131</f>
        <v>58.900000000000006</v>
      </c>
      <c r="AG129" s="2">
        <f>[8]m!$H131</f>
        <v>4.28</v>
      </c>
      <c r="AH129" s="2">
        <f>[8]m!$I131</f>
        <v>5.08</v>
      </c>
      <c r="AI129" s="2">
        <f>[7]m!C130</f>
        <v>2195</v>
      </c>
      <c r="AJ129" s="2">
        <f>[7]m!D130</f>
        <v>1925</v>
      </c>
      <c r="AK129" s="2">
        <f>[2]Surveys_m!$AB11</f>
        <v>47.6</v>
      </c>
      <c r="AL129" s="4">
        <f t="shared" si="1"/>
        <v>1730.0290135396529</v>
      </c>
      <c r="AN129" s="2">
        <v>35</v>
      </c>
      <c r="AQ129" s="3">
        <f>[9]LaborForce!$B10*[9]LaborForce!$C10/100</f>
        <v>69871.445000000007</v>
      </c>
      <c r="AR129" s="3">
        <f>[9]Unemployment!$AB11</f>
        <v>366.1</v>
      </c>
      <c r="AS129">
        <f>[2]Indicators!BC11</f>
        <v>32.4</v>
      </c>
      <c r="AT129">
        <f>[2]Indicators!BD11</f>
        <v>23.616500000000002</v>
      </c>
      <c r="AU129">
        <f>[2]Indicators!BE11</f>
        <v>97.542600000000007</v>
      </c>
    </row>
    <row r="130" spans="1:47" x14ac:dyDescent="0.25">
      <c r="A130" s="1">
        <v>22160</v>
      </c>
      <c r="B130" s="2">
        <f>[2]Indicators!G12</f>
        <v>334.03399999999999</v>
      </c>
      <c r="C130" s="2">
        <f>[2]Indicators!H12</f>
        <v>47.149000000000001</v>
      </c>
      <c r="D130" s="2">
        <f>[2]Indicators!I12</f>
        <v>131.12700000000001</v>
      </c>
      <c r="E130" s="2">
        <f>[2]Indicators!J12</f>
        <v>155.75900000000001</v>
      </c>
      <c r="M130" s="2">
        <f>[2]Indicators!AB12</f>
        <v>22.804000000000002</v>
      </c>
      <c r="N130" s="2">
        <f>[8]m!$C132</f>
        <v>2.6</v>
      </c>
      <c r="O130">
        <f>[9]Unemployment!$B12</f>
        <v>5.5</v>
      </c>
      <c r="Q130">
        <f>[5]m!$B132</f>
        <v>29.61</v>
      </c>
      <c r="R130">
        <f>[5]m!$D132</f>
        <v>30.6</v>
      </c>
      <c r="S130">
        <f>[5]m!$Q132</f>
        <v>31.6</v>
      </c>
      <c r="T130">
        <f>[6]m!B132</f>
        <v>2188</v>
      </c>
      <c r="U130" s="2">
        <f>[9]Unemployment!$F12</f>
        <v>12.9</v>
      </c>
      <c r="V130" s="2"/>
      <c r="W130">
        <f>[9]Unemployment!$E12</f>
        <v>3884</v>
      </c>
      <c r="X130">
        <f>[9]Unemployment!N12</f>
        <v>1677</v>
      </c>
      <c r="Y130">
        <f>[9]Unemployment!O12</f>
        <v>1213</v>
      </c>
      <c r="Z130">
        <f>[9]Unemployment!P12-[9]Unemployment!Q12</f>
        <v>516</v>
      </c>
      <c r="AA130">
        <f>[9]Unemployment!$Q12</f>
        <v>466</v>
      </c>
      <c r="AB130" s="2">
        <f>[8]m!$C132</f>
        <v>2.6</v>
      </c>
      <c r="AC130" s="2">
        <f>[8]m!$F132</f>
        <v>3.8000000000000003</v>
      </c>
      <c r="AD130">
        <f>[9]Employment!$B12</f>
        <v>54228</v>
      </c>
      <c r="AE130" s="2">
        <f>[2]Indicators!$AB12</f>
        <v>22.804000000000002</v>
      </c>
      <c r="AF130" s="2">
        <f>[8]m!$AS132</f>
        <v>59.400000000000006</v>
      </c>
      <c r="AG130" s="2">
        <f>[8]m!$H132</f>
        <v>4.25</v>
      </c>
      <c r="AH130" s="2">
        <f>[8]m!$I132</f>
        <v>5.01</v>
      </c>
      <c r="AI130" s="2">
        <f>[7]m!C131</f>
        <v>2144</v>
      </c>
      <c r="AJ130" s="2">
        <f>[7]m!D131</f>
        <v>1902</v>
      </c>
      <c r="AK130" s="2">
        <f>[2]Surveys_m!$AB12</f>
        <v>45.400000000000006</v>
      </c>
      <c r="AL130" s="4">
        <f t="shared" si="1"/>
        <v>1680.5996131528057</v>
      </c>
      <c r="AN130" s="2">
        <v>34</v>
      </c>
      <c r="AQ130" s="3">
        <f>[9]LaborForce!$B11*[9]LaborForce!$C11/100</f>
        <v>70160.036999999997</v>
      </c>
      <c r="AR130" s="3">
        <f>[9]Unemployment!$AB12</f>
        <v>353.8</v>
      </c>
      <c r="AS130">
        <f>[2]Indicators!BC12</f>
        <v>32.299999999999997</v>
      </c>
      <c r="AT130">
        <f>[2]Indicators!BD12</f>
        <v>23.588700000000003</v>
      </c>
      <c r="AU130">
        <f>[2]Indicators!BE12</f>
        <v>97.093699999999998</v>
      </c>
    </row>
    <row r="131" spans="1:47" x14ac:dyDescent="0.25">
      <c r="A131" s="1">
        <v>22190</v>
      </c>
      <c r="B131" s="2">
        <f>[2]Indicators!G13</f>
        <v>336.04599999999999</v>
      </c>
      <c r="C131" s="2">
        <f>[2]Indicators!H13</f>
        <v>46.679000000000002</v>
      </c>
      <c r="D131" s="2">
        <f>[2]Indicators!I13</f>
        <v>132.602</v>
      </c>
      <c r="E131" s="2">
        <f>[2]Indicators!J13</f>
        <v>156.76400000000001</v>
      </c>
      <c r="M131" s="2">
        <f>[2]Indicators!AB13</f>
        <v>22.777200000000001</v>
      </c>
      <c r="N131" s="2">
        <f>[8]m!$C133</f>
        <v>2.4700000000000002</v>
      </c>
      <c r="O131">
        <f>[9]Unemployment!$B13</f>
        <v>6.1000000000000005</v>
      </c>
      <c r="Q131">
        <f>[5]m!$B133</f>
        <v>29.75</v>
      </c>
      <c r="R131">
        <f>[5]m!$D133</f>
        <v>30.8</v>
      </c>
      <c r="S131">
        <f>[5]m!$Q133</f>
        <v>31.700000000000003</v>
      </c>
      <c r="T131">
        <f>[6]m!B133</f>
        <v>-4006</v>
      </c>
      <c r="U131" s="2">
        <f>[9]Unemployment!$F13</f>
        <v>13.5</v>
      </c>
      <c r="V131" s="2"/>
      <c r="W131">
        <f>[9]Unemployment!$E13</f>
        <v>4252</v>
      </c>
      <c r="X131">
        <f>[9]Unemployment!N13</f>
        <v>1766</v>
      </c>
      <c r="Y131">
        <f>[9]Unemployment!O13</f>
        <v>1282</v>
      </c>
      <c r="Z131">
        <f>[9]Unemployment!P13-[9]Unemployment!Q13</f>
        <v>623</v>
      </c>
      <c r="AA131">
        <f>[9]Unemployment!$Q13</f>
        <v>566</v>
      </c>
      <c r="AB131" s="2">
        <f>[8]m!$C133</f>
        <v>2.4700000000000002</v>
      </c>
      <c r="AC131" s="2">
        <f>[8]m!$F133</f>
        <v>3.89</v>
      </c>
      <c r="AD131">
        <f>[9]Employment!$B13</f>
        <v>54144</v>
      </c>
      <c r="AE131" s="2">
        <f>[2]Indicators!$AB13</f>
        <v>22.777200000000001</v>
      </c>
      <c r="AF131" s="2">
        <f>[8]m!$AS133</f>
        <v>59.6</v>
      </c>
      <c r="AG131" s="2">
        <f>[8]m!$H133</f>
        <v>4.3</v>
      </c>
      <c r="AH131" s="2">
        <f>[8]m!$I133</f>
        <v>5.1100000000000003</v>
      </c>
      <c r="AI131" s="2">
        <f>[7]m!C132</f>
        <v>2145</v>
      </c>
      <c r="AJ131" s="2">
        <f>[7]m!D132</f>
        <v>1867</v>
      </c>
      <c r="AK131" s="2">
        <f>[2]Surveys_m!$AB13</f>
        <v>46</v>
      </c>
      <c r="AL131" s="4">
        <f t="shared" si="1"/>
        <v>1581.7408123791113</v>
      </c>
      <c r="AN131" s="2">
        <v>32</v>
      </c>
      <c r="AQ131" s="3">
        <f>[9]LaborForce!$B12*[9]LaborForce!$C12/100</f>
        <v>69879.94200000001</v>
      </c>
      <c r="AR131" s="3">
        <f>[9]Unemployment!$AB13</f>
        <v>375.70000000000005</v>
      </c>
      <c r="AS131">
        <f>[2]Indicators!BC13</f>
        <v>32.299999999999997</v>
      </c>
      <c r="AT131">
        <f>[2]Indicators!BD13</f>
        <v>23.578900000000001</v>
      </c>
      <c r="AU131">
        <f>[2]Indicators!BE13</f>
        <v>96.713700000000003</v>
      </c>
    </row>
    <row r="132" spans="1:47" x14ac:dyDescent="0.25">
      <c r="A132" s="1">
        <v>22221</v>
      </c>
      <c r="B132" s="2">
        <f>[2]Indicators!G14</f>
        <v>336.024</v>
      </c>
      <c r="C132" s="2">
        <f>[2]Indicators!H14</f>
        <v>45.057000000000002</v>
      </c>
      <c r="D132" s="2">
        <f>[2]Indicators!I14</f>
        <v>133.108</v>
      </c>
      <c r="E132" s="2">
        <f>[2]Indicators!J14</f>
        <v>157.85900000000001</v>
      </c>
      <c r="M132" s="2">
        <f>[2]Indicators!AB14</f>
        <v>22.4557</v>
      </c>
      <c r="N132" s="2">
        <f>[8]m!$C134</f>
        <v>2.44</v>
      </c>
      <c r="O132">
        <f>[9]Unemployment!$B14</f>
        <v>6.1000000000000005</v>
      </c>
      <c r="Q132">
        <f>[5]m!$B134</f>
        <v>29.78</v>
      </c>
      <c r="R132">
        <f>[5]m!$D134</f>
        <v>30.8</v>
      </c>
      <c r="S132">
        <f>[5]m!$Q134</f>
        <v>31.700000000000003</v>
      </c>
      <c r="T132">
        <f>[6]m!B134</f>
        <v>-473</v>
      </c>
      <c r="U132" s="2">
        <f>[9]Unemployment!$F14</f>
        <v>13.9</v>
      </c>
      <c r="V132" s="2"/>
      <c r="W132">
        <f>[9]Unemployment!$E14</f>
        <v>4330</v>
      </c>
      <c r="X132">
        <f>[9]Unemployment!N14</f>
        <v>1718</v>
      </c>
      <c r="Y132">
        <f>[9]Unemployment!O14</f>
        <v>1367</v>
      </c>
      <c r="Z132">
        <f>[9]Unemployment!P14-[9]Unemployment!Q14</f>
        <v>673</v>
      </c>
      <c r="AA132">
        <f>[9]Unemployment!$Q14</f>
        <v>550</v>
      </c>
      <c r="AB132" s="2">
        <f>[8]m!$C134</f>
        <v>2.44</v>
      </c>
      <c r="AC132" s="2">
        <f>[8]m!$F134</f>
        <v>3.93</v>
      </c>
      <c r="AD132">
        <f>[9]Employment!$B14</f>
        <v>53962</v>
      </c>
      <c r="AE132" s="2">
        <f>[2]Indicators!$AB14</f>
        <v>22.4557</v>
      </c>
      <c r="AF132" s="2">
        <f>[8]m!$AS134</f>
        <v>59.900000000000006</v>
      </c>
      <c r="AG132" s="2">
        <f>[8]m!$H134</f>
        <v>4.3100000000000005</v>
      </c>
      <c r="AH132" s="2">
        <f>[8]m!$I134</f>
        <v>5.08</v>
      </c>
      <c r="AI132" s="2">
        <f>[7]m!C133</f>
        <v>2212</v>
      </c>
      <c r="AJ132" s="2">
        <f>[7]m!D133</f>
        <v>1828</v>
      </c>
      <c r="AK132" s="2">
        <f>[2]Surveys_m!$AB14</f>
        <v>44.300000000000004</v>
      </c>
      <c r="AL132" s="4">
        <f t="shared" si="1"/>
        <v>1581.7408123791113</v>
      </c>
      <c r="AN132" s="2">
        <v>32</v>
      </c>
      <c r="AQ132" s="3">
        <f>[9]LaborForce!$B13*[9]LaborForce!$C13/100</f>
        <v>70461.741999999998</v>
      </c>
      <c r="AR132" s="3">
        <f>[9]Unemployment!$AB14</f>
        <v>387.6</v>
      </c>
      <c r="AS132">
        <f>[2]Indicators!BC14</f>
        <v>32.200000000000003</v>
      </c>
      <c r="AT132">
        <f>[2]Indicators!BD14</f>
        <v>23.601100000000002</v>
      </c>
      <c r="AU132">
        <f>[2]Indicators!BE14</f>
        <v>96.459100000000007</v>
      </c>
    </row>
    <row r="133" spans="1:47" x14ac:dyDescent="0.25">
      <c r="A133" s="1">
        <v>22251</v>
      </c>
      <c r="B133" s="2">
        <f>[2]Indicators!G15</f>
        <v>331.97199999999998</v>
      </c>
      <c r="C133" s="2">
        <f>[2]Indicators!H15</f>
        <v>42.332999999999998</v>
      </c>
      <c r="D133" s="2">
        <f>[2]Indicators!I15</f>
        <v>131.53</v>
      </c>
      <c r="E133" s="2">
        <f>[2]Indicators!J15</f>
        <v>158.10900000000001</v>
      </c>
      <c r="M133" s="2">
        <f>[2]Indicators!AB15</f>
        <v>22.026900000000001</v>
      </c>
      <c r="N133" s="2">
        <f>[8]m!$C135</f>
        <v>1.98</v>
      </c>
      <c r="O133">
        <f>[9]Unemployment!$B15</f>
        <v>6.6000000000000005</v>
      </c>
      <c r="Q133">
        <f>[5]m!$B135</f>
        <v>29.810000000000002</v>
      </c>
      <c r="R133">
        <f>[5]m!$D135</f>
        <v>30.7</v>
      </c>
      <c r="S133">
        <f>[5]m!$Q135</f>
        <v>31.700000000000003</v>
      </c>
      <c r="T133">
        <f>[6]m!B135</f>
        <v>796</v>
      </c>
      <c r="U133" s="2">
        <f>[9]Unemployment!$F15</f>
        <v>12.4</v>
      </c>
      <c r="V133" s="2"/>
      <c r="W133">
        <f>[9]Unemployment!$E15</f>
        <v>4617</v>
      </c>
      <c r="X133">
        <f>[9]Unemployment!N15</f>
        <v>2102</v>
      </c>
      <c r="Y133">
        <f>[9]Unemployment!O15</f>
        <v>1468</v>
      </c>
      <c r="Z133">
        <f>[9]Unemployment!P15-[9]Unemployment!Q15</f>
        <v>588</v>
      </c>
      <c r="AA133">
        <f>[9]Unemployment!$Q15</f>
        <v>554</v>
      </c>
      <c r="AB133" s="2">
        <f>[8]m!$C135</f>
        <v>1.98</v>
      </c>
      <c r="AC133" s="2">
        <f>[8]m!$F135</f>
        <v>3.84</v>
      </c>
      <c r="AD133">
        <f>[9]Employment!$B15</f>
        <v>53743</v>
      </c>
      <c r="AE133" s="2">
        <f>[2]Indicators!$AB15</f>
        <v>22.026900000000001</v>
      </c>
      <c r="AF133" s="2">
        <f>[8]m!$AS135</f>
        <v>60</v>
      </c>
      <c r="AG133" s="2">
        <f>[8]m!$H135</f>
        <v>4.3500000000000005</v>
      </c>
      <c r="AH133" s="2">
        <f>[8]m!$I135</f>
        <v>5.1000000000000005</v>
      </c>
      <c r="AI133" s="2">
        <f>[7]m!C134</f>
        <v>2200</v>
      </c>
      <c r="AJ133" s="2">
        <f>[7]m!D134</f>
        <v>1793</v>
      </c>
      <c r="AK133" s="2">
        <f>[2]Surveys_m!$AB15</f>
        <v>44.300000000000004</v>
      </c>
      <c r="AL133" s="4">
        <f t="shared" si="1"/>
        <v>1482.8820116054169</v>
      </c>
      <c r="AN133" s="2">
        <v>30</v>
      </c>
      <c r="AQ133" s="3">
        <f>[9]LaborForce!$B14*[9]LaborForce!$C14/100</f>
        <v>70446.597000000009</v>
      </c>
      <c r="AR133" s="3">
        <f>[9]Unemployment!$AB15</f>
        <v>383.90000000000003</v>
      </c>
      <c r="AS133">
        <f>[2]Indicators!BC15</f>
        <v>32.299999999999997</v>
      </c>
      <c r="AT133">
        <f>[2]Indicators!BD15</f>
        <v>23.675700000000003</v>
      </c>
      <c r="AU133">
        <f>[2]Indicators!BE15</f>
        <v>96.411300000000011</v>
      </c>
    </row>
    <row r="134" spans="1:47" x14ac:dyDescent="0.25">
      <c r="A134" s="1">
        <v>22282</v>
      </c>
      <c r="B134" s="2">
        <f>[2]Indicators!G16</f>
        <v>332.851</v>
      </c>
      <c r="C134" s="2">
        <f>[2]Indicators!H16</f>
        <v>41.606000000000002</v>
      </c>
      <c r="D134" s="2">
        <f>[2]Indicators!I16</f>
        <v>132.31100000000001</v>
      </c>
      <c r="E134" s="2">
        <f>[2]Indicators!J16</f>
        <v>158.934</v>
      </c>
      <c r="M134" s="2">
        <f>[2]Indicators!AB16</f>
        <v>22.053700000000003</v>
      </c>
      <c r="N134" s="2">
        <f>[8]m!$C136</f>
        <v>1.45</v>
      </c>
      <c r="O134">
        <f>[9]Unemployment!$B16</f>
        <v>6.6000000000000005</v>
      </c>
      <c r="Q134">
        <f>[5]m!$B136</f>
        <v>29.84</v>
      </c>
      <c r="R134">
        <f>[5]m!$D136</f>
        <v>30.8</v>
      </c>
      <c r="S134">
        <f>[5]m!$Q136</f>
        <v>31.8</v>
      </c>
      <c r="T134">
        <f>[6]m!B136</f>
        <v>-1624</v>
      </c>
      <c r="U134" s="2">
        <f>[9]Unemployment!$F16</f>
        <v>13.700000000000001</v>
      </c>
      <c r="V134" s="2"/>
      <c r="W134">
        <f>[9]Unemployment!$E16</f>
        <v>4671</v>
      </c>
      <c r="X134">
        <f>[9]Unemployment!N16</f>
        <v>1884</v>
      </c>
      <c r="Y134">
        <f>[9]Unemployment!O16</f>
        <v>1477</v>
      </c>
      <c r="Z134">
        <f>[9]Unemployment!P16-[9]Unemployment!Q16</f>
        <v>688</v>
      </c>
      <c r="AA134">
        <f>[9]Unemployment!$Q16</f>
        <v>640</v>
      </c>
      <c r="AB134" s="2">
        <f>[8]m!$C136</f>
        <v>1.45</v>
      </c>
      <c r="AC134" s="2">
        <f>[8]m!$F136</f>
        <v>3.84</v>
      </c>
      <c r="AD134">
        <f>[9]Employment!$B16</f>
        <v>53683</v>
      </c>
      <c r="AE134" s="2">
        <f>[2]Indicators!$AB16</f>
        <v>22.053700000000003</v>
      </c>
      <c r="AF134" s="2">
        <f>[8]m!$AS136</f>
        <v>60.7</v>
      </c>
      <c r="AG134" s="2">
        <f>[8]m!$H136</f>
        <v>4.32</v>
      </c>
      <c r="AH134" s="2">
        <f>[8]m!$I136</f>
        <v>5.1000000000000005</v>
      </c>
      <c r="AI134" s="2">
        <f>[7]m!C135</f>
        <v>2158</v>
      </c>
      <c r="AJ134" s="2">
        <f>[7]m!D135</f>
        <v>1773</v>
      </c>
      <c r="AK134" s="2">
        <f>[2]Surveys_m!$AB16</f>
        <v>43.900000000000006</v>
      </c>
      <c r="AL134" s="4">
        <f t="shared" si="1"/>
        <v>1482.8820116054169</v>
      </c>
      <c r="AN134" s="2">
        <v>30</v>
      </c>
      <c r="AQ134" s="3">
        <f>[9]LaborForce!$B15*[9]LaborForce!$C15/100</f>
        <v>70420.38</v>
      </c>
      <c r="AR134" s="3">
        <f>[9]Unemployment!$AB16</f>
        <v>396</v>
      </c>
      <c r="AS134">
        <f>[2]Indicators!BC16</f>
        <v>32.5</v>
      </c>
      <c r="AT134">
        <f>[2]Indicators!BD16</f>
        <v>23.8186</v>
      </c>
      <c r="AU134">
        <f>[2]Indicators!BE16</f>
        <v>96.632200000000012</v>
      </c>
    </row>
    <row r="135" spans="1:47" x14ac:dyDescent="0.25">
      <c r="A135" s="1">
        <v>22313</v>
      </c>
      <c r="B135" s="2">
        <f>[2]Indicators!G17</f>
        <v>334.40000000000003</v>
      </c>
      <c r="C135" s="2">
        <f>[2]Indicators!H17</f>
        <v>41.919000000000004</v>
      </c>
      <c r="D135" s="2">
        <f>[2]Indicators!I17</f>
        <v>133.29</v>
      </c>
      <c r="E135" s="2">
        <f>[2]Indicators!J17</f>
        <v>159.19</v>
      </c>
      <c r="M135" s="2">
        <f>[2]Indicators!AB17</f>
        <v>22.026900000000001</v>
      </c>
      <c r="N135" s="2">
        <f>[8]m!$C137</f>
        <v>2.54</v>
      </c>
      <c r="O135">
        <f>[9]Unemployment!$B17</f>
        <v>6.9</v>
      </c>
      <c r="Q135">
        <f>[5]m!$B137</f>
        <v>29.84</v>
      </c>
      <c r="R135">
        <f>[5]m!$D137</f>
        <v>30.8</v>
      </c>
      <c r="S135">
        <f>[5]m!$Q137</f>
        <v>31.8</v>
      </c>
      <c r="T135">
        <f>[6]m!B137</f>
        <v>301</v>
      </c>
      <c r="U135" s="2">
        <f>[9]Unemployment!$F17</f>
        <v>13.600000000000001</v>
      </c>
      <c r="V135" s="2"/>
      <c r="W135">
        <f>[9]Unemployment!$E17</f>
        <v>4832</v>
      </c>
      <c r="X135">
        <f>[9]Unemployment!N17</f>
        <v>2037</v>
      </c>
      <c r="Y135">
        <f>[9]Unemployment!O17</f>
        <v>1407</v>
      </c>
      <c r="Z135">
        <f>[9]Unemployment!P17-[9]Unemployment!Q17</f>
        <v>751</v>
      </c>
      <c r="AA135">
        <f>[9]Unemployment!$Q17</f>
        <v>665</v>
      </c>
      <c r="AB135" s="2">
        <f>[8]m!$C137</f>
        <v>2.54</v>
      </c>
      <c r="AC135" s="2">
        <f>[8]m!$F137</f>
        <v>3.7800000000000002</v>
      </c>
      <c r="AD135">
        <f>[9]Employment!$B17</f>
        <v>53556</v>
      </c>
      <c r="AE135" s="2">
        <f>[2]Indicators!$AB17</f>
        <v>22.026900000000001</v>
      </c>
      <c r="AF135" s="2">
        <f>[8]m!$AS137</f>
        <v>60.300000000000004</v>
      </c>
      <c r="AG135" s="2">
        <f>[8]m!$H137</f>
        <v>4.2700000000000005</v>
      </c>
      <c r="AH135" s="2">
        <f>[8]m!$I137</f>
        <v>5.07</v>
      </c>
      <c r="AI135" s="2">
        <f>[7]m!C136</f>
        <v>2116</v>
      </c>
      <c r="AJ135" s="2">
        <f>[7]m!D136</f>
        <v>1791</v>
      </c>
      <c r="AK135" s="2">
        <f>[2]Surveys_m!$AB17</f>
        <v>43.6</v>
      </c>
      <c r="AL135" s="4">
        <f t="shared" si="1"/>
        <v>1482.8820116054169</v>
      </c>
      <c r="AN135" s="2">
        <v>30</v>
      </c>
      <c r="AQ135" s="3">
        <f>[9]LaborForce!$B16*[9]LaborForce!$C16/100</f>
        <v>70477</v>
      </c>
      <c r="AR135" s="3">
        <f>[9]Unemployment!$AB17</f>
        <v>432.6</v>
      </c>
      <c r="AS135">
        <f>[2]Indicators!BC17</f>
        <v>32.700000000000003</v>
      </c>
      <c r="AT135">
        <f>[2]Indicators!BD17</f>
        <v>24.034200000000002</v>
      </c>
      <c r="AU135">
        <f>[2]Indicators!BE17</f>
        <v>97.136400000000009</v>
      </c>
    </row>
    <row r="136" spans="1:47" x14ac:dyDescent="0.25">
      <c r="A136" s="1">
        <v>22341</v>
      </c>
      <c r="B136" s="2">
        <f>[2]Indicators!G18</f>
        <v>338.35500000000002</v>
      </c>
      <c r="C136" s="2">
        <f>[2]Indicators!H18</f>
        <v>43.195</v>
      </c>
      <c r="D136" s="2">
        <f>[2]Indicators!I18</f>
        <v>134.601</v>
      </c>
      <c r="E136" s="2">
        <f>[2]Indicators!J18</f>
        <v>160.55799999999999</v>
      </c>
      <c r="M136" s="2">
        <f>[2]Indicators!AB18</f>
        <v>22.160900000000002</v>
      </c>
      <c r="N136" s="2">
        <f>[8]m!$C138</f>
        <v>2.02</v>
      </c>
      <c r="O136">
        <f>[9]Unemployment!$B18</f>
        <v>6.9</v>
      </c>
      <c r="Q136">
        <f>[5]m!$B138</f>
        <v>29.84</v>
      </c>
      <c r="R136">
        <f>[5]m!$D138</f>
        <v>30.900000000000002</v>
      </c>
      <c r="S136">
        <f>[5]m!$Q138</f>
        <v>31.8</v>
      </c>
      <c r="T136">
        <f>[6]m!B138</f>
        <v>1512</v>
      </c>
      <c r="U136" s="2">
        <f>[9]Unemployment!$F18</f>
        <v>14.100000000000001</v>
      </c>
      <c r="V136" s="2"/>
      <c r="W136">
        <f>[9]Unemployment!$E18</f>
        <v>4853</v>
      </c>
      <c r="X136">
        <f>[9]Unemployment!N18</f>
        <v>1863</v>
      </c>
      <c r="Y136">
        <f>[9]Unemployment!O18</f>
        <v>1476</v>
      </c>
      <c r="Z136">
        <f>[9]Unemployment!P18-[9]Unemployment!Q18</f>
        <v>769</v>
      </c>
      <c r="AA136">
        <f>[9]Unemployment!$Q18</f>
        <v>694</v>
      </c>
      <c r="AB136" s="2">
        <f>[8]m!$C138</f>
        <v>2.02</v>
      </c>
      <c r="AC136" s="2">
        <f>[8]m!$F138</f>
        <v>3.74</v>
      </c>
      <c r="AD136">
        <f>[9]Employment!$B18</f>
        <v>53662</v>
      </c>
      <c r="AE136" s="2">
        <f>[2]Indicators!$AB18</f>
        <v>22.160900000000002</v>
      </c>
      <c r="AF136" s="2">
        <f>[8]m!$AS138</f>
        <v>60.5</v>
      </c>
      <c r="AG136" s="2">
        <f>[8]m!$H138</f>
        <v>4.22</v>
      </c>
      <c r="AH136" s="2">
        <f>[8]m!$I138</f>
        <v>5.0200000000000005</v>
      </c>
      <c r="AI136" s="2">
        <f>[7]m!C137</f>
        <v>2202</v>
      </c>
      <c r="AJ136" s="2">
        <f>[7]m!D137</f>
        <v>1791</v>
      </c>
      <c r="AK136" s="2">
        <f>[2]Surveys_m!$AB18</f>
        <v>49.1</v>
      </c>
      <c r="AL136" s="4">
        <f t="shared" si="1"/>
        <v>1482.8820116054169</v>
      </c>
      <c r="AN136" s="2">
        <v>30</v>
      </c>
      <c r="AQ136" s="3">
        <f>[9]LaborForce!$B17*[9]LaborForce!$C17/100</f>
        <v>70659.72600000001</v>
      </c>
      <c r="AR136" s="3">
        <f>[9]Unemployment!$AB18</f>
        <v>381.5</v>
      </c>
      <c r="AS136">
        <f>[2]Indicators!BC18</f>
        <v>33.200000000000003</v>
      </c>
      <c r="AT136">
        <f>[2]Indicators!BD18</f>
        <v>24.316800000000001</v>
      </c>
      <c r="AU136">
        <f>[2]Indicators!BE18</f>
        <v>97.897100000000009</v>
      </c>
    </row>
    <row r="137" spans="1:47" x14ac:dyDescent="0.25">
      <c r="A137" s="1">
        <v>22372</v>
      </c>
      <c r="B137" s="2">
        <f>[2]Indicators!G19</f>
        <v>338.33499999999998</v>
      </c>
      <c r="C137" s="2">
        <f>[2]Indicators!H19</f>
        <v>42.733000000000004</v>
      </c>
      <c r="D137" s="2">
        <f>[2]Indicators!I19</f>
        <v>133.89699999999999</v>
      </c>
      <c r="E137" s="2">
        <f>[2]Indicators!J19</f>
        <v>161.70500000000001</v>
      </c>
      <c r="M137" s="2">
        <f>[2]Indicators!AB19</f>
        <v>22.616500000000002</v>
      </c>
      <c r="N137" s="2">
        <f>[8]m!$C139</f>
        <v>1.49</v>
      </c>
      <c r="O137">
        <f>[9]Unemployment!$B19</f>
        <v>7</v>
      </c>
      <c r="Q137">
        <f>[5]m!$B139</f>
        <v>29.810000000000002</v>
      </c>
      <c r="R137">
        <f>[5]m!$D139</f>
        <v>30.900000000000002</v>
      </c>
      <c r="S137">
        <f>[5]m!$Q139</f>
        <v>31.6</v>
      </c>
      <c r="T137">
        <f>[6]m!B139</f>
        <v>-1325</v>
      </c>
      <c r="U137" s="2">
        <f>[9]Unemployment!$F19</f>
        <v>15.5</v>
      </c>
      <c r="V137" s="2"/>
      <c r="W137">
        <f>[9]Unemployment!$E19</f>
        <v>4893</v>
      </c>
      <c r="X137">
        <f>[9]Unemployment!N19</f>
        <v>1729</v>
      </c>
      <c r="Y137">
        <f>[9]Unemployment!O19</f>
        <v>1427</v>
      </c>
      <c r="Z137">
        <f>[9]Unemployment!P19-[9]Unemployment!Q19</f>
        <v>796</v>
      </c>
      <c r="AA137">
        <f>[9]Unemployment!$Q19</f>
        <v>802</v>
      </c>
      <c r="AB137" s="2">
        <f>[8]m!$C139</f>
        <v>1.49</v>
      </c>
      <c r="AC137" s="2">
        <f>[8]m!$F139</f>
        <v>3.7800000000000002</v>
      </c>
      <c r="AD137">
        <f>[9]Employment!$B19</f>
        <v>53626</v>
      </c>
      <c r="AE137" s="2">
        <f>[2]Indicators!$AB19</f>
        <v>22.616500000000002</v>
      </c>
      <c r="AF137" s="2">
        <f>[8]m!$AS139</f>
        <v>60.1</v>
      </c>
      <c r="AG137" s="2">
        <f>[8]m!$H139</f>
        <v>4.25</v>
      </c>
      <c r="AH137" s="2">
        <f>[8]m!$I139</f>
        <v>5.01</v>
      </c>
      <c r="AI137" s="2">
        <f>[7]m!C138</f>
        <v>2249</v>
      </c>
      <c r="AJ137" s="2">
        <f>[7]m!D138</f>
        <v>1801</v>
      </c>
      <c r="AK137" s="2">
        <f>[2]Surveys_m!$AB19</f>
        <v>57.6</v>
      </c>
      <c r="AL137" s="4">
        <f t="shared" si="1"/>
        <v>1482.8820116054169</v>
      </c>
      <c r="AN137" s="2">
        <v>30</v>
      </c>
      <c r="AQ137" s="3">
        <f>[9]LaborForce!$B18*[9]LaborForce!$C18/100</f>
        <v>70272.27900000001</v>
      </c>
      <c r="AR137" s="3">
        <f>[9]Unemployment!$AB19</f>
        <v>383.8</v>
      </c>
      <c r="AS137">
        <f>[2]Indicators!BC19</f>
        <v>33.5</v>
      </c>
      <c r="AT137">
        <f>[2]Indicators!BD19</f>
        <v>24.6401</v>
      </c>
      <c r="AU137">
        <f>[2]Indicators!BE19</f>
        <v>98.806000000000012</v>
      </c>
    </row>
    <row r="138" spans="1:47" x14ac:dyDescent="0.25">
      <c r="A138" s="1">
        <v>22402</v>
      </c>
      <c r="B138" s="2">
        <f>[2]Indicators!G20</f>
        <v>340.572</v>
      </c>
      <c r="C138" s="2">
        <f>[2]Indicators!H20</f>
        <v>43.457000000000001</v>
      </c>
      <c r="D138" s="2">
        <f>[2]Indicators!I20</f>
        <v>134.29400000000001</v>
      </c>
      <c r="E138" s="2">
        <f>[2]Indicators!J20</f>
        <v>162.822</v>
      </c>
      <c r="M138" s="2">
        <f>[2]Indicators!AB20</f>
        <v>22.9648</v>
      </c>
      <c r="N138" s="2">
        <f>[8]m!$C140</f>
        <v>1.98</v>
      </c>
      <c r="O138">
        <f>[9]Unemployment!$B20</f>
        <v>7.1000000000000005</v>
      </c>
      <c r="Q138">
        <f>[5]m!$B140</f>
        <v>29.84</v>
      </c>
      <c r="R138">
        <f>[5]m!$D140</f>
        <v>30.900000000000002</v>
      </c>
      <c r="S138">
        <f>[5]m!$Q140</f>
        <v>31.5</v>
      </c>
      <c r="T138">
        <f>[6]m!B140</f>
        <v>-702</v>
      </c>
      <c r="U138" s="2">
        <f>[9]Unemployment!$F20</f>
        <v>15.600000000000001</v>
      </c>
      <c r="V138" s="2"/>
      <c r="W138">
        <f>[9]Unemployment!$E20</f>
        <v>5003</v>
      </c>
      <c r="X138">
        <f>[9]Unemployment!N20</f>
        <v>1748</v>
      </c>
      <c r="Y138">
        <f>[9]Unemployment!O20</f>
        <v>1432</v>
      </c>
      <c r="Z138">
        <f>[9]Unemployment!P20-[9]Unemployment!Q20</f>
        <v>827</v>
      </c>
      <c r="AA138">
        <f>[9]Unemployment!$Q20</f>
        <v>859</v>
      </c>
      <c r="AB138" s="2">
        <f>[8]m!$C140</f>
        <v>1.98</v>
      </c>
      <c r="AC138" s="2">
        <f>[8]m!$F140</f>
        <v>3.71</v>
      </c>
      <c r="AD138">
        <f>[9]Employment!$B20</f>
        <v>53783</v>
      </c>
      <c r="AE138" s="2">
        <f>[2]Indicators!$AB20</f>
        <v>22.9648</v>
      </c>
      <c r="AF138" s="2">
        <f>[8]m!$AS140</f>
        <v>60.2</v>
      </c>
      <c r="AG138" s="2">
        <f>[8]m!$H140</f>
        <v>4.2700000000000005</v>
      </c>
      <c r="AH138" s="2">
        <f>[8]m!$I140</f>
        <v>5.01</v>
      </c>
      <c r="AI138" s="2">
        <f>[7]m!C139</f>
        <v>2223</v>
      </c>
      <c r="AJ138" s="2">
        <f>[7]m!D139</f>
        <v>1799</v>
      </c>
      <c r="AK138" s="2">
        <f>[2]Surveys_m!$AB20</f>
        <v>58.900000000000006</v>
      </c>
      <c r="AL138" s="4">
        <f t="shared" si="1"/>
        <v>1581.7408123791113</v>
      </c>
      <c r="AN138" s="2">
        <v>32</v>
      </c>
      <c r="AQ138" s="3">
        <f>[9]LaborForce!$B19*[9]LaborForce!$C19/100</f>
        <v>70470.972000000009</v>
      </c>
      <c r="AR138" s="3">
        <f>[9]Unemployment!$AB20</f>
        <v>360.5</v>
      </c>
      <c r="AS138">
        <f>[2]Indicators!BC20</f>
        <v>33.799999999999997</v>
      </c>
      <c r="AT138">
        <f>[2]Indicators!BD20</f>
        <v>24.974900000000002</v>
      </c>
      <c r="AU138">
        <f>[2]Indicators!BE20</f>
        <v>99.74430000000001</v>
      </c>
    </row>
    <row r="139" spans="1:47" x14ac:dyDescent="0.25">
      <c r="A139" s="1">
        <v>22433</v>
      </c>
      <c r="B139" s="2">
        <f>[2]Indicators!G21</f>
        <v>341.57</v>
      </c>
      <c r="C139" s="2">
        <f>[2]Indicators!H21</f>
        <v>43.77</v>
      </c>
      <c r="D139" s="2">
        <f>[2]Indicators!I21</f>
        <v>134.54300000000001</v>
      </c>
      <c r="E139" s="2">
        <f>[2]Indicators!J21</f>
        <v>163.25700000000001</v>
      </c>
      <c r="M139" s="2">
        <f>[2]Indicators!AB21</f>
        <v>23.2864</v>
      </c>
      <c r="N139" s="2">
        <f>[8]m!$C141</f>
        <v>1.73</v>
      </c>
      <c r="O139">
        <f>[9]Unemployment!$B21</f>
        <v>6.9</v>
      </c>
      <c r="Q139">
        <f>[5]m!$B141</f>
        <v>29.84</v>
      </c>
      <c r="R139">
        <f>[5]m!$D141</f>
        <v>31</v>
      </c>
      <c r="S139">
        <f>[5]m!$Q141</f>
        <v>31.3</v>
      </c>
      <c r="T139">
        <f>[6]m!B141</f>
        <v>2870</v>
      </c>
      <c r="U139" s="2">
        <f>[9]Unemployment!$F21</f>
        <v>16.2</v>
      </c>
      <c r="V139" s="2"/>
      <c r="W139">
        <f>[9]Unemployment!$E21</f>
        <v>4885</v>
      </c>
      <c r="X139">
        <f>[9]Unemployment!N21</f>
        <v>1841</v>
      </c>
      <c r="Y139">
        <f>[9]Unemployment!O21</f>
        <v>1419</v>
      </c>
      <c r="Z139">
        <f>[9]Unemployment!P21-[9]Unemployment!Q21</f>
        <v>723</v>
      </c>
      <c r="AA139">
        <f>[9]Unemployment!$Q21</f>
        <v>928</v>
      </c>
      <c r="AB139" s="2">
        <f>[8]m!$C141</f>
        <v>1.73</v>
      </c>
      <c r="AC139" s="2">
        <f>[8]m!$F141</f>
        <v>3.88</v>
      </c>
      <c r="AD139">
        <f>[9]Employment!$B21</f>
        <v>53977</v>
      </c>
      <c r="AE139" s="2">
        <f>[2]Indicators!$AB21</f>
        <v>23.2864</v>
      </c>
      <c r="AF139" s="2">
        <f>[8]m!$AS141</f>
        <v>60.300000000000004</v>
      </c>
      <c r="AG139" s="2">
        <f>[8]m!$H141</f>
        <v>4.33</v>
      </c>
      <c r="AH139" s="2">
        <f>[8]m!$I141</f>
        <v>5.03</v>
      </c>
      <c r="AI139" s="2">
        <f>[7]m!C140</f>
        <v>2164</v>
      </c>
      <c r="AJ139" s="2">
        <f>[7]m!D140</f>
        <v>1803</v>
      </c>
      <c r="AK139" s="2">
        <f>[2]Surveys_m!$AB21</f>
        <v>58.1</v>
      </c>
      <c r="AL139" s="4">
        <f t="shared" si="1"/>
        <v>1581.7408123791113</v>
      </c>
      <c r="AN139" s="2">
        <v>32</v>
      </c>
      <c r="AQ139" s="3">
        <f>[9]LaborForce!$B20*[9]LaborForce!$C20/100</f>
        <v>70903.899000000005</v>
      </c>
      <c r="AR139" s="3">
        <f>[9]Unemployment!$AB21</f>
        <v>336.20000000000005</v>
      </c>
      <c r="AS139">
        <f>[2]Indicators!BC21</f>
        <v>34.200000000000003</v>
      </c>
      <c r="AT139">
        <f>[2]Indicators!BD21</f>
        <v>25.3002</v>
      </c>
      <c r="AU139">
        <f>[2]Indicators!BE21</f>
        <v>100.6277</v>
      </c>
    </row>
    <row r="140" spans="1:47" x14ac:dyDescent="0.25">
      <c r="A140" s="1">
        <v>22463</v>
      </c>
      <c r="B140" s="2">
        <f>[2]Indicators!G22</f>
        <v>341.27699999999999</v>
      </c>
      <c r="C140" s="2">
        <f>[2]Indicators!H22</f>
        <v>44.146000000000001</v>
      </c>
      <c r="D140" s="2">
        <f>[2]Indicators!I22</f>
        <v>133.89699999999999</v>
      </c>
      <c r="E140" s="2">
        <f>[2]Indicators!J22</f>
        <v>163.23400000000001</v>
      </c>
      <c r="M140" s="2">
        <f>[2]Indicators!AB22</f>
        <v>23.554300000000001</v>
      </c>
      <c r="N140" s="2">
        <f>[8]m!$C142</f>
        <v>1.17</v>
      </c>
      <c r="O140">
        <f>[9]Unemployment!$B22</f>
        <v>7</v>
      </c>
      <c r="Q140">
        <f>[5]m!$B142</f>
        <v>29.92</v>
      </c>
      <c r="R140">
        <f>[5]m!$D142</f>
        <v>31</v>
      </c>
      <c r="S140">
        <f>[5]m!$Q142</f>
        <v>31.5</v>
      </c>
      <c r="T140">
        <f>[6]m!B142</f>
        <v>-3340</v>
      </c>
      <c r="U140" s="2">
        <f>[9]Unemployment!$F22</f>
        <v>17.3</v>
      </c>
      <c r="V140" s="2"/>
      <c r="W140">
        <f>[9]Unemployment!$E22</f>
        <v>4928</v>
      </c>
      <c r="X140">
        <f>[9]Unemployment!N22</f>
        <v>1789</v>
      </c>
      <c r="Y140">
        <f>[9]Unemployment!O22</f>
        <v>1356</v>
      </c>
      <c r="Z140">
        <f>[9]Unemployment!P22-[9]Unemployment!Q22</f>
        <v>839</v>
      </c>
      <c r="AA140">
        <f>[9]Unemployment!$Q22</f>
        <v>991</v>
      </c>
      <c r="AB140" s="2">
        <f>[8]m!$C142</f>
        <v>1.17</v>
      </c>
      <c r="AC140" s="2">
        <f>[8]m!$F142</f>
        <v>3.92</v>
      </c>
      <c r="AD140">
        <f>[9]Employment!$B22</f>
        <v>54124</v>
      </c>
      <c r="AE140" s="2">
        <f>[2]Indicators!$AB22</f>
        <v>23.554300000000001</v>
      </c>
      <c r="AF140" s="2">
        <f>[8]m!$AS142</f>
        <v>60.400000000000006</v>
      </c>
      <c r="AG140" s="2">
        <f>[8]m!$H142</f>
        <v>4.41</v>
      </c>
      <c r="AH140" s="2">
        <f>[8]m!$I142</f>
        <v>5.09</v>
      </c>
      <c r="AI140" s="2">
        <f>[7]m!C141</f>
        <v>2207</v>
      </c>
      <c r="AJ140" s="2">
        <f>[7]m!D141</f>
        <v>1821</v>
      </c>
      <c r="AK140" s="2">
        <f>[2]Surveys_m!$AB22</f>
        <v>58.2</v>
      </c>
      <c r="AL140" s="4">
        <f t="shared" si="1"/>
        <v>1631.1702127659585</v>
      </c>
      <c r="AN140" s="2">
        <v>33</v>
      </c>
      <c r="AQ140" s="3">
        <f>[9]LaborForce!$B21*[9]LaborForce!$C21/100</f>
        <v>70501.176999999996</v>
      </c>
      <c r="AR140" s="3">
        <f>[9]Unemployment!$AB22</f>
        <v>350.90000000000003</v>
      </c>
      <c r="AS140">
        <f>[2]Indicators!BC22</f>
        <v>34.200000000000003</v>
      </c>
      <c r="AT140">
        <f>[2]Indicators!BD22</f>
        <v>25.596800000000002</v>
      </c>
      <c r="AU140">
        <f>[2]Indicators!BE22</f>
        <v>101.38080000000001</v>
      </c>
    </row>
    <row r="141" spans="1:47" x14ac:dyDescent="0.25">
      <c r="A141" s="1">
        <v>22494</v>
      </c>
      <c r="B141" s="2">
        <f>[2]Indicators!G23</f>
        <v>342.79</v>
      </c>
      <c r="C141" s="2">
        <f>[2]Indicators!H23</f>
        <v>44.597000000000001</v>
      </c>
      <c r="D141" s="2">
        <f>[2]Indicators!I23</f>
        <v>134.60900000000001</v>
      </c>
      <c r="E141" s="2">
        <f>[2]Indicators!J23</f>
        <v>163.584</v>
      </c>
      <c r="M141" s="2">
        <f>[2]Indicators!AB23</f>
        <v>23.768700000000003</v>
      </c>
      <c r="N141" s="2">
        <f>[8]m!$C143</f>
        <v>2</v>
      </c>
      <c r="O141">
        <f>[9]Unemployment!$B23</f>
        <v>6.6000000000000005</v>
      </c>
      <c r="Q141">
        <f>[5]m!$B143</f>
        <v>29.94</v>
      </c>
      <c r="R141">
        <f>[5]m!$D143</f>
        <v>31.1</v>
      </c>
      <c r="S141">
        <f>[5]m!$Q143</f>
        <v>31.5</v>
      </c>
      <c r="T141">
        <f>[6]m!B143</f>
        <v>-1264</v>
      </c>
      <c r="U141" s="2">
        <f>[9]Unemployment!$F23</f>
        <v>17</v>
      </c>
      <c r="V141" s="2"/>
      <c r="W141">
        <f>[9]Unemployment!$E23</f>
        <v>4682</v>
      </c>
      <c r="X141">
        <f>[9]Unemployment!N23</f>
        <v>1701</v>
      </c>
      <c r="Y141">
        <f>[9]Unemployment!O23</f>
        <v>1387</v>
      </c>
      <c r="Z141">
        <f>[9]Unemployment!P23-[9]Unemployment!Q23</f>
        <v>749</v>
      </c>
      <c r="AA141">
        <f>[9]Unemployment!$Q23</f>
        <v>900</v>
      </c>
      <c r="AB141" s="2">
        <f>[8]m!$C143</f>
        <v>2</v>
      </c>
      <c r="AC141" s="2">
        <f>[8]m!$F143</f>
        <v>4.04</v>
      </c>
      <c r="AD141">
        <f>[9]Employment!$B23</f>
        <v>54299</v>
      </c>
      <c r="AE141" s="2">
        <f>[2]Indicators!$AB23</f>
        <v>23.768700000000003</v>
      </c>
      <c r="AF141" s="2">
        <f>[8]m!$AS143</f>
        <v>60.6</v>
      </c>
      <c r="AG141" s="2">
        <f>[8]m!$H143</f>
        <v>4.45</v>
      </c>
      <c r="AH141" s="2">
        <f>[8]m!$I143</f>
        <v>5.1100000000000003</v>
      </c>
      <c r="AI141" s="2">
        <f>[7]m!C142</f>
        <v>2187</v>
      </c>
      <c r="AJ141" s="2">
        <f>[7]m!D142</f>
        <v>1992</v>
      </c>
      <c r="AK141" s="2">
        <f>[2]Surveys_m!$AB23</f>
        <v>60.7</v>
      </c>
      <c r="AL141" s="4">
        <f t="shared" si="1"/>
        <v>1680.5996131528057</v>
      </c>
      <c r="AN141" s="2">
        <v>34</v>
      </c>
      <c r="AQ141" s="3">
        <f>[9]LaborForce!$B22*[9]LaborForce!$C22/100</f>
        <v>70570.558000000005</v>
      </c>
      <c r="AR141" s="3">
        <f>[9]Unemployment!$AB23</f>
        <v>318</v>
      </c>
      <c r="AS141">
        <f>[2]Indicators!BC23</f>
        <v>34.800000000000004</v>
      </c>
      <c r="AT141">
        <f>[2]Indicators!BD23</f>
        <v>25.8597</v>
      </c>
      <c r="AU141">
        <f>[2]Indicators!BE23</f>
        <v>101.9851</v>
      </c>
    </row>
    <row r="142" spans="1:47" x14ac:dyDescent="0.25">
      <c r="A142" s="1">
        <v>22525</v>
      </c>
      <c r="B142" s="2">
        <f>[2]Indicators!G24</f>
        <v>345.09300000000002</v>
      </c>
      <c r="C142" s="2">
        <f>[2]Indicators!H24</f>
        <v>44.996000000000002</v>
      </c>
      <c r="D142" s="2">
        <f>[2]Indicators!I24</f>
        <v>135.28200000000001</v>
      </c>
      <c r="E142" s="2">
        <f>[2]Indicators!J24</f>
        <v>164.81399999999999</v>
      </c>
      <c r="M142" s="2">
        <f>[2]Indicators!AB24</f>
        <v>23.741900000000001</v>
      </c>
      <c r="N142" s="2">
        <f>[8]m!$C144</f>
        <v>1.8800000000000001</v>
      </c>
      <c r="O142">
        <f>[9]Unemployment!$B24</f>
        <v>6.7</v>
      </c>
      <c r="Q142">
        <f>[5]m!$B144</f>
        <v>29.98</v>
      </c>
      <c r="R142">
        <f>[5]m!$D144</f>
        <v>31.1</v>
      </c>
      <c r="S142">
        <f>[5]m!$Q144</f>
        <v>31.5</v>
      </c>
      <c r="T142">
        <f>[6]m!B144</f>
        <v>2174</v>
      </c>
      <c r="U142" s="2">
        <f>[9]Unemployment!$F24</f>
        <v>16.100000000000001</v>
      </c>
      <c r="V142" s="2"/>
      <c r="W142">
        <f>[9]Unemployment!$E24</f>
        <v>4676</v>
      </c>
      <c r="X142">
        <f>[9]Unemployment!N24</f>
        <v>1859</v>
      </c>
      <c r="Y142">
        <f>[9]Unemployment!O24</f>
        <v>1297</v>
      </c>
      <c r="Z142">
        <f>[9]Unemployment!P24-[9]Unemployment!Q24</f>
        <v>686</v>
      </c>
      <c r="AA142">
        <f>[9]Unemployment!$Q24</f>
        <v>845</v>
      </c>
      <c r="AB142" s="2">
        <f>[8]m!$C144</f>
        <v>1.8800000000000001</v>
      </c>
      <c r="AC142" s="2">
        <f>[8]m!$F144</f>
        <v>3.98</v>
      </c>
      <c r="AD142">
        <f>[9]Employment!$B24</f>
        <v>54387</v>
      </c>
      <c r="AE142" s="2">
        <f>[2]Indicators!$AB24</f>
        <v>23.741900000000001</v>
      </c>
      <c r="AF142" s="2">
        <f>[8]m!$AS144</f>
        <v>60.900000000000006</v>
      </c>
      <c r="AG142" s="2">
        <f>[8]m!$H144</f>
        <v>4.45</v>
      </c>
      <c r="AH142" s="2">
        <f>[8]m!$I144</f>
        <v>5.12</v>
      </c>
      <c r="AI142" s="2">
        <f>[7]m!C143</f>
        <v>2184</v>
      </c>
      <c r="AJ142" s="2">
        <f>[7]m!D143</f>
        <v>1876</v>
      </c>
      <c r="AK142" s="2">
        <f>[2]Surveys_m!$AB24</f>
        <v>63</v>
      </c>
      <c r="AL142" s="4">
        <f t="shared" ref="AL142:AL205" si="2">AL143*AN142/AN143</f>
        <v>1730.0290135396529</v>
      </c>
      <c r="AN142" s="2">
        <v>35</v>
      </c>
      <c r="AQ142" s="3">
        <f>[9]LaborForce!$B23*[9]LaborForce!$C23/100</f>
        <v>70273.13</v>
      </c>
      <c r="AR142" s="3">
        <f>[9]Unemployment!$AB24</f>
        <v>331.8</v>
      </c>
      <c r="AS142">
        <f>[2]Indicators!BC24</f>
        <v>34.6</v>
      </c>
      <c r="AT142">
        <f>[2]Indicators!BD24</f>
        <v>26.082000000000001</v>
      </c>
      <c r="AU142">
        <f>[2]Indicators!BE24</f>
        <v>102.41600000000001</v>
      </c>
    </row>
    <row r="143" spans="1:47" x14ac:dyDescent="0.25">
      <c r="A143" s="1">
        <v>22555</v>
      </c>
      <c r="B143" s="2">
        <f>[2]Indicators!G25</f>
        <v>347.22199999999998</v>
      </c>
      <c r="C143" s="2">
        <f>[2]Indicators!H25</f>
        <v>45.622999999999998</v>
      </c>
      <c r="D143" s="2">
        <f>[2]Indicators!I25</f>
        <v>135.31200000000001</v>
      </c>
      <c r="E143" s="2">
        <f>[2]Indicators!J25</f>
        <v>166.28700000000001</v>
      </c>
      <c r="M143" s="2">
        <f>[2]Indicators!AB25</f>
        <v>24.197500000000002</v>
      </c>
      <c r="N143" s="2">
        <f>[8]m!$C145</f>
        <v>2.2600000000000002</v>
      </c>
      <c r="O143">
        <f>[9]Unemployment!$B25</f>
        <v>6.5</v>
      </c>
      <c r="Q143">
        <f>[5]m!$B145</f>
        <v>29.98</v>
      </c>
      <c r="R143">
        <f>[5]m!$D145</f>
        <v>31.1</v>
      </c>
      <c r="S143">
        <f>[5]m!$Q145</f>
        <v>31.5</v>
      </c>
      <c r="T143">
        <f>[6]m!B145</f>
        <v>-4655</v>
      </c>
      <c r="U143" s="2">
        <f>[9]Unemployment!$F25</f>
        <v>15.9</v>
      </c>
      <c r="V143" s="2"/>
      <c r="W143">
        <f>[9]Unemployment!$E25</f>
        <v>4573</v>
      </c>
      <c r="X143">
        <f>[9]Unemployment!N25</f>
        <v>1811</v>
      </c>
      <c r="Y143">
        <f>[9]Unemployment!O25</f>
        <v>1288</v>
      </c>
      <c r="Z143">
        <f>[9]Unemployment!P25-[9]Unemployment!Q25</f>
        <v>659</v>
      </c>
      <c r="AA143">
        <f>[9]Unemployment!$Q25</f>
        <v>822</v>
      </c>
      <c r="AB143" s="2">
        <f>[8]m!$C145</f>
        <v>2.2600000000000002</v>
      </c>
      <c r="AC143" s="2">
        <f>[8]m!$F145</f>
        <v>3.92</v>
      </c>
      <c r="AD143">
        <f>[9]Employment!$B25</f>
        <v>54521</v>
      </c>
      <c r="AE143" s="2">
        <f>[2]Indicators!$AB25</f>
        <v>24.197500000000002</v>
      </c>
      <c r="AF143" s="2">
        <f>[8]m!$AS145</f>
        <v>61.2</v>
      </c>
      <c r="AG143" s="2">
        <f>[8]m!$H145</f>
        <v>4.42</v>
      </c>
      <c r="AH143" s="2">
        <f>[8]m!$I145</f>
        <v>5.13</v>
      </c>
      <c r="AI143" s="2">
        <f>[7]m!C144</f>
        <v>2158</v>
      </c>
      <c r="AJ143" s="2">
        <f>[7]m!D144</f>
        <v>1899</v>
      </c>
      <c r="AK143" s="2">
        <f>[2]Surveys_m!$AB25</f>
        <v>62.2</v>
      </c>
      <c r="AL143" s="4">
        <f t="shared" si="2"/>
        <v>1828.8878143133472</v>
      </c>
      <c r="AN143" s="2">
        <v>37</v>
      </c>
      <c r="AQ143" s="3">
        <f>[9]LaborForce!$B24*[9]LaborForce!$C24/100</f>
        <v>70448.381999999998</v>
      </c>
      <c r="AR143" s="3">
        <f>[9]Unemployment!$AB25</f>
        <v>306.40000000000003</v>
      </c>
      <c r="AS143">
        <f>[2]Indicators!BC25</f>
        <v>35</v>
      </c>
      <c r="AT143">
        <f>[2]Indicators!BD25</f>
        <v>26.259</v>
      </c>
      <c r="AU143">
        <f>[2]Indicators!BE25</f>
        <v>102.65610000000001</v>
      </c>
    </row>
    <row r="144" spans="1:47" x14ac:dyDescent="0.25">
      <c r="A144" s="1">
        <v>22586</v>
      </c>
      <c r="B144" s="2">
        <f>[2]Indicators!G26</f>
        <v>350.61</v>
      </c>
      <c r="C144" s="2">
        <f>[2]Indicators!H26</f>
        <v>46.7</v>
      </c>
      <c r="D144" s="2">
        <f>[2]Indicators!I26</f>
        <v>136.322</v>
      </c>
      <c r="E144" s="2">
        <f>[2]Indicators!J26</f>
        <v>167.58799999999999</v>
      </c>
      <c r="M144" s="2">
        <f>[2]Indicators!AB26</f>
        <v>24.572600000000001</v>
      </c>
      <c r="N144" s="2">
        <f>[8]m!$C146</f>
        <v>2.61</v>
      </c>
      <c r="O144">
        <f>[9]Unemployment!$B26</f>
        <v>6.1000000000000005</v>
      </c>
      <c r="Q144">
        <f>[5]m!$B146</f>
        <v>29.98</v>
      </c>
      <c r="R144">
        <f>[5]m!$D146</f>
        <v>31.2</v>
      </c>
      <c r="S144">
        <f>[5]m!$Q146</f>
        <v>31.5</v>
      </c>
      <c r="T144">
        <f>[6]m!B146</f>
        <v>-1061</v>
      </c>
      <c r="U144" s="2">
        <f>[9]Unemployment!$F26</f>
        <v>17</v>
      </c>
      <c r="V144" s="2"/>
      <c r="W144">
        <f>[9]Unemployment!$E26</f>
        <v>4295</v>
      </c>
      <c r="X144">
        <f>[9]Unemployment!N26</f>
        <v>1638</v>
      </c>
      <c r="Y144">
        <f>[9]Unemployment!O26</f>
        <v>1269</v>
      </c>
      <c r="Z144">
        <f>[9]Unemployment!P26-[9]Unemployment!Q26</f>
        <v>622</v>
      </c>
      <c r="AA144">
        <f>[9]Unemployment!$Q26</f>
        <v>766</v>
      </c>
      <c r="AB144" s="2">
        <f>[8]m!$C146</f>
        <v>2.61</v>
      </c>
      <c r="AC144" s="2">
        <f>[8]m!$F146</f>
        <v>3.94</v>
      </c>
      <c r="AD144">
        <f>[9]Employment!$B26</f>
        <v>54743</v>
      </c>
      <c r="AE144" s="2">
        <f>[2]Indicators!$AB26</f>
        <v>24.572600000000001</v>
      </c>
      <c r="AF144" s="2">
        <f>[8]m!$AS146</f>
        <v>61.7</v>
      </c>
      <c r="AG144" s="2">
        <f>[8]m!$H146</f>
        <v>4.3899999999999997</v>
      </c>
      <c r="AH144" s="2">
        <f>[8]m!$I146</f>
        <v>5.1100000000000003</v>
      </c>
      <c r="AI144" s="2">
        <f>[7]m!C145</f>
        <v>2339</v>
      </c>
      <c r="AJ144" s="2">
        <f>[7]m!D145</f>
        <v>1944</v>
      </c>
      <c r="AK144" s="2">
        <f>[2]Surveys_m!$AB26</f>
        <v>59</v>
      </c>
      <c r="AL144" s="4">
        <f t="shared" si="2"/>
        <v>1878.3172147001942</v>
      </c>
      <c r="AN144" s="2">
        <v>38</v>
      </c>
      <c r="AQ144" s="3">
        <f>[9]LaborForce!$B25*[9]LaborForce!$C25/100</f>
        <v>70419.422999999995</v>
      </c>
      <c r="AR144" s="3">
        <f>[9]Unemployment!$AB26</f>
        <v>306.8</v>
      </c>
      <c r="AS144">
        <f>[2]Indicators!BC26</f>
        <v>35.4</v>
      </c>
      <c r="AT144">
        <f>[2]Indicators!BD26</f>
        <v>26.3948</v>
      </c>
      <c r="AU144">
        <f>[2]Indicators!BE26</f>
        <v>102.7248</v>
      </c>
    </row>
    <row r="145" spans="1:47" x14ac:dyDescent="0.25">
      <c r="A145" s="1">
        <v>22616</v>
      </c>
      <c r="B145" s="2">
        <f>[2]Indicators!G27</f>
        <v>353.14100000000002</v>
      </c>
      <c r="C145" s="2">
        <f>[2]Indicators!H27</f>
        <v>47.725999999999999</v>
      </c>
      <c r="D145" s="2">
        <f>[2]Indicators!I27</f>
        <v>136.86699999999999</v>
      </c>
      <c r="E145" s="2">
        <f>[2]Indicators!J27</f>
        <v>168.548</v>
      </c>
      <c r="M145" s="2">
        <f>[2]Indicators!AB27</f>
        <v>24.787000000000003</v>
      </c>
      <c r="N145" s="2">
        <f>[8]m!$C147</f>
        <v>2.33</v>
      </c>
      <c r="O145">
        <f>[9]Unemployment!$B27</f>
        <v>6</v>
      </c>
      <c r="Q145">
        <f>[5]m!$B147</f>
        <v>30.01</v>
      </c>
      <c r="R145">
        <f>[5]m!$D147</f>
        <v>31.2</v>
      </c>
      <c r="S145">
        <f>[5]m!$Q147</f>
        <v>31.6</v>
      </c>
      <c r="T145">
        <f>[6]m!B147</f>
        <v>807</v>
      </c>
      <c r="U145" s="2">
        <f>[9]Unemployment!$F27</f>
        <v>15.8</v>
      </c>
      <c r="V145" s="2"/>
      <c r="W145">
        <f>[9]Unemployment!$E27</f>
        <v>4177</v>
      </c>
      <c r="X145">
        <f>[9]Unemployment!N27</f>
        <v>1734</v>
      </c>
      <c r="Y145">
        <f>[9]Unemployment!O27</f>
        <v>1175</v>
      </c>
      <c r="Z145">
        <f>[9]Unemployment!P27-[9]Unemployment!Q27</f>
        <v>623</v>
      </c>
      <c r="AA145">
        <f>[9]Unemployment!$Q27</f>
        <v>738</v>
      </c>
      <c r="AB145" s="2">
        <f>[8]m!$C147</f>
        <v>2.33</v>
      </c>
      <c r="AC145" s="2">
        <f>[8]m!$F147</f>
        <v>4.0600000000000005</v>
      </c>
      <c r="AD145">
        <f>[9]Employment!$B27</f>
        <v>54871</v>
      </c>
      <c r="AE145" s="2">
        <f>[2]Indicators!$AB27</f>
        <v>24.787000000000003</v>
      </c>
      <c r="AF145" s="2">
        <f>[8]m!$AS147</f>
        <v>62.2</v>
      </c>
      <c r="AG145" s="2">
        <f>[8]m!$H147</f>
        <v>4.42</v>
      </c>
      <c r="AH145" s="2">
        <f>[8]m!$I147</f>
        <v>5.1000000000000005</v>
      </c>
      <c r="AI145" s="2">
        <f>[7]m!C146</f>
        <v>2268</v>
      </c>
      <c r="AJ145" s="2">
        <f>[7]m!D146</f>
        <v>1951</v>
      </c>
      <c r="AK145" s="2">
        <f>[2]Surveys_m!$AB27</f>
        <v>64.2</v>
      </c>
      <c r="AL145" s="4">
        <f t="shared" si="2"/>
        <v>1878.3172147001944</v>
      </c>
      <c r="AN145" s="2">
        <v>38</v>
      </c>
      <c r="AQ145" s="3">
        <f>[9]LaborForce!$B26*[9]LaborForce!$C26/100</f>
        <v>70097.831999999995</v>
      </c>
      <c r="AR145" s="3">
        <f>[9]Unemployment!$AB27</f>
        <v>298.5</v>
      </c>
      <c r="AS145">
        <f>[2]Indicators!BC27</f>
        <v>35.700000000000003</v>
      </c>
      <c r="AT145">
        <f>[2]Indicators!BD27</f>
        <v>26.486700000000003</v>
      </c>
      <c r="AU145">
        <f>[2]Indicators!BE27</f>
        <v>102.6135</v>
      </c>
    </row>
    <row r="146" spans="1:47" x14ac:dyDescent="0.25">
      <c r="A146" s="1">
        <v>22647</v>
      </c>
      <c r="B146" s="2">
        <f>[2]Indicators!G28</f>
        <v>353.93299999999999</v>
      </c>
      <c r="C146" s="2">
        <f>[2]Indicators!H28</f>
        <v>47.524999999999999</v>
      </c>
      <c r="D146" s="2">
        <f>[2]Indicators!I28</f>
        <v>137.16200000000001</v>
      </c>
      <c r="E146" s="2">
        <f>[2]Indicators!J28</f>
        <v>169.24600000000001</v>
      </c>
      <c r="M146" s="2">
        <f>[2]Indicators!AB28</f>
        <v>24.572600000000001</v>
      </c>
      <c r="N146" s="2">
        <f>[8]m!$C148</f>
        <v>2.15</v>
      </c>
      <c r="O146">
        <f>[9]Unemployment!$B28</f>
        <v>5.8000000000000007</v>
      </c>
      <c r="Q146">
        <f>[5]m!$B148</f>
        <v>30.04</v>
      </c>
      <c r="R146">
        <f>[5]m!$D148</f>
        <v>31.2</v>
      </c>
      <c r="S146">
        <f>[5]m!$Q148</f>
        <v>31.700000000000003</v>
      </c>
      <c r="T146">
        <f>[6]m!B148</f>
        <v>-2038</v>
      </c>
      <c r="U146" s="2">
        <f>[9]Unemployment!$F28</f>
        <v>15.3</v>
      </c>
      <c r="V146" s="2"/>
      <c r="W146">
        <f>[9]Unemployment!$E28</f>
        <v>4081</v>
      </c>
      <c r="X146">
        <f>[9]Unemployment!N28</f>
        <v>1701</v>
      </c>
      <c r="Y146">
        <f>[9]Unemployment!O28</f>
        <v>1161</v>
      </c>
      <c r="Z146">
        <f>[9]Unemployment!P28-[9]Unemployment!Q28</f>
        <v>561</v>
      </c>
      <c r="AA146">
        <f>[9]Unemployment!$Q28</f>
        <v>674</v>
      </c>
      <c r="AB146" s="2">
        <f>[8]m!$C148</f>
        <v>2.15</v>
      </c>
      <c r="AC146" s="2">
        <f>[8]m!$F148</f>
        <v>4.08</v>
      </c>
      <c r="AD146">
        <f>[9]Employment!$B28</f>
        <v>54891</v>
      </c>
      <c r="AE146" s="2">
        <f>[2]Indicators!$AB28</f>
        <v>24.572600000000001</v>
      </c>
      <c r="AF146" s="2">
        <f>[8]m!$AS148</f>
        <v>62.300000000000004</v>
      </c>
      <c r="AG146" s="2">
        <f>[8]m!$H148</f>
        <v>4.42</v>
      </c>
      <c r="AH146" s="2">
        <f>[8]m!$I148</f>
        <v>5.08</v>
      </c>
      <c r="AI146" s="2">
        <f>[7]m!C147</f>
        <v>2230</v>
      </c>
      <c r="AJ146" s="2">
        <f>[7]m!D147</f>
        <v>1972</v>
      </c>
      <c r="AK146" s="2">
        <f>[2]Surveys_m!$AB28</f>
        <v>60.900000000000006</v>
      </c>
      <c r="AL146" s="4">
        <f t="shared" si="2"/>
        <v>1977.1760154738888</v>
      </c>
      <c r="AN146" s="2">
        <v>40</v>
      </c>
      <c r="AQ146" s="3">
        <f>[9]LaborForce!$B27*[9]LaborForce!$C27/100</f>
        <v>70148.400000000009</v>
      </c>
      <c r="AR146" s="3">
        <f>[9]Unemployment!$AB28</f>
        <v>302.90000000000003</v>
      </c>
      <c r="AS146">
        <f>[2]Indicators!BC28</f>
        <v>35.700000000000003</v>
      </c>
      <c r="AT146">
        <f>[2]Indicators!BD28</f>
        <v>26.533800000000003</v>
      </c>
      <c r="AU146">
        <f>[2]Indicators!BE28</f>
        <v>102.32130000000001</v>
      </c>
    </row>
    <row r="147" spans="1:47" x14ac:dyDescent="0.25">
      <c r="A147" s="1">
        <v>22678</v>
      </c>
      <c r="B147" s="2">
        <f>[2]Indicators!G29</f>
        <v>354.73599999999999</v>
      </c>
      <c r="C147" s="2">
        <f>[2]Indicators!H29</f>
        <v>47.378</v>
      </c>
      <c r="D147" s="2">
        <f>[2]Indicators!I29</f>
        <v>137.39000000000001</v>
      </c>
      <c r="E147" s="2">
        <f>[2]Indicators!J29</f>
        <v>169.96800000000002</v>
      </c>
      <c r="M147" s="2">
        <f>[2]Indicators!AB29</f>
        <v>24.974600000000002</v>
      </c>
      <c r="N147" s="2">
        <f>[8]m!$C149</f>
        <v>2.37</v>
      </c>
      <c r="O147">
        <f>[9]Unemployment!$B29</f>
        <v>5.5</v>
      </c>
      <c r="Q147">
        <f>[5]m!$B149</f>
        <v>30.11</v>
      </c>
      <c r="R147">
        <f>[5]m!$D149</f>
        <v>31.2</v>
      </c>
      <c r="S147">
        <f>[5]m!$Q149</f>
        <v>31.700000000000003</v>
      </c>
      <c r="T147">
        <f>[6]m!B149</f>
        <v>-129</v>
      </c>
      <c r="U147" s="2">
        <f>[9]Unemployment!$F29</f>
        <v>16</v>
      </c>
      <c r="V147" s="2"/>
      <c r="W147">
        <f>[9]Unemployment!$E29</f>
        <v>3871</v>
      </c>
      <c r="X147">
        <f>[9]Unemployment!N29</f>
        <v>1504</v>
      </c>
      <c r="Y147">
        <f>[9]Unemployment!O29</f>
        <v>1118</v>
      </c>
      <c r="Z147">
        <f>[9]Unemployment!P29-[9]Unemployment!Q29</f>
        <v>561</v>
      </c>
      <c r="AA147">
        <f>[9]Unemployment!$Q29</f>
        <v>683</v>
      </c>
      <c r="AB147" s="2">
        <f>[8]m!$C149</f>
        <v>2.37</v>
      </c>
      <c r="AC147" s="2">
        <f>[8]m!$F149</f>
        <v>4.04</v>
      </c>
      <c r="AD147">
        <f>[9]Employment!$B29</f>
        <v>55187</v>
      </c>
      <c r="AE147" s="2">
        <f>[2]Indicators!$AB29</f>
        <v>24.974600000000002</v>
      </c>
      <c r="AF147" s="2">
        <f>[8]m!$AS149</f>
        <v>62.6</v>
      </c>
      <c r="AG147" s="2">
        <f>[8]m!$H149</f>
        <v>4.42</v>
      </c>
      <c r="AH147" s="2">
        <f>[8]m!$I149</f>
        <v>5.07</v>
      </c>
      <c r="AI147" s="2">
        <f>[7]m!C148</f>
        <v>2222</v>
      </c>
      <c r="AJ147" s="2">
        <f>[7]m!D148</f>
        <v>1977</v>
      </c>
      <c r="AK147" s="2">
        <f>[2]Surveys_m!$AB29</f>
        <v>61.1</v>
      </c>
      <c r="AL147" s="4">
        <f t="shared" si="2"/>
        <v>1927.7466150870414</v>
      </c>
      <c r="AN147" s="2">
        <v>39</v>
      </c>
      <c r="AQ147" s="3">
        <f>[9]LaborForce!$B28*[9]LaborForce!$C28/100</f>
        <v>70422.399999999994</v>
      </c>
      <c r="AR147" s="3">
        <f>[9]Unemployment!$AB29</f>
        <v>297.40000000000003</v>
      </c>
      <c r="AS147">
        <f>[2]Indicators!BC29</f>
        <v>36</v>
      </c>
      <c r="AT147">
        <f>[2]Indicators!BD29</f>
        <v>26.548500000000001</v>
      </c>
      <c r="AU147">
        <f>[2]Indicators!BE29</f>
        <v>101.89840000000001</v>
      </c>
    </row>
    <row r="148" spans="1:47" x14ac:dyDescent="0.25">
      <c r="A148" s="1">
        <v>22706</v>
      </c>
      <c r="B148" s="2">
        <f>[2]Indicators!G30</f>
        <v>358.14499999999998</v>
      </c>
      <c r="C148" s="2">
        <f>[2]Indicators!H30</f>
        <v>48.204000000000001</v>
      </c>
      <c r="D148" s="2">
        <f>[2]Indicators!I30</f>
        <v>138.94400000000002</v>
      </c>
      <c r="E148" s="2">
        <f>[2]Indicators!J30</f>
        <v>170.99700000000001</v>
      </c>
      <c r="M148" s="2">
        <f>[2]Indicators!AB30</f>
        <v>25.108600000000003</v>
      </c>
      <c r="N148" s="2">
        <f>[8]m!$C150</f>
        <v>2.85</v>
      </c>
      <c r="O148">
        <f>[9]Unemployment!$B30</f>
        <v>5.6000000000000005</v>
      </c>
      <c r="Q148">
        <f>[5]m!$B150</f>
        <v>30.17</v>
      </c>
      <c r="R148">
        <f>[5]m!$D150</f>
        <v>31.3</v>
      </c>
      <c r="S148">
        <f>[5]m!$Q150</f>
        <v>31.700000000000003</v>
      </c>
      <c r="T148">
        <f>[6]m!B150</f>
        <v>1355</v>
      </c>
      <c r="U148" s="2">
        <f>[9]Unemployment!$F30</f>
        <v>15</v>
      </c>
      <c r="V148" s="2"/>
      <c r="W148">
        <f>[9]Unemployment!$E30</f>
        <v>3921</v>
      </c>
      <c r="X148">
        <f>[9]Unemployment!N30</f>
        <v>1721</v>
      </c>
      <c r="Y148">
        <f>[9]Unemployment!O30</f>
        <v>1049</v>
      </c>
      <c r="Z148">
        <f>[9]Unemployment!P30-[9]Unemployment!Q30</f>
        <v>523</v>
      </c>
      <c r="AA148">
        <f>[9]Unemployment!$Q30</f>
        <v>639</v>
      </c>
      <c r="AB148" s="2">
        <f>[8]m!$C150</f>
        <v>2.85</v>
      </c>
      <c r="AC148" s="2">
        <f>[8]m!$F150</f>
        <v>3.93</v>
      </c>
      <c r="AD148">
        <f>[9]Employment!$B30</f>
        <v>55276</v>
      </c>
      <c r="AE148" s="2">
        <f>[2]Indicators!$AB30</f>
        <v>25.108600000000003</v>
      </c>
      <c r="AF148" s="2">
        <f>[8]m!$AS150</f>
        <v>63.1</v>
      </c>
      <c r="AG148" s="2">
        <f>[8]m!$H150</f>
        <v>4.3899999999999997</v>
      </c>
      <c r="AH148" s="2">
        <f>[8]m!$I150</f>
        <v>5.04</v>
      </c>
      <c r="AI148" s="2">
        <f>[7]m!C149</f>
        <v>2374</v>
      </c>
      <c r="AJ148" s="2">
        <f>[7]m!D149</f>
        <v>1982</v>
      </c>
      <c r="AK148" s="2">
        <f>[2]Surveys_m!$AB30</f>
        <v>60.6</v>
      </c>
      <c r="AL148" s="4">
        <f t="shared" si="2"/>
        <v>1927.7466150870414</v>
      </c>
      <c r="AN148" s="2">
        <v>39</v>
      </c>
      <c r="AQ148" s="3">
        <f>[9]LaborForce!$B29*[9]LaborForce!$C29/100</f>
        <v>70371.364000000001</v>
      </c>
      <c r="AR148" s="3">
        <f>[9]Unemployment!$AB30</f>
        <v>289.3</v>
      </c>
      <c r="AS148">
        <f>[2]Indicators!BC30</f>
        <v>36</v>
      </c>
      <c r="AT148">
        <f>[2]Indicators!BD30</f>
        <v>26.5319</v>
      </c>
      <c r="AU148">
        <f>[2]Indicators!BE30</f>
        <v>101.3511</v>
      </c>
    </row>
    <row r="149" spans="1:47" x14ac:dyDescent="0.25">
      <c r="A149" s="1">
        <v>22737</v>
      </c>
      <c r="B149" s="2">
        <f>[2]Indicators!G31</f>
        <v>359.79300000000001</v>
      </c>
      <c r="C149" s="2">
        <f>[2]Indicators!H31</f>
        <v>48.43</v>
      </c>
      <c r="D149" s="2">
        <f>[2]Indicators!I31</f>
        <v>138.97499999999999</v>
      </c>
      <c r="E149" s="2">
        <f>[2]Indicators!J31</f>
        <v>172.38800000000001</v>
      </c>
      <c r="M149" s="2">
        <f>[2]Indicators!AB31</f>
        <v>25.162100000000002</v>
      </c>
      <c r="N149" s="2">
        <f>[8]m!$C151</f>
        <v>2.7800000000000002</v>
      </c>
      <c r="O149">
        <f>[9]Unemployment!$B31</f>
        <v>5.6000000000000005</v>
      </c>
      <c r="Q149">
        <f>[5]m!$B151</f>
        <v>30.21</v>
      </c>
      <c r="R149">
        <f>[5]m!$D151</f>
        <v>31.3</v>
      </c>
      <c r="S149">
        <f>[5]m!$Q151</f>
        <v>31.6</v>
      </c>
      <c r="T149">
        <f>[6]m!B151</f>
        <v>-1535</v>
      </c>
      <c r="U149" s="2">
        <f>[9]Unemployment!$F31</f>
        <v>14.9</v>
      </c>
      <c r="V149" s="2"/>
      <c r="W149">
        <f>[9]Unemployment!$E31</f>
        <v>3906</v>
      </c>
      <c r="X149">
        <f>[9]Unemployment!N31</f>
        <v>1629</v>
      </c>
      <c r="Y149">
        <f>[9]Unemployment!O31</f>
        <v>1105</v>
      </c>
      <c r="Z149">
        <f>[9]Unemployment!P31-[9]Unemployment!Q31</f>
        <v>499</v>
      </c>
      <c r="AA149">
        <f>[9]Unemployment!$Q31</f>
        <v>623</v>
      </c>
      <c r="AB149" s="2">
        <f>[8]m!$C151</f>
        <v>2.7800000000000002</v>
      </c>
      <c r="AC149" s="2">
        <f>[8]m!$F151</f>
        <v>3.84</v>
      </c>
      <c r="AD149">
        <f>[9]Employment!$B31</f>
        <v>55601</v>
      </c>
      <c r="AE149" s="2">
        <f>[2]Indicators!$AB31</f>
        <v>25.162100000000002</v>
      </c>
      <c r="AF149" s="2">
        <f>[8]m!$AS151</f>
        <v>63.900000000000006</v>
      </c>
      <c r="AG149" s="2">
        <f>[8]m!$H151</f>
        <v>4.33</v>
      </c>
      <c r="AH149" s="2">
        <f>[8]m!$I151</f>
        <v>5.0200000000000005</v>
      </c>
      <c r="AI149" s="2">
        <f>[7]m!C150</f>
        <v>2219</v>
      </c>
      <c r="AJ149" s="2">
        <f>[7]m!D150</f>
        <v>1996</v>
      </c>
      <c r="AK149" s="2">
        <f>[2]Surveys_m!$AB31</f>
        <v>55.1</v>
      </c>
      <c r="AL149" s="4">
        <f t="shared" si="2"/>
        <v>1927.7466150870416</v>
      </c>
      <c r="AN149" s="2">
        <v>39</v>
      </c>
      <c r="AQ149" s="3">
        <f>[9]LaborForce!$B30*[9]LaborForce!$C30/100</f>
        <v>70265.074000000008</v>
      </c>
      <c r="AR149" s="3">
        <f>[9]Unemployment!$AB31</f>
        <v>285.2</v>
      </c>
      <c r="AS149">
        <f>[2]Indicators!BC31</f>
        <v>36</v>
      </c>
      <c r="AT149">
        <f>[2]Indicators!BD31</f>
        <v>26.487300000000001</v>
      </c>
      <c r="AU149">
        <f>[2]Indicators!BE31</f>
        <v>100.6939</v>
      </c>
    </row>
    <row r="150" spans="1:47" x14ac:dyDescent="0.25">
      <c r="A150" s="1">
        <v>22767</v>
      </c>
      <c r="B150" s="2">
        <f>[2]Indicators!G32</f>
        <v>362.76100000000002</v>
      </c>
      <c r="C150" s="2">
        <f>[2]Indicators!H32</f>
        <v>49.567999999999998</v>
      </c>
      <c r="D150" s="2">
        <f>[2]Indicators!I32</f>
        <v>139.452</v>
      </c>
      <c r="E150" s="2">
        <f>[2]Indicators!J32</f>
        <v>173.74199999999999</v>
      </c>
      <c r="M150" s="2">
        <f>[2]Indicators!AB32</f>
        <v>25.135300000000001</v>
      </c>
      <c r="N150" s="2">
        <f>[8]m!$C152</f>
        <v>2.36</v>
      </c>
      <c r="O150">
        <f>[9]Unemployment!$B32</f>
        <v>5.5</v>
      </c>
      <c r="Q150">
        <f>[5]m!$B152</f>
        <v>30.240000000000002</v>
      </c>
      <c r="R150">
        <f>[5]m!$D152</f>
        <v>31.400000000000002</v>
      </c>
      <c r="S150">
        <f>[5]m!$Q152</f>
        <v>31.5</v>
      </c>
      <c r="T150">
        <f>[6]m!B152</f>
        <v>-205</v>
      </c>
      <c r="U150" s="2">
        <f>[9]Unemployment!$F32</f>
        <v>15.5</v>
      </c>
      <c r="V150" s="2"/>
      <c r="W150">
        <f>[9]Unemployment!$E32</f>
        <v>3863</v>
      </c>
      <c r="X150">
        <f>[9]Unemployment!N32</f>
        <v>1543</v>
      </c>
      <c r="Y150">
        <f>[9]Unemployment!O32</f>
        <v>1131</v>
      </c>
      <c r="Z150">
        <f>[9]Unemployment!P32-[9]Unemployment!Q32</f>
        <v>507</v>
      </c>
      <c r="AA150">
        <f>[9]Unemployment!$Q32</f>
        <v>627</v>
      </c>
      <c r="AB150" s="2">
        <f>[8]m!$C152</f>
        <v>2.36</v>
      </c>
      <c r="AC150" s="2">
        <f>[8]m!$F152</f>
        <v>3.87</v>
      </c>
      <c r="AD150">
        <f>[9]Employment!$B32</f>
        <v>55626</v>
      </c>
      <c r="AE150" s="2">
        <f>[2]Indicators!$AB32</f>
        <v>25.135300000000001</v>
      </c>
      <c r="AF150" s="2">
        <f>[8]m!$AS152</f>
        <v>64.600000000000009</v>
      </c>
      <c r="AG150" s="2">
        <f>[8]m!$H152</f>
        <v>4.28</v>
      </c>
      <c r="AH150" s="2">
        <f>[8]m!$I152</f>
        <v>5</v>
      </c>
      <c r="AI150" s="2">
        <f>[7]m!C151</f>
        <v>2472</v>
      </c>
      <c r="AJ150" s="2">
        <f>[7]m!D151</f>
        <v>2032</v>
      </c>
      <c r="AK150" s="2">
        <f>[2]Surveys_m!$AB32</f>
        <v>52.2</v>
      </c>
      <c r="AL150" s="4">
        <f t="shared" si="2"/>
        <v>1977.1760154738888</v>
      </c>
      <c r="AN150" s="2">
        <v>40</v>
      </c>
      <c r="AQ150" s="3">
        <f>[9]LaborForce!$B31*[9]LaborForce!$C31/100</f>
        <v>70569.857000000018</v>
      </c>
      <c r="AR150" s="3">
        <f>[9]Unemployment!$AB32</f>
        <v>302.8</v>
      </c>
      <c r="AS150">
        <f>[2]Indicators!BC32</f>
        <v>35.800000000000004</v>
      </c>
      <c r="AT150">
        <f>[2]Indicators!BD32</f>
        <v>26.433</v>
      </c>
      <c r="AU150">
        <f>[2]Indicators!BE32</f>
        <v>99.997600000000006</v>
      </c>
    </row>
    <row r="151" spans="1:47" x14ac:dyDescent="0.25">
      <c r="A151" s="1">
        <v>22798</v>
      </c>
      <c r="B151" s="2">
        <f>[2]Indicators!G33</f>
        <v>361.16700000000003</v>
      </c>
      <c r="C151" s="2">
        <f>[2]Indicators!H33</f>
        <v>49.142000000000003</v>
      </c>
      <c r="D151" s="2">
        <f>[2]Indicators!I33</f>
        <v>137.809</v>
      </c>
      <c r="E151" s="2">
        <f>[2]Indicators!J33</f>
        <v>174.21600000000001</v>
      </c>
      <c r="M151" s="2">
        <f>[2]Indicators!AB33</f>
        <v>25.081800000000001</v>
      </c>
      <c r="N151" s="2">
        <f>[8]m!$C153</f>
        <v>2.68</v>
      </c>
      <c r="O151">
        <f>[9]Unemployment!$B33</f>
        <v>5.5</v>
      </c>
      <c r="Q151">
        <f>[5]m!$B153</f>
        <v>30.21</v>
      </c>
      <c r="R151">
        <f>[5]m!$D153</f>
        <v>31.400000000000002</v>
      </c>
      <c r="S151">
        <f>[5]m!$Q153</f>
        <v>31.5</v>
      </c>
      <c r="T151">
        <f>[6]m!B153</f>
        <v>3513</v>
      </c>
      <c r="U151" s="2">
        <f>[9]Unemployment!$F33</f>
        <v>15.100000000000001</v>
      </c>
      <c r="V151" s="2"/>
      <c r="W151">
        <f>[9]Unemployment!$E33</f>
        <v>3844</v>
      </c>
      <c r="X151">
        <f>[9]Unemployment!N33</f>
        <v>1598</v>
      </c>
      <c r="Y151">
        <f>[9]Unemployment!O33</f>
        <v>1101</v>
      </c>
      <c r="Z151">
        <f>[9]Unemployment!P33-[9]Unemployment!Q33</f>
        <v>506</v>
      </c>
      <c r="AA151">
        <f>[9]Unemployment!$Q33</f>
        <v>573</v>
      </c>
      <c r="AB151" s="2">
        <f>[8]m!$C153</f>
        <v>2.68</v>
      </c>
      <c r="AC151" s="2">
        <f>[8]m!$F153</f>
        <v>3.91</v>
      </c>
      <c r="AD151">
        <f>[9]Employment!$B33</f>
        <v>55644</v>
      </c>
      <c r="AE151" s="2">
        <f>[2]Indicators!$AB33</f>
        <v>25.081800000000001</v>
      </c>
      <c r="AF151" s="2">
        <f>[8]m!$AS153</f>
        <v>65.100000000000009</v>
      </c>
      <c r="AG151" s="2">
        <f>[8]m!$H153</f>
        <v>4.28</v>
      </c>
      <c r="AH151" s="2">
        <f>[8]m!$I153</f>
        <v>5.0200000000000005</v>
      </c>
      <c r="AI151" s="2">
        <f>[7]m!C152</f>
        <v>2432</v>
      </c>
      <c r="AJ151" s="2">
        <f>[7]m!D152</f>
        <v>2060</v>
      </c>
      <c r="AK151" s="2">
        <f>[2]Surveys_m!$AB33</f>
        <v>50.800000000000004</v>
      </c>
      <c r="AL151" s="4">
        <f t="shared" si="2"/>
        <v>1927.7466150870414</v>
      </c>
      <c r="AN151" s="2">
        <v>39</v>
      </c>
      <c r="AQ151" s="3">
        <f>[9]LaborForce!$B32*[9]LaborForce!$C32/100</f>
        <v>70526.483999999997</v>
      </c>
      <c r="AR151" s="3">
        <f>[9]Unemployment!$AB33</f>
        <v>306.2</v>
      </c>
      <c r="AS151">
        <f>[2]Indicators!BC33</f>
        <v>35.6</v>
      </c>
      <c r="AT151">
        <f>[2]Indicators!BD33</f>
        <v>26.395500000000002</v>
      </c>
      <c r="AU151">
        <f>[2]Indicators!BE33</f>
        <v>99.363100000000003</v>
      </c>
    </row>
    <row r="152" spans="1:47" x14ac:dyDescent="0.25">
      <c r="A152" s="1">
        <v>22828</v>
      </c>
      <c r="B152" s="2">
        <f>[2]Indicators!G34</f>
        <v>362.13400000000001</v>
      </c>
      <c r="C152" s="2">
        <f>[2]Indicators!H34</f>
        <v>49.161000000000001</v>
      </c>
      <c r="D152" s="2">
        <f>[2]Indicators!I34</f>
        <v>138.18200000000002</v>
      </c>
      <c r="E152" s="2">
        <f>[2]Indicators!J34</f>
        <v>174.791</v>
      </c>
      <c r="M152" s="2">
        <f>[2]Indicators!AB34</f>
        <v>25.322900000000001</v>
      </c>
      <c r="N152" s="2">
        <f>[8]m!$C154</f>
        <v>2.71</v>
      </c>
      <c r="O152">
        <f>[9]Unemployment!$B34</f>
        <v>5.4</v>
      </c>
      <c r="Q152">
        <f>[5]m!$B154</f>
        <v>30.22</v>
      </c>
      <c r="R152">
        <f>[5]m!$D154</f>
        <v>31.400000000000002</v>
      </c>
      <c r="S152">
        <f>[5]m!$Q154</f>
        <v>31.6</v>
      </c>
      <c r="T152">
        <f>[6]m!B154</f>
        <v>-3686</v>
      </c>
      <c r="U152" s="2">
        <f>[9]Unemployment!$F34</f>
        <v>14.600000000000001</v>
      </c>
      <c r="V152" s="2"/>
      <c r="W152">
        <f>[9]Unemployment!$E34</f>
        <v>3819</v>
      </c>
      <c r="X152">
        <f>[9]Unemployment!N34</f>
        <v>1592</v>
      </c>
      <c r="Y152">
        <f>[9]Unemployment!O34</f>
        <v>1142</v>
      </c>
      <c r="Z152">
        <f>[9]Unemployment!P34-[9]Unemployment!Q34</f>
        <v>484</v>
      </c>
      <c r="AA152">
        <f>[9]Unemployment!$Q34</f>
        <v>565</v>
      </c>
      <c r="AB152" s="2">
        <f>[8]m!$C154</f>
        <v>2.71</v>
      </c>
      <c r="AC152" s="2">
        <f>[8]m!$F154</f>
        <v>4.01</v>
      </c>
      <c r="AD152">
        <f>[9]Employment!$B34</f>
        <v>55746</v>
      </c>
      <c r="AE152" s="2">
        <f>[2]Indicators!$AB34</f>
        <v>25.322900000000001</v>
      </c>
      <c r="AF152" s="2">
        <f>[8]m!$AS154</f>
        <v>65.5</v>
      </c>
      <c r="AG152" s="2">
        <f>[8]m!$H154</f>
        <v>4.34</v>
      </c>
      <c r="AH152" s="2">
        <f>[8]m!$I154</f>
        <v>5.05</v>
      </c>
      <c r="AI152" s="2">
        <f>[7]m!C153</f>
        <v>2545</v>
      </c>
      <c r="AJ152" s="2">
        <f>[7]m!D153</f>
        <v>2019</v>
      </c>
      <c r="AK152" s="2">
        <f>[2]Surveys_m!$AB34</f>
        <v>51</v>
      </c>
      <c r="AL152" s="4">
        <f t="shared" si="2"/>
        <v>1927.7466150870414</v>
      </c>
      <c r="AN152" s="2">
        <v>39</v>
      </c>
      <c r="AQ152" s="3">
        <f>[9]LaborForce!$B33*[9]LaborForce!$C33/100</f>
        <v>70274.880000000005</v>
      </c>
      <c r="AR152" s="3">
        <f>[9]Unemployment!$AB34</f>
        <v>305.2</v>
      </c>
      <c r="AS152">
        <f>[2]Indicators!BC34</f>
        <v>35.800000000000004</v>
      </c>
      <c r="AT152">
        <f>[2]Indicators!BD34</f>
        <v>26.406000000000002</v>
      </c>
      <c r="AU152">
        <f>[2]Indicators!BE34</f>
        <v>98.906199999999998</v>
      </c>
    </row>
    <row r="153" spans="1:47" x14ac:dyDescent="0.25">
      <c r="A153" s="1">
        <v>22859</v>
      </c>
      <c r="B153" s="2">
        <f>[2]Indicators!G35</f>
        <v>363.65899999999999</v>
      </c>
      <c r="C153" s="2">
        <f>[2]Indicators!H35</f>
        <v>49.000999999999998</v>
      </c>
      <c r="D153" s="2">
        <f>[2]Indicators!I35</f>
        <v>139.221</v>
      </c>
      <c r="E153" s="2">
        <f>[2]Indicators!J35</f>
        <v>175.43800000000002</v>
      </c>
      <c r="M153" s="2">
        <f>[2]Indicators!AB35</f>
        <v>25.349700000000002</v>
      </c>
      <c r="N153" s="2">
        <f>[8]m!$C155</f>
        <v>2.93</v>
      </c>
      <c r="O153">
        <f>[9]Unemployment!$B35</f>
        <v>5.7</v>
      </c>
      <c r="Q153">
        <f>[5]m!$B155</f>
        <v>30.28</v>
      </c>
      <c r="R153">
        <f>[5]m!$D155</f>
        <v>31.5</v>
      </c>
      <c r="S153">
        <f>[5]m!$Q155</f>
        <v>31.6</v>
      </c>
      <c r="T153">
        <f>[6]m!B155</f>
        <v>-1452</v>
      </c>
      <c r="U153" s="2">
        <f>[9]Unemployment!$F35</f>
        <v>14.5</v>
      </c>
      <c r="V153" s="2"/>
      <c r="W153">
        <f>[9]Unemployment!$E35</f>
        <v>4013</v>
      </c>
      <c r="X153">
        <f>[9]Unemployment!N35</f>
        <v>1731</v>
      </c>
      <c r="Y153">
        <f>[9]Unemployment!O35</f>
        <v>1238</v>
      </c>
      <c r="Z153">
        <f>[9]Unemployment!P35-[9]Unemployment!Q35</f>
        <v>485</v>
      </c>
      <c r="AA153">
        <f>[9]Unemployment!$Q35</f>
        <v>596</v>
      </c>
      <c r="AB153" s="2">
        <f>[8]m!$C155</f>
        <v>2.93</v>
      </c>
      <c r="AC153" s="2">
        <f>[8]m!$F155</f>
        <v>3.98</v>
      </c>
      <c r="AD153">
        <f>[9]Employment!$B35</f>
        <v>55838</v>
      </c>
      <c r="AE153" s="2">
        <f>[2]Indicators!$AB35</f>
        <v>25.349700000000002</v>
      </c>
      <c r="AF153" s="2">
        <f>[8]m!$AS155</f>
        <v>66.100000000000009</v>
      </c>
      <c r="AG153" s="2">
        <f>[8]m!$H155</f>
        <v>4.3500000000000005</v>
      </c>
      <c r="AH153" s="2">
        <f>[8]m!$I155</f>
        <v>5.0600000000000005</v>
      </c>
      <c r="AI153" s="2">
        <f>[7]m!C154</f>
        <v>2272</v>
      </c>
      <c r="AJ153" s="2">
        <f>[7]m!D154</f>
        <v>2009</v>
      </c>
      <c r="AK153" s="2">
        <f>[2]Surveys_m!$AB35</f>
        <v>49.5</v>
      </c>
      <c r="AL153" s="4">
        <f t="shared" si="2"/>
        <v>1878.317214700194</v>
      </c>
      <c r="AN153" s="2">
        <v>38</v>
      </c>
      <c r="AQ153" s="3">
        <f>[9]LaborForce!$B34*[9]LaborForce!$C34/100</f>
        <v>70990.570000000007</v>
      </c>
      <c r="AR153" s="3">
        <f>[9]Unemployment!$AB35</f>
        <v>307.3</v>
      </c>
      <c r="AS153">
        <f>[2]Indicators!BC35</f>
        <v>35.9</v>
      </c>
      <c r="AT153">
        <f>[2]Indicators!BD35</f>
        <v>26.4724</v>
      </c>
      <c r="AU153">
        <f>[2]Indicators!BE35</f>
        <v>98.6541</v>
      </c>
    </row>
    <row r="154" spans="1:47" x14ac:dyDescent="0.25">
      <c r="A154" s="1">
        <v>22890</v>
      </c>
      <c r="B154" s="2">
        <f>[2]Indicators!G36</f>
        <v>369.536</v>
      </c>
      <c r="C154" s="2">
        <f>[2]Indicators!H36</f>
        <v>50.538000000000004</v>
      </c>
      <c r="D154" s="2">
        <f>[2]Indicators!I36</f>
        <v>142.477</v>
      </c>
      <c r="E154" s="2">
        <f>[2]Indicators!J36</f>
        <v>176.52</v>
      </c>
      <c r="M154" s="2">
        <f>[2]Indicators!AB36</f>
        <v>25.5105</v>
      </c>
      <c r="N154" s="2">
        <f>[8]m!$C156</f>
        <v>2.9</v>
      </c>
      <c r="O154">
        <f>[9]Unemployment!$B36</f>
        <v>5.6000000000000005</v>
      </c>
      <c r="Q154">
        <f>[5]m!$B156</f>
        <v>30.42</v>
      </c>
      <c r="R154">
        <f>[5]m!$D156</f>
        <v>31.5</v>
      </c>
      <c r="S154">
        <f>[5]m!$Q156</f>
        <v>31.900000000000002</v>
      </c>
      <c r="T154">
        <f>[6]m!B156</f>
        <v>2726</v>
      </c>
      <c r="U154" s="2">
        <f>[9]Unemployment!$F36</f>
        <v>14.100000000000001</v>
      </c>
      <c r="V154" s="2"/>
      <c r="W154">
        <f>[9]Unemployment!$E36</f>
        <v>3961</v>
      </c>
      <c r="X154">
        <f>[9]Unemployment!N36</f>
        <v>1749</v>
      </c>
      <c r="Y154">
        <f>[9]Unemployment!O36</f>
        <v>1192</v>
      </c>
      <c r="Z154">
        <f>[9]Unemployment!P36-[9]Unemployment!Q36</f>
        <v>567</v>
      </c>
      <c r="AA154">
        <f>[9]Unemployment!$Q36</f>
        <v>529</v>
      </c>
      <c r="AB154" s="2">
        <f>[8]m!$C156</f>
        <v>2.9</v>
      </c>
      <c r="AC154" s="2">
        <f>[8]m!$F156</f>
        <v>3.98</v>
      </c>
      <c r="AD154">
        <f>[9]Employment!$B36</f>
        <v>55977</v>
      </c>
      <c r="AE154" s="2">
        <f>[2]Indicators!$AB36</f>
        <v>25.5105</v>
      </c>
      <c r="AF154" s="2">
        <f>[8]m!$AS156</f>
        <v>66.400000000000006</v>
      </c>
      <c r="AG154" s="2">
        <f>[8]m!$H156</f>
        <v>4.32</v>
      </c>
      <c r="AH154" s="2">
        <f>[8]m!$I156</f>
        <v>5.03</v>
      </c>
      <c r="AI154" s="2">
        <f>[7]m!C155</f>
        <v>2231</v>
      </c>
      <c r="AJ154" s="2">
        <f>[7]m!D155</f>
        <v>2015</v>
      </c>
      <c r="AK154" s="2">
        <f>[2]Surveys_m!$AB36</f>
        <v>50</v>
      </c>
      <c r="AL154" s="4">
        <f t="shared" si="2"/>
        <v>1878.317214700194</v>
      </c>
      <c r="AN154" s="2">
        <v>38</v>
      </c>
      <c r="AQ154" s="3">
        <f>[9]LaborForce!$B35*[9]LaborForce!$C35/100</f>
        <v>71185.27</v>
      </c>
      <c r="AR154" s="3">
        <f>[9]Unemployment!$AB36</f>
        <v>302.40000000000003</v>
      </c>
      <c r="AS154">
        <f>[2]Indicators!BC36</f>
        <v>36.1</v>
      </c>
      <c r="AT154">
        <f>[2]Indicators!BD36</f>
        <v>26.595100000000002</v>
      </c>
      <c r="AU154">
        <f>[2]Indicators!BE36</f>
        <v>98.605100000000007</v>
      </c>
    </row>
    <row r="155" spans="1:47" x14ac:dyDescent="0.25">
      <c r="A155" s="1">
        <v>22920</v>
      </c>
      <c r="B155" s="2">
        <f>[2]Indicators!G37</f>
        <v>367.33499999999998</v>
      </c>
      <c r="C155" s="2">
        <f>[2]Indicators!H37</f>
        <v>49.029000000000003</v>
      </c>
      <c r="D155" s="2">
        <f>[2]Indicators!I37</f>
        <v>140.982</v>
      </c>
      <c r="E155" s="2">
        <f>[2]Indicators!J37</f>
        <v>177.32400000000001</v>
      </c>
      <c r="M155" s="2">
        <f>[2]Indicators!AB37</f>
        <v>25.537300000000002</v>
      </c>
      <c r="N155" s="2">
        <f>[8]m!$C157</f>
        <v>2.9</v>
      </c>
      <c r="O155">
        <f>[9]Unemployment!$B37</f>
        <v>5.4</v>
      </c>
      <c r="Q155">
        <f>[5]m!$B157</f>
        <v>30.38</v>
      </c>
      <c r="R155">
        <f>[5]m!$D157</f>
        <v>31.5</v>
      </c>
      <c r="S155">
        <f>[5]m!$Q157</f>
        <v>31.700000000000003</v>
      </c>
      <c r="T155">
        <f>[6]m!B157</f>
        <v>-5494</v>
      </c>
      <c r="U155" s="2">
        <f>[9]Unemployment!$F37</f>
        <v>14.100000000000001</v>
      </c>
      <c r="V155" s="2"/>
      <c r="W155">
        <f>[9]Unemployment!$E37</f>
        <v>3803</v>
      </c>
      <c r="X155">
        <f>[9]Unemployment!N37</f>
        <v>1636</v>
      </c>
      <c r="Y155">
        <f>[9]Unemployment!O37</f>
        <v>1144</v>
      </c>
      <c r="Z155">
        <f>[9]Unemployment!P37-[9]Unemployment!Q37</f>
        <v>516</v>
      </c>
      <c r="AA155">
        <f>[9]Unemployment!$Q37</f>
        <v>506</v>
      </c>
      <c r="AB155" s="2">
        <f>[8]m!$C157</f>
        <v>2.9</v>
      </c>
      <c r="AC155" s="2">
        <f>[8]m!$F157</f>
        <v>3.93</v>
      </c>
      <c r="AD155">
        <f>[9]Employment!$B37</f>
        <v>56041</v>
      </c>
      <c r="AE155" s="2">
        <f>[2]Indicators!$AB37</f>
        <v>25.537300000000002</v>
      </c>
      <c r="AF155" s="2">
        <f>[8]m!$AS157</f>
        <v>67</v>
      </c>
      <c r="AG155" s="2">
        <f>[8]m!$H157</f>
        <v>4.28</v>
      </c>
      <c r="AH155" s="2">
        <f>[8]m!$I157</f>
        <v>4.99</v>
      </c>
      <c r="AI155" s="2">
        <f>[7]m!C156</f>
        <v>2420</v>
      </c>
      <c r="AJ155" s="2">
        <f>[7]m!D156</f>
        <v>2147</v>
      </c>
      <c r="AK155" s="2">
        <f>[2]Surveys_m!$AB37</f>
        <v>51.2</v>
      </c>
      <c r="AL155" s="4">
        <f t="shared" si="2"/>
        <v>1828.8878143133468</v>
      </c>
      <c r="AN155" s="2">
        <v>37</v>
      </c>
      <c r="AQ155" s="3">
        <f>[9]LaborForce!$B36*[9]LaborForce!$C36/100</f>
        <v>70942.472000000009</v>
      </c>
      <c r="AR155" s="3">
        <f>[9]Unemployment!$AB37</f>
        <v>306.5</v>
      </c>
      <c r="AS155">
        <f>[2]Indicators!BC37</f>
        <v>36.200000000000003</v>
      </c>
      <c r="AT155">
        <f>[2]Indicators!BD37</f>
        <v>26.77</v>
      </c>
      <c r="AU155">
        <f>[2]Indicators!BE37</f>
        <v>98.741200000000006</v>
      </c>
    </row>
    <row r="156" spans="1:47" x14ac:dyDescent="0.25">
      <c r="A156" s="1">
        <v>22951</v>
      </c>
      <c r="B156" s="2">
        <f>[2]Indicators!G38</f>
        <v>372.459</v>
      </c>
      <c r="C156" s="2">
        <f>[2]Indicators!H38</f>
        <v>52.087000000000003</v>
      </c>
      <c r="D156" s="2">
        <f>[2]Indicators!I38</f>
        <v>141.672</v>
      </c>
      <c r="E156" s="2">
        <f>[2]Indicators!J38</f>
        <v>178.70000000000002</v>
      </c>
      <c r="M156" s="2">
        <f>[2]Indicators!AB38</f>
        <v>25.644500000000001</v>
      </c>
      <c r="N156" s="2">
        <f>[8]m!$C158</f>
        <v>2.94</v>
      </c>
      <c r="O156">
        <f>[9]Unemployment!$B38</f>
        <v>5.7</v>
      </c>
      <c r="Q156">
        <f>[5]m!$B158</f>
        <v>30.38</v>
      </c>
      <c r="R156">
        <f>[5]m!$D158</f>
        <v>31.5</v>
      </c>
      <c r="S156">
        <f>[5]m!$Q158</f>
        <v>31.700000000000003</v>
      </c>
      <c r="T156">
        <f>[6]m!B158</f>
        <v>-1043</v>
      </c>
      <c r="U156" s="2">
        <f>[9]Unemployment!$F38</f>
        <v>13.3</v>
      </c>
      <c r="V156" s="2"/>
      <c r="W156">
        <f>[9]Unemployment!$E38</f>
        <v>4024</v>
      </c>
      <c r="X156">
        <f>[9]Unemployment!N38</f>
        <v>1838</v>
      </c>
      <c r="Y156">
        <f>[9]Unemployment!O38</f>
        <v>1076</v>
      </c>
      <c r="Z156">
        <f>[9]Unemployment!P38-[9]Unemployment!Q38</f>
        <v>611</v>
      </c>
      <c r="AA156">
        <f>[9]Unemployment!$Q38</f>
        <v>440</v>
      </c>
      <c r="AB156" s="2">
        <f>[8]m!$C158</f>
        <v>2.94</v>
      </c>
      <c r="AC156" s="2">
        <f>[8]m!$F158</f>
        <v>3.92</v>
      </c>
      <c r="AD156">
        <f>[9]Employment!$B38</f>
        <v>56055</v>
      </c>
      <c r="AE156" s="2">
        <f>[2]Indicators!$AB38</f>
        <v>25.644500000000001</v>
      </c>
      <c r="AF156" s="2">
        <f>[8]m!$AS158</f>
        <v>67.600000000000009</v>
      </c>
      <c r="AG156" s="2">
        <f>[8]m!$H158</f>
        <v>4.25</v>
      </c>
      <c r="AH156" s="2">
        <f>[8]m!$I158</f>
        <v>4.96</v>
      </c>
      <c r="AI156" s="2">
        <f>[7]m!C157</f>
        <v>2112</v>
      </c>
      <c r="AJ156" s="2">
        <f>[7]m!D157</f>
        <v>2025</v>
      </c>
      <c r="AK156" s="2">
        <f>[2]Surveys_m!$AB38</f>
        <v>53.800000000000004</v>
      </c>
      <c r="AL156" s="4">
        <f t="shared" si="2"/>
        <v>1828.8878143133468</v>
      </c>
      <c r="AN156" s="2">
        <v>37</v>
      </c>
      <c r="AQ156" s="3">
        <f>[9]LaborForce!$B37*[9]LaborForce!$C37/100</f>
        <v>70811.324999999997</v>
      </c>
      <c r="AR156" s="3">
        <f>[9]Unemployment!$AB38</f>
        <v>301.3</v>
      </c>
      <c r="AS156">
        <f>[2]Indicators!BC38</f>
        <v>36.6</v>
      </c>
      <c r="AT156">
        <f>[2]Indicators!BD38</f>
        <v>26.982000000000003</v>
      </c>
      <c r="AU156">
        <f>[2]Indicators!BE38</f>
        <v>99.004200000000012</v>
      </c>
    </row>
    <row r="157" spans="1:47" x14ac:dyDescent="0.25">
      <c r="A157" s="1">
        <v>22981</v>
      </c>
      <c r="B157" s="2">
        <f>[2]Indicators!G39</f>
        <v>374.36599999999999</v>
      </c>
      <c r="C157" s="2">
        <f>[2]Indicators!H39</f>
        <v>53.523000000000003</v>
      </c>
      <c r="D157" s="2">
        <f>[2]Indicators!I39</f>
        <v>141.77600000000001</v>
      </c>
      <c r="E157" s="2">
        <f>[2]Indicators!J39</f>
        <v>179.06700000000001</v>
      </c>
      <c r="M157" s="2">
        <f>[2]Indicators!AB39</f>
        <v>25.644500000000001</v>
      </c>
      <c r="N157" s="2">
        <f>[8]m!$C159</f>
        <v>2.93</v>
      </c>
      <c r="O157">
        <f>[9]Unemployment!$B39</f>
        <v>5.5</v>
      </c>
      <c r="Q157">
        <f>[5]m!$B159</f>
        <v>30.38</v>
      </c>
      <c r="R157">
        <f>[5]m!$D159</f>
        <v>31.6</v>
      </c>
      <c r="S157">
        <f>[5]m!$Q159</f>
        <v>31.6</v>
      </c>
      <c r="T157">
        <f>[6]m!B159</f>
        <v>788</v>
      </c>
      <c r="U157" s="2">
        <f>[9]Unemployment!$F39</f>
        <v>13.600000000000001</v>
      </c>
      <c r="V157" s="2"/>
      <c r="W157">
        <f>[9]Unemployment!$E39</f>
        <v>3907</v>
      </c>
      <c r="X157">
        <f>[9]Unemployment!N39</f>
        <v>1732</v>
      </c>
      <c r="Y157">
        <f>[9]Unemployment!O39</f>
        <v>1171</v>
      </c>
      <c r="Z157">
        <f>[9]Unemployment!P39-[9]Unemployment!Q39</f>
        <v>558</v>
      </c>
      <c r="AA157">
        <f>[9]Unemployment!$Q39</f>
        <v>510</v>
      </c>
      <c r="AB157" s="2">
        <f>[8]m!$C159</f>
        <v>2.93</v>
      </c>
      <c r="AC157" s="2">
        <f>[8]m!$F159</f>
        <v>3.86</v>
      </c>
      <c r="AD157">
        <f>[9]Employment!$B39</f>
        <v>56027</v>
      </c>
      <c r="AE157" s="2">
        <f>[2]Indicators!$AB39</f>
        <v>25.644500000000001</v>
      </c>
      <c r="AF157" s="2">
        <f>[8]m!$AS159</f>
        <v>68.100000000000009</v>
      </c>
      <c r="AG157" s="2">
        <f>[8]m!$H159</f>
        <v>4.24</v>
      </c>
      <c r="AH157" s="2">
        <f>[8]m!$I159</f>
        <v>4.92</v>
      </c>
      <c r="AI157" s="2">
        <f>[7]m!C158</f>
        <v>2287</v>
      </c>
      <c r="AJ157" s="2">
        <f>[7]m!D158</f>
        <v>2128</v>
      </c>
      <c r="AK157" s="2">
        <f>[2]Surveys_m!$AB39</f>
        <v>57.2</v>
      </c>
      <c r="AL157" s="4">
        <f t="shared" si="2"/>
        <v>1828.8878143133468</v>
      </c>
      <c r="AN157" s="2">
        <v>37</v>
      </c>
      <c r="AQ157" s="3">
        <f>[9]LaborForce!$B38*[9]LaborForce!$C38/100</f>
        <v>70801.824000000008</v>
      </c>
      <c r="AR157" s="3">
        <f>[9]Unemployment!$AB39</f>
        <v>312</v>
      </c>
      <c r="AS157">
        <f>[2]Indicators!BC39</f>
        <v>36.700000000000003</v>
      </c>
      <c r="AT157">
        <f>[2]Indicators!BD39</f>
        <v>27.209100000000003</v>
      </c>
      <c r="AU157">
        <f>[2]Indicators!BE39</f>
        <v>99.311500000000009</v>
      </c>
    </row>
    <row r="158" spans="1:47" x14ac:dyDescent="0.25">
      <c r="A158" s="1">
        <v>23012</v>
      </c>
      <c r="B158" s="2">
        <f>[2]Indicators!G40</f>
        <v>375.11200000000002</v>
      </c>
      <c r="C158" s="2">
        <f>[2]Indicators!H40</f>
        <v>53.063000000000002</v>
      </c>
      <c r="D158" s="2">
        <f>[2]Indicators!I40</f>
        <v>142.75800000000001</v>
      </c>
      <c r="E158" s="2">
        <f>[2]Indicators!J40</f>
        <v>179.291</v>
      </c>
      <c r="M158" s="2">
        <f>[2]Indicators!AB40</f>
        <v>25.832000000000001</v>
      </c>
      <c r="N158" s="2">
        <f>[8]m!$C160</f>
        <v>2.92</v>
      </c>
      <c r="O158">
        <f>[9]Unemployment!$B40</f>
        <v>5.7</v>
      </c>
      <c r="Q158">
        <f>[5]m!$B160</f>
        <v>30.44</v>
      </c>
      <c r="R158">
        <f>[5]m!$D160</f>
        <v>31.5</v>
      </c>
      <c r="S158">
        <f>[5]m!$Q160</f>
        <v>31.6</v>
      </c>
      <c r="T158">
        <f>[6]m!B160</f>
        <v>-2480</v>
      </c>
      <c r="U158" s="2">
        <f>[9]Unemployment!$F40</f>
        <v>13.8</v>
      </c>
      <c r="V158" s="2"/>
      <c r="W158">
        <f>[9]Unemployment!$E40</f>
        <v>4074</v>
      </c>
      <c r="X158">
        <f>[9]Unemployment!N40</f>
        <v>1730</v>
      </c>
      <c r="Y158">
        <f>[9]Unemployment!O40</f>
        <v>1253</v>
      </c>
      <c r="Z158">
        <f>[9]Unemployment!P40-[9]Unemployment!Q40</f>
        <v>578</v>
      </c>
      <c r="AA158">
        <f>[9]Unemployment!$Q40</f>
        <v>544</v>
      </c>
      <c r="AB158" s="2">
        <f>[8]m!$C160</f>
        <v>2.92</v>
      </c>
      <c r="AC158" s="2">
        <f>[8]m!$F160</f>
        <v>3.83</v>
      </c>
      <c r="AD158">
        <f>[9]Employment!$B40</f>
        <v>56116</v>
      </c>
      <c r="AE158" s="2">
        <f>[2]Indicators!$AB40</f>
        <v>25.832000000000001</v>
      </c>
      <c r="AF158" s="2">
        <f>[8]m!$AS160</f>
        <v>68.7</v>
      </c>
      <c r="AG158" s="2">
        <f>[8]m!$H160</f>
        <v>4.21</v>
      </c>
      <c r="AH158" s="2">
        <f>[8]m!$I160</f>
        <v>4.91</v>
      </c>
      <c r="AI158" s="2">
        <f>[7]m!C159</f>
        <v>2381</v>
      </c>
      <c r="AJ158" s="2">
        <f>[7]m!D159</f>
        <v>2089</v>
      </c>
      <c r="AK158" s="2">
        <f>[2]Surveys_m!$AB40</f>
        <v>55.2</v>
      </c>
      <c r="AL158" s="4">
        <f t="shared" si="2"/>
        <v>1878.317214700194</v>
      </c>
      <c r="AN158" s="2">
        <v>38</v>
      </c>
      <c r="AQ158" s="3">
        <f>[9]LaborForce!$B39*[9]LaborForce!$C39/100</f>
        <v>71177.317999999999</v>
      </c>
      <c r="AR158" s="3">
        <f>[9]Unemployment!$AB40</f>
        <v>311.90000000000003</v>
      </c>
      <c r="AS158">
        <f>[2]Indicators!BC40</f>
        <v>37</v>
      </c>
      <c r="AT158">
        <f>[2]Indicators!BD40</f>
        <v>27.440300000000001</v>
      </c>
      <c r="AU158">
        <f>[2]Indicators!BE40</f>
        <v>99.622500000000002</v>
      </c>
    </row>
    <row r="159" spans="1:47" x14ac:dyDescent="0.25">
      <c r="A159" s="1">
        <v>23043</v>
      </c>
      <c r="B159" s="2">
        <f>[2]Indicators!G41</f>
        <v>374.07499999999999</v>
      </c>
      <c r="C159" s="2">
        <f>[2]Indicators!H41</f>
        <v>52.407000000000004</v>
      </c>
      <c r="D159" s="2">
        <f>[2]Indicators!I41</f>
        <v>141.86699999999999</v>
      </c>
      <c r="E159" s="2">
        <f>[2]Indicators!J41</f>
        <v>179.80199999999999</v>
      </c>
      <c r="M159" s="2">
        <f>[2]Indicators!AB41</f>
        <v>26.126800000000003</v>
      </c>
      <c r="N159" s="2">
        <f>[8]m!$C161</f>
        <v>3</v>
      </c>
      <c r="O159">
        <f>[9]Unemployment!$B41</f>
        <v>5.9</v>
      </c>
      <c r="Q159">
        <f>[5]m!$B161</f>
        <v>30.48</v>
      </c>
      <c r="R159">
        <f>[5]m!$D161</f>
        <v>31.6</v>
      </c>
      <c r="S159">
        <f>[5]m!$Q161</f>
        <v>31.5</v>
      </c>
      <c r="T159">
        <f>[6]m!B161</f>
        <v>542</v>
      </c>
      <c r="U159" s="2">
        <f>[9]Unemployment!$F41</f>
        <v>14.100000000000001</v>
      </c>
      <c r="V159" s="2"/>
      <c r="W159">
        <f>[9]Unemployment!$E41</f>
        <v>4238</v>
      </c>
      <c r="X159">
        <f>[9]Unemployment!N41</f>
        <v>1858</v>
      </c>
      <c r="Y159">
        <f>[9]Unemployment!O41</f>
        <v>1283</v>
      </c>
      <c r="Z159">
        <f>[9]Unemployment!P41-[9]Unemployment!Q41</f>
        <v>540</v>
      </c>
      <c r="AA159">
        <f>[9]Unemployment!$Q41</f>
        <v>597</v>
      </c>
      <c r="AB159" s="2">
        <f>[8]m!$C161</f>
        <v>3</v>
      </c>
      <c r="AC159" s="2">
        <f>[8]m!$F161</f>
        <v>3.92</v>
      </c>
      <c r="AD159">
        <f>[9]Employment!$B41</f>
        <v>56231</v>
      </c>
      <c r="AE159" s="2">
        <f>[2]Indicators!$AB41</f>
        <v>26.126800000000003</v>
      </c>
      <c r="AF159" s="2">
        <f>[8]m!$AS161</f>
        <v>69.400000000000006</v>
      </c>
      <c r="AG159" s="2">
        <f>[8]m!$H161</f>
        <v>4.1900000000000004</v>
      </c>
      <c r="AH159" s="2">
        <f>[8]m!$I161</f>
        <v>4.8899999999999997</v>
      </c>
      <c r="AI159" s="2">
        <f>[7]m!C160</f>
        <v>1603</v>
      </c>
      <c r="AJ159" s="2">
        <f>[7]m!D160</f>
        <v>1775</v>
      </c>
      <c r="AK159" s="2">
        <f>[2]Surveys_m!$AB41</f>
        <v>55.1</v>
      </c>
      <c r="AL159" s="4">
        <f t="shared" si="2"/>
        <v>1878.317214700194</v>
      </c>
      <c r="AN159" s="2">
        <v>38</v>
      </c>
      <c r="AQ159" s="3">
        <f>[9]LaborForce!$B40*[9]LaborForce!$C40/100</f>
        <v>71276.937999999995</v>
      </c>
      <c r="AR159" s="3">
        <f>[9]Unemployment!$AB41</f>
        <v>303.10000000000002</v>
      </c>
      <c r="AS159">
        <f>[2]Indicators!BC41</f>
        <v>37.200000000000003</v>
      </c>
      <c r="AT159">
        <f>[2]Indicators!BD41</f>
        <v>27.678900000000002</v>
      </c>
      <c r="AU159">
        <f>[2]Indicators!BE41</f>
        <v>99.949400000000011</v>
      </c>
    </row>
    <row r="160" spans="1:47" x14ac:dyDescent="0.25">
      <c r="A160" s="1">
        <v>23071</v>
      </c>
      <c r="B160" s="2">
        <f>[2]Indicators!G42</f>
        <v>375.66899999999998</v>
      </c>
      <c r="C160" s="2">
        <f>[2]Indicators!H42</f>
        <v>52.298000000000002</v>
      </c>
      <c r="D160" s="2">
        <f>[2]Indicators!I42</f>
        <v>142.749</v>
      </c>
      <c r="E160" s="2">
        <f>[2]Indicators!J42</f>
        <v>180.62200000000001</v>
      </c>
      <c r="M160" s="2">
        <f>[2]Indicators!AB42</f>
        <v>26.287600000000001</v>
      </c>
      <c r="N160" s="2">
        <f>[8]m!$C162</f>
        <v>2.98</v>
      </c>
      <c r="O160">
        <f>[9]Unemployment!$B42</f>
        <v>5.7</v>
      </c>
      <c r="Q160">
        <f>[5]m!$B162</f>
        <v>30.51</v>
      </c>
      <c r="R160">
        <f>[5]m!$D162</f>
        <v>31.7</v>
      </c>
      <c r="S160">
        <f>[5]m!$Q162</f>
        <v>31.5</v>
      </c>
      <c r="T160">
        <f>[6]m!B162</f>
        <v>1857</v>
      </c>
      <c r="U160" s="2">
        <f>[9]Unemployment!$F42</f>
        <v>14.5</v>
      </c>
      <c r="V160" s="2"/>
      <c r="W160">
        <f>[9]Unemployment!$E42</f>
        <v>4072</v>
      </c>
      <c r="X160">
        <f>[9]Unemployment!N42</f>
        <v>1701</v>
      </c>
      <c r="Y160">
        <f>[9]Unemployment!O42</f>
        <v>1266</v>
      </c>
      <c r="Z160">
        <f>[9]Unemployment!P42-[9]Unemployment!Q42</f>
        <v>488</v>
      </c>
      <c r="AA160">
        <f>[9]Unemployment!$Q42</f>
        <v>599</v>
      </c>
      <c r="AB160" s="2">
        <f>[8]m!$C162</f>
        <v>2.98</v>
      </c>
      <c r="AC160" s="2">
        <f>[8]m!$F162</f>
        <v>3.93</v>
      </c>
      <c r="AD160">
        <f>[9]Employment!$B42</f>
        <v>56322</v>
      </c>
      <c r="AE160" s="2">
        <f>[2]Indicators!$AB42</f>
        <v>26.287600000000001</v>
      </c>
      <c r="AF160" s="2">
        <f>[8]m!$AS162</f>
        <v>70.100000000000009</v>
      </c>
      <c r="AG160" s="2">
        <f>[8]m!$H162</f>
        <v>4.1900000000000004</v>
      </c>
      <c r="AH160" s="2">
        <f>[8]m!$I162</f>
        <v>4.88</v>
      </c>
      <c r="AI160" s="2">
        <f>[7]m!C161</f>
        <v>2759</v>
      </c>
      <c r="AJ160" s="2">
        <f>[7]m!D161</f>
        <v>2196</v>
      </c>
      <c r="AK160" s="2">
        <f>[2]Surveys_m!$AB42</f>
        <v>54.7</v>
      </c>
      <c r="AL160" s="4">
        <f t="shared" si="2"/>
        <v>1878.317214700194</v>
      </c>
      <c r="AN160" s="2">
        <v>38</v>
      </c>
      <c r="AQ160" s="3">
        <f>[9]LaborForce!$B41*[9]LaborForce!$C41/100</f>
        <v>71388.864000000001</v>
      </c>
      <c r="AR160" s="3">
        <f>[9]Unemployment!$AB42</f>
        <v>289.60000000000002</v>
      </c>
      <c r="AS160">
        <f>[2]Indicators!BC42</f>
        <v>37.5</v>
      </c>
      <c r="AT160">
        <f>[2]Indicators!BD42</f>
        <v>27.915100000000002</v>
      </c>
      <c r="AU160">
        <f>[2]Indicators!BE42</f>
        <v>100.2564</v>
      </c>
    </row>
    <row r="161" spans="1:47" x14ac:dyDescent="0.25">
      <c r="A161" s="1">
        <v>23102</v>
      </c>
      <c r="B161" s="2">
        <f>[2]Indicators!G43</f>
        <v>377.012</v>
      </c>
      <c r="C161" s="2">
        <f>[2]Indicators!H43</f>
        <v>53.213000000000001</v>
      </c>
      <c r="D161" s="2">
        <f>[2]Indicators!I43</f>
        <v>142.137</v>
      </c>
      <c r="E161" s="2">
        <f>[2]Indicators!J43</f>
        <v>181.661</v>
      </c>
      <c r="M161" s="2">
        <f>[2]Indicators!AB43</f>
        <v>26.5288</v>
      </c>
      <c r="N161" s="2">
        <f>[8]m!$C163</f>
        <v>2.9</v>
      </c>
      <c r="O161">
        <f>[9]Unemployment!$B43</f>
        <v>5.7</v>
      </c>
      <c r="Q161">
        <f>[5]m!$B163</f>
        <v>30.48</v>
      </c>
      <c r="R161">
        <f>[5]m!$D163</f>
        <v>31.7</v>
      </c>
      <c r="S161">
        <f>[5]m!$Q163</f>
        <v>31.400000000000002</v>
      </c>
      <c r="T161">
        <f>[6]m!B163</f>
        <v>-1855</v>
      </c>
      <c r="U161" s="2">
        <f>[9]Unemployment!$F43</f>
        <v>14.5</v>
      </c>
      <c r="V161" s="2"/>
      <c r="W161">
        <f>[9]Unemployment!$E43</f>
        <v>4055</v>
      </c>
      <c r="X161">
        <f>[9]Unemployment!N43</f>
        <v>1717</v>
      </c>
      <c r="Y161">
        <f>[9]Unemployment!O43</f>
        <v>1226</v>
      </c>
      <c r="Z161">
        <f>[9]Unemployment!P43-[9]Unemployment!Q43</f>
        <v>480</v>
      </c>
      <c r="AA161">
        <f>[9]Unemployment!$Q43</f>
        <v>591</v>
      </c>
      <c r="AB161" s="2">
        <f>[8]m!$C163</f>
        <v>2.9</v>
      </c>
      <c r="AC161" s="2">
        <f>[8]m!$F163</f>
        <v>3.97</v>
      </c>
      <c r="AD161">
        <f>[9]Employment!$B43</f>
        <v>56580</v>
      </c>
      <c r="AE161" s="2">
        <f>[2]Indicators!$AB43</f>
        <v>26.5288</v>
      </c>
      <c r="AF161" s="2">
        <f>[8]m!$AS163</f>
        <v>70.8</v>
      </c>
      <c r="AG161" s="2">
        <f>[8]m!$H163</f>
        <v>4.21</v>
      </c>
      <c r="AH161" s="2">
        <f>[8]m!$I163</f>
        <v>4.87</v>
      </c>
      <c r="AI161" s="2">
        <f>[7]m!C162</f>
        <v>2570</v>
      </c>
      <c r="AJ161" s="2">
        <f>[7]m!D162</f>
        <v>2171</v>
      </c>
      <c r="AK161" s="2">
        <f>[2]Surveys_m!$AB43</f>
        <v>57.6</v>
      </c>
      <c r="AL161" s="4">
        <f t="shared" si="2"/>
        <v>1878.317214700194</v>
      </c>
      <c r="AN161" s="2">
        <v>38</v>
      </c>
      <c r="AQ161" s="3">
        <f>[9]LaborForce!$B42*[9]LaborForce!$C42/100</f>
        <v>71727.768000000011</v>
      </c>
      <c r="AR161" s="3">
        <f>[9]Unemployment!$AB43</f>
        <v>295.5</v>
      </c>
      <c r="AS161">
        <f>[2]Indicators!BC43</f>
        <v>37.800000000000004</v>
      </c>
      <c r="AT161">
        <f>[2]Indicators!BD43</f>
        <v>28.137</v>
      </c>
      <c r="AU161">
        <f>[2]Indicators!BE43</f>
        <v>100.5021</v>
      </c>
    </row>
    <row r="162" spans="1:47" x14ac:dyDescent="0.25">
      <c r="A162" s="1">
        <v>23132</v>
      </c>
      <c r="B162" s="2">
        <f>[2]Indicators!G44</f>
        <v>377.87099999999998</v>
      </c>
      <c r="C162" s="2">
        <f>[2]Indicators!H44</f>
        <v>53.45</v>
      </c>
      <c r="D162" s="2">
        <f>[2]Indicators!I44</f>
        <v>142.381</v>
      </c>
      <c r="E162" s="2">
        <f>[2]Indicators!J44</f>
        <v>182.04</v>
      </c>
      <c r="M162" s="2">
        <f>[2]Indicators!AB44</f>
        <v>26.850300000000001</v>
      </c>
      <c r="N162" s="2">
        <f>[8]m!$C164</f>
        <v>3</v>
      </c>
      <c r="O162">
        <f>[9]Unemployment!$B44</f>
        <v>5.9</v>
      </c>
      <c r="Q162">
        <f>[5]m!$B164</f>
        <v>30.51</v>
      </c>
      <c r="R162">
        <f>[5]m!$D164</f>
        <v>31.7</v>
      </c>
      <c r="S162">
        <f>[5]m!$Q164</f>
        <v>31.5</v>
      </c>
      <c r="T162">
        <f>[6]m!B164</f>
        <v>-517</v>
      </c>
      <c r="U162" s="2">
        <f>[9]Unemployment!$F44</f>
        <v>14.5</v>
      </c>
      <c r="V162" s="2"/>
      <c r="W162">
        <f>[9]Unemployment!$E44</f>
        <v>4217</v>
      </c>
      <c r="X162">
        <f>[9]Unemployment!N44</f>
        <v>1870</v>
      </c>
      <c r="Y162">
        <f>[9]Unemployment!O44</f>
        <v>1160</v>
      </c>
      <c r="Z162">
        <f>[9]Unemployment!P44-[9]Unemployment!Q44</f>
        <v>552</v>
      </c>
      <c r="AA162">
        <f>[9]Unemployment!$Q44</f>
        <v>605</v>
      </c>
      <c r="AB162" s="2">
        <f>[8]m!$C164</f>
        <v>3</v>
      </c>
      <c r="AC162" s="2">
        <f>[8]m!$F164</f>
        <v>3.93</v>
      </c>
      <c r="AD162">
        <f>[9]Employment!$B44</f>
        <v>56616</v>
      </c>
      <c r="AE162" s="2">
        <f>[2]Indicators!$AB44</f>
        <v>26.850300000000001</v>
      </c>
      <c r="AF162" s="2">
        <f>[8]m!$AS164</f>
        <v>71.3</v>
      </c>
      <c r="AG162" s="2">
        <f>[8]m!$H164</f>
        <v>4.22</v>
      </c>
      <c r="AH162" s="2">
        <f>[8]m!$I164</f>
        <v>4.8500000000000005</v>
      </c>
      <c r="AI162" s="2">
        <f>[7]m!C163</f>
        <v>2644</v>
      </c>
      <c r="AJ162" s="2">
        <f>[7]m!D163</f>
        <v>2101</v>
      </c>
      <c r="AK162" s="2">
        <f>[2]Surveys_m!$AB44</f>
        <v>59.800000000000004</v>
      </c>
      <c r="AL162" s="4">
        <f t="shared" si="2"/>
        <v>1828.8878143133468</v>
      </c>
      <c r="AN162" s="2">
        <v>37</v>
      </c>
      <c r="AQ162" s="3">
        <f>[9]LaborForce!$B43*[9]LaborForce!$C43/100</f>
        <v>71831.256000000008</v>
      </c>
      <c r="AR162" s="3">
        <f>[9]Unemployment!$AB44</f>
        <v>289.7</v>
      </c>
      <c r="AS162">
        <f>[2]Indicators!BC44</f>
        <v>38</v>
      </c>
      <c r="AT162">
        <f>[2]Indicators!BD44</f>
        <v>28.329600000000003</v>
      </c>
      <c r="AU162">
        <f>[2]Indicators!BE44</f>
        <v>100.6336</v>
      </c>
    </row>
    <row r="163" spans="1:47" x14ac:dyDescent="0.25">
      <c r="A163" s="1">
        <v>23163</v>
      </c>
      <c r="B163" s="2">
        <f>[2]Indicators!G45</f>
        <v>382.351</v>
      </c>
      <c r="C163" s="2">
        <f>[2]Indicators!H45</f>
        <v>54.981000000000002</v>
      </c>
      <c r="D163" s="2">
        <f>[2]Indicators!I45</f>
        <v>143.892</v>
      </c>
      <c r="E163" s="2">
        <f>[2]Indicators!J45</f>
        <v>183.47800000000001</v>
      </c>
      <c r="M163" s="2">
        <f>[2]Indicators!AB45</f>
        <v>26.930700000000002</v>
      </c>
      <c r="N163" s="2">
        <f>[8]m!$C165</f>
        <v>2.99</v>
      </c>
      <c r="O163">
        <f>[9]Unemployment!$B45</f>
        <v>5.6000000000000005</v>
      </c>
      <c r="Q163">
        <f>[5]m!$B165</f>
        <v>30.61</v>
      </c>
      <c r="R163">
        <f>[5]m!$D165</f>
        <v>31.8</v>
      </c>
      <c r="S163">
        <f>[5]m!$Q165</f>
        <v>31.6</v>
      </c>
      <c r="T163">
        <f>[6]m!B165</f>
        <v>4346</v>
      </c>
      <c r="U163" s="2">
        <f>[9]Unemployment!$F45</f>
        <v>14</v>
      </c>
      <c r="V163" s="2"/>
      <c r="W163">
        <f>[9]Unemployment!$E45</f>
        <v>3977</v>
      </c>
      <c r="X163">
        <f>[9]Unemployment!N45</f>
        <v>1719</v>
      </c>
      <c r="Y163">
        <f>[9]Unemployment!O45</f>
        <v>1259</v>
      </c>
      <c r="Z163">
        <f>[9]Unemployment!P45-[9]Unemployment!Q45</f>
        <v>567</v>
      </c>
      <c r="AA163">
        <f>[9]Unemployment!$Q45</f>
        <v>500</v>
      </c>
      <c r="AB163" s="2">
        <f>[8]m!$C165</f>
        <v>2.99</v>
      </c>
      <c r="AC163" s="2">
        <f>[8]m!$F165</f>
        <v>3.99</v>
      </c>
      <c r="AD163">
        <f>[9]Employment!$B45</f>
        <v>56658</v>
      </c>
      <c r="AE163" s="2">
        <f>[2]Indicators!$AB45</f>
        <v>26.930700000000002</v>
      </c>
      <c r="AF163" s="2">
        <f>[8]m!$AS165</f>
        <v>71.900000000000006</v>
      </c>
      <c r="AG163" s="2">
        <f>[8]m!$H165</f>
        <v>4.2300000000000004</v>
      </c>
      <c r="AH163" s="2">
        <f>[8]m!$I165</f>
        <v>4.84</v>
      </c>
      <c r="AI163" s="2">
        <f>[7]m!C164</f>
        <v>2616</v>
      </c>
      <c r="AJ163" s="2">
        <f>[7]m!D164</f>
        <v>2098</v>
      </c>
      <c r="AK163" s="2">
        <f>[2]Surveys_m!$AB45</f>
        <v>58.2</v>
      </c>
      <c r="AL163" s="4">
        <f t="shared" si="2"/>
        <v>1828.8878143133468</v>
      </c>
      <c r="AN163" s="2">
        <v>37</v>
      </c>
      <c r="AQ163" s="3">
        <f>[9]LaborForce!$B44*[9]LaborForce!$C44/100</f>
        <v>71575.92</v>
      </c>
      <c r="AR163" s="3">
        <f>[9]Unemployment!$AB45</f>
        <v>285.7</v>
      </c>
      <c r="AS163">
        <f>[2]Indicators!BC45</f>
        <v>38</v>
      </c>
      <c r="AT163">
        <f>[2]Indicators!BD45</f>
        <v>28.491400000000002</v>
      </c>
      <c r="AU163">
        <f>[2]Indicators!BE45</f>
        <v>100.64800000000001</v>
      </c>
    </row>
    <row r="164" spans="1:47" x14ac:dyDescent="0.25">
      <c r="A164" s="1">
        <v>23193</v>
      </c>
      <c r="B164" s="2">
        <f>[2]Indicators!G46</f>
        <v>385.07900000000001</v>
      </c>
      <c r="C164" s="2">
        <f>[2]Indicators!H46</f>
        <v>55.459000000000003</v>
      </c>
      <c r="D164" s="2">
        <f>[2]Indicators!I46</f>
        <v>144.69499999999999</v>
      </c>
      <c r="E164" s="2">
        <f>[2]Indicators!J46</f>
        <v>184.92400000000001</v>
      </c>
      <c r="M164" s="2">
        <f>[2]Indicators!AB46</f>
        <v>26.823500000000003</v>
      </c>
      <c r="N164" s="2">
        <f>[8]m!$C166</f>
        <v>3.02</v>
      </c>
      <c r="O164">
        <f>[9]Unemployment!$B46</f>
        <v>5.6000000000000005</v>
      </c>
      <c r="Q164">
        <f>[5]m!$B166</f>
        <v>30.69</v>
      </c>
      <c r="R164">
        <f>[5]m!$D166</f>
        <v>31.8</v>
      </c>
      <c r="S164">
        <f>[5]m!$Q166</f>
        <v>31.700000000000003</v>
      </c>
      <c r="T164">
        <f>[6]m!B166</f>
        <v>-4316</v>
      </c>
      <c r="U164" s="2">
        <f>[9]Unemployment!$F46</f>
        <v>14</v>
      </c>
      <c r="V164" s="2"/>
      <c r="W164">
        <f>[9]Unemployment!$E46</f>
        <v>4051</v>
      </c>
      <c r="X164">
        <f>[9]Unemployment!N46</f>
        <v>1693</v>
      </c>
      <c r="Y164">
        <f>[9]Unemployment!O46</f>
        <v>1289</v>
      </c>
      <c r="Z164">
        <f>[9]Unemployment!P46-[9]Unemployment!Q46</f>
        <v>522</v>
      </c>
      <c r="AA164">
        <f>[9]Unemployment!$Q46</f>
        <v>548</v>
      </c>
      <c r="AB164" s="2">
        <f>[8]m!$C166</f>
        <v>3.02</v>
      </c>
      <c r="AC164" s="2">
        <f>[8]m!$F166</f>
        <v>4.0200000000000005</v>
      </c>
      <c r="AD164">
        <f>[9]Employment!$B46</f>
        <v>56795</v>
      </c>
      <c r="AE164" s="2">
        <f>[2]Indicators!$AB46</f>
        <v>26.823500000000003</v>
      </c>
      <c r="AF164" s="2">
        <f>[8]m!$AS166</f>
        <v>72.7</v>
      </c>
      <c r="AG164" s="2">
        <f>[8]m!$H166</f>
        <v>4.26</v>
      </c>
      <c r="AH164" s="2">
        <f>[8]m!$I166</f>
        <v>4.84</v>
      </c>
      <c r="AI164" s="2">
        <f>[7]m!C165</f>
        <v>2554</v>
      </c>
      <c r="AJ164" s="2">
        <f>[7]m!D165</f>
        <v>2121</v>
      </c>
      <c r="AK164" s="2">
        <f>[2]Surveys_m!$AB46</f>
        <v>55.5</v>
      </c>
      <c r="AL164" s="4">
        <f t="shared" si="2"/>
        <v>1878.317214700194</v>
      </c>
      <c r="AN164" s="2">
        <v>38</v>
      </c>
      <c r="AQ164" s="3">
        <f>[9]LaborForce!$B45*[9]LaborForce!$C45/100</f>
        <v>71919.827000000005</v>
      </c>
      <c r="AR164" s="3">
        <f>[9]Unemployment!$AB46</f>
        <v>283.90000000000003</v>
      </c>
      <c r="AS164">
        <f>[2]Indicators!BC46</f>
        <v>38</v>
      </c>
      <c r="AT164">
        <f>[2]Indicators!BD46</f>
        <v>28.635400000000001</v>
      </c>
      <c r="AU164">
        <f>[2]Indicators!BE46</f>
        <v>100.593</v>
      </c>
    </row>
    <row r="165" spans="1:47" x14ac:dyDescent="0.25">
      <c r="A165" s="1">
        <v>23224</v>
      </c>
      <c r="B165" s="2">
        <f>[2]Indicators!G47</f>
        <v>386.96100000000001</v>
      </c>
      <c r="C165" s="2">
        <f>[2]Indicators!H47</f>
        <v>54.064</v>
      </c>
      <c r="D165" s="2">
        <f>[2]Indicators!I47</f>
        <v>146.49299999999999</v>
      </c>
      <c r="E165" s="2">
        <f>[2]Indicators!J47</f>
        <v>186.40299999999999</v>
      </c>
      <c r="M165" s="2">
        <f>[2]Indicators!AB47</f>
        <v>26.877100000000002</v>
      </c>
      <c r="N165" s="2">
        <f>[8]m!$C167</f>
        <v>3.49</v>
      </c>
      <c r="O165">
        <f>[9]Unemployment!$B47</f>
        <v>5.4</v>
      </c>
      <c r="Q165">
        <f>[5]m!$B167</f>
        <v>30.75</v>
      </c>
      <c r="R165">
        <f>[5]m!$D167</f>
        <v>31.900000000000002</v>
      </c>
      <c r="S165">
        <f>[5]m!$Q167</f>
        <v>31.6</v>
      </c>
      <c r="T165">
        <f>[6]m!B167</f>
        <v>-1015</v>
      </c>
      <c r="U165" s="2">
        <f>[9]Unemployment!$F47</f>
        <v>13.9</v>
      </c>
      <c r="V165" s="2"/>
      <c r="W165">
        <f>[9]Unemployment!$E47</f>
        <v>3878</v>
      </c>
      <c r="X165">
        <f>[9]Unemployment!N47</f>
        <v>1677</v>
      </c>
      <c r="Y165">
        <f>[9]Unemployment!O47</f>
        <v>1150</v>
      </c>
      <c r="Z165">
        <f>[9]Unemployment!P47-[9]Unemployment!Q47</f>
        <v>593</v>
      </c>
      <c r="AA165">
        <f>[9]Unemployment!$Q47</f>
        <v>521</v>
      </c>
      <c r="AB165" s="2">
        <f>[8]m!$C167</f>
        <v>3.49</v>
      </c>
      <c r="AC165" s="2">
        <f>[8]m!$F167</f>
        <v>4</v>
      </c>
      <c r="AD165">
        <f>[9]Employment!$B47</f>
        <v>56910</v>
      </c>
      <c r="AE165" s="2">
        <f>[2]Indicators!$AB47</f>
        <v>26.877100000000002</v>
      </c>
      <c r="AF165" s="2">
        <f>[8]m!$AS167</f>
        <v>73.600000000000009</v>
      </c>
      <c r="AG165" s="2">
        <f>[8]m!$H167</f>
        <v>4.29</v>
      </c>
      <c r="AH165" s="2">
        <f>[8]m!$I167</f>
        <v>4.83</v>
      </c>
      <c r="AI165" s="2">
        <f>[7]m!C166</f>
        <v>2379</v>
      </c>
      <c r="AJ165" s="2">
        <f>[7]m!D166</f>
        <v>2154</v>
      </c>
      <c r="AK165" s="2">
        <f>[2]Surveys_m!$AB47</f>
        <v>55.1</v>
      </c>
      <c r="AL165" s="4">
        <f t="shared" si="2"/>
        <v>1878.317214700194</v>
      </c>
      <c r="AN165" s="2">
        <v>38</v>
      </c>
      <c r="AQ165" s="3">
        <f>[9]LaborForce!$B46*[9]LaborForce!$C46/100</f>
        <v>71760.195000000007</v>
      </c>
      <c r="AR165" s="3">
        <f>[9]Unemployment!$AB47</f>
        <v>291.90000000000003</v>
      </c>
      <c r="AS165">
        <f>[2]Indicators!BC47</f>
        <v>38.1</v>
      </c>
      <c r="AT165">
        <f>[2]Indicators!BD47</f>
        <v>28.7773</v>
      </c>
      <c r="AU165">
        <f>[2]Indicators!BE47</f>
        <v>100.52430000000001</v>
      </c>
    </row>
    <row r="166" spans="1:47" x14ac:dyDescent="0.25">
      <c r="A166" s="1">
        <v>23255</v>
      </c>
      <c r="B166" s="2">
        <f>[2]Indicators!G48</f>
        <v>386.166</v>
      </c>
      <c r="C166" s="2">
        <f>[2]Indicators!H48</f>
        <v>54.58</v>
      </c>
      <c r="D166" s="2">
        <f>[2]Indicators!I48</f>
        <v>144.31100000000001</v>
      </c>
      <c r="E166" s="2">
        <f>[2]Indicators!J48</f>
        <v>187.27500000000001</v>
      </c>
      <c r="M166" s="2">
        <f>[2]Indicators!AB48</f>
        <v>27.145100000000003</v>
      </c>
      <c r="N166" s="2">
        <f>[8]m!$C168</f>
        <v>3.48</v>
      </c>
      <c r="O166">
        <f>[9]Unemployment!$B48</f>
        <v>5.5</v>
      </c>
      <c r="Q166">
        <f>[5]m!$B168</f>
        <v>30.72</v>
      </c>
      <c r="R166">
        <f>[5]m!$D168</f>
        <v>31.900000000000002</v>
      </c>
      <c r="S166">
        <f>[5]m!$Q168</f>
        <v>31.6</v>
      </c>
      <c r="T166">
        <f>[6]m!B168</f>
        <v>2280</v>
      </c>
      <c r="U166" s="2">
        <f>[9]Unemployment!$F48</f>
        <v>14.200000000000001</v>
      </c>
      <c r="V166" s="2"/>
      <c r="W166">
        <f>[9]Unemployment!$E48</f>
        <v>3957</v>
      </c>
      <c r="X166">
        <f>[9]Unemployment!N48</f>
        <v>1695</v>
      </c>
      <c r="Y166">
        <f>[9]Unemployment!O48</f>
        <v>1225</v>
      </c>
      <c r="Z166">
        <f>[9]Unemployment!P48-[9]Unemployment!Q48</f>
        <v>510</v>
      </c>
      <c r="AA166">
        <f>[9]Unemployment!$Q48</f>
        <v>559</v>
      </c>
      <c r="AB166" s="2">
        <f>[8]m!$C168</f>
        <v>3.48</v>
      </c>
      <c r="AC166" s="2">
        <f>[8]m!$F168</f>
        <v>4.08</v>
      </c>
      <c r="AD166">
        <f>[9]Employment!$B48</f>
        <v>57078</v>
      </c>
      <c r="AE166" s="2">
        <f>[2]Indicators!$AB48</f>
        <v>27.145100000000003</v>
      </c>
      <c r="AF166" s="2">
        <f>[8]m!$AS168</f>
        <v>74.2</v>
      </c>
      <c r="AG166" s="2">
        <f>[8]m!$H168</f>
        <v>4.3100000000000005</v>
      </c>
      <c r="AH166" s="2">
        <f>[8]m!$I168</f>
        <v>4.84</v>
      </c>
      <c r="AI166" s="2">
        <f>[7]m!C167</f>
        <v>2452</v>
      </c>
      <c r="AJ166" s="2">
        <f>[7]m!D167</f>
        <v>2214</v>
      </c>
      <c r="AK166" s="2">
        <f>[2]Surveys_m!$AB48</f>
        <v>56.900000000000006</v>
      </c>
      <c r="AL166" s="4">
        <f t="shared" si="2"/>
        <v>1878.3172147001937</v>
      </c>
      <c r="AN166" s="2">
        <v>38</v>
      </c>
      <c r="AQ166" s="3">
        <f>[9]LaborForce!$B47*[9]LaborForce!$C47/100</f>
        <v>72095.926999999996</v>
      </c>
      <c r="AR166" s="3">
        <f>[9]Unemployment!$AB48</f>
        <v>287.2</v>
      </c>
      <c r="AS166">
        <f>[2]Indicators!BC48</f>
        <v>38.4</v>
      </c>
      <c r="AT166">
        <f>[2]Indicators!BD48</f>
        <v>28.927700000000002</v>
      </c>
      <c r="AU166">
        <f>[2]Indicators!BE48</f>
        <v>100.4799</v>
      </c>
    </row>
    <row r="167" spans="1:47" x14ac:dyDescent="0.25">
      <c r="A167" s="1">
        <v>23285</v>
      </c>
      <c r="B167" s="2">
        <f>[2]Indicators!G49</f>
        <v>386.69800000000004</v>
      </c>
      <c r="C167" s="2">
        <f>[2]Indicators!H49</f>
        <v>54.17</v>
      </c>
      <c r="D167" s="2">
        <f>[2]Indicators!I49</f>
        <v>143.95000000000002</v>
      </c>
      <c r="E167" s="2">
        <f>[2]Indicators!J49</f>
        <v>188.577</v>
      </c>
      <c r="M167" s="2">
        <f>[2]Indicators!AB49</f>
        <v>27.332700000000003</v>
      </c>
      <c r="N167" s="2">
        <f>[8]m!$C169</f>
        <v>3.5</v>
      </c>
      <c r="O167">
        <f>[9]Unemployment!$B49</f>
        <v>5.5</v>
      </c>
      <c r="Q167">
        <f>[5]m!$B169</f>
        <v>30.75</v>
      </c>
      <c r="R167">
        <f>[5]m!$D169</f>
        <v>32</v>
      </c>
      <c r="S167">
        <f>[5]m!$Q169</f>
        <v>31.6</v>
      </c>
      <c r="T167">
        <f>[6]m!B169</f>
        <v>-5376</v>
      </c>
      <c r="U167" s="2">
        <f>[9]Unemployment!$F49</f>
        <v>13.9</v>
      </c>
      <c r="V167" s="2"/>
      <c r="W167">
        <f>[9]Unemployment!$E49</f>
        <v>3987</v>
      </c>
      <c r="X167">
        <f>[9]Unemployment!N49</f>
        <v>1738</v>
      </c>
      <c r="Y167">
        <f>[9]Unemployment!O49</f>
        <v>1163</v>
      </c>
      <c r="Z167">
        <f>[9]Unemployment!P49-[9]Unemployment!Q49</f>
        <v>541</v>
      </c>
      <c r="AA167">
        <f>[9]Unemployment!$Q49</f>
        <v>530</v>
      </c>
      <c r="AB167" s="2">
        <f>[8]m!$C169</f>
        <v>3.5</v>
      </c>
      <c r="AC167" s="2">
        <f>[8]m!$F169</f>
        <v>4.1100000000000003</v>
      </c>
      <c r="AD167">
        <f>[9]Employment!$B49</f>
        <v>57284</v>
      </c>
      <c r="AE167" s="2">
        <f>[2]Indicators!$AB49</f>
        <v>27.332700000000003</v>
      </c>
      <c r="AF167" s="2">
        <f>[8]m!$AS169</f>
        <v>75.100000000000009</v>
      </c>
      <c r="AG167" s="2">
        <f>[8]m!$H169</f>
        <v>4.32</v>
      </c>
      <c r="AH167" s="2">
        <f>[8]m!$I169</f>
        <v>4.83</v>
      </c>
      <c r="AI167" s="2">
        <f>[7]m!C168</f>
        <v>2504</v>
      </c>
      <c r="AJ167" s="2">
        <f>[7]m!D168</f>
        <v>2162</v>
      </c>
      <c r="AK167" s="2">
        <f>[2]Surveys_m!$AB49</f>
        <v>57.7</v>
      </c>
      <c r="AL167" s="4">
        <f t="shared" si="2"/>
        <v>1927.7466150870409</v>
      </c>
      <c r="AN167" s="2">
        <v>39</v>
      </c>
      <c r="AQ167" s="3">
        <f>[9]LaborForce!$B48*[9]LaborForce!$C48/100</f>
        <v>72332.232000000004</v>
      </c>
      <c r="AR167" s="3">
        <f>[9]Unemployment!$AB49</f>
        <v>284.40000000000003</v>
      </c>
      <c r="AS167">
        <f>[2]Indicators!BC49</f>
        <v>38.6</v>
      </c>
      <c r="AT167">
        <f>[2]Indicators!BD49</f>
        <v>29.079700000000003</v>
      </c>
      <c r="AU167">
        <f>[2]Indicators!BE49</f>
        <v>100.435</v>
      </c>
    </row>
    <row r="168" spans="1:47" x14ac:dyDescent="0.25">
      <c r="A168" s="1">
        <v>23316</v>
      </c>
      <c r="B168" s="2">
        <f>[2]Indicators!G50</f>
        <v>390.12799999999999</v>
      </c>
      <c r="C168" s="2">
        <f>[2]Indicators!H50</f>
        <v>55.612000000000002</v>
      </c>
      <c r="D168" s="2">
        <f>[2]Indicators!I50</f>
        <v>144.96600000000001</v>
      </c>
      <c r="E168" s="2">
        <f>[2]Indicators!J50</f>
        <v>189.54900000000001</v>
      </c>
      <c r="M168" s="2">
        <f>[2]Indicators!AB50</f>
        <v>27.4666</v>
      </c>
      <c r="N168" s="2">
        <f>[8]m!$C170</f>
        <v>3.48</v>
      </c>
      <c r="O168">
        <f>[9]Unemployment!$B50</f>
        <v>5.7</v>
      </c>
      <c r="Q168">
        <f>[5]m!$B170</f>
        <v>30.78</v>
      </c>
      <c r="R168">
        <f>[5]m!$D170</f>
        <v>32</v>
      </c>
      <c r="S168">
        <f>[5]m!$Q170</f>
        <v>31.700000000000003</v>
      </c>
      <c r="T168">
        <f>[6]m!B170</f>
        <v>-653</v>
      </c>
      <c r="U168" s="2">
        <f>[9]Unemployment!$F50</f>
        <v>13.3</v>
      </c>
      <c r="V168" s="2"/>
      <c r="W168">
        <f>[9]Unemployment!$E50</f>
        <v>4151</v>
      </c>
      <c r="X168">
        <f>[9]Unemployment!N50</f>
        <v>1859</v>
      </c>
      <c r="Y168">
        <f>[9]Unemployment!O50</f>
        <v>1227</v>
      </c>
      <c r="Z168">
        <f>[9]Unemployment!P50-[9]Unemployment!Q50</f>
        <v>533</v>
      </c>
      <c r="AA168">
        <f>[9]Unemployment!$Q50</f>
        <v>521</v>
      </c>
      <c r="AB168" s="2">
        <f>[8]m!$C170</f>
        <v>3.48</v>
      </c>
      <c r="AC168" s="2">
        <f>[8]m!$F170</f>
        <v>4.12</v>
      </c>
      <c r="AD168">
        <f>[9]Employment!$B50</f>
        <v>57255</v>
      </c>
      <c r="AE168" s="2">
        <f>[2]Indicators!$AB50</f>
        <v>27.4666</v>
      </c>
      <c r="AF168" s="2">
        <f>[8]m!$AS170</f>
        <v>75.600000000000009</v>
      </c>
      <c r="AG168" s="2">
        <f>[8]m!$H170</f>
        <v>4.33</v>
      </c>
      <c r="AH168" s="2">
        <f>[8]m!$I170</f>
        <v>4.84</v>
      </c>
      <c r="AI168" s="2">
        <f>[7]m!C169</f>
        <v>2520</v>
      </c>
      <c r="AJ168" s="2">
        <f>[7]m!D169</f>
        <v>2165</v>
      </c>
      <c r="AK168" s="2">
        <f>[2]Surveys_m!$AB50</f>
        <v>57.5</v>
      </c>
      <c r="AL168" s="4">
        <f t="shared" si="2"/>
        <v>1878.3172147001937</v>
      </c>
      <c r="AN168" s="2">
        <v>38</v>
      </c>
      <c r="AQ168" s="3">
        <f>[9]LaborForce!$B49*[9]LaborForce!$C49/100</f>
        <v>72436.896000000008</v>
      </c>
      <c r="AR168" s="3">
        <f>[9]Unemployment!$AB50</f>
        <v>278.3</v>
      </c>
      <c r="AS168">
        <f>[2]Indicators!BC50</f>
        <v>38.700000000000003</v>
      </c>
      <c r="AT168">
        <f>[2]Indicators!BD50</f>
        <v>29.232300000000002</v>
      </c>
      <c r="AU168">
        <f>[2]Indicators!BE50</f>
        <v>100.3866</v>
      </c>
    </row>
    <row r="169" spans="1:47" x14ac:dyDescent="0.25">
      <c r="A169" s="1">
        <v>23346</v>
      </c>
      <c r="B169" s="2">
        <f>[2]Indicators!G51</f>
        <v>395.399</v>
      </c>
      <c r="C169" s="2">
        <f>[2]Indicators!H51</f>
        <v>57.435000000000002</v>
      </c>
      <c r="D169" s="2">
        <f>[2]Indicators!I51</f>
        <v>146.92099999999999</v>
      </c>
      <c r="E169" s="2">
        <f>[2]Indicators!J51</f>
        <v>191.04300000000001</v>
      </c>
      <c r="M169" s="2">
        <f>[2]Indicators!AB51</f>
        <v>27.4131</v>
      </c>
      <c r="N169" s="2">
        <f>[8]m!$C171</f>
        <v>3.38</v>
      </c>
      <c r="O169">
        <f>[9]Unemployment!$B51</f>
        <v>5.5</v>
      </c>
      <c r="Q169">
        <f>[5]m!$B171</f>
        <v>30.88</v>
      </c>
      <c r="R169">
        <f>[5]m!$D171</f>
        <v>32.1</v>
      </c>
      <c r="S169">
        <f>[5]m!$Q171</f>
        <v>31.6</v>
      </c>
      <c r="T169">
        <f>[6]m!B171</f>
        <v>514</v>
      </c>
      <c r="U169" s="2">
        <f>[9]Unemployment!$F51</f>
        <v>13.3</v>
      </c>
      <c r="V169" s="2"/>
      <c r="W169">
        <f>[9]Unemployment!$E51</f>
        <v>3975</v>
      </c>
      <c r="X169">
        <f>[9]Unemployment!N51</f>
        <v>1774</v>
      </c>
      <c r="Y169">
        <f>[9]Unemployment!O51</f>
        <v>1213</v>
      </c>
      <c r="Z169">
        <f>[9]Unemployment!P51-[9]Unemployment!Q51</f>
        <v>517</v>
      </c>
      <c r="AA169">
        <f>[9]Unemployment!$Q51</f>
        <v>490</v>
      </c>
      <c r="AB169" s="2">
        <f>[8]m!$C171</f>
        <v>3.38</v>
      </c>
      <c r="AC169" s="2">
        <f>[8]m!$F171</f>
        <v>4.13</v>
      </c>
      <c r="AD169">
        <f>[9]Employment!$B51</f>
        <v>57360</v>
      </c>
      <c r="AE169" s="2">
        <f>[2]Indicators!$AB51</f>
        <v>27.4131</v>
      </c>
      <c r="AF169" s="2">
        <f>[8]m!$AS171</f>
        <v>76.600000000000009</v>
      </c>
      <c r="AG169" s="2">
        <f>[8]m!$H171</f>
        <v>4.3500000000000005</v>
      </c>
      <c r="AH169" s="2">
        <f>[8]m!$I171</f>
        <v>4.8500000000000005</v>
      </c>
      <c r="AI169" s="2">
        <f>[7]m!C170</f>
        <v>2523</v>
      </c>
      <c r="AJ169" s="2">
        <f>[7]m!D170</f>
        <v>2165</v>
      </c>
      <c r="AK169" s="2">
        <f>[2]Surveys_m!$AB51</f>
        <v>54</v>
      </c>
      <c r="AL169" s="4">
        <f t="shared" si="2"/>
        <v>1977.1760154738881</v>
      </c>
      <c r="AN169" s="2">
        <v>40</v>
      </c>
      <c r="AQ169" s="3">
        <f>[9]LaborForce!$B50*[9]LaborForce!$C50/100</f>
        <v>72165.600000000006</v>
      </c>
      <c r="AR169" s="3">
        <f>[9]Unemployment!$AB51</f>
        <v>303.40000000000003</v>
      </c>
      <c r="AS169">
        <f>[2]Indicators!BC51</f>
        <v>38.800000000000004</v>
      </c>
      <c r="AT169">
        <f>[2]Indicators!BD51</f>
        <v>29.4025</v>
      </c>
      <c r="AU169">
        <f>[2]Indicators!BE51</f>
        <v>100.3931</v>
      </c>
    </row>
    <row r="170" spans="1:47" x14ac:dyDescent="0.25">
      <c r="A170" s="1">
        <v>23377</v>
      </c>
      <c r="B170" s="2">
        <f>[2]Indicators!G52</f>
        <v>397.54500000000002</v>
      </c>
      <c r="C170" s="2">
        <f>[2]Indicators!H52</f>
        <v>57.938000000000002</v>
      </c>
      <c r="D170" s="2">
        <f>[2]Indicators!I52</f>
        <v>147.19800000000001</v>
      </c>
      <c r="E170" s="2">
        <f>[2]Indicators!J52</f>
        <v>192.40899999999999</v>
      </c>
      <c r="M170" s="2">
        <f>[2]Indicators!AB52</f>
        <v>27.654200000000003</v>
      </c>
      <c r="N170" s="2">
        <f>[8]m!$C172</f>
        <v>3.48</v>
      </c>
      <c r="O170">
        <f>[9]Unemployment!$B52</f>
        <v>5.6000000000000005</v>
      </c>
      <c r="Q170">
        <f>[5]m!$B172</f>
        <v>30.94</v>
      </c>
      <c r="R170">
        <f>[5]m!$D172</f>
        <v>32.200000000000003</v>
      </c>
      <c r="S170">
        <f>[5]m!$Q172</f>
        <v>31.8</v>
      </c>
      <c r="T170">
        <f>[6]m!B172</f>
        <v>-2639</v>
      </c>
      <c r="U170" s="2">
        <f>[9]Unemployment!$F52</f>
        <v>13.5</v>
      </c>
      <c r="V170" s="2"/>
      <c r="W170">
        <f>[9]Unemployment!$E52</f>
        <v>4029</v>
      </c>
      <c r="X170">
        <f>[9]Unemployment!N52</f>
        <v>1805</v>
      </c>
      <c r="Y170">
        <f>[9]Unemployment!O52</f>
        <v>1156</v>
      </c>
      <c r="Z170">
        <f>[9]Unemployment!P52-[9]Unemployment!Q52</f>
        <v>553</v>
      </c>
      <c r="AA170">
        <f>[9]Unemployment!$Q52</f>
        <v>504</v>
      </c>
      <c r="AB170" s="2">
        <f>[8]m!$C172</f>
        <v>3.48</v>
      </c>
      <c r="AC170" s="2">
        <f>[8]m!$F172</f>
        <v>4.17</v>
      </c>
      <c r="AD170">
        <f>[9]Employment!$B52</f>
        <v>57487</v>
      </c>
      <c r="AE170" s="2">
        <f>[2]Indicators!$AB52</f>
        <v>27.654200000000003</v>
      </c>
      <c r="AF170" s="2">
        <f>[8]m!$AS172</f>
        <v>77.5</v>
      </c>
      <c r="AG170" s="2">
        <f>[8]m!$H172</f>
        <v>4.3899999999999997</v>
      </c>
      <c r="AH170" s="2">
        <f>[8]m!$I172</f>
        <v>4.83</v>
      </c>
      <c r="AI170" s="2">
        <f>[7]m!C171</f>
        <v>2636</v>
      </c>
      <c r="AJ170" s="2">
        <f>[7]m!D171</f>
        <v>2194</v>
      </c>
      <c r="AK170" s="2">
        <f>[2]Surveys_m!$AB52</f>
        <v>57.1</v>
      </c>
      <c r="AL170" s="4">
        <f t="shared" si="2"/>
        <v>1977.1760154738881</v>
      </c>
      <c r="AN170" s="2">
        <v>40</v>
      </c>
      <c r="AQ170" s="3">
        <f>[9]LaborForce!$B51*[9]LaborForce!$C51/100</f>
        <v>72406.16</v>
      </c>
      <c r="AR170" s="3">
        <f>[9]Unemployment!$AB52</f>
        <v>285.3</v>
      </c>
      <c r="AS170">
        <f>[2]Indicators!BC52</f>
        <v>39.1</v>
      </c>
      <c r="AT170">
        <f>[2]Indicators!BD52</f>
        <v>29.6068</v>
      </c>
      <c r="AU170">
        <f>[2]Indicators!BE52</f>
        <v>100.50960000000001</v>
      </c>
    </row>
    <row r="171" spans="1:47" x14ac:dyDescent="0.25">
      <c r="A171" s="1">
        <v>23408</v>
      </c>
      <c r="B171" s="2">
        <f>[2]Indicators!G53</f>
        <v>400.95100000000002</v>
      </c>
      <c r="C171" s="2">
        <f>[2]Indicators!H53</f>
        <v>58.442</v>
      </c>
      <c r="D171" s="2">
        <f>[2]Indicators!I53</f>
        <v>148.94499999999999</v>
      </c>
      <c r="E171" s="2">
        <f>[2]Indicators!J53</f>
        <v>193.56399999999999</v>
      </c>
      <c r="M171" s="2">
        <f>[2]Indicators!AB53</f>
        <v>27.841800000000003</v>
      </c>
      <c r="N171" s="2">
        <f>[8]m!$C173</f>
        <v>3.48</v>
      </c>
      <c r="O171">
        <f>[9]Unemployment!$B53</f>
        <v>5.4</v>
      </c>
      <c r="Q171">
        <f>[5]m!$B173</f>
        <v>30.91</v>
      </c>
      <c r="R171">
        <f>[5]m!$D173</f>
        <v>32.200000000000003</v>
      </c>
      <c r="S171">
        <f>[5]m!$Q173</f>
        <v>31.6</v>
      </c>
      <c r="T171">
        <f>[6]m!B173</f>
        <v>526</v>
      </c>
      <c r="U171" s="2">
        <f>[9]Unemployment!$F53</f>
        <v>13.200000000000001</v>
      </c>
      <c r="V171" s="2"/>
      <c r="W171">
        <f>[9]Unemployment!$E53</f>
        <v>3932</v>
      </c>
      <c r="X171">
        <f>[9]Unemployment!N53</f>
        <v>1708</v>
      </c>
      <c r="Y171">
        <f>[9]Unemployment!O53</f>
        <v>1216</v>
      </c>
      <c r="Z171">
        <f>[9]Unemployment!P53-[9]Unemployment!Q53</f>
        <v>528</v>
      </c>
      <c r="AA171">
        <f>[9]Unemployment!$Q53</f>
        <v>487</v>
      </c>
      <c r="AB171" s="2">
        <f>[8]m!$C173</f>
        <v>3.48</v>
      </c>
      <c r="AC171" s="2">
        <f>[8]m!$F173</f>
        <v>4.1500000000000004</v>
      </c>
      <c r="AD171">
        <f>[9]Employment!$B53</f>
        <v>57752</v>
      </c>
      <c r="AE171" s="2">
        <f>[2]Indicators!$AB53</f>
        <v>27.841800000000003</v>
      </c>
      <c r="AF171" s="2">
        <f>[8]m!$AS173</f>
        <v>78.300000000000011</v>
      </c>
      <c r="AG171" s="2">
        <f>[8]m!$H173</f>
        <v>4.3600000000000003</v>
      </c>
      <c r="AH171" s="2">
        <f>[8]m!$I173</f>
        <v>4.83</v>
      </c>
      <c r="AI171" s="2">
        <f>[7]m!C172</f>
        <v>2693</v>
      </c>
      <c r="AJ171" s="2">
        <f>[7]m!D172</f>
        <v>2134</v>
      </c>
      <c r="AK171" s="2">
        <f>[2]Surveys_m!$AB53</f>
        <v>57.900000000000006</v>
      </c>
      <c r="AL171" s="4">
        <f t="shared" si="2"/>
        <v>1977.1760154738881</v>
      </c>
      <c r="AN171" s="2">
        <v>40</v>
      </c>
      <c r="AQ171" s="3">
        <f>[9]LaborForce!$B52*[9]LaborForce!$C52/100</f>
        <v>72739.716</v>
      </c>
      <c r="AR171" s="3">
        <f>[9]Unemployment!$AB53</f>
        <v>271.8</v>
      </c>
      <c r="AS171">
        <f>[2]Indicators!BC53</f>
        <v>39.300000000000004</v>
      </c>
      <c r="AT171">
        <f>[2]Indicators!BD53</f>
        <v>29.834300000000002</v>
      </c>
      <c r="AU171">
        <f>[2]Indicators!BE53</f>
        <v>100.69760000000001</v>
      </c>
    </row>
    <row r="172" spans="1:47" x14ac:dyDescent="0.25">
      <c r="A172" s="1">
        <v>23437</v>
      </c>
      <c r="B172" s="2">
        <f>[2]Indicators!G54</f>
        <v>402.60899999999998</v>
      </c>
      <c r="C172" s="2">
        <f>[2]Indicators!H54</f>
        <v>57.605000000000004</v>
      </c>
      <c r="D172" s="2">
        <f>[2]Indicators!I54</f>
        <v>149.81</v>
      </c>
      <c r="E172" s="2">
        <f>[2]Indicators!J54</f>
        <v>195.19400000000002</v>
      </c>
      <c r="M172" s="2">
        <f>[2]Indicators!AB54</f>
        <v>27.841800000000003</v>
      </c>
      <c r="N172" s="2">
        <f>[8]m!$C174</f>
        <v>3.43</v>
      </c>
      <c r="O172">
        <f>[9]Unemployment!$B54</f>
        <v>5.4</v>
      </c>
      <c r="Q172">
        <f>[5]m!$B174</f>
        <v>30.94</v>
      </c>
      <c r="R172">
        <f>[5]m!$D174</f>
        <v>32.200000000000003</v>
      </c>
      <c r="S172">
        <f>[5]m!$Q174</f>
        <v>31.6</v>
      </c>
      <c r="T172">
        <f>[6]m!B174</f>
        <v>2277</v>
      </c>
      <c r="U172" s="2">
        <f>[9]Unemployment!$F54</f>
        <v>13.5</v>
      </c>
      <c r="V172" s="2"/>
      <c r="W172">
        <f>[9]Unemployment!$E54</f>
        <v>3950</v>
      </c>
      <c r="X172">
        <f>[9]Unemployment!N54</f>
        <v>1783</v>
      </c>
      <c r="Y172">
        <f>[9]Unemployment!O54</f>
        <v>1124</v>
      </c>
      <c r="Z172">
        <f>[9]Unemployment!P54-[9]Unemployment!Q54</f>
        <v>534</v>
      </c>
      <c r="AA172">
        <f>[9]Unemployment!$Q54</f>
        <v>505</v>
      </c>
      <c r="AB172" s="2">
        <f>[8]m!$C174</f>
        <v>3.43</v>
      </c>
      <c r="AC172" s="2">
        <f>[8]m!$F174</f>
        <v>4.22</v>
      </c>
      <c r="AD172">
        <f>[9]Employment!$B54</f>
        <v>57898</v>
      </c>
      <c r="AE172" s="2">
        <f>[2]Indicators!$AB54</f>
        <v>27.841800000000003</v>
      </c>
      <c r="AF172" s="2">
        <f>[8]m!$AS174</f>
        <v>79.2</v>
      </c>
      <c r="AG172" s="2">
        <f>[8]m!$H174</f>
        <v>4.38</v>
      </c>
      <c r="AH172" s="2">
        <f>[8]m!$I174</f>
        <v>4.83</v>
      </c>
      <c r="AI172" s="2">
        <f>[7]m!C173</f>
        <v>2717</v>
      </c>
      <c r="AJ172" s="2">
        <f>[7]m!D173</f>
        <v>2175</v>
      </c>
      <c r="AK172" s="2">
        <f>[2]Surveys_m!$AB54</f>
        <v>60.2</v>
      </c>
      <c r="AL172" s="4">
        <f t="shared" si="2"/>
        <v>1977.1760154738881</v>
      </c>
      <c r="AN172" s="2">
        <v>40</v>
      </c>
      <c r="AQ172" s="3">
        <f>[9]LaborForce!$B53*[9]LaborForce!$C53/100</f>
        <v>72704.059000000008</v>
      </c>
      <c r="AR172" s="3">
        <f>[9]Unemployment!$AB54</f>
        <v>279.10000000000002</v>
      </c>
      <c r="AS172">
        <f>[2]Indicators!BC54</f>
        <v>39.4</v>
      </c>
      <c r="AT172">
        <f>[2]Indicators!BD54</f>
        <v>30.064600000000002</v>
      </c>
      <c r="AU172">
        <f>[2]Indicators!BE54</f>
        <v>100.8879</v>
      </c>
    </row>
    <row r="173" spans="1:47" x14ac:dyDescent="0.25">
      <c r="A173" s="1">
        <v>23468</v>
      </c>
      <c r="B173" s="2">
        <f>[2]Indicators!G55</f>
        <v>403.63</v>
      </c>
      <c r="C173" s="2">
        <f>[2]Indicators!H55</f>
        <v>58.152000000000001</v>
      </c>
      <c r="D173" s="2">
        <f>[2]Indicators!I55</f>
        <v>149.42000000000002</v>
      </c>
      <c r="E173" s="2">
        <f>[2]Indicators!J55</f>
        <v>196.05799999999999</v>
      </c>
      <c r="M173" s="2">
        <f>[2]Indicators!AB55</f>
        <v>28.2974</v>
      </c>
      <c r="N173" s="2">
        <f>[8]m!$C175</f>
        <v>3.47</v>
      </c>
      <c r="O173">
        <f>[9]Unemployment!$B55</f>
        <v>5.3000000000000007</v>
      </c>
      <c r="Q173">
        <f>[5]m!$B175</f>
        <v>30.95</v>
      </c>
      <c r="R173">
        <f>[5]m!$D175</f>
        <v>32.200000000000003</v>
      </c>
      <c r="S173">
        <f>[5]m!$Q175</f>
        <v>31.6</v>
      </c>
      <c r="T173">
        <f>[6]m!B175</f>
        <v>-1321</v>
      </c>
      <c r="U173" s="2">
        <f>[9]Unemployment!$F55</f>
        <v>12.4</v>
      </c>
      <c r="V173" s="2"/>
      <c r="W173">
        <f>[9]Unemployment!$E55</f>
        <v>3918</v>
      </c>
      <c r="X173">
        <f>[9]Unemployment!N55</f>
        <v>1767</v>
      </c>
      <c r="Y173">
        <f>[9]Unemployment!O55</f>
        <v>1192</v>
      </c>
      <c r="Z173">
        <f>[9]Unemployment!P55-[9]Unemployment!Q55</f>
        <v>464</v>
      </c>
      <c r="AA173">
        <f>[9]Unemployment!$Q55</f>
        <v>470</v>
      </c>
      <c r="AB173" s="2">
        <f>[8]m!$C175</f>
        <v>3.47</v>
      </c>
      <c r="AC173" s="2">
        <f>[8]m!$F175</f>
        <v>4.2300000000000004</v>
      </c>
      <c r="AD173">
        <f>[9]Employment!$B55</f>
        <v>57923</v>
      </c>
      <c r="AE173" s="2">
        <f>[2]Indicators!$AB55</f>
        <v>28.2974</v>
      </c>
      <c r="AF173" s="2">
        <f>[8]m!$AS175</f>
        <v>79.900000000000006</v>
      </c>
      <c r="AG173" s="2">
        <f>[8]m!$H175</f>
        <v>4.4000000000000004</v>
      </c>
      <c r="AH173" s="2">
        <f>[8]m!$I175</f>
        <v>4.8500000000000005</v>
      </c>
      <c r="AI173" s="2">
        <f>[7]m!C174</f>
        <v>2708</v>
      </c>
      <c r="AJ173" s="2">
        <f>[7]m!D174</f>
        <v>2231</v>
      </c>
      <c r="AK173" s="2">
        <f>[2]Surveys_m!$AB55</f>
        <v>59.2</v>
      </c>
      <c r="AL173" s="4">
        <f t="shared" si="2"/>
        <v>2076.0348162475825</v>
      </c>
      <c r="AN173" s="2">
        <v>42</v>
      </c>
      <c r="AQ173" s="3">
        <f>[9]LaborForce!$B54*[9]LaborForce!$C54/100</f>
        <v>73295.229000000007</v>
      </c>
      <c r="AR173" s="3">
        <f>[9]Unemployment!$AB55</f>
        <v>266.8</v>
      </c>
      <c r="AS173">
        <f>[2]Indicators!BC55</f>
        <v>39.6</v>
      </c>
      <c r="AT173">
        <f>[2]Indicators!BD55</f>
        <v>30.298500000000001</v>
      </c>
      <c r="AU173">
        <f>[2]Indicators!BE55</f>
        <v>101.08280000000001</v>
      </c>
    </row>
    <row r="174" spans="1:47" x14ac:dyDescent="0.25">
      <c r="A174" s="1">
        <v>23498</v>
      </c>
      <c r="B174" s="2">
        <f>[2]Indicators!G56</f>
        <v>409.24400000000003</v>
      </c>
      <c r="C174" s="2">
        <f>[2]Indicators!H56</f>
        <v>59.664000000000001</v>
      </c>
      <c r="D174" s="2">
        <f>[2]Indicators!I56</f>
        <v>152.28700000000001</v>
      </c>
      <c r="E174" s="2">
        <f>[2]Indicators!J56</f>
        <v>197.29300000000001</v>
      </c>
      <c r="M174" s="2">
        <f>[2]Indicators!AB56</f>
        <v>28.458200000000001</v>
      </c>
      <c r="N174" s="2">
        <f>[8]m!$C176</f>
        <v>3.5</v>
      </c>
      <c r="O174">
        <f>[9]Unemployment!$B56</f>
        <v>5.1000000000000005</v>
      </c>
      <c r="Q174">
        <f>[5]m!$B176</f>
        <v>30.98</v>
      </c>
      <c r="R174">
        <f>[5]m!$D176</f>
        <v>32.200000000000003</v>
      </c>
      <c r="S174">
        <f>[5]m!$Q176</f>
        <v>31.5</v>
      </c>
      <c r="T174">
        <f>[6]m!B176</f>
        <v>-1375</v>
      </c>
      <c r="U174" s="2">
        <f>[9]Unemployment!$F56</f>
        <v>13.600000000000001</v>
      </c>
      <c r="V174" s="2"/>
      <c r="W174">
        <f>[9]Unemployment!$E56</f>
        <v>3764</v>
      </c>
      <c r="X174">
        <f>[9]Unemployment!N56</f>
        <v>1681</v>
      </c>
      <c r="Y174">
        <f>[9]Unemployment!O56</f>
        <v>1094</v>
      </c>
      <c r="Z174">
        <f>[9]Unemployment!P56-[9]Unemployment!Q56</f>
        <v>471</v>
      </c>
      <c r="AA174">
        <f>[9]Unemployment!$Q56</f>
        <v>504</v>
      </c>
      <c r="AB174" s="2">
        <f>[8]m!$C176</f>
        <v>3.5</v>
      </c>
      <c r="AC174" s="2">
        <f>[8]m!$F176</f>
        <v>4.2</v>
      </c>
      <c r="AD174">
        <f>[9]Employment!$B56</f>
        <v>58089</v>
      </c>
      <c r="AE174" s="2">
        <f>[2]Indicators!$AB56</f>
        <v>28.458200000000001</v>
      </c>
      <c r="AF174" s="2">
        <f>[8]m!$AS176</f>
        <v>80.800000000000011</v>
      </c>
      <c r="AG174" s="2">
        <f>[8]m!$H176</f>
        <v>4.41</v>
      </c>
      <c r="AH174" s="2">
        <f>[8]m!$I176</f>
        <v>4.8500000000000005</v>
      </c>
      <c r="AI174" s="2">
        <f>[7]m!C175</f>
        <v>2777</v>
      </c>
      <c r="AJ174" s="2">
        <f>[7]m!D175</f>
        <v>2239</v>
      </c>
      <c r="AK174" s="2">
        <f>[2]Surveys_m!$AB56</f>
        <v>58.7</v>
      </c>
      <c r="AL174" s="4">
        <f t="shared" si="2"/>
        <v>2076.0348162475825</v>
      </c>
      <c r="AN174" s="2">
        <v>42</v>
      </c>
      <c r="AQ174" s="3">
        <f>[9]LaborForce!$B55*[9]LaborForce!$C55/100</f>
        <v>73404.563999999998</v>
      </c>
      <c r="AR174" s="3">
        <f>[9]Unemployment!$AB56</f>
        <v>264.40000000000003</v>
      </c>
      <c r="AS174">
        <f>[2]Indicators!BC56</f>
        <v>39.9</v>
      </c>
      <c r="AT174">
        <f>[2]Indicators!BD56</f>
        <v>30.534700000000001</v>
      </c>
      <c r="AU174">
        <f>[2]Indicators!BE56</f>
        <v>101.27900000000001</v>
      </c>
    </row>
    <row r="175" spans="1:47" x14ac:dyDescent="0.25">
      <c r="A175" s="1">
        <v>23529</v>
      </c>
      <c r="B175" s="2">
        <f>[2]Indicators!G57</f>
        <v>412.17400000000004</v>
      </c>
      <c r="C175" s="2">
        <f>[2]Indicators!H57</f>
        <v>60.613</v>
      </c>
      <c r="D175" s="2">
        <f>[2]Indicators!I57</f>
        <v>152.66</v>
      </c>
      <c r="E175" s="2">
        <f>[2]Indicators!J57</f>
        <v>198.90200000000002</v>
      </c>
      <c r="M175" s="2">
        <f>[2]Indicators!AB57</f>
        <v>28.538500000000003</v>
      </c>
      <c r="N175" s="2">
        <f>[8]m!$C177</f>
        <v>3.5</v>
      </c>
      <c r="O175">
        <f>[9]Unemployment!$B57</f>
        <v>5.2</v>
      </c>
      <c r="Q175">
        <f>[5]m!$B177</f>
        <v>31.01</v>
      </c>
      <c r="R175">
        <f>[5]m!$D177</f>
        <v>32.299999999999997</v>
      </c>
      <c r="S175">
        <f>[5]m!$Q177</f>
        <v>31.5</v>
      </c>
      <c r="T175">
        <f>[6]m!B177</f>
        <v>2874</v>
      </c>
      <c r="U175" s="2">
        <f>[9]Unemployment!$F57</f>
        <v>13.600000000000001</v>
      </c>
      <c r="V175" s="2"/>
      <c r="W175">
        <f>[9]Unemployment!$E57</f>
        <v>3814</v>
      </c>
      <c r="X175">
        <f>[9]Unemployment!N57</f>
        <v>1719</v>
      </c>
      <c r="Y175">
        <f>[9]Unemployment!O57</f>
        <v>1109</v>
      </c>
      <c r="Z175">
        <f>[9]Unemployment!P57-[9]Unemployment!Q57</f>
        <v>539</v>
      </c>
      <c r="AA175">
        <f>[9]Unemployment!$Q57</f>
        <v>508</v>
      </c>
      <c r="AB175" s="2">
        <f>[8]m!$C177</f>
        <v>3.5</v>
      </c>
      <c r="AC175" s="2">
        <f>[8]m!$F177</f>
        <v>4.17</v>
      </c>
      <c r="AD175">
        <f>[9]Employment!$B57</f>
        <v>58221</v>
      </c>
      <c r="AE175" s="2">
        <f>[2]Indicators!$AB57</f>
        <v>28.538500000000003</v>
      </c>
      <c r="AF175" s="2">
        <f>[8]m!$AS177</f>
        <v>81.400000000000006</v>
      </c>
      <c r="AG175" s="2">
        <f>[8]m!$H177</f>
        <v>4.41</v>
      </c>
      <c r="AH175" s="2">
        <f>[8]m!$I177</f>
        <v>4.8500000000000005</v>
      </c>
      <c r="AI175" s="2">
        <f>[7]m!C176</f>
        <v>2772</v>
      </c>
      <c r="AJ175" s="2">
        <f>[7]m!D176</f>
        <v>2249</v>
      </c>
      <c r="AK175" s="2">
        <f>[2]Surveys_m!$AB57</f>
        <v>60.1</v>
      </c>
      <c r="AL175" s="4">
        <f t="shared" si="2"/>
        <v>2125.4642166344297</v>
      </c>
      <c r="AN175" s="2">
        <v>43</v>
      </c>
      <c r="AQ175" s="3">
        <f>[9]LaborForce!$B56*[9]LaborForce!$C56/100</f>
        <v>73014.581999999995</v>
      </c>
      <c r="AR175" s="3">
        <f>[9]Unemployment!$AB57</f>
        <v>258.40000000000003</v>
      </c>
      <c r="AS175">
        <f>[2]Indicators!BC57</f>
        <v>40</v>
      </c>
      <c r="AT175">
        <f>[2]Indicators!BD57</f>
        <v>30.770600000000002</v>
      </c>
      <c r="AU175">
        <f>[2]Indicators!BE57</f>
        <v>101.4679</v>
      </c>
    </row>
    <row r="176" spans="1:47" x14ac:dyDescent="0.25">
      <c r="A176" s="1">
        <v>23559</v>
      </c>
      <c r="B176" s="2">
        <f>[2]Indicators!G58</f>
        <v>415.73700000000002</v>
      </c>
      <c r="C176" s="2">
        <f>[2]Indicators!H58</f>
        <v>61.643000000000001</v>
      </c>
      <c r="D176" s="2">
        <f>[2]Indicators!I58</f>
        <v>154.315</v>
      </c>
      <c r="E176" s="2">
        <f>[2]Indicators!J58</f>
        <v>199.78</v>
      </c>
      <c r="M176" s="2">
        <f>[2]Indicators!AB58</f>
        <v>28.726100000000002</v>
      </c>
      <c r="N176" s="2">
        <f>[8]m!$C178</f>
        <v>3.42</v>
      </c>
      <c r="O176">
        <f>[9]Unemployment!$B58</f>
        <v>4.9000000000000004</v>
      </c>
      <c r="Q176">
        <f>[5]m!$B178</f>
        <v>31.02</v>
      </c>
      <c r="R176">
        <f>[5]m!$D178</f>
        <v>32.299999999999997</v>
      </c>
      <c r="S176">
        <f>[5]m!$Q178</f>
        <v>31.6</v>
      </c>
      <c r="T176">
        <f>[6]m!B178</f>
        <v>-3923</v>
      </c>
      <c r="U176" s="2">
        <f>[9]Unemployment!$F58</f>
        <v>14.700000000000001</v>
      </c>
      <c r="V176" s="2"/>
      <c r="W176">
        <f>[9]Unemployment!$E58</f>
        <v>3608</v>
      </c>
      <c r="X176">
        <f>[9]Unemployment!N58</f>
        <v>1486</v>
      </c>
      <c r="Y176">
        <f>[9]Unemployment!O58</f>
        <v>1112</v>
      </c>
      <c r="Z176">
        <f>[9]Unemployment!P58-[9]Unemployment!Q58</f>
        <v>479</v>
      </c>
      <c r="AA176">
        <f>[9]Unemployment!$Q58</f>
        <v>523</v>
      </c>
      <c r="AB176" s="2">
        <f>[8]m!$C178</f>
        <v>3.42</v>
      </c>
      <c r="AC176" s="2">
        <f>[8]m!$F178</f>
        <v>4.1900000000000004</v>
      </c>
      <c r="AD176">
        <f>[9]Employment!$B58</f>
        <v>58412</v>
      </c>
      <c r="AE176" s="2">
        <f>[2]Indicators!$AB58</f>
        <v>28.726100000000002</v>
      </c>
      <c r="AF176" s="2">
        <f>[8]m!$AS178</f>
        <v>82.300000000000011</v>
      </c>
      <c r="AG176" s="2">
        <f>[8]m!$H178</f>
        <v>4.4000000000000004</v>
      </c>
      <c r="AH176" s="2">
        <f>[8]m!$I178</f>
        <v>4.83</v>
      </c>
      <c r="AI176" s="2">
        <f>[7]m!C177</f>
        <v>2776</v>
      </c>
      <c r="AJ176" s="2">
        <f>[7]m!D177</f>
        <v>2239</v>
      </c>
      <c r="AK176" s="2">
        <f>[2]Surveys_m!$AB58</f>
        <v>62.900000000000006</v>
      </c>
      <c r="AL176" s="4">
        <f t="shared" si="2"/>
        <v>2224.3230174081241</v>
      </c>
      <c r="AN176" s="2">
        <v>45</v>
      </c>
      <c r="AQ176" s="3">
        <f>[9]LaborForce!$B57*[9]LaborForce!$C57/100</f>
        <v>72996.262000000002</v>
      </c>
      <c r="AR176" s="3">
        <f>[9]Unemployment!$AB58</f>
        <v>261.40000000000003</v>
      </c>
      <c r="AS176">
        <f>[2]Indicators!BC58</f>
        <v>40.300000000000004</v>
      </c>
      <c r="AT176">
        <f>[2]Indicators!BD58</f>
        <v>30.998700000000003</v>
      </c>
      <c r="AU176">
        <f>[2]Indicators!BE58</f>
        <v>101.62520000000001</v>
      </c>
    </row>
    <row r="177" spans="1:47" x14ac:dyDescent="0.25">
      <c r="A177" s="1">
        <v>23590</v>
      </c>
      <c r="B177" s="2">
        <f>[2]Indicators!G59</f>
        <v>418.57</v>
      </c>
      <c r="C177" s="2">
        <f>[2]Indicators!H59</f>
        <v>62.143999999999998</v>
      </c>
      <c r="D177" s="2">
        <f>[2]Indicators!I59</f>
        <v>155.536</v>
      </c>
      <c r="E177" s="2">
        <f>[2]Indicators!J59</f>
        <v>200.89000000000001</v>
      </c>
      <c r="M177" s="2">
        <f>[2]Indicators!AB59</f>
        <v>28.913700000000002</v>
      </c>
      <c r="N177" s="2">
        <f>[8]m!$C179</f>
        <v>3.5</v>
      </c>
      <c r="O177">
        <f>[9]Unemployment!$B59</f>
        <v>5</v>
      </c>
      <c r="Q177">
        <f>[5]m!$B179</f>
        <v>31.05</v>
      </c>
      <c r="R177">
        <f>[5]m!$D179</f>
        <v>32.299999999999997</v>
      </c>
      <c r="S177">
        <f>[5]m!$Q179</f>
        <v>31.6</v>
      </c>
      <c r="T177">
        <f>[6]m!B179</f>
        <v>-1430</v>
      </c>
      <c r="U177" s="2">
        <f>[9]Unemployment!$F59</f>
        <v>13</v>
      </c>
      <c r="V177" s="2"/>
      <c r="W177">
        <f>[9]Unemployment!$E59</f>
        <v>3655</v>
      </c>
      <c r="X177">
        <f>[9]Unemployment!N59</f>
        <v>1696</v>
      </c>
      <c r="Y177">
        <f>[9]Unemployment!O59</f>
        <v>1074</v>
      </c>
      <c r="Z177">
        <f>[9]Unemployment!P59-[9]Unemployment!Q59</f>
        <v>426</v>
      </c>
      <c r="AA177">
        <f>[9]Unemployment!$Q59</f>
        <v>508</v>
      </c>
      <c r="AB177" s="2">
        <f>[8]m!$C179</f>
        <v>3.5</v>
      </c>
      <c r="AC177" s="2">
        <f>[8]m!$F179</f>
        <v>4.1900000000000004</v>
      </c>
      <c r="AD177">
        <f>[9]Employment!$B59</f>
        <v>58620</v>
      </c>
      <c r="AE177" s="2">
        <f>[2]Indicators!$AB59</f>
        <v>28.913700000000002</v>
      </c>
      <c r="AF177" s="2">
        <f>[8]m!$AS179</f>
        <v>83</v>
      </c>
      <c r="AG177" s="2">
        <f>[8]m!$H179</f>
        <v>4.41</v>
      </c>
      <c r="AH177" s="2">
        <f>[8]m!$I179</f>
        <v>4.82</v>
      </c>
      <c r="AI177" s="2">
        <f>[7]m!C178</f>
        <v>2735</v>
      </c>
      <c r="AJ177" s="2">
        <f>[7]m!D178</f>
        <v>2294</v>
      </c>
      <c r="AK177" s="2">
        <f>[2]Surveys_m!$AB59</f>
        <v>63.300000000000004</v>
      </c>
      <c r="AL177" s="4">
        <f t="shared" si="2"/>
        <v>2174.8936170212769</v>
      </c>
      <c r="AN177" s="2">
        <v>44</v>
      </c>
      <c r="AQ177" s="3">
        <f>[9]LaborForce!$B58*[9]LaborForce!$C58/100</f>
        <v>73092.366000000009</v>
      </c>
      <c r="AR177" s="3">
        <f>[9]Unemployment!$AB59</f>
        <v>245.8</v>
      </c>
      <c r="AS177">
        <f>[2]Indicators!BC59</f>
        <v>40.5</v>
      </c>
      <c r="AT177">
        <f>[2]Indicators!BD59</f>
        <v>31.209800000000001</v>
      </c>
      <c r="AU177">
        <f>[2]Indicators!BE59</f>
        <v>101.7218</v>
      </c>
    </row>
    <row r="178" spans="1:47" x14ac:dyDescent="0.25">
      <c r="A178" s="1">
        <v>23621</v>
      </c>
      <c r="B178" s="2">
        <f>[2]Indicators!G60</f>
        <v>417.45600000000002</v>
      </c>
      <c r="C178" s="2">
        <f>[2]Indicators!H60</f>
        <v>60.346000000000004</v>
      </c>
      <c r="D178" s="2">
        <f>[2]Indicators!I60</f>
        <v>154.78100000000001</v>
      </c>
      <c r="E178" s="2">
        <f>[2]Indicators!J60</f>
        <v>202.32900000000001</v>
      </c>
      <c r="M178" s="2">
        <f>[2]Indicators!AB60</f>
        <v>29.020900000000001</v>
      </c>
      <c r="N178" s="2">
        <f>[8]m!$C180</f>
        <v>3.45</v>
      </c>
      <c r="O178">
        <f>[9]Unemployment!$B60</f>
        <v>5.1000000000000005</v>
      </c>
      <c r="Q178">
        <f>[5]m!$B180</f>
        <v>31.080000000000002</v>
      </c>
      <c r="R178">
        <f>[5]m!$D180</f>
        <v>32.299999999999997</v>
      </c>
      <c r="S178">
        <f>[5]m!$Q180</f>
        <v>31.700000000000003</v>
      </c>
      <c r="T178">
        <f>[6]m!B180</f>
        <v>1622</v>
      </c>
      <c r="U178" s="2">
        <f>[9]Unemployment!$F60</f>
        <v>12.700000000000001</v>
      </c>
      <c r="V178" s="2"/>
      <c r="W178">
        <f>[9]Unemployment!$E60</f>
        <v>3712</v>
      </c>
      <c r="X178">
        <f>[9]Unemployment!N60</f>
        <v>1703</v>
      </c>
      <c r="Y178">
        <f>[9]Unemployment!O60</f>
        <v>1097</v>
      </c>
      <c r="Z178">
        <f>[9]Unemployment!P60-[9]Unemployment!Q60</f>
        <v>457</v>
      </c>
      <c r="AA178">
        <f>[9]Unemployment!$Q60</f>
        <v>460</v>
      </c>
      <c r="AB178" s="2">
        <f>[8]m!$C180</f>
        <v>3.45</v>
      </c>
      <c r="AC178" s="2">
        <f>[8]m!$F180</f>
        <v>4.2</v>
      </c>
      <c r="AD178">
        <f>[9]Employment!$B60</f>
        <v>58903</v>
      </c>
      <c r="AE178" s="2">
        <f>[2]Indicators!$AB60</f>
        <v>29.020900000000001</v>
      </c>
      <c r="AF178" s="2">
        <f>[8]m!$AS180</f>
        <v>83.9</v>
      </c>
      <c r="AG178" s="2">
        <f>[8]m!$H180</f>
        <v>4.42</v>
      </c>
      <c r="AH178" s="2">
        <f>[8]m!$I180</f>
        <v>4.82</v>
      </c>
      <c r="AI178" s="2">
        <f>[7]m!C179</f>
        <v>2712</v>
      </c>
      <c r="AJ178" s="2">
        <f>[7]m!D179</f>
        <v>2303</v>
      </c>
      <c r="AK178" s="2">
        <f>[2]Surveys_m!$AB60</f>
        <v>63.300000000000004</v>
      </c>
      <c r="AL178" s="4">
        <f t="shared" si="2"/>
        <v>2224.3230174081241</v>
      </c>
      <c r="AN178" s="2">
        <v>45</v>
      </c>
      <c r="AQ178" s="3">
        <f>[9]LaborForce!$B59*[9]LaborForce!$C59/100</f>
        <v>73328.039999999994</v>
      </c>
      <c r="AR178" s="3">
        <f>[9]Unemployment!$AB60</f>
        <v>247.3</v>
      </c>
      <c r="AS178">
        <f>[2]Indicators!BC60</f>
        <v>40.800000000000004</v>
      </c>
      <c r="AT178">
        <f>[2]Indicators!BD60</f>
        <v>31.415100000000002</v>
      </c>
      <c r="AU178">
        <f>[2]Indicators!BE60</f>
        <v>101.7954</v>
      </c>
    </row>
    <row r="179" spans="1:47" x14ac:dyDescent="0.25">
      <c r="A179" s="1">
        <v>23651</v>
      </c>
      <c r="B179" s="2">
        <f>[2]Indicators!G61</f>
        <v>420.44800000000004</v>
      </c>
      <c r="C179" s="2">
        <f>[2]Indicators!H61</f>
        <v>61.245000000000005</v>
      </c>
      <c r="D179" s="2">
        <f>[2]Indicators!I61</f>
        <v>155.84</v>
      </c>
      <c r="E179" s="2">
        <f>[2]Indicators!J61</f>
        <v>203.363</v>
      </c>
      <c r="M179" s="2">
        <f>[2]Indicators!AB61</f>
        <v>28.6189</v>
      </c>
      <c r="N179" s="2">
        <f>[8]m!$C181</f>
        <v>3.36</v>
      </c>
      <c r="O179">
        <f>[9]Unemployment!$B61</f>
        <v>5.1000000000000005</v>
      </c>
      <c r="Q179">
        <f>[5]m!$B181</f>
        <v>31.12</v>
      </c>
      <c r="R179">
        <f>[5]m!$D181</f>
        <v>32.4</v>
      </c>
      <c r="S179">
        <f>[5]m!$Q181</f>
        <v>31.700000000000003</v>
      </c>
      <c r="T179">
        <f>[6]m!B181</f>
        <v>-4931</v>
      </c>
      <c r="U179" s="2">
        <f>[9]Unemployment!$F61</f>
        <v>12.600000000000001</v>
      </c>
      <c r="V179" s="2"/>
      <c r="W179">
        <f>[9]Unemployment!$E61</f>
        <v>3726</v>
      </c>
      <c r="X179">
        <f>[9]Unemployment!N61</f>
        <v>1754</v>
      </c>
      <c r="Y179">
        <f>[9]Unemployment!O61</f>
        <v>1055</v>
      </c>
      <c r="Z179">
        <f>[9]Unemployment!P61-[9]Unemployment!Q61</f>
        <v>470</v>
      </c>
      <c r="AA179">
        <f>[9]Unemployment!$Q61</f>
        <v>433</v>
      </c>
      <c r="AB179" s="2">
        <f>[8]m!$C181</f>
        <v>3.36</v>
      </c>
      <c r="AC179" s="2">
        <f>[8]m!$F181</f>
        <v>4.1900000000000004</v>
      </c>
      <c r="AD179">
        <f>[9]Employment!$B61</f>
        <v>58794</v>
      </c>
      <c r="AE179" s="2">
        <f>[2]Indicators!$AB61</f>
        <v>28.6189</v>
      </c>
      <c r="AF179" s="2">
        <f>[8]m!$AS181</f>
        <v>84.5</v>
      </c>
      <c r="AG179" s="2">
        <f>[8]m!$H181</f>
        <v>4.42</v>
      </c>
      <c r="AH179" s="2">
        <f>[8]m!$I181</f>
        <v>4.8100000000000005</v>
      </c>
      <c r="AI179" s="2">
        <f>[7]m!C180</f>
        <v>2854</v>
      </c>
      <c r="AJ179" s="2">
        <f>[7]m!D180</f>
        <v>2277</v>
      </c>
      <c r="AK179" s="2">
        <f>[2]Surveys_m!$AB61</f>
        <v>60.7</v>
      </c>
      <c r="AL179" s="4">
        <f t="shared" si="2"/>
        <v>2224.3230174081241</v>
      </c>
      <c r="AN179" s="2">
        <v>45</v>
      </c>
      <c r="AQ179" s="3">
        <f>[9]LaborForce!$B60*[9]LaborForce!$C60/100</f>
        <v>73313.288</v>
      </c>
      <c r="AR179" s="3">
        <f>[9]Unemployment!$AB61</f>
        <v>251</v>
      </c>
      <c r="AS179">
        <f>[2]Indicators!BC61</f>
        <v>40.800000000000004</v>
      </c>
      <c r="AT179">
        <f>[2]Indicators!BD61</f>
        <v>31.622</v>
      </c>
      <c r="AU179">
        <f>[2]Indicators!BE61</f>
        <v>101.87020000000001</v>
      </c>
    </row>
    <row r="180" spans="1:47" x14ac:dyDescent="0.25">
      <c r="A180" s="1">
        <v>23682</v>
      </c>
      <c r="B180" s="2">
        <f>[2]Indicators!G62</f>
        <v>417.20400000000001</v>
      </c>
      <c r="C180" s="2">
        <f>[2]Indicators!H62</f>
        <v>58.910000000000004</v>
      </c>
      <c r="D180" s="2">
        <f>[2]Indicators!I62</f>
        <v>153.61699999999999</v>
      </c>
      <c r="E180" s="2">
        <f>[2]Indicators!J62</f>
        <v>204.67699999999999</v>
      </c>
      <c r="M180" s="2">
        <f>[2]Indicators!AB62</f>
        <v>29.5032</v>
      </c>
      <c r="N180" s="2">
        <f>[8]m!$C182</f>
        <v>3.52</v>
      </c>
      <c r="O180">
        <f>[9]Unemployment!$B62</f>
        <v>4.8000000000000007</v>
      </c>
      <c r="Q180">
        <f>[5]m!$B182</f>
        <v>31.21</v>
      </c>
      <c r="R180">
        <f>[5]m!$D182</f>
        <v>32.5</v>
      </c>
      <c r="S180">
        <f>[5]m!$Q182</f>
        <v>31.700000000000003</v>
      </c>
      <c r="T180">
        <f>[6]m!B182</f>
        <v>-14</v>
      </c>
      <c r="U180" s="2">
        <f>[9]Unemployment!$F62</f>
        <v>14</v>
      </c>
      <c r="V180" s="2"/>
      <c r="W180">
        <f>[9]Unemployment!$E62</f>
        <v>3551</v>
      </c>
      <c r="X180">
        <f>[9]Unemployment!N62</f>
        <v>1596</v>
      </c>
      <c r="Y180">
        <f>[9]Unemployment!O62</f>
        <v>1047</v>
      </c>
      <c r="Z180">
        <f>[9]Unemployment!P62-[9]Unemployment!Q62</f>
        <v>484</v>
      </c>
      <c r="AA180">
        <f>[9]Unemployment!$Q62</f>
        <v>438</v>
      </c>
      <c r="AB180" s="2">
        <f>[8]m!$C182</f>
        <v>3.52</v>
      </c>
      <c r="AC180" s="2">
        <f>[8]m!$F182</f>
        <v>4.1500000000000004</v>
      </c>
      <c r="AD180">
        <f>[9]Employment!$B62</f>
        <v>59217</v>
      </c>
      <c r="AE180" s="2">
        <f>[2]Indicators!$AB62</f>
        <v>29.5032</v>
      </c>
      <c r="AF180" s="2">
        <f>[8]m!$AS182</f>
        <v>84.9</v>
      </c>
      <c r="AG180" s="2">
        <f>[8]m!$H182</f>
        <v>4.43</v>
      </c>
      <c r="AH180" s="2">
        <f>[8]m!$I182</f>
        <v>4.8100000000000005</v>
      </c>
      <c r="AI180" s="2">
        <f>[7]m!C181</f>
        <v>2811</v>
      </c>
      <c r="AJ180" s="2">
        <f>[7]m!D181</f>
        <v>2279</v>
      </c>
      <c r="AK180" s="2">
        <f>[2]Surveys_m!$AB62</f>
        <v>61.800000000000004</v>
      </c>
      <c r="AL180" s="4">
        <f t="shared" si="2"/>
        <v>2323.1818181818185</v>
      </c>
      <c r="AN180" s="2">
        <v>47</v>
      </c>
      <c r="AQ180" s="3">
        <f>[9]LaborForce!$B61*[9]LaborForce!$C61/100</f>
        <v>73295.235000000001</v>
      </c>
      <c r="AR180" s="3">
        <f>[9]Unemployment!$AB62</f>
        <v>264.10000000000002</v>
      </c>
      <c r="AS180">
        <f>[2]Indicators!BC62</f>
        <v>41</v>
      </c>
      <c r="AT180">
        <f>[2]Indicators!BD62</f>
        <v>31.84</v>
      </c>
      <c r="AU180">
        <f>[2]Indicators!BE62</f>
        <v>101.9777</v>
      </c>
    </row>
    <row r="181" spans="1:47" x14ac:dyDescent="0.25">
      <c r="A181" s="1">
        <v>23712</v>
      </c>
      <c r="B181" s="2">
        <f>[2]Indicators!G63</f>
        <v>421.84199999999998</v>
      </c>
      <c r="C181" s="2">
        <f>[2]Indicators!H63</f>
        <v>57.975999999999999</v>
      </c>
      <c r="D181" s="2">
        <f>[2]Indicators!I63</f>
        <v>157.94400000000002</v>
      </c>
      <c r="E181" s="2">
        <f>[2]Indicators!J63</f>
        <v>205.923</v>
      </c>
      <c r="M181" s="2">
        <f>[2]Indicators!AB63</f>
        <v>29.851600000000001</v>
      </c>
      <c r="N181" s="2">
        <f>[8]m!$C183</f>
        <v>3.85</v>
      </c>
      <c r="O181">
        <f>[9]Unemployment!$B63</f>
        <v>5</v>
      </c>
      <c r="Q181">
        <f>[5]m!$B183</f>
        <v>31.25</v>
      </c>
      <c r="R181">
        <f>[5]m!$D183</f>
        <v>32.5</v>
      </c>
      <c r="S181">
        <f>[5]m!$Q183</f>
        <v>31.700000000000003</v>
      </c>
      <c r="T181">
        <f>[6]m!B183</f>
        <v>86</v>
      </c>
      <c r="U181" s="2">
        <f>[9]Unemployment!$F63</f>
        <v>12.700000000000001</v>
      </c>
      <c r="V181" s="2"/>
      <c r="W181">
        <f>[9]Unemployment!$E63</f>
        <v>3651</v>
      </c>
      <c r="X181">
        <f>[9]Unemployment!N63</f>
        <v>1672</v>
      </c>
      <c r="Y181">
        <f>[9]Unemployment!O63</f>
        <v>1057</v>
      </c>
      <c r="Z181">
        <f>[9]Unemployment!P63-[9]Unemployment!Q63</f>
        <v>444</v>
      </c>
      <c r="AA181">
        <f>[9]Unemployment!$Q63</f>
        <v>429</v>
      </c>
      <c r="AB181" s="2">
        <f>[8]m!$C183</f>
        <v>3.85</v>
      </c>
      <c r="AC181" s="2">
        <f>[8]m!$F183</f>
        <v>4.18</v>
      </c>
      <c r="AD181">
        <f>[9]Employment!$B63</f>
        <v>59420</v>
      </c>
      <c r="AE181" s="2">
        <f>[2]Indicators!$AB63</f>
        <v>29.851600000000001</v>
      </c>
      <c r="AF181" s="2">
        <f>[8]m!$AS183</f>
        <v>86</v>
      </c>
      <c r="AG181" s="2">
        <f>[8]m!$H183</f>
        <v>4.4400000000000004</v>
      </c>
      <c r="AH181" s="2">
        <f>[8]m!$I183</f>
        <v>4.8100000000000005</v>
      </c>
      <c r="AI181" s="2">
        <f>[7]m!C182</f>
        <v>2844</v>
      </c>
      <c r="AJ181" s="2">
        <f>[7]m!D182</f>
        <v>2417</v>
      </c>
      <c r="AK181" s="2">
        <f>[2]Surveys_m!$AB63</f>
        <v>62.400000000000006</v>
      </c>
      <c r="AL181" s="4">
        <f t="shared" si="2"/>
        <v>2323.1818181818185</v>
      </c>
      <c r="AN181" s="2">
        <v>47</v>
      </c>
      <c r="AQ181" s="3">
        <f>[9]LaborForce!$B62*[9]LaborForce!$C62/100</f>
        <v>73524.247999999992</v>
      </c>
      <c r="AR181" s="3">
        <f>[9]Unemployment!$AB63</f>
        <v>252.9</v>
      </c>
      <c r="AS181">
        <f>[2]Indicators!BC63</f>
        <v>41.2</v>
      </c>
      <c r="AT181">
        <f>[2]Indicators!BD63</f>
        <v>32.066000000000003</v>
      </c>
      <c r="AU181">
        <f>[2]Indicators!BE63</f>
        <v>102.10730000000001</v>
      </c>
    </row>
    <row r="182" spans="1:47" x14ac:dyDescent="0.25">
      <c r="A182" s="1">
        <v>23743</v>
      </c>
      <c r="B182" s="2">
        <f>[2]Indicators!G64</f>
        <v>425.26600000000002</v>
      </c>
      <c r="C182" s="2">
        <f>[2]Indicators!H64</f>
        <v>61.015000000000001</v>
      </c>
      <c r="D182" s="2">
        <f>[2]Indicators!I64</f>
        <v>157.29900000000001</v>
      </c>
      <c r="E182" s="2">
        <f>[2]Indicators!J64</f>
        <v>206.95099999999999</v>
      </c>
      <c r="M182" s="2">
        <f>[2]Indicators!AB64</f>
        <v>30.173100000000002</v>
      </c>
      <c r="N182" s="2">
        <f>[8]m!$C184</f>
        <v>3.9</v>
      </c>
      <c r="O182">
        <f>[9]Unemployment!$B64</f>
        <v>4.9000000000000004</v>
      </c>
      <c r="Q182">
        <f>[5]m!$B184</f>
        <v>31.28</v>
      </c>
      <c r="R182">
        <f>[5]m!$D184</f>
        <v>32.6</v>
      </c>
      <c r="S182">
        <f>[5]m!$Q184</f>
        <v>31.8</v>
      </c>
      <c r="T182">
        <f>[6]m!B184</f>
        <v>-2034</v>
      </c>
      <c r="U182" s="2">
        <f>[9]Unemployment!$F64</f>
        <v>12.200000000000001</v>
      </c>
      <c r="V182" s="2"/>
      <c r="W182">
        <f>[9]Unemployment!$E64</f>
        <v>3572</v>
      </c>
      <c r="X182">
        <f>[9]Unemployment!N64</f>
        <v>1626</v>
      </c>
      <c r="Y182">
        <f>[9]Unemployment!O64</f>
        <v>1092</v>
      </c>
      <c r="Z182">
        <f>[9]Unemployment!P64-[9]Unemployment!Q64</f>
        <v>404</v>
      </c>
      <c r="AA182">
        <f>[9]Unemployment!$Q64</f>
        <v>389</v>
      </c>
      <c r="AB182" s="2">
        <f>[8]m!$C184</f>
        <v>3.9</v>
      </c>
      <c r="AC182" s="2">
        <f>[8]m!$F184</f>
        <v>4.1900000000000004</v>
      </c>
      <c r="AD182">
        <f>[9]Employment!$B64</f>
        <v>59583</v>
      </c>
      <c r="AE182" s="2">
        <f>[2]Indicators!$AB64</f>
        <v>30.173100000000002</v>
      </c>
      <c r="AF182" s="2">
        <f>[8]m!$AS184</f>
        <v>87.2</v>
      </c>
      <c r="AG182" s="2">
        <f>[8]m!$H184</f>
        <v>4.43</v>
      </c>
      <c r="AH182" s="2">
        <f>[8]m!$I184</f>
        <v>4.8</v>
      </c>
      <c r="AI182" s="2">
        <f>[7]m!C183</f>
        <v>3055</v>
      </c>
      <c r="AJ182" s="2">
        <f>[7]m!D183</f>
        <v>2384</v>
      </c>
      <c r="AK182" s="2">
        <f>[2]Surveys_m!$AB64</f>
        <v>61</v>
      </c>
      <c r="AL182" s="4">
        <f t="shared" si="2"/>
        <v>2323.1818181818185</v>
      </c>
      <c r="AN182" s="2">
        <v>47</v>
      </c>
      <c r="AQ182" s="3">
        <f>[9]LaborForce!$B63*[9]LaborForce!$C63/100</f>
        <v>73629.142000000007</v>
      </c>
      <c r="AR182" s="3">
        <f>[9]Unemployment!$AB64</f>
        <v>244.70000000000002</v>
      </c>
      <c r="AS182">
        <f>[2]Indicators!BC64</f>
        <v>41.5</v>
      </c>
      <c r="AT182">
        <f>[2]Indicators!BD64</f>
        <v>32.288600000000002</v>
      </c>
      <c r="AU182">
        <f>[2]Indicators!BE64</f>
        <v>102.22320000000001</v>
      </c>
    </row>
    <row r="183" spans="1:47" x14ac:dyDescent="0.25">
      <c r="A183" s="1">
        <v>23774</v>
      </c>
      <c r="B183" s="2">
        <f>[2]Indicators!G65</f>
        <v>432.21600000000001</v>
      </c>
      <c r="C183" s="2">
        <f>[2]Indicators!H65</f>
        <v>65.375</v>
      </c>
      <c r="D183" s="2">
        <f>[2]Indicators!I65</f>
        <v>158.952</v>
      </c>
      <c r="E183" s="2">
        <f>[2]Indicators!J65</f>
        <v>207.88900000000001</v>
      </c>
      <c r="M183" s="2">
        <f>[2]Indicators!AB65</f>
        <v>30.360700000000001</v>
      </c>
      <c r="N183" s="2">
        <f>[8]m!$C185</f>
        <v>3.98</v>
      </c>
      <c r="O183">
        <f>[9]Unemployment!$B65</f>
        <v>5.1000000000000005</v>
      </c>
      <c r="Q183">
        <f>[5]m!$B185</f>
        <v>31.28</v>
      </c>
      <c r="R183">
        <f>[5]m!$D185</f>
        <v>32.6</v>
      </c>
      <c r="S183">
        <f>[5]m!$Q185</f>
        <v>31.900000000000002</v>
      </c>
      <c r="T183">
        <f>[6]m!B185</f>
        <v>372</v>
      </c>
      <c r="U183" s="2">
        <f>[9]Unemployment!$F65</f>
        <v>12.600000000000001</v>
      </c>
      <c r="V183" s="2"/>
      <c r="W183">
        <f>[9]Unemployment!$E65</f>
        <v>3730</v>
      </c>
      <c r="X183">
        <f>[9]Unemployment!N65</f>
        <v>1743</v>
      </c>
      <c r="Y183">
        <f>[9]Unemployment!O65</f>
        <v>1090</v>
      </c>
      <c r="Z183">
        <f>[9]Unemployment!P65-[9]Unemployment!Q65</f>
        <v>507</v>
      </c>
      <c r="AA183">
        <f>[9]Unemployment!$Q65</f>
        <v>412</v>
      </c>
      <c r="AB183" s="2">
        <f>[8]m!$C185</f>
        <v>3.98</v>
      </c>
      <c r="AC183" s="2">
        <f>[8]m!$F185</f>
        <v>4.21</v>
      </c>
      <c r="AD183">
        <f>[9]Employment!$B65</f>
        <v>59800</v>
      </c>
      <c r="AE183" s="2">
        <f>[2]Indicators!$AB65</f>
        <v>30.360700000000001</v>
      </c>
      <c r="AF183" s="2">
        <f>[8]m!$AS185</f>
        <v>88.2</v>
      </c>
      <c r="AG183" s="2">
        <f>[8]m!$H185</f>
        <v>4.41</v>
      </c>
      <c r="AH183" s="2">
        <f>[8]m!$I185</f>
        <v>4.78</v>
      </c>
      <c r="AI183" s="2">
        <f>[7]m!C184</f>
        <v>1910</v>
      </c>
      <c r="AJ183" s="2">
        <f>[7]m!D184</f>
        <v>1928</v>
      </c>
      <c r="AK183" s="2">
        <f>[2]Surveys_m!$AB65</f>
        <v>62.1</v>
      </c>
      <c r="AL183" s="4">
        <f t="shared" si="2"/>
        <v>2422.0406189555129</v>
      </c>
      <c r="AN183" s="2">
        <v>49</v>
      </c>
      <c r="AQ183" s="3">
        <f>[9]LaborForce!$B64*[9]LaborForce!$C64/100</f>
        <v>73850.47</v>
      </c>
      <c r="AR183" s="3">
        <f>[9]Unemployment!$AB65</f>
        <v>249.9</v>
      </c>
      <c r="AS183">
        <f>[2]Indicators!BC65</f>
        <v>41.5</v>
      </c>
      <c r="AT183">
        <f>[2]Indicators!BD65</f>
        <v>32.499700000000004</v>
      </c>
      <c r="AU183">
        <f>[2]Indicators!BE65</f>
        <v>102.3005</v>
      </c>
    </row>
    <row r="184" spans="1:47" x14ac:dyDescent="0.25">
      <c r="A184" s="1">
        <v>23802</v>
      </c>
      <c r="B184" s="2">
        <f>[2]Indicators!G66</f>
        <v>434.11400000000003</v>
      </c>
      <c r="C184" s="2">
        <f>[2]Indicators!H66</f>
        <v>68.355999999999995</v>
      </c>
      <c r="D184" s="2">
        <f>[2]Indicators!I66</f>
        <v>157.03100000000001</v>
      </c>
      <c r="E184" s="2">
        <f>[2]Indicators!J66</f>
        <v>208.727</v>
      </c>
      <c r="M184" s="2">
        <f>[2]Indicators!AB66</f>
        <v>30.762700000000002</v>
      </c>
      <c r="N184" s="2">
        <f>[8]m!$C186</f>
        <v>4.04</v>
      </c>
      <c r="O184">
        <f>[9]Unemployment!$B66</f>
        <v>4.7</v>
      </c>
      <c r="Q184">
        <f>[5]m!$B186</f>
        <v>31.310000000000002</v>
      </c>
      <c r="R184">
        <f>[5]m!$D186</f>
        <v>32.6</v>
      </c>
      <c r="S184">
        <f>[5]m!$Q186</f>
        <v>31.900000000000002</v>
      </c>
      <c r="T184">
        <f>[6]m!B186</f>
        <v>3049</v>
      </c>
      <c r="U184" s="2">
        <f>[9]Unemployment!$F66</f>
        <v>12</v>
      </c>
      <c r="V184" s="2"/>
      <c r="W184">
        <f>[9]Unemployment!$E66</f>
        <v>3510</v>
      </c>
      <c r="X184">
        <f>[9]Unemployment!N66</f>
        <v>1702</v>
      </c>
      <c r="Y184">
        <f>[9]Unemployment!O66</f>
        <v>1029</v>
      </c>
      <c r="Z184">
        <f>[9]Unemployment!P66-[9]Unemployment!Q66</f>
        <v>437</v>
      </c>
      <c r="AA184">
        <f>[9]Unemployment!$Q66</f>
        <v>359</v>
      </c>
      <c r="AB184" s="2">
        <f>[8]m!$C186</f>
        <v>4.04</v>
      </c>
      <c r="AC184" s="2">
        <f>[8]m!$F186</f>
        <v>4.21</v>
      </c>
      <c r="AD184">
        <f>[9]Employment!$B66</f>
        <v>60003</v>
      </c>
      <c r="AE184" s="2">
        <f>[2]Indicators!$AB66</f>
        <v>30.762700000000002</v>
      </c>
      <c r="AF184" s="2">
        <f>[8]m!$AS186</f>
        <v>88.9</v>
      </c>
      <c r="AG184" s="2">
        <f>[8]m!$H186</f>
        <v>4.42</v>
      </c>
      <c r="AH184" s="2">
        <f>[8]m!$I186</f>
        <v>4.78</v>
      </c>
      <c r="AI184" s="2">
        <f>[7]m!C185</f>
        <v>2305</v>
      </c>
      <c r="AJ184" s="2">
        <f>[7]m!D185</f>
        <v>2335</v>
      </c>
      <c r="AK184" s="2">
        <f>[2]Surveys_m!$AB66</f>
        <v>64.900000000000006</v>
      </c>
      <c r="AL184" s="4">
        <f t="shared" si="2"/>
        <v>2471.47001934236</v>
      </c>
      <c r="AN184" s="2">
        <v>50</v>
      </c>
      <c r="AQ184" s="3">
        <f>[9]LaborForce!$B65*[9]LaborForce!$C65/100</f>
        <v>73953.195000000007</v>
      </c>
      <c r="AR184" s="3">
        <f>[9]Unemployment!$AB66</f>
        <v>239</v>
      </c>
      <c r="AS184">
        <f>[2]Indicators!BC66</f>
        <v>41.800000000000004</v>
      </c>
      <c r="AT184">
        <f>[2]Indicators!BD66</f>
        <v>32.691600000000001</v>
      </c>
      <c r="AU184">
        <f>[2]Indicators!BE66</f>
        <v>102.3164</v>
      </c>
    </row>
    <row r="185" spans="1:47" x14ac:dyDescent="0.25">
      <c r="A185" s="1">
        <v>23833</v>
      </c>
      <c r="B185" s="2">
        <f>[2]Indicators!G67</f>
        <v>437.88100000000003</v>
      </c>
      <c r="C185" s="2">
        <f>[2]Indicators!H67</f>
        <v>67.331000000000003</v>
      </c>
      <c r="D185" s="2">
        <f>[2]Indicators!I67</f>
        <v>160.00700000000001</v>
      </c>
      <c r="E185" s="2">
        <f>[2]Indicators!J67</f>
        <v>210.54400000000001</v>
      </c>
      <c r="M185" s="2">
        <f>[2]Indicators!AB67</f>
        <v>30.896700000000003</v>
      </c>
      <c r="N185" s="2">
        <f>[8]m!$C187</f>
        <v>4.09</v>
      </c>
      <c r="O185">
        <f>[9]Unemployment!$B67</f>
        <v>4.8000000000000007</v>
      </c>
      <c r="Q185">
        <f>[5]m!$B187</f>
        <v>31.38</v>
      </c>
      <c r="R185">
        <f>[5]m!$D187</f>
        <v>32.700000000000003</v>
      </c>
      <c r="S185">
        <f>[5]m!$Q187</f>
        <v>32</v>
      </c>
      <c r="T185">
        <f>[6]m!B187</f>
        <v>281</v>
      </c>
      <c r="U185" s="2">
        <f>[9]Unemployment!$F67</f>
        <v>11.4</v>
      </c>
      <c r="V185" s="2"/>
      <c r="W185">
        <f>[9]Unemployment!$E67</f>
        <v>3595</v>
      </c>
      <c r="X185">
        <f>[9]Unemployment!N67</f>
        <v>1747</v>
      </c>
      <c r="Y185">
        <f>[9]Unemployment!O67</f>
        <v>1018</v>
      </c>
      <c r="Z185">
        <f>[9]Unemployment!P67-[9]Unemployment!Q67</f>
        <v>428</v>
      </c>
      <c r="AA185">
        <f>[9]Unemployment!$Q67</f>
        <v>368</v>
      </c>
      <c r="AB185" s="2">
        <f>[8]m!$C187</f>
        <v>4.09</v>
      </c>
      <c r="AC185" s="2">
        <f>[8]m!$F187</f>
        <v>4.2</v>
      </c>
      <c r="AD185">
        <f>[9]Employment!$B67</f>
        <v>60258</v>
      </c>
      <c r="AE185" s="2">
        <f>[2]Indicators!$AB67</f>
        <v>30.896700000000003</v>
      </c>
      <c r="AF185" s="2">
        <f>[8]m!$AS187</f>
        <v>90</v>
      </c>
      <c r="AG185" s="2">
        <f>[8]m!$H187</f>
        <v>4.43</v>
      </c>
      <c r="AH185" s="2">
        <f>[8]m!$I187</f>
        <v>4.8</v>
      </c>
      <c r="AI185" s="2">
        <f>[7]m!C186</f>
        <v>3421</v>
      </c>
      <c r="AJ185" s="2">
        <f>[7]m!D186</f>
        <v>2590</v>
      </c>
      <c r="AK185" s="2">
        <f>[2]Surveys_m!$AB67</f>
        <v>62</v>
      </c>
      <c r="AL185" s="4">
        <f t="shared" si="2"/>
        <v>2520.8994197292072</v>
      </c>
      <c r="AN185" s="2">
        <v>51</v>
      </c>
      <c r="AQ185" s="3">
        <f>[9]LaborForce!$B66*[9]LaborForce!$C66/100</f>
        <v>74179.140000000014</v>
      </c>
      <c r="AR185" s="3">
        <f>[9]Unemployment!$AB67</f>
        <v>239.20000000000002</v>
      </c>
      <c r="AS185">
        <f>[2]Indicators!BC67</f>
        <v>41.800000000000004</v>
      </c>
      <c r="AT185">
        <f>[2]Indicators!BD67</f>
        <v>32.860500000000002</v>
      </c>
      <c r="AU185">
        <f>[2]Indicators!BE67</f>
        <v>102.2604</v>
      </c>
    </row>
    <row r="186" spans="1:47" x14ac:dyDescent="0.25">
      <c r="A186" s="1">
        <v>23863</v>
      </c>
      <c r="B186" s="2">
        <f>[2]Indicators!G68</f>
        <v>438.45</v>
      </c>
      <c r="C186" s="2">
        <f>[2]Indicators!H68</f>
        <v>65.143000000000001</v>
      </c>
      <c r="D186" s="2">
        <f>[2]Indicators!I68</f>
        <v>161.333</v>
      </c>
      <c r="E186" s="2">
        <f>[2]Indicators!J68</f>
        <v>211.97400000000002</v>
      </c>
      <c r="M186" s="2">
        <f>[2]Indicators!AB68</f>
        <v>31.137800000000002</v>
      </c>
      <c r="N186" s="2">
        <f>[8]m!$C188</f>
        <v>4.0999999999999996</v>
      </c>
      <c r="O186">
        <f>[9]Unemployment!$B68</f>
        <v>4.6000000000000005</v>
      </c>
      <c r="Q186">
        <f>[5]m!$B188</f>
        <v>31.48</v>
      </c>
      <c r="R186">
        <f>[5]m!$D188</f>
        <v>32.700000000000003</v>
      </c>
      <c r="S186">
        <f>[5]m!$Q188</f>
        <v>32.1</v>
      </c>
      <c r="T186">
        <f>[6]m!B188</f>
        <v>152</v>
      </c>
      <c r="U186" s="2">
        <f>[9]Unemployment!$F68</f>
        <v>11.100000000000001</v>
      </c>
      <c r="V186" s="2"/>
      <c r="W186">
        <f>[9]Unemployment!$E68</f>
        <v>3432</v>
      </c>
      <c r="X186">
        <f>[9]Unemployment!N68</f>
        <v>1670</v>
      </c>
      <c r="Y186">
        <f>[9]Unemployment!O68</f>
        <v>1043</v>
      </c>
      <c r="Z186">
        <f>[9]Unemployment!P68-[9]Unemployment!Q68</f>
        <v>385</v>
      </c>
      <c r="AA186">
        <f>[9]Unemployment!$Q68</f>
        <v>351</v>
      </c>
      <c r="AB186" s="2">
        <f>[8]m!$C188</f>
        <v>4.0999999999999996</v>
      </c>
      <c r="AC186" s="2">
        <f>[8]m!$F188</f>
        <v>4.21</v>
      </c>
      <c r="AD186">
        <f>[9]Employment!$B68</f>
        <v>60492</v>
      </c>
      <c r="AE186" s="2">
        <f>[2]Indicators!$AB68</f>
        <v>31.137800000000002</v>
      </c>
      <c r="AF186" s="2">
        <f>[8]m!$AS188</f>
        <v>90.9</v>
      </c>
      <c r="AG186" s="2">
        <f>[8]m!$H188</f>
        <v>4.4400000000000004</v>
      </c>
      <c r="AH186" s="2">
        <f>[8]m!$I188</f>
        <v>4.8100000000000005</v>
      </c>
      <c r="AI186" s="2">
        <f>[7]m!C187</f>
        <v>3222</v>
      </c>
      <c r="AJ186" s="2">
        <f>[7]m!D187</f>
        <v>2567</v>
      </c>
      <c r="AK186" s="2">
        <f>[2]Surveys_m!$AB68</f>
        <v>61.300000000000004</v>
      </c>
      <c r="AL186" s="4">
        <f t="shared" si="2"/>
        <v>2619.7582205029021</v>
      </c>
      <c r="AN186" s="2">
        <v>53</v>
      </c>
      <c r="AQ186" s="3">
        <f>[9]LaborForce!$B67*[9]LaborForce!$C67/100</f>
        <v>74528.800000000003</v>
      </c>
      <c r="AR186" s="3">
        <f>[9]Unemployment!$AB68</f>
        <v>225.20000000000002</v>
      </c>
      <c r="AS186">
        <f>[2]Indicators!BC68</f>
        <v>42</v>
      </c>
      <c r="AT186">
        <f>[2]Indicators!BD68</f>
        <v>33.016600000000004</v>
      </c>
      <c r="AU186">
        <f>[2]Indicators!BE68</f>
        <v>102.16550000000001</v>
      </c>
    </row>
    <row r="187" spans="1:47" x14ac:dyDescent="0.25">
      <c r="A187" s="1">
        <v>23894</v>
      </c>
      <c r="B187" s="2">
        <f>[2]Indicators!G69</f>
        <v>436.07100000000003</v>
      </c>
      <c r="C187" s="2">
        <f>[2]Indicators!H69</f>
        <v>61.981000000000002</v>
      </c>
      <c r="D187" s="2">
        <f>[2]Indicators!I69</f>
        <v>160.96299999999999</v>
      </c>
      <c r="E187" s="2">
        <f>[2]Indicators!J69</f>
        <v>213.12700000000001</v>
      </c>
      <c r="M187" s="2">
        <f>[2]Indicators!AB69</f>
        <v>31.379000000000001</v>
      </c>
      <c r="N187" s="2">
        <f>[8]m!$C189</f>
        <v>4.04</v>
      </c>
      <c r="O187">
        <f>[9]Unemployment!$B69</f>
        <v>4.6000000000000005</v>
      </c>
      <c r="Q187">
        <f>[5]m!$B189</f>
        <v>31.61</v>
      </c>
      <c r="R187">
        <f>[5]m!$D189</f>
        <v>32.700000000000003</v>
      </c>
      <c r="S187">
        <f>[5]m!$Q189</f>
        <v>32.4</v>
      </c>
      <c r="T187">
        <f>[6]m!B189</f>
        <v>4334</v>
      </c>
      <c r="U187" s="2">
        <f>[9]Unemployment!$F69</f>
        <v>11.600000000000001</v>
      </c>
      <c r="V187" s="2"/>
      <c r="W187">
        <f>[9]Unemployment!$E69</f>
        <v>3387</v>
      </c>
      <c r="X187">
        <f>[9]Unemployment!N69</f>
        <v>1656</v>
      </c>
      <c r="Y187">
        <f>[9]Unemployment!O69</f>
        <v>1009</v>
      </c>
      <c r="Z187">
        <f>[9]Unemployment!P69-[9]Unemployment!Q69</f>
        <v>417</v>
      </c>
      <c r="AA187">
        <f>[9]Unemployment!$Q69</f>
        <v>369</v>
      </c>
      <c r="AB187" s="2">
        <f>[8]m!$C189</f>
        <v>4.04</v>
      </c>
      <c r="AC187" s="2">
        <f>[8]m!$F189</f>
        <v>4.21</v>
      </c>
      <c r="AD187">
        <f>[9]Employment!$B69</f>
        <v>60690</v>
      </c>
      <c r="AE187" s="2">
        <f>[2]Indicators!$AB69</f>
        <v>31.379000000000001</v>
      </c>
      <c r="AF187" s="2">
        <f>[8]m!$AS189</f>
        <v>91.800000000000011</v>
      </c>
      <c r="AG187" s="2">
        <f>[8]m!$H189</f>
        <v>4.46</v>
      </c>
      <c r="AH187" s="2">
        <f>[8]m!$I189</f>
        <v>4.8500000000000005</v>
      </c>
      <c r="AI187" s="2">
        <f>[7]m!C188</f>
        <v>3115</v>
      </c>
      <c r="AJ187" s="2">
        <f>[7]m!D188</f>
        <v>2553</v>
      </c>
      <c r="AK187" s="2">
        <f>[2]Surveys_m!$AB69</f>
        <v>58.7</v>
      </c>
      <c r="AL187" s="4">
        <f t="shared" si="2"/>
        <v>2619.7582205029021</v>
      </c>
      <c r="AN187" s="2">
        <v>53</v>
      </c>
      <c r="AQ187" s="3">
        <f>[9]LaborForce!$B68*[9]LaborForce!$C68/100</f>
        <v>74381.411999999997</v>
      </c>
      <c r="AR187" s="3">
        <f>[9]Unemployment!$AB69</f>
        <v>226</v>
      </c>
      <c r="AS187">
        <f>[2]Indicators!BC69</f>
        <v>42</v>
      </c>
      <c r="AT187">
        <f>[2]Indicators!BD69</f>
        <v>33.176300000000005</v>
      </c>
      <c r="AU187">
        <f>[2]Indicators!BE69</f>
        <v>102.08330000000001</v>
      </c>
    </row>
    <row r="188" spans="1:47" x14ac:dyDescent="0.25">
      <c r="A188" s="1">
        <v>23924</v>
      </c>
      <c r="B188" s="2">
        <f>[2]Indicators!G70</f>
        <v>441.86500000000001</v>
      </c>
      <c r="C188" s="2">
        <f>[2]Indicators!H70</f>
        <v>63.5</v>
      </c>
      <c r="D188" s="2">
        <f>[2]Indicators!I70</f>
        <v>163.81399999999999</v>
      </c>
      <c r="E188" s="2">
        <f>[2]Indicators!J70</f>
        <v>214.55100000000002</v>
      </c>
      <c r="M188" s="2">
        <f>[2]Indicators!AB70</f>
        <v>31.6737</v>
      </c>
      <c r="N188" s="2">
        <f>[8]m!$C190</f>
        <v>4.09</v>
      </c>
      <c r="O188">
        <f>[9]Unemployment!$B70</f>
        <v>4.4000000000000004</v>
      </c>
      <c r="Q188">
        <f>[5]m!$B190</f>
        <v>31.580000000000002</v>
      </c>
      <c r="R188">
        <f>[5]m!$D190</f>
        <v>32.700000000000003</v>
      </c>
      <c r="S188">
        <f>[5]m!$Q190</f>
        <v>32.4</v>
      </c>
      <c r="T188">
        <f>[6]m!B190</f>
        <v>-3433</v>
      </c>
      <c r="U188" s="2">
        <f>[9]Unemployment!$F70</f>
        <v>11.600000000000001</v>
      </c>
      <c r="V188" s="2"/>
      <c r="W188">
        <f>[9]Unemployment!$E70</f>
        <v>3301</v>
      </c>
      <c r="X188">
        <f>[9]Unemployment!N70</f>
        <v>1654</v>
      </c>
      <c r="Y188">
        <f>[9]Unemployment!O70</f>
        <v>959</v>
      </c>
      <c r="Z188">
        <f>[9]Unemployment!P70-[9]Unemployment!Q70</f>
        <v>359</v>
      </c>
      <c r="AA188">
        <f>[9]Unemployment!$Q70</f>
        <v>324</v>
      </c>
      <c r="AB188" s="2">
        <f>[8]m!$C190</f>
        <v>4.09</v>
      </c>
      <c r="AC188" s="2">
        <f>[8]m!$F190</f>
        <v>4.2</v>
      </c>
      <c r="AD188">
        <f>[9]Employment!$B70</f>
        <v>60963</v>
      </c>
      <c r="AE188" s="2">
        <f>[2]Indicators!$AB70</f>
        <v>31.6737</v>
      </c>
      <c r="AF188" s="2">
        <f>[8]m!$AS190</f>
        <v>92.7</v>
      </c>
      <c r="AG188" s="2">
        <f>[8]m!$H190</f>
        <v>4.4800000000000004</v>
      </c>
      <c r="AH188" s="2">
        <f>[8]m!$I190</f>
        <v>4.88</v>
      </c>
      <c r="AI188" s="2">
        <f>[7]m!C189</f>
        <v>3051</v>
      </c>
      <c r="AJ188" s="2">
        <f>[7]m!D189</f>
        <v>2604</v>
      </c>
      <c r="AK188" s="2">
        <f>[2]Surveys_m!$AB70</f>
        <v>58.1</v>
      </c>
      <c r="AL188" s="4">
        <f t="shared" si="2"/>
        <v>2619.7582205029021</v>
      </c>
      <c r="AN188" s="2">
        <v>53</v>
      </c>
      <c r="AQ188" s="3">
        <f>[9]LaborForce!$B69*[9]LaborForce!$C69/100</f>
        <v>74804.642999999996</v>
      </c>
      <c r="AR188" s="3">
        <f>[9]Unemployment!$AB70</f>
        <v>232.4</v>
      </c>
      <c r="AS188">
        <f>[2]Indicators!BC70</f>
        <v>42.1</v>
      </c>
      <c r="AT188">
        <f>[2]Indicators!BD70</f>
        <v>33.362900000000003</v>
      </c>
      <c r="AU188">
        <f>[2]Indicators!BE70</f>
        <v>102.0852</v>
      </c>
    </row>
    <row r="189" spans="1:47" x14ac:dyDescent="0.25">
      <c r="A189" s="1">
        <v>23955</v>
      </c>
      <c r="B189" s="2">
        <f>[2]Indicators!G71</f>
        <v>445.21100000000001</v>
      </c>
      <c r="C189" s="2">
        <f>[2]Indicators!H71</f>
        <v>66</v>
      </c>
      <c r="D189" s="2">
        <f>[2]Indicators!I71</f>
        <v>163.41300000000001</v>
      </c>
      <c r="E189" s="2">
        <f>[2]Indicators!J71</f>
        <v>215.798</v>
      </c>
      <c r="M189" s="2">
        <f>[2]Indicators!AB71</f>
        <v>31.807700000000001</v>
      </c>
      <c r="N189" s="2">
        <f>[8]m!$C191</f>
        <v>4.12</v>
      </c>
      <c r="O189">
        <f>[9]Unemployment!$B71</f>
        <v>4.4000000000000004</v>
      </c>
      <c r="Q189">
        <f>[5]m!$B191</f>
        <v>31.55</v>
      </c>
      <c r="R189">
        <f>[5]m!$D191</f>
        <v>32.700000000000003</v>
      </c>
      <c r="S189">
        <f>[5]m!$Q191</f>
        <v>32.4</v>
      </c>
      <c r="T189">
        <f>[6]m!B191</f>
        <v>-1640</v>
      </c>
      <c r="U189" s="2">
        <f>[9]Unemployment!$F71</f>
        <v>11.9</v>
      </c>
      <c r="V189" s="2"/>
      <c r="W189">
        <f>[9]Unemployment!$E71</f>
        <v>3254</v>
      </c>
      <c r="X189">
        <f>[9]Unemployment!N71</f>
        <v>1613</v>
      </c>
      <c r="Y189">
        <f>[9]Unemployment!O71</f>
        <v>940</v>
      </c>
      <c r="Z189">
        <f>[9]Unemployment!P71-[9]Unemployment!Q71</f>
        <v>406</v>
      </c>
      <c r="AA189">
        <f>[9]Unemployment!$Q71</f>
        <v>327</v>
      </c>
      <c r="AB189" s="2">
        <f>[8]m!$C191</f>
        <v>4.12</v>
      </c>
      <c r="AC189" s="2">
        <f>[8]m!$F191</f>
        <v>4.25</v>
      </c>
      <c r="AD189">
        <f>[9]Employment!$B71</f>
        <v>61228</v>
      </c>
      <c r="AE189" s="2">
        <f>[2]Indicators!$AB71</f>
        <v>31.807700000000001</v>
      </c>
      <c r="AF189" s="2">
        <f>[8]m!$AS191</f>
        <v>93.300000000000011</v>
      </c>
      <c r="AG189" s="2">
        <f>[8]m!$H191</f>
        <v>4.49</v>
      </c>
      <c r="AH189" s="2">
        <f>[8]m!$I191</f>
        <v>4.88</v>
      </c>
      <c r="AI189" s="2">
        <f>[7]m!C190</f>
        <v>3007</v>
      </c>
      <c r="AJ189" s="2">
        <f>[7]m!D190</f>
        <v>2496</v>
      </c>
      <c r="AK189" s="2">
        <f>[2]Surveys_m!$AB71</f>
        <v>58.1</v>
      </c>
      <c r="AL189" s="4">
        <f t="shared" si="2"/>
        <v>2718.6170212765965</v>
      </c>
      <c r="AN189" s="2">
        <v>55</v>
      </c>
      <c r="AQ189" s="3">
        <f>[9]LaborForce!$B70*[9]LaborForce!$C70/100</f>
        <v>74659.284</v>
      </c>
      <c r="AR189" s="3">
        <f>[9]Unemployment!$AB71</f>
        <v>249.70000000000002</v>
      </c>
      <c r="AS189">
        <f>[2]Indicators!BC71</f>
        <v>42.1</v>
      </c>
      <c r="AT189">
        <f>[2]Indicators!BD71</f>
        <v>33.589300000000001</v>
      </c>
      <c r="AU189">
        <f>[2]Indicators!BE71</f>
        <v>102.2093</v>
      </c>
    </row>
    <row r="190" spans="1:47" x14ac:dyDescent="0.25">
      <c r="A190" s="1">
        <v>23986</v>
      </c>
      <c r="B190" s="2">
        <f>[2]Indicators!G72</f>
        <v>452.85</v>
      </c>
      <c r="C190" s="2">
        <f>[2]Indicators!H72</f>
        <v>70.600000000000009</v>
      </c>
      <c r="D190" s="2">
        <f>[2]Indicators!I72</f>
        <v>164.97900000000001</v>
      </c>
      <c r="E190" s="2">
        <f>[2]Indicators!J72</f>
        <v>217.27</v>
      </c>
      <c r="M190" s="2">
        <f>[2]Indicators!AB72</f>
        <v>31.888100000000001</v>
      </c>
      <c r="N190" s="2">
        <f>[8]m!$C192</f>
        <v>4.01</v>
      </c>
      <c r="O190">
        <f>[9]Unemployment!$B72</f>
        <v>4.3</v>
      </c>
      <c r="Q190">
        <f>[5]m!$B192</f>
        <v>31.62</v>
      </c>
      <c r="R190">
        <f>[5]m!$D192</f>
        <v>32.799999999999997</v>
      </c>
      <c r="S190">
        <f>[5]m!$Q192</f>
        <v>32.4</v>
      </c>
      <c r="T190">
        <f>[6]m!B192</f>
        <v>1547</v>
      </c>
      <c r="U190" s="2">
        <f>[9]Unemployment!$F72</f>
        <v>11.9</v>
      </c>
      <c r="V190" s="2"/>
      <c r="W190">
        <f>[9]Unemployment!$E72</f>
        <v>3216</v>
      </c>
      <c r="X190">
        <f>[9]Unemployment!N72</f>
        <v>1627</v>
      </c>
      <c r="Y190">
        <f>[9]Unemployment!O72</f>
        <v>860</v>
      </c>
      <c r="Z190">
        <f>[9]Unemployment!P72-[9]Unemployment!Q72</f>
        <v>376</v>
      </c>
      <c r="AA190">
        <f>[9]Unemployment!$Q72</f>
        <v>356</v>
      </c>
      <c r="AB190" s="2">
        <f>[8]m!$C192</f>
        <v>4.01</v>
      </c>
      <c r="AC190" s="2">
        <f>[8]m!$F192</f>
        <v>4.29</v>
      </c>
      <c r="AD190">
        <f>[9]Employment!$B72</f>
        <v>61490</v>
      </c>
      <c r="AE190" s="2">
        <f>[2]Indicators!$AB72</f>
        <v>31.888100000000001</v>
      </c>
      <c r="AF190" s="2">
        <f>[8]m!$AS192</f>
        <v>94.100000000000009</v>
      </c>
      <c r="AG190" s="2">
        <f>[8]m!$H192</f>
        <v>4.5200000000000005</v>
      </c>
      <c r="AH190" s="2">
        <f>[8]m!$I192</f>
        <v>4.91</v>
      </c>
      <c r="AI190" s="2">
        <f>[7]m!C191</f>
        <v>3036</v>
      </c>
      <c r="AJ190" s="2">
        <f>[7]m!D191</f>
        <v>2579</v>
      </c>
      <c r="AK190" s="2">
        <f>[2]Surveys_m!$AB72</f>
        <v>61</v>
      </c>
      <c r="AL190" s="4">
        <f t="shared" si="2"/>
        <v>2817.4758220502913</v>
      </c>
      <c r="AN190" s="2">
        <v>57</v>
      </c>
      <c r="AQ190" s="3">
        <f>[9]LaborForce!$B71*[9]LaborForce!$C71/100</f>
        <v>74493.822</v>
      </c>
      <c r="AR190" s="3">
        <f>[9]Unemployment!$AB72</f>
        <v>219.9</v>
      </c>
      <c r="AS190">
        <f>[2]Indicators!BC72</f>
        <v>42.300000000000004</v>
      </c>
      <c r="AT190">
        <f>[2]Indicators!BD72</f>
        <v>33.864000000000004</v>
      </c>
      <c r="AU190">
        <f>[2]Indicators!BE72</f>
        <v>102.48</v>
      </c>
    </row>
    <row r="191" spans="1:47" x14ac:dyDescent="0.25">
      <c r="A191" s="1">
        <v>24016</v>
      </c>
      <c r="B191" s="2">
        <f>[2]Indicators!G73</f>
        <v>459.33</v>
      </c>
      <c r="C191" s="2">
        <f>[2]Indicators!H73</f>
        <v>69.486000000000004</v>
      </c>
      <c r="D191" s="2">
        <f>[2]Indicators!I73</f>
        <v>170.63300000000001</v>
      </c>
      <c r="E191" s="2">
        <f>[2]Indicators!J73</f>
        <v>219.21100000000001</v>
      </c>
      <c r="M191" s="2">
        <f>[2]Indicators!AB73</f>
        <v>32.209699999999998</v>
      </c>
      <c r="N191" s="2">
        <f>[8]m!$C193</f>
        <v>4.08</v>
      </c>
      <c r="O191">
        <f>[9]Unemployment!$B73</f>
        <v>4.2</v>
      </c>
      <c r="Q191">
        <f>[5]m!$B193</f>
        <v>31.650000000000002</v>
      </c>
      <c r="R191">
        <f>[5]m!$D193</f>
        <v>32.799999999999997</v>
      </c>
      <c r="S191">
        <f>[5]m!$Q193</f>
        <v>32.5</v>
      </c>
      <c r="T191">
        <f>[6]m!B193</f>
        <v>-5455</v>
      </c>
      <c r="U191" s="2">
        <f>[9]Unemployment!$F73</f>
        <v>12.100000000000001</v>
      </c>
      <c r="V191" s="2"/>
      <c r="W191">
        <f>[9]Unemployment!$E73</f>
        <v>3143</v>
      </c>
      <c r="X191">
        <f>[9]Unemployment!N73</f>
        <v>1533</v>
      </c>
      <c r="Y191">
        <f>[9]Unemployment!O73</f>
        <v>920</v>
      </c>
      <c r="Z191">
        <f>[9]Unemployment!P73-[9]Unemployment!Q73</f>
        <v>336</v>
      </c>
      <c r="AA191">
        <f>[9]Unemployment!$Q73</f>
        <v>336</v>
      </c>
      <c r="AB191" s="2">
        <f>[8]m!$C193</f>
        <v>4.08</v>
      </c>
      <c r="AC191" s="2">
        <f>[8]m!$F193</f>
        <v>4.3500000000000005</v>
      </c>
      <c r="AD191">
        <f>[9]Employment!$B73</f>
        <v>61718</v>
      </c>
      <c r="AE191" s="2">
        <f>[2]Indicators!$AB73</f>
        <v>32.209699999999998</v>
      </c>
      <c r="AF191" s="2">
        <f>[8]m!$AS193</f>
        <v>94.800000000000011</v>
      </c>
      <c r="AG191" s="2">
        <f>[8]m!$H193</f>
        <v>4.5600000000000005</v>
      </c>
      <c r="AH191" s="2">
        <f>[8]m!$I193</f>
        <v>4.93</v>
      </c>
      <c r="AI191" s="2">
        <f>[7]m!C192</f>
        <v>2998</v>
      </c>
      <c r="AJ191" s="2">
        <f>[7]m!D192</f>
        <v>2612</v>
      </c>
      <c r="AK191" s="2">
        <f>[2]Surveys_m!$AB73</f>
        <v>58.6</v>
      </c>
      <c r="AL191" s="4">
        <f t="shared" si="2"/>
        <v>2916.3346228239857</v>
      </c>
      <c r="AN191" s="2">
        <v>59</v>
      </c>
      <c r="AQ191" s="3">
        <f>[9]LaborForce!$B72*[9]LaborForce!$C72/100</f>
        <v>74828.327000000005</v>
      </c>
      <c r="AR191" s="3">
        <f>[9]Unemployment!$AB73</f>
        <v>210.3</v>
      </c>
      <c r="AS191">
        <f>[2]Indicators!BC73</f>
        <v>42.7</v>
      </c>
      <c r="AT191">
        <f>[2]Indicators!BD73</f>
        <v>34.179099999999998</v>
      </c>
      <c r="AU191">
        <f>[2]Indicators!BE73</f>
        <v>102.87140000000001</v>
      </c>
    </row>
    <row r="192" spans="1:47" x14ac:dyDescent="0.25">
      <c r="A192" s="1">
        <v>24047</v>
      </c>
      <c r="B192" s="2">
        <f>[2]Indicators!G74</f>
        <v>459.91399999999999</v>
      </c>
      <c r="C192" s="2">
        <f>[2]Indicators!H74</f>
        <v>69.087000000000003</v>
      </c>
      <c r="D192" s="2">
        <f>[2]Indicators!I74</f>
        <v>169.767</v>
      </c>
      <c r="E192" s="2">
        <f>[2]Indicators!J74</f>
        <v>221.06</v>
      </c>
      <c r="M192" s="2">
        <f>[2]Indicators!AB74</f>
        <v>32.343699999999998</v>
      </c>
      <c r="N192" s="2">
        <f>[8]m!$C194</f>
        <v>4.0999999999999996</v>
      </c>
      <c r="O192">
        <f>[9]Unemployment!$B74</f>
        <v>4.1000000000000005</v>
      </c>
      <c r="Q192">
        <f>[5]m!$B194</f>
        <v>31.75</v>
      </c>
      <c r="R192">
        <f>[5]m!$D194</f>
        <v>32.9</v>
      </c>
      <c r="S192">
        <f>[5]m!$Q194</f>
        <v>32.6</v>
      </c>
      <c r="T192">
        <f>[6]m!B194</f>
        <v>-999</v>
      </c>
      <c r="U192" s="2">
        <f>[9]Unemployment!$F74</f>
        <v>11.700000000000001</v>
      </c>
      <c r="V192" s="2"/>
      <c r="W192">
        <f>[9]Unemployment!$E74</f>
        <v>3073</v>
      </c>
      <c r="X192">
        <f>[9]Unemployment!N74</f>
        <v>1531</v>
      </c>
      <c r="Y192">
        <f>[9]Unemployment!O74</f>
        <v>895</v>
      </c>
      <c r="Z192">
        <f>[9]Unemployment!P74-[9]Unemployment!Q74</f>
        <v>334</v>
      </c>
      <c r="AA192">
        <f>[9]Unemployment!$Q74</f>
        <v>311</v>
      </c>
      <c r="AB192" s="2">
        <f>[8]m!$C194</f>
        <v>4.0999999999999996</v>
      </c>
      <c r="AC192" s="2">
        <f>[8]m!$F194</f>
        <v>4.45</v>
      </c>
      <c r="AD192">
        <f>[9]Employment!$B74</f>
        <v>61997</v>
      </c>
      <c r="AE192" s="2">
        <f>[2]Indicators!$AB74</f>
        <v>32.343699999999998</v>
      </c>
      <c r="AF192" s="2">
        <f>[8]m!$AS194</f>
        <v>95.4</v>
      </c>
      <c r="AG192" s="2">
        <f>[8]m!$H194</f>
        <v>4.6000000000000005</v>
      </c>
      <c r="AH192" s="2">
        <f>[8]m!$I194</f>
        <v>4.95</v>
      </c>
      <c r="AI192" s="2">
        <f>[7]m!C193</f>
        <v>3086</v>
      </c>
      <c r="AJ192" s="2">
        <f>[7]m!D193</f>
        <v>2683</v>
      </c>
      <c r="AK192" s="2">
        <f>[2]Surveys_m!$AB74</f>
        <v>59.400000000000006</v>
      </c>
      <c r="AL192" s="4">
        <f t="shared" si="2"/>
        <v>3114.0522243713745</v>
      </c>
      <c r="AN192" s="2">
        <v>63</v>
      </c>
      <c r="AQ192" s="3">
        <f>[9]LaborForce!$B73*[9]LaborForce!$C73/100</f>
        <v>74776.54800000001</v>
      </c>
      <c r="AR192" s="3">
        <f>[9]Unemployment!$AB74</f>
        <v>214</v>
      </c>
      <c r="AS192">
        <f>[2]Indicators!BC74</f>
        <v>43.1</v>
      </c>
      <c r="AT192">
        <f>[2]Indicators!BD74</f>
        <v>34.514800000000001</v>
      </c>
      <c r="AU192">
        <f>[2]Indicators!BE74</f>
        <v>103.3224</v>
      </c>
    </row>
    <row r="193" spans="1:47" x14ac:dyDescent="0.25">
      <c r="A193" s="1">
        <v>24077</v>
      </c>
      <c r="B193" s="2">
        <f>[2]Indicators!G75</f>
        <v>462.54500000000002</v>
      </c>
      <c r="C193" s="2">
        <f>[2]Indicators!H75</f>
        <v>68.805999999999997</v>
      </c>
      <c r="D193" s="2">
        <f>[2]Indicators!I75</f>
        <v>171.23400000000001</v>
      </c>
      <c r="E193" s="2">
        <f>[2]Indicators!J75</f>
        <v>222.505</v>
      </c>
      <c r="M193" s="2">
        <f>[2]Indicators!AB75</f>
        <v>32.745600000000003</v>
      </c>
      <c r="N193" s="2">
        <f>[8]m!$C195</f>
        <v>4.32</v>
      </c>
      <c r="O193">
        <f>[9]Unemployment!$B75</f>
        <v>4</v>
      </c>
      <c r="Q193">
        <f>[5]m!$B195</f>
        <v>31.85</v>
      </c>
      <c r="R193">
        <f>[5]m!$D195</f>
        <v>33</v>
      </c>
      <c r="S193">
        <f>[5]m!$Q195</f>
        <v>32.800000000000004</v>
      </c>
      <c r="T193">
        <f>[6]m!B195</f>
        <v>127</v>
      </c>
      <c r="U193" s="2">
        <f>[9]Unemployment!$F75</f>
        <v>11.4</v>
      </c>
      <c r="V193" s="2"/>
      <c r="W193">
        <f>[9]Unemployment!$E75</f>
        <v>3031</v>
      </c>
      <c r="X193">
        <f>[9]Unemployment!N75</f>
        <v>1436</v>
      </c>
      <c r="Y193">
        <f>[9]Unemployment!O75</f>
        <v>857</v>
      </c>
      <c r="Z193">
        <f>[9]Unemployment!P75-[9]Unemployment!Q75</f>
        <v>366</v>
      </c>
      <c r="AA193">
        <f>[9]Unemployment!$Q75</f>
        <v>293</v>
      </c>
      <c r="AB193" s="2">
        <f>[8]m!$C195</f>
        <v>4.32</v>
      </c>
      <c r="AC193" s="2">
        <f>[8]m!$F195</f>
        <v>4.62</v>
      </c>
      <c r="AD193">
        <f>[9]Employment!$B75</f>
        <v>62321</v>
      </c>
      <c r="AE193" s="2">
        <f>[2]Indicators!$AB75</f>
        <v>32.745600000000003</v>
      </c>
      <c r="AF193" s="2">
        <f>[8]m!$AS195</f>
        <v>96</v>
      </c>
      <c r="AG193" s="2">
        <f>[8]m!$H195</f>
        <v>4.68</v>
      </c>
      <c r="AH193" s="2">
        <f>[8]m!$I195</f>
        <v>5.0200000000000005</v>
      </c>
      <c r="AI193" s="2">
        <f>[7]m!C194</f>
        <v>3115</v>
      </c>
      <c r="AJ193" s="2">
        <f>[7]m!D194</f>
        <v>2739</v>
      </c>
      <c r="AK193" s="2">
        <f>[2]Surveys_m!$AB75</f>
        <v>62.800000000000004</v>
      </c>
      <c r="AL193" s="4">
        <f t="shared" si="2"/>
        <v>3163.4816247582216</v>
      </c>
      <c r="AN193" s="2">
        <v>64</v>
      </c>
      <c r="AQ193" s="3">
        <f>[9]LaborForce!$B74*[9]LaborForce!$C74/100</f>
        <v>75103.460000000006</v>
      </c>
      <c r="AR193" s="3">
        <f>[9]Unemployment!$AB75</f>
        <v>208</v>
      </c>
      <c r="AS193">
        <f>[2]Indicators!BC75</f>
        <v>43.4</v>
      </c>
      <c r="AT193">
        <f>[2]Indicators!BD75</f>
        <v>34.841000000000001</v>
      </c>
      <c r="AU193">
        <f>[2]Indicators!BE75</f>
        <v>103.7433</v>
      </c>
    </row>
    <row r="194" spans="1:47" x14ac:dyDescent="0.25">
      <c r="A194" s="1">
        <v>24108</v>
      </c>
      <c r="B194" s="2">
        <f>[2]Indicators!G76</f>
        <v>466.04300000000001</v>
      </c>
      <c r="C194" s="2">
        <f>[2]Indicators!H76</f>
        <v>70.212000000000003</v>
      </c>
      <c r="D194" s="2">
        <f>[2]Indicators!I76</f>
        <v>172.53300000000002</v>
      </c>
      <c r="E194" s="2">
        <f>[2]Indicators!J76</f>
        <v>223.298</v>
      </c>
      <c r="M194" s="2">
        <f>[2]Indicators!AB76</f>
        <v>33.0672</v>
      </c>
      <c r="N194" s="2">
        <f>[8]m!$C196</f>
        <v>4.42</v>
      </c>
      <c r="O194">
        <f>[9]Unemployment!$B76</f>
        <v>4</v>
      </c>
      <c r="Q194">
        <f>[5]m!$B196</f>
        <v>31.88</v>
      </c>
      <c r="R194">
        <f>[5]m!$D196</f>
        <v>33</v>
      </c>
      <c r="S194">
        <f>[5]m!$Q196</f>
        <v>32.9</v>
      </c>
      <c r="T194">
        <f>[6]m!B196</f>
        <v>-2356</v>
      </c>
      <c r="U194" s="2">
        <f>[9]Unemployment!$F76</f>
        <v>11.9</v>
      </c>
      <c r="V194" s="2"/>
      <c r="W194">
        <f>[9]Unemployment!$E76</f>
        <v>2988</v>
      </c>
      <c r="X194">
        <f>[9]Unemployment!N76</f>
        <v>1523</v>
      </c>
      <c r="Y194">
        <f>[9]Unemployment!O76</f>
        <v>777</v>
      </c>
      <c r="Z194">
        <f>[9]Unemployment!P76-[9]Unemployment!Q76</f>
        <v>333</v>
      </c>
      <c r="AA194">
        <f>[9]Unemployment!$Q76</f>
        <v>290</v>
      </c>
      <c r="AB194" s="2">
        <f>[8]m!$C196</f>
        <v>4.42</v>
      </c>
      <c r="AC194" s="2">
        <f>[8]m!$F196</f>
        <v>4.6100000000000003</v>
      </c>
      <c r="AD194">
        <f>[9]Employment!$B76</f>
        <v>62528</v>
      </c>
      <c r="AE194" s="2">
        <f>[2]Indicators!$AB76</f>
        <v>33.0672</v>
      </c>
      <c r="AF194" s="2">
        <f>[8]m!$AS196</f>
        <v>97</v>
      </c>
      <c r="AG194" s="2">
        <f>[8]m!$H196</f>
        <v>4.74</v>
      </c>
      <c r="AH194" s="2">
        <f>[8]m!$I196</f>
        <v>5.0600000000000005</v>
      </c>
      <c r="AI194" s="2">
        <f>[7]m!C195</f>
        <v>3099</v>
      </c>
      <c r="AJ194" s="2">
        <f>[7]m!D195</f>
        <v>2709</v>
      </c>
      <c r="AK194" s="2">
        <f>[2]Surveys_m!$AB76</f>
        <v>65.8</v>
      </c>
      <c r="AL194" s="4">
        <f t="shared" si="2"/>
        <v>3212.9110251450688</v>
      </c>
      <c r="AN194" s="2">
        <v>65</v>
      </c>
      <c r="AQ194" s="3">
        <f>[9]LaborForce!$B75*[9]LaborForce!$C75/100</f>
        <v>75162.460000000006</v>
      </c>
      <c r="AR194" s="3">
        <f>[9]Unemployment!$AB76</f>
        <v>223.4</v>
      </c>
      <c r="AS194">
        <f>[2]Indicators!BC76</f>
        <v>43.4</v>
      </c>
      <c r="AT194">
        <f>[2]Indicators!BD76</f>
        <v>35.118400000000001</v>
      </c>
      <c r="AU194">
        <f>[2]Indicators!BE76</f>
        <v>104.0184</v>
      </c>
    </row>
    <row r="195" spans="1:47" x14ac:dyDescent="0.25">
      <c r="A195" s="1">
        <v>24139</v>
      </c>
      <c r="B195" s="2">
        <f>[2]Indicators!G77</f>
        <v>471.11900000000003</v>
      </c>
      <c r="C195" s="2">
        <f>[2]Indicators!H77</f>
        <v>72.286000000000001</v>
      </c>
      <c r="D195" s="2">
        <f>[2]Indicators!I77</f>
        <v>174.34399999999999</v>
      </c>
      <c r="E195" s="2">
        <f>[2]Indicators!J77</f>
        <v>224.49</v>
      </c>
      <c r="M195" s="2">
        <f>[2]Indicators!AB77</f>
        <v>33.281600000000005</v>
      </c>
      <c r="N195" s="2">
        <f>[8]m!$C197</f>
        <v>4.6000000000000005</v>
      </c>
      <c r="O195">
        <f>[9]Unemployment!$B77</f>
        <v>3.8000000000000003</v>
      </c>
      <c r="Q195">
        <f>[5]m!$B197</f>
        <v>32.08</v>
      </c>
      <c r="R195">
        <f>[5]m!$D197</f>
        <v>33.1</v>
      </c>
      <c r="S195">
        <f>[5]m!$Q197</f>
        <v>33.200000000000003</v>
      </c>
      <c r="T195">
        <f>[6]m!B197</f>
        <v>179</v>
      </c>
      <c r="U195" s="2">
        <f>[9]Unemployment!$F77</f>
        <v>11.200000000000001</v>
      </c>
      <c r="V195" s="2"/>
      <c r="W195">
        <f>[9]Unemployment!$E77</f>
        <v>2820</v>
      </c>
      <c r="X195">
        <f>[9]Unemployment!N77</f>
        <v>1505</v>
      </c>
      <c r="Y195">
        <f>[9]Unemployment!O77</f>
        <v>758</v>
      </c>
      <c r="Z195">
        <f>[9]Unemployment!P77-[9]Unemployment!Q77</f>
        <v>324</v>
      </c>
      <c r="AA195">
        <f>[9]Unemployment!$Q77</f>
        <v>270</v>
      </c>
      <c r="AB195" s="2">
        <f>[8]m!$C197</f>
        <v>4.6000000000000005</v>
      </c>
      <c r="AC195" s="2">
        <f>[8]m!$F197</f>
        <v>4.83</v>
      </c>
      <c r="AD195">
        <f>[9]Employment!$B77</f>
        <v>62796</v>
      </c>
      <c r="AE195" s="2">
        <f>[2]Indicators!$AB77</f>
        <v>33.281600000000005</v>
      </c>
      <c r="AF195" s="2">
        <f>[8]m!$AS197</f>
        <v>97.800000000000011</v>
      </c>
      <c r="AG195" s="2">
        <f>[8]m!$H197</f>
        <v>4.78</v>
      </c>
      <c r="AH195" s="2">
        <f>[8]m!$I197</f>
        <v>5.12</v>
      </c>
      <c r="AI195" s="2">
        <f>[7]m!C196</f>
        <v>3006</v>
      </c>
      <c r="AJ195" s="2">
        <f>[7]m!D196</f>
        <v>2794</v>
      </c>
      <c r="AK195" s="2">
        <f>[2]Surveys_m!$AB77</f>
        <v>65.5</v>
      </c>
      <c r="AL195" s="4">
        <f t="shared" si="2"/>
        <v>3262.340425531916</v>
      </c>
      <c r="AN195" s="2">
        <v>66</v>
      </c>
      <c r="AQ195" s="3">
        <f>[9]LaborForce!$B76*[9]LaborForce!$C76/100</f>
        <v>74978.232000000004</v>
      </c>
      <c r="AR195" s="3">
        <f>[9]Unemployment!$AB77</f>
        <v>220.10000000000002</v>
      </c>
      <c r="AS195">
        <f>[2]Indicators!BC77</f>
        <v>43.4</v>
      </c>
      <c r="AT195">
        <f>[2]Indicators!BD77</f>
        <v>35.319700000000005</v>
      </c>
      <c r="AU195">
        <f>[2]Indicators!BE77</f>
        <v>104.07220000000001</v>
      </c>
    </row>
    <row r="196" spans="1:47" x14ac:dyDescent="0.25">
      <c r="A196" s="1">
        <v>24167</v>
      </c>
      <c r="B196" s="2">
        <f>[2]Indicators!G78</f>
        <v>475.947</v>
      </c>
      <c r="C196" s="2">
        <f>[2]Indicators!H78</f>
        <v>74.438000000000002</v>
      </c>
      <c r="D196" s="2">
        <f>[2]Indicators!I78</f>
        <v>175.40600000000001</v>
      </c>
      <c r="E196" s="2">
        <f>[2]Indicators!J78</f>
        <v>226.10300000000001</v>
      </c>
      <c r="M196" s="2">
        <f>[2]Indicators!AB78</f>
        <v>33.737099999999998</v>
      </c>
      <c r="N196" s="2">
        <f>[8]m!$C198</f>
        <v>4.6500000000000004</v>
      </c>
      <c r="O196">
        <f>[9]Unemployment!$B78</f>
        <v>3.8000000000000003</v>
      </c>
      <c r="Q196">
        <f>[5]m!$B198</f>
        <v>32.18</v>
      </c>
      <c r="R196">
        <f>[5]m!$D198</f>
        <v>33.1</v>
      </c>
      <c r="S196">
        <f>[5]m!$Q198</f>
        <v>33.200000000000003</v>
      </c>
      <c r="T196">
        <f>[6]m!B198</f>
        <v>1104</v>
      </c>
      <c r="U196" s="2">
        <f>[9]Unemployment!$F78</f>
        <v>11.100000000000001</v>
      </c>
      <c r="V196" s="2"/>
      <c r="W196">
        <f>[9]Unemployment!$E78</f>
        <v>2887</v>
      </c>
      <c r="X196">
        <f>[9]Unemployment!N78</f>
        <v>1523</v>
      </c>
      <c r="Y196">
        <f>[9]Unemployment!O78</f>
        <v>814</v>
      </c>
      <c r="Z196">
        <f>[9]Unemployment!P78-[9]Unemployment!Q78</f>
        <v>315</v>
      </c>
      <c r="AA196">
        <f>[9]Unemployment!$Q78</f>
        <v>268</v>
      </c>
      <c r="AB196" s="2">
        <f>[8]m!$C198</f>
        <v>4.6500000000000004</v>
      </c>
      <c r="AC196" s="2">
        <f>[8]m!$F198</f>
        <v>4.87</v>
      </c>
      <c r="AD196">
        <f>[9]Employment!$B78</f>
        <v>63191</v>
      </c>
      <c r="AE196" s="2">
        <f>[2]Indicators!$AB78</f>
        <v>33.737099999999998</v>
      </c>
      <c r="AF196" s="2">
        <f>[8]m!$AS198</f>
        <v>98.4</v>
      </c>
      <c r="AG196" s="2">
        <f>[8]m!$H198</f>
        <v>4.92</v>
      </c>
      <c r="AH196" s="2">
        <f>[8]m!$I198</f>
        <v>5.32</v>
      </c>
      <c r="AI196" s="2">
        <f>[7]m!C197</f>
        <v>3061</v>
      </c>
      <c r="AJ196" s="2">
        <f>[7]m!D197</f>
        <v>2841</v>
      </c>
      <c r="AK196" s="2">
        <f>[2]Surveys_m!$AB78</f>
        <v>65.7</v>
      </c>
      <c r="AL196" s="4">
        <f t="shared" si="2"/>
        <v>3460.0580270793048</v>
      </c>
      <c r="AN196" s="2">
        <v>70</v>
      </c>
      <c r="AQ196" s="3">
        <f>[9]LaborForce!$B77*[9]LaborForce!$C77/100</f>
        <v>75044.088000000003</v>
      </c>
      <c r="AR196" s="3">
        <f>[9]Unemployment!$AB78</f>
        <v>183.20000000000002</v>
      </c>
      <c r="AS196">
        <f>[2]Indicators!BC78</f>
        <v>43.800000000000004</v>
      </c>
      <c r="AT196">
        <f>[2]Indicators!BD78</f>
        <v>35.425699999999999</v>
      </c>
      <c r="AU196">
        <f>[2]Indicators!BE78</f>
        <v>103.8481</v>
      </c>
    </row>
    <row r="197" spans="1:47" x14ac:dyDescent="0.25">
      <c r="A197" s="1">
        <v>24198</v>
      </c>
      <c r="B197" s="2">
        <f>[2]Indicators!G79</f>
        <v>477.88</v>
      </c>
      <c r="C197" s="2">
        <f>[2]Indicators!H79</f>
        <v>72.469000000000008</v>
      </c>
      <c r="D197" s="2">
        <f>[2]Indicators!I79</f>
        <v>177.68299999999999</v>
      </c>
      <c r="E197" s="2">
        <f>[2]Indicators!J79</f>
        <v>227.72800000000001</v>
      </c>
      <c r="M197" s="2">
        <f>[2]Indicators!AB79</f>
        <v>33.790700000000001</v>
      </c>
      <c r="N197" s="2">
        <f>[8]m!$C199</f>
        <v>4.67</v>
      </c>
      <c r="O197">
        <f>[9]Unemployment!$B79</f>
        <v>3.8000000000000003</v>
      </c>
      <c r="Q197">
        <f>[5]m!$B199</f>
        <v>32.28</v>
      </c>
      <c r="R197">
        <f>[5]m!$D199</f>
        <v>33.299999999999997</v>
      </c>
      <c r="S197">
        <f>[5]m!$Q199</f>
        <v>33.200000000000003</v>
      </c>
      <c r="T197">
        <f>[6]m!B199</f>
        <v>1567</v>
      </c>
      <c r="U197" s="2">
        <f>[9]Unemployment!$F79</f>
        <v>10.8</v>
      </c>
      <c r="V197" s="2"/>
      <c r="W197">
        <f>[9]Unemployment!$E79</f>
        <v>2828</v>
      </c>
      <c r="X197">
        <f>[9]Unemployment!N79</f>
        <v>1563</v>
      </c>
      <c r="Y197">
        <f>[9]Unemployment!O79</f>
        <v>653</v>
      </c>
      <c r="Z197">
        <f>[9]Unemployment!P79-[9]Unemployment!Q79</f>
        <v>324</v>
      </c>
      <c r="AA197">
        <f>[9]Unemployment!$Q79</f>
        <v>251</v>
      </c>
      <c r="AB197" s="2">
        <f>[8]m!$C199</f>
        <v>4.67</v>
      </c>
      <c r="AC197" s="2">
        <f>[8]m!$F199</f>
        <v>4.75</v>
      </c>
      <c r="AD197">
        <f>[9]Employment!$B79</f>
        <v>63436</v>
      </c>
      <c r="AE197" s="2">
        <f>[2]Indicators!$AB79</f>
        <v>33.790700000000001</v>
      </c>
      <c r="AF197" s="2">
        <f>[8]m!$AS199</f>
        <v>98.800000000000011</v>
      </c>
      <c r="AG197" s="2">
        <f>[8]m!$H199</f>
        <v>4.96</v>
      </c>
      <c r="AH197" s="2">
        <f>[8]m!$I199</f>
        <v>5.41</v>
      </c>
      <c r="AI197" s="2">
        <f>[7]m!C198</f>
        <v>3238</v>
      </c>
      <c r="AJ197" s="2">
        <f>[7]m!D198</f>
        <v>2878</v>
      </c>
      <c r="AK197" s="2">
        <f>[2]Surveys_m!$AB79</f>
        <v>64.2</v>
      </c>
      <c r="AL197" s="4">
        <f t="shared" si="2"/>
        <v>3311.7698259187632</v>
      </c>
      <c r="AN197" s="2">
        <v>67</v>
      </c>
      <c r="AQ197" s="3">
        <f>[9]LaborForce!$B78*[9]LaborForce!$C78/100</f>
        <v>75368.960000000006</v>
      </c>
      <c r="AR197" s="3">
        <f>[9]Unemployment!$AB79</f>
        <v>179.9</v>
      </c>
      <c r="AS197">
        <f>[2]Indicators!BC79</f>
        <v>43.7</v>
      </c>
      <c r="AT197">
        <f>[2]Indicators!BD79</f>
        <v>35.431600000000003</v>
      </c>
      <c r="AU197">
        <f>[2]Indicators!BE79</f>
        <v>103.33850000000001</v>
      </c>
    </row>
    <row r="198" spans="1:47" x14ac:dyDescent="0.25">
      <c r="A198" s="1">
        <v>24228</v>
      </c>
      <c r="B198" s="2">
        <f>[2]Indicators!G80</f>
        <v>474.04399999999998</v>
      </c>
      <c r="C198" s="2">
        <f>[2]Indicators!H80</f>
        <v>68.688000000000002</v>
      </c>
      <c r="D198" s="2">
        <f>[2]Indicators!I80</f>
        <v>176.15700000000001</v>
      </c>
      <c r="E198" s="2">
        <f>[2]Indicators!J80</f>
        <v>229.19900000000001</v>
      </c>
      <c r="M198" s="2">
        <f>[2]Indicators!AB80</f>
        <v>34.112300000000005</v>
      </c>
      <c r="N198" s="2">
        <f>[8]m!$C200</f>
        <v>4.9000000000000004</v>
      </c>
      <c r="O198">
        <f>[9]Unemployment!$B80</f>
        <v>3.9000000000000004</v>
      </c>
      <c r="Q198">
        <f>[5]m!$B200</f>
        <v>32.35</v>
      </c>
      <c r="R198">
        <f>[5]m!$D200</f>
        <v>33.4</v>
      </c>
      <c r="S198">
        <f>[5]m!$Q200</f>
        <v>33.200000000000003</v>
      </c>
      <c r="T198">
        <f>[6]m!B200</f>
        <v>-603</v>
      </c>
      <c r="U198" s="2">
        <f>[9]Unemployment!$F80</f>
        <v>10.200000000000001</v>
      </c>
      <c r="V198" s="2"/>
      <c r="W198">
        <f>[9]Unemployment!$E80</f>
        <v>2950</v>
      </c>
      <c r="X198">
        <f>[9]Unemployment!N80</f>
        <v>1631</v>
      </c>
      <c r="Y198">
        <f>[9]Unemployment!O80</f>
        <v>821</v>
      </c>
      <c r="Z198">
        <f>[9]Unemployment!P80-[9]Unemployment!Q80</f>
        <v>249</v>
      </c>
      <c r="AA198">
        <f>[9]Unemployment!$Q80</f>
        <v>285</v>
      </c>
      <c r="AB198" s="2">
        <f>[8]m!$C200</f>
        <v>4.9000000000000004</v>
      </c>
      <c r="AC198" s="2">
        <f>[8]m!$F200</f>
        <v>4.78</v>
      </c>
      <c r="AD198">
        <f>[9]Employment!$B80</f>
        <v>63711</v>
      </c>
      <c r="AE198" s="2">
        <f>[2]Indicators!$AB80</f>
        <v>34.112300000000005</v>
      </c>
      <c r="AF198" s="2">
        <f>[8]m!$AS200</f>
        <v>99.300000000000011</v>
      </c>
      <c r="AG198" s="2">
        <f>[8]m!$H200</f>
        <v>4.9800000000000004</v>
      </c>
      <c r="AH198" s="2">
        <f>[8]m!$I200</f>
        <v>5.48</v>
      </c>
      <c r="AI198" s="2">
        <f>[7]m!C199</f>
        <v>3218</v>
      </c>
      <c r="AJ198" s="2">
        <f>[7]m!D199</f>
        <v>2957</v>
      </c>
      <c r="AK198" s="2">
        <f>[2]Surveys_m!$AB80</f>
        <v>57.7</v>
      </c>
      <c r="AL198" s="4">
        <f t="shared" si="2"/>
        <v>3361.1992263056104</v>
      </c>
      <c r="AN198" s="2">
        <v>68</v>
      </c>
      <c r="AQ198" s="3">
        <f>[9]LaborForce!$B79*[9]LaborForce!$C79/100</f>
        <v>75448.61</v>
      </c>
      <c r="AR198" s="3">
        <f>[9]Unemployment!$AB80</f>
        <v>193</v>
      </c>
      <c r="AS198">
        <f>[2]Indicators!BC80</f>
        <v>43.2</v>
      </c>
      <c r="AT198">
        <f>[2]Indicators!BD80</f>
        <v>35.351399999999998</v>
      </c>
      <c r="AU198">
        <f>[2]Indicators!BE80</f>
        <v>102.5887</v>
      </c>
    </row>
    <row r="199" spans="1:47" x14ac:dyDescent="0.25">
      <c r="A199" s="1">
        <v>24259</v>
      </c>
      <c r="B199" s="2">
        <f>[2]Indicators!G81</f>
        <v>476.49099999999999</v>
      </c>
      <c r="C199" s="2">
        <f>[2]Indicators!H81</f>
        <v>68.004999999999995</v>
      </c>
      <c r="D199" s="2">
        <f>[2]Indicators!I81</f>
        <v>177.874</v>
      </c>
      <c r="E199" s="2">
        <f>[2]Indicators!J81</f>
        <v>230.61199999999999</v>
      </c>
      <c r="M199" s="2">
        <f>[2]Indicators!AB81</f>
        <v>34.273000000000003</v>
      </c>
      <c r="N199" s="2">
        <f>[8]m!$C201</f>
        <v>5.17</v>
      </c>
      <c r="O199">
        <f>[9]Unemployment!$B81</f>
        <v>3.8000000000000003</v>
      </c>
      <c r="Q199">
        <f>[5]m!$B201</f>
        <v>32.380000000000003</v>
      </c>
      <c r="R199">
        <f>[5]m!$D201</f>
        <v>33.5</v>
      </c>
      <c r="S199">
        <f>[5]m!$Q201</f>
        <v>33.300000000000004</v>
      </c>
      <c r="T199">
        <f>[6]m!B201</f>
        <v>7712</v>
      </c>
      <c r="U199" s="2">
        <f>[9]Unemployment!$F81</f>
        <v>9.7000000000000011</v>
      </c>
      <c r="V199" s="2"/>
      <c r="W199">
        <f>[9]Unemployment!$E81</f>
        <v>2872</v>
      </c>
      <c r="X199">
        <f>[9]Unemployment!N81</f>
        <v>1647</v>
      </c>
      <c r="Y199">
        <f>[9]Unemployment!O81</f>
        <v>779</v>
      </c>
      <c r="Z199">
        <f>[9]Unemployment!P81-[9]Unemployment!Q81</f>
        <v>245</v>
      </c>
      <c r="AA199">
        <f>[9]Unemployment!$Q81</f>
        <v>230</v>
      </c>
      <c r="AB199" s="2">
        <f>[8]m!$C201</f>
        <v>5.17</v>
      </c>
      <c r="AC199" s="2">
        <f>[8]m!$F201</f>
        <v>4.8100000000000005</v>
      </c>
      <c r="AD199">
        <f>[9]Employment!$B81</f>
        <v>64110</v>
      </c>
      <c r="AE199" s="2">
        <f>[2]Indicators!$AB81</f>
        <v>34.273000000000003</v>
      </c>
      <c r="AF199" s="2">
        <f>[8]m!$AS201</f>
        <v>99.800000000000011</v>
      </c>
      <c r="AG199" s="2">
        <f>[8]m!$H201</f>
        <v>5.07</v>
      </c>
      <c r="AH199" s="2">
        <f>[8]m!$I201</f>
        <v>5.58</v>
      </c>
      <c r="AI199" s="2">
        <f>[7]m!C200</f>
        <v>3318</v>
      </c>
      <c r="AJ199" s="2">
        <f>[7]m!D200</f>
        <v>2927</v>
      </c>
      <c r="AK199" s="2">
        <f>[2]Surveys_m!$AB81</f>
        <v>59</v>
      </c>
      <c r="AL199" s="4">
        <f t="shared" si="2"/>
        <v>3410.6286266924576</v>
      </c>
      <c r="AN199" s="2">
        <v>69</v>
      </c>
      <c r="AQ199" s="3">
        <f>[9]LaborForce!$B80*[9]LaborForce!$C80/100</f>
        <v>75637.952999999994</v>
      </c>
      <c r="AR199" s="3">
        <f>[9]Unemployment!$AB81</f>
        <v>195.60000000000002</v>
      </c>
      <c r="AS199">
        <f>[2]Indicators!BC81</f>
        <v>42.9</v>
      </c>
      <c r="AT199">
        <f>[2]Indicators!BD81</f>
        <v>35.228000000000002</v>
      </c>
      <c r="AU199">
        <f>[2]Indicators!BE81</f>
        <v>101.72630000000001</v>
      </c>
    </row>
    <row r="200" spans="1:47" x14ac:dyDescent="0.25">
      <c r="A200" s="1">
        <v>24289</v>
      </c>
      <c r="B200" s="2">
        <f>[2]Indicators!G82</f>
        <v>481.548</v>
      </c>
      <c r="C200" s="2">
        <f>[2]Indicators!H82</f>
        <v>69.566000000000003</v>
      </c>
      <c r="D200" s="2">
        <f>[2]Indicators!I82</f>
        <v>179.70400000000001</v>
      </c>
      <c r="E200" s="2">
        <f>[2]Indicators!J82</f>
        <v>232.27700000000002</v>
      </c>
      <c r="M200" s="2">
        <f>[2]Indicators!AB82</f>
        <v>34.460599999999999</v>
      </c>
      <c r="N200" s="2">
        <f>[8]m!$C202</f>
        <v>5.3</v>
      </c>
      <c r="O200">
        <f>[9]Unemployment!$B82</f>
        <v>3.8000000000000003</v>
      </c>
      <c r="Q200">
        <f>[5]m!$B202</f>
        <v>32.450000000000003</v>
      </c>
      <c r="R200">
        <f>[5]m!$D202</f>
        <v>33.6</v>
      </c>
      <c r="S200">
        <f>[5]m!$Q202</f>
        <v>33.5</v>
      </c>
      <c r="T200">
        <f>[6]m!B202</f>
        <v>-4461</v>
      </c>
      <c r="U200" s="2">
        <f>[9]Unemployment!$F82</f>
        <v>9.7000000000000011</v>
      </c>
      <c r="V200" s="2"/>
      <c r="W200">
        <f>[9]Unemployment!$E82</f>
        <v>2876</v>
      </c>
      <c r="X200">
        <f>[9]Unemployment!N82</f>
        <v>1640</v>
      </c>
      <c r="Y200">
        <f>[9]Unemployment!O82</f>
        <v>809</v>
      </c>
      <c r="Z200">
        <f>[9]Unemployment!P82-[9]Unemployment!Q82</f>
        <v>218</v>
      </c>
      <c r="AA200">
        <f>[9]Unemployment!$Q82</f>
        <v>209</v>
      </c>
      <c r="AB200" s="2">
        <f>[8]m!$C202</f>
        <v>5.3</v>
      </c>
      <c r="AC200" s="2">
        <f>[8]m!$F202</f>
        <v>5.0200000000000005</v>
      </c>
      <c r="AD200">
        <f>[9]Employment!$B82</f>
        <v>64301</v>
      </c>
      <c r="AE200" s="2">
        <f>[2]Indicators!$AB82</f>
        <v>34.460599999999999</v>
      </c>
      <c r="AF200" s="2">
        <f>[8]m!$AS202</f>
        <v>100.10000000000001</v>
      </c>
      <c r="AG200" s="2">
        <f>[8]m!$H202</f>
        <v>5.16</v>
      </c>
      <c r="AH200" s="2">
        <f>[8]m!$I202</f>
        <v>5.68</v>
      </c>
      <c r="AI200" s="2">
        <f>[7]m!C201</f>
        <v>3386</v>
      </c>
      <c r="AJ200" s="2">
        <f>[7]m!D201</f>
        <v>2969</v>
      </c>
      <c r="AK200" s="2">
        <f>[2]Surveys_m!$AB82</f>
        <v>60.300000000000004</v>
      </c>
      <c r="AL200" s="4">
        <f t="shared" si="2"/>
        <v>3410.6286266924576</v>
      </c>
      <c r="AN200" s="2">
        <v>69</v>
      </c>
      <c r="AQ200" s="3">
        <f>[9]LaborForce!$B81*[9]LaborForce!$C81/100</f>
        <v>75708.282000000007</v>
      </c>
      <c r="AR200" s="3">
        <f>[9]Unemployment!$AB82</f>
        <v>200.3</v>
      </c>
      <c r="AS200">
        <f>[2]Indicators!BC82</f>
        <v>42.7</v>
      </c>
      <c r="AT200">
        <f>[2]Indicators!BD82</f>
        <v>35.086500000000001</v>
      </c>
      <c r="AU200">
        <f>[2]Indicators!BE82</f>
        <v>100.82520000000001</v>
      </c>
    </row>
    <row r="201" spans="1:47" x14ac:dyDescent="0.25">
      <c r="A201" s="1">
        <v>24320</v>
      </c>
      <c r="B201" s="2">
        <f>[2]Indicators!G83</f>
        <v>484.15100000000001</v>
      </c>
      <c r="C201" s="2">
        <f>[2]Indicators!H83</f>
        <v>72.268000000000001</v>
      </c>
      <c r="D201" s="2">
        <f>[2]Indicators!I83</f>
        <v>179.09200000000001</v>
      </c>
      <c r="E201" s="2">
        <f>[2]Indicators!J83</f>
        <v>232.792</v>
      </c>
      <c r="M201" s="2">
        <f>[2]Indicators!AB83</f>
        <v>34.487400000000001</v>
      </c>
      <c r="N201" s="2">
        <f>[8]m!$C203</f>
        <v>5.53</v>
      </c>
      <c r="O201">
        <f>[9]Unemployment!$B83</f>
        <v>3.8000000000000003</v>
      </c>
      <c r="Q201">
        <f>[5]m!$B203</f>
        <v>32.65</v>
      </c>
      <c r="R201">
        <f>[5]m!$D203</f>
        <v>33.700000000000003</v>
      </c>
      <c r="S201">
        <f>[5]m!$Q203</f>
        <v>33.6</v>
      </c>
      <c r="T201">
        <f>[6]m!B203</f>
        <v>-3845</v>
      </c>
      <c r="U201" s="2">
        <f>[9]Unemployment!$F83</f>
        <v>9.8000000000000007</v>
      </c>
      <c r="V201" s="2"/>
      <c r="W201">
        <f>[9]Unemployment!$E83</f>
        <v>2900</v>
      </c>
      <c r="X201">
        <f>[9]Unemployment!N83</f>
        <v>1622</v>
      </c>
      <c r="Y201">
        <f>[9]Unemployment!O83</f>
        <v>827</v>
      </c>
      <c r="Z201">
        <f>[9]Unemployment!P83-[9]Unemployment!Q83</f>
        <v>259</v>
      </c>
      <c r="AA201">
        <f>[9]Unemployment!$Q83</f>
        <v>205</v>
      </c>
      <c r="AB201" s="2">
        <f>[8]m!$C203</f>
        <v>5.53</v>
      </c>
      <c r="AC201" s="2">
        <f>[8]m!$F203</f>
        <v>5.22</v>
      </c>
      <c r="AD201">
        <f>[9]Employment!$B83</f>
        <v>64507</v>
      </c>
      <c r="AE201" s="2">
        <f>[2]Indicators!$AB83</f>
        <v>34.487400000000001</v>
      </c>
      <c r="AF201" s="2">
        <f>[8]m!$AS203</f>
        <v>100.60000000000001</v>
      </c>
      <c r="AG201" s="2">
        <f>[8]m!$H203</f>
        <v>5.3100000000000005</v>
      </c>
      <c r="AH201" s="2">
        <f>[8]m!$I203</f>
        <v>5.83</v>
      </c>
      <c r="AI201" s="2">
        <f>[7]m!C202</f>
        <v>3236</v>
      </c>
      <c r="AJ201" s="2">
        <f>[7]m!D202</f>
        <v>3114</v>
      </c>
      <c r="AK201" s="2">
        <f>[2]Surveys_m!$AB83</f>
        <v>58.5</v>
      </c>
      <c r="AL201" s="4">
        <f t="shared" si="2"/>
        <v>3361.1992263056104</v>
      </c>
      <c r="AN201" s="2">
        <v>68</v>
      </c>
      <c r="AQ201" s="3">
        <f>[9]LaborForce!$B82*[9]LaborForce!$C82/100</f>
        <v>76046.320000000007</v>
      </c>
      <c r="AR201" s="3">
        <f>[9]Unemployment!$AB83</f>
        <v>196</v>
      </c>
      <c r="AS201">
        <f>[2]Indicators!BC83</f>
        <v>42.5</v>
      </c>
      <c r="AT201">
        <f>[2]Indicators!BD83</f>
        <v>34.947000000000003</v>
      </c>
      <c r="AU201">
        <f>[2]Indicators!BE83</f>
        <v>99.94380000000001</v>
      </c>
    </row>
    <row r="202" spans="1:47" x14ac:dyDescent="0.25">
      <c r="A202" s="1">
        <v>24351</v>
      </c>
      <c r="B202" s="2">
        <f>[2]Indicators!G84</f>
        <v>490.17200000000003</v>
      </c>
      <c r="C202" s="2">
        <f>[2]Indicators!H84</f>
        <v>75.135999999999996</v>
      </c>
      <c r="D202" s="2">
        <f>[2]Indicators!I84</f>
        <v>180.51400000000001</v>
      </c>
      <c r="E202" s="2">
        <f>[2]Indicators!J84</f>
        <v>234.52199999999999</v>
      </c>
      <c r="M202" s="2">
        <f>[2]Indicators!AB84</f>
        <v>34.809000000000005</v>
      </c>
      <c r="N202" s="2">
        <f>[8]m!$C204</f>
        <v>5.4</v>
      </c>
      <c r="O202">
        <f>[9]Unemployment!$B84</f>
        <v>3.7</v>
      </c>
      <c r="Q202">
        <f>[5]m!$B204</f>
        <v>32.75</v>
      </c>
      <c r="R202">
        <f>[5]m!$D204</f>
        <v>33.799999999999997</v>
      </c>
      <c r="S202">
        <f>[5]m!$Q204</f>
        <v>33.6</v>
      </c>
      <c r="T202">
        <f>[6]m!B204</f>
        <v>592</v>
      </c>
      <c r="U202" s="2">
        <f>[9]Unemployment!$F84</f>
        <v>10.100000000000001</v>
      </c>
      <c r="V202" s="2"/>
      <c r="W202">
        <f>[9]Unemployment!$E84</f>
        <v>2798</v>
      </c>
      <c r="X202">
        <f>[9]Unemployment!N84</f>
        <v>1555</v>
      </c>
      <c r="Y202">
        <f>[9]Unemployment!O84</f>
        <v>793</v>
      </c>
      <c r="Z202">
        <f>[9]Unemployment!P84-[9]Unemployment!Q84</f>
        <v>286</v>
      </c>
      <c r="AA202">
        <f>[9]Unemployment!$Q84</f>
        <v>202</v>
      </c>
      <c r="AB202" s="2">
        <f>[8]m!$C204</f>
        <v>5.4</v>
      </c>
      <c r="AC202" s="2">
        <f>[8]m!$F204</f>
        <v>5.18</v>
      </c>
      <c r="AD202">
        <f>[9]Employment!$B84</f>
        <v>64645</v>
      </c>
      <c r="AE202" s="2">
        <f>[2]Indicators!$AB84</f>
        <v>34.809000000000005</v>
      </c>
      <c r="AF202" s="2">
        <f>[8]m!$AS204</f>
        <v>100.7</v>
      </c>
      <c r="AG202" s="2">
        <f>[8]m!$H204</f>
        <v>5.49</v>
      </c>
      <c r="AH202" s="2">
        <f>[8]m!$I204</f>
        <v>6.09</v>
      </c>
      <c r="AI202" s="2">
        <f>[7]m!C203</f>
        <v>3227</v>
      </c>
      <c r="AJ202" s="2">
        <f>[7]m!D203</f>
        <v>3035</v>
      </c>
      <c r="AK202" s="2">
        <f>[2]Surveys_m!$AB84</f>
        <v>58.7</v>
      </c>
      <c r="AL202" s="4">
        <f t="shared" si="2"/>
        <v>3311.7698259187632</v>
      </c>
      <c r="AN202" s="2">
        <v>67</v>
      </c>
      <c r="AQ202" s="3">
        <f>[9]LaborForce!$B83*[9]LaborForce!$C83/100</f>
        <v>76116.887000000002</v>
      </c>
      <c r="AR202" s="3">
        <f>[9]Unemployment!$AB84</f>
        <v>198.9</v>
      </c>
      <c r="AS202">
        <f>[2]Indicators!BC84</f>
        <v>42.300000000000004</v>
      </c>
      <c r="AT202">
        <f>[2]Indicators!BD84</f>
        <v>34.819700000000005</v>
      </c>
      <c r="AU202">
        <f>[2]Indicators!BE84</f>
        <v>99.110700000000008</v>
      </c>
    </row>
    <row r="203" spans="1:47" x14ac:dyDescent="0.25">
      <c r="A203" s="1">
        <v>24381</v>
      </c>
      <c r="B203" s="2">
        <f>[2]Indicators!G85</f>
        <v>489.30500000000001</v>
      </c>
      <c r="C203" s="2">
        <f>[2]Indicators!H85</f>
        <v>73.376999999999995</v>
      </c>
      <c r="D203" s="2">
        <f>[2]Indicators!I85</f>
        <v>179.977</v>
      </c>
      <c r="E203" s="2">
        <f>[2]Indicators!J85</f>
        <v>235.952</v>
      </c>
      <c r="M203" s="2">
        <f>[2]Indicators!AB85</f>
        <v>35.0501</v>
      </c>
      <c r="N203" s="2">
        <f>[8]m!$C205</f>
        <v>5.53</v>
      </c>
      <c r="O203">
        <f>[9]Unemployment!$B85</f>
        <v>3.7</v>
      </c>
      <c r="Q203">
        <f>[5]m!$B205</f>
        <v>32.85</v>
      </c>
      <c r="R203">
        <f>[5]m!$D205</f>
        <v>34</v>
      </c>
      <c r="S203">
        <f>[5]m!$Q205</f>
        <v>33.4</v>
      </c>
      <c r="T203">
        <f>[6]m!B205</f>
        <v>-5166</v>
      </c>
      <c r="U203" s="2">
        <f>[9]Unemployment!$F85</f>
        <v>10.3</v>
      </c>
      <c r="V203" s="2"/>
      <c r="W203">
        <f>[9]Unemployment!$E85</f>
        <v>2798</v>
      </c>
      <c r="X203">
        <f>[9]Unemployment!N85</f>
        <v>1541</v>
      </c>
      <c r="Y203">
        <f>[9]Unemployment!O85</f>
        <v>780</v>
      </c>
      <c r="Z203">
        <f>[9]Unemployment!P85-[9]Unemployment!Q85</f>
        <v>273</v>
      </c>
      <c r="AA203">
        <f>[9]Unemployment!$Q85</f>
        <v>221</v>
      </c>
      <c r="AB203" s="2">
        <f>[8]m!$C205</f>
        <v>5.53</v>
      </c>
      <c r="AC203" s="2">
        <f>[8]m!$F205</f>
        <v>5.01</v>
      </c>
      <c r="AD203">
        <f>[9]Employment!$B85</f>
        <v>64854</v>
      </c>
      <c r="AE203" s="2">
        <f>[2]Indicators!$AB85</f>
        <v>35.0501</v>
      </c>
      <c r="AF203" s="2">
        <f>[8]m!$AS205</f>
        <v>101</v>
      </c>
      <c r="AG203" s="2">
        <f>[8]m!$H205</f>
        <v>5.41</v>
      </c>
      <c r="AH203" s="2">
        <f>[8]m!$I205</f>
        <v>6.1000000000000005</v>
      </c>
      <c r="AI203" s="2">
        <f>[7]m!C204</f>
        <v>3269</v>
      </c>
      <c r="AJ203" s="2">
        <f>[7]m!D204</f>
        <v>3186</v>
      </c>
      <c r="AK203" s="2">
        <f>[2]Surveys_m!$AB85</f>
        <v>57.2</v>
      </c>
      <c r="AL203" s="4">
        <f t="shared" si="2"/>
        <v>3311.7698259187632</v>
      </c>
      <c r="AN203" s="2">
        <v>67</v>
      </c>
      <c r="AQ203" s="3">
        <f>[9]LaborForce!$B84*[9]LaborForce!$C84/100</f>
        <v>76196.941999999995</v>
      </c>
      <c r="AR203" s="3">
        <f>[9]Unemployment!$AB85</f>
        <v>204</v>
      </c>
      <c r="AS203">
        <f>[2]Indicators!BC85</f>
        <v>42.1</v>
      </c>
      <c r="AT203">
        <f>[2]Indicators!BD85</f>
        <v>34.713799999999999</v>
      </c>
      <c r="AU203">
        <f>[2]Indicators!BE85</f>
        <v>98.351700000000008</v>
      </c>
    </row>
    <row r="204" spans="1:47" x14ac:dyDescent="0.25">
      <c r="A204" s="1">
        <v>24412</v>
      </c>
      <c r="B204" s="2">
        <f>[2]Indicators!G86</f>
        <v>491.08500000000004</v>
      </c>
      <c r="C204" s="2">
        <f>[2]Indicators!H86</f>
        <v>72.259</v>
      </c>
      <c r="D204" s="2">
        <f>[2]Indicators!I86</f>
        <v>180.69900000000001</v>
      </c>
      <c r="E204" s="2">
        <f>[2]Indicators!J86</f>
        <v>238.12700000000001</v>
      </c>
      <c r="M204" s="2">
        <f>[2]Indicators!AB86</f>
        <v>34.809000000000005</v>
      </c>
      <c r="N204" s="2">
        <f>[8]m!$C206</f>
        <v>5.76</v>
      </c>
      <c r="O204">
        <f>[9]Unemployment!$B86</f>
        <v>3.6</v>
      </c>
      <c r="Q204">
        <f>[5]m!$B206</f>
        <v>32.880000000000003</v>
      </c>
      <c r="R204">
        <f>[5]m!$D206</f>
        <v>34</v>
      </c>
      <c r="S204">
        <f>[5]m!$Q206</f>
        <v>33.300000000000004</v>
      </c>
      <c r="T204">
        <f>[6]m!B206</f>
        <v>-2992</v>
      </c>
      <c r="U204" s="2">
        <f>[9]Unemployment!$F86</f>
        <v>9.7000000000000011</v>
      </c>
      <c r="V204" s="2"/>
      <c r="W204">
        <f>[9]Unemployment!$E86</f>
        <v>2770</v>
      </c>
      <c r="X204">
        <f>[9]Unemployment!N86</f>
        <v>1499</v>
      </c>
      <c r="Y204">
        <f>[9]Unemployment!O86</f>
        <v>776</v>
      </c>
      <c r="Z204">
        <f>[9]Unemployment!P86-[9]Unemployment!Q86</f>
        <v>264</v>
      </c>
      <c r="AA204">
        <f>[9]Unemployment!$Q86</f>
        <v>200</v>
      </c>
      <c r="AB204" s="2">
        <f>[8]m!$C206</f>
        <v>5.76</v>
      </c>
      <c r="AC204" s="2">
        <f>[8]m!$F206</f>
        <v>5.16</v>
      </c>
      <c r="AD204">
        <f>[9]Employment!$B86</f>
        <v>65019</v>
      </c>
      <c r="AE204" s="2">
        <f>[2]Indicators!$AB86</f>
        <v>34.809000000000005</v>
      </c>
      <c r="AF204" s="2">
        <f>[8]m!$AS206</f>
        <v>101.4</v>
      </c>
      <c r="AG204" s="2">
        <f>[8]m!$H206</f>
        <v>5.3500000000000005</v>
      </c>
      <c r="AH204" s="2">
        <f>[8]m!$I206</f>
        <v>6.13</v>
      </c>
      <c r="AI204" s="2">
        <f>[7]m!C205</f>
        <v>3445</v>
      </c>
      <c r="AJ204" s="2">
        <f>[7]m!D205</f>
        <v>3209</v>
      </c>
      <c r="AK204" s="2">
        <f>[2]Surveys_m!$AB86</f>
        <v>53.7</v>
      </c>
      <c r="AL204" s="4">
        <f t="shared" si="2"/>
        <v>3311.7698259187632</v>
      </c>
      <c r="AN204" s="2">
        <v>67</v>
      </c>
      <c r="AQ204" s="3">
        <f>[9]LaborForce!$B85*[9]LaborForce!$C85/100</f>
        <v>76661.691999999995</v>
      </c>
      <c r="AR204" s="3">
        <f>[9]Unemployment!$AB86</f>
        <v>209.70000000000002</v>
      </c>
      <c r="AS204">
        <f>[2]Indicators!BC86</f>
        <v>41.9</v>
      </c>
      <c r="AT204">
        <f>[2]Indicators!BD86</f>
        <v>34.652999999999999</v>
      </c>
      <c r="AU204">
        <f>[2]Indicators!BE86</f>
        <v>97.732800000000012</v>
      </c>
    </row>
    <row r="205" spans="1:47" x14ac:dyDescent="0.25">
      <c r="A205" s="1">
        <v>24442</v>
      </c>
      <c r="B205" s="2">
        <f>[2]Indicators!G87</f>
        <v>492.899</v>
      </c>
      <c r="C205" s="2">
        <f>[2]Indicators!H87</f>
        <v>72.241</v>
      </c>
      <c r="D205" s="2">
        <f>[2]Indicators!I87</f>
        <v>180.50700000000001</v>
      </c>
      <c r="E205" s="2">
        <f>[2]Indicators!J87</f>
        <v>240.15200000000002</v>
      </c>
      <c r="M205" s="2">
        <f>[2]Indicators!AB87</f>
        <v>34.889299999999999</v>
      </c>
      <c r="N205" s="2">
        <f>[8]m!$C207</f>
        <v>5.4</v>
      </c>
      <c r="O205">
        <f>[9]Unemployment!$B87</f>
        <v>3.8000000000000003</v>
      </c>
      <c r="Q205">
        <f>[5]m!$B207</f>
        <v>32.92</v>
      </c>
      <c r="R205">
        <f>[5]m!$D207</f>
        <v>34.1</v>
      </c>
      <c r="S205">
        <f>[5]m!$Q207</f>
        <v>33.300000000000004</v>
      </c>
      <c r="T205">
        <f>[6]m!B207</f>
        <v>1094</v>
      </c>
      <c r="U205" s="2">
        <f>[9]Unemployment!$F87</f>
        <v>9.5</v>
      </c>
      <c r="V205" s="2"/>
      <c r="W205">
        <f>[9]Unemployment!$E87</f>
        <v>2912</v>
      </c>
      <c r="X205">
        <f>[9]Unemployment!N87</f>
        <v>1582</v>
      </c>
      <c r="Y205">
        <f>[9]Unemployment!O87</f>
        <v>745</v>
      </c>
      <c r="Z205">
        <f>[9]Unemployment!P87-[9]Unemployment!Q87</f>
        <v>278</v>
      </c>
      <c r="AA205">
        <f>[9]Unemployment!$Q87</f>
        <v>210</v>
      </c>
      <c r="AB205" s="2">
        <f>[8]m!$C207</f>
        <v>5.4</v>
      </c>
      <c r="AC205" s="2">
        <f>[8]m!$F207</f>
        <v>4.84</v>
      </c>
      <c r="AD205">
        <f>[9]Employment!$B87</f>
        <v>65199</v>
      </c>
      <c r="AE205" s="2">
        <f>[2]Indicators!$AB87</f>
        <v>34.889299999999999</v>
      </c>
      <c r="AF205" s="2">
        <f>[8]m!$AS207</f>
        <v>101.80000000000001</v>
      </c>
      <c r="AG205" s="2">
        <f>[8]m!$H207</f>
        <v>5.39</v>
      </c>
      <c r="AH205" s="2">
        <f>[8]m!$I207</f>
        <v>6.18</v>
      </c>
      <c r="AI205" s="2">
        <f>[7]m!C206</f>
        <v>3320</v>
      </c>
      <c r="AJ205" s="2">
        <f>[7]m!D206</f>
        <v>3101</v>
      </c>
      <c r="AK205" s="2">
        <f>[2]Surveys_m!$AB87</f>
        <v>52.400000000000006</v>
      </c>
      <c r="AL205" s="4">
        <f t="shared" si="2"/>
        <v>3262.340425531916</v>
      </c>
      <c r="AN205" s="2">
        <v>66</v>
      </c>
      <c r="AQ205" s="3">
        <f>[9]LaborForce!$B86*[9]LaborForce!$C86/100</f>
        <v>76594.350000000006</v>
      </c>
      <c r="AR205" s="3">
        <f>[9]Unemployment!$AB87</f>
        <v>220.9</v>
      </c>
      <c r="AS205">
        <f>[2]Indicators!BC87</f>
        <v>41.800000000000004</v>
      </c>
      <c r="AT205">
        <f>[2]Indicators!BD87</f>
        <v>34.646100000000004</v>
      </c>
      <c r="AU205">
        <f>[2]Indicators!BE87</f>
        <v>97.276700000000005</v>
      </c>
    </row>
    <row r="206" spans="1:47" x14ac:dyDescent="0.25">
      <c r="A206" s="1">
        <v>24473</v>
      </c>
      <c r="B206" s="2">
        <f>[2]Indicators!G88</f>
        <v>495.28700000000003</v>
      </c>
      <c r="C206" s="2">
        <f>[2]Indicators!H88</f>
        <v>72.459000000000003</v>
      </c>
      <c r="D206" s="2">
        <f>[2]Indicators!I88</f>
        <v>181.48500000000001</v>
      </c>
      <c r="E206" s="2">
        <f>[2]Indicators!J88</f>
        <v>241.34200000000001</v>
      </c>
      <c r="M206" s="2">
        <f>[2]Indicators!AB88</f>
        <v>35.053899999999999</v>
      </c>
      <c r="N206" s="2">
        <f>[8]m!$C208</f>
        <v>4.9400000000000004</v>
      </c>
      <c r="O206">
        <f>[9]Unemployment!$B88</f>
        <v>3.9000000000000004</v>
      </c>
      <c r="Q206">
        <f>[5]m!$B208</f>
        <v>32.9</v>
      </c>
      <c r="R206">
        <f>[5]m!$D208</f>
        <v>34.200000000000003</v>
      </c>
      <c r="S206">
        <f>[5]m!$Q208</f>
        <v>33.4</v>
      </c>
      <c r="T206">
        <f>[6]m!B208</f>
        <v>-601</v>
      </c>
      <c r="U206" s="2">
        <f>[9]Unemployment!$F88</f>
        <v>9.3000000000000007</v>
      </c>
      <c r="V206" s="2"/>
      <c r="W206">
        <f>[9]Unemployment!$E88</f>
        <v>2968</v>
      </c>
      <c r="X206">
        <f>[9]Unemployment!N88</f>
        <v>1608</v>
      </c>
      <c r="Y206">
        <f>[9]Unemployment!O88</f>
        <v>854</v>
      </c>
      <c r="Z206">
        <f>[9]Unemployment!P88-[9]Unemployment!Q88</f>
        <v>286</v>
      </c>
      <c r="AA206">
        <f>[9]Unemployment!$Q88</f>
        <v>203</v>
      </c>
      <c r="AB206" s="2">
        <f>[8]m!$C208</f>
        <v>4.9400000000000004</v>
      </c>
      <c r="AC206" s="2">
        <f>[8]m!$F208</f>
        <v>4.58</v>
      </c>
      <c r="AD206">
        <f>[9]Employment!$B88</f>
        <v>65407</v>
      </c>
      <c r="AE206" s="2">
        <f>[2]Indicators!$AB88</f>
        <v>35.053899999999999</v>
      </c>
      <c r="AF206" s="2">
        <f>[8]m!$AS208</f>
        <v>102.2</v>
      </c>
      <c r="AG206" s="2">
        <f>[8]m!$H208</f>
        <v>5.2</v>
      </c>
      <c r="AH206" s="2">
        <f>[8]m!$I208</f>
        <v>5.97</v>
      </c>
      <c r="AI206" s="2">
        <f>[7]m!C207</f>
        <v>3296</v>
      </c>
      <c r="AJ206" s="2">
        <f>[7]m!D207</f>
        <v>3102</v>
      </c>
      <c r="AK206" s="2">
        <f>[2]Surveys_m!$AB88</f>
        <v>49.1</v>
      </c>
      <c r="AL206" s="4">
        <f t="shared" ref="AL206:AL269" si="3">AL207*AN206/AN207</f>
        <v>3311.7698259187632</v>
      </c>
      <c r="AN206" s="2">
        <v>67</v>
      </c>
      <c r="AQ206" s="3">
        <f>[9]LaborForce!$B87*[9]LaborForce!$C87/100</f>
        <v>76700.854999999996</v>
      </c>
      <c r="AR206" s="3">
        <f>[9]Unemployment!$AB88</f>
        <v>208.70000000000002</v>
      </c>
      <c r="AS206">
        <f>[2]Indicators!BC88</f>
        <v>42</v>
      </c>
      <c r="AT206">
        <f>[2]Indicators!BD88</f>
        <v>34.701300000000003</v>
      </c>
      <c r="AU206">
        <f>[2]Indicators!BE88</f>
        <v>97.003799999999998</v>
      </c>
    </row>
    <row r="207" spans="1:47" x14ac:dyDescent="0.25">
      <c r="A207" s="1">
        <v>24504</v>
      </c>
      <c r="B207" s="2">
        <f>[2]Indicators!G89</f>
        <v>494.04900000000004</v>
      </c>
      <c r="C207" s="2">
        <f>[2]Indicators!H89</f>
        <v>69.850000000000009</v>
      </c>
      <c r="D207" s="2">
        <f>[2]Indicators!I89</f>
        <v>182.69800000000001</v>
      </c>
      <c r="E207" s="2">
        <f>[2]Indicators!J89</f>
        <v>241.501</v>
      </c>
      <c r="M207" s="2">
        <f>[2]Indicators!AB89</f>
        <v>34.656400000000005</v>
      </c>
      <c r="N207" s="2">
        <f>[8]m!$C209</f>
        <v>5</v>
      </c>
      <c r="O207">
        <f>[9]Unemployment!$B89</f>
        <v>3.8000000000000003</v>
      </c>
      <c r="P207" s="2">
        <f>[2]Surveys_m!$B89</f>
        <v>134.30000000000001</v>
      </c>
      <c r="Q207">
        <f>[5]m!$B209</f>
        <v>33</v>
      </c>
      <c r="R207">
        <f>[5]m!$D209</f>
        <v>34.200000000000003</v>
      </c>
      <c r="S207">
        <f>[5]m!$Q209</f>
        <v>33.4</v>
      </c>
      <c r="T207">
        <f>[6]m!B209</f>
        <v>-1702</v>
      </c>
      <c r="U207" s="2">
        <f>[9]Unemployment!$F89</f>
        <v>9.2000000000000011</v>
      </c>
      <c r="V207" s="2"/>
      <c r="W207">
        <f>[9]Unemployment!$E89</f>
        <v>2915</v>
      </c>
      <c r="X207">
        <f>[9]Unemployment!N89</f>
        <v>1596</v>
      </c>
      <c r="Y207">
        <f>[9]Unemployment!O89</f>
        <v>862</v>
      </c>
      <c r="Z207">
        <f>[9]Unemployment!P89-[9]Unemployment!Q89</f>
        <v>258</v>
      </c>
      <c r="AA207">
        <f>[9]Unemployment!$Q89</f>
        <v>201</v>
      </c>
      <c r="AB207" s="2">
        <f>[8]m!$C209</f>
        <v>5</v>
      </c>
      <c r="AC207" s="2">
        <f>[8]m!$F209</f>
        <v>4.63</v>
      </c>
      <c r="AD207">
        <f>[9]Employment!$B89</f>
        <v>65427</v>
      </c>
      <c r="AE207" s="2">
        <f>[2]Indicators!$AB89</f>
        <v>34.656400000000005</v>
      </c>
      <c r="AF207" s="2">
        <f>[8]m!$AS209</f>
        <v>102.4</v>
      </c>
      <c r="AG207" s="2">
        <f>[8]m!$H209</f>
        <v>5.03</v>
      </c>
      <c r="AH207" s="2">
        <f>[8]m!$I209</f>
        <v>5.82</v>
      </c>
      <c r="AI207" s="2">
        <f>[7]m!C208</f>
        <v>3549</v>
      </c>
      <c r="AJ207" s="2">
        <f>[7]m!D208</f>
        <v>3272</v>
      </c>
      <c r="AK207" s="2">
        <f>[2]Surveys_m!$AB89</f>
        <v>47.6</v>
      </c>
      <c r="AL207" s="4">
        <f t="shared" si="3"/>
        <v>3262.340425531916</v>
      </c>
      <c r="AN207" s="2">
        <v>66</v>
      </c>
      <c r="AQ207" s="3">
        <f>[9]LaborForce!$B88*[9]LaborForce!$C88/100</f>
        <v>76515.97600000001</v>
      </c>
      <c r="AR207">
        <f>[9]Unemployment!$AC89</f>
        <v>204</v>
      </c>
      <c r="AS207">
        <f>[2]Indicators!BC89</f>
        <v>41.800000000000004</v>
      </c>
      <c r="AT207">
        <f>[2]Indicators!BD89</f>
        <v>34.822099999999999</v>
      </c>
      <c r="AU207">
        <f>[2]Indicators!BE89</f>
        <v>96.921500000000009</v>
      </c>
    </row>
    <row r="208" spans="1:47" x14ac:dyDescent="0.25">
      <c r="A208" s="1">
        <v>24532</v>
      </c>
      <c r="B208" s="2">
        <f>[2]Indicators!G90</f>
        <v>496.899</v>
      </c>
      <c r="C208" s="2">
        <f>[2]Indicators!H90</f>
        <v>70.995000000000005</v>
      </c>
      <c r="D208" s="2">
        <f>[2]Indicators!I90</f>
        <v>182.94300000000001</v>
      </c>
      <c r="E208" s="2">
        <f>[2]Indicators!J90</f>
        <v>242.96100000000001</v>
      </c>
      <c r="M208" s="2">
        <f>[2]Indicators!AB90</f>
        <v>34.460999999999999</v>
      </c>
      <c r="N208" s="2">
        <f>[8]m!$C210</f>
        <v>4.53</v>
      </c>
      <c r="O208">
        <f>[9]Unemployment!$B90</f>
        <v>3.8000000000000003</v>
      </c>
      <c r="P208" s="2">
        <f>[2]Surveys_m!$B90</f>
        <v>134.30000000000001</v>
      </c>
      <c r="Q208">
        <f>[5]m!$B210</f>
        <v>33</v>
      </c>
      <c r="R208">
        <f>[5]m!$D210</f>
        <v>34.300000000000004</v>
      </c>
      <c r="S208">
        <f>[5]m!$Q210</f>
        <v>33.300000000000004</v>
      </c>
      <c r="T208">
        <f>[6]m!B210</f>
        <v>-304</v>
      </c>
      <c r="U208" s="2">
        <f>[9]Unemployment!$F90</f>
        <v>8.9</v>
      </c>
      <c r="V208" s="2"/>
      <c r="W208">
        <f>[9]Unemployment!$E90</f>
        <v>2889</v>
      </c>
      <c r="X208">
        <f>[9]Unemployment!N90</f>
        <v>1586</v>
      </c>
      <c r="Y208">
        <f>[9]Unemployment!O90</f>
        <v>869</v>
      </c>
      <c r="Z208">
        <f>[9]Unemployment!P90-[9]Unemployment!Q90</f>
        <v>256</v>
      </c>
      <c r="AA208">
        <f>[9]Unemployment!$Q90</f>
        <v>180</v>
      </c>
      <c r="AB208" s="2">
        <f>[8]m!$C210</f>
        <v>4.53</v>
      </c>
      <c r="AC208" s="2">
        <f>[8]m!$F210</f>
        <v>4.54</v>
      </c>
      <c r="AD208">
        <f>[9]Employment!$B90</f>
        <v>65530</v>
      </c>
      <c r="AE208" s="2">
        <f>[2]Indicators!$AB90</f>
        <v>34.460999999999999</v>
      </c>
      <c r="AF208" s="2">
        <f>[8]m!$AS210</f>
        <v>102.7</v>
      </c>
      <c r="AG208" s="2">
        <f>[8]m!$H210</f>
        <v>5.13</v>
      </c>
      <c r="AH208" s="2">
        <f>[8]m!$I210</f>
        <v>5.8500000000000005</v>
      </c>
      <c r="AI208" s="2">
        <f>[7]m!C209</f>
        <v>3492</v>
      </c>
      <c r="AJ208" s="2">
        <f>[7]m!D209</f>
        <v>3171</v>
      </c>
      <c r="AK208" s="2">
        <f>[2]Surveys_m!$AB90</f>
        <v>45.300000000000004</v>
      </c>
      <c r="AL208" s="4">
        <f t="shared" si="3"/>
        <v>3163.4816247582216</v>
      </c>
      <c r="AN208" s="2">
        <v>64</v>
      </c>
      <c r="AQ208" s="3">
        <f>[9]LaborForce!$B89*[9]LaborForce!$C89/100</f>
        <v>76351.289999999994</v>
      </c>
      <c r="AR208">
        <f>[9]Unemployment!$AC90</f>
        <v>242</v>
      </c>
      <c r="AS208">
        <f>[2]Indicators!BC90</f>
        <v>41.9</v>
      </c>
      <c r="AT208">
        <f>[2]Indicators!BD90</f>
        <v>35.028600000000004</v>
      </c>
      <c r="AU208">
        <f>[2]Indicators!BE90</f>
        <v>97.082800000000006</v>
      </c>
    </row>
    <row r="209" spans="1:47" x14ac:dyDescent="0.25">
      <c r="A209" s="1">
        <v>24563</v>
      </c>
      <c r="B209" s="2">
        <f>[2]Indicators!G91</f>
        <v>502.41200000000003</v>
      </c>
      <c r="C209" s="2">
        <f>[2]Indicators!H91</f>
        <v>74.319000000000003</v>
      </c>
      <c r="D209" s="2">
        <f>[2]Indicators!I91</f>
        <v>183.59100000000001</v>
      </c>
      <c r="E209" s="2">
        <f>[2]Indicators!J91</f>
        <v>244.50200000000001</v>
      </c>
      <c r="M209" s="2">
        <f>[2]Indicators!AB91</f>
        <v>34.786000000000001</v>
      </c>
      <c r="N209" s="2">
        <f>[8]m!$C211</f>
        <v>4.05</v>
      </c>
      <c r="O209">
        <f>[9]Unemployment!$B91</f>
        <v>3.8000000000000003</v>
      </c>
      <c r="P209" s="2">
        <f>[2]Surveys_m!$B91</f>
        <v>140.70000000000002</v>
      </c>
      <c r="Q209">
        <f>[5]m!$B211</f>
        <v>33.1</v>
      </c>
      <c r="R209">
        <f>[5]m!$D211</f>
        <v>34.4</v>
      </c>
      <c r="S209">
        <f>[5]m!$Q211</f>
        <v>33.1</v>
      </c>
      <c r="T209">
        <f>[6]m!B211</f>
        <v>4070</v>
      </c>
      <c r="U209" s="2">
        <f>[9]Unemployment!$F91</f>
        <v>8.8000000000000007</v>
      </c>
      <c r="V209" s="2"/>
      <c r="W209">
        <f>[9]Unemployment!$E91</f>
        <v>2895</v>
      </c>
      <c r="X209">
        <f>[9]Unemployment!N91</f>
        <v>1547</v>
      </c>
      <c r="Y209">
        <f>[9]Unemployment!O91</f>
        <v>896</v>
      </c>
      <c r="Z209">
        <f>[9]Unemployment!P91-[9]Unemployment!Q91</f>
        <v>254</v>
      </c>
      <c r="AA209">
        <f>[9]Unemployment!$Q91</f>
        <v>174</v>
      </c>
      <c r="AB209" s="2">
        <f>[8]m!$C211</f>
        <v>4.05</v>
      </c>
      <c r="AC209" s="2">
        <f>[8]m!$F211</f>
        <v>4.59</v>
      </c>
      <c r="AD209">
        <f>[9]Employment!$B91</f>
        <v>65467</v>
      </c>
      <c r="AE209" s="2">
        <f>[2]Indicators!$AB91</f>
        <v>34.786000000000001</v>
      </c>
      <c r="AF209" s="2">
        <f>[8]m!$AS211</f>
        <v>102.9</v>
      </c>
      <c r="AG209" s="2">
        <f>[8]m!$H211</f>
        <v>5.1100000000000003</v>
      </c>
      <c r="AH209" s="2">
        <f>[8]m!$I211</f>
        <v>5.83</v>
      </c>
      <c r="AI209" s="2">
        <f>[7]m!C210</f>
        <v>3434</v>
      </c>
      <c r="AJ209" s="2">
        <f>[7]m!D210</f>
        <v>3121</v>
      </c>
      <c r="AK209" s="2">
        <f>[2]Surveys_m!$AB91</f>
        <v>42.800000000000004</v>
      </c>
      <c r="AL209" s="4">
        <f t="shared" si="3"/>
        <v>3212.9110251450688</v>
      </c>
      <c r="AN209" s="2">
        <v>65</v>
      </c>
      <c r="AQ209" s="3">
        <f>[9]LaborForce!$B90*[9]LaborForce!$C90/100</f>
        <v>76830.33600000001</v>
      </c>
      <c r="AR209">
        <f>[9]Unemployment!$AC91</f>
        <v>259</v>
      </c>
      <c r="AS209">
        <f>[2]Indicators!BC91</f>
        <v>42</v>
      </c>
      <c r="AT209">
        <f>[2]Indicators!BD91</f>
        <v>35.328400000000002</v>
      </c>
      <c r="AU209">
        <f>[2]Indicators!BE91</f>
        <v>97.505600000000001</v>
      </c>
    </row>
    <row r="210" spans="1:47" x14ac:dyDescent="0.25">
      <c r="A210" s="1">
        <v>24593</v>
      </c>
      <c r="B210" s="2">
        <f>[2]Indicators!G92</f>
        <v>503.33699999999999</v>
      </c>
      <c r="C210" s="2">
        <f>[2]Indicators!H92</f>
        <v>73.966000000000008</v>
      </c>
      <c r="D210" s="2">
        <f>[2]Indicators!I92</f>
        <v>183.559</v>
      </c>
      <c r="E210" s="2">
        <f>[2]Indicators!J92</f>
        <v>245.81200000000001</v>
      </c>
      <c r="M210" s="2">
        <f>[2]Indicators!AB92</f>
        <v>34.482500000000002</v>
      </c>
      <c r="N210" s="2">
        <f>[8]m!$C212</f>
        <v>3.94</v>
      </c>
      <c r="O210">
        <f>[9]Unemployment!$B92</f>
        <v>3.8000000000000003</v>
      </c>
      <c r="P210" s="2">
        <f>[2]Surveys_m!$B92</f>
        <v>140.70000000000002</v>
      </c>
      <c r="Q210">
        <f>[5]m!$B212</f>
        <v>33.1</v>
      </c>
      <c r="R210">
        <f>[5]m!$D212</f>
        <v>34.5</v>
      </c>
      <c r="S210">
        <f>[5]m!$Q212</f>
        <v>33.300000000000004</v>
      </c>
      <c r="T210">
        <f>[6]m!B212</f>
        <v>-4626</v>
      </c>
      <c r="U210" s="2">
        <f>[9]Unemployment!$F92</f>
        <v>8.7000000000000011</v>
      </c>
      <c r="V210" s="2"/>
      <c r="W210">
        <f>[9]Unemployment!$E92</f>
        <v>2929</v>
      </c>
      <c r="X210">
        <f>[9]Unemployment!N92</f>
        <v>1581</v>
      </c>
      <c r="Y210">
        <f>[9]Unemployment!O92</f>
        <v>905</v>
      </c>
      <c r="Z210">
        <f>[9]Unemployment!P92-[9]Unemployment!Q92</f>
        <v>264</v>
      </c>
      <c r="AA210">
        <f>[9]Unemployment!$Q92</f>
        <v>153</v>
      </c>
      <c r="AB210" s="2">
        <f>[8]m!$C212</f>
        <v>3.94</v>
      </c>
      <c r="AC210" s="2">
        <f>[8]m!$F212</f>
        <v>4.8500000000000005</v>
      </c>
      <c r="AD210">
        <f>[9]Employment!$B92</f>
        <v>65618</v>
      </c>
      <c r="AE210" s="2">
        <f>[2]Indicators!$AB92</f>
        <v>34.482500000000002</v>
      </c>
      <c r="AF210" s="2">
        <f>[8]m!$AS212</f>
        <v>103.2</v>
      </c>
      <c r="AG210" s="2">
        <f>[8]m!$H212</f>
        <v>5.24</v>
      </c>
      <c r="AH210" s="2">
        <f>[8]m!$I212</f>
        <v>5.96</v>
      </c>
      <c r="AI210" s="2">
        <f>[7]m!C211</f>
        <v>3497</v>
      </c>
      <c r="AJ210" s="2">
        <f>[7]m!D211</f>
        <v>3193</v>
      </c>
      <c r="AK210" s="2">
        <f>[2]Surveys_m!$AB92</f>
        <v>44.5</v>
      </c>
      <c r="AL210" s="4">
        <f t="shared" si="3"/>
        <v>3163.4816247582216</v>
      </c>
      <c r="AN210" s="2">
        <v>64</v>
      </c>
      <c r="AQ210" s="3">
        <f>[9]LaborForce!$B91*[9]LaborForce!$C91/100</f>
        <v>76802.395000000004</v>
      </c>
      <c r="AR210">
        <f>[9]Unemployment!$AC92</f>
        <v>255</v>
      </c>
      <c r="AS210">
        <f>[2]Indicators!BC92</f>
        <v>42.300000000000004</v>
      </c>
      <c r="AT210">
        <f>[2]Indicators!BD92</f>
        <v>35.707100000000004</v>
      </c>
      <c r="AU210">
        <f>[2]Indicators!BE92</f>
        <v>98.147300000000001</v>
      </c>
    </row>
    <row r="211" spans="1:47" x14ac:dyDescent="0.25">
      <c r="A211" s="1">
        <v>24624</v>
      </c>
      <c r="B211" s="2">
        <f>[2]Indicators!G93</f>
        <v>507.90500000000003</v>
      </c>
      <c r="C211" s="2">
        <f>[2]Indicators!H93</f>
        <v>75.165000000000006</v>
      </c>
      <c r="D211" s="2">
        <f>[2]Indicators!I93</f>
        <v>184.91300000000001</v>
      </c>
      <c r="E211" s="2">
        <f>[2]Indicators!J93</f>
        <v>247.827</v>
      </c>
      <c r="M211" s="2">
        <f>[2]Indicators!AB93</f>
        <v>34.478200000000001</v>
      </c>
      <c r="N211" s="2">
        <f>[8]m!$C213</f>
        <v>3.98</v>
      </c>
      <c r="O211">
        <f>[9]Unemployment!$B93</f>
        <v>3.9000000000000004</v>
      </c>
      <c r="P211" s="2">
        <f>[2]Surveys_m!$B93</f>
        <v>134</v>
      </c>
      <c r="Q211">
        <f>[5]m!$B213</f>
        <v>33.299999999999997</v>
      </c>
      <c r="R211">
        <f>[5]m!$D213</f>
        <v>34.6</v>
      </c>
      <c r="S211">
        <f>[5]m!$Q213</f>
        <v>33.5</v>
      </c>
      <c r="T211">
        <f>[6]m!B213</f>
        <v>8173</v>
      </c>
      <c r="U211" s="2">
        <f>[9]Unemployment!$F93</f>
        <v>8.3000000000000007</v>
      </c>
      <c r="V211" s="2"/>
      <c r="W211">
        <f>[9]Unemployment!$E93</f>
        <v>2992</v>
      </c>
      <c r="X211">
        <f>[9]Unemployment!N93</f>
        <v>1704</v>
      </c>
      <c r="Y211">
        <f>[9]Unemployment!O93</f>
        <v>883</v>
      </c>
      <c r="Z211">
        <f>[9]Unemployment!P93-[9]Unemployment!Q93</f>
        <v>272</v>
      </c>
      <c r="AA211">
        <f>[9]Unemployment!$Q93</f>
        <v>150</v>
      </c>
      <c r="AB211" s="2">
        <f>[8]m!$C213</f>
        <v>3.98</v>
      </c>
      <c r="AC211" s="2">
        <f>[8]m!$F213</f>
        <v>5.0200000000000005</v>
      </c>
      <c r="AD211">
        <f>[9]Employment!$B93</f>
        <v>65750</v>
      </c>
      <c r="AE211" s="2">
        <f>[2]Indicators!$AB93</f>
        <v>34.478200000000001</v>
      </c>
      <c r="AF211" s="2">
        <f>[8]m!$AS213</f>
        <v>103.7</v>
      </c>
      <c r="AG211" s="2">
        <f>[8]m!$H213</f>
        <v>5.44</v>
      </c>
      <c r="AH211" s="2">
        <f>[8]m!$I213</f>
        <v>6.15</v>
      </c>
      <c r="AI211" s="2">
        <f>[7]m!C212</f>
        <v>3438</v>
      </c>
      <c r="AJ211" s="2">
        <f>[7]m!D212</f>
        <v>3113</v>
      </c>
      <c r="AK211" s="2">
        <f>[2]Surveys_m!$AB93</f>
        <v>46.800000000000004</v>
      </c>
      <c r="AL211" s="4">
        <f t="shared" si="3"/>
        <v>3163.4816247582216</v>
      </c>
      <c r="AN211" s="2">
        <v>64</v>
      </c>
      <c r="AQ211" s="3">
        <f>[9]LaborForce!$B92*[9]LaborForce!$C92/100</f>
        <v>77314.312000000005</v>
      </c>
      <c r="AR211">
        <f>[9]Unemployment!$AC93</f>
        <v>228</v>
      </c>
      <c r="AS211">
        <f>[2]Indicators!BC93</f>
        <v>42.7</v>
      </c>
      <c r="AT211">
        <f>[2]Indicators!BD93</f>
        <v>36.122</v>
      </c>
      <c r="AU211">
        <f>[2]Indicators!BE93</f>
        <v>98.887900000000002</v>
      </c>
    </row>
    <row r="212" spans="1:47" x14ac:dyDescent="0.25">
      <c r="A212" s="1">
        <v>24654</v>
      </c>
      <c r="B212" s="2">
        <f>[2]Indicators!G94</f>
        <v>507.798</v>
      </c>
      <c r="C212" s="2">
        <f>[2]Indicators!H94</f>
        <v>74.424999999999997</v>
      </c>
      <c r="D212" s="2">
        <f>[2]Indicators!I94</f>
        <v>183.703</v>
      </c>
      <c r="E212" s="2">
        <f>[2]Indicators!J94</f>
        <v>249.67099999999999</v>
      </c>
      <c r="M212" s="2">
        <f>[2]Indicators!AB94</f>
        <v>34.399700000000003</v>
      </c>
      <c r="N212" s="2">
        <f>[8]m!$C214</f>
        <v>3.79</v>
      </c>
      <c r="O212">
        <f>[9]Unemployment!$B94</f>
        <v>3.8000000000000003</v>
      </c>
      <c r="P212" s="2">
        <f>[2]Surveys_m!$B94</f>
        <v>134</v>
      </c>
      <c r="Q212">
        <f>[5]m!$B214</f>
        <v>33.4</v>
      </c>
      <c r="R212">
        <f>[5]m!$D214</f>
        <v>34.700000000000003</v>
      </c>
      <c r="S212">
        <f>[5]m!$Q214</f>
        <v>33.5</v>
      </c>
      <c r="T212">
        <f>[6]m!B214</f>
        <v>-5131</v>
      </c>
      <c r="U212" s="2">
        <f>[9]Unemployment!$F94</f>
        <v>8.3000000000000007</v>
      </c>
      <c r="V212" s="2">
        <f>[9]Unemployment!$G94</f>
        <v>4.5</v>
      </c>
      <c r="W212">
        <f>[9]Unemployment!$E94</f>
        <v>2944</v>
      </c>
      <c r="X212">
        <f>[9]Unemployment!N94</f>
        <v>1642</v>
      </c>
      <c r="Y212">
        <f>[9]Unemployment!O94</f>
        <v>863</v>
      </c>
      <c r="Z212">
        <f>[9]Unemployment!P94-[9]Unemployment!Q94</f>
        <v>261</v>
      </c>
      <c r="AA212">
        <f>[9]Unemployment!$Q94</f>
        <v>151</v>
      </c>
      <c r="AB212" s="2">
        <f>[8]m!$C214</f>
        <v>3.79</v>
      </c>
      <c r="AC212" s="2">
        <f>[8]m!$F214</f>
        <v>5.16</v>
      </c>
      <c r="AD212">
        <f>[9]Employment!$B94</f>
        <v>65887</v>
      </c>
      <c r="AE212" s="2">
        <f>[2]Indicators!$AB94</f>
        <v>34.399700000000003</v>
      </c>
      <c r="AF212" s="2">
        <f>[8]m!$AS214</f>
        <v>104.10000000000001</v>
      </c>
      <c r="AG212" s="2">
        <f>[8]m!$H214</f>
        <v>5.58</v>
      </c>
      <c r="AH212" s="2">
        <f>[8]m!$I214</f>
        <v>6.26</v>
      </c>
      <c r="AI212" s="2">
        <f>[7]m!C213</f>
        <v>3471</v>
      </c>
      <c r="AJ212" s="2">
        <f>[7]m!D213</f>
        <v>3179</v>
      </c>
      <c r="AK212" s="2">
        <f>[2]Surveys_m!$AB94</f>
        <v>49.5</v>
      </c>
      <c r="AL212" s="4">
        <f t="shared" si="3"/>
        <v>3114.0522243713745</v>
      </c>
      <c r="AN212" s="2">
        <v>63</v>
      </c>
      <c r="AQ212" s="3">
        <f>[9]LaborForce!$B93*[9]LaborForce!$C93/100</f>
        <v>77431.127999999997</v>
      </c>
      <c r="AR212">
        <f>[9]Unemployment!$AC94</f>
        <v>209</v>
      </c>
      <c r="AS212">
        <f>[2]Indicators!BC94</f>
        <v>42.9</v>
      </c>
      <c r="AT212">
        <f>[2]Indicators!BD94</f>
        <v>36.543100000000003</v>
      </c>
      <c r="AU212">
        <f>[2]Indicators!BE94</f>
        <v>99.645099999999999</v>
      </c>
    </row>
    <row r="213" spans="1:47" x14ac:dyDescent="0.25">
      <c r="A213" s="1">
        <v>24685</v>
      </c>
      <c r="B213" s="2">
        <f>[2]Indicators!G95</f>
        <v>510.91399999999999</v>
      </c>
      <c r="C213" s="2">
        <f>[2]Indicators!H95</f>
        <v>73.646000000000001</v>
      </c>
      <c r="D213" s="2">
        <f>[2]Indicators!I95</f>
        <v>185.779</v>
      </c>
      <c r="E213" s="2">
        <f>[2]Indicators!J95</f>
        <v>251.49</v>
      </c>
      <c r="M213" s="2">
        <f>[2]Indicators!AB95</f>
        <v>35.058800000000005</v>
      </c>
      <c r="N213" s="2">
        <f>[8]m!$C215</f>
        <v>3.9</v>
      </c>
      <c r="O213">
        <f>[9]Unemployment!$B95</f>
        <v>3.8000000000000003</v>
      </c>
      <c r="P213" s="2">
        <f>[2]Surveys_m!$B95</f>
        <v>130.1</v>
      </c>
      <c r="Q213">
        <f>[5]m!$B215</f>
        <v>33.5</v>
      </c>
      <c r="R213">
        <f>[5]m!$D215</f>
        <v>34.9</v>
      </c>
      <c r="S213">
        <f>[5]m!$Q215</f>
        <v>33.4</v>
      </c>
      <c r="T213">
        <f>[6]m!B215</f>
        <v>-5429</v>
      </c>
      <c r="U213" s="2">
        <f>[9]Unemployment!$F95</f>
        <v>8.9</v>
      </c>
      <c r="V213" s="2">
        <f>[9]Unemployment!$G95</f>
        <v>4.7</v>
      </c>
      <c r="W213">
        <f>[9]Unemployment!$E95</f>
        <v>2945</v>
      </c>
      <c r="X213">
        <f>[9]Unemployment!N95</f>
        <v>1595</v>
      </c>
      <c r="Y213">
        <f>[9]Unemployment!O95</f>
        <v>928</v>
      </c>
      <c r="Z213">
        <f>[9]Unemployment!P95-[9]Unemployment!Q95</f>
        <v>241</v>
      </c>
      <c r="AA213">
        <f>[9]Unemployment!$Q95</f>
        <v>200</v>
      </c>
      <c r="AB213" s="2">
        <f>[8]m!$C215</f>
        <v>3.9</v>
      </c>
      <c r="AC213" s="2">
        <f>[8]m!$F215</f>
        <v>5.28</v>
      </c>
      <c r="AD213">
        <f>[9]Employment!$B95</f>
        <v>66142</v>
      </c>
      <c r="AE213" s="2">
        <f>[2]Indicators!$AB95</f>
        <v>35.058800000000005</v>
      </c>
      <c r="AF213" s="2">
        <f>[8]m!$AS215</f>
        <v>104.7</v>
      </c>
      <c r="AG213" s="2">
        <f>[8]m!$H215</f>
        <v>5.62</v>
      </c>
      <c r="AH213" s="2">
        <f>[8]m!$I215</f>
        <v>6.33</v>
      </c>
      <c r="AI213" s="2">
        <f>[7]m!C214</f>
        <v>3448</v>
      </c>
      <c r="AJ213" s="2">
        <f>[7]m!D214</f>
        <v>3265</v>
      </c>
      <c r="AK213" s="2">
        <f>[2]Surveys_m!$AB95</f>
        <v>52.2</v>
      </c>
      <c r="AL213" s="4">
        <f t="shared" si="3"/>
        <v>3212.9110251450688</v>
      </c>
      <c r="AN213" s="2">
        <v>65</v>
      </c>
      <c r="AQ213" s="3">
        <f>[9]LaborForce!$B94*[9]LaborForce!$C94/100</f>
        <v>77721.63900000001</v>
      </c>
      <c r="AR213">
        <f>[9]Unemployment!$AC95</f>
        <v>209</v>
      </c>
      <c r="AS213">
        <f>[2]Indicators!BC95</f>
        <v>43.5</v>
      </c>
      <c r="AT213">
        <f>[2]Indicators!BD95</f>
        <v>36.940300000000001</v>
      </c>
      <c r="AU213">
        <f>[2]Indicators!BE95</f>
        <v>100.337</v>
      </c>
    </row>
    <row r="214" spans="1:47" x14ac:dyDescent="0.25">
      <c r="A214" s="1">
        <v>24716</v>
      </c>
      <c r="B214" s="2">
        <f>[2]Indicators!G96</f>
        <v>516.72199999999998</v>
      </c>
      <c r="C214" s="2">
        <f>[2]Indicators!H96</f>
        <v>76.025999999999996</v>
      </c>
      <c r="D214" s="2">
        <f>[2]Indicators!I96</f>
        <v>187.84900000000002</v>
      </c>
      <c r="E214" s="2">
        <f>[2]Indicators!J96</f>
        <v>252.84700000000001</v>
      </c>
      <c r="M214" s="2">
        <f>[2]Indicators!AB96</f>
        <v>35.001800000000003</v>
      </c>
      <c r="N214" s="2">
        <f>[8]m!$C216</f>
        <v>3.99</v>
      </c>
      <c r="O214">
        <f>[9]Unemployment!$B96</f>
        <v>3.8000000000000003</v>
      </c>
      <c r="P214" s="2">
        <f>[2]Surveys_m!$B96</f>
        <v>130.1</v>
      </c>
      <c r="Q214">
        <f>[5]m!$B216</f>
        <v>33.6</v>
      </c>
      <c r="R214">
        <f>[5]m!$D216</f>
        <v>35</v>
      </c>
      <c r="S214">
        <f>[5]m!$Q216</f>
        <v>33.4</v>
      </c>
      <c r="T214">
        <f>[6]m!B216</f>
        <v>-64</v>
      </c>
      <c r="U214" s="2">
        <f>[9]Unemployment!$F96</f>
        <v>8.4</v>
      </c>
      <c r="V214" s="2">
        <f>[9]Unemployment!$G96</f>
        <v>4.6000000000000005</v>
      </c>
      <c r="W214">
        <f>[9]Unemployment!$E96</f>
        <v>2958</v>
      </c>
      <c r="X214">
        <f>[9]Unemployment!N96</f>
        <v>1667</v>
      </c>
      <c r="Y214">
        <f>[9]Unemployment!O96</f>
        <v>895</v>
      </c>
      <c r="Z214">
        <f>[9]Unemployment!P96-[9]Unemployment!Q96</f>
        <v>286</v>
      </c>
      <c r="AA214">
        <f>[9]Unemployment!$Q96</f>
        <v>162</v>
      </c>
      <c r="AB214" s="2">
        <f>[8]m!$C216</f>
        <v>3.99</v>
      </c>
      <c r="AC214" s="2">
        <f>[8]m!$F216</f>
        <v>5.3</v>
      </c>
      <c r="AD214">
        <f>[9]Employment!$B96</f>
        <v>66163</v>
      </c>
      <c r="AE214" s="2">
        <f>[2]Indicators!$AB96</f>
        <v>35.001800000000003</v>
      </c>
      <c r="AF214" s="2">
        <f>[8]m!$AS216</f>
        <v>105.2</v>
      </c>
      <c r="AG214" s="2">
        <f>[8]m!$H216</f>
        <v>5.65</v>
      </c>
      <c r="AH214" s="2">
        <f>[8]m!$I216</f>
        <v>6.4</v>
      </c>
      <c r="AI214" s="2">
        <f>[7]m!C215</f>
        <v>3413</v>
      </c>
      <c r="AJ214" s="2">
        <f>[7]m!D215</f>
        <v>3165</v>
      </c>
      <c r="AK214" s="2">
        <f>[2]Surveys_m!$AB96</f>
        <v>54.900000000000006</v>
      </c>
      <c r="AL214" s="4">
        <f t="shared" si="3"/>
        <v>3163.4816247582216</v>
      </c>
      <c r="AN214" s="2">
        <v>64</v>
      </c>
      <c r="AQ214" s="3">
        <f>[9]LaborForce!$B95*[9]LaborForce!$C95/100</f>
        <v>77844.024000000005</v>
      </c>
      <c r="AR214">
        <f>[9]Unemployment!$AC96</f>
        <v>218</v>
      </c>
      <c r="AS214">
        <f>[2]Indicators!BC96</f>
        <v>43.5</v>
      </c>
      <c r="AT214">
        <f>[2]Indicators!BD96</f>
        <v>37.289000000000001</v>
      </c>
      <c r="AU214">
        <f>[2]Indicators!BE96</f>
        <v>100.8978</v>
      </c>
    </row>
    <row r="215" spans="1:47" x14ac:dyDescent="0.25">
      <c r="A215" s="1">
        <v>24746</v>
      </c>
      <c r="B215" s="2">
        <f>[2]Indicators!G97</f>
        <v>513.31600000000003</v>
      </c>
      <c r="C215" s="2">
        <f>[2]Indicators!H97</f>
        <v>74.114000000000004</v>
      </c>
      <c r="D215" s="2">
        <f>[2]Indicators!I97</f>
        <v>185.148</v>
      </c>
      <c r="E215" s="2">
        <f>[2]Indicators!J97</f>
        <v>254.053</v>
      </c>
      <c r="M215" s="2">
        <f>[2]Indicators!AB97</f>
        <v>35.286900000000003</v>
      </c>
      <c r="N215" s="2">
        <f>[8]m!$C217</f>
        <v>3.88</v>
      </c>
      <c r="O215">
        <f>[9]Unemployment!$B97</f>
        <v>4</v>
      </c>
      <c r="P215" s="2">
        <f>[2]Surveys_m!$B97</f>
        <v>134.5</v>
      </c>
      <c r="Q215">
        <f>[5]m!$B217</f>
        <v>33.700000000000003</v>
      </c>
      <c r="R215">
        <f>[5]m!$D217</f>
        <v>35.1</v>
      </c>
      <c r="S215">
        <f>[5]m!$Q217</f>
        <v>33.4</v>
      </c>
      <c r="T215">
        <f>[6]m!B217</f>
        <v>-4707</v>
      </c>
      <c r="U215" s="2">
        <f>[9]Unemployment!$F97</f>
        <v>8.7000000000000011</v>
      </c>
      <c r="V215" s="2">
        <f>[9]Unemployment!$G97</f>
        <v>4.9000000000000004</v>
      </c>
      <c r="W215">
        <f>[9]Unemployment!$E97</f>
        <v>3143</v>
      </c>
      <c r="X215">
        <f>[9]Unemployment!N97</f>
        <v>1730</v>
      </c>
      <c r="Y215">
        <f>[9]Unemployment!O97</f>
        <v>962</v>
      </c>
      <c r="Z215">
        <f>[9]Unemployment!P97-[9]Unemployment!Q97</f>
        <v>294</v>
      </c>
      <c r="AA215">
        <f>[9]Unemployment!$Q97</f>
        <v>178</v>
      </c>
      <c r="AB215" s="2">
        <f>[8]m!$C217</f>
        <v>3.88</v>
      </c>
      <c r="AC215" s="2">
        <f>[8]m!$F217</f>
        <v>5.48</v>
      </c>
      <c r="AD215">
        <f>[9]Employment!$B97</f>
        <v>66225</v>
      </c>
      <c r="AE215" s="2">
        <f>[2]Indicators!$AB97</f>
        <v>35.286900000000003</v>
      </c>
      <c r="AF215" s="2">
        <f>[8]m!$AS217</f>
        <v>105.4</v>
      </c>
      <c r="AG215" s="2">
        <f>[8]m!$H217</f>
        <v>5.82</v>
      </c>
      <c r="AH215" s="2">
        <f>[8]m!$I217</f>
        <v>6.5200000000000005</v>
      </c>
      <c r="AI215" s="2">
        <f>[7]m!C216</f>
        <v>3444</v>
      </c>
      <c r="AJ215" s="2">
        <f>[7]m!D216</f>
        <v>3218</v>
      </c>
      <c r="AK215" s="2">
        <f>[2]Surveys_m!$AB97</f>
        <v>54.1</v>
      </c>
      <c r="AL215" s="4">
        <f t="shared" si="3"/>
        <v>3262.340425531916</v>
      </c>
      <c r="AN215" s="2">
        <v>66</v>
      </c>
      <c r="AQ215" s="3">
        <f>[9]LaborForce!$B96*[9]LaborForce!$C96/100</f>
        <v>78218.618000000002</v>
      </c>
      <c r="AR215">
        <f>[9]Unemployment!$AC97</f>
        <v>204</v>
      </c>
      <c r="AS215">
        <f>[2]Indicators!BC97</f>
        <v>43.7</v>
      </c>
      <c r="AT215">
        <f>[2]Indicators!BD97</f>
        <v>37.579599999999999</v>
      </c>
      <c r="AU215">
        <f>[2]Indicators!BE97</f>
        <v>101.3036</v>
      </c>
    </row>
    <row r="216" spans="1:47" x14ac:dyDescent="0.25">
      <c r="A216" s="1">
        <v>24777</v>
      </c>
      <c r="B216" s="2">
        <f>[2]Indicators!G98</f>
        <v>518.50599999999997</v>
      </c>
      <c r="C216" s="2">
        <f>[2]Indicators!H98</f>
        <v>75.126000000000005</v>
      </c>
      <c r="D216" s="2">
        <f>[2]Indicators!I98</f>
        <v>187.75</v>
      </c>
      <c r="E216" s="2">
        <f>[2]Indicators!J98</f>
        <v>255.63</v>
      </c>
      <c r="M216" s="2">
        <f>[2]Indicators!AB98</f>
        <v>35.791600000000003</v>
      </c>
      <c r="N216" s="2">
        <f>[8]m!$C218</f>
        <v>4.13</v>
      </c>
      <c r="O216">
        <f>[9]Unemployment!$B98</f>
        <v>3.9000000000000004</v>
      </c>
      <c r="P216" s="2">
        <f>[2]Surveys_m!$B98</f>
        <v>134.5</v>
      </c>
      <c r="Q216">
        <f>[5]m!$B218</f>
        <v>33.9</v>
      </c>
      <c r="R216">
        <f>[5]m!$D218</f>
        <v>35.200000000000003</v>
      </c>
      <c r="S216">
        <f>[5]m!$Q218</f>
        <v>33.4</v>
      </c>
      <c r="T216">
        <f>[6]m!B218</f>
        <v>-4201</v>
      </c>
      <c r="U216" s="2">
        <f>[9]Unemployment!$F98</f>
        <v>8.9</v>
      </c>
      <c r="V216" s="2">
        <f>[9]Unemployment!$G98</f>
        <v>4.7</v>
      </c>
      <c r="W216">
        <f>[9]Unemployment!$E98</f>
        <v>3066</v>
      </c>
      <c r="X216">
        <f>[9]Unemployment!N98</f>
        <v>1680</v>
      </c>
      <c r="Y216">
        <f>[9]Unemployment!O98</f>
        <v>905</v>
      </c>
      <c r="Z216">
        <f>[9]Unemployment!P98-[9]Unemployment!Q98</f>
        <v>308</v>
      </c>
      <c r="AA216">
        <f>[9]Unemployment!$Q98</f>
        <v>182</v>
      </c>
      <c r="AB216" s="2">
        <f>[8]m!$C218</f>
        <v>4.13</v>
      </c>
      <c r="AC216" s="2">
        <f>[8]m!$F218</f>
        <v>5.75</v>
      </c>
      <c r="AD216">
        <f>[9]Employment!$B98</f>
        <v>66703</v>
      </c>
      <c r="AE216" s="2">
        <f>[2]Indicators!$AB98</f>
        <v>35.791600000000003</v>
      </c>
      <c r="AF216" s="2">
        <f>[8]m!$AS218</f>
        <v>106.30000000000001</v>
      </c>
      <c r="AG216" s="2">
        <f>[8]m!$H218</f>
        <v>6.07</v>
      </c>
      <c r="AH216" s="2">
        <f>[8]m!$I218</f>
        <v>6.72</v>
      </c>
      <c r="AI216" s="2">
        <f>[7]m!C217</f>
        <v>3325</v>
      </c>
      <c r="AJ216" s="2">
        <f>[7]m!D217</f>
        <v>3239</v>
      </c>
      <c r="AK216" s="2">
        <f>[2]Surveys_m!$AB98</f>
        <v>54.2</v>
      </c>
      <c r="AL216" s="4">
        <f t="shared" si="3"/>
        <v>3212.9110251450688</v>
      </c>
      <c r="AN216" s="2">
        <v>65</v>
      </c>
      <c r="AQ216" s="3">
        <f>[9]LaborForce!$B97*[9]LaborForce!$C97/100</f>
        <v>78190.892000000007</v>
      </c>
      <c r="AR216">
        <f>[9]Unemployment!$AC98</f>
        <v>207</v>
      </c>
      <c r="AS216">
        <f>[2]Indicators!BC98</f>
        <v>43.9</v>
      </c>
      <c r="AT216">
        <f>[2]Indicators!BD98</f>
        <v>37.808599999999998</v>
      </c>
      <c r="AU216">
        <f>[2]Indicators!BE98</f>
        <v>101.5467</v>
      </c>
    </row>
    <row r="217" spans="1:47" x14ac:dyDescent="0.25">
      <c r="A217" s="1">
        <v>24807</v>
      </c>
      <c r="B217" s="2">
        <f>[2]Indicators!G99</f>
        <v>526.23300000000006</v>
      </c>
      <c r="C217" s="2">
        <f>[2]Indicators!H99</f>
        <v>77.683999999999997</v>
      </c>
      <c r="D217" s="2">
        <f>[2]Indicators!I99</f>
        <v>190.69499999999999</v>
      </c>
      <c r="E217" s="2">
        <f>[2]Indicators!J99</f>
        <v>257.85300000000001</v>
      </c>
      <c r="M217" s="2">
        <f>[2]Indicators!AB99</f>
        <v>36.177100000000003</v>
      </c>
      <c r="N217" s="2">
        <f>[8]m!$C219</f>
        <v>4.51</v>
      </c>
      <c r="O217">
        <f>[9]Unemployment!$B99</f>
        <v>3.8000000000000003</v>
      </c>
      <c r="P217" s="2">
        <f>[2]Surveys_m!$B99</f>
        <v>136.1</v>
      </c>
      <c r="Q217">
        <f>[5]m!$B219</f>
        <v>34</v>
      </c>
      <c r="R217">
        <f>[5]m!$D219</f>
        <v>35.4</v>
      </c>
      <c r="S217">
        <f>[5]m!$Q219</f>
        <v>33.700000000000003</v>
      </c>
      <c r="T217">
        <f>[6]m!B219</f>
        <v>532</v>
      </c>
      <c r="U217" s="2">
        <f>[9]Unemployment!$F99</f>
        <v>8.6</v>
      </c>
      <c r="V217" s="2">
        <f>[9]Unemployment!$G99</f>
        <v>4.8000000000000007</v>
      </c>
      <c r="W217">
        <f>[9]Unemployment!$E99</f>
        <v>3018</v>
      </c>
      <c r="X217">
        <f>[9]Unemployment!N99</f>
        <v>1616</v>
      </c>
      <c r="Y217">
        <f>[9]Unemployment!O99</f>
        <v>920</v>
      </c>
      <c r="Z217">
        <f>[9]Unemployment!P99-[9]Unemployment!Q99</f>
        <v>290</v>
      </c>
      <c r="AA217">
        <f>[9]Unemployment!$Q99</f>
        <v>195</v>
      </c>
      <c r="AB217" s="2">
        <f>[8]m!$C219</f>
        <v>4.51</v>
      </c>
      <c r="AC217" s="2">
        <f>[8]m!$F219</f>
        <v>5.7</v>
      </c>
      <c r="AD217">
        <f>[9]Employment!$B99</f>
        <v>66900</v>
      </c>
      <c r="AE217" s="2">
        <f>[2]Indicators!$AB99</f>
        <v>36.177100000000003</v>
      </c>
      <c r="AF217" s="2">
        <f>[8]m!$AS219</f>
        <v>106.80000000000001</v>
      </c>
      <c r="AG217" s="2">
        <f>[8]m!$H219</f>
        <v>6.19</v>
      </c>
      <c r="AH217" s="2">
        <f>[8]m!$I219</f>
        <v>6.93</v>
      </c>
      <c r="AI217" s="2">
        <f>[7]m!C218</f>
        <v>3581</v>
      </c>
      <c r="AJ217" s="2">
        <f>[7]m!D218</f>
        <v>3381</v>
      </c>
      <c r="AK217" s="2">
        <f>[2]Surveys_m!$AB99</f>
        <v>55.6</v>
      </c>
      <c r="AL217" s="4">
        <f t="shared" si="3"/>
        <v>3262.340425531916</v>
      </c>
      <c r="AN217" s="2">
        <v>66</v>
      </c>
      <c r="AQ217" s="3">
        <f>[9]LaborForce!$B98*[9]LaborForce!$C98/100</f>
        <v>78430.664000000004</v>
      </c>
      <c r="AR217">
        <f>[9]Unemployment!$AC99</f>
        <v>196</v>
      </c>
      <c r="AS217">
        <f>[2]Indicators!BC99</f>
        <v>44.2</v>
      </c>
      <c r="AT217">
        <f>[2]Indicators!BD99</f>
        <v>37.981500000000004</v>
      </c>
      <c r="AU217">
        <f>[2]Indicators!BE99</f>
        <v>101.6438</v>
      </c>
    </row>
    <row r="218" spans="1:47" x14ac:dyDescent="0.25">
      <c r="A218" s="1">
        <v>24838</v>
      </c>
      <c r="B218" s="2">
        <f>[2]Indicators!G100</f>
        <v>531.98500000000001</v>
      </c>
      <c r="C218" s="2">
        <f>[2]Indicators!H100</f>
        <v>79.728000000000009</v>
      </c>
      <c r="D218" s="2">
        <f>[2]Indicators!I100</f>
        <v>191.297</v>
      </c>
      <c r="E218" s="2">
        <f>[2]Indicators!J100</f>
        <v>260.959</v>
      </c>
      <c r="M218" s="2">
        <f>[2]Indicators!AB100</f>
        <v>36.138100000000001</v>
      </c>
      <c r="N218" s="2">
        <f>[8]m!$C220</f>
        <v>4.6000000000000005</v>
      </c>
      <c r="O218">
        <f>[9]Unemployment!$B100</f>
        <v>3.7</v>
      </c>
      <c r="P218" s="2">
        <f>[2]Surveys_m!$B100</f>
        <v>136.1</v>
      </c>
      <c r="Q218">
        <f>[5]m!$B220</f>
        <v>34.1</v>
      </c>
      <c r="R218">
        <f>[5]m!$D220</f>
        <v>35.5</v>
      </c>
      <c r="S218">
        <f>[5]m!$Q220</f>
        <v>33.800000000000004</v>
      </c>
      <c r="T218">
        <f>[6]m!B220</f>
        <v>-3365</v>
      </c>
      <c r="U218" s="2">
        <f>[9]Unemployment!$F100</f>
        <v>9.4</v>
      </c>
      <c r="V218" s="2">
        <f>[9]Unemployment!$G100</f>
        <v>5.1000000000000005</v>
      </c>
      <c r="W218">
        <f>[9]Unemployment!$E100</f>
        <v>2878</v>
      </c>
      <c r="X218">
        <f>[9]Unemployment!N100</f>
        <v>1458</v>
      </c>
      <c r="Y218">
        <f>[9]Unemployment!O100</f>
        <v>904</v>
      </c>
      <c r="Z218">
        <f>[9]Unemployment!P100-[9]Unemployment!Q100</f>
        <v>313</v>
      </c>
      <c r="AA218">
        <f>[9]Unemployment!$Q100</f>
        <v>190</v>
      </c>
      <c r="AB218" s="2">
        <f>[8]m!$C220</f>
        <v>4.6000000000000005</v>
      </c>
      <c r="AC218" s="2">
        <f>[8]m!$F220</f>
        <v>5.53</v>
      </c>
      <c r="AD218">
        <f>[9]Employment!$B100</f>
        <v>66805</v>
      </c>
      <c r="AE218" s="2">
        <f>[2]Indicators!$AB100</f>
        <v>36.138100000000001</v>
      </c>
      <c r="AF218" s="2">
        <f>[8]m!$AS220</f>
        <v>106.80000000000001</v>
      </c>
      <c r="AG218" s="2">
        <f>[8]m!$H220</f>
        <v>6.17</v>
      </c>
      <c r="AH218" s="2">
        <f>[8]m!$I220</f>
        <v>6.84</v>
      </c>
      <c r="AI218" s="2">
        <f>[7]m!C219</f>
        <v>3587</v>
      </c>
      <c r="AJ218" s="2">
        <f>[7]m!D219</f>
        <v>3478</v>
      </c>
      <c r="AK218" s="2">
        <f>[2]Surveys_m!$AB100</f>
        <v>56.6</v>
      </c>
      <c r="AL218" s="4">
        <f t="shared" si="3"/>
        <v>3311.7698259187632</v>
      </c>
      <c r="AN218" s="2">
        <v>67</v>
      </c>
      <c r="AQ218" s="3">
        <f>[9]LaborForce!$B99*[9]LaborForce!$C99/100</f>
        <v>77618.304000000004</v>
      </c>
      <c r="AR218">
        <f>[9]Unemployment!$AC100</f>
        <v>216</v>
      </c>
      <c r="AS218">
        <f>[2]Indicators!BC100</f>
        <v>44.300000000000004</v>
      </c>
      <c r="AT218">
        <f>[2]Indicators!BD100</f>
        <v>38.107700000000001</v>
      </c>
      <c r="AU218">
        <f>[2]Indicators!BE100</f>
        <v>101.62150000000001</v>
      </c>
    </row>
    <row r="219" spans="1:47" x14ac:dyDescent="0.25">
      <c r="A219" s="1">
        <v>24869</v>
      </c>
      <c r="B219" s="2">
        <f>[2]Indicators!G101</f>
        <v>534.66200000000003</v>
      </c>
      <c r="C219" s="2">
        <f>[2]Indicators!H101</f>
        <v>79.472000000000008</v>
      </c>
      <c r="D219" s="2">
        <f>[2]Indicators!I101</f>
        <v>192.95600000000002</v>
      </c>
      <c r="E219" s="2">
        <f>[2]Indicators!J101</f>
        <v>262.23399999999998</v>
      </c>
      <c r="M219" s="2">
        <f>[2]Indicators!AB101</f>
        <v>36.267600000000002</v>
      </c>
      <c r="N219" s="2">
        <f>[8]m!$C221</f>
        <v>4.71</v>
      </c>
      <c r="O219">
        <f>[9]Unemployment!$B101</f>
        <v>3.8000000000000003</v>
      </c>
      <c r="P219" s="2">
        <f>[2]Surveys_m!$B101</f>
        <v>137.9</v>
      </c>
      <c r="Q219">
        <f>[5]m!$B221</f>
        <v>34.200000000000003</v>
      </c>
      <c r="R219">
        <f>[5]m!$D221</f>
        <v>35.700000000000003</v>
      </c>
      <c r="S219">
        <f>[5]m!$Q221</f>
        <v>34</v>
      </c>
      <c r="T219">
        <f>[6]m!B221</f>
        <v>-2363</v>
      </c>
      <c r="U219" s="2">
        <f>[9]Unemployment!$F101</f>
        <v>8.7000000000000011</v>
      </c>
      <c r="V219" s="2">
        <f>[9]Unemployment!$G101</f>
        <v>4.5</v>
      </c>
      <c r="W219">
        <f>[9]Unemployment!$E101</f>
        <v>3001</v>
      </c>
      <c r="X219">
        <f>[9]Unemployment!N101</f>
        <v>1710</v>
      </c>
      <c r="Y219">
        <f>[9]Unemployment!O101</f>
        <v>845</v>
      </c>
      <c r="Z219">
        <f>[9]Unemployment!P101-[9]Unemployment!Q101</f>
        <v>289</v>
      </c>
      <c r="AA219">
        <f>[9]Unemployment!$Q101</f>
        <v>179</v>
      </c>
      <c r="AB219" s="2">
        <f>[8]m!$C221</f>
        <v>4.71</v>
      </c>
      <c r="AC219" s="2">
        <f>[8]m!$F221</f>
        <v>5.5600000000000005</v>
      </c>
      <c r="AD219">
        <f>[9]Employment!$B101</f>
        <v>67214</v>
      </c>
      <c r="AE219" s="2">
        <f>[2]Indicators!$AB101</f>
        <v>36.267600000000002</v>
      </c>
      <c r="AF219" s="2">
        <f>[8]m!$AS221</f>
        <v>107.9</v>
      </c>
      <c r="AG219" s="2">
        <f>[8]m!$H221</f>
        <v>6.1000000000000005</v>
      </c>
      <c r="AH219" s="2">
        <f>[8]m!$I221</f>
        <v>6.8</v>
      </c>
      <c r="AI219" s="2">
        <f>[7]m!C220</f>
        <v>3753</v>
      </c>
      <c r="AJ219" s="2">
        <f>[7]m!D220</f>
        <v>3686</v>
      </c>
      <c r="AK219" s="2">
        <f>[2]Surveys_m!$AB101</f>
        <v>55</v>
      </c>
      <c r="AL219" s="4">
        <f t="shared" si="3"/>
        <v>3262.340425531916</v>
      </c>
      <c r="AN219" s="2">
        <v>66</v>
      </c>
      <c r="AQ219" s="3">
        <f>[9]LaborForce!$B100*[9]LaborForce!$C100/100</f>
        <v>78241.092000000004</v>
      </c>
      <c r="AR219">
        <f>[9]Unemployment!$AC101</f>
        <v>198</v>
      </c>
      <c r="AS219">
        <f>[2]Indicators!BC101</f>
        <v>44.6</v>
      </c>
      <c r="AT219">
        <f>[2]Indicators!BD101</f>
        <v>38.210700000000003</v>
      </c>
      <c r="AU219">
        <f>[2]Indicators!BE101</f>
        <v>101.54340000000001</v>
      </c>
    </row>
    <row r="220" spans="1:47" x14ac:dyDescent="0.25">
      <c r="A220" s="1">
        <v>24898</v>
      </c>
      <c r="B220" s="2">
        <f>[2]Indicators!G102</f>
        <v>545.38300000000004</v>
      </c>
      <c r="C220" s="2">
        <f>[2]Indicators!H102</f>
        <v>83.376999999999995</v>
      </c>
      <c r="D220" s="2">
        <f>[2]Indicators!I102</f>
        <v>196.352</v>
      </c>
      <c r="E220" s="2">
        <f>[2]Indicators!J102</f>
        <v>265.654</v>
      </c>
      <c r="M220" s="2">
        <f>[2]Indicators!AB102</f>
        <v>36.380800000000001</v>
      </c>
      <c r="N220" s="2">
        <f>[8]m!$C222</f>
        <v>5.05</v>
      </c>
      <c r="O220">
        <f>[9]Unemployment!$B102</f>
        <v>3.7</v>
      </c>
      <c r="P220" s="2">
        <f>[2]Surveys_m!$B102</f>
        <v>137.9</v>
      </c>
      <c r="Q220">
        <f>[5]m!$B222</f>
        <v>34.300000000000004</v>
      </c>
      <c r="R220">
        <f>[5]m!$D222</f>
        <v>35.800000000000004</v>
      </c>
      <c r="S220">
        <f>[5]m!$Q222</f>
        <v>34.1</v>
      </c>
      <c r="T220">
        <f>[6]m!B222</f>
        <v>-2996</v>
      </c>
      <c r="U220" s="2">
        <f>[9]Unemployment!$F102</f>
        <v>8.5</v>
      </c>
      <c r="V220" s="2">
        <f>[9]Unemployment!$G102</f>
        <v>4.1000000000000005</v>
      </c>
      <c r="W220">
        <f>[9]Unemployment!$E102</f>
        <v>2877</v>
      </c>
      <c r="X220">
        <f>[9]Unemployment!N102</f>
        <v>1651</v>
      </c>
      <c r="Y220">
        <f>[9]Unemployment!O102</f>
        <v>784</v>
      </c>
      <c r="Z220">
        <f>[9]Unemployment!P102-[9]Unemployment!Q102</f>
        <v>268</v>
      </c>
      <c r="AA220">
        <f>[9]Unemployment!$Q102</f>
        <v>179</v>
      </c>
      <c r="AB220" s="2">
        <f>[8]m!$C222</f>
        <v>5.05</v>
      </c>
      <c r="AC220" s="2">
        <f>[8]m!$F222</f>
        <v>5.74</v>
      </c>
      <c r="AD220">
        <f>[9]Employment!$B102</f>
        <v>67296</v>
      </c>
      <c r="AE220" s="2">
        <f>[2]Indicators!$AB102</f>
        <v>36.380800000000001</v>
      </c>
      <c r="AF220" s="2">
        <f>[8]m!$AS222</f>
        <v>108.7</v>
      </c>
      <c r="AG220" s="2">
        <f>[8]m!$H222</f>
        <v>6.11</v>
      </c>
      <c r="AH220" s="2">
        <f>[8]m!$I222</f>
        <v>6.8500000000000005</v>
      </c>
      <c r="AI220" s="2">
        <f>[7]m!C221</f>
        <v>3714</v>
      </c>
      <c r="AJ220" s="2">
        <f>[7]m!D221</f>
        <v>3591</v>
      </c>
      <c r="AK220" s="2">
        <f>[2]Surveys_m!$AB102</f>
        <v>53.800000000000004</v>
      </c>
      <c r="AL220" s="4">
        <f t="shared" si="3"/>
        <v>3311.7698259187632</v>
      </c>
      <c r="AN220" s="2">
        <v>67</v>
      </c>
      <c r="AQ220" s="3">
        <f>[9]LaborForce!$B101*[9]LaborForce!$C101/100</f>
        <v>78321.551999999996</v>
      </c>
      <c r="AR220">
        <f>[9]Unemployment!$AC102</f>
        <v>190</v>
      </c>
      <c r="AS220">
        <f>[2]Indicators!BC102</f>
        <v>44.800000000000004</v>
      </c>
      <c r="AT220">
        <f>[2]Indicators!BD102</f>
        <v>38.298999999999999</v>
      </c>
      <c r="AU220">
        <f>[2]Indicators!BE102</f>
        <v>101.4328</v>
      </c>
    </row>
    <row r="221" spans="1:47" x14ac:dyDescent="0.25">
      <c r="A221" s="1">
        <v>24929</v>
      </c>
      <c r="B221" s="2">
        <f>[2]Indicators!G103</f>
        <v>545.08900000000006</v>
      </c>
      <c r="C221" s="2">
        <f>[2]Indicators!H103</f>
        <v>81.427000000000007</v>
      </c>
      <c r="D221" s="2">
        <f>[2]Indicators!I103</f>
        <v>195.762</v>
      </c>
      <c r="E221" s="2">
        <f>[2]Indicators!J103</f>
        <v>267.89999999999998</v>
      </c>
      <c r="M221" s="2">
        <f>[2]Indicators!AB103</f>
        <v>36.433500000000002</v>
      </c>
      <c r="N221" s="2">
        <f>[8]m!$C223</f>
        <v>5.76</v>
      </c>
      <c r="O221">
        <f>[9]Unemployment!$B103</f>
        <v>3.5</v>
      </c>
      <c r="P221" s="2">
        <f>[2]Surveys_m!$B103</f>
        <v>136.6</v>
      </c>
      <c r="Q221">
        <f>[5]m!$B223</f>
        <v>34.4</v>
      </c>
      <c r="R221">
        <f>[5]m!$D223</f>
        <v>35.9</v>
      </c>
      <c r="S221">
        <f>[5]m!$Q223</f>
        <v>34.1</v>
      </c>
      <c r="T221">
        <f>[6]m!B223</f>
        <v>3370</v>
      </c>
      <c r="U221" s="2">
        <f>[9]Unemployment!$F103</f>
        <v>8.7000000000000011</v>
      </c>
      <c r="V221" s="2">
        <f>[9]Unemployment!$G103</f>
        <v>4.6000000000000005</v>
      </c>
      <c r="W221">
        <f>[9]Unemployment!$E103</f>
        <v>2709</v>
      </c>
      <c r="X221">
        <f>[9]Unemployment!N103</f>
        <v>1436</v>
      </c>
      <c r="Y221">
        <f>[9]Unemployment!O103</f>
        <v>856</v>
      </c>
      <c r="Z221">
        <f>[9]Unemployment!P103-[9]Unemployment!Q103</f>
        <v>244</v>
      </c>
      <c r="AA221">
        <f>[9]Unemployment!$Q103</f>
        <v>149</v>
      </c>
      <c r="AB221" s="2">
        <f>[8]m!$C223</f>
        <v>5.76</v>
      </c>
      <c r="AC221" s="2">
        <f>[8]m!$F223</f>
        <v>5.64</v>
      </c>
      <c r="AD221">
        <f>[9]Employment!$B103</f>
        <v>67555</v>
      </c>
      <c r="AE221" s="2">
        <f>[2]Indicators!$AB103</f>
        <v>36.433500000000002</v>
      </c>
      <c r="AF221" s="2">
        <f>[8]m!$AS223</f>
        <v>109.60000000000001</v>
      </c>
      <c r="AG221" s="2">
        <f>[8]m!$H223</f>
        <v>6.21</v>
      </c>
      <c r="AH221" s="2">
        <f>[8]m!$I223</f>
        <v>6.97</v>
      </c>
      <c r="AI221" s="2">
        <f>[7]m!C222</f>
        <v>3378</v>
      </c>
      <c r="AJ221" s="2">
        <f>[7]m!D222</f>
        <v>3587</v>
      </c>
      <c r="AK221" s="2">
        <f>[2]Surveys_m!$AB103</f>
        <v>58</v>
      </c>
      <c r="AL221" s="4">
        <f t="shared" si="3"/>
        <v>3410.6286266924576</v>
      </c>
      <c r="AN221" s="2">
        <v>69</v>
      </c>
      <c r="AQ221" s="3">
        <f>[9]LaborForce!$B102*[9]LaborForce!$C102/100</f>
        <v>78274.035000000003</v>
      </c>
      <c r="AR221">
        <f>[9]Unemployment!$AC103</f>
        <v>192</v>
      </c>
      <c r="AS221">
        <f>[2]Indicators!BC103</f>
        <v>44.4</v>
      </c>
      <c r="AT221">
        <f>[2]Indicators!BD103</f>
        <v>38.388500000000001</v>
      </c>
      <c r="AU221">
        <f>[2]Indicators!BE103</f>
        <v>101.33160000000001</v>
      </c>
    </row>
    <row r="222" spans="1:47" x14ac:dyDescent="0.25">
      <c r="A222" s="1">
        <v>24959</v>
      </c>
      <c r="B222" s="2">
        <f>[2]Indicators!G104</f>
        <v>550.89599999999996</v>
      </c>
      <c r="C222" s="2">
        <f>[2]Indicators!H104</f>
        <v>84.016999999999996</v>
      </c>
      <c r="D222" s="2">
        <f>[2]Indicators!I104</f>
        <v>197.26900000000001</v>
      </c>
      <c r="E222" s="2">
        <f>[2]Indicators!J104</f>
        <v>269.61099999999999</v>
      </c>
      <c r="M222" s="2">
        <f>[2]Indicators!AB104</f>
        <v>36.842199999999998</v>
      </c>
      <c r="N222" s="2">
        <f>[8]m!$C224</f>
        <v>6.11</v>
      </c>
      <c r="O222">
        <f>[9]Unemployment!$B104</f>
        <v>3.5</v>
      </c>
      <c r="P222" s="2">
        <f>[2]Surveys_m!$B104</f>
        <v>136.6</v>
      </c>
      <c r="Q222">
        <f>[5]m!$B224</f>
        <v>34.5</v>
      </c>
      <c r="R222">
        <f>[5]m!$D224</f>
        <v>36</v>
      </c>
      <c r="S222">
        <f>[5]m!$Q224</f>
        <v>34.200000000000003</v>
      </c>
      <c r="T222">
        <f>[6]m!B224</f>
        <v>-4538</v>
      </c>
      <c r="U222" s="2">
        <f>[9]Unemployment!$F104</f>
        <v>8.2000000000000011</v>
      </c>
      <c r="V222" s="2">
        <f>[9]Unemployment!$G104</f>
        <v>4.4000000000000004</v>
      </c>
      <c r="W222">
        <f>[9]Unemployment!$E104</f>
        <v>2740</v>
      </c>
      <c r="X222">
        <f>[9]Unemployment!N104</f>
        <v>1567</v>
      </c>
      <c r="Y222">
        <f>[9]Unemployment!O104</f>
        <v>745</v>
      </c>
      <c r="Z222">
        <f>[9]Unemployment!P104-[9]Unemployment!Q104</f>
        <v>259</v>
      </c>
      <c r="AA222">
        <f>[9]Unemployment!$Q104</f>
        <v>136</v>
      </c>
      <c r="AB222" s="2">
        <f>[8]m!$C224</f>
        <v>6.11</v>
      </c>
      <c r="AC222" s="2">
        <f>[8]m!$F224</f>
        <v>5.87</v>
      </c>
      <c r="AD222">
        <f>[9]Employment!$B104</f>
        <v>67652</v>
      </c>
      <c r="AE222" s="2">
        <f>[2]Indicators!$AB104</f>
        <v>36.842199999999998</v>
      </c>
      <c r="AF222" s="2">
        <f>[8]m!$AS224</f>
        <v>110.4</v>
      </c>
      <c r="AG222" s="2">
        <f>[8]m!$H224</f>
        <v>6.2700000000000005</v>
      </c>
      <c r="AH222" s="2">
        <f>[8]m!$I224</f>
        <v>7.03</v>
      </c>
      <c r="AI222" s="2">
        <f>[7]m!C223</f>
        <v>3834</v>
      </c>
      <c r="AJ222" s="2">
        <f>[7]m!D223</f>
        <v>3601</v>
      </c>
      <c r="AK222" s="2">
        <f>[2]Surveys_m!$AB104</f>
        <v>55.300000000000004</v>
      </c>
      <c r="AL222" s="4">
        <f t="shared" si="3"/>
        <v>3410.6286266924576</v>
      </c>
      <c r="AN222" s="2">
        <v>69</v>
      </c>
      <c r="AQ222" s="3">
        <f>[9]LaborForce!$B103*[9]LaborForce!$C103/100</f>
        <v>78895.488000000012</v>
      </c>
      <c r="AR222">
        <f>[9]Unemployment!$AC104</f>
        <v>251</v>
      </c>
      <c r="AS222">
        <f>[2]Indicators!BC104</f>
        <v>44.4</v>
      </c>
      <c r="AT222">
        <f>[2]Indicators!BD104</f>
        <v>38.500100000000003</v>
      </c>
      <c r="AU222">
        <f>[2]Indicators!BE104</f>
        <v>101.2949</v>
      </c>
    </row>
    <row r="223" spans="1:47" x14ac:dyDescent="0.25">
      <c r="A223" s="1">
        <v>24990</v>
      </c>
      <c r="B223" s="2">
        <f>[2]Indicators!G105</f>
        <v>557.39200000000005</v>
      </c>
      <c r="C223" s="2">
        <f>[2]Indicators!H105</f>
        <v>83.808000000000007</v>
      </c>
      <c r="D223" s="2">
        <f>[2]Indicators!I105</f>
        <v>200.27700000000002</v>
      </c>
      <c r="E223" s="2">
        <f>[2]Indicators!J105</f>
        <v>273.30700000000002</v>
      </c>
      <c r="M223" s="2">
        <f>[2]Indicators!AB105</f>
        <v>36.977499999999999</v>
      </c>
      <c r="N223" s="2">
        <f>[8]m!$C225</f>
        <v>6.07</v>
      </c>
      <c r="O223">
        <f>[9]Unemployment!$B105</f>
        <v>3.7</v>
      </c>
      <c r="P223" s="2">
        <f>[2]Surveys_m!$B105</f>
        <v>130.70000000000002</v>
      </c>
      <c r="Q223">
        <f>[5]m!$B225</f>
        <v>34.700000000000003</v>
      </c>
      <c r="R223">
        <f>[5]m!$D225</f>
        <v>36.200000000000003</v>
      </c>
      <c r="S223">
        <f>[5]m!$Q225</f>
        <v>34.200000000000003</v>
      </c>
      <c r="T223">
        <f>[6]m!B225</f>
        <v>4077</v>
      </c>
      <c r="U223" s="2">
        <f>[9]Unemployment!$F105</f>
        <v>7.9</v>
      </c>
      <c r="V223" s="2">
        <f>[9]Unemployment!$G105</f>
        <v>4.4000000000000004</v>
      </c>
      <c r="W223">
        <f>[9]Unemployment!$E105</f>
        <v>2938</v>
      </c>
      <c r="X223">
        <f>[9]Unemployment!N105</f>
        <v>1755</v>
      </c>
      <c r="Y223">
        <f>[9]Unemployment!O105</f>
        <v>816</v>
      </c>
      <c r="Z223">
        <f>[9]Unemployment!P105-[9]Unemployment!Q105</f>
        <v>243</v>
      </c>
      <c r="AA223">
        <f>[9]Unemployment!$Q105</f>
        <v>162</v>
      </c>
      <c r="AB223" s="2">
        <f>[8]m!$C225</f>
        <v>6.07</v>
      </c>
      <c r="AC223" s="2">
        <f>[8]m!$F225</f>
        <v>5.72</v>
      </c>
      <c r="AD223">
        <f>[9]Employment!$B105</f>
        <v>67904</v>
      </c>
      <c r="AE223" s="2">
        <f>[2]Indicators!$AB105</f>
        <v>36.977499999999999</v>
      </c>
      <c r="AF223" s="2">
        <f>[8]m!$AS225</f>
        <v>111.10000000000001</v>
      </c>
      <c r="AG223" s="2">
        <f>[8]m!$H225</f>
        <v>6.28</v>
      </c>
      <c r="AH223" s="2">
        <f>[8]m!$I225</f>
        <v>7.07</v>
      </c>
      <c r="AI223" s="2">
        <f>[7]m!C224</f>
        <v>3719</v>
      </c>
      <c r="AJ223" s="2">
        <f>[7]m!D224</f>
        <v>3752</v>
      </c>
      <c r="AK223" s="2">
        <f>[2]Surveys_m!$AB105</f>
        <v>53.5</v>
      </c>
      <c r="AL223" s="4">
        <f t="shared" si="3"/>
        <v>3410.6286266924576</v>
      </c>
      <c r="AN223" s="2">
        <v>69</v>
      </c>
      <c r="AQ223" s="3">
        <f>[9]LaborForce!$B104*[9]LaborForce!$C104/100</f>
        <v>79123.199999999997</v>
      </c>
      <c r="AR223">
        <f>[9]Unemployment!$AC105</f>
        <v>199</v>
      </c>
      <c r="AS223">
        <f>[2]Indicators!BC105</f>
        <v>44.6</v>
      </c>
      <c r="AT223">
        <f>[2]Indicators!BD105</f>
        <v>38.644100000000002</v>
      </c>
      <c r="AU223">
        <f>[2]Indicators!BE105</f>
        <v>101.3489</v>
      </c>
    </row>
    <row r="224" spans="1:47" x14ac:dyDescent="0.25">
      <c r="A224" s="1">
        <v>25020</v>
      </c>
      <c r="B224" s="2">
        <f>[2]Indicators!G106</f>
        <v>564.31899999999996</v>
      </c>
      <c r="C224" s="2">
        <f>[2]Indicators!H106</f>
        <v>86.932000000000002</v>
      </c>
      <c r="D224" s="2">
        <f>[2]Indicators!I106</f>
        <v>202.566</v>
      </c>
      <c r="E224" s="2">
        <f>[2]Indicators!J106</f>
        <v>274.82</v>
      </c>
      <c r="M224" s="2">
        <f>[2]Indicators!AB106</f>
        <v>36.9208</v>
      </c>
      <c r="N224" s="2">
        <f>[8]m!$C226</f>
        <v>6.0200000000000005</v>
      </c>
      <c r="O224">
        <f>[9]Unemployment!$B106</f>
        <v>3.7</v>
      </c>
      <c r="P224" s="2">
        <f>[2]Surveys_m!$B106</f>
        <v>130.70000000000002</v>
      </c>
      <c r="Q224">
        <f>[5]m!$B226</f>
        <v>34.9</v>
      </c>
      <c r="R224">
        <f>[5]m!$D226</f>
        <v>36.4</v>
      </c>
      <c r="S224">
        <f>[5]m!$Q226</f>
        <v>34.300000000000004</v>
      </c>
      <c r="T224">
        <f>[6]m!B226</f>
        <v>-2192</v>
      </c>
      <c r="U224" s="2">
        <f>[9]Unemployment!$F106</f>
        <v>8.4</v>
      </c>
      <c r="V224" s="2">
        <f>[9]Unemployment!$G106</f>
        <v>4.5</v>
      </c>
      <c r="W224">
        <f>[9]Unemployment!$E106</f>
        <v>2883</v>
      </c>
      <c r="X224">
        <f>[9]Unemployment!N106</f>
        <v>1647</v>
      </c>
      <c r="Y224">
        <f>[9]Unemployment!O106</f>
        <v>831</v>
      </c>
      <c r="Z224">
        <f>[9]Unemployment!P106-[9]Unemployment!Q106</f>
        <v>267</v>
      </c>
      <c r="AA224">
        <f>[9]Unemployment!$Q106</f>
        <v>159</v>
      </c>
      <c r="AB224" s="2">
        <f>[8]m!$C226</f>
        <v>6.0200000000000005</v>
      </c>
      <c r="AC224" s="2">
        <f>[8]m!$F226</f>
        <v>5.5</v>
      </c>
      <c r="AD224">
        <f>[9]Employment!$B106</f>
        <v>68126</v>
      </c>
      <c r="AE224" s="2">
        <f>[2]Indicators!$AB106</f>
        <v>36.9208</v>
      </c>
      <c r="AF224" s="2">
        <f>[8]m!$AS226</f>
        <v>112.10000000000001</v>
      </c>
      <c r="AG224" s="2">
        <f>[8]m!$H226</f>
        <v>6.24</v>
      </c>
      <c r="AH224" s="2">
        <f>[8]m!$I226</f>
        <v>6.98</v>
      </c>
      <c r="AI224" s="2">
        <f>[7]m!C225</f>
        <v>3849</v>
      </c>
      <c r="AJ224" s="2">
        <f>[7]m!D225</f>
        <v>3789</v>
      </c>
      <c r="AK224" s="2">
        <f>[2]Surveys_m!$AB106</f>
        <v>54.1</v>
      </c>
      <c r="AL224" s="4">
        <f t="shared" si="3"/>
        <v>3509.487427466152</v>
      </c>
      <c r="AN224" s="2">
        <v>71</v>
      </c>
      <c r="AQ224" s="3">
        <f>[9]LaborForce!$B105*[9]LaborForce!$C105/100</f>
        <v>78967.694000000003</v>
      </c>
      <c r="AR224">
        <f>[9]Unemployment!$AC106</f>
        <v>194</v>
      </c>
      <c r="AS224">
        <f>[2]Indicators!BC106</f>
        <v>44.9</v>
      </c>
      <c r="AT224">
        <f>[2]Indicators!BD106</f>
        <v>38.8277</v>
      </c>
      <c r="AU224">
        <f>[2]Indicators!BE106</f>
        <v>101.5115</v>
      </c>
    </row>
    <row r="225" spans="1:47" x14ac:dyDescent="0.25">
      <c r="A225" s="1">
        <v>25051</v>
      </c>
      <c r="B225" s="2">
        <f>[2]Indicators!G107</f>
        <v>568.19399999999996</v>
      </c>
      <c r="C225" s="2">
        <f>[2]Indicators!H107</f>
        <v>87.631</v>
      </c>
      <c r="D225" s="2">
        <f>[2]Indicators!I107</f>
        <v>203.732</v>
      </c>
      <c r="E225" s="2">
        <f>[2]Indicators!J107</f>
        <v>276.83100000000002</v>
      </c>
      <c r="M225" s="2">
        <f>[2]Indicators!AB107</f>
        <v>37.023800000000001</v>
      </c>
      <c r="N225" s="2">
        <f>[8]m!$C227</f>
        <v>6.03</v>
      </c>
      <c r="O225">
        <f>[9]Unemployment!$B107</f>
        <v>3.5</v>
      </c>
      <c r="P225" s="2">
        <f>[2]Surveys_m!$B107</f>
        <v>131.30000000000001</v>
      </c>
      <c r="Q225">
        <f>[5]m!$B227</f>
        <v>35</v>
      </c>
      <c r="R225">
        <f>[5]m!$D227</f>
        <v>36.5</v>
      </c>
      <c r="S225">
        <f>[5]m!$Q227</f>
        <v>34.200000000000003</v>
      </c>
      <c r="T225">
        <f>[6]m!B227</f>
        <v>-3531</v>
      </c>
      <c r="U225" s="2">
        <f>[9]Unemployment!$F107</f>
        <v>8.3000000000000007</v>
      </c>
      <c r="V225" s="2">
        <f>[9]Unemployment!$G107</f>
        <v>4.2</v>
      </c>
      <c r="W225">
        <f>[9]Unemployment!$E107</f>
        <v>2768</v>
      </c>
      <c r="X225">
        <f>[9]Unemployment!N107</f>
        <v>1645</v>
      </c>
      <c r="Y225">
        <f>[9]Unemployment!O107</f>
        <v>765</v>
      </c>
      <c r="Z225">
        <f>[9]Unemployment!P107-[9]Unemployment!Q107</f>
        <v>240</v>
      </c>
      <c r="AA225">
        <f>[9]Unemployment!$Q107</f>
        <v>153</v>
      </c>
      <c r="AB225" s="2">
        <f>[8]m!$C227</f>
        <v>6.03</v>
      </c>
      <c r="AC225" s="2">
        <f>[8]m!$F227</f>
        <v>5.42</v>
      </c>
      <c r="AD225">
        <f>[9]Employment!$B107</f>
        <v>68328</v>
      </c>
      <c r="AE225" s="2">
        <f>[2]Indicators!$AB107</f>
        <v>37.023800000000001</v>
      </c>
      <c r="AF225" s="2">
        <f>[8]m!$AS227</f>
        <v>112.80000000000001</v>
      </c>
      <c r="AG225" s="2">
        <f>[8]m!$H227</f>
        <v>6.0200000000000005</v>
      </c>
      <c r="AH225" s="2">
        <f>[8]m!$I227</f>
        <v>6.82</v>
      </c>
      <c r="AI225" s="2">
        <f>[7]m!C226</f>
        <v>3871</v>
      </c>
      <c r="AJ225" s="2">
        <f>[7]m!D226</f>
        <v>3768</v>
      </c>
      <c r="AK225" s="2">
        <f>[2]Surveys_m!$AB107</f>
        <v>52.7</v>
      </c>
      <c r="AL225" s="4">
        <f t="shared" si="3"/>
        <v>3558.9168278529992</v>
      </c>
      <c r="AN225" s="2">
        <v>72</v>
      </c>
      <c r="AQ225" s="3">
        <f>[9]LaborForce!$B106*[9]LaborForce!$C106/100</f>
        <v>78821.596000000005</v>
      </c>
      <c r="AR225">
        <f>[9]Unemployment!$AC107</f>
        <v>205</v>
      </c>
      <c r="AS225">
        <f>[2]Indicators!BC107</f>
        <v>44.5</v>
      </c>
      <c r="AT225">
        <f>[2]Indicators!BD107</f>
        <v>39.0548</v>
      </c>
      <c r="AU225">
        <f>[2]Indicators!BE107</f>
        <v>101.79220000000001</v>
      </c>
    </row>
    <row r="226" spans="1:47" x14ac:dyDescent="0.25">
      <c r="A226" s="1">
        <v>25082</v>
      </c>
      <c r="B226" s="2">
        <f>[2]Indicators!G108</f>
        <v>569.41100000000006</v>
      </c>
      <c r="C226" s="2">
        <f>[2]Indicators!H108</f>
        <v>88.070000000000007</v>
      </c>
      <c r="D226" s="2">
        <f>[2]Indicators!I108</f>
        <v>202.226</v>
      </c>
      <c r="E226" s="2">
        <f>[2]Indicators!J108</f>
        <v>279.11400000000003</v>
      </c>
      <c r="M226" s="2">
        <f>[2]Indicators!AB108</f>
        <v>37.164100000000005</v>
      </c>
      <c r="N226" s="2">
        <f>[8]m!$C228</f>
        <v>5.78</v>
      </c>
      <c r="O226">
        <f>[9]Unemployment!$B108</f>
        <v>3.4000000000000004</v>
      </c>
      <c r="P226" s="2">
        <f>[2]Surveys_m!$B108</f>
        <v>131.30000000000001</v>
      </c>
      <c r="Q226">
        <f>[5]m!$B228</f>
        <v>35.1</v>
      </c>
      <c r="R226">
        <f>[5]m!$D228</f>
        <v>36.700000000000003</v>
      </c>
      <c r="S226">
        <f>[5]m!$Q228</f>
        <v>34.4</v>
      </c>
      <c r="T226">
        <f>[6]m!B228</f>
        <v>2519</v>
      </c>
      <c r="U226" s="2">
        <f>[9]Unemployment!$F108</f>
        <v>8.2000000000000011</v>
      </c>
      <c r="V226" s="2">
        <f>[9]Unemployment!$G108</f>
        <v>4.6000000000000005</v>
      </c>
      <c r="W226">
        <f>[9]Unemployment!$E108</f>
        <v>2686</v>
      </c>
      <c r="X226">
        <f>[9]Unemployment!N108</f>
        <v>1534</v>
      </c>
      <c r="Y226">
        <f>[9]Unemployment!O108</f>
        <v>781</v>
      </c>
      <c r="Z226">
        <f>[9]Unemployment!P108-[9]Unemployment!Q108</f>
        <v>243</v>
      </c>
      <c r="AA226">
        <f>[9]Unemployment!$Q108</f>
        <v>132</v>
      </c>
      <c r="AB226" s="2">
        <f>[8]m!$C228</f>
        <v>5.78</v>
      </c>
      <c r="AC226" s="2">
        <f>[8]m!$F228</f>
        <v>5.46</v>
      </c>
      <c r="AD226">
        <f>[9]Employment!$B108</f>
        <v>68487</v>
      </c>
      <c r="AE226" s="2">
        <f>[2]Indicators!$AB108</f>
        <v>37.164100000000005</v>
      </c>
      <c r="AF226" s="2">
        <f>[8]m!$AS228</f>
        <v>113.80000000000001</v>
      </c>
      <c r="AG226" s="2">
        <f>[8]m!$H228</f>
        <v>5.97</v>
      </c>
      <c r="AH226" s="2">
        <f>[8]m!$I228</f>
        <v>6.79</v>
      </c>
      <c r="AI226" s="2">
        <f>[7]m!C227</f>
        <v>3963</v>
      </c>
      <c r="AJ226" s="2">
        <f>[7]m!D227</f>
        <v>3915</v>
      </c>
      <c r="AK226" s="2">
        <f>[2]Surveys_m!$AB108</f>
        <v>51.800000000000004</v>
      </c>
      <c r="AL226" s="4">
        <f t="shared" si="3"/>
        <v>3608.3462282398464</v>
      </c>
      <c r="AN226" s="2">
        <v>73</v>
      </c>
      <c r="AQ226" s="3">
        <f>[9]LaborForce!$B107*[9]LaborForce!$C107/100</f>
        <v>78805.37</v>
      </c>
      <c r="AR226">
        <f>[9]Unemployment!$AC108</f>
        <v>188</v>
      </c>
      <c r="AS226">
        <f>[2]Indicators!BC108</f>
        <v>45</v>
      </c>
      <c r="AT226">
        <f>[2]Indicators!BD108</f>
        <v>39.322400000000002</v>
      </c>
      <c r="AU226">
        <f>[2]Indicators!BE108</f>
        <v>102.1816</v>
      </c>
    </row>
    <row r="227" spans="1:47" x14ac:dyDescent="0.25">
      <c r="A227" s="1">
        <v>25112</v>
      </c>
      <c r="B227" s="2">
        <f>[2]Indicators!G109</f>
        <v>572.86699999999996</v>
      </c>
      <c r="C227" s="2">
        <f>[2]Indicators!H109</f>
        <v>88.123999999999995</v>
      </c>
      <c r="D227" s="2">
        <f>[2]Indicators!I109</f>
        <v>203.524</v>
      </c>
      <c r="E227" s="2">
        <f>[2]Indicators!J109</f>
        <v>281.22000000000003</v>
      </c>
      <c r="M227" s="2">
        <f>[2]Indicators!AB109</f>
        <v>37.2378</v>
      </c>
      <c r="N227" s="2">
        <f>[8]m!$C229</f>
        <v>5.91</v>
      </c>
      <c r="O227">
        <f>[9]Unemployment!$B109</f>
        <v>3.4000000000000004</v>
      </c>
      <c r="P227" s="2">
        <f>[2]Surveys_m!$B109</f>
        <v>142.30000000000001</v>
      </c>
      <c r="Q227">
        <f>[5]m!$B229</f>
        <v>35.300000000000004</v>
      </c>
      <c r="R227">
        <f>[5]m!$D229</f>
        <v>36.9</v>
      </c>
      <c r="S227">
        <f>[5]m!$Q229</f>
        <v>34.4</v>
      </c>
      <c r="T227">
        <f>[6]m!B229</f>
        <v>-6106</v>
      </c>
      <c r="U227" s="2">
        <f>[9]Unemployment!$F109</f>
        <v>8.4</v>
      </c>
      <c r="V227" s="2">
        <f>[9]Unemployment!$G109</f>
        <v>4.8000000000000007</v>
      </c>
      <c r="W227">
        <f>[9]Unemployment!$E109</f>
        <v>2689</v>
      </c>
      <c r="X227">
        <f>[9]Unemployment!N109</f>
        <v>1507</v>
      </c>
      <c r="Y227">
        <f>[9]Unemployment!O109</f>
        <v>799</v>
      </c>
      <c r="Z227">
        <f>[9]Unemployment!P109-[9]Unemployment!Q109</f>
        <v>252</v>
      </c>
      <c r="AA227">
        <f>[9]Unemployment!$Q109</f>
        <v>134</v>
      </c>
      <c r="AB227" s="2">
        <f>[8]m!$C229</f>
        <v>5.91</v>
      </c>
      <c r="AC227" s="2">
        <f>[8]m!$F229</f>
        <v>5.58</v>
      </c>
      <c r="AD227">
        <f>[9]Employment!$B109</f>
        <v>68720</v>
      </c>
      <c r="AE227" s="2">
        <f>[2]Indicators!$AB109</f>
        <v>37.2378</v>
      </c>
      <c r="AF227" s="2">
        <f>[8]m!$AS229</f>
        <v>115.2</v>
      </c>
      <c r="AG227" s="2">
        <f>[8]m!$H229</f>
        <v>6.09</v>
      </c>
      <c r="AH227" s="2">
        <f>[8]m!$I229</f>
        <v>6.84</v>
      </c>
      <c r="AI227" s="2">
        <f>[7]m!C228</f>
        <v>4224</v>
      </c>
      <c r="AJ227" s="2">
        <f>[7]m!D228</f>
        <v>3994</v>
      </c>
      <c r="AK227" s="2">
        <f>[2]Surveys_m!$AB109</f>
        <v>55.800000000000004</v>
      </c>
      <c r="AL227" s="4">
        <f t="shared" si="3"/>
        <v>3806.0638297872351</v>
      </c>
      <c r="AN227" s="2">
        <v>77</v>
      </c>
      <c r="AQ227" s="3">
        <f>[9]LaborForce!$B108*[9]LaborForce!$C108/100</f>
        <v>78907.115000000005</v>
      </c>
      <c r="AR227">
        <f>[9]Unemployment!$AC109</f>
        <v>189</v>
      </c>
      <c r="AS227">
        <f>[2]Indicators!BC109</f>
        <v>45.5</v>
      </c>
      <c r="AT227">
        <f>[2]Indicators!BD109</f>
        <v>39.589300000000001</v>
      </c>
      <c r="AU227">
        <f>[2]Indicators!BE109</f>
        <v>102.57250000000001</v>
      </c>
    </row>
    <row r="228" spans="1:47" x14ac:dyDescent="0.25">
      <c r="A228" s="1">
        <v>25143</v>
      </c>
      <c r="B228" s="2">
        <f>[2]Indicators!G110</f>
        <v>578.00599999999997</v>
      </c>
      <c r="C228" s="2">
        <f>[2]Indicators!H110</f>
        <v>87.465000000000003</v>
      </c>
      <c r="D228" s="2">
        <f>[2]Indicators!I110</f>
        <v>207.02799999999999</v>
      </c>
      <c r="E228" s="2">
        <f>[2]Indicators!J110</f>
        <v>283.51300000000003</v>
      </c>
      <c r="M228" s="2">
        <f>[2]Indicators!AB110</f>
        <v>37.719500000000004</v>
      </c>
      <c r="N228" s="2">
        <f>[8]m!$C230</f>
        <v>5.82</v>
      </c>
      <c r="O228">
        <f>[9]Unemployment!$B110</f>
        <v>3.4000000000000004</v>
      </c>
      <c r="P228" s="2">
        <f>[2]Surveys_m!$B110</f>
        <v>142.30000000000001</v>
      </c>
      <c r="Q228">
        <f>[5]m!$B230</f>
        <v>35.4</v>
      </c>
      <c r="R228">
        <f>[5]m!$D230</f>
        <v>37.1</v>
      </c>
      <c r="S228">
        <f>[5]m!$Q230</f>
        <v>34.5</v>
      </c>
      <c r="T228">
        <f>[6]m!B230</f>
        <v>-2413</v>
      </c>
      <c r="U228" s="2">
        <f>[9]Unemployment!$F110</f>
        <v>8.1</v>
      </c>
      <c r="V228" s="2">
        <f>[9]Unemployment!$G110</f>
        <v>4.4000000000000004</v>
      </c>
      <c r="W228">
        <f>[9]Unemployment!$E110</f>
        <v>2715</v>
      </c>
      <c r="X228">
        <f>[9]Unemployment!N110</f>
        <v>1593</v>
      </c>
      <c r="Y228">
        <f>[9]Unemployment!O110</f>
        <v>768</v>
      </c>
      <c r="Z228">
        <f>[9]Unemployment!P110-[9]Unemployment!Q110</f>
        <v>226</v>
      </c>
      <c r="AA228">
        <f>[9]Unemployment!$Q110</f>
        <v>131</v>
      </c>
      <c r="AB228" s="2">
        <f>[8]m!$C230</f>
        <v>5.82</v>
      </c>
      <c r="AC228" s="2">
        <f>[8]m!$F230</f>
        <v>5.7</v>
      </c>
      <c r="AD228">
        <f>[9]Employment!$B110</f>
        <v>68985</v>
      </c>
      <c r="AE228" s="2">
        <f>[2]Indicators!$AB110</f>
        <v>37.719500000000004</v>
      </c>
      <c r="AF228" s="2">
        <f>[8]m!$AS230</f>
        <v>116.2</v>
      </c>
      <c r="AG228" s="2">
        <f>[8]m!$H230</f>
        <v>6.19</v>
      </c>
      <c r="AH228" s="2">
        <f>[8]m!$I230</f>
        <v>7.01</v>
      </c>
      <c r="AI228" s="2">
        <f>[7]m!C229</f>
        <v>3674</v>
      </c>
      <c r="AJ228" s="2">
        <f>[7]m!D229</f>
        <v>3798</v>
      </c>
      <c r="AK228" s="2">
        <f>[2]Surveys_m!$AB110</f>
        <v>58.1</v>
      </c>
      <c r="AL228" s="4">
        <f t="shared" si="3"/>
        <v>3806.0638297872347</v>
      </c>
      <c r="AN228" s="2">
        <v>77</v>
      </c>
      <c r="AQ228" s="3">
        <f>[9]LaborForce!$B109*[9]LaborForce!$C109/100</f>
        <v>79210.187999999995</v>
      </c>
      <c r="AR228">
        <f>[9]Unemployment!$AC110</f>
        <v>181</v>
      </c>
      <c r="AS228">
        <f>[2]Indicators!BC110</f>
        <v>45.6</v>
      </c>
      <c r="AT228">
        <f>[2]Indicators!BD110</f>
        <v>39.810300000000005</v>
      </c>
      <c r="AU228">
        <f>[2]Indicators!BE110</f>
        <v>102.84750000000001</v>
      </c>
    </row>
    <row r="229" spans="1:47" x14ac:dyDescent="0.25">
      <c r="A229" s="1">
        <v>25173</v>
      </c>
      <c r="B229" s="2">
        <f>[2]Indicators!G111</f>
        <v>577.84699999999998</v>
      </c>
      <c r="C229" s="2">
        <f>[2]Indicators!H111</f>
        <v>87.888000000000005</v>
      </c>
      <c r="D229" s="2">
        <f>[2]Indicators!I111</f>
        <v>204.47</v>
      </c>
      <c r="E229" s="2">
        <f>[2]Indicators!J111</f>
        <v>285.488</v>
      </c>
      <c r="M229" s="2">
        <f>[2]Indicators!AB111</f>
        <v>37.8386</v>
      </c>
      <c r="N229" s="2">
        <f>[8]m!$C231</f>
        <v>6.0200000000000005</v>
      </c>
      <c r="O229">
        <f>[9]Unemployment!$B111</f>
        <v>3.4000000000000004</v>
      </c>
      <c r="P229" s="2">
        <f>[2]Surveys_m!$B111</f>
        <v>137.9</v>
      </c>
      <c r="Q229">
        <f>[5]m!$B231</f>
        <v>35.6</v>
      </c>
      <c r="R229">
        <f>[5]m!$D231</f>
        <v>37.200000000000003</v>
      </c>
      <c r="S229">
        <f>[5]m!$Q231</f>
        <v>34.6</v>
      </c>
      <c r="T229">
        <f>[6]m!B231</f>
        <v>1434</v>
      </c>
      <c r="U229" s="2">
        <f>[9]Unemployment!$F111</f>
        <v>8.2000000000000011</v>
      </c>
      <c r="V229" s="2">
        <f>[9]Unemployment!$G111</f>
        <v>4.4000000000000004</v>
      </c>
      <c r="W229">
        <f>[9]Unemployment!$E111</f>
        <v>2685</v>
      </c>
      <c r="X229">
        <f>[9]Unemployment!N111</f>
        <v>1527</v>
      </c>
      <c r="Y229">
        <f>[9]Unemployment!O111</f>
        <v>800</v>
      </c>
      <c r="Z229">
        <f>[9]Unemployment!P111-[9]Unemployment!Q111</f>
        <v>191</v>
      </c>
      <c r="AA229">
        <f>[9]Unemployment!$Q111</f>
        <v>160</v>
      </c>
      <c r="AB229" s="2">
        <f>[8]m!$C231</f>
        <v>6.0200000000000005</v>
      </c>
      <c r="AC229" s="2">
        <f>[8]m!$F231</f>
        <v>6.03</v>
      </c>
      <c r="AD229">
        <f>[9]Employment!$B111</f>
        <v>69245</v>
      </c>
      <c r="AE229" s="2">
        <f>[2]Indicators!$AB111</f>
        <v>37.8386</v>
      </c>
      <c r="AF229" s="2">
        <f>[8]m!$AS231</f>
        <v>117.4</v>
      </c>
      <c r="AG229" s="2">
        <f>[8]m!$H231</f>
        <v>6.45</v>
      </c>
      <c r="AH229" s="2">
        <f>[8]m!$I231</f>
        <v>7.23</v>
      </c>
      <c r="AI229" s="2">
        <f>[7]m!C230</f>
        <v>4015</v>
      </c>
      <c r="AJ229" s="2">
        <f>[7]m!D230</f>
        <v>3945</v>
      </c>
      <c r="AK229" s="2">
        <f>[2]Surveys_m!$AB111</f>
        <v>56.1</v>
      </c>
      <c r="AL229" s="4">
        <f t="shared" si="3"/>
        <v>3756.6344294003875</v>
      </c>
      <c r="AN229" s="2">
        <v>76</v>
      </c>
      <c r="AQ229" s="3">
        <f>[9]LaborForce!$B110*[9]LaborForce!$C110/100</f>
        <v>79472.639999999999</v>
      </c>
      <c r="AR229">
        <f>[9]Unemployment!$AC111</f>
        <v>162</v>
      </c>
      <c r="AS229">
        <f>[2]Indicators!BC111</f>
        <v>45.5</v>
      </c>
      <c r="AT229">
        <f>[2]Indicators!BD111</f>
        <v>39.965800000000002</v>
      </c>
      <c r="AU229">
        <f>[2]Indicators!BE111</f>
        <v>102.95740000000001</v>
      </c>
    </row>
    <row r="230" spans="1:47" x14ac:dyDescent="0.25">
      <c r="A230" s="1">
        <v>25204</v>
      </c>
      <c r="B230" s="2">
        <f>[2]Indicators!G112</f>
        <v>584.87300000000005</v>
      </c>
      <c r="C230" s="2">
        <f>[2]Indicators!H112</f>
        <v>90.129000000000005</v>
      </c>
      <c r="D230" s="2">
        <f>[2]Indicators!I112</f>
        <v>207.28300000000002</v>
      </c>
      <c r="E230" s="2">
        <f>[2]Indicators!J112</f>
        <v>287.46100000000001</v>
      </c>
      <c r="M230" s="2">
        <f>[2]Indicators!AB112</f>
        <v>38.067599999999999</v>
      </c>
      <c r="N230" s="2">
        <f>[8]m!$C232</f>
        <v>6.3</v>
      </c>
      <c r="O230">
        <f>[9]Unemployment!$B112</f>
        <v>3.4000000000000004</v>
      </c>
      <c r="P230" s="2">
        <f>[2]Surveys_m!$B112</f>
        <v>137.9</v>
      </c>
      <c r="Q230">
        <f>[5]m!$B232</f>
        <v>35.700000000000003</v>
      </c>
      <c r="R230">
        <f>[5]m!$D232</f>
        <v>37.300000000000004</v>
      </c>
      <c r="S230">
        <f>[5]m!$Q232</f>
        <v>34.800000000000004</v>
      </c>
      <c r="T230">
        <f>[6]m!B232</f>
        <v>88</v>
      </c>
      <c r="U230" s="2">
        <f>[9]Unemployment!$F112</f>
        <v>8.1</v>
      </c>
      <c r="V230" s="2">
        <f>[9]Unemployment!$G112</f>
        <v>4.4000000000000004</v>
      </c>
      <c r="W230">
        <f>[9]Unemployment!$E112</f>
        <v>2718</v>
      </c>
      <c r="X230">
        <f>[9]Unemployment!N112</f>
        <v>1554</v>
      </c>
      <c r="Y230">
        <f>[9]Unemployment!O112</f>
        <v>785</v>
      </c>
      <c r="Z230">
        <f>[9]Unemployment!P112-[9]Unemployment!Q112</f>
        <v>209</v>
      </c>
      <c r="AA230">
        <f>[9]Unemployment!$Q112</f>
        <v>130</v>
      </c>
      <c r="AB230" s="2">
        <f>[8]m!$C232</f>
        <v>6.3</v>
      </c>
      <c r="AC230" s="2">
        <f>[8]m!$F232</f>
        <v>6.04</v>
      </c>
      <c r="AD230">
        <f>[9]Employment!$B112</f>
        <v>69438</v>
      </c>
      <c r="AE230" s="2">
        <f>[2]Indicators!$AB112</f>
        <v>38.067599999999999</v>
      </c>
      <c r="AF230" s="2">
        <f>[8]m!$AS232</f>
        <v>118.2</v>
      </c>
      <c r="AG230" s="2">
        <f>[8]m!$H232</f>
        <v>6.59</v>
      </c>
      <c r="AH230" s="2">
        <f>[8]m!$I232</f>
        <v>7.32</v>
      </c>
      <c r="AI230" s="2">
        <f>[7]m!C231</f>
        <v>4020</v>
      </c>
      <c r="AJ230" s="2">
        <f>[7]m!D231</f>
        <v>3970</v>
      </c>
      <c r="AK230" s="2">
        <f>[2]Surveys_m!$AB112</f>
        <v>54.900000000000006</v>
      </c>
      <c r="AL230" s="4">
        <f t="shared" si="3"/>
        <v>3904.9226305609291</v>
      </c>
      <c r="AN230" s="2">
        <v>79</v>
      </c>
      <c r="AQ230" s="3">
        <f>[9]LaborForce!$B111*[9]LaborForce!$C111/100</f>
        <v>79461.104000000007</v>
      </c>
      <c r="AR230">
        <f>[9]Unemployment!$AC112</f>
        <v>223</v>
      </c>
      <c r="AS230">
        <f>[2]Indicators!BC112</f>
        <v>45.800000000000004</v>
      </c>
      <c r="AT230">
        <f>[2]Indicators!BD112</f>
        <v>40.058</v>
      </c>
      <c r="AU230">
        <f>[2]Indicators!BE112</f>
        <v>102.9092</v>
      </c>
    </row>
    <row r="231" spans="1:47" x14ac:dyDescent="0.25">
      <c r="A231" s="1">
        <v>25235</v>
      </c>
      <c r="B231" s="2">
        <f>[2]Indicators!G113</f>
        <v>590.11800000000005</v>
      </c>
      <c r="C231" s="2">
        <f>[2]Indicators!H113</f>
        <v>90.765000000000001</v>
      </c>
      <c r="D231" s="2">
        <f>[2]Indicators!I113</f>
        <v>209.279</v>
      </c>
      <c r="E231" s="2">
        <f>[2]Indicators!J113</f>
        <v>290.07499999999999</v>
      </c>
      <c r="M231" s="2">
        <f>[2]Indicators!AB113</f>
        <v>38.311199999999999</v>
      </c>
      <c r="N231" s="2">
        <f>[8]m!$C233</f>
        <v>6.61</v>
      </c>
      <c r="O231">
        <f>[9]Unemployment!$B113</f>
        <v>3.4000000000000004</v>
      </c>
      <c r="P231" s="2">
        <f>[2]Surveys_m!$B113</f>
        <v>138.20000000000002</v>
      </c>
      <c r="Q231">
        <f>[5]m!$B233</f>
        <v>35.800000000000004</v>
      </c>
      <c r="R231">
        <f>[5]m!$D233</f>
        <v>37.6</v>
      </c>
      <c r="S231">
        <f>[5]m!$Q233</f>
        <v>35</v>
      </c>
      <c r="T231">
        <f>[6]m!B233</f>
        <v>-143</v>
      </c>
      <c r="U231" s="2">
        <f>[9]Unemployment!$F113</f>
        <v>7.9</v>
      </c>
      <c r="V231" s="2">
        <f>[9]Unemployment!$G113</f>
        <v>4.9000000000000004</v>
      </c>
      <c r="W231">
        <f>[9]Unemployment!$E113</f>
        <v>2692</v>
      </c>
      <c r="X231">
        <f>[9]Unemployment!N113</f>
        <v>1442</v>
      </c>
      <c r="Y231">
        <f>[9]Unemployment!O113</f>
        <v>863</v>
      </c>
      <c r="Z231">
        <f>[9]Unemployment!P113-[9]Unemployment!Q113</f>
        <v>243</v>
      </c>
      <c r="AA231">
        <f>[9]Unemployment!$Q113</f>
        <v>115</v>
      </c>
      <c r="AB231" s="2">
        <f>[8]m!$C233</f>
        <v>6.61</v>
      </c>
      <c r="AC231" s="2">
        <f>[8]m!$F233</f>
        <v>6.19</v>
      </c>
      <c r="AD231">
        <f>[9]Employment!$B113</f>
        <v>69698</v>
      </c>
      <c r="AE231" s="2">
        <f>[2]Indicators!$AB113</f>
        <v>38.311199999999999</v>
      </c>
      <c r="AF231" s="2">
        <f>[8]m!$AS233</f>
        <v>119.4</v>
      </c>
      <c r="AG231" s="2">
        <f>[8]m!$H233</f>
        <v>6.66</v>
      </c>
      <c r="AH231" s="2">
        <f>[8]m!$I233</f>
        <v>7.3</v>
      </c>
      <c r="AI231" s="2">
        <f>[7]m!C232</f>
        <v>3122</v>
      </c>
      <c r="AJ231" s="2">
        <f>[7]m!D232</f>
        <v>3060</v>
      </c>
      <c r="AK231" s="2">
        <f>[2]Surveys_m!$AB113</f>
        <v>57</v>
      </c>
      <c r="AL231" s="4">
        <f t="shared" si="3"/>
        <v>3904.9226305609291</v>
      </c>
      <c r="AN231" s="2">
        <v>79</v>
      </c>
      <c r="AQ231" s="3">
        <f>[9]LaborForce!$B112*[9]LaborForce!$C112/100</f>
        <v>80079</v>
      </c>
      <c r="AR231">
        <f>[9]Unemployment!$AC113</f>
        <v>203</v>
      </c>
      <c r="AS231">
        <f>[2]Indicators!BC113</f>
        <v>45.800000000000004</v>
      </c>
      <c r="AT231">
        <f>[2]Indicators!BD113</f>
        <v>40.0839</v>
      </c>
      <c r="AU231">
        <f>[2]Indicators!BE113</f>
        <v>102.6962</v>
      </c>
    </row>
    <row r="232" spans="1:47" x14ac:dyDescent="0.25">
      <c r="A232" s="1">
        <v>25263</v>
      </c>
      <c r="B232" s="2">
        <f>[2]Indicators!G114</f>
        <v>590.33299999999997</v>
      </c>
      <c r="C232" s="2">
        <f>[2]Indicators!H114</f>
        <v>89.138000000000005</v>
      </c>
      <c r="D232" s="2">
        <f>[2]Indicators!I114</f>
        <v>209.94</v>
      </c>
      <c r="E232" s="2">
        <f>[2]Indicators!J114</f>
        <v>291.255</v>
      </c>
      <c r="M232" s="2">
        <f>[2]Indicators!AB114</f>
        <v>38.611600000000003</v>
      </c>
      <c r="N232" s="2">
        <f>[8]m!$C234</f>
        <v>6.79</v>
      </c>
      <c r="O232">
        <f>[9]Unemployment!$B114</f>
        <v>3.4000000000000004</v>
      </c>
      <c r="P232" s="2">
        <f>[2]Surveys_m!$B114</f>
        <v>138.20000000000002</v>
      </c>
      <c r="Q232">
        <f>[5]m!$B234</f>
        <v>36.1</v>
      </c>
      <c r="R232">
        <f>[5]m!$D234</f>
        <v>37.800000000000004</v>
      </c>
      <c r="S232">
        <f>[5]m!$Q234</f>
        <v>35.200000000000003</v>
      </c>
      <c r="T232">
        <f>[6]m!B234</f>
        <v>-1906</v>
      </c>
      <c r="U232" s="2">
        <f>[9]Unemployment!$F114</f>
        <v>7.9</v>
      </c>
      <c r="V232" s="2">
        <f>[9]Unemployment!$G114</f>
        <v>4</v>
      </c>
      <c r="W232">
        <f>[9]Unemployment!$E114</f>
        <v>2712</v>
      </c>
      <c r="X232">
        <f>[9]Unemployment!N114</f>
        <v>1603</v>
      </c>
      <c r="Y232">
        <f>[9]Unemployment!O114</f>
        <v>770</v>
      </c>
      <c r="Z232">
        <f>[9]Unemployment!P114-[9]Unemployment!Q114</f>
        <v>234</v>
      </c>
      <c r="AA232">
        <f>[9]Unemployment!$Q114</f>
        <v>119</v>
      </c>
      <c r="AB232" s="2">
        <f>[8]m!$C234</f>
        <v>6.79</v>
      </c>
      <c r="AC232" s="2">
        <f>[8]m!$F234</f>
        <v>6.3</v>
      </c>
      <c r="AD232">
        <f>[9]Employment!$B114</f>
        <v>69906</v>
      </c>
      <c r="AE232" s="2">
        <f>[2]Indicators!$AB114</f>
        <v>38.611600000000003</v>
      </c>
      <c r="AF232" s="2">
        <f>[8]m!$AS234</f>
        <v>120.4</v>
      </c>
      <c r="AG232" s="2">
        <f>[8]m!$H234</f>
        <v>6.8500000000000005</v>
      </c>
      <c r="AH232" s="2">
        <f>[8]m!$I234</f>
        <v>7.51</v>
      </c>
      <c r="AI232" s="2">
        <f>[7]m!C233</f>
        <v>3227</v>
      </c>
      <c r="AJ232" s="2">
        <f>[7]m!D233</f>
        <v>3730</v>
      </c>
      <c r="AK232" s="2">
        <f>[2]Surveys_m!$AB114</f>
        <v>57.1</v>
      </c>
      <c r="AL232" s="4">
        <f t="shared" si="3"/>
        <v>3954.3520309477763</v>
      </c>
      <c r="AN232" s="2">
        <v>80</v>
      </c>
      <c r="AQ232" s="3">
        <f>[9]LaborForce!$B113*[9]LaborForce!$C113/100</f>
        <v>80049.162000000011</v>
      </c>
      <c r="AR232">
        <f>[9]Unemployment!$AC114</f>
        <v>201</v>
      </c>
      <c r="AS232">
        <f>[2]Indicators!BC114</f>
        <v>45.6</v>
      </c>
      <c r="AT232">
        <f>[2]Indicators!BD114</f>
        <v>40.051100000000005</v>
      </c>
      <c r="AU232">
        <f>[2]Indicators!BE114</f>
        <v>102.3387</v>
      </c>
    </row>
    <row r="233" spans="1:47" x14ac:dyDescent="0.25">
      <c r="A233" s="1">
        <v>25294</v>
      </c>
      <c r="B233" s="2">
        <f>[2]Indicators!G115</f>
        <v>595.33500000000004</v>
      </c>
      <c r="C233" s="2">
        <f>[2]Indicators!H115</f>
        <v>90.405000000000001</v>
      </c>
      <c r="D233" s="2">
        <f>[2]Indicators!I115</f>
        <v>210.80500000000001</v>
      </c>
      <c r="E233" s="2">
        <f>[2]Indicators!J115</f>
        <v>294.125</v>
      </c>
      <c r="M233" s="2">
        <f>[2]Indicators!AB115</f>
        <v>38.469500000000004</v>
      </c>
      <c r="N233" s="2">
        <f>[8]m!$C235</f>
        <v>7.41</v>
      </c>
      <c r="O233">
        <f>[9]Unemployment!$B115</f>
        <v>3.4000000000000004</v>
      </c>
      <c r="P233" s="2">
        <f>[2]Surveys_m!$B115</f>
        <v>136.6</v>
      </c>
      <c r="Q233">
        <f>[5]m!$B235</f>
        <v>36.300000000000004</v>
      </c>
      <c r="R233">
        <f>[5]m!$D235</f>
        <v>38.1</v>
      </c>
      <c r="S233">
        <f>[5]m!$Q235</f>
        <v>35.300000000000004</v>
      </c>
      <c r="T233">
        <f>[6]m!B235</f>
        <v>7635</v>
      </c>
      <c r="U233" s="2">
        <f>[9]Unemployment!$F115</f>
        <v>7.9</v>
      </c>
      <c r="V233" s="2">
        <f>[9]Unemployment!$G115</f>
        <v>4</v>
      </c>
      <c r="W233">
        <f>[9]Unemployment!$E115</f>
        <v>2758</v>
      </c>
      <c r="X233">
        <f>[9]Unemployment!N115</f>
        <v>1600</v>
      </c>
      <c r="Y233">
        <f>[9]Unemployment!O115</f>
        <v>764</v>
      </c>
      <c r="Z233">
        <f>[9]Unemployment!P115-[9]Unemployment!Q115</f>
        <v>253</v>
      </c>
      <c r="AA233">
        <f>[9]Unemployment!$Q115</f>
        <v>133</v>
      </c>
      <c r="AB233" s="2">
        <f>[8]m!$C235</f>
        <v>7.41</v>
      </c>
      <c r="AC233" s="2">
        <f>[8]m!$F235</f>
        <v>6.17</v>
      </c>
      <c r="AD233">
        <f>[9]Employment!$B115</f>
        <v>70072</v>
      </c>
      <c r="AE233" s="2">
        <f>[2]Indicators!$AB115</f>
        <v>38.469500000000004</v>
      </c>
      <c r="AF233" s="2">
        <f>[8]m!$AS235</f>
        <v>121.5</v>
      </c>
      <c r="AG233" s="2">
        <f>[8]m!$H235</f>
        <v>6.8900000000000006</v>
      </c>
      <c r="AH233" s="2">
        <f>[8]m!$I235</f>
        <v>7.54</v>
      </c>
      <c r="AI233" s="2">
        <f>[7]m!C234</f>
        <v>4149</v>
      </c>
      <c r="AJ233" s="2">
        <f>[7]m!D234</f>
        <v>4040</v>
      </c>
      <c r="AK233" s="2">
        <f>[2]Surveys_m!$AB115</f>
        <v>55.2</v>
      </c>
      <c r="AL233" s="4">
        <f t="shared" si="3"/>
        <v>3954.3520309477763</v>
      </c>
      <c r="AN233" s="2">
        <v>80</v>
      </c>
      <c r="AQ233" s="3">
        <f>[9]LaborForce!$B114*[9]LaborForce!$C114/100</f>
        <v>80292.600000000006</v>
      </c>
      <c r="AR233">
        <f>[9]Unemployment!$AC115</f>
        <v>183</v>
      </c>
      <c r="AS233">
        <f>[2]Indicators!BC115</f>
        <v>45.800000000000004</v>
      </c>
      <c r="AT233">
        <f>[2]Indicators!BD115</f>
        <v>39.964600000000004</v>
      </c>
      <c r="AU233">
        <f>[2]Indicators!BE115</f>
        <v>101.8506</v>
      </c>
    </row>
    <row r="234" spans="1:47" x14ac:dyDescent="0.25">
      <c r="A234" s="1">
        <v>25324</v>
      </c>
      <c r="B234" s="2">
        <f>[2]Indicators!G116</f>
        <v>601.74199999999996</v>
      </c>
      <c r="C234" s="2">
        <f>[2]Indicators!H116</f>
        <v>90.463999999999999</v>
      </c>
      <c r="D234" s="2">
        <f>[2]Indicators!I116</f>
        <v>213.55100000000002</v>
      </c>
      <c r="E234" s="2">
        <f>[2]Indicators!J116</f>
        <v>297.72800000000001</v>
      </c>
      <c r="M234" s="2">
        <f>[2]Indicators!AB116</f>
        <v>38.324100000000001</v>
      </c>
      <c r="N234" s="2">
        <f>[8]m!$C236</f>
        <v>8.67</v>
      </c>
      <c r="O234">
        <f>[9]Unemployment!$B116</f>
        <v>3.4000000000000004</v>
      </c>
      <c r="P234" s="2">
        <f>[2]Surveys_m!$B116</f>
        <v>136.6</v>
      </c>
      <c r="Q234">
        <f>[5]m!$B236</f>
        <v>36.4</v>
      </c>
      <c r="R234">
        <f>[5]m!$D236</f>
        <v>38.1</v>
      </c>
      <c r="S234">
        <f>[5]m!$Q236</f>
        <v>35.5</v>
      </c>
      <c r="T234">
        <f>[6]m!B236</f>
        <v>-2430</v>
      </c>
      <c r="U234" s="2">
        <f>[9]Unemployment!$F116</f>
        <v>7.9</v>
      </c>
      <c r="V234" s="2">
        <f>[9]Unemployment!$G116</f>
        <v>4.2</v>
      </c>
      <c r="W234">
        <f>[9]Unemployment!$E116</f>
        <v>2713</v>
      </c>
      <c r="X234">
        <f>[9]Unemployment!N116</f>
        <v>1649</v>
      </c>
      <c r="Y234">
        <f>[9]Unemployment!O116</f>
        <v>657</v>
      </c>
      <c r="Z234">
        <f>[9]Unemployment!P116-[9]Unemployment!Q116</f>
        <v>261</v>
      </c>
      <c r="AA234">
        <f>[9]Unemployment!$Q116</f>
        <v>126</v>
      </c>
      <c r="AB234" s="2">
        <f>[8]m!$C236</f>
        <v>8.67</v>
      </c>
      <c r="AC234" s="2">
        <f>[8]m!$F236</f>
        <v>6.32</v>
      </c>
      <c r="AD234">
        <f>[9]Employment!$B116</f>
        <v>70328</v>
      </c>
      <c r="AE234" s="2">
        <f>[2]Indicators!$AB116</f>
        <v>38.324100000000001</v>
      </c>
      <c r="AF234" s="2">
        <f>[8]m!$AS236</f>
        <v>122.60000000000001</v>
      </c>
      <c r="AG234" s="2">
        <f>[8]m!$H236</f>
        <v>6.79</v>
      </c>
      <c r="AH234" s="2">
        <f>[8]m!$I236</f>
        <v>7.5200000000000005</v>
      </c>
      <c r="AI234" s="2">
        <f>[7]m!C235</f>
        <v>4412</v>
      </c>
      <c r="AJ234" s="2">
        <f>[7]m!D235</f>
        <v>4284</v>
      </c>
      <c r="AK234" s="2">
        <f>[2]Surveys_m!$AB116</f>
        <v>56.7</v>
      </c>
      <c r="AL234" s="4">
        <f t="shared" si="3"/>
        <v>3954.3520309477763</v>
      </c>
      <c r="AN234" s="2">
        <v>80</v>
      </c>
      <c r="AQ234" s="3">
        <f>[9]LaborForce!$B115*[9]LaborForce!$C115/100</f>
        <v>80148.146000000008</v>
      </c>
      <c r="AR234">
        <f>[9]Unemployment!$AC116</f>
        <v>177</v>
      </c>
      <c r="AS234">
        <f>[2]Indicators!BC116</f>
        <v>45.300000000000004</v>
      </c>
      <c r="AT234">
        <f>[2]Indicators!BD116</f>
        <v>39.832799999999999</v>
      </c>
      <c r="AU234">
        <f>[2]Indicators!BE116</f>
        <v>101.2539</v>
      </c>
    </row>
    <row r="235" spans="1:47" x14ac:dyDescent="0.25">
      <c r="A235" s="1">
        <v>25355</v>
      </c>
      <c r="B235" s="2">
        <f>[2]Indicators!G117</f>
        <v>602.34400000000005</v>
      </c>
      <c r="C235" s="2">
        <f>[2]Indicators!H117</f>
        <v>90.475000000000009</v>
      </c>
      <c r="D235" s="2">
        <f>[2]Indicators!I117</f>
        <v>212.292</v>
      </c>
      <c r="E235" s="2">
        <f>[2]Indicators!J117</f>
        <v>299.577</v>
      </c>
      <c r="M235" s="2">
        <f>[2]Indicators!AB117</f>
        <v>38.698500000000003</v>
      </c>
      <c r="N235" s="2">
        <f>[8]m!$C237</f>
        <v>8.9</v>
      </c>
      <c r="O235">
        <f>[9]Unemployment!$B117</f>
        <v>3.5</v>
      </c>
      <c r="P235" s="2">
        <f>[2]Surveys_m!$B117</f>
        <v>137.9</v>
      </c>
      <c r="Q235">
        <f>[5]m!$B237</f>
        <v>36.6</v>
      </c>
      <c r="R235">
        <f>[5]m!$D237</f>
        <v>38.300000000000004</v>
      </c>
      <c r="S235">
        <f>[5]m!$Q237</f>
        <v>35.700000000000003</v>
      </c>
      <c r="T235">
        <f>[6]m!B237</f>
        <v>10279</v>
      </c>
      <c r="U235" s="2">
        <f>[9]Unemployment!$F117</f>
        <v>7.7</v>
      </c>
      <c r="V235" s="2">
        <f>[9]Unemployment!$G117</f>
        <v>4.4000000000000004</v>
      </c>
      <c r="W235">
        <f>[9]Unemployment!$E117</f>
        <v>2816</v>
      </c>
      <c r="X235">
        <f>[9]Unemployment!N117</f>
        <v>1664</v>
      </c>
      <c r="Y235">
        <f>[9]Unemployment!O117</f>
        <v>799</v>
      </c>
      <c r="Z235">
        <f>[9]Unemployment!P117-[9]Unemployment!Q117</f>
        <v>244</v>
      </c>
      <c r="AA235">
        <f>[9]Unemployment!$Q117</f>
        <v>124</v>
      </c>
      <c r="AB235" s="2">
        <f>[8]m!$C237</f>
        <v>8.9</v>
      </c>
      <c r="AC235" s="2">
        <f>[8]m!$F237</f>
        <v>6.57</v>
      </c>
      <c r="AD235">
        <f>[9]Employment!$B117</f>
        <v>70636</v>
      </c>
      <c r="AE235" s="2">
        <f>[2]Indicators!$AB117</f>
        <v>38.698500000000003</v>
      </c>
      <c r="AF235" s="2">
        <f>[8]m!$AS237</f>
        <v>123.4</v>
      </c>
      <c r="AG235" s="2">
        <f>[8]m!$H237</f>
        <v>6.98</v>
      </c>
      <c r="AH235" s="2">
        <f>[8]m!$I237</f>
        <v>7.7</v>
      </c>
      <c r="AI235" s="2">
        <f>[7]m!C236</f>
        <v>4362</v>
      </c>
      <c r="AJ235" s="2">
        <f>[7]m!D236</f>
        <v>4357</v>
      </c>
      <c r="AK235" s="2">
        <f>[2]Surveys_m!$AB117</f>
        <v>55.5</v>
      </c>
      <c r="AL235" s="4">
        <f t="shared" si="3"/>
        <v>3855.4932301740819</v>
      </c>
      <c r="AN235" s="2">
        <v>78</v>
      </c>
      <c r="AQ235" s="3">
        <f>[9]LaborForce!$B116*[9]LaborForce!$C116/100</f>
        <v>80662.012999999992</v>
      </c>
      <c r="AR235">
        <f>[9]Unemployment!$AC117</f>
        <v>187</v>
      </c>
      <c r="AS235">
        <f>[2]Indicators!BC117</f>
        <v>45</v>
      </c>
      <c r="AT235">
        <f>[2]Indicators!BD117</f>
        <v>39.687800000000003</v>
      </c>
      <c r="AU235">
        <f>[2]Indicators!BE117</f>
        <v>100.63030000000001</v>
      </c>
    </row>
    <row r="236" spans="1:47" x14ac:dyDescent="0.25">
      <c r="A236" s="1">
        <v>25385</v>
      </c>
      <c r="B236" s="2">
        <f>[2]Indicators!G118</f>
        <v>604.18500000000006</v>
      </c>
      <c r="C236" s="2">
        <f>[2]Indicators!H118</f>
        <v>88.638000000000005</v>
      </c>
      <c r="D236" s="2">
        <f>[2]Indicators!I118</f>
        <v>214.60900000000001</v>
      </c>
      <c r="E236" s="2">
        <f>[2]Indicators!J118</f>
        <v>300.93700000000001</v>
      </c>
      <c r="M236" s="2">
        <f>[2]Indicators!AB118</f>
        <v>38.902799999999999</v>
      </c>
      <c r="N236" s="2">
        <f>[8]m!$C238</f>
        <v>8.61</v>
      </c>
      <c r="O236">
        <f>[9]Unemployment!$B118</f>
        <v>3.5</v>
      </c>
      <c r="P236" s="2">
        <f>[2]Surveys_m!$B118</f>
        <v>137.9</v>
      </c>
      <c r="Q236">
        <f>[5]m!$B238</f>
        <v>36.800000000000004</v>
      </c>
      <c r="R236">
        <f>[5]m!$D238</f>
        <v>38.5</v>
      </c>
      <c r="S236">
        <f>[5]m!$Q238</f>
        <v>35.800000000000004</v>
      </c>
      <c r="T236">
        <f>[6]m!B238</f>
        <v>-3149</v>
      </c>
      <c r="U236" s="2">
        <f>[9]Unemployment!$F118</f>
        <v>7.8000000000000007</v>
      </c>
      <c r="V236" s="2">
        <f>[9]Unemployment!$G118</f>
        <v>4.4000000000000004</v>
      </c>
      <c r="W236">
        <f>[9]Unemployment!$E118</f>
        <v>2868</v>
      </c>
      <c r="X236">
        <f>[9]Unemployment!N118</f>
        <v>1686</v>
      </c>
      <c r="Y236">
        <f>[9]Unemployment!O118</f>
        <v>816</v>
      </c>
      <c r="Z236">
        <f>[9]Unemployment!P118-[9]Unemployment!Q118</f>
        <v>217</v>
      </c>
      <c r="AA236">
        <f>[9]Unemployment!$Q118</f>
        <v>160</v>
      </c>
      <c r="AB236" s="2">
        <f>[8]m!$C238</f>
        <v>8.61</v>
      </c>
      <c r="AC236" s="2">
        <f>[8]m!$F238</f>
        <v>6.72</v>
      </c>
      <c r="AD236">
        <f>[9]Employment!$B118</f>
        <v>70730</v>
      </c>
      <c r="AE236" s="2">
        <f>[2]Indicators!$AB118</f>
        <v>38.902799999999999</v>
      </c>
      <c r="AF236" s="2">
        <f>[8]m!$AS238</f>
        <v>124</v>
      </c>
      <c r="AG236" s="2">
        <f>[8]m!$H238</f>
        <v>7.08</v>
      </c>
      <c r="AH236" s="2">
        <f>[8]m!$I238</f>
        <v>7.84</v>
      </c>
      <c r="AI236" s="2">
        <f>[7]m!C237</f>
        <v>4273</v>
      </c>
      <c r="AJ236" s="2">
        <f>[7]m!D237</f>
        <v>4253</v>
      </c>
      <c r="AK236" s="2">
        <f>[2]Surveys_m!$AB118</f>
        <v>53.1</v>
      </c>
      <c r="AL236" s="4">
        <f t="shared" si="3"/>
        <v>3806.0638297872347</v>
      </c>
      <c r="AN236" s="2">
        <v>77</v>
      </c>
      <c r="AQ236" s="3">
        <f>[9]LaborForce!$B117*[9]LaborForce!$C117/100</f>
        <v>80782.813999999998</v>
      </c>
      <c r="AR236">
        <f>[9]Unemployment!$AC118</f>
        <v>203</v>
      </c>
      <c r="AS236">
        <f>[2]Indicators!BC118</f>
        <v>44.6</v>
      </c>
      <c r="AT236">
        <f>[2]Indicators!BD118</f>
        <v>39.559899999999999</v>
      </c>
      <c r="AU236">
        <f>[2]Indicators!BE118</f>
        <v>100.0565</v>
      </c>
    </row>
    <row r="237" spans="1:47" x14ac:dyDescent="0.25">
      <c r="A237" s="1">
        <v>25416</v>
      </c>
      <c r="B237" s="2">
        <f>[2]Indicators!G119</f>
        <v>611.43500000000006</v>
      </c>
      <c r="C237" s="2">
        <f>[2]Indicators!H119</f>
        <v>90.658000000000001</v>
      </c>
      <c r="D237" s="2">
        <f>[2]Indicators!I119</f>
        <v>217.334</v>
      </c>
      <c r="E237" s="2">
        <f>[2]Indicators!J119</f>
        <v>303.44299999999998</v>
      </c>
      <c r="M237" s="2">
        <f>[2]Indicators!AB119</f>
        <v>38.992200000000004</v>
      </c>
      <c r="N237" s="2">
        <f>[8]m!$C239</f>
        <v>9.19</v>
      </c>
      <c r="O237">
        <f>[9]Unemployment!$B119</f>
        <v>3.5</v>
      </c>
      <c r="P237" s="2">
        <f>[2]Surveys_m!$B119</f>
        <v>131.70000000000002</v>
      </c>
      <c r="Q237">
        <f>[5]m!$B239</f>
        <v>36.9</v>
      </c>
      <c r="R237">
        <f>[5]m!$D239</f>
        <v>38.700000000000003</v>
      </c>
      <c r="S237">
        <f>[5]m!$Q239</f>
        <v>35.700000000000003</v>
      </c>
      <c r="T237">
        <f>[6]m!B239</f>
        <v>-2108</v>
      </c>
      <c r="U237" s="2">
        <f>[9]Unemployment!$F119</f>
        <v>7.9</v>
      </c>
      <c r="V237" s="2">
        <f>[9]Unemployment!$G119</f>
        <v>4.4000000000000004</v>
      </c>
      <c r="W237">
        <f>[9]Unemployment!$E119</f>
        <v>2856</v>
      </c>
      <c r="X237">
        <f>[9]Unemployment!N119</f>
        <v>1637</v>
      </c>
      <c r="Y237">
        <f>[9]Unemployment!O119</f>
        <v>865</v>
      </c>
      <c r="Z237">
        <f>[9]Unemployment!P119-[9]Unemployment!Q119</f>
        <v>241</v>
      </c>
      <c r="AA237">
        <f>[9]Unemployment!$Q119</f>
        <v>132</v>
      </c>
      <c r="AB237" s="2">
        <f>[8]m!$C239</f>
        <v>9.19</v>
      </c>
      <c r="AC237" s="2">
        <f>[8]m!$F239</f>
        <v>6.69</v>
      </c>
      <c r="AD237">
        <f>[9]Employment!$B119</f>
        <v>71005</v>
      </c>
      <c r="AE237" s="2">
        <f>[2]Indicators!$AB119</f>
        <v>38.992200000000004</v>
      </c>
      <c r="AF237" s="2">
        <f>[8]m!$AS239</f>
        <v>124.60000000000001</v>
      </c>
      <c r="AG237" s="2">
        <f>[8]m!$H239</f>
        <v>6.97</v>
      </c>
      <c r="AH237" s="2">
        <f>[8]m!$I239</f>
        <v>7.86</v>
      </c>
      <c r="AI237" s="2">
        <f>[7]m!C238</f>
        <v>4264</v>
      </c>
      <c r="AJ237" s="2">
        <f>[7]m!D238</f>
        <v>4197</v>
      </c>
      <c r="AK237" s="2">
        <f>[2]Surveys_m!$AB119</f>
        <v>54.800000000000004</v>
      </c>
      <c r="AL237" s="4">
        <f t="shared" si="3"/>
        <v>3756.6344294003875</v>
      </c>
      <c r="AN237" s="2">
        <v>76</v>
      </c>
      <c r="AQ237" s="3">
        <f>[9]LaborForce!$B118*[9]LaborForce!$C118/100</f>
        <v>81161.991000000009</v>
      </c>
      <c r="AR237">
        <f>[9]Unemployment!$AC119</f>
        <v>196</v>
      </c>
      <c r="AS237">
        <f>[2]Indicators!BC119</f>
        <v>44.6</v>
      </c>
      <c r="AT237">
        <f>[2]Indicators!BD119</f>
        <v>39.465200000000003</v>
      </c>
      <c r="AU237">
        <f>[2]Indicators!BE119</f>
        <v>99.572100000000006</v>
      </c>
    </row>
    <row r="238" spans="1:47" x14ac:dyDescent="0.25">
      <c r="A238" s="1">
        <v>25447</v>
      </c>
      <c r="B238" s="2">
        <f>[2]Indicators!G120</f>
        <v>614.75099999999998</v>
      </c>
      <c r="C238" s="2">
        <f>[2]Indicators!H120</f>
        <v>92.588999999999999</v>
      </c>
      <c r="D238" s="2">
        <f>[2]Indicators!I120</f>
        <v>216.01900000000001</v>
      </c>
      <c r="E238" s="2">
        <f>[2]Indicators!J120</f>
        <v>306.14300000000003</v>
      </c>
      <c r="M238" s="2">
        <f>[2]Indicators!AB120</f>
        <v>38.983400000000003</v>
      </c>
      <c r="N238" s="2">
        <f>[8]m!$C240</f>
        <v>9.15</v>
      </c>
      <c r="O238">
        <f>[9]Unemployment!$B120</f>
        <v>3.7</v>
      </c>
      <c r="P238" s="2">
        <f>[2]Surveys_m!$B120</f>
        <v>131.70000000000002</v>
      </c>
      <c r="Q238">
        <f>[5]m!$B240</f>
        <v>37.1</v>
      </c>
      <c r="R238">
        <f>[5]m!$D240</f>
        <v>38.9</v>
      </c>
      <c r="S238">
        <f>[5]m!$Q240</f>
        <v>35.800000000000004</v>
      </c>
      <c r="T238">
        <f>[6]m!B240</f>
        <v>2784</v>
      </c>
      <c r="U238" s="2">
        <f>[9]Unemployment!$F120</f>
        <v>8</v>
      </c>
      <c r="V238" s="2">
        <f>[9]Unemployment!$G120</f>
        <v>4.7</v>
      </c>
      <c r="W238">
        <f>[9]Unemployment!$E120</f>
        <v>3040</v>
      </c>
      <c r="X238">
        <f>[9]Unemployment!N120</f>
        <v>1693</v>
      </c>
      <c r="Y238">
        <f>[9]Unemployment!O120</f>
        <v>963</v>
      </c>
      <c r="Z238">
        <f>[9]Unemployment!P120-[9]Unemployment!Q120</f>
        <v>243</v>
      </c>
      <c r="AA238">
        <f>[9]Unemployment!$Q120</f>
        <v>148</v>
      </c>
      <c r="AB238" s="2">
        <f>[8]m!$C240</f>
        <v>9.15</v>
      </c>
      <c r="AC238" s="2">
        <f>[8]m!$F240</f>
        <v>7.16</v>
      </c>
      <c r="AD238">
        <f>[9]Employment!$B120</f>
        <v>70918</v>
      </c>
      <c r="AE238" s="2">
        <f>[2]Indicators!$AB120</f>
        <v>38.983400000000003</v>
      </c>
      <c r="AF238" s="2">
        <f>[8]m!$AS240</f>
        <v>125.30000000000001</v>
      </c>
      <c r="AG238" s="2">
        <f>[8]m!$H240</f>
        <v>7.1400000000000006</v>
      </c>
      <c r="AH238" s="2">
        <f>[8]m!$I240</f>
        <v>8.0500000000000007</v>
      </c>
      <c r="AI238" s="2">
        <f>[7]m!C239</f>
        <v>4448</v>
      </c>
      <c r="AJ238" s="2">
        <f>[7]m!D239</f>
        <v>4286</v>
      </c>
      <c r="AK238" s="2">
        <f>[2]Surveys_m!$AB120</f>
        <v>54.1</v>
      </c>
      <c r="AL238" s="4">
        <f t="shared" si="3"/>
        <v>3954.3520309477763</v>
      </c>
      <c r="AN238" s="2">
        <v>80</v>
      </c>
      <c r="AQ238" s="3">
        <f>[9]LaborForce!$B119*[9]LaborForce!$C119/100</f>
        <v>81268.722000000009</v>
      </c>
      <c r="AR238">
        <f>[9]Unemployment!$AC120</f>
        <v>195</v>
      </c>
      <c r="AS238">
        <f>[2]Indicators!BC120</f>
        <v>44.6</v>
      </c>
      <c r="AT238">
        <f>[2]Indicators!BD120</f>
        <v>39.385899999999999</v>
      </c>
      <c r="AU238">
        <f>[2]Indicators!BE120</f>
        <v>99.131700000000009</v>
      </c>
    </row>
    <row r="239" spans="1:47" x14ac:dyDescent="0.25">
      <c r="A239" s="1">
        <v>25477</v>
      </c>
      <c r="B239" s="2">
        <f>[2]Indicators!G121</f>
        <v>620.05000000000007</v>
      </c>
      <c r="C239" s="2">
        <f>[2]Indicators!H121</f>
        <v>91.438000000000002</v>
      </c>
      <c r="D239" s="2">
        <f>[2]Indicators!I121</f>
        <v>219.191</v>
      </c>
      <c r="E239" s="2">
        <f>[2]Indicators!J121</f>
        <v>309.42</v>
      </c>
      <c r="M239" s="2">
        <f>[2]Indicators!AB121</f>
        <v>38.994900000000001</v>
      </c>
      <c r="N239" s="2">
        <f>[8]m!$C241</f>
        <v>9</v>
      </c>
      <c r="O239">
        <f>[9]Unemployment!$B121</f>
        <v>3.7</v>
      </c>
      <c r="P239" s="2">
        <f>[2]Surveys_m!$B121</f>
        <v>126.80000000000001</v>
      </c>
      <c r="Q239">
        <f>[5]m!$B241</f>
        <v>37.300000000000004</v>
      </c>
      <c r="R239">
        <f>[5]m!$D241</f>
        <v>39.1</v>
      </c>
      <c r="S239">
        <f>[5]m!$Q241</f>
        <v>35.9</v>
      </c>
      <c r="T239">
        <f>[6]m!B241</f>
        <v>-6101</v>
      </c>
      <c r="U239" s="2">
        <f>[9]Unemployment!$F121</f>
        <v>7.6000000000000005</v>
      </c>
      <c r="V239" s="2">
        <f>[9]Unemployment!$G121</f>
        <v>4.5</v>
      </c>
      <c r="W239">
        <f>[9]Unemployment!$E121</f>
        <v>3049</v>
      </c>
      <c r="X239">
        <f>[9]Unemployment!N121</f>
        <v>1814</v>
      </c>
      <c r="Y239">
        <f>[9]Unemployment!O121</f>
        <v>853</v>
      </c>
      <c r="Z239">
        <f>[9]Unemployment!P121-[9]Unemployment!Q121</f>
        <v>238</v>
      </c>
      <c r="AA239">
        <f>[9]Unemployment!$Q121</f>
        <v>136</v>
      </c>
      <c r="AB239" s="2">
        <f>[8]m!$C241</f>
        <v>9</v>
      </c>
      <c r="AC239" s="2">
        <f>[8]m!$F241</f>
        <v>7.1000000000000005</v>
      </c>
      <c r="AD239">
        <f>[9]Employment!$B121</f>
        <v>71119</v>
      </c>
      <c r="AE239" s="2">
        <f>[2]Indicators!$AB121</f>
        <v>38.994900000000001</v>
      </c>
      <c r="AF239" s="2">
        <f>[8]m!$AS241</f>
        <v>126</v>
      </c>
      <c r="AG239" s="2">
        <f>[8]m!$H241</f>
        <v>7.33</v>
      </c>
      <c r="AH239" s="2">
        <f>[8]m!$I241</f>
        <v>8.2200000000000006</v>
      </c>
      <c r="AI239" s="2">
        <f>[7]m!C240</f>
        <v>4423</v>
      </c>
      <c r="AJ239" s="2">
        <f>[7]m!D240</f>
        <v>4201</v>
      </c>
      <c r="AK239" s="2">
        <f>[2]Surveys_m!$AB121</f>
        <v>54.6</v>
      </c>
      <c r="AL239" s="4">
        <f t="shared" si="3"/>
        <v>3904.9226305609291</v>
      </c>
      <c r="AN239" s="2">
        <v>79</v>
      </c>
      <c r="AQ239" s="3">
        <f>[9]LaborForce!$B120*[9]LaborForce!$C120/100</f>
        <v>81547.248000000007</v>
      </c>
      <c r="AR239">
        <f>[9]Unemployment!$AC121</f>
        <v>193</v>
      </c>
      <c r="AS239">
        <f>[2]Indicators!BC121</f>
        <v>44.1</v>
      </c>
      <c r="AT239">
        <f>[2]Indicators!BD121</f>
        <v>39.281800000000004</v>
      </c>
      <c r="AU239">
        <f>[2]Indicators!BE121</f>
        <v>98.633300000000006</v>
      </c>
    </row>
    <row r="240" spans="1:47" x14ac:dyDescent="0.25">
      <c r="A240" s="1">
        <v>25508</v>
      </c>
      <c r="B240" s="2">
        <f>[2]Indicators!G122</f>
        <v>622.01900000000001</v>
      </c>
      <c r="C240" s="2">
        <f>[2]Indicators!H122</f>
        <v>90.662000000000006</v>
      </c>
      <c r="D240" s="2">
        <f>[2]Indicators!I122</f>
        <v>219.31200000000001</v>
      </c>
      <c r="E240" s="2">
        <f>[2]Indicators!J122</f>
        <v>312.04500000000002</v>
      </c>
      <c r="M240" s="2">
        <f>[2]Indicators!AB122</f>
        <v>38.627300000000005</v>
      </c>
      <c r="N240" s="2">
        <f>[8]m!$C242</f>
        <v>8.85</v>
      </c>
      <c r="O240">
        <f>[9]Unemployment!$B122</f>
        <v>3.5</v>
      </c>
      <c r="P240" s="2">
        <f>[2]Surveys_m!$B122</f>
        <v>126.80000000000001</v>
      </c>
      <c r="Q240">
        <f>[5]m!$B242</f>
        <v>37.5</v>
      </c>
      <c r="R240">
        <f>[5]m!$D242</f>
        <v>39.200000000000003</v>
      </c>
      <c r="S240">
        <f>[5]m!$Q242</f>
        <v>36.1</v>
      </c>
      <c r="T240">
        <f>[6]m!B242</f>
        <v>-1144</v>
      </c>
      <c r="U240" s="2">
        <f>[9]Unemployment!$F122</f>
        <v>8</v>
      </c>
      <c r="V240" s="2">
        <f>[9]Unemployment!$G122</f>
        <v>4.8000000000000007</v>
      </c>
      <c r="W240">
        <f>[9]Unemployment!$E122</f>
        <v>2856</v>
      </c>
      <c r="X240">
        <f>[9]Unemployment!N122</f>
        <v>1580</v>
      </c>
      <c r="Y240">
        <f>[9]Unemployment!O122</f>
        <v>888</v>
      </c>
      <c r="Z240">
        <f>[9]Unemployment!P122-[9]Unemployment!Q122</f>
        <v>246</v>
      </c>
      <c r="AA240">
        <f>[9]Unemployment!$Q122</f>
        <v>146</v>
      </c>
      <c r="AB240" s="2">
        <f>[8]m!$C242</f>
        <v>8.85</v>
      </c>
      <c r="AC240" s="2">
        <f>[8]m!$F242</f>
        <v>7.1400000000000006</v>
      </c>
      <c r="AD240">
        <f>[9]Employment!$B122</f>
        <v>71088</v>
      </c>
      <c r="AE240" s="2">
        <f>[2]Indicators!$AB122</f>
        <v>38.627300000000005</v>
      </c>
      <c r="AF240" s="2">
        <f>[8]m!$AS242</f>
        <v>126.60000000000001</v>
      </c>
      <c r="AG240" s="2">
        <f>[8]m!$H242</f>
        <v>7.3500000000000005</v>
      </c>
      <c r="AH240" s="2">
        <f>[8]m!$I242</f>
        <v>8.25</v>
      </c>
      <c r="AI240" s="2">
        <f>[7]m!C241</f>
        <v>4473</v>
      </c>
      <c r="AJ240" s="2">
        <f>[7]m!D241</f>
        <v>4352</v>
      </c>
      <c r="AK240" s="2">
        <f>[2]Surveys_m!$AB122</f>
        <v>53.2</v>
      </c>
      <c r="AL240" s="4">
        <f t="shared" si="3"/>
        <v>3806.0638297872347</v>
      </c>
      <c r="AN240" s="2">
        <v>77</v>
      </c>
      <c r="AQ240" s="3">
        <f>[9]LaborForce!$B121*[9]LaborForce!$C121/100</f>
        <v>81413.878000000012</v>
      </c>
      <c r="AR240">
        <f>[9]Unemployment!$AC122</f>
        <v>198</v>
      </c>
      <c r="AS240">
        <f>[2]Indicators!BC122</f>
        <v>43.800000000000004</v>
      </c>
      <c r="AT240">
        <f>[2]Indicators!BD122</f>
        <v>39.138800000000003</v>
      </c>
      <c r="AU240">
        <f>[2]Indicators!BE122</f>
        <v>98.042000000000002</v>
      </c>
    </row>
    <row r="241" spans="1:47" x14ac:dyDescent="0.25">
      <c r="A241" s="1">
        <v>25538</v>
      </c>
      <c r="B241" s="2">
        <f>[2]Indicators!G123</f>
        <v>624.31000000000006</v>
      </c>
      <c r="C241" s="2">
        <f>[2]Indicators!H123</f>
        <v>90.433000000000007</v>
      </c>
      <c r="D241" s="2">
        <f>[2]Indicators!I123</f>
        <v>220.72800000000001</v>
      </c>
      <c r="E241" s="2">
        <f>[2]Indicators!J123</f>
        <v>313.15000000000003</v>
      </c>
      <c r="M241" s="2">
        <f>[2]Indicators!AB123</f>
        <v>38.523600000000002</v>
      </c>
      <c r="N241" s="2">
        <f>[8]m!$C243</f>
        <v>8.9700000000000006</v>
      </c>
      <c r="O241">
        <f>[9]Unemployment!$B123</f>
        <v>3.5</v>
      </c>
      <c r="P241" s="2">
        <f>[2]Surveys_m!$B123</f>
        <v>126</v>
      </c>
      <c r="Q241">
        <f>[5]m!$B243</f>
        <v>37.700000000000003</v>
      </c>
      <c r="R241">
        <f>[5]m!$D243</f>
        <v>39.4</v>
      </c>
      <c r="S241">
        <f>[5]m!$Q243</f>
        <v>36.300000000000004</v>
      </c>
      <c r="T241">
        <f>[6]m!B243</f>
        <v>1624</v>
      </c>
      <c r="U241" s="2">
        <f>[9]Unemployment!$F123</f>
        <v>8</v>
      </c>
      <c r="V241" s="2">
        <f>[9]Unemployment!$G123</f>
        <v>4.6000000000000005</v>
      </c>
      <c r="W241">
        <f>[9]Unemployment!$E123</f>
        <v>2884</v>
      </c>
      <c r="X241">
        <f>[9]Unemployment!N123</f>
        <v>1585</v>
      </c>
      <c r="Y241">
        <f>[9]Unemployment!O123</f>
        <v>883</v>
      </c>
      <c r="Z241">
        <f>[9]Unemployment!P123-[9]Unemployment!Q123</f>
        <v>281</v>
      </c>
      <c r="AA241">
        <f>[9]Unemployment!$Q123</f>
        <v>132</v>
      </c>
      <c r="AB241" s="2">
        <f>[8]m!$C243</f>
        <v>8.9700000000000006</v>
      </c>
      <c r="AC241" s="2">
        <f>[8]m!$F243</f>
        <v>7.65</v>
      </c>
      <c r="AD241">
        <f>[9]Employment!$B123</f>
        <v>71240</v>
      </c>
      <c r="AE241" s="2">
        <f>[2]Indicators!$AB123</f>
        <v>38.523600000000002</v>
      </c>
      <c r="AF241" s="2">
        <f>[8]m!$AS243</f>
        <v>127.2</v>
      </c>
      <c r="AG241" s="2">
        <f>[8]m!$H243</f>
        <v>7.72</v>
      </c>
      <c r="AH241" s="2">
        <f>[8]m!$I243</f>
        <v>8.65</v>
      </c>
      <c r="AI241" s="2">
        <f>[7]m!C242</f>
        <v>4529</v>
      </c>
      <c r="AJ241" s="2">
        <f>[7]m!D242</f>
        <v>4340</v>
      </c>
      <c r="AK241" s="2">
        <f>[2]Surveys_m!$AB123</f>
        <v>52</v>
      </c>
      <c r="AL241" s="4">
        <f t="shared" si="3"/>
        <v>3707.2050290135403</v>
      </c>
      <c r="AN241" s="2">
        <v>75</v>
      </c>
      <c r="AQ241" s="3">
        <f>[9]LaborForce!$B122*[9]LaborForce!$C122/100</f>
        <v>81564.378000000012</v>
      </c>
      <c r="AR241">
        <f>[9]Unemployment!$AC123</f>
        <v>202</v>
      </c>
      <c r="AS241">
        <f>[2]Indicators!BC123</f>
        <v>43.4</v>
      </c>
      <c r="AT241">
        <f>[2]Indicators!BD123</f>
        <v>38.961100000000002</v>
      </c>
      <c r="AU241">
        <f>[2]Indicators!BE123</f>
        <v>97.368700000000004</v>
      </c>
    </row>
    <row r="242" spans="1:47" x14ac:dyDescent="0.25">
      <c r="A242" s="1">
        <v>25569</v>
      </c>
      <c r="B242" s="2">
        <f>[2]Indicators!G124</f>
        <v>630.245</v>
      </c>
      <c r="C242" s="2">
        <f>[2]Indicators!H124</f>
        <v>89.302999999999997</v>
      </c>
      <c r="D242" s="2">
        <f>[2]Indicators!I124</f>
        <v>224.48099999999999</v>
      </c>
      <c r="E242" s="2">
        <f>[2]Indicators!J124</f>
        <v>316.46100000000001</v>
      </c>
      <c r="M242" s="2">
        <f>[2]Indicators!AB124</f>
        <v>37.810300000000005</v>
      </c>
      <c r="N242" s="2">
        <f>[8]m!$C244</f>
        <v>8.98</v>
      </c>
      <c r="O242">
        <f>[9]Unemployment!$B124</f>
        <v>3.9000000000000004</v>
      </c>
      <c r="P242" s="2">
        <f>[2]Surveys_m!$B124</f>
        <v>126</v>
      </c>
      <c r="Q242">
        <f>[5]m!$B244</f>
        <v>37.9</v>
      </c>
      <c r="R242">
        <f>[5]m!$D244</f>
        <v>39.6</v>
      </c>
      <c r="S242">
        <f>[5]m!$Q244</f>
        <v>36.5</v>
      </c>
      <c r="T242">
        <f>[6]m!B244</f>
        <v>-98</v>
      </c>
      <c r="U242" s="2">
        <f>[9]Unemployment!$F124</f>
        <v>7.9</v>
      </c>
      <c r="V242" s="2">
        <f>[9]Unemployment!$G124</f>
        <v>4.6000000000000005</v>
      </c>
      <c r="W242">
        <f>[9]Unemployment!$E124</f>
        <v>3201</v>
      </c>
      <c r="X242">
        <f>[9]Unemployment!N124</f>
        <v>1800</v>
      </c>
      <c r="Y242">
        <f>[9]Unemployment!O124</f>
        <v>933</v>
      </c>
      <c r="Z242">
        <f>[9]Unemployment!P124-[9]Unemployment!Q124</f>
        <v>288</v>
      </c>
      <c r="AA242">
        <f>[9]Unemployment!$Q124</f>
        <v>143</v>
      </c>
      <c r="AB242" s="2">
        <f>[8]m!$C244</f>
        <v>8.98</v>
      </c>
      <c r="AC242" s="2">
        <f>[8]m!$F244</f>
        <v>7.79</v>
      </c>
      <c r="AD242">
        <f>[9]Employment!$B124</f>
        <v>71176</v>
      </c>
      <c r="AE242" s="2">
        <f>[2]Indicators!$AB124</f>
        <v>37.810300000000005</v>
      </c>
      <c r="AF242" s="2">
        <f>[8]m!$AS244</f>
        <v>127.80000000000001</v>
      </c>
      <c r="AG242" s="2">
        <f>[8]m!$H244</f>
        <v>7.91</v>
      </c>
      <c r="AH242" s="2">
        <f>[8]m!$I244</f>
        <v>8.86</v>
      </c>
      <c r="AI242" s="2">
        <f>[7]m!C243</f>
        <v>4411</v>
      </c>
      <c r="AJ242" s="2">
        <f>[7]m!D243</f>
        <v>4238</v>
      </c>
      <c r="AK242" s="2">
        <f>[2]Surveys_m!$AB124</f>
        <v>48.7</v>
      </c>
      <c r="AL242" s="4">
        <f t="shared" si="3"/>
        <v>3509.4874274661515</v>
      </c>
      <c r="AN242" s="2">
        <v>71</v>
      </c>
      <c r="AQ242" s="3">
        <f>[9]LaborForce!$B123*[9]LaborForce!$C123/100</f>
        <v>81970.652000000016</v>
      </c>
      <c r="AR242">
        <f>[9]Unemployment!$AC124</f>
        <v>223</v>
      </c>
      <c r="AS242">
        <f>[2]Indicators!BC124</f>
        <v>42.800000000000004</v>
      </c>
      <c r="AT242">
        <f>[2]Indicators!BD124</f>
        <v>38.761099999999999</v>
      </c>
      <c r="AU242">
        <f>[2]Indicators!BE124</f>
        <v>96.6447</v>
      </c>
    </row>
    <row r="243" spans="1:47" x14ac:dyDescent="0.25">
      <c r="A243" s="1">
        <v>25600</v>
      </c>
      <c r="B243" s="2">
        <f>[2]Indicators!G125</f>
        <v>635.51099999999997</v>
      </c>
      <c r="C243" s="2">
        <f>[2]Indicators!H125</f>
        <v>90.983000000000004</v>
      </c>
      <c r="D243" s="2">
        <f>[2]Indicators!I125</f>
        <v>224.01900000000001</v>
      </c>
      <c r="E243" s="2">
        <f>[2]Indicators!J125</f>
        <v>320.51</v>
      </c>
      <c r="M243" s="2">
        <f>[2]Indicators!AB125</f>
        <v>37.785400000000003</v>
      </c>
      <c r="N243" s="2">
        <f>[8]m!$C245</f>
        <v>8.98</v>
      </c>
      <c r="O243">
        <f>[9]Unemployment!$B125</f>
        <v>4.2</v>
      </c>
      <c r="P243" s="2">
        <f>[2]Surveys_m!$B125</f>
        <v>101.7</v>
      </c>
      <c r="Q243">
        <f>[5]m!$B245</f>
        <v>38.1</v>
      </c>
      <c r="R243">
        <f>[5]m!$D245</f>
        <v>39.800000000000004</v>
      </c>
      <c r="S243">
        <f>[5]m!$Q245</f>
        <v>36.700000000000003</v>
      </c>
      <c r="T243">
        <f>[6]m!B245</f>
        <v>40</v>
      </c>
      <c r="U243" s="2">
        <f>[9]Unemployment!$F125</f>
        <v>8</v>
      </c>
      <c r="V243" s="2">
        <f>[9]Unemployment!$G125</f>
        <v>4.5</v>
      </c>
      <c r="W243">
        <f>[9]Unemployment!$E125</f>
        <v>3453</v>
      </c>
      <c r="X243">
        <f>[9]Unemployment!N125</f>
        <v>1950</v>
      </c>
      <c r="Y243">
        <f>[9]Unemployment!O125</f>
        <v>1048</v>
      </c>
      <c r="Z243">
        <f>[9]Unemployment!P125-[9]Unemployment!Q125</f>
        <v>309</v>
      </c>
      <c r="AA243">
        <f>[9]Unemployment!$Q125</f>
        <v>161</v>
      </c>
      <c r="AB243" s="2">
        <f>[8]m!$C245</f>
        <v>8.98</v>
      </c>
      <c r="AC243" s="2">
        <f>[8]m!$F245</f>
        <v>7.24</v>
      </c>
      <c r="AD243">
        <f>[9]Employment!$B125</f>
        <v>71302</v>
      </c>
      <c r="AE243" s="2">
        <f>[2]Indicators!$AB125</f>
        <v>37.785400000000003</v>
      </c>
      <c r="AF243" s="2">
        <f>[8]m!$AS245</f>
        <v>128.20000000000002</v>
      </c>
      <c r="AG243" s="2">
        <f>[8]m!$H245</f>
        <v>7.9300000000000006</v>
      </c>
      <c r="AH243" s="2">
        <f>[8]m!$I245</f>
        <v>8.7799999999999994</v>
      </c>
      <c r="AI243" s="2">
        <f>[7]m!C244</f>
        <v>4484</v>
      </c>
      <c r="AJ243" s="2">
        <f>[7]m!D244</f>
        <v>4372</v>
      </c>
      <c r="AK243" s="2">
        <f>[2]Surveys_m!$AB125</f>
        <v>47.400000000000006</v>
      </c>
      <c r="AL243" s="4">
        <f t="shared" si="3"/>
        <v>3509.4874274661515</v>
      </c>
      <c r="AN243" s="2">
        <v>71</v>
      </c>
      <c r="AQ243" s="3">
        <f>[9]LaborForce!$B124*[9]LaborForce!$C124/100</f>
        <v>82118.028000000006</v>
      </c>
      <c r="AR243">
        <f>[9]Unemployment!$AC125</f>
        <v>239</v>
      </c>
      <c r="AS243">
        <f>[2]Indicators!BC125</f>
        <v>42.4</v>
      </c>
      <c r="AT243">
        <f>[2]Indicators!BD125</f>
        <v>38.581700000000005</v>
      </c>
      <c r="AU243">
        <f>[2]Indicators!BE125</f>
        <v>95.976300000000009</v>
      </c>
    </row>
    <row r="244" spans="1:47" x14ac:dyDescent="0.25">
      <c r="A244" s="1">
        <v>25628</v>
      </c>
      <c r="B244" s="2">
        <f>[2]Indicators!G126</f>
        <v>633.85800000000006</v>
      </c>
      <c r="C244" s="2">
        <f>[2]Indicators!H126</f>
        <v>88.548000000000002</v>
      </c>
      <c r="D244" s="2">
        <f>[2]Indicators!I126</f>
        <v>224.95099999999999</v>
      </c>
      <c r="E244" s="2">
        <f>[2]Indicators!J126</f>
        <v>320.35899999999998</v>
      </c>
      <c r="M244" s="2">
        <f>[2]Indicators!AB126</f>
        <v>37.7363</v>
      </c>
      <c r="N244" s="2">
        <f>[8]m!$C246</f>
        <v>7.76</v>
      </c>
      <c r="O244">
        <f>[9]Unemployment!$B126</f>
        <v>4.4000000000000004</v>
      </c>
      <c r="P244" s="2">
        <f>[2]Surveys_m!$B126</f>
        <v>101.7</v>
      </c>
      <c r="Q244">
        <f>[5]m!$B246</f>
        <v>38.300000000000004</v>
      </c>
      <c r="R244">
        <f>[5]m!$D246</f>
        <v>40.1</v>
      </c>
      <c r="S244">
        <f>[5]m!$Q246</f>
        <v>36.700000000000003</v>
      </c>
      <c r="T244">
        <f>[6]m!B246</f>
        <v>-3423</v>
      </c>
      <c r="U244" s="2">
        <f>[9]Unemployment!$F126</f>
        <v>8.3000000000000007</v>
      </c>
      <c r="V244" s="2">
        <f>[9]Unemployment!$G126</f>
        <v>4.6000000000000005</v>
      </c>
      <c r="W244">
        <f>[9]Unemployment!$E126</f>
        <v>3635</v>
      </c>
      <c r="X244">
        <f>[9]Unemployment!N126</f>
        <v>1978</v>
      </c>
      <c r="Y244">
        <f>[9]Unemployment!O126</f>
        <v>1133</v>
      </c>
      <c r="Z244">
        <f>[9]Unemployment!P126-[9]Unemployment!Q126</f>
        <v>353</v>
      </c>
      <c r="AA244">
        <f>[9]Unemployment!$Q126</f>
        <v>181</v>
      </c>
      <c r="AB244" s="2">
        <f>[8]m!$C246</f>
        <v>7.76</v>
      </c>
      <c r="AC244" s="2">
        <f>[8]m!$F246</f>
        <v>7.07</v>
      </c>
      <c r="AD244">
        <f>[9]Employment!$B126</f>
        <v>71453</v>
      </c>
      <c r="AE244" s="2">
        <f>[2]Indicators!$AB126</f>
        <v>37.7363</v>
      </c>
      <c r="AF244" s="2">
        <f>[8]m!$AS246</f>
        <v>128.30000000000001</v>
      </c>
      <c r="AG244" s="2">
        <f>[8]m!$H246</f>
        <v>7.84</v>
      </c>
      <c r="AH244" s="2">
        <f>[8]m!$I246</f>
        <v>8.6300000000000008</v>
      </c>
      <c r="AI244" s="2">
        <f>[7]m!C245</f>
        <v>4624</v>
      </c>
      <c r="AJ244" s="2">
        <f>[7]m!D245</f>
        <v>4429</v>
      </c>
      <c r="AK244" s="2">
        <f>[2]Surveys_m!$AB126</f>
        <v>46.900000000000006</v>
      </c>
      <c r="AL244" s="4">
        <f t="shared" si="3"/>
        <v>3311.7698259187628</v>
      </c>
      <c r="AN244" s="2">
        <v>67</v>
      </c>
      <c r="AQ244" s="3">
        <f>[9]LaborForce!$B125*[9]LaborForce!$C125/100</f>
        <v>82524.474000000002</v>
      </c>
      <c r="AR244">
        <f>[9]Unemployment!$AC126</f>
        <v>242</v>
      </c>
      <c r="AS244">
        <f>[2]Indicators!BC126</f>
        <v>42</v>
      </c>
      <c r="AT244">
        <f>[2]Indicators!BD126</f>
        <v>38.445599999999999</v>
      </c>
      <c r="AU244">
        <f>[2]Indicators!BE126</f>
        <v>95.419200000000004</v>
      </c>
    </row>
    <row r="245" spans="1:47" x14ac:dyDescent="0.25">
      <c r="A245" s="1">
        <v>25659</v>
      </c>
      <c r="B245" s="2">
        <f>[2]Indicators!G127</f>
        <v>637.57000000000005</v>
      </c>
      <c r="C245" s="2">
        <f>[2]Indicators!H127</f>
        <v>89.977000000000004</v>
      </c>
      <c r="D245" s="2">
        <f>[2]Indicators!I127</f>
        <v>224.67400000000001</v>
      </c>
      <c r="E245" s="2">
        <f>[2]Indicators!J127</f>
        <v>322.91899999999998</v>
      </c>
      <c r="M245" s="2">
        <f>[2]Indicators!AB127</f>
        <v>37.639299999999999</v>
      </c>
      <c r="N245" s="2">
        <f>[8]m!$C247</f>
        <v>8.1</v>
      </c>
      <c r="O245">
        <f>[9]Unemployment!$B127</f>
        <v>4.6000000000000005</v>
      </c>
      <c r="P245" s="2">
        <f>[2]Surveys_m!$B127</f>
        <v>98</v>
      </c>
      <c r="Q245">
        <f>[5]m!$B247</f>
        <v>38.5</v>
      </c>
      <c r="R245">
        <f>[5]m!$D247</f>
        <v>40.4</v>
      </c>
      <c r="S245">
        <f>[5]m!$Q247</f>
        <v>36.800000000000004</v>
      </c>
      <c r="T245">
        <f>[6]m!B247</f>
        <v>3975</v>
      </c>
      <c r="U245" s="2">
        <f>[9]Unemployment!$F127</f>
        <v>8.2000000000000011</v>
      </c>
      <c r="V245" s="2">
        <f>[9]Unemployment!$G127</f>
        <v>4.1000000000000005</v>
      </c>
      <c r="W245">
        <f>[9]Unemployment!$E127</f>
        <v>3797</v>
      </c>
      <c r="X245">
        <f>[9]Unemployment!N127</f>
        <v>2139</v>
      </c>
      <c r="Y245">
        <f>[9]Unemployment!O127</f>
        <v>1106</v>
      </c>
      <c r="Z245">
        <f>[9]Unemployment!P127-[9]Unemployment!Q127</f>
        <v>400</v>
      </c>
      <c r="AA245">
        <f>[9]Unemployment!$Q127</f>
        <v>202</v>
      </c>
      <c r="AB245" s="2">
        <f>[8]m!$C247</f>
        <v>8.1</v>
      </c>
      <c r="AC245" s="2">
        <f>[8]m!$F247</f>
        <v>7.3900000000000006</v>
      </c>
      <c r="AD245">
        <f>[9]Employment!$B127</f>
        <v>71348</v>
      </c>
      <c r="AE245" s="2">
        <f>[2]Indicators!$AB127</f>
        <v>37.639299999999999</v>
      </c>
      <c r="AF245" s="2">
        <f>[8]m!$AS247</f>
        <v>128.4</v>
      </c>
      <c r="AG245" s="2">
        <f>[8]m!$H247</f>
        <v>7.83</v>
      </c>
      <c r="AH245" s="2">
        <f>[8]m!$I247</f>
        <v>8.7000000000000011</v>
      </c>
      <c r="AI245" s="2">
        <f>[7]m!C246</f>
        <v>4453</v>
      </c>
      <c r="AJ245" s="2">
        <f>[7]m!D246</f>
        <v>4369</v>
      </c>
      <c r="AK245" s="2">
        <f>[2]Surveys_m!$AB127</f>
        <v>45</v>
      </c>
      <c r="AL245" s="4">
        <f t="shared" si="3"/>
        <v>3212.9110251450684</v>
      </c>
      <c r="AN245" s="2">
        <v>65</v>
      </c>
      <c r="AQ245" s="3">
        <f>[9]LaborForce!$B126*[9]LaborForce!$C126/100</f>
        <v>82668.096000000005</v>
      </c>
      <c r="AR245">
        <f>[9]Unemployment!$AC127</f>
        <v>276</v>
      </c>
      <c r="AS245">
        <f>[2]Indicators!BC127</f>
        <v>41.5</v>
      </c>
      <c r="AT245">
        <f>[2]Indicators!BD127</f>
        <v>38.363900000000001</v>
      </c>
      <c r="AU245">
        <f>[2]Indicators!BE127</f>
        <v>94.999400000000009</v>
      </c>
    </row>
    <row r="246" spans="1:47" x14ac:dyDescent="0.25">
      <c r="A246" s="1">
        <v>25689</v>
      </c>
      <c r="B246" s="2">
        <f>[2]Indicators!G128</f>
        <v>644</v>
      </c>
      <c r="C246" s="2">
        <f>[2]Indicators!H128</f>
        <v>91.158000000000001</v>
      </c>
      <c r="D246" s="2">
        <f>[2]Indicators!I128</f>
        <v>227.17500000000001</v>
      </c>
      <c r="E246" s="2">
        <f>[2]Indicators!J128</f>
        <v>325.66700000000003</v>
      </c>
      <c r="M246" s="2">
        <f>[2]Indicators!AB128</f>
        <v>37.595400000000005</v>
      </c>
      <c r="N246" s="2">
        <f>[8]m!$C248</f>
        <v>7.94</v>
      </c>
      <c r="O246">
        <f>[9]Unemployment!$B128</f>
        <v>4.8000000000000007</v>
      </c>
      <c r="P246" s="2">
        <f>[2]Surveys_m!$B128</f>
        <v>98</v>
      </c>
      <c r="Q246">
        <f>[5]m!$B248</f>
        <v>38.6</v>
      </c>
      <c r="R246">
        <f>[5]m!$D248</f>
        <v>40.5</v>
      </c>
      <c r="S246">
        <f>[5]m!$Q248</f>
        <v>36.800000000000004</v>
      </c>
      <c r="T246">
        <f>[6]m!B248</f>
        <v>-2468</v>
      </c>
      <c r="U246" s="2">
        <f>[9]Unemployment!$F128</f>
        <v>8.6</v>
      </c>
      <c r="V246" s="2">
        <f>[9]Unemployment!$G128</f>
        <v>4.7</v>
      </c>
      <c r="W246">
        <f>[9]Unemployment!$E128</f>
        <v>3919</v>
      </c>
      <c r="X246">
        <f>[9]Unemployment!N128</f>
        <v>2109</v>
      </c>
      <c r="Y246">
        <f>[9]Unemployment!O128</f>
        <v>1241</v>
      </c>
      <c r="Z246">
        <f>[9]Unemployment!P128-[9]Unemployment!Q128</f>
        <v>360</v>
      </c>
      <c r="AA246">
        <f>[9]Unemployment!$Q128</f>
        <v>231</v>
      </c>
      <c r="AB246" s="2">
        <f>[8]m!$C248</f>
        <v>7.94</v>
      </c>
      <c r="AC246" s="2">
        <f>[8]m!$F248</f>
        <v>7.91</v>
      </c>
      <c r="AD246">
        <f>[9]Employment!$B128</f>
        <v>71122</v>
      </c>
      <c r="AE246" s="2">
        <f>[2]Indicators!$AB128</f>
        <v>37.595400000000005</v>
      </c>
      <c r="AF246" s="2">
        <f>[8]m!$AS248</f>
        <v>128.5</v>
      </c>
      <c r="AG246" s="2">
        <f>[8]m!$H248</f>
        <v>8.11</v>
      </c>
      <c r="AH246" s="2">
        <f>[8]m!$I248</f>
        <v>8.98</v>
      </c>
      <c r="AI246" s="2">
        <f>[7]m!C247</f>
        <v>4625</v>
      </c>
      <c r="AJ246" s="2">
        <f>[7]m!D247</f>
        <v>4492</v>
      </c>
      <c r="AK246" s="2">
        <f>[2]Surveys_m!$AB128</f>
        <v>47.2</v>
      </c>
      <c r="AL246" s="4">
        <f t="shared" si="3"/>
        <v>3015.1934235976796</v>
      </c>
      <c r="AN246" s="2">
        <v>61</v>
      </c>
      <c r="AQ246" s="3">
        <f>[9]LaborForce!$B127*[9]LaborForce!$C127/100</f>
        <v>82421.65800000001</v>
      </c>
      <c r="AR246">
        <f>[9]Unemployment!$AC128</f>
        <v>334</v>
      </c>
      <c r="AS246">
        <f>[2]Indicators!BC128</f>
        <v>41.800000000000004</v>
      </c>
      <c r="AT246">
        <f>[2]Indicators!BD128</f>
        <v>38.359000000000002</v>
      </c>
      <c r="AU246">
        <f>[2]Indicators!BE128</f>
        <v>94.771200000000007</v>
      </c>
    </row>
    <row r="247" spans="1:47" x14ac:dyDescent="0.25">
      <c r="A247" s="1">
        <v>25720</v>
      </c>
      <c r="B247" s="2">
        <f>[2]Indicators!G129</f>
        <v>647.85699999999997</v>
      </c>
      <c r="C247" s="2">
        <f>[2]Indicators!H129</f>
        <v>91.885000000000005</v>
      </c>
      <c r="D247" s="2">
        <f>[2]Indicators!I129</f>
        <v>227.79500000000002</v>
      </c>
      <c r="E247" s="2">
        <f>[2]Indicators!J129</f>
        <v>328.178</v>
      </c>
      <c r="M247" s="2">
        <f>[2]Indicators!AB129</f>
        <v>37.473800000000004</v>
      </c>
      <c r="N247" s="2">
        <f>[8]m!$C249</f>
        <v>7.6000000000000005</v>
      </c>
      <c r="O247">
        <f>[9]Unemployment!$B129</f>
        <v>4.9000000000000004</v>
      </c>
      <c r="P247" s="2">
        <f>[2]Surveys_m!$B129</f>
        <v>88.100000000000009</v>
      </c>
      <c r="Q247">
        <f>[5]m!$B249</f>
        <v>38.800000000000004</v>
      </c>
      <c r="R247">
        <f>[5]m!$D249</f>
        <v>40.800000000000004</v>
      </c>
      <c r="S247">
        <f>[5]m!$Q249</f>
        <v>36.9</v>
      </c>
      <c r="T247">
        <f>[6]m!B249</f>
        <v>7222</v>
      </c>
      <c r="U247" s="2">
        <f>[9]Unemployment!$F129</f>
        <v>8.6</v>
      </c>
      <c r="V247" s="2">
        <f>[9]Unemployment!$G129</f>
        <v>4.9000000000000004</v>
      </c>
      <c r="W247">
        <f>[9]Unemployment!$E129</f>
        <v>4071</v>
      </c>
      <c r="X247">
        <f>[9]Unemployment!N129</f>
        <v>2100</v>
      </c>
      <c r="Y247">
        <f>[9]Unemployment!O129</f>
        <v>1290</v>
      </c>
      <c r="Z247">
        <f>[9]Unemployment!P129-[9]Unemployment!Q129</f>
        <v>433</v>
      </c>
      <c r="AA247">
        <f>[9]Unemployment!$Q129</f>
        <v>224</v>
      </c>
      <c r="AB247" s="2">
        <f>[8]m!$C249</f>
        <v>7.6000000000000005</v>
      </c>
      <c r="AC247" s="2">
        <f>[8]m!$F249</f>
        <v>7.84</v>
      </c>
      <c r="AD247">
        <f>[9]Employment!$B129</f>
        <v>71028</v>
      </c>
      <c r="AE247" s="2">
        <f>[2]Indicators!$AB129</f>
        <v>37.473800000000004</v>
      </c>
      <c r="AF247" s="2">
        <f>[8]m!$AS249</f>
        <v>129.20000000000002</v>
      </c>
      <c r="AG247" s="2">
        <f>[8]m!$H249</f>
        <v>8.48</v>
      </c>
      <c r="AH247" s="2">
        <f>[8]m!$I249</f>
        <v>9.25</v>
      </c>
      <c r="AI247" s="2">
        <f>[7]m!C248</f>
        <v>4876</v>
      </c>
      <c r="AJ247" s="2">
        <f>[7]m!D248</f>
        <v>4567</v>
      </c>
      <c r="AK247" s="2">
        <f>[2]Surveys_m!$AB129</f>
        <v>51.1</v>
      </c>
      <c r="AL247" s="4">
        <f t="shared" si="3"/>
        <v>2965.7640232108324</v>
      </c>
      <c r="AN247" s="2">
        <v>60</v>
      </c>
      <c r="AQ247" s="3">
        <f>[9]LaborForce!$B128*[9]LaborForce!$C128/100</f>
        <v>82430.054000000004</v>
      </c>
      <c r="AR247">
        <f>[9]Unemployment!$AC129</f>
        <v>301</v>
      </c>
      <c r="AS247">
        <f>[2]Indicators!BC129</f>
        <v>41.9</v>
      </c>
      <c r="AT247">
        <f>[2]Indicators!BD129</f>
        <v>38.4253</v>
      </c>
      <c r="AU247">
        <f>[2]Indicators!BE129</f>
        <v>94.718900000000005</v>
      </c>
    </row>
    <row r="248" spans="1:47" x14ac:dyDescent="0.25">
      <c r="A248" s="1">
        <v>25750</v>
      </c>
      <c r="B248" s="2">
        <f>[2]Indicators!G130</f>
        <v>650.07000000000005</v>
      </c>
      <c r="C248" s="2">
        <f>[2]Indicators!H130</f>
        <v>91.363</v>
      </c>
      <c r="D248" s="2">
        <f>[2]Indicators!I130</f>
        <v>228.31800000000001</v>
      </c>
      <c r="E248" s="2">
        <f>[2]Indicators!J130</f>
        <v>330.38900000000001</v>
      </c>
      <c r="M248" s="2">
        <f>[2]Indicators!AB130</f>
        <v>37.565800000000003</v>
      </c>
      <c r="N248" s="2">
        <f>[8]m!$C250</f>
        <v>7.21</v>
      </c>
      <c r="O248">
        <f>[9]Unemployment!$B130</f>
        <v>5</v>
      </c>
      <c r="P248" s="2">
        <f>[2]Surveys_m!$B130</f>
        <v>88.100000000000009</v>
      </c>
      <c r="Q248">
        <f>[5]m!$B250</f>
        <v>38.9</v>
      </c>
      <c r="R248">
        <f>[5]m!$D250</f>
        <v>40.9</v>
      </c>
      <c r="S248">
        <f>[5]m!$Q250</f>
        <v>37.1</v>
      </c>
      <c r="T248">
        <f>[6]m!B250</f>
        <v>-6650</v>
      </c>
      <c r="U248" s="2">
        <f>[9]Unemployment!$F130</f>
        <v>8.9</v>
      </c>
      <c r="V248" s="2">
        <f>[9]Unemployment!$G130</f>
        <v>5.1000000000000005</v>
      </c>
      <c r="W248">
        <f>[9]Unemployment!$E130</f>
        <v>4175</v>
      </c>
      <c r="X248">
        <f>[9]Unemployment!N130</f>
        <v>2132</v>
      </c>
      <c r="Y248">
        <f>[9]Unemployment!O130</f>
        <v>1329</v>
      </c>
      <c r="Z248">
        <f>[9]Unemployment!P130-[9]Unemployment!Q130</f>
        <v>428</v>
      </c>
      <c r="AA248">
        <f>[9]Unemployment!$Q130</f>
        <v>234</v>
      </c>
      <c r="AB248" s="2">
        <f>[8]m!$C250</f>
        <v>7.21</v>
      </c>
      <c r="AC248" s="2">
        <f>[8]m!$F250</f>
        <v>7.46</v>
      </c>
      <c r="AD248">
        <f>[9]Employment!$B130</f>
        <v>71055</v>
      </c>
      <c r="AE248" s="2">
        <f>[2]Indicators!$AB130</f>
        <v>37.565800000000003</v>
      </c>
      <c r="AF248" s="2">
        <f>[8]m!$AS250</f>
        <v>129.9</v>
      </c>
      <c r="AG248" s="2">
        <f>[8]m!$H250</f>
        <v>8.44</v>
      </c>
      <c r="AH248" s="2">
        <f>[8]m!$I250</f>
        <v>9.4</v>
      </c>
      <c r="AI248" s="2">
        <f>[7]m!C249</f>
        <v>4942</v>
      </c>
      <c r="AJ248" s="2">
        <f>[7]m!D249</f>
        <v>4495</v>
      </c>
      <c r="AK248" s="2">
        <f>[2]Surveys_m!$AB130</f>
        <v>49.5</v>
      </c>
      <c r="AL248" s="4">
        <f t="shared" si="3"/>
        <v>2866.905222437138</v>
      </c>
      <c r="AN248" s="2">
        <v>58</v>
      </c>
      <c r="AQ248" s="3">
        <f>[9]LaborForce!$B129*[9]LaborForce!$C129/100</f>
        <v>82866.384000000005</v>
      </c>
      <c r="AR248">
        <f>[9]Unemployment!$AC130</f>
        <v>291</v>
      </c>
      <c r="AS248">
        <f>[2]Indicators!BC130</f>
        <v>41.9</v>
      </c>
      <c r="AT248">
        <f>[2]Indicators!BD130</f>
        <v>38.5381</v>
      </c>
      <c r="AU248">
        <f>[2]Indicators!BE130</f>
        <v>94.780300000000011</v>
      </c>
    </row>
    <row r="249" spans="1:47" x14ac:dyDescent="0.25">
      <c r="A249" s="1">
        <v>25781</v>
      </c>
      <c r="B249" s="2">
        <f>[2]Indicators!G131</f>
        <v>654.51099999999997</v>
      </c>
      <c r="C249" s="2">
        <f>[2]Indicators!H131</f>
        <v>92.325000000000003</v>
      </c>
      <c r="D249" s="2">
        <f>[2]Indicators!I131</f>
        <v>229.13400000000001</v>
      </c>
      <c r="E249" s="2">
        <f>[2]Indicators!J131</f>
        <v>333.05200000000002</v>
      </c>
      <c r="M249" s="2">
        <f>[2]Indicators!AB131</f>
        <v>37.498800000000003</v>
      </c>
      <c r="N249" s="2">
        <f>[8]m!$C251</f>
        <v>6.61</v>
      </c>
      <c r="O249">
        <f>[9]Unemployment!$B131</f>
        <v>5.1000000000000005</v>
      </c>
      <c r="P249" s="2">
        <f>[2]Surveys_m!$B131</f>
        <v>91</v>
      </c>
      <c r="Q249">
        <f>[5]m!$B251</f>
        <v>39</v>
      </c>
      <c r="R249">
        <f>[5]m!$D251</f>
        <v>41.1</v>
      </c>
      <c r="S249">
        <f>[5]m!$Q251</f>
        <v>36.9</v>
      </c>
      <c r="T249">
        <f>[6]m!B251</f>
        <v>-2380</v>
      </c>
      <c r="U249" s="2">
        <f>[9]Unemployment!$F131</f>
        <v>8.8000000000000007</v>
      </c>
      <c r="V249" s="2">
        <f>[9]Unemployment!$G131</f>
        <v>5.4</v>
      </c>
      <c r="W249">
        <f>[9]Unemployment!$E131</f>
        <v>4256</v>
      </c>
      <c r="X249">
        <f>[9]Unemployment!N131</f>
        <v>2182</v>
      </c>
      <c r="Y249">
        <f>[9]Unemployment!O131</f>
        <v>1348</v>
      </c>
      <c r="Z249">
        <f>[9]Unemployment!P131-[9]Unemployment!Q131</f>
        <v>454</v>
      </c>
      <c r="AA249">
        <f>[9]Unemployment!$Q131</f>
        <v>251</v>
      </c>
      <c r="AB249" s="2">
        <f>[8]m!$C251</f>
        <v>6.61</v>
      </c>
      <c r="AC249" s="2">
        <f>[8]m!$F251</f>
        <v>7.53</v>
      </c>
      <c r="AD249">
        <f>[9]Employment!$B131</f>
        <v>70932</v>
      </c>
      <c r="AE249" s="2">
        <f>[2]Indicators!$AB131</f>
        <v>37.498800000000003</v>
      </c>
      <c r="AF249" s="2">
        <f>[8]m!$AS251</f>
        <v>130.20000000000002</v>
      </c>
      <c r="AG249" s="2">
        <f>[8]m!$H251</f>
        <v>8.1300000000000008</v>
      </c>
      <c r="AH249" s="2">
        <f>[8]m!$I251</f>
        <v>9.44</v>
      </c>
      <c r="AI249" s="2">
        <f>[7]m!C250</f>
        <v>4912</v>
      </c>
      <c r="AJ249" s="2">
        <f>[7]m!D250</f>
        <v>4492</v>
      </c>
      <c r="AK249" s="2">
        <f>[2]Surveys_m!$AB131</f>
        <v>47.300000000000004</v>
      </c>
      <c r="AL249" s="4">
        <f t="shared" si="3"/>
        <v>2817.4758220502908</v>
      </c>
      <c r="AN249" s="2">
        <v>57</v>
      </c>
      <c r="AQ249" s="3">
        <f>[9]LaborForce!$B130*[9]LaborForce!$C130/100</f>
        <v>82885.968000000008</v>
      </c>
      <c r="AR249">
        <f>[9]Unemployment!$AC131</f>
        <v>261</v>
      </c>
      <c r="AS249">
        <f>[2]Indicators!BC131</f>
        <v>42</v>
      </c>
      <c r="AT249">
        <f>[2]Indicators!BD131</f>
        <v>38.688400000000001</v>
      </c>
      <c r="AU249">
        <f>[2]Indicators!BE131</f>
        <v>94.932200000000009</v>
      </c>
    </row>
    <row r="250" spans="1:47" x14ac:dyDescent="0.25">
      <c r="A250" s="1">
        <v>25812</v>
      </c>
      <c r="B250" s="2">
        <f>[2]Indicators!G132</f>
        <v>660.68000000000006</v>
      </c>
      <c r="C250" s="2">
        <f>[2]Indicators!H132</f>
        <v>92.344999999999999</v>
      </c>
      <c r="D250" s="2">
        <f>[2]Indicators!I132</f>
        <v>231.696</v>
      </c>
      <c r="E250" s="2">
        <f>[2]Indicators!J132</f>
        <v>336.63900000000001</v>
      </c>
      <c r="M250" s="2">
        <f>[2]Indicators!AB132</f>
        <v>37.240300000000005</v>
      </c>
      <c r="N250" s="2">
        <f>[8]m!$C252</f>
        <v>6.29</v>
      </c>
      <c r="O250">
        <f>[9]Unemployment!$B132</f>
        <v>5.4</v>
      </c>
      <c r="P250" s="2">
        <f>[2]Surveys_m!$B132</f>
        <v>91</v>
      </c>
      <c r="Q250">
        <f>[5]m!$B252</f>
        <v>39.200000000000003</v>
      </c>
      <c r="R250">
        <f>[5]m!$D252</f>
        <v>41.300000000000004</v>
      </c>
      <c r="S250">
        <f>[5]m!$Q252</f>
        <v>37.1</v>
      </c>
      <c r="T250">
        <f>[6]m!B252</f>
        <v>1280</v>
      </c>
      <c r="U250" s="2">
        <f>[9]Unemployment!$F132</f>
        <v>8.9</v>
      </c>
      <c r="V250" s="2">
        <f>[9]Unemployment!$G132</f>
        <v>5.2</v>
      </c>
      <c r="W250">
        <f>[9]Unemployment!$E132</f>
        <v>4456</v>
      </c>
      <c r="X250">
        <f>[9]Unemployment!N132</f>
        <v>2235</v>
      </c>
      <c r="Y250">
        <f>[9]Unemployment!O132</f>
        <v>1448</v>
      </c>
      <c r="Z250">
        <f>[9]Unemployment!P132-[9]Unemployment!Q132</f>
        <v>507</v>
      </c>
      <c r="AA250">
        <f>[9]Unemployment!$Q132</f>
        <v>281</v>
      </c>
      <c r="AB250" s="2">
        <f>[8]m!$C252</f>
        <v>6.29</v>
      </c>
      <c r="AC250" s="2">
        <f>[8]m!$F252</f>
        <v>7.3900000000000006</v>
      </c>
      <c r="AD250">
        <f>[9]Employment!$B132</f>
        <v>70949</v>
      </c>
      <c r="AE250" s="2">
        <f>[2]Indicators!$AB132</f>
        <v>37.240300000000005</v>
      </c>
      <c r="AF250" s="2">
        <f>[8]m!$AS252</f>
        <v>130.9</v>
      </c>
      <c r="AG250" s="2">
        <f>[8]m!$H252</f>
        <v>8.09</v>
      </c>
      <c r="AH250" s="2">
        <f>[8]m!$I252</f>
        <v>9.39</v>
      </c>
      <c r="AI250" s="2">
        <f>[7]m!C251</f>
        <v>4799</v>
      </c>
      <c r="AJ250" s="2">
        <f>[7]m!D251</f>
        <v>4584</v>
      </c>
      <c r="AK250" s="2">
        <f>[2]Surveys_m!$AB132</f>
        <v>44.1</v>
      </c>
      <c r="AL250" s="4">
        <f t="shared" si="3"/>
        <v>2768.0464216634437</v>
      </c>
      <c r="AN250" s="2">
        <v>56</v>
      </c>
      <c r="AQ250" s="3">
        <f>[9]LaborForce!$B131*[9]LaborForce!$C131/100</f>
        <v>82905.634000000005</v>
      </c>
      <c r="AR250">
        <f>[9]Unemployment!$AC132</f>
        <v>297</v>
      </c>
      <c r="AS250">
        <f>[2]Indicators!BC132</f>
        <v>42</v>
      </c>
      <c r="AT250">
        <f>[2]Indicators!BD132</f>
        <v>38.895400000000002</v>
      </c>
      <c r="AU250">
        <f>[2]Indicators!BE132</f>
        <v>95.220399999999998</v>
      </c>
    </row>
    <row r="251" spans="1:47" x14ac:dyDescent="0.25">
      <c r="A251" s="1">
        <v>25842</v>
      </c>
      <c r="B251" s="2">
        <f>[2]Indicators!G133</f>
        <v>659.93299999999999</v>
      </c>
      <c r="C251" s="2">
        <f>[2]Indicators!H133</f>
        <v>89.719000000000008</v>
      </c>
      <c r="D251" s="2">
        <f>[2]Indicators!I133</f>
        <v>232.53900000000002</v>
      </c>
      <c r="E251" s="2">
        <f>[2]Indicators!J133</f>
        <v>337.67500000000001</v>
      </c>
      <c r="M251" s="2">
        <f>[2]Indicators!AB133</f>
        <v>36.495400000000004</v>
      </c>
      <c r="N251" s="2">
        <f>[8]m!$C253</f>
        <v>6.2</v>
      </c>
      <c r="O251">
        <f>[9]Unemployment!$B133</f>
        <v>5.5</v>
      </c>
      <c r="P251" s="2">
        <f>[2]Surveys_m!$B133</f>
        <v>83.2</v>
      </c>
      <c r="Q251">
        <f>[5]m!$B253</f>
        <v>39.4</v>
      </c>
      <c r="R251">
        <f>[5]m!$D253</f>
        <v>41.5</v>
      </c>
      <c r="S251">
        <f>[5]m!$Q253</f>
        <v>37.1</v>
      </c>
      <c r="T251">
        <f>[6]m!B253</f>
        <v>-6163</v>
      </c>
      <c r="U251" s="2">
        <f>[9]Unemployment!$F133</f>
        <v>8.7000000000000011</v>
      </c>
      <c r="V251" s="2">
        <f>[9]Unemployment!$G133</f>
        <v>5.2</v>
      </c>
      <c r="W251">
        <f>[9]Unemployment!$E133</f>
        <v>4591</v>
      </c>
      <c r="X251">
        <f>[9]Unemployment!N133</f>
        <v>2386</v>
      </c>
      <c r="Y251">
        <f>[9]Unemployment!O133</f>
        <v>1470</v>
      </c>
      <c r="Z251">
        <f>[9]Unemployment!P133-[9]Unemployment!Q133</f>
        <v>512</v>
      </c>
      <c r="AA251">
        <f>[9]Unemployment!$Q133</f>
        <v>259</v>
      </c>
      <c r="AB251" s="2">
        <f>[8]m!$C253</f>
        <v>6.2</v>
      </c>
      <c r="AC251" s="2">
        <f>[8]m!$F253</f>
        <v>7.33</v>
      </c>
      <c r="AD251">
        <f>[9]Employment!$B133</f>
        <v>70519</v>
      </c>
      <c r="AE251" s="2">
        <f>[2]Indicators!$AB133</f>
        <v>36.495400000000004</v>
      </c>
      <c r="AF251" s="2">
        <f>[8]m!$AS253</f>
        <v>131.1</v>
      </c>
      <c r="AG251" s="2">
        <f>[8]m!$H253</f>
        <v>8.0299999999999994</v>
      </c>
      <c r="AH251" s="2">
        <f>[8]m!$I253</f>
        <v>9.33</v>
      </c>
      <c r="AI251" s="2">
        <f>[7]m!C252</f>
        <v>4761</v>
      </c>
      <c r="AJ251" s="2">
        <f>[7]m!D252</f>
        <v>4661</v>
      </c>
      <c r="AK251" s="2">
        <f>[2]Surveys_m!$AB133</f>
        <v>42.400000000000006</v>
      </c>
      <c r="AL251" s="4">
        <f t="shared" si="3"/>
        <v>2619.7582205029021</v>
      </c>
      <c r="AN251" s="2">
        <v>53</v>
      </c>
      <c r="AQ251" s="3">
        <f>[9]LaborForce!$B132*[9]LaborForce!$C132/100</f>
        <v>83344.752000000008</v>
      </c>
      <c r="AR251">
        <f>[9]Unemployment!$AC133</f>
        <v>333</v>
      </c>
      <c r="AS251">
        <f>[2]Indicators!BC133</f>
        <v>41.800000000000004</v>
      </c>
      <c r="AT251">
        <f>[2]Indicators!BD133</f>
        <v>39.183199999999999</v>
      </c>
      <c r="AU251">
        <f>[2]Indicators!BE133</f>
        <v>95.7029</v>
      </c>
    </row>
    <row r="252" spans="1:47" x14ac:dyDescent="0.25">
      <c r="A252" s="1">
        <v>25873</v>
      </c>
      <c r="B252" s="2">
        <f>[2]Indicators!G134</f>
        <v>658.18200000000002</v>
      </c>
      <c r="C252" s="2">
        <f>[2]Indicators!H134</f>
        <v>85.150999999999996</v>
      </c>
      <c r="D252" s="2">
        <f>[2]Indicators!I134</f>
        <v>233.46100000000001</v>
      </c>
      <c r="E252" s="2">
        <f>[2]Indicators!J134</f>
        <v>339.57</v>
      </c>
      <c r="M252" s="2">
        <f>[2]Indicators!AB134</f>
        <v>36.274300000000004</v>
      </c>
      <c r="N252" s="2">
        <f>[8]m!$C254</f>
        <v>5.6000000000000005</v>
      </c>
      <c r="O252">
        <f>[9]Unemployment!$B134</f>
        <v>5.9</v>
      </c>
      <c r="P252" s="2">
        <f>[2]Surveys_m!$B134</f>
        <v>83.2</v>
      </c>
      <c r="Q252">
        <f>[5]m!$B254</f>
        <v>39.6</v>
      </c>
      <c r="R252">
        <f>[5]m!$D254</f>
        <v>41.800000000000004</v>
      </c>
      <c r="S252">
        <f>[5]m!$Q254</f>
        <v>37.1</v>
      </c>
      <c r="T252">
        <f>[6]m!B254</f>
        <v>-2562</v>
      </c>
      <c r="U252" s="2">
        <f>[9]Unemployment!$F134</f>
        <v>9.3000000000000007</v>
      </c>
      <c r="V252" s="2">
        <f>[9]Unemployment!$G134</f>
        <v>5.6000000000000005</v>
      </c>
      <c r="W252">
        <f>[9]Unemployment!$E134</f>
        <v>4898</v>
      </c>
      <c r="X252">
        <f>[9]Unemployment!N134</f>
        <v>2338</v>
      </c>
      <c r="Y252">
        <f>[9]Unemployment!O134</f>
        <v>1713</v>
      </c>
      <c r="Z252">
        <f>[9]Unemployment!P134-[9]Unemployment!Q134</f>
        <v>539</v>
      </c>
      <c r="AA252">
        <f>[9]Unemployment!$Q134</f>
        <v>332</v>
      </c>
      <c r="AB252" s="2">
        <f>[8]m!$C254</f>
        <v>5.6000000000000005</v>
      </c>
      <c r="AC252" s="2">
        <f>[8]m!$F254</f>
        <v>6.84</v>
      </c>
      <c r="AD252">
        <f>[9]Employment!$B134</f>
        <v>70409</v>
      </c>
      <c r="AE252" s="2">
        <f>[2]Indicators!$AB134</f>
        <v>36.274300000000004</v>
      </c>
      <c r="AF252" s="2">
        <f>[8]m!$AS254</f>
        <v>130.80000000000001</v>
      </c>
      <c r="AG252" s="2">
        <f>[8]m!$H254</f>
        <v>8.0500000000000007</v>
      </c>
      <c r="AH252" s="2">
        <f>[8]m!$I254</f>
        <v>9.3800000000000008</v>
      </c>
      <c r="AI252" s="2">
        <f>[7]m!C253</f>
        <v>4910</v>
      </c>
      <c r="AJ252" s="2">
        <f>[7]m!D253</f>
        <v>4721</v>
      </c>
      <c r="AK252" s="2">
        <f>[2]Surveys_m!$AB134</f>
        <v>39.700000000000003</v>
      </c>
      <c r="AL252" s="4">
        <f t="shared" si="3"/>
        <v>2619.7582205029021</v>
      </c>
      <c r="AN252" s="2">
        <v>53</v>
      </c>
      <c r="AQ252" s="3">
        <f>[9]LaborForce!$B133*[9]LaborForce!$C133/100</f>
        <v>83511.456000000006</v>
      </c>
      <c r="AR252">
        <f>[9]Unemployment!$AC134</f>
        <v>327</v>
      </c>
      <c r="AS252">
        <f>[2]Indicators!BC134</f>
        <v>41.9</v>
      </c>
      <c r="AT252">
        <f>[2]Indicators!BD134</f>
        <v>39.581299999999999</v>
      </c>
      <c r="AU252">
        <f>[2]Indicators!BE134</f>
        <v>96.449600000000004</v>
      </c>
    </row>
    <row r="253" spans="1:47" x14ac:dyDescent="0.25">
      <c r="A253" s="1">
        <v>25903</v>
      </c>
      <c r="B253" s="2">
        <f>[2]Indicators!G135</f>
        <v>667.23300000000006</v>
      </c>
      <c r="C253" s="2">
        <f>[2]Indicators!H135</f>
        <v>87.102000000000004</v>
      </c>
      <c r="D253" s="2">
        <f>[2]Indicators!I135</f>
        <v>237.42699999999999</v>
      </c>
      <c r="E253" s="2">
        <f>[2]Indicators!J135</f>
        <v>342.70400000000001</v>
      </c>
      <c r="M253" s="2">
        <f>[2]Indicators!AB135</f>
        <v>37.107399999999998</v>
      </c>
      <c r="N253" s="2">
        <f>[8]m!$C255</f>
        <v>4.9000000000000004</v>
      </c>
      <c r="O253">
        <f>[9]Unemployment!$B135</f>
        <v>6.1000000000000005</v>
      </c>
      <c r="P253" s="2">
        <f>[2]Surveys_m!$B135</f>
        <v>75.7</v>
      </c>
      <c r="Q253">
        <f>[5]m!$B255</f>
        <v>39.800000000000004</v>
      </c>
      <c r="R253">
        <f>[5]m!$D255</f>
        <v>42</v>
      </c>
      <c r="S253">
        <f>[5]m!$Q255</f>
        <v>37.1</v>
      </c>
      <c r="T253">
        <f>[6]m!B255</f>
        <v>-158</v>
      </c>
      <c r="U253" s="2">
        <f>[9]Unemployment!$F135</f>
        <v>9.8000000000000007</v>
      </c>
      <c r="V253" s="2">
        <f>[9]Unemployment!$G135</f>
        <v>5.9</v>
      </c>
      <c r="W253">
        <f>[9]Unemployment!$E135</f>
        <v>5076</v>
      </c>
      <c r="X253">
        <f>[9]Unemployment!N135</f>
        <v>2369</v>
      </c>
      <c r="Y253">
        <f>[9]Unemployment!O135</f>
        <v>1586</v>
      </c>
      <c r="Z253">
        <f>[9]Unemployment!P135-[9]Unemployment!Q135</f>
        <v>719</v>
      </c>
      <c r="AA253">
        <f>[9]Unemployment!$Q135</f>
        <v>383</v>
      </c>
      <c r="AB253" s="2">
        <f>[8]m!$C255</f>
        <v>4.9000000000000004</v>
      </c>
      <c r="AC253" s="2">
        <f>[8]m!$F255</f>
        <v>6.3900000000000006</v>
      </c>
      <c r="AD253">
        <f>[9]Employment!$B135</f>
        <v>70790</v>
      </c>
      <c r="AE253" s="2">
        <f>[2]Indicators!$AB135</f>
        <v>37.107399999999998</v>
      </c>
      <c r="AF253" s="2">
        <f>[8]m!$AS255</f>
        <v>131.6</v>
      </c>
      <c r="AG253" s="2">
        <f>[8]m!$H255</f>
        <v>7.6400000000000006</v>
      </c>
      <c r="AH253" s="2">
        <f>[8]m!$I255</f>
        <v>9.120000000000001</v>
      </c>
      <c r="AI253" s="2">
        <f>[7]m!C254</f>
        <v>4721</v>
      </c>
      <c r="AJ253" s="2">
        <f>[7]m!D254</f>
        <v>4651</v>
      </c>
      <c r="AK253" s="2">
        <f>[2]Surveys_m!$AB135</f>
        <v>45.400000000000006</v>
      </c>
      <c r="AL253" s="4">
        <f t="shared" si="3"/>
        <v>2619.7582205029016</v>
      </c>
      <c r="AN253" s="2">
        <v>53</v>
      </c>
      <c r="AQ253" s="3">
        <f>[9]LaborForce!$B134*[9]LaborForce!$C134/100</f>
        <v>83671.516000000003</v>
      </c>
      <c r="AR253">
        <f>[9]Unemployment!$AC135</f>
        <v>337</v>
      </c>
      <c r="AS253">
        <f>[2]Indicators!BC135</f>
        <v>42.800000000000004</v>
      </c>
      <c r="AT253">
        <f>[2]Indicators!BD135</f>
        <v>40.075800000000001</v>
      </c>
      <c r="AU253">
        <f>[2]Indicators!BE135</f>
        <v>97.424800000000005</v>
      </c>
    </row>
    <row r="254" spans="1:47" x14ac:dyDescent="0.25">
      <c r="A254" s="1">
        <v>25934</v>
      </c>
      <c r="B254" s="2">
        <f>[2]Indicators!G136</f>
        <v>677.77</v>
      </c>
      <c r="C254" s="2">
        <f>[2]Indicators!H136</f>
        <v>97.436000000000007</v>
      </c>
      <c r="D254" s="2">
        <f>[2]Indicators!I136</f>
        <v>236.30799999999999</v>
      </c>
      <c r="E254" s="2">
        <f>[2]Indicators!J136</f>
        <v>344.02699999999999</v>
      </c>
      <c r="M254" s="2">
        <f>[2]Indicators!AB136</f>
        <v>37.392800000000001</v>
      </c>
      <c r="N254" s="2">
        <f>[8]m!$C256</f>
        <v>4.1399999999999997</v>
      </c>
      <c r="O254">
        <f>[9]Unemployment!$B136</f>
        <v>5.9</v>
      </c>
      <c r="P254" s="2">
        <f>[2]Surveys_m!$B136</f>
        <v>75.7</v>
      </c>
      <c r="Q254">
        <f>[5]m!$B256</f>
        <v>39.9</v>
      </c>
      <c r="R254">
        <f>[5]m!$D256</f>
        <v>42.1</v>
      </c>
      <c r="S254">
        <f>[5]m!$Q256</f>
        <v>37.300000000000004</v>
      </c>
      <c r="T254">
        <f>[6]m!B256</f>
        <v>-1353</v>
      </c>
      <c r="U254" s="2">
        <f>[9]Unemployment!$F136</f>
        <v>10.5</v>
      </c>
      <c r="V254" s="2">
        <f>[9]Unemployment!$G136</f>
        <v>6.2</v>
      </c>
      <c r="W254">
        <f>[9]Unemployment!$E136</f>
        <v>4986</v>
      </c>
      <c r="X254">
        <f>[9]Unemployment!N136</f>
        <v>2302</v>
      </c>
      <c r="Y254">
        <f>[9]Unemployment!O136</f>
        <v>1626</v>
      </c>
      <c r="Z254">
        <f>[9]Unemployment!P136-[9]Unemployment!Q136</f>
        <v>683</v>
      </c>
      <c r="AA254">
        <f>[9]Unemployment!$Q136</f>
        <v>430</v>
      </c>
      <c r="AB254" s="2">
        <f>[8]m!$C256</f>
        <v>4.1399999999999997</v>
      </c>
      <c r="AC254" s="2">
        <f>[8]m!$F256</f>
        <v>6.24</v>
      </c>
      <c r="AD254">
        <f>[9]Employment!$B136</f>
        <v>70866</v>
      </c>
      <c r="AE254" s="2">
        <f>[2]Indicators!$AB136</f>
        <v>37.392800000000001</v>
      </c>
      <c r="AF254" s="2">
        <f>[8]m!$AS256</f>
        <v>134.20000000000002</v>
      </c>
      <c r="AG254" s="2">
        <f>[8]m!$H256</f>
        <v>7.36</v>
      </c>
      <c r="AH254" s="2">
        <f>[8]m!$I256</f>
        <v>8.74</v>
      </c>
      <c r="AI254" s="2">
        <f>[7]m!C255</f>
        <v>4791</v>
      </c>
      <c r="AJ254" s="2">
        <f>[7]m!D255</f>
        <v>4625</v>
      </c>
      <c r="AK254" s="2">
        <f>[2]Surveys_m!$AB136</f>
        <v>47.900000000000006</v>
      </c>
      <c r="AL254" s="4">
        <f t="shared" si="3"/>
        <v>2520.8994197292077</v>
      </c>
      <c r="AN254" s="2">
        <v>51</v>
      </c>
      <c r="AQ254" s="3">
        <f>[9]LaborForce!$B135*[9]LaborForce!$C135/100</f>
        <v>83832.180000000008</v>
      </c>
      <c r="AR254">
        <f>[9]Unemployment!$AC136</f>
        <v>303</v>
      </c>
      <c r="AS254">
        <f>[2]Indicators!BC136</f>
        <v>43.2</v>
      </c>
      <c r="AT254">
        <f>[2]Indicators!BD136</f>
        <v>40.587800000000001</v>
      </c>
      <c r="AU254">
        <f>[2]Indicators!BE136</f>
        <v>98.434700000000007</v>
      </c>
    </row>
    <row r="255" spans="1:47" x14ac:dyDescent="0.25">
      <c r="A255" s="1">
        <v>25965</v>
      </c>
      <c r="B255" s="2">
        <f>[2]Indicators!G137</f>
        <v>681.03</v>
      </c>
      <c r="C255" s="2">
        <f>[2]Indicators!H137</f>
        <v>97.168999999999997</v>
      </c>
      <c r="D255" s="2">
        <f>[2]Indicators!I137</f>
        <v>236.529</v>
      </c>
      <c r="E255" s="2">
        <f>[2]Indicators!J137</f>
        <v>347.33300000000003</v>
      </c>
      <c r="M255" s="2">
        <f>[2]Indicators!AB137</f>
        <v>37.321600000000004</v>
      </c>
      <c r="N255" s="2">
        <f>[8]m!$C257</f>
        <v>3.72</v>
      </c>
      <c r="O255">
        <f>[9]Unemployment!$B137</f>
        <v>5.9</v>
      </c>
      <c r="P255" s="2">
        <f>[2]Surveys_m!$B137</f>
        <v>77.400000000000006</v>
      </c>
      <c r="Q255">
        <f>[5]m!$B257</f>
        <v>39.9</v>
      </c>
      <c r="R255">
        <f>[5]m!$D257</f>
        <v>42.2</v>
      </c>
      <c r="S255">
        <f>[5]m!$Q257</f>
        <v>37.700000000000003</v>
      </c>
      <c r="T255">
        <f>[6]m!B257</f>
        <v>-1398</v>
      </c>
      <c r="U255" s="2">
        <f>[9]Unemployment!$F137</f>
        <v>10.4</v>
      </c>
      <c r="V255" s="2">
        <f>[9]Unemployment!$G137</f>
        <v>6.3000000000000007</v>
      </c>
      <c r="W255">
        <f>[9]Unemployment!$E137</f>
        <v>4903</v>
      </c>
      <c r="X255">
        <f>[9]Unemployment!N137</f>
        <v>2178</v>
      </c>
      <c r="Y255">
        <f>[9]Unemployment!O137</f>
        <v>1633</v>
      </c>
      <c r="Z255">
        <f>[9]Unemployment!P137-[9]Unemployment!Q137</f>
        <v>620</v>
      </c>
      <c r="AA255">
        <f>[9]Unemployment!$Q137</f>
        <v>448</v>
      </c>
      <c r="AB255" s="2">
        <f>[8]m!$C257</f>
        <v>3.72</v>
      </c>
      <c r="AC255" s="2">
        <f>[8]m!$F257</f>
        <v>6.11</v>
      </c>
      <c r="AD255">
        <f>[9]Employment!$B137</f>
        <v>70805</v>
      </c>
      <c r="AE255" s="2">
        <f>[2]Indicators!$AB137</f>
        <v>37.321600000000004</v>
      </c>
      <c r="AF255" s="2">
        <f>[8]m!$AS257</f>
        <v>134.9</v>
      </c>
      <c r="AG255" s="2">
        <f>[8]m!$H257</f>
        <v>7.08</v>
      </c>
      <c r="AH255" s="2">
        <f>[8]m!$I257</f>
        <v>8.39</v>
      </c>
      <c r="AI255" s="2">
        <f>[7]m!C256</f>
        <v>4950</v>
      </c>
      <c r="AJ255" s="2">
        <f>[7]m!D256</f>
        <v>4840</v>
      </c>
      <c r="AK255" s="2">
        <f>[2]Surveys_m!$AB137</f>
        <v>54.800000000000004</v>
      </c>
      <c r="AL255" s="4">
        <f t="shared" si="3"/>
        <v>2570.3288201160549</v>
      </c>
      <c r="AN255" s="2">
        <v>52</v>
      </c>
      <c r="AQ255" s="3">
        <f>[9]LaborForce!$B136*[9]LaborForce!$C136/100</f>
        <v>83551.02</v>
      </c>
      <c r="AR255">
        <f>[9]Unemployment!$AC137</f>
        <v>292</v>
      </c>
      <c r="AS255">
        <f>[2]Indicators!BC137</f>
        <v>43.7</v>
      </c>
      <c r="AT255">
        <f>[2]Indicators!BD137</f>
        <v>41.043400000000005</v>
      </c>
      <c r="AU255">
        <f>[2]Indicators!BE137</f>
        <v>99.300899999999999</v>
      </c>
    </row>
    <row r="256" spans="1:47" x14ac:dyDescent="0.25">
      <c r="A256" s="1">
        <v>25993</v>
      </c>
      <c r="B256" s="2">
        <f>[2]Indicators!G138</f>
        <v>683.625</v>
      </c>
      <c r="C256" s="2">
        <f>[2]Indicators!H138</f>
        <v>99.55</v>
      </c>
      <c r="D256" s="2">
        <f>[2]Indicators!I138</f>
        <v>234.64699999999999</v>
      </c>
      <c r="E256" s="2">
        <f>[2]Indicators!J138</f>
        <v>349.428</v>
      </c>
      <c r="M256" s="2">
        <f>[2]Indicators!AB138</f>
        <v>37.281100000000002</v>
      </c>
      <c r="N256" s="2">
        <f>[8]m!$C258</f>
        <v>3.71</v>
      </c>
      <c r="O256">
        <f>[9]Unemployment!$B138</f>
        <v>6</v>
      </c>
      <c r="P256" s="2">
        <f>[2]Surveys_m!$B138</f>
        <v>77.400000000000006</v>
      </c>
      <c r="Q256">
        <f>[5]m!$B258</f>
        <v>40</v>
      </c>
      <c r="R256">
        <f>[5]m!$D258</f>
        <v>42.2</v>
      </c>
      <c r="S256">
        <f>[5]m!$Q258</f>
        <v>37.800000000000004</v>
      </c>
      <c r="T256">
        <f>[6]m!B258</f>
        <v>-5443</v>
      </c>
      <c r="U256" s="2">
        <f>[9]Unemployment!$F138</f>
        <v>10.600000000000001</v>
      </c>
      <c r="V256" s="2">
        <f>[9]Unemployment!$G138</f>
        <v>6.4</v>
      </c>
      <c r="W256">
        <f>[9]Unemployment!$E138</f>
        <v>4987</v>
      </c>
      <c r="X256">
        <f>[9]Unemployment!N138</f>
        <v>2144</v>
      </c>
      <c r="Y256">
        <f>[9]Unemployment!O138</f>
        <v>1637</v>
      </c>
      <c r="Z256">
        <f>[9]Unemployment!P138-[9]Unemployment!Q138</f>
        <v>645</v>
      </c>
      <c r="AA256">
        <f>[9]Unemployment!$Q138</f>
        <v>453</v>
      </c>
      <c r="AB256" s="2">
        <f>[8]m!$C258</f>
        <v>3.71</v>
      </c>
      <c r="AC256" s="2">
        <f>[8]m!$F258</f>
        <v>5.7</v>
      </c>
      <c r="AD256">
        <f>[9]Employment!$B138</f>
        <v>70859</v>
      </c>
      <c r="AE256" s="2">
        <f>[2]Indicators!$AB138</f>
        <v>37.281100000000002</v>
      </c>
      <c r="AF256" s="2">
        <f>[8]m!$AS258</f>
        <v>135.70000000000002</v>
      </c>
      <c r="AG256" s="2">
        <f>[8]m!$H258</f>
        <v>7.21</v>
      </c>
      <c r="AH256" s="2">
        <f>[8]m!$I258</f>
        <v>8.4600000000000009</v>
      </c>
      <c r="AI256" s="2">
        <f>[7]m!C257</f>
        <v>5043</v>
      </c>
      <c r="AJ256" s="2">
        <f>[7]m!D257</f>
        <v>4805</v>
      </c>
      <c r="AK256" s="2">
        <f>[2]Surveys_m!$AB138</f>
        <v>51.2</v>
      </c>
      <c r="AL256" s="4">
        <f t="shared" si="3"/>
        <v>2570.3288201160549</v>
      </c>
      <c r="AN256" s="2">
        <v>52</v>
      </c>
      <c r="AQ256" s="3">
        <f>[9]LaborForce!$B137*[9]LaborForce!$C137/100</f>
        <v>83570.399999999994</v>
      </c>
      <c r="AR256">
        <f>[9]Unemployment!$AC138</f>
        <v>290</v>
      </c>
      <c r="AS256">
        <f>[2]Indicators!BC138</f>
        <v>44.1</v>
      </c>
      <c r="AT256">
        <f>[2]Indicators!BD138</f>
        <v>41.404600000000002</v>
      </c>
      <c r="AU256">
        <f>[2]Indicators!BE138</f>
        <v>99.932500000000005</v>
      </c>
    </row>
    <row r="257" spans="1:47" x14ac:dyDescent="0.25">
      <c r="A257" s="1">
        <v>26024</v>
      </c>
      <c r="B257" s="2">
        <f>[2]Indicators!G139</f>
        <v>690.38400000000001</v>
      </c>
      <c r="C257" s="2">
        <f>[2]Indicators!H139</f>
        <v>100.291</v>
      </c>
      <c r="D257" s="2">
        <f>[2]Indicators!I139</f>
        <v>238.07400000000001</v>
      </c>
      <c r="E257" s="2">
        <f>[2]Indicators!J139</f>
        <v>352.01900000000001</v>
      </c>
      <c r="M257" s="2">
        <f>[2]Indicators!AB139</f>
        <v>37.490500000000004</v>
      </c>
      <c r="N257" s="2">
        <f>[8]m!$C259</f>
        <v>4.1500000000000004</v>
      </c>
      <c r="O257">
        <f>[9]Unemployment!$B139</f>
        <v>5.9</v>
      </c>
      <c r="P257" s="2">
        <f>[2]Surveys_m!$B139</f>
        <v>75.2</v>
      </c>
      <c r="Q257">
        <f>[5]m!$B259</f>
        <v>40.1</v>
      </c>
      <c r="R257">
        <f>[5]m!$D259</f>
        <v>42.4</v>
      </c>
      <c r="S257">
        <f>[5]m!$Q259</f>
        <v>37.9</v>
      </c>
      <c r="T257">
        <f>[6]m!B259</f>
        <v>3248</v>
      </c>
      <c r="U257" s="2">
        <f>[9]Unemployment!$F139</f>
        <v>10.9</v>
      </c>
      <c r="V257" s="2">
        <f>[9]Unemployment!$G139</f>
        <v>6.5</v>
      </c>
      <c r="W257">
        <f>[9]Unemployment!$E139</f>
        <v>4959</v>
      </c>
      <c r="X257">
        <f>[9]Unemployment!N139</f>
        <v>2206</v>
      </c>
      <c r="Y257">
        <f>[9]Unemployment!O139</f>
        <v>1575</v>
      </c>
      <c r="Z257">
        <f>[9]Unemployment!P139-[9]Unemployment!Q139</f>
        <v>695</v>
      </c>
      <c r="AA257">
        <f>[9]Unemployment!$Q139</f>
        <v>454</v>
      </c>
      <c r="AB257" s="2">
        <f>[8]m!$C259</f>
        <v>4.1500000000000004</v>
      </c>
      <c r="AC257" s="2">
        <f>[8]m!$F259</f>
        <v>5.83</v>
      </c>
      <c r="AD257">
        <f>[9]Employment!$B139</f>
        <v>71037</v>
      </c>
      <c r="AE257" s="2">
        <f>[2]Indicators!$AB139</f>
        <v>37.490500000000004</v>
      </c>
      <c r="AF257" s="2">
        <f>[8]m!$AS259</f>
        <v>137</v>
      </c>
      <c r="AG257" s="2">
        <f>[8]m!$H259</f>
        <v>7.25</v>
      </c>
      <c r="AH257" s="2">
        <f>[8]m!$I259</f>
        <v>8.4499999999999993</v>
      </c>
      <c r="AI257" s="2">
        <f>[7]m!C258</f>
        <v>5139</v>
      </c>
      <c r="AJ257" s="2">
        <f>[7]m!D258</f>
        <v>4870</v>
      </c>
      <c r="AK257" s="2">
        <f>[2]Surveys_m!$AB139</f>
        <v>54.5</v>
      </c>
      <c r="AL257" s="4">
        <f t="shared" si="3"/>
        <v>2570.3288201160553</v>
      </c>
      <c r="AN257" s="2">
        <v>52</v>
      </c>
      <c r="AQ257" s="3">
        <f>[9]LaborForce!$B138*[9]LaborForce!$C138/100</f>
        <v>83878.565000000002</v>
      </c>
      <c r="AR257">
        <f>[9]Unemployment!$AC139</f>
        <v>300</v>
      </c>
      <c r="AS257">
        <f>[2]Indicators!BC139</f>
        <v>44.4</v>
      </c>
      <c r="AT257">
        <f>[2]Indicators!BD139</f>
        <v>41.668800000000005</v>
      </c>
      <c r="AU257">
        <f>[2]Indicators!BE139</f>
        <v>100.3249</v>
      </c>
    </row>
    <row r="258" spans="1:47" x14ac:dyDescent="0.25">
      <c r="A258" s="1">
        <v>26054</v>
      </c>
      <c r="B258" s="2">
        <f>[2]Indicators!G140</f>
        <v>692.77</v>
      </c>
      <c r="C258" s="2">
        <f>[2]Indicators!H140</f>
        <v>99.649000000000001</v>
      </c>
      <c r="D258" s="2">
        <f>[2]Indicators!I140</f>
        <v>237.81300000000002</v>
      </c>
      <c r="E258" s="2">
        <f>[2]Indicators!J140</f>
        <v>355.30799999999999</v>
      </c>
      <c r="M258" s="2">
        <f>[2]Indicators!AB140</f>
        <v>37.680700000000002</v>
      </c>
      <c r="N258" s="2">
        <f>[8]m!$C260</f>
        <v>4.63</v>
      </c>
      <c r="O258">
        <f>[9]Unemployment!$B140</f>
        <v>5.9</v>
      </c>
      <c r="P258" s="2">
        <f>[2]Surveys_m!$B140</f>
        <v>75.2</v>
      </c>
      <c r="Q258">
        <f>[5]m!$B260</f>
        <v>40.300000000000004</v>
      </c>
      <c r="R258">
        <f>[5]m!$D260</f>
        <v>42.6</v>
      </c>
      <c r="S258">
        <f>[5]m!$Q260</f>
        <v>38.1</v>
      </c>
      <c r="T258">
        <f>[6]m!B260</f>
        <v>-3978</v>
      </c>
      <c r="U258" s="2">
        <f>[9]Unemployment!$F140</f>
        <v>11.200000000000001</v>
      </c>
      <c r="V258" s="2">
        <f>[9]Unemployment!$G140</f>
        <v>6.7</v>
      </c>
      <c r="W258">
        <f>[9]Unemployment!$E140</f>
        <v>4996</v>
      </c>
      <c r="X258">
        <f>[9]Unemployment!N140</f>
        <v>2229</v>
      </c>
      <c r="Y258">
        <f>[9]Unemployment!O140</f>
        <v>1566</v>
      </c>
      <c r="Z258">
        <f>[9]Unemployment!P140-[9]Unemployment!Q140</f>
        <v>665</v>
      </c>
      <c r="AA258">
        <f>[9]Unemployment!$Q140</f>
        <v>508</v>
      </c>
      <c r="AB258" s="2">
        <f>[8]m!$C260</f>
        <v>4.63</v>
      </c>
      <c r="AC258" s="2">
        <f>[8]m!$F260</f>
        <v>6.3900000000000006</v>
      </c>
      <c r="AD258">
        <f>[9]Employment!$B140</f>
        <v>71247</v>
      </c>
      <c r="AE258" s="2">
        <f>[2]Indicators!$AB140</f>
        <v>37.680700000000002</v>
      </c>
      <c r="AF258" s="2">
        <f>[8]m!$AS260</f>
        <v>137.80000000000001</v>
      </c>
      <c r="AG258" s="2">
        <f>[8]m!$H260</f>
        <v>7.53</v>
      </c>
      <c r="AH258" s="2">
        <f>[8]m!$I260</f>
        <v>8.620000000000001</v>
      </c>
      <c r="AI258" s="2">
        <f>[7]m!C259</f>
        <v>4993</v>
      </c>
      <c r="AJ258" s="2">
        <f>[7]m!D259</f>
        <v>5063</v>
      </c>
      <c r="AK258" s="2">
        <f>[2]Surveys_m!$AB140</f>
        <v>54.2</v>
      </c>
      <c r="AL258" s="4">
        <f t="shared" si="3"/>
        <v>2619.7582205029025</v>
      </c>
      <c r="AN258" s="2">
        <v>53</v>
      </c>
      <c r="AQ258" s="3">
        <f>[9]LaborForce!$B139*[9]LaborForce!$C139/100</f>
        <v>84175.252000000008</v>
      </c>
      <c r="AR258">
        <f>[9]Unemployment!$AC140</f>
        <v>290</v>
      </c>
      <c r="AS258">
        <f>[2]Indicators!BC140</f>
        <v>44.7</v>
      </c>
      <c r="AT258">
        <f>[2]Indicators!BD140</f>
        <v>41.846200000000003</v>
      </c>
      <c r="AU258">
        <f>[2]Indicators!BE140</f>
        <v>100.504</v>
      </c>
    </row>
    <row r="259" spans="1:47" x14ac:dyDescent="0.25">
      <c r="A259" s="1">
        <v>26085</v>
      </c>
      <c r="B259" s="2">
        <f>[2]Indicators!G141</f>
        <v>701.42700000000002</v>
      </c>
      <c r="C259" s="2">
        <f>[2]Indicators!H141</f>
        <v>103.02500000000001</v>
      </c>
      <c r="D259" s="2">
        <f>[2]Indicators!I141</f>
        <v>240.607</v>
      </c>
      <c r="E259" s="2">
        <f>[2]Indicators!J141</f>
        <v>357.79399999999998</v>
      </c>
      <c r="M259" s="2">
        <f>[2]Indicators!AB141</f>
        <v>37.838799999999999</v>
      </c>
      <c r="N259" s="2">
        <f>[8]m!$C261</f>
        <v>4.91</v>
      </c>
      <c r="O259">
        <f>[9]Unemployment!$B141</f>
        <v>5.9</v>
      </c>
      <c r="P259" s="2">
        <f>[2]Surveys_m!$B141</f>
        <v>82.300000000000011</v>
      </c>
      <c r="Q259">
        <f>[5]m!$B261</f>
        <v>40.5</v>
      </c>
      <c r="R259">
        <f>[5]m!$D261</f>
        <v>42.800000000000004</v>
      </c>
      <c r="S259">
        <f>[5]m!$Q261</f>
        <v>38.200000000000003</v>
      </c>
      <c r="T259">
        <f>[6]m!B261</f>
        <v>2523</v>
      </c>
      <c r="U259" s="2">
        <f>[9]Unemployment!$F141</f>
        <v>11.600000000000001</v>
      </c>
      <c r="V259" s="2">
        <f>[9]Unemployment!$G141</f>
        <v>5.7</v>
      </c>
      <c r="W259">
        <f>[9]Unemployment!$E141</f>
        <v>4949</v>
      </c>
      <c r="X259">
        <f>[9]Unemployment!N141</f>
        <v>2180</v>
      </c>
      <c r="Y259">
        <f>[9]Unemployment!O141</f>
        <v>1606</v>
      </c>
      <c r="Z259">
        <f>[9]Unemployment!P141-[9]Unemployment!Q141</f>
        <v>626</v>
      </c>
      <c r="AA259">
        <f>[9]Unemployment!$Q141</f>
        <v>541</v>
      </c>
      <c r="AB259" s="2">
        <f>[8]m!$C261</f>
        <v>4.91</v>
      </c>
      <c r="AC259" s="2">
        <f>[8]m!$F261</f>
        <v>6.5200000000000005</v>
      </c>
      <c r="AD259">
        <f>[9]Employment!$B141</f>
        <v>71253</v>
      </c>
      <c r="AE259" s="2">
        <f>[2]Indicators!$AB141</f>
        <v>37.838799999999999</v>
      </c>
      <c r="AF259" s="2">
        <f>[8]m!$AS261</f>
        <v>138.80000000000001</v>
      </c>
      <c r="AG259" s="2">
        <f>[8]m!$H261</f>
        <v>7.6400000000000006</v>
      </c>
      <c r="AH259" s="2">
        <f>[8]m!$I261</f>
        <v>8.75</v>
      </c>
      <c r="AI259" s="2">
        <f>[7]m!C260</f>
        <v>5108</v>
      </c>
      <c r="AJ259" s="2">
        <f>[7]m!D260</f>
        <v>5197</v>
      </c>
      <c r="AK259" s="2">
        <f>[2]Surveys_m!$AB141</f>
        <v>53.800000000000004</v>
      </c>
      <c r="AL259" s="4">
        <f t="shared" si="3"/>
        <v>2718.6170212765969</v>
      </c>
      <c r="AN259" s="2">
        <v>55</v>
      </c>
      <c r="AQ259" s="3">
        <f>[9]LaborForce!$B140*[9]LaborForce!$C140/100</f>
        <v>83773.820000000007</v>
      </c>
      <c r="AR259">
        <f>[9]Unemployment!$AC141</f>
        <v>299</v>
      </c>
      <c r="AS259">
        <f>[2]Indicators!BC141</f>
        <v>44.9</v>
      </c>
      <c r="AT259">
        <f>[2]Indicators!BD141</f>
        <v>41.963100000000004</v>
      </c>
      <c r="AU259">
        <f>[2]Indicators!BE141</f>
        <v>100.53490000000001</v>
      </c>
    </row>
    <row r="260" spans="1:47" x14ac:dyDescent="0.25">
      <c r="A260" s="1">
        <v>26115</v>
      </c>
      <c r="B260" s="2">
        <f>[2]Indicators!G142</f>
        <v>700.54100000000005</v>
      </c>
      <c r="C260" s="2">
        <f>[2]Indicators!H142</f>
        <v>101.068</v>
      </c>
      <c r="D260" s="2">
        <f>[2]Indicators!I142</f>
        <v>239.14600000000002</v>
      </c>
      <c r="E260" s="2">
        <f>[2]Indicators!J142</f>
        <v>360.32800000000003</v>
      </c>
      <c r="M260" s="2">
        <f>[2]Indicators!AB142</f>
        <v>37.728900000000003</v>
      </c>
      <c r="N260" s="2">
        <f>[8]m!$C262</f>
        <v>5.3100000000000005</v>
      </c>
      <c r="O260">
        <f>[9]Unemployment!$B142</f>
        <v>6</v>
      </c>
      <c r="P260" s="2">
        <f>[2]Surveys_m!$B142</f>
        <v>82.300000000000011</v>
      </c>
      <c r="Q260">
        <f>[5]m!$B262</f>
        <v>40.6</v>
      </c>
      <c r="R260">
        <f>[5]m!$D262</f>
        <v>42.9</v>
      </c>
      <c r="S260">
        <f>[5]m!$Q262</f>
        <v>38.300000000000004</v>
      </c>
      <c r="T260">
        <f>[6]m!B262</f>
        <v>-5347</v>
      </c>
      <c r="U260" s="2">
        <f>[9]Unemployment!$F142</f>
        <v>11.5</v>
      </c>
      <c r="V260" s="2">
        <f>[9]Unemployment!$G142</f>
        <v>6.2</v>
      </c>
      <c r="W260">
        <f>[9]Unemployment!$E142</f>
        <v>5035</v>
      </c>
      <c r="X260">
        <f>[9]Unemployment!N142</f>
        <v>2210</v>
      </c>
      <c r="Y260">
        <f>[9]Unemployment!O142</f>
        <v>1549</v>
      </c>
      <c r="Z260">
        <f>[9]Unemployment!P142-[9]Unemployment!Q142</f>
        <v>684</v>
      </c>
      <c r="AA260">
        <f>[9]Unemployment!$Q142</f>
        <v>567</v>
      </c>
      <c r="AB260" s="2">
        <f>[8]m!$C262</f>
        <v>5.3100000000000005</v>
      </c>
      <c r="AC260" s="2">
        <f>[8]m!$F262</f>
        <v>6.73</v>
      </c>
      <c r="AD260">
        <f>[9]Employment!$B142</f>
        <v>71316</v>
      </c>
      <c r="AE260" s="2">
        <f>[2]Indicators!$AB142</f>
        <v>37.728900000000003</v>
      </c>
      <c r="AF260" s="2">
        <f>[8]m!$AS262</f>
        <v>139.9</v>
      </c>
      <c r="AG260" s="2">
        <f>[8]m!$H262</f>
        <v>7.6400000000000006</v>
      </c>
      <c r="AH260" s="2">
        <f>[8]m!$I262</f>
        <v>8.76</v>
      </c>
      <c r="AI260" s="2">
        <f>[7]m!C261</f>
        <v>5034</v>
      </c>
      <c r="AJ260" s="2">
        <f>[7]m!D261</f>
        <v>5326</v>
      </c>
      <c r="AK260" s="2">
        <f>[2]Surveys_m!$AB142</f>
        <v>54.400000000000006</v>
      </c>
      <c r="AL260" s="4">
        <f t="shared" si="3"/>
        <v>2669.1876208897493</v>
      </c>
      <c r="AN260" s="2">
        <v>54</v>
      </c>
      <c r="AQ260" s="3">
        <f>[9]LaborForce!$B141*[9]LaborForce!$C141/100</f>
        <v>84346.143000000011</v>
      </c>
      <c r="AR260">
        <f>[9]Unemployment!$AC142</f>
        <v>291</v>
      </c>
      <c r="AS260">
        <f>[2]Indicators!BC142</f>
        <v>45</v>
      </c>
      <c r="AT260">
        <f>[2]Indicators!BD142</f>
        <v>42.058</v>
      </c>
      <c r="AU260">
        <f>[2]Indicators!BE142</f>
        <v>100.51020000000001</v>
      </c>
    </row>
    <row r="261" spans="1:47" x14ac:dyDescent="0.25">
      <c r="A261" s="1">
        <v>26146</v>
      </c>
      <c r="B261" s="2">
        <f>[2]Indicators!G143</f>
        <v>706.59500000000003</v>
      </c>
      <c r="C261" s="2">
        <f>[2]Indicators!H143</f>
        <v>102.239</v>
      </c>
      <c r="D261" s="2">
        <f>[2]Indicators!I143</f>
        <v>240.33</v>
      </c>
      <c r="E261" s="2">
        <f>[2]Indicators!J143</f>
        <v>364.02699999999999</v>
      </c>
      <c r="M261" s="2">
        <f>[2]Indicators!AB143</f>
        <v>37.510000000000005</v>
      </c>
      <c r="N261" s="2">
        <f>[8]m!$C263</f>
        <v>5.5600000000000005</v>
      </c>
      <c r="O261">
        <f>[9]Unemployment!$B143</f>
        <v>6.1000000000000005</v>
      </c>
      <c r="P261" s="2">
        <f>[2]Surveys_m!$B143</f>
        <v>82.100000000000009</v>
      </c>
      <c r="Q261">
        <f>[5]m!$B263</f>
        <v>40.700000000000003</v>
      </c>
      <c r="R261">
        <f>[5]m!$D263</f>
        <v>43</v>
      </c>
      <c r="S261">
        <f>[5]m!$Q263</f>
        <v>38.5</v>
      </c>
      <c r="T261">
        <f>[6]m!B263</f>
        <v>-3940</v>
      </c>
      <c r="U261" s="2">
        <f>[9]Unemployment!$F143</f>
        <v>11.5</v>
      </c>
      <c r="V261" s="2">
        <f>[9]Unemployment!$G143</f>
        <v>6.4</v>
      </c>
      <c r="W261">
        <f>[9]Unemployment!$E143</f>
        <v>5134</v>
      </c>
      <c r="X261">
        <f>[9]Unemployment!N143</f>
        <v>2337</v>
      </c>
      <c r="Y261">
        <f>[9]Unemployment!O143</f>
        <v>1568</v>
      </c>
      <c r="Z261">
        <f>[9]Unemployment!P143-[9]Unemployment!Q143</f>
        <v>711</v>
      </c>
      <c r="AA261">
        <f>[9]Unemployment!$Q143</f>
        <v>550</v>
      </c>
      <c r="AB261" s="2">
        <f>[8]m!$C263</f>
        <v>5.5600000000000005</v>
      </c>
      <c r="AC261" s="2">
        <f>[8]m!$F263</f>
        <v>6.58</v>
      </c>
      <c r="AD261">
        <f>[9]Employment!$B143</f>
        <v>71368</v>
      </c>
      <c r="AE261" s="2">
        <f>[2]Indicators!$AB143</f>
        <v>37.510000000000005</v>
      </c>
      <c r="AF261" s="2">
        <f>[8]m!$AS263</f>
        <v>141.30000000000001</v>
      </c>
      <c r="AG261" s="2">
        <f>[8]m!$H263</f>
        <v>7.59</v>
      </c>
      <c r="AH261" s="2">
        <f>[8]m!$I263</f>
        <v>8.76</v>
      </c>
      <c r="AI261" s="2">
        <f>[7]m!C262</f>
        <v>4897</v>
      </c>
      <c r="AJ261" s="2">
        <f>[7]m!D262</f>
        <v>5119</v>
      </c>
      <c r="AK261" s="2">
        <f>[2]Surveys_m!$AB143</f>
        <v>53.6</v>
      </c>
      <c r="AL261" s="4">
        <f t="shared" si="3"/>
        <v>2718.6170212765969</v>
      </c>
      <c r="AN261" s="2">
        <v>55</v>
      </c>
      <c r="AQ261" s="3">
        <f>[9]LaborForce!$B142*[9]LaborForce!$C142/100</f>
        <v>84638.792000000016</v>
      </c>
      <c r="AR261">
        <f>[9]Unemployment!$AC143</f>
        <v>308</v>
      </c>
      <c r="AS261">
        <f>[2]Indicators!BC143</f>
        <v>45.1</v>
      </c>
      <c r="AT261">
        <f>[2]Indicators!BD143</f>
        <v>42.169499999999999</v>
      </c>
      <c r="AU261">
        <f>[2]Indicators!BE143</f>
        <v>100.5227</v>
      </c>
    </row>
    <row r="262" spans="1:47" x14ac:dyDescent="0.25">
      <c r="A262" s="1">
        <v>26177</v>
      </c>
      <c r="B262" s="2">
        <f>[2]Indicators!G144</f>
        <v>714.70400000000006</v>
      </c>
      <c r="C262" s="2">
        <f>[2]Indicators!H144</f>
        <v>107.02</v>
      </c>
      <c r="D262" s="2">
        <f>[2]Indicators!I144</f>
        <v>241.797</v>
      </c>
      <c r="E262" s="2">
        <f>[2]Indicators!J144</f>
        <v>365.887</v>
      </c>
      <c r="M262" s="2">
        <f>[2]Indicators!AB144</f>
        <v>38.119599999999998</v>
      </c>
      <c r="N262" s="2">
        <f>[8]m!$C264</f>
        <v>5.55</v>
      </c>
      <c r="O262">
        <f>[9]Unemployment!$B144</f>
        <v>6</v>
      </c>
      <c r="P262" s="2">
        <f>[2]Surveys_m!$B144</f>
        <v>82.100000000000009</v>
      </c>
      <c r="Q262">
        <f>[5]m!$B264</f>
        <v>40.800000000000004</v>
      </c>
      <c r="R262">
        <f>[5]m!$D264</f>
        <v>43</v>
      </c>
      <c r="S262">
        <f>[5]m!$Q264</f>
        <v>38.300000000000004</v>
      </c>
      <c r="T262">
        <f>[6]m!B264</f>
        <v>1517</v>
      </c>
      <c r="U262" s="2">
        <f>[9]Unemployment!$F144</f>
        <v>11.9</v>
      </c>
      <c r="V262" s="2">
        <f>[9]Unemployment!$G144</f>
        <v>5.8000000000000007</v>
      </c>
      <c r="W262">
        <f>[9]Unemployment!$E144</f>
        <v>5042</v>
      </c>
      <c r="X262">
        <f>[9]Unemployment!N144</f>
        <v>2301</v>
      </c>
      <c r="Y262">
        <f>[9]Unemployment!O144</f>
        <v>1568</v>
      </c>
      <c r="Z262">
        <f>[9]Unemployment!P144-[9]Unemployment!Q144</f>
        <v>676</v>
      </c>
      <c r="AA262">
        <f>[9]Unemployment!$Q144</f>
        <v>563</v>
      </c>
      <c r="AB262" s="2">
        <f>[8]m!$C264</f>
        <v>5.55</v>
      </c>
      <c r="AC262" s="2">
        <f>[8]m!$F264</f>
        <v>6.1400000000000006</v>
      </c>
      <c r="AD262">
        <f>[9]Employment!$B144</f>
        <v>71620</v>
      </c>
      <c r="AE262" s="2">
        <f>[2]Indicators!$AB144</f>
        <v>38.119599999999998</v>
      </c>
      <c r="AF262" s="2">
        <f>[8]m!$AS264</f>
        <v>142.80000000000001</v>
      </c>
      <c r="AG262" s="2">
        <f>[8]m!$H264</f>
        <v>7.44</v>
      </c>
      <c r="AH262" s="2">
        <f>[8]m!$I264</f>
        <v>8.59</v>
      </c>
      <c r="AI262" s="2">
        <f>[7]m!C263</f>
        <v>4990</v>
      </c>
      <c r="AJ262" s="2">
        <f>[7]m!D263</f>
        <v>5200</v>
      </c>
      <c r="AK262" s="2">
        <f>[2]Surveys_m!$AB144</f>
        <v>55.1</v>
      </c>
      <c r="AL262" s="4">
        <f t="shared" si="3"/>
        <v>2669.1876208897493</v>
      </c>
      <c r="AN262" s="2">
        <v>54</v>
      </c>
      <c r="AQ262" s="3">
        <f>[9]LaborForce!$B143*[9]LaborForce!$C143/100</f>
        <v>84661.668000000005</v>
      </c>
      <c r="AR262">
        <f>[9]Unemployment!$AC144</f>
        <v>307</v>
      </c>
      <c r="AS262">
        <f>[2]Indicators!BC144</f>
        <v>45.4</v>
      </c>
      <c r="AT262">
        <f>[2]Indicators!BD144</f>
        <v>42.338000000000001</v>
      </c>
      <c r="AU262">
        <f>[2]Indicators!BE144</f>
        <v>100.6679</v>
      </c>
    </row>
    <row r="263" spans="1:47" x14ac:dyDescent="0.25">
      <c r="A263" s="1">
        <v>26207</v>
      </c>
      <c r="B263" s="2">
        <f>[2]Indicators!G145</f>
        <v>717.57100000000003</v>
      </c>
      <c r="C263" s="2">
        <f>[2]Indicators!H145</f>
        <v>107.215</v>
      </c>
      <c r="D263" s="2">
        <f>[2]Indicators!I145</f>
        <v>241.23500000000001</v>
      </c>
      <c r="E263" s="2">
        <f>[2]Indicators!J145</f>
        <v>369.12</v>
      </c>
      <c r="M263" s="2">
        <f>[2]Indicators!AB145</f>
        <v>38.404900000000005</v>
      </c>
      <c r="N263" s="2">
        <f>[8]m!$C265</f>
        <v>5.2</v>
      </c>
      <c r="O263">
        <f>[9]Unemployment!$B145</f>
        <v>5.8000000000000007</v>
      </c>
      <c r="P263" s="2">
        <f>[2]Surveys_m!$B145</f>
        <v>80.300000000000011</v>
      </c>
      <c r="Q263">
        <f>[5]m!$B265</f>
        <v>40.9</v>
      </c>
      <c r="R263">
        <f>[5]m!$D265</f>
        <v>43.1</v>
      </c>
      <c r="S263">
        <f>[5]m!$Q265</f>
        <v>38.300000000000004</v>
      </c>
      <c r="T263">
        <f>[6]m!B265</f>
        <v>-6331</v>
      </c>
      <c r="U263" s="2">
        <f>[9]Unemployment!$F145</f>
        <v>12.600000000000001</v>
      </c>
      <c r="V263" s="2">
        <f>[9]Unemployment!$G145</f>
        <v>6.5</v>
      </c>
      <c r="W263">
        <f>[9]Unemployment!$E145</f>
        <v>4954</v>
      </c>
      <c r="X263">
        <f>[9]Unemployment!N145</f>
        <v>2222</v>
      </c>
      <c r="Y263">
        <f>[9]Unemployment!O145</f>
        <v>1546</v>
      </c>
      <c r="Z263">
        <f>[9]Unemployment!P145-[9]Unemployment!Q145</f>
        <v>677</v>
      </c>
      <c r="AA263">
        <f>[9]Unemployment!$Q145</f>
        <v>591</v>
      </c>
      <c r="AB263" s="2">
        <f>[8]m!$C265</f>
        <v>5.2</v>
      </c>
      <c r="AC263" s="2">
        <f>[8]m!$F265</f>
        <v>5.93</v>
      </c>
      <c r="AD263">
        <f>[9]Employment!$B145</f>
        <v>71642</v>
      </c>
      <c r="AE263" s="2">
        <f>[2]Indicators!$AB145</f>
        <v>38.404900000000005</v>
      </c>
      <c r="AF263" s="2">
        <f>[8]m!$AS265</f>
        <v>143.9</v>
      </c>
      <c r="AG263" s="2">
        <f>[8]m!$H265</f>
        <v>7.3900000000000006</v>
      </c>
      <c r="AH263" s="2">
        <f>[8]m!$I265</f>
        <v>8.48</v>
      </c>
      <c r="AI263" s="2">
        <f>[7]m!C264</f>
        <v>5811</v>
      </c>
      <c r="AJ263" s="2">
        <f>[7]m!D264</f>
        <v>5466</v>
      </c>
      <c r="AK263" s="2">
        <f>[2]Surveys_m!$AB145</f>
        <v>55</v>
      </c>
      <c r="AL263" s="4">
        <f t="shared" si="3"/>
        <v>2718.6170212765969</v>
      </c>
      <c r="AN263" s="2">
        <v>55</v>
      </c>
      <c r="AQ263" s="3">
        <f>[9]LaborForce!$B144*[9]LaborForce!$C144/100</f>
        <v>84828.745999999999</v>
      </c>
      <c r="AR263">
        <f>[9]Unemployment!$AC145</f>
        <v>299</v>
      </c>
      <c r="AS263">
        <f>[2]Indicators!BC145</f>
        <v>45.5</v>
      </c>
      <c r="AT263">
        <f>[2]Indicators!BD145</f>
        <v>42.598700000000001</v>
      </c>
      <c r="AU263">
        <f>[2]Indicators!BE145</f>
        <v>101.0282</v>
      </c>
    </row>
    <row r="264" spans="1:47" x14ac:dyDescent="0.25">
      <c r="A264" s="1">
        <v>26238</v>
      </c>
      <c r="B264" s="2">
        <f>[2]Indicators!G146</f>
        <v>722.70100000000002</v>
      </c>
      <c r="C264" s="2">
        <f>[2]Indicators!H146</f>
        <v>107.28400000000001</v>
      </c>
      <c r="D264" s="2">
        <f>[2]Indicators!I146</f>
        <v>243.965</v>
      </c>
      <c r="E264" s="2">
        <f>[2]Indicators!J146</f>
        <v>371.452</v>
      </c>
      <c r="M264" s="2">
        <f>[2]Indicators!AB146</f>
        <v>38.567900000000002</v>
      </c>
      <c r="N264" s="2">
        <f>[8]m!$C266</f>
        <v>4.91</v>
      </c>
      <c r="O264">
        <f>[9]Unemployment!$B146</f>
        <v>6</v>
      </c>
      <c r="P264" s="2">
        <f>[2]Surveys_m!$B146</f>
        <v>80.300000000000011</v>
      </c>
      <c r="Q264">
        <f>[5]m!$B266</f>
        <v>41</v>
      </c>
      <c r="R264">
        <f>[5]m!$D266</f>
        <v>43.2</v>
      </c>
      <c r="S264">
        <f>[5]m!$Q266</f>
        <v>38.300000000000004</v>
      </c>
      <c r="T264">
        <f>[6]m!B266</f>
        <v>-3999</v>
      </c>
      <c r="U264" s="2">
        <f>[9]Unemployment!$F146</f>
        <v>12</v>
      </c>
      <c r="V264" s="2">
        <f>[9]Unemployment!$G146</f>
        <v>6.4</v>
      </c>
      <c r="W264">
        <f>[9]Unemployment!$E146</f>
        <v>5161</v>
      </c>
      <c r="X264">
        <f>[9]Unemployment!N146</f>
        <v>2304</v>
      </c>
      <c r="Y264">
        <f>[9]Unemployment!O146</f>
        <v>1629</v>
      </c>
      <c r="Z264">
        <f>[9]Unemployment!P146-[9]Unemployment!Q146</f>
        <v>696</v>
      </c>
      <c r="AA264">
        <f>[9]Unemployment!$Q146</f>
        <v>581</v>
      </c>
      <c r="AB264" s="2">
        <f>[8]m!$C266</f>
        <v>4.91</v>
      </c>
      <c r="AC264" s="2">
        <f>[8]m!$F266</f>
        <v>5.8100000000000005</v>
      </c>
      <c r="AD264">
        <f>[9]Employment!$B146</f>
        <v>71844</v>
      </c>
      <c r="AE264" s="2">
        <f>[2]Indicators!$AB146</f>
        <v>38.567900000000002</v>
      </c>
      <c r="AF264" s="2">
        <f>[8]m!$AS266</f>
        <v>145.6</v>
      </c>
      <c r="AG264" s="2">
        <f>[8]m!$H266</f>
        <v>7.26</v>
      </c>
      <c r="AH264" s="2">
        <f>[8]m!$I266</f>
        <v>8.3800000000000008</v>
      </c>
      <c r="AI264" s="2">
        <f>[7]m!C265</f>
        <v>4086</v>
      </c>
      <c r="AJ264" s="2">
        <f>[7]m!D265</f>
        <v>4785</v>
      </c>
      <c r="AK264" s="2">
        <f>[2]Surveys_m!$AB146</f>
        <v>52.300000000000004</v>
      </c>
      <c r="AL264" s="4">
        <f t="shared" si="3"/>
        <v>2768.0464216634441</v>
      </c>
      <c r="AN264" s="2">
        <v>56</v>
      </c>
      <c r="AQ264" s="3">
        <f>[9]LaborForce!$B145*[9]LaborForce!$C145/100</f>
        <v>85401.372000000018</v>
      </c>
      <c r="AR264">
        <f>[9]Unemployment!$AC146</f>
        <v>283</v>
      </c>
      <c r="AS264">
        <f>[2]Indicators!BC146</f>
        <v>45.800000000000004</v>
      </c>
      <c r="AT264">
        <f>[2]Indicators!BD146</f>
        <v>42.961100000000002</v>
      </c>
      <c r="AU264">
        <f>[2]Indicators!BE146</f>
        <v>101.62520000000001</v>
      </c>
    </row>
    <row r="265" spans="1:47" x14ac:dyDescent="0.25">
      <c r="A265" s="1">
        <v>26268</v>
      </c>
      <c r="B265" s="2">
        <f>[2]Indicators!G147</f>
        <v>730.23300000000006</v>
      </c>
      <c r="C265" s="2">
        <f>[2]Indicators!H147</f>
        <v>107.405</v>
      </c>
      <c r="D265" s="2">
        <f>[2]Indicators!I147</f>
        <v>245.584</v>
      </c>
      <c r="E265" s="2">
        <f>[2]Indicators!J147</f>
        <v>377.24400000000003</v>
      </c>
      <c r="M265" s="2">
        <f>[2]Indicators!AB147</f>
        <v>39.013100000000001</v>
      </c>
      <c r="N265" s="2">
        <f>[8]m!$C267</f>
        <v>4.1399999999999997</v>
      </c>
      <c r="O265">
        <f>[9]Unemployment!$B147</f>
        <v>6</v>
      </c>
      <c r="P265" s="2">
        <f>[2]Surveys_m!$B147</f>
        <v>85</v>
      </c>
      <c r="Q265">
        <f>[5]m!$B267</f>
        <v>41.1</v>
      </c>
      <c r="R265">
        <f>[5]m!$D267</f>
        <v>43.300000000000004</v>
      </c>
      <c r="S265">
        <f>[5]m!$Q267</f>
        <v>38.6</v>
      </c>
      <c r="T265">
        <f>[6]m!B267</f>
        <v>-274</v>
      </c>
      <c r="U265" s="2">
        <f>[9]Unemployment!$F147</f>
        <v>11.5</v>
      </c>
      <c r="V265" s="2">
        <f>[9]Unemployment!$G147</f>
        <v>6.2</v>
      </c>
      <c r="W265">
        <f>[9]Unemployment!$E147</f>
        <v>5154</v>
      </c>
      <c r="X265">
        <f>[9]Unemployment!N147</f>
        <v>2320</v>
      </c>
      <c r="Y265">
        <f>[9]Unemployment!O147</f>
        <v>1518</v>
      </c>
      <c r="Z265">
        <f>[9]Unemployment!P147-[9]Unemployment!Q147</f>
        <v>700</v>
      </c>
      <c r="AA265">
        <f>[9]Unemployment!$Q147</f>
        <v>583</v>
      </c>
      <c r="AB265" s="2">
        <f>[8]m!$C267</f>
        <v>4.1399999999999997</v>
      </c>
      <c r="AC265" s="2">
        <f>[8]m!$F267</f>
        <v>5.93</v>
      </c>
      <c r="AD265">
        <f>[9]Employment!$B147</f>
        <v>72108</v>
      </c>
      <c r="AE265" s="2">
        <f>[2]Indicators!$AB147</f>
        <v>39.013100000000001</v>
      </c>
      <c r="AF265" s="2">
        <f>[8]m!$AS267</f>
        <v>146.9</v>
      </c>
      <c r="AG265" s="2">
        <f>[8]m!$H267</f>
        <v>7.25</v>
      </c>
      <c r="AH265" s="2">
        <f>[8]m!$I267</f>
        <v>8.3800000000000008</v>
      </c>
      <c r="AI265" s="2">
        <f>[7]m!C266</f>
        <v>4613</v>
      </c>
      <c r="AJ265" s="2">
        <f>[7]m!D266</f>
        <v>4772</v>
      </c>
      <c r="AK265" s="2">
        <f>[2]Surveys_m!$AB147</f>
        <v>57.6</v>
      </c>
      <c r="AL265" s="4">
        <f t="shared" si="3"/>
        <v>2768.0464216634441</v>
      </c>
      <c r="AN265" s="2">
        <v>56</v>
      </c>
      <c r="AQ265" s="3">
        <f>[9]LaborForce!$B146*[9]LaborForce!$C146/100</f>
        <v>85566.26400000001</v>
      </c>
      <c r="AR265">
        <f>[9]Unemployment!$AC147</f>
        <v>278</v>
      </c>
      <c r="AS265">
        <f>[2]Indicators!BC147</f>
        <v>46.5</v>
      </c>
      <c r="AT265">
        <f>[2]Indicators!BD147</f>
        <v>43.4039</v>
      </c>
      <c r="AU265">
        <f>[2]Indicators!BE147</f>
        <v>102.40700000000001</v>
      </c>
    </row>
    <row r="266" spans="1:47" x14ac:dyDescent="0.25">
      <c r="A266" s="1">
        <v>26299</v>
      </c>
      <c r="B266" s="2">
        <f>[2]Indicators!G148</f>
        <v>733.39300000000003</v>
      </c>
      <c r="C266" s="2">
        <f>[2]Indicators!H148</f>
        <v>110.526</v>
      </c>
      <c r="D266" s="2">
        <f>[2]Indicators!I148</f>
        <v>243.22900000000001</v>
      </c>
      <c r="E266" s="2">
        <f>[2]Indicators!J148</f>
        <v>379.63800000000003</v>
      </c>
      <c r="M266" s="2">
        <f>[2]Indicators!AB148</f>
        <v>39.950500000000005</v>
      </c>
      <c r="N266" s="2">
        <f>[8]m!$C268</f>
        <v>3.5</v>
      </c>
      <c r="O266">
        <f>[9]Unemployment!$B148</f>
        <v>5.8000000000000007</v>
      </c>
      <c r="P266" s="2">
        <f>[2]Surveys_m!$B148</f>
        <v>85</v>
      </c>
      <c r="Q266">
        <f>[5]m!$B268</f>
        <v>41.2</v>
      </c>
      <c r="R266">
        <f>[5]m!$D268</f>
        <v>43.5</v>
      </c>
      <c r="S266">
        <f>[5]m!$Q268</f>
        <v>38.800000000000004</v>
      </c>
      <c r="T266">
        <f>[6]m!B268</f>
        <v>-1876</v>
      </c>
      <c r="U266" s="2">
        <f>[9]Unemployment!$F148</f>
        <v>12.100000000000001</v>
      </c>
      <c r="V266" s="2">
        <f>[9]Unemployment!$G148</f>
        <v>6.2</v>
      </c>
      <c r="W266">
        <f>[9]Unemployment!$E148</f>
        <v>5019</v>
      </c>
      <c r="X266">
        <f>[9]Unemployment!N148</f>
        <v>2324</v>
      </c>
      <c r="Y266">
        <f>[9]Unemployment!O148</f>
        <v>1489</v>
      </c>
      <c r="Z266">
        <f>[9]Unemployment!P148-[9]Unemployment!Q148</f>
        <v>664</v>
      </c>
      <c r="AA266">
        <f>[9]Unemployment!$Q148</f>
        <v>593</v>
      </c>
      <c r="AB266" s="2">
        <f>[8]m!$B268</f>
        <v>3.38</v>
      </c>
      <c r="AC266" s="2">
        <f>[8]m!$F268</f>
        <v>5.95</v>
      </c>
      <c r="AD266">
        <f>[9]Employment!$B148</f>
        <v>72445</v>
      </c>
      <c r="AE266" s="2">
        <f>[2]Indicators!$AB148</f>
        <v>39.950500000000005</v>
      </c>
      <c r="AF266" s="2">
        <f>[8]m!$AS268</f>
        <v>147.70000000000002</v>
      </c>
      <c r="AG266" s="2">
        <f>[8]m!$H268</f>
        <v>7.19</v>
      </c>
      <c r="AH266" s="2">
        <f>[8]m!$I268</f>
        <v>8.23</v>
      </c>
      <c r="AI266" s="2">
        <f>[7]m!C267</f>
        <v>5298</v>
      </c>
      <c r="AJ266" s="2">
        <f>[7]m!D267</f>
        <v>5485</v>
      </c>
      <c r="AK266" s="2">
        <f>[2]Surveys_m!$AB148</f>
        <v>59.6</v>
      </c>
      <c r="AL266" s="4">
        <f t="shared" si="3"/>
        <v>2916.3346228239857</v>
      </c>
      <c r="AN266" s="2">
        <v>59</v>
      </c>
      <c r="AQ266" s="3">
        <f>[9]LaborForce!$B147*[9]LaborForce!$C147/100</f>
        <v>85927.072000000015</v>
      </c>
      <c r="AR266">
        <f>[9]Unemployment!$AC148</f>
        <v>279</v>
      </c>
      <c r="AS266">
        <f>[2]Indicators!BC148</f>
        <v>47</v>
      </c>
      <c r="AT266">
        <f>[2]Indicators!BD148</f>
        <v>43.855800000000002</v>
      </c>
      <c r="AU266">
        <f>[2]Indicators!BE148</f>
        <v>103.2042</v>
      </c>
    </row>
    <row r="267" spans="1:47" x14ac:dyDescent="0.25">
      <c r="A267" s="1">
        <v>26330</v>
      </c>
      <c r="B267" s="2">
        <f>[2]Indicators!G149</f>
        <v>738.08900000000006</v>
      </c>
      <c r="C267" s="2">
        <f>[2]Indicators!H149</f>
        <v>109.285</v>
      </c>
      <c r="D267" s="2">
        <f>[2]Indicators!I149</f>
        <v>246.59700000000001</v>
      </c>
      <c r="E267" s="2">
        <f>[2]Indicators!J149</f>
        <v>382.20699999999999</v>
      </c>
      <c r="M267" s="2">
        <f>[2]Indicators!AB149</f>
        <v>40.3262</v>
      </c>
      <c r="N267" s="2">
        <f>[8]m!$C269</f>
        <v>3.29</v>
      </c>
      <c r="O267">
        <f>[9]Unemployment!$B149</f>
        <v>5.7</v>
      </c>
      <c r="P267" s="2">
        <f>[2]Surveys_m!$B149</f>
        <v>93.600000000000009</v>
      </c>
      <c r="Q267">
        <f>[5]m!$B269</f>
        <v>41.4</v>
      </c>
      <c r="R267">
        <f>[5]m!$D269</f>
        <v>43.6</v>
      </c>
      <c r="S267">
        <f>[5]m!$Q269</f>
        <v>39.200000000000003</v>
      </c>
      <c r="T267">
        <f>[6]m!B269</f>
        <v>-3523</v>
      </c>
      <c r="U267" s="2">
        <f>[9]Unemployment!$F149</f>
        <v>12.4</v>
      </c>
      <c r="V267" s="2">
        <f>[9]Unemployment!$G149</f>
        <v>6.6000000000000005</v>
      </c>
      <c r="W267">
        <f>[9]Unemployment!$E149</f>
        <v>4928</v>
      </c>
      <c r="X267">
        <f>[9]Unemployment!N149</f>
        <v>2111</v>
      </c>
      <c r="Y267">
        <f>[9]Unemployment!O149</f>
        <v>1470</v>
      </c>
      <c r="Z267">
        <f>[9]Unemployment!P149-[9]Unemployment!Q149</f>
        <v>641</v>
      </c>
      <c r="AA267">
        <f>[9]Unemployment!$Q149</f>
        <v>651</v>
      </c>
      <c r="AB267" s="2">
        <f>[8]m!$B269</f>
        <v>3.2</v>
      </c>
      <c r="AC267" s="2">
        <f>[8]m!$F269</f>
        <v>6.08</v>
      </c>
      <c r="AD267">
        <f>[9]Employment!$B149</f>
        <v>72652</v>
      </c>
      <c r="AE267" s="2">
        <f>[2]Indicators!$AB149</f>
        <v>40.3262</v>
      </c>
      <c r="AF267" s="2">
        <f>[8]m!$AS269</f>
        <v>148.9</v>
      </c>
      <c r="AG267" s="2">
        <f>[8]m!$H269</f>
        <v>7.2700000000000005</v>
      </c>
      <c r="AH267" s="2">
        <f>[8]m!$I269</f>
        <v>8.23</v>
      </c>
      <c r="AI267" s="2">
        <f>[7]m!C268</f>
        <v>5565</v>
      </c>
      <c r="AJ267" s="2">
        <f>[7]m!D268</f>
        <v>5827</v>
      </c>
      <c r="AK267" s="2">
        <f>[2]Surveys_m!$AB149</f>
        <v>60.6</v>
      </c>
      <c r="AL267" s="4">
        <f t="shared" si="3"/>
        <v>2965.7640232108333</v>
      </c>
      <c r="AN267" s="2">
        <v>60</v>
      </c>
      <c r="AQ267" s="3">
        <f>[9]LaborForce!$B148*[9]LaborForce!$C148/100</f>
        <v>86095.632000000012</v>
      </c>
      <c r="AR267">
        <f>[9]Unemployment!$AC149</f>
        <v>269</v>
      </c>
      <c r="AS267">
        <f>[2]Indicators!BC149</f>
        <v>47.5</v>
      </c>
      <c r="AT267">
        <f>[2]Indicators!BD149</f>
        <v>44.253800000000005</v>
      </c>
      <c r="AU267">
        <f>[2]Indicators!BE149</f>
        <v>103.8699</v>
      </c>
    </row>
    <row r="268" spans="1:47" x14ac:dyDescent="0.25">
      <c r="A268" s="1">
        <v>26359</v>
      </c>
      <c r="B268" s="2">
        <f>[2]Indicators!G150</f>
        <v>751.15300000000002</v>
      </c>
      <c r="C268" s="2">
        <f>[2]Indicators!H150</f>
        <v>112.3</v>
      </c>
      <c r="D268" s="2">
        <f>[2]Indicators!I150</f>
        <v>251.29400000000001</v>
      </c>
      <c r="E268" s="2">
        <f>[2]Indicators!J150</f>
        <v>387.55900000000003</v>
      </c>
      <c r="M268" s="2">
        <f>[2]Indicators!AB150</f>
        <v>40.6295</v>
      </c>
      <c r="N268" s="2">
        <f>[8]m!$C270</f>
        <v>3.83</v>
      </c>
      <c r="O268">
        <f>[9]Unemployment!$B150</f>
        <v>5.8000000000000007</v>
      </c>
      <c r="P268" s="2">
        <f>[2]Surveys_m!$B150</f>
        <v>93.600000000000009</v>
      </c>
      <c r="Q268">
        <f>[5]m!$B270</f>
        <v>41.4</v>
      </c>
      <c r="R268">
        <f>[5]m!$D270</f>
        <v>43.6</v>
      </c>
      <c r="S268">
        <f>[5]m!$Q270</f>
        <v>39.200000000000003</v>
      </c>
      <c r="T268">
        <f>[6]m!B270</f>
        <v>-5105</v>
      </c>
      <c r="U268" s="2">
        <f>[9]Unemployment!$F150</f>
        <v>12.3</v>
      </c>
      <c r="V268" s="2">
        <f>[9]Unemployment!$G150</f>
        <v>6.6000000000000005</v>
      </c>
      <c r="W268">
        <f>[9]Unemployment!$E150</f>
        <v>5038</v>
      </c>
      <c r="X268">
        <f>[9]Unemployment!N150</f>
        <v>2303</v>
      </c>
      <c r="Y268">
        <f>[9]Unemployment!O150</f>
        <v>1418</v>
      </c>
      <c r="Z268">
        <f>[9]Unemployment!P150-[9]Unemployment!Q150</f>
        <v>600</v>
      </c>
      <c r="AA268">
        <f>[9]Unemployment!$Q150</f>
        <v>632</v>
      </c>
      <c r="AB268" s="2">
        <f>[8]m!$B270</f>
        <v>3.73</v>
      </c>
      <c r="AC268" s="2">
        <f>[8]m!$F270</f>
        <v>6.07</v>
      </c>
      <c r="AD268">
        <f>[9]Employment!$B150</f>
        <v>72945</v>
      </c>
      <c r="AE268" s="2">
        <f>[2]Indicators!$AB150</f>
        <v>40.6295</v>
      </c>
      <c r="AF268" s="2">
        <f>[8]m!$AS270</f>
        <v>150.80000000000001</v>
      </c>
      <c r="AG268" s="2">
        <f>[8]m!$H270</f>
        <v>7.24</v>
      </c>
      <c r="AH268" s="2">
        <f>[8]m!$I270</f>
        <v>8.24</v>
      </c>
      <c r="AI268" s="2">
        <f>[7]m!C269</f>
        <v>5315</v>
      </c>
      <c r="AJ268" s="2">
        <f>[7]m!D269</f>
        <v>5864</v>
      </c>
      <c r="AK268" s="2">
        <f>[2]Surveys_m!$AB150</f>
        <v>59.800000000000004</v>
      </c>
      <c r="AL268" s="4">
        <f t="shared" si="3"/>
        <v>3064.6228239845277</v>
      </c>
      <c r="AN268" s="2">
        <v>62</v>
      </c>
      <c r="AQ268" s="3">
        <f>[9]LaborForce!$B149*[9]LaborForce!$C149/100</f>
        <v>86673.51</v>
      </c>
      <c r="AR268">
        <f>[9]Unemployment!$AC150</f>
        <v>254</v>
      </c>
      <c r="AS268">
        <f>[2]Indicators!BC150</f>
        <v>47.800000000000004</v>
      </c>
      <c r="AT268">
        <f>[2]Indicators!BD150</f>
        <v>44.571000000000005</v>
      </c>
      <c r="AU268">
        <f>[2]Indicators!BE150</f>
        <v>104.3426</v>
      </c>
    </row>
    <row r="269" spans="1:47" x14ac:dyDescent="0.25">
      <c r="A269" s="1">
        <v>26390</v>
      </c>
      <c r="B269" s="2">
        <f>[2]Indicators!G151</f>
        <v>754.54600000000005</v>
      </c>
      <c r="C269" s="2">
        <f>[2]Indicators!H151</f>
        <v>112.85900000000001</v>
      </c>
      <c r="D269" s="2">
        <f>[2]Indicators!I151</f>
        <v>252.197</v>
      </c>
      <c r="E269" s="2">
        <f>[2]Indicators!J151</f>
        <v>389.49</v>
      </c>
      <c r="M269" s="2">
        <f>[2]Indicators!AB151</f>
        <v>41.043900000000001</v>
      </c>
      <c r="N269" s="2">
        <f>[8]m!$C271</f>
        <v>4.17</v>
      </c>
      <c r="O269">
        <f>[9]Unemployment!$B151</f>
        <v>5.7</v>
      </c>
      <c r="P269" s="2">
        <f>[2]Surveys_m!$B151</f>
        <v>95.100000000000009</v>
      </c>
      <c r="Q269">
        <f>[5]m!$B271</f>
        <v>41.5</v>
      </c>
      <c r="R269">
        <f>[5]m!$D271</f>
        <v>43.800000000000004</v>
      </c>
      <c r="S269">
        <f>[5]m!$Q271</f>
        <v>39.300000000000004</v>
      </c>
      <c r="T269">
        <f>[6]m!B271</f>
        <v>5936</v>
      </c>
      <c r="U269" s="2">
        <f>[9]Unemployment!$F151</f>
        <v>12.4</v>
      </c>
      <c r="V269" s="2">
        <f>[9]Unemployment!$G151</f>
        <v>6.7</v>
      </c>
      <c r="W269">
        <f>[9]Unemployment!$E151</f>
        <v>4959</v>
      </c>
      <c r="X269">
        <f>[9]Unemployment!N151</f>
        <v>2229</v>
      </c>
      <c r="Y269">
        <f>[9]Unemployment!O151</f>
        <v>1500</v>
      </c>
      <c r="Z269">
        <f>[9]Unemployment!P151-[9]Unemployment!Q151</f>
        <v>530</v>
      </c>
      <c r="AA269">
        <f>[9]Unemployment!$Q151</f>
        <v>673</v>
      </c>
      <c r="AB269" s="2">
        <f>[8]m!$B271</f>
        <v>3.71</v>
      </c>
      <c r="AC269" s="2">
        <f>[8]m!$F271</f>
        <v>6.19</v>
      </c>
      <c r="AD269">
        <f>[9]Employment!$B151</f>
        <v>73163</v>
      </c>
      <c r="AE269" s="2">
        <f>[2]Indicators!$AB151</f>
        <v>41.043900000000001</v>
      </c>
      <c r="AF269" s="2">
        <f>[8]m!$AS271</f>
        <v>152.30000000000001</v>
      </c>
      <c r="AG269" s="2">
        <f>[8]m!$H271</f>
        <v>7.3</v>
      </c>
      <c r="AH269" s="2">
        <f>[8]m!$I271</f>
        <v>8.24</v>
      </c>
      <c r="AI269" s="2">
        <f>[7]m!C270</f>
        <v>5359</v>
      </c>
      <c r="AJ269" s="2">
        <f>[7]m!D270</f>
        <v>5906</v>
      </c>
      <c r="AK269" s="2">
        <f>[2]Surveys_m!$AB151</f>
        <v>59.300000000000004</v>
      </c>
      <c r="AL269" s="4">
        <f t="shared" si="3"/>
        <v>3064.6228239845277</v>
      </c>
      <c r="AN269" s="2">
        <v>62</v>
      </c>
      <c r="AQ269" s="3">
        <f>[9]LaborForce!$B150*[9]LaborForce!$C150/100</f>
        <v>86663.732000000018</v>
      </c>
      <c r="AR269">
        <f>[9]Unemployment!$AC151</f>
        <v>258</v>
      </c>
      <c r="AS269">
        <f>[2]Indicators!BC151</f>
        <v>47.9</v>
      </c>
      <c r="AT269">
        <f>[2]Indicators!BD151</f>
        <v>44.824100000000001</v>
      </c>
      <c r="AU269">
        <f>[2]Indicators!BE151</f>
        <v>104.6628</v>
      </c>
    </row>
    <row r="270" spans="1:47" x14ac:dyDescent="0.25">
      <c r="A270" s="1">
        <v>26420</v>
      </c>
      <c r="B270" s="2">
        <f>[2]Indicators!G152</f>
        <v>760.00300000000004</v>
      </c>
      <c r="C270" s="2">
        <f>[2]Indicators!H152</f>
        <v>114.52</v>
      </c>
      <c r="D270" s="2">
        <f>[2]Indicators!I152</f>
        <v>255.375</v>
      </c>
      <c r="E270" s="2">
        <f>[2]Indicators!J152</f>
        <v>390.108</v>
      </c>
      <c r="M270" s="2">
        <f>[2]Indicators!AB152</f>
        <v>41.027900000000002</v>
      </c>
      <c r="N270" s="2">
        <f>[8]m!$C272</f>
        <v>4.2700000000000005</v>
      </c>
      <c r="O270">
        <f>[9]Unemployment!$B152</f>
        <v>5.7</v>
      </c>
      <c r="P270" s="2">
        <f>[2]Surveys_m!$B152</f>
        <v>95.100000000000009</v>
      </c>
      <c r="Q270">
        <f>[5]m!$B272</f>
        <v>41.6</v>
      </c>
      <c r="R270">
        <f>[5]m!$D272</f>
        <v>43.9</v>
      </c>
      <c r="S270">
        <f>[5]m!$Q272</f>
        <v>39.5</v>
      </c>
      <c r="T270">
        <f>[6]m!B272</f>
        <v>-2505</v>
      </c>
      <c r="U270" s="2">
        <f>[9]Unemployment!$F152</f>
        <v>12.3</v>
      </c>
      <c r="V270" s="2">
        <f>[9]Unemployment!$G152</f>
        <v>6.6000000000000005</v>
      </c>
      <c r="W270">
        <f>[9]Unemployment!$E152</f>
        <v>4922</v>
      </c>
      <c r="X270">
        <f>[9]Unemployment!N152</f>
        <v>2192</v>
      </c>
      <c r="Y270">
        <f>[9]Unemployment!O152</f>
        <v>1534</v>
      </c>
      <c r="Z270">
        <f>[9]Unemployment!P152-[9]Unemployment!Q152</f>
        <v>588</v>
      </c>
      <c r="AA270">
        <f>[9]Unemployment!$Q152</f>
        <v>580</v>
      </c>
      <c r="AB270" s="2">
        <f>[8]m!$B272</f>
        <v>3.69</v>
      </c>
      <c r="AC270" s="2">
        <f>[8]m!$F272</f>
        <v>6.13</v>
      </c>
      <c r="AD270">
        <f>[9]Employment!$B152</f>
        <v>73467</v>
      </c>
      <c r="AE270" s="2">
        <f>[2]Indicators!$AB152</f>
        <v>41.027900000000002</v>
      </c>
      <c r="AF270" s="2">
        <f>[8]m!$AS272</f>
        <v>154.20000000000002</v>
      </c>
      <c r="AG270" s="2">
        <f>[8]m!$H272</f>
        <v>7.3</v>
      </c>
      <c r="AH270" s="2">
        <f>[8]m!$I272</f>
        <v>8.23</v>
      </c>
      <c r="AI270" s="2">
        <f>[7]m!C271</f>
        <v>5231</v>
      </c>
      <c r="AJ270" s="2">
        <f>[7]m!D271</f>
        <v>5826</v>
      </c>
      <c r="AK270" s="2">
        <f>[2]Surveys_m!$AB152</f>
        <v>61.400000000000006</v>
      </c>
      <c r="AL270" s="4">
        <f t="shared" ref="AL270:AL333" si="4">AL271*AN270/AN271</f>
        <v>3163.4816247582221</v>
      </c>
      <c r="AN270" s="2">
        <v>64</v>
      </c>
      <c r="AQ270" s="3">
        <f>[9]LaborForce!$B151*[9]LaborForce!$C151/100</f>
        <v>86830.436000000016</v>
      </c>
      <c r="AR270">
        <f>[9]Unemployment!$AC152</f>
        <v>265</v>
      </c>
      <c r="AS270">
        <f>[2]Indicators!BC152</f>
        <v>48.1</v>
      </c>
      <c r="AT270">
        <f>[2]Indicators!BD152</f>
        <v>45.044400000000003</v>
      </c>
      <c r="AU270">
        <f>[2]Indicators!BE152</f>
        <v>104.90570000000001</v>
      </c>
    </row>
    <row r="271" spans="1:47" x14ac:dyDescent="0.25">
      <c r="A271" s="1">
        <v>26451</v>
      </c>
      <c r="B271" s="2">
        <f>[2]Indicators!G153</f>
        <v>763.66800000000001</v>
      </c>
      <c r="C271" s="2">
        <f>[2]Indicators!H153</f>
        <v>114.818</v>
      </c>
      <c r="D271" s="2">
        <f>[2]Indicators!I153</f>
        <v>255.334</v>
      </c>
      <c r="E271" s="2">
        <f>[2]Indicators!J153</f>
        <v>393.51499999999999</v>
      </c>
      <c r="M271" s="2">
        <f>[2]Indicators!AB153</f>
        <v>41.139099999999999</v>
      </c>
      <c r="N271" s="2">
        <f>[8]m!$C273</f>
        <v>4.46</v>
      </c>
      <c r="O271">
        <f>[9]Unemployment!$B153</f>
        <v>5.7</v>
      </c>
      <c r="P271" s="2">
        <f>[2]Surveys_m!$B153</f>
        <v>98.9</v>
      </c>
      <c r="Q271">
        <f>[5]m!$B273</f>
        <v>41.7</v>
      </c>
      <c r="R271">
        <f>[5]m!$D273</f>
        <v>44</v>
      </c>
      <c r="S271">
        <f>[5]m!$Q273</f>
        <v>39.700000000000003</v>
      </c>
      <c r="T271">
        <f>[6]m!B273</f>
        <v>2218</v>
      </c>
      <c r="U271" s="2">
        <f>[9]Unemployment!$F153</f>
        <v>12.4</v>
      </c>
      <c r="V271" s="2">
        <f>[9]Unemployment!$G153</f>
        <v>5.4</v>
      </c>
      <c r="W271">
        <f>[9]Unemployment!$E153</f>
        <v>4923</v>
      </c>
      <c r="X271">
        <f>[9]Unemployment!N153</f>
        <v>2279</v>
      </c>
      <c r="Y271">
        <f>[9]Unemployment!O153</f>
        <v>1489</v>
      </c>
      <c r="Z271">
        <f>[9]Unemployment!P153-[9]Unemployment!Q153</f>
        <v>591</v>
      </c>
      <c r="AA271">
        <f>[9]Unemployment!$Q153</f>
        <v>550</v>
      </c>
      <c r="AB271" s="2">
        <f>[8]m!$B273</f>
        <v>3.91</v>
      </c>
      <c r="AC271" s="2">
        <f>[8]m!$F273</f>
        <v>6.11</v>
      </c>
      <c r="AD271">
        <f>[9]Employment!$B153</f>
        <v>73760</v>
      </c>
      <c r="AE271" s="2">
        <f>[2]Indicators!$AB153</f>
        <v>41.139099999999999</v>
      </c>
      <c r="AF271" s="2">
        <f>[8]m!$AS273</f>
        <v>156.20000000000002</v>
      </c>
      <c r="AG271" s="2">
        <f>[8]m!$H273</f>
        <v>7.23</v>
      </c>
      <c r="AH271" s="2">
        <f>[8]m!$I273</f>
        <v>8.1999999999999993</v>
      </c>
      <c r="AI271" s="2">
        <f>[7]m!C272</f>
        <v>5293</v>
      </c>
      <c r="AJ271" s="2">
        <f>[7]m!D272</f>
        <v>5895</v>
      </c>
      <c r="AK271" s="2">
        <f>[2]Surveys_m!$AB153</f>
        <v>58.6</v>
      </c>
      <c r="AL271" s="4">
        <f t="shared" si="4"/>
        <v>3163.4816247582221</v>
      </c>
      <c r="AN271" s="2">
        <v>64</v>
      </c>
      <c r="AQ271" s="3">
        <f>[9]LaborForce!$B152*[9]LaborForce!$C152/100</f>
        <v>86995.328000000009</v>
      </c>
      <c r="AR271">
        <f>[9]Unemployment!$AC153</f>
        <v>267</v>
      </c>
      <c r="AS271">
        <f>[2]Indicators!BC153</f>
        <v>48.300000000000004</v>
      </c>
      <c r="AT271">
        <f>[2]Indicators!BD153</f>
        <v>45.266000000000005</v>
      </c>
      <c r="AU271">
        <f>[2]Indicators!BE153</f>
        <v>105.1508</v>
      </c>
    </row>
    <row r="272" spans="1:47" x14ac:dyDescent="0.25">
      <c r="A272" s="1">
        <v>26481</v>
      </c>
      <c r="B272" s="2">
        <f>[2]Indicators!G154</f>
        <v>772.02</v>
      </c>
      <c r="C272" s="2">
        <f>[2]Indicators!H154</f>
        <v>116.627</v>
      </c>
      <c r="D272" s="2">
        <f>[2]Indicators!I154</f>
        <v>257.98</v>
      </c>
      <c r="E272" s="2">
        <f>[2]Indicators!J154</f>
        <v>397.41300000000001</v>
      </c>
      <c r="M272" s="2">
        <f>[2]Indicators!AB154</f>
        <v>41.128100000000003</v>
      </c>
      <c r="N272" s="2">
        <f>[8]m!$C274</f>
        <v>4.55</v>
      </c>
      <c r="O272">
        <f>[9]Unemployment!$B154</f>
        <v>5.6000000000000005</v>
      </c>
      <c r="P272" s="2">
        <f>[2]Surveys_m!$B154</f>
        <v>98.9</v>
      </c>
      <c r="Q272">
        <f>[5]m!$B274</f>
        <v>41.800000000000004</v>
      </c>
      <c r="R272">
        <f>[5]m!$D274</f>
        <v>44.1</v>
      </c>
      <c r="S272">
        <f>[5]m!$Q274</f>
        <v>40</v>
      </c>
      <c r="T272">
        <f>[6]m!B274</f>
        <v>-3292</v>
      </c>
      <c r="U272" s="2">
        <f>[9]Unemployment!$F154</f>
        <v>11.8</v>
      </c>
      <c r="V272" s="2">
        <f>[9]Unemployment!$G154</f>
        <v>6.1000000000000005</v>
      </c>
      <c r="W272">
        <f>[9]Unemployment!$E154</f>
        <v>4913</v>
      </c>
      <c r="X272">
        <f>[9]Unemployment!N154</f>
        <v>2248</v>
      </c>
      <c r="Y272">
        <f>[9]Unemployment!O154</f>
        <v>1515</v>
      </c>
      <c r="Z272">
        <f>[9]Unemployment!P154-[9]Unemployment!Q154</f>
        <v>635</v>
      </c>
      <c r="AA272">
        <f>[9]Unemployment!$Q154</f>
        <v>519</v>
      </c>
      <c r="AB272" s="2">
        <f>[8]m!$B274</f>
        <v>3.98</v>
      </c>
      <c r="AC272" s="2">
        <f>[8]m!$F274</f>
        <v>6.11</v>
      </c>
      <c r="AD272">
        <f>[9]Employment!$B154</f>
        <v>73709</v>
      </c>
      <c r="AE272" s="2">
        <f>[2]Indicators!$AB154</f>
        <v>41.128100000000003</v>
      </c>
      <c r="AF272" s="2">
        <f>[8]m!$AS274</f>
        <v>157.30000000000001</v>
      </c>
      <c r="AG272" s="2">
        <f>[8]m!$H274</f>
        <v>7.21</v>
      </c>
      <c r="AH272" s="2">
        <f>[8]m!$I274</f>
        <v>8.23</v>
      </c>
      <c r="AI272" s="2">
        <f>[7]m!C273</f>
        <v>5382</v>
      </c>
      <c r="AJ272" s="2">
        <f>[7]m!D273</f>
        <v>5877</v>
      </c>
      <c r="AK272" s="2">
        <f>[2]Surveys_m!$AB154</f>
        <v>60.1</v>
      </c>
      <c r="AL272" s="4">
        <f t="shared" si="4"/>
        <v>3262.3404255319165</v>
      </c>
      <c r="AN272" s="2">
        <v>66</v>
      </c>
      <c r="AQ272" s="3">
        <f>[9]LaborForce!$B153*[9]LaborForce!$C153/100</f>
        <v>87148.14</v>
      </c>
      <c r="AR272">
        <f>[9]Unemployment!$AC154</f>
        <v>350</v>
      </c>
      <c r="AS272">
        <f>[2]Indicators!BC154</f>
        <v>48.800000000000004</v>
      </c>
      <c r="AT272">
        <f>[2]Indicators!BD154</f>
        <v>45.5212</v>
      </c>
      <c r="AU272">
        <f>[2]Indicators!BE154</f>
        <v>105.4736</v>
      </c>
    </row>
    <row r="273" spans="1:47" x14ac:dyDescent="0.25">
      <c r="A273" s="1">
        <v>26512</v>
      </c>
      <c r="B273" s="2">
        <f>[2]Indicators!G155</f>
        <v>778.46900000000005</v>
      </c>
      <c r="C273" s="2">
        <f>[2]Indicators!H155</f>
        <v>118.261</v>
      </c>
      <c r="D273" s="2">
        <f>[2]Indicators!I155</f>
        <v>259.56700000000001</v>
      </c>
      <c r="E273" s="2">
        <f>[2]Indicators!J155</f>
        <v>400.64100000000002</v>
      </c>
      <c r="M273" s="2">
        <f>[2]Indicators!AB155</f>
        <v>41.668600000000005</v>
      </c>
      <c r="N273" s="2">
        <f>[8]m!$C275</f>
        <v>4.8</v>
      </c>
      <c r="O273">
        <f>[9]Unemployment!$B155</f>
        <v>5.6000000000000005</v>
      </c>
      <c r="P273" s="2">
        <f>[2]Surveys_m!$B155</f>
        <v>104.10000000000001</v>
      </c>
      <c r="Q273">
        <f>[5]m!$B275</f>
        <v>41.9</v>
      </c>
      <c r="R273">
        <f>[5]m!$D275</f>
        <v>44.300000000000004</v>
      </c>
      <c r="S273">
        <f>[5]m!$Q275</f>
        <v>40.1</v>
      </c>
      <c r="T273">
        <f>[6]m!B275</f>
        <v>-2587</v>
      </c>
      <c r="U273" s="2">
        <f>[9]Unemployment!$F155</f>
        <v>11.8</v>
      </c>
      <c r="V273" s="2">
        <f>[9]Unemployment!$G155</f>
        <v>6</v>
      </c>
      <c r="W273">
        <f>[9]Unemployment!$E155</f>
        <v>4939</v>
      </c>
      <c r="X273">
        <f>[9]Unemployment!N155</f>
        <v>2285</v>
      </c>
      <c r="Y273">
        <f>[9]Unemployment!O155</f>
        <v>1541</v>
      </c>
      <c r="Z273">
        <f>[9]Unemployment!P155-[9]Unemployment!Q155</f>
        <v>619</v>
      </c>
      <c r="AA273">
        <f>[9]Unemployment!$Q155</f>
        <v>537</v>
      </c>
      <c r="AB273" s="2">
        <f>[8]m!$B275</f>
        <v>4.0200000000000005</v>
      </c>
      <c r="AC273" s="2">
        <f>[8]m!$F275</f>
        <v>6.21</v>
      </c>
      <c r="AD273">
        <f>[9]Employment!$B155</f>
        <v>74137</v>
      </c>
      <c r="AE273" s="2">
        <f>[2]Indicators!$AB155</f>
        <v>41.668600000000005</v>
      </c>
      <c r="AF273" s="2">
        <f>[8]m!$AS275</f>
        <v>158.9</v>
      </c>
      <c r="AG273" s="2">
        <f>[8]m!$H275</f>
        <v>7.19</v>
      </c>
      <c r="AH273" s="2">
        <f>[8]m!$I275</f>
        <v>8.19</v>
      </c>
      <c r="AI273" s="2">
        <f>[7]m!C274</f>
        <v>5618</v>
      </c>
      <c r="AJ273" s="2">
        <f>[7]m!D274</f>
        <v>5930</v>
      </c>
      <c r="AK273" s="2">
        <f>[2]Surveys_m!$AB155</f>
        <v>61.7</v>
      </c>
      <c r="AL273" s="4">
        <f t="shared" si="4"/>
        <v>3361.1992263056109</v>
      </c>
      <c r="AN273" s="2">
        <v>68</v>
      </c>
      <c r="AQ273" s="3">
        <f>[9]LaborForce!$B154*[9]LaborForce!$C154/100</f>
        <v>87580.332000000009</v>
      </c>
      <c r="AR273">
        <f>[9]Unemployment!$AC155</f>
        <v>247</v>
      </c>
      <c r="AS273">
        <f>[2]Indicators!BC155</f>
        <v>49.5</v>
      </c>
      <c r="AT273">
        <f>[2]Indicators!BD155</f>
        <v>45.825800000000001</v>
      </c>
      <c r="AU273">
        <f>[2]Indicators!BE155</f>
        <v>105.91030000000001</v>
      </c>
    </row>
    <row r="274" spans="1:47" x14ac:dyDescent="0.25">
      <c r="A274" s="1">
        <v>26543</v>
      </c>
      <c r="B274" s="2">
        <f>[2]Indicators!G156</f>
        <v>783.303</v>
      </c>
      <c r="C274" s="2">
        <f>[2]Indicators!H156</f>
        <v>117.886</v>
      </c>
      <c r="D274" s="2">
        <f>[2]Indicators!I156</f>
        <v>262.70499999999998</v>
      </c>
      <c r="E274" s="2">
        <f>[2]Indicators!J156</f>
        <v>402.71199999999999</v>
      </c>
      <c r="M274" s="2">
        <f>[2]Indicators!AB156</f>
        <v>41.975900000000003</v>
      </c>
      <c r="N274" s="2">
        <f>[8]m!$C276</f>
        <v>4.87</v>
      </c>
      <c r="O274">
        <f>[9]Unemployment!$B156</f>
        <v>5.5</v>
      </c>
      <c r="P274" s="2">
        <f>[2]Surveys_m!$B156</f>
        <v>104.10000000000001</v>
      </c>
      <c r="Q274">
        <f>[5]m!$B276</f>
        <v>42.1</v>
      </c>
      <c r="R274">
        <f>[5]m!$D276</f>
        <v>44.300000000000004</v>
      </c>
      <c r="S274">
        <f>[5]m!$Q276</f>
        <v>40.200000000000003</v>
      </c>
      <c r="T274">
        <f>[6]m!B276</f>
        <v>3946</v>
      </c>
      <c r="U274" s="2">
        <f>[9]Unemployment!$F156</f>
        <v>12.100000000000001</v>
      </c>
      <c r="V274" s="2">
        <f>[9]Unemployment!$G156</f>
        <v>5.6000000000000005</v>
      </c>
      <c r="W274">
        <f>[9]Unemployment!$E156</f>
        <v>4849</v>
      </c>
      <c r="X274">
        <f>[9]Unemployment!N156</f>
        <v>2353</v>
      </c>
      <c r="Y274">
        <f>[9]Unemployment!O156</f>
        <v>1390</v>
      </c>
      <c r="Z274">
        <f>[9]Unemployment!P156-[9]Unemployment!Q156</f>
        <v>583</v>
      </c>
      <c r="AA274">
        <f>[9]Unemployment!$Q156</f>
        <v>548</v>
      </c>
      <c r="AB274" s="2">
        <f>[8]m!$B276</f>
        <v>4.66</v>
      </c>
      <c r="AC274" s="2">
        <f>[8]m!$F276</f>
        <v>6.55</v>
      </c>
      <c r="AD274">
        <f>[9]Employment!$B156</f>
        <v>74268</v>
      </c>
      <c r="AE274" s="2">
        <f>[2]Indicators!$AB156</f>
        <v>41.975900000000003</v>
      </c>
      <c r="AF274" s="2">
        <f>[8]m!$AS276</f>
        <v>160.60000000000002</v>
      </c>
      <c r="AG274" s="2">
        <f>[8]m!$H276</f>
        <v>7.22</v>
      </c>
      <c r="AH274" s="2">
        <f>[8]m!$I276</f>
        <v>8.09</v>
      </c>
      <c r="AI274" s="2">
        <f>[7]m!C275</f>
        <v>5740</v>
      </c>
      <c r="AJ274" s="2">
        <f>[7]m!D275</f>
        <v>6091</v>
      </c>
      <c r="AK274" s="2">
        <f>[2]Surveys_m!$AB156</f>
        <v>65.100000000000009</v>
      </c>
      <c r="AL274" s="4">
        <f t="shared" si="4"/>
        <v>3410.6286266924581</v>
      </c>
      <c r="AN274" s="2">
        <v>69</v>
      </c>
      <c r="AQ274" s="3">
        <f>[9]LaborForce!$B155*[9]LaborForce!$C155/100</f>
        <v>87435.644</v>
      </c>
      <c r="AR274">
        <f>[9]Unemployment!$AC156</f>
        <v>258</v>
      </c>
      <c r="AS274">
        <f>[2]Indicators!BC156</f>
        <v>50</v>
      </c>
      <c r="AT274">
        <f>[2]Indicators!BD156</f>
        <v>46.152999999999999</v>
      </c>
      <c r="AU274">
        <f>[2]Indicators!BE156</f>
        <v>106.39880000000001</v>
      </c>
    </row>
    <row r="275" spans="1:47" x14ac:dyDescent="0.25">
      <c r="A275" s="1">
        <v>26573</v>
      </c>
      <c r="B275" s="2">
        <f>[2]Indicators!G157</f>
        <v>797.12599999999998</v>
      </c>
      <c r="C275" s="2">
        <f>[2]Indicators!H157</f>
        <v>122.044</v>
      </c>
      <c r="D275" s="2">
        <f>[2]Indicators!I157</f>
        <v>267.72899999999998</v>
      </c>
      <c r="E275" s="2">
        <f>[2]Indicators!J157</f>
        <v>407.35300000000001</v>
      </c>
      <c r="M275" s="2">
        <f>[2]Indicators!AB157</f>
        <v>42.556600000000003</v>
      </c>
      <c r="N275" s="2">
        <f>[8]m!$C277</f>
        <v>5.04</v>
      </c>
      <c r="O275">
        <f>[9]Unemployment!$B157</f>
        <v>5.6000000000000005</v>
      </c>
      <c r="P275" s="2">
        <f>[2]Surveys_m!$B157</f>
        <v>112</v>
      </c>
      <c r="Q275">
        <f>[5]m!$B277</f>
        <v>42.2</v>
      </c>
      <c r="R275">
        <f>[5]m!$D277</f>
        <v>44.4</v>
      </c>
      <c r="S275">
        <f>[5]m!$Q277</f>
        <v>40.1</v>
      </c>
      <c r="T275">
        <f>[6]m!B277</f>
        <v>-5424</v>
      </c>
      <c r="U275" s="2">
        <f>[9]Unemployment!$F157</f>
        <v>11.700000000000001</v>
      </c>
      <c r="V275" s="2">
        <f>[9]Unemployment!$G157</f>
        <v>5.7</v>
      </c>
      <c r="W275">
        <f>[9]Unemployment!$E157</f>
        <v>4875</v>
      </c>
      <c r="X275">
        <f>[9]Unemployment!N157</f>
        <v>2351</v>
      </c>
      <c r="Y275">
        <f>[9]Unemployment!O157</f>
        <v>1472</v>
      </c>
      <c r="Z275">
        <f>[9]Unemployment!P157-[9]Unemployment!Q157</f>
        <v>601</v>
      </c>
      <c r="AA275">
        <f>[9]Unemployment!$Q157</f>
        <v>522</v>
      </c>
      <c r="AB275" s="2">
        <f>[8]m!$B277</f>
        <v>4.74</v>
      </c>
      <c r="AC275" s="2">
        <f>[8]m!$F277</f>
        <v>6.48</v>
      </c>
      <c r="AD275">
        <f>[9]Employment!$B157</f>
        <v>74672</v>
      </c>
      <c r="AE275" s="2">
        <f>[2]Indicators!$AB157</f>
        <v>42.556600000000003</v>
      </c>
      <c r="AF275" s="2">
        <f>[8]m!$AS277</f>
        <v>162.20000000000002</v>
      </c>
      <c r="AG275" s="2">
        <f>[8]m!$H277</f>
        <v>7.21</v>
      </c>
      <c r="AH275" s="2">
        <f>[8]m!$I277</f>
        <v>8.06</v>
      </c>
      <c r="AI275" s="2">
        <f>[7]m!C276</f>
        <v>5720</v>
      </c>
      <c r="AJ275" s="2">
        <f>[7]m!D276</f>
        <v>5977</v>
      </c>
      <c r="AK275" s="2">
        <f>[2]Surveys_m!$AB157</f>
        <v>67</v>
      </c>
      <c r="AL275" s="4">
        <f t="shared" si="4"/>
        <v>3558.9168278529996</v>
      </c>
      <c r="AN275" s="2">
        <v>72</v>
      </c>
      <c r="AQ275" s="3">
        <f>[9]LaborForce!$B156*[9]LaborForce!$C156/100</f>
        <v>87427.76400000001</v>
      </c>
      <c r="AR275">
        <f>[9]Unemployment!$AC157</f>
        <v>251</v>
      </c>
      <c r="AS275">
        <f>[2]Indicators!BC157</f>
        <v>50.4</v>
      </c>
      <c r="AT275">
        <f>[2]Indicators!BD157</f>
        <v>46.4634</v>
      </c>
      <c r="AU275">
        <f>[2]Indicators!BE157</f>
        <v>106.848</v>
      </c>
    </row>
    <row r="276" spans="1:47" x14ac:dyDescent="0.25">
      <c r="A276" s="1">
        <v>26604</v>
      </c>
      <c r="B276" s="2">
        <f>[2]Indicators!G158</f>
        <v>802.65700000000004</v>
      </c>
      <c r="C276" s="2">
        <f>[2]Indicators!H158</f>
        <v>123.39700000000001</v>
      </c>
      <c r="D276" s="2">
        <f>[2]Indicators!I158</f>
        <v>267.86799999999999</v>
      </c>
      <c r="E276" s="2">
        <f>[2]Indicators!J158</f>
        <v>411.392</v>
      </c>
      <c r="M276" s="2">
        <f>[2]Indicators!AB158</f>
        <v>43.053000000000004</v>
      </c>
      <c r="N276" s="2">
        <f>[8]m!$C278</f>
        <v>5.0600000000000005</v>
      </c>
      <c r="O276">
        <f>[9]Unemployment!$B158</f>
        <v>5.3000000000000007</v>
      </c>
      <c r="P276" s="2">
        <f>[2]Surveys_m!$B158</f>
        <v>112</v>
      </c>
      <c r="Q276">
        <f>[5]m!$B278</f>
        <v>42.4</v>
      </c>
      <c r="R276">
        <f>[5]m!$D278</f>
        <v>44.4</v>
      </c>
      <c r="S276">
        <f>[5]m!$Q278</f>
        <v>40.300000000000004</v>
      </c>
      <c r="T276">
        <f>[6]m!B278</f>
        <v>-4488</v>
      </c>
      <c r="U276" s="2">
        <f>[9]Unemployment!$F158</f>
        <v>11.4</v>
      </c>
      <c r="V276" s="2">
        <f>[9]Unemployment!$G158</f>
        <v>5.7</v>
      </c>
      <c r="W276">
        <f>[9]Unemployment!$E158</f>
        <v>4602</v>
      </c>
      <c r="X276">
        <f>[9]Unemployment!N158</f>
        <v>2191</v>
      </c>
      <c r="Y276">
        <f>[9]Unemployment!O158</f>
        <v>1386</v>
      </c>
      <c r="Z276">
        <f>[9]Unemployment!P158-[9]Unemployment!Q158</f>
        <v>570</v>
      </c>
      <c r="AA276">
        <f>[9]Unemployment!$Q158</f>
        <v>470</v>
      </c>
      <c r="AB276" s="2">
        <f>[8]m!$B278</f>
        <v>4.78</v>
      </c>
      <c r="AC276" s="2">
        <f>[8]m!$F278</f>
        <v>6.28</v>
      </c>
      <c r="AD276">
        <f>[9]Employment!$B158</f>
        <v>74965</v>
      </c>
      <c r="AE276" s="2">
        <f>[2]Indicators!$AB158</f>
        <v>43.053000000000004</v>
      </c>
      <c r="AF276" s="2">
        <f>[8]m!$AS278</f>
        <v>164.10000000000002</v>
      </c>
      <c r="AG276" s="2">
        <f>[8]m!$H278</f>
        <v>7.12</v>
      </c>
      <c r="AH276" s="2">
        <f>[8]m!$I278</f>
        <v>7.99</v>
      </c>
      <c r="AI276" s="2">
        <f>[7]m!C277</f>
        <v>5817</v>
      </c>
      <c r="AJ276" s="2">
        <f>[7]m!D277</f>
        <v>6195</v>
      </c>
      <c r="AK276" s="2">
        <f>[2]Surveys_m!$AB158</f>
        <v>69.900000000000006</v>
      </c>
      <c r="AL276" s="4">
        <f t="shared" si="4"/>
        <v>3608.3462282398468</v>
      </c>
      <c r="AN276" s="2">
        <v>73</v>
      </c>
      <c r="AQ276" s="3">
        <f>[9]LaborForce!$B157*[9]LaborForce!$C157/100</f>
        <v>87562.233000000007</v>
      </c>
      <c r="AR276">
        <f>[9]Unemployment!$AC158</f>
        <v>234</v>
      </c>
      <c r="AS276">
        <f>[2]Indicators!BC158</f>
        <v>50.7</v>
      </c>
      <c r="AT276">
        <f>[2]Indicators!BD158</f>
        <v>46.730400000000003</v>
      </c>
      <c r="AU276">
        <f>[2]Indicators!BE158</f>
        <v>107.19800000000001</v>
      </c>
    </row>
    <row r="277" spans="1:47" x14ac:dyDescent="0.25">
      <c r="A277" s="1">
        <v>26634</v>
      </c>
      <c r="B277" s="2">
        <f>[2]Indicators!G159</f>
        <v>808.34500000000003</v>
      </c>
      <c r="C277" s="2">
        <f>[2]Indicators!H159</f>
        <v>124.809</v>
      </c>
      <c r="D277" s="2">
        <f>[2]Indicators!I159</f>
        <v>268.57400000000001</v>
      </c>
      <c r="E277" s="2">
        <f>[2]Indicators!J159</f>
        <v>414.96199999999999</v>
      </c>
      <c r="M277" s="2">
        <f>[2]Indicators!AB159</f>
        <v>43.544699999999999</v>
      </c>
      <c r="N277" s="2">
        <f>[8]m!$C279</f>
        <v>5.33</v>
      </c>
      <c r="O277">
        <f>[9]Unemployment!$B159</f>
        <v>5.2</v>
      </c>
      <c r="P277" s="2">
        <f>[2]Surveys_m!$B159</f>
        <v>116.10000000000001</v>
      </c>
      <c r="Q277">
        <f>[5]m!$B279</f>
        <v>42.5</v>
      </c>
      <c r="R277">
        <f>[5]m!$D279</f>
        <v>44.6</v>
      </c>
      <c r="S277">
        <f>[5]m!$Q279</f>
        <v>41.1</v>
      </c>
      <c r="T277">
        <f>[6]m!B279</f>
        <v>-672</v>
      </c>
      <c r="U277" s="2">
        <f>[9]Unemployment!$F159</f>
        <v>11.4</v>
      </c>
      <c r="V277" s="2">
        <f>[9]Unemployment!$G159</f>
        <v>6.1000000000000005</v>
      </c>
      <c r="W277">
        <f>[9]Unemployment!$E159</f>
        <v>4543</v>
      </c>
      <c r="X277">
        <f>[9]Unemployment!N159</f>
        <v>2003</v>
      </c>
      <c r="Y277">
        <f>[9]Unemployment!O159</f>
        <v>1460</v>
      </c>
      <c r="Z277">
        <f>[9]Unemployment!P159-[9]Unemployment!Q159</f>
        <v>551</v>
      </c>
      <c r="AA277">
        <f>[9]Unemployment!$Q159</f>
        <v>455</v>
      </c>
      <c r="AB277" s="2">
        <f>[8]m!$B279</f>
        <v>5.07</v>
      </c>
      <c r="AC277" s="2">
        <f>[8]m!$F279</f>
        <v>6.36</v>
      </c>
      <c r="AD277">
        <f>[9]Employment!$B159</f>
        <v>75270</v>
      </c>
      <c r="AE277" s="2">
        <f>[2]Indicators!$AB159</f>
        <v>43.544699999999999</v>
      </c>
      <c r="AF277" s="2">
        <f>[8]m!$AS279</f>
        <v>166.20000000000002</v>
      </c>
      <c r="AG277" s="2">
        <f>[8]m!$H279</f>
        <v>7.08</v>
      </c>
      <c r="AH277" s="2">
        <f>[8]m!$I279</f>
        <v>7.9300000000000006</v>
      </c>
      <c r="AI277" s="2">
        <f>[7]m!C278</f>
        <v>5974</v>
      </c>
      <c r="AJ277" s="2">
        <f>[7]m!D278</f>
        <v>6605</v>
      </c>
      <c r="AK277" s="2">
        <f>[2]Surveys_m!$AB159</f>
        <v>70.5</v>
      </c>
      <c r="AL277" s="4">
        <f t="shared" si="4"/>
        <v>3954.3520309477776</v>
      </c>
      <c r="AN277" s="2">
        <v>80</v>
      </c>
      <c r="AQ277" s="3">
        <f>[9]LaborForce!$B158*[9]LaborForce!$C158/100</f>
        <v>87994.225000000006</v>
      </c>
      <c r="AR277">
        <f>[9]Unemployment!$AC159</f>
        <v>226</v>
      </c>
      <c r="AS277">
        <f>[2]Indicators!BC159</f>
        <v>51.1</v>
      </c>
      <c r="AT277">
        <f>[2]Indicators!BD159</f>
        <v>46.926100000000005</v>
      </c>
      <c r="AU277">
        <f>[2]Indicators!BE159</f>
        <v>107.38590000000001</v>
      </c>
    </row>
    <row r="278" spans="1:47" x14ac:dyDescent="0.25">
      <c r="A278" s="1">
        <v>26665</v>
      </c>
      <c r="B278" s="2">
        <f>[2]Indicators!G160</f>
        <v>818.73699999999997</v>
      </c>
      <c r="C278" s="2">
        <f>[2]Indicators!H160</f>
        <v>129.28200000000001</v>
      </c>
      <c r="D278" s="2">
        <f>[2]Indicators!I160</f>
        <v>272.53199999999998</v>
      </c>
      <c r="E278" s="2">
        <f>[2]Indicators!J160</f>
        <v>416.923</v>
      </c>
      <c r="M278" s="2">
        <f>[2]Indicators!AB160</f>
        <v>43.841300000000004</v>
      </c>
      <c r="N278" s="2">
        <f>[8]m!$C280</f>
        <v>5.94</v>
      </c>
      <c r="O278">
        <f>[9]Unemployment!$B160</f>
        <v>4.9000000000000004</v>
      </c>
      <c r="P278" s="2">
        <f>[2]Surveys_m!$B160</f>
        <v>116.10000000000001</v>
      </c>
      <c r="Q278">
        <f>[5]m!$B280</f>
        <v>42.7</v>
      </c>
      <c r="R278">
        <f>[5]m!$D280</f>
        <v>44.6</v>
      </c>
      <c r="S278">
        <f>[5]m!$Q280</f>
        <v>41.6</v>
      </c>
      <c r="T278">
        <f>[6]m!B280</f>
        <v>-2533</v>
      </c>
      <c r="U278" s="2">
        <f>[9]Unemployment!$F160</f>
        <v>11</v>
      </c>
      <c r="V278" s="2">
        <f>[9]Unemployment!$G160</f>
        <v>5.7</v>
      </c>
      <c r="W278">
        <f>[9]Unemployment!$E160</f>
        <v>4326</v>
      </c>
      <c r="X278">
        <f>[9]Unemployment!N160</f>
        <v>2035</v>
      </c>
      <c r="Y278">
        <f>[9]Unemployment!O160</f>
        <v>1344</v>
      </c>
      <c r="Z278">
        <f>[9]Unemployment!P160-[9]Unemployment!Q160</f>
        <v>537</v>
      </c>
      <c r="AA278">
        <f>[9]Unemployment!$Q160</f>
        <v>410</v>
      </c>
      <c r="AB278" s="2">
        <f>[8]m!$B280</f>
        <v>5.41</v>
      </c>
      <c r="AC278" s="2">
        <f>[8]m!$F280</f>
        <v>6.46</v>
      </c>
      <c r="AD278">
        <f>[9]Employment!$B160</f>
        <v>75620</v>
      </c>
      <c r="AE278" s="2">
        <f>[2]Indicators!$AB160</f>
        <v>43.841300000000004</v>
      </c>
      <c r="AF278" s="2">
        <f>[8]m!$AS280</f>
        <v>169.3</v>
      </c>
      <c r="AG278" s="2">
        <f>[8]m!$H280</f>
        <v>7.15</v>
      </c>
      <c r="AH278" s="2">
        <f>[8]m!$I280</f>
        <v>7.9</v>
      </c>
      <c r="AI278" s="2">
        <f>[7]m!C279</f>
        <v>6059</v>
      </c>
      <c r="AJ278" s="2">
        <f>[7]m!D279</f>
        <v>6459</v>
      </c>
      <c r="AK278" s="2">
        <f>[2]Surveys_m!$AB160</f>
        <v>72.100000000000009</v>
      </c>
      <c r="AL278" s="4">
        <f t="shared" si="4"/>
        <v>4053.2108317214715</v>
      </c>
      <c r="AN278" s="2">
        <v>82</v>
      </c>
      <c r="AQ278" s="3">
        <f>[9]LaborForce!$B159*[9]LaborForce!$C159/100</f>
        <v>87431.4</v>
      </c>
      <c r="AR278">
        <f>[9]Unemployment!$AC160</f>
        <v>225</v>
      </c>
      <c r="AS278">
        <f>[2]Indicators!BC160</f>
        <v>51.300000000000004</v>
      </c>
      <c r="AT278">
        <f>[2]Indicators!BD160</f>
        <v>47.030799999999999</v>
      </c>
      <c r="AU278">
        <f>[2]Indicators!BE160</f>
        <v>107.3686</v>
      </c>
    </row>
    <row r="279" spans="1:47" x14ac:dyDescent="0.25">
      <c r="A279" s="1">
        <v>26696</v>
      </c>
      <c r="B279" s="2">
        <f>[2]Indicators!G161</f>
        <v>828.09699999999998</v>
      </c>
      <c r="C279" s="2">
        <f>[2]Indicators!H161</f>
        <v>131.85400000000001</v>
      </c>
      <c r="D279" s="2">
        <f>[2]Indicators!I161</f>
        <v>276.22800000000001</v>
      </c>
      <c r="E279" s="2">
        <f>[2]Indicators!J161</f>
        <v>420.01499999999999</v>
      </c>
      <c r="M279" s="2">
        <f>[2]Indicators!AB161</f>
        <v>44.505600000000001</v>
      </c>
      <c r="N279" s="2">
        <f>[8]m!$C281</f>
        <v>6.58</v>
      </c>
      <c r="O279">
        <f>[9]Unemployment!$B161</f>
        <v>5</v>
      </c>
      <c r="P279" s="2">
        <f>[2]Surveys_m!$B161</f>
        <v>110.80000000000001</v>
      </c>
      <c r="Q279">
        <f>[5]m!$B281</f>
        <v>43</v>
      </c>
      <c r="R279">
        <f>[5]m!$D281</f>
        <v>44.800000000000004</v>
      </c>
      <c r="S279">
        <f>[5]m!$Q281</f>
        <v>42.400000000000006</v>
      </c>
      <c r="T279">
        <f>[6]m!B281</f>
        <v>-2030</v>
      </c>
      <c r="U279" s="2">
        <f>[9]Unemployment!$F161</f>
        <v>10.5</v>
      </c>
      <c r="V279" s="2">
        <f>[9]Unemployment!$G161</f>
        <v>5.2</v>
      </c>
      <c r="W279">
        <f>[9]Unemployment!$E161</f>
        <v>4452</v>
      </c>
      <c r="X279">
        <f>[9]Unemployment!N161</f>
        <v>2259</v>
      </c>
      <c r="Y279">
        <f>[9]Unemployment!O161</f>
        <v>1263</v>
      </c>
      <c r="Z279">
        <f>[9]Unemployment!P161-[9]Unemployment!Q161</f>
        <v>522</v>
      </c>
      <c r="AA279">
        <f>[9]Unemployment!$Q161</f>
        <v>372</v>
      </c>
      <c r="AB279" s="2">
        <f>[8]m!$B281</f>
        <v>5.6000000000000005</v>
      </c>
      <c r="AC279" s="2">
        <f>[8]m!$F281</f>
        <v>6.6400000000000006</v>
      </c>
      <c r="AD279">
        <f>[9]Employment!$B161</f>
        <v>76017</v>
      </c>
      <c r="AE279" s="2">
        <f>[2]Indicators!$AB161</f>
        <v>44.505600000000001</v>
      </c>
      <c r="AF279" s="2">
        <f>[8]m!$AS281</f>
        <v>171.60000000000002</v>
      </c>
      <c r="AG279" s="2">
        <f>[8]m!$H281</f>
        <v>7.22</v>
      </c>
      <c r="AH279" s="2">
        <f>[8]m!$I281</f>
        <v>7.97</v>
      </c>
      <c r="AI279" s="2">
        <f>[7]m!C280</f>
        <v>6481</v>
      </c>
      <c r="AJ279" s="2">
        <f>[7]m!D280</f>
        <v>6782</v>
      </c>
      <c r="AK279" s="2">
        <f>[2]Surveys_m!$AB161</f>
        <v>69.600000000000009</v>
      </c>
      <c r="AL279" s="4">
        <f t="shared" si="4"/>
        <v>4053.2108317214715</v>
      </c>
      <c r="AN279" s="2">
        <v>82</v>
      </c>
      <c r="AQ279" s="3">
        <f>[9]LaborForce!$B160*[9]LaborForce!$C160/100</f>
        <v>88295.514999999999</v>
      </c>
      <c r="AR279">
        <f>[9]Unemployment!$AC161</f>
        <v>214</v>
      </c>
      <c r="AS279">
        <f>[2]Indicators!BC161</f>
        <v>51.4</v>
      </c>
      <c r="AT279">
        <f>[2]Indicators!BD161</f>
        <v>47.034500000000001</v>
      </c>
      <c r="AU279">
        <f>[2]Indicators!BE161</f>
        <v>107.1247</v>
      </c>
    </row>
    <row r="280" spans="1:47" x14ac:dyDescent="0.25">
      <c r="A280" s="1">
        <v>26724</v>
      </c>
      <c r="B280" s="2">
        <f>[2]Indicators!G162</f>
        <v>835.07799999999997</v>
      </c>
      <c r="C280" s="2">
        <f>[2]Indicators!H162</f>
        <v>134.29900000000001</v>
      </c>
      <c r="D280" s="2">
        <f>[2]Indicators!I162</f>
        <v>277.608</v>
      </c>
      <c r="E280" s="2">
        <f>[2]Indicators!J162</f>
        <v>423.17099999999999</v>
      </c>
      <c r="M280" s="2">
        <f>[2]Indicators!AB162</f>
        <v>44.5107</v>
      </c>
      <c r="N280" s="2">
        <f>[8]m!$C282</f>
        <v>7.09</v>
      </c>
      <c r="O280">
        <f>[9]Unemployment!$B162</f>
        <v>4.9000000000000004</v>
      </c>
      <c r="P280" s="2">
        <f>[2]Surveys_m!$B162</f>
        <v>110.80000000000001</v>
      </c>
      <c r="Q280">
        <f>[5]m!$B282</f>
        <v>43.4</v>
      </c>
      <c r="R280">
        <f>[5]m!$D282</f>
        <v>45</v>
      </c>
      <c r="S280">
        <f>[5]m!$Q282</f>
        <v>43.400000000000006</v>
      </c>
      <c r="T280">
        <f>[6]m!B282</f>
        <v>-4905</v>
      </c>
      <c r="U280" s="2">
        <f>[9]Unemployment!$F162</f>
        <v>10.600000000000001</v>
      </c>
      <c r="V280" s="2">
        <f>[9]Unemployment!$G162</f>
        <v>5.5</v>
      </c>
      <c r="W280">
        <f>[9]Unemployment!$E162</f>
        <v>4394</v>
      </c>
      <c r="X280">
        <f>[9]Unemployment!N162</f>
        <v>2136</v>
      </c>
      <c r="Y280">
        <f>[9]Unemployment!O162</f>
        <v>1340</v>
      </c>
      <c r="Z280">
        <f>[9]Unemployment!P162-[9]Unemployment!Q162</f>
        <v>501</v>
      </c>
      <c r="AA280">
        <f>[9]Unemployment!$Q162</f>
        <v>388</v>
      </c>
      <c r="AB280" s="2">
        <f>[8]m!$B282</f>
        <v>6.09</v>
      </c>
      <c r="AC280" s="2">
        <f>[8]m!$F282</f>
        <v>6.71</v>
      </c>
      <c r="AD280">
        <f>[9]Employment!$B162</f>
        <v>76286</v>
      </c>
      <c r="AE280" s="2">
        <f>[2]Indicators!$AB162</f>
        <v>44.5107</v>
      </c>
      <c r="AF280" s="2">
        <f>[8]m!$AS282</f>
        <v>173.9</v>
      </c>
      <c r="AG280" s="2">
        <f>[8]m!$H282</f>
        <v>7.29</v>
      </c>
      <c r="AH280" s="2">
        <f>[8]m!$I282</f>
        <v>8.0299999999999994</v>
      </c>
      <c r="AI280" s="2">
        <f>[7]m!C281</f>
        <v>6596</v>
      </c>
      <c r="AJ280" s="2">
        <f>[7]m!D281</f>
        <v>7021</v>
      </c>
      <c r="AK280" s="2">
        <f>[2]Surveys_m!$AB162</f>
        <v>69.600000000000009</v>
      </c>
      <c r="AL280" s="4">
        <f t="shared" si="4"/>
        <v>4053.2108317214715</v>
      </c>
      <c r="AN280" s="2">
        <v>82</v>
      </c>
      <c r="AQ280" s="3">
        <f>[9]LaborForce!$B161*[9]LaborForce!$C161/100</f>
        <v>88907.839999999997</v>
      </c>
      <c r="AR280">
        <f>[9]Unemployment!$AC162</f>
        <v>218</v>
      </c>
      <c r="AS280">
        <f>[2]Indicators!BC162</f>
        <v>51</v>
      </c>
      <c r="AT280">
        <f>[2]Indicators!BD162</f>
        <v>46.936199999999999</v>
      </c>
      <c r="AU280">
        <f>[2]Indicators!BE162</f>
        <v>106.65400000000001</v>
      </c>
    </row>
    <row r="281" spans="1:47" x14ac:dyDescent="0.25">
      <c r="A281" s="1">
        <v>26755</v>
      </c>
      <c r="B281" s="2">
        <f>[2]Indicators!G163</f>
        <v>838.05600000000004</v>
      </c>
      <c r="C281" s="2">
        <f>[2]Indicators!H163</f>
        <v>132.48599999999999</v>
      </c>
      <c r="D281" s="2">
        <f>[2]Indicators!I163</f>
        <v>279.36400000000003</v>
      </c>
      <c r="E281" s="2">
        <f>[2]Indicators!J163</f>
        <v>426.20600000000002</v>
      </c>
      <c r="M281" s="2">
        <f>[2]Indicators!AB163</f>
        <v>44.431600000000003</v>
      </c>
      <c r="N281" s="2">
        <f>[8]m!$C283</f>
        <v>7.12</v>
      </c>
      <c r="O281">
        <f>[9]Unemployment!$B163</f>
        <v>5</v>
      </c>
      <c r="P281" s="2">
        <f>[2]Surveys_m!$B163</f>
        <v>102.80000000000001</v>
      </c>
      <c r="Q281">
        <f>[5]m!$B283</f>
        <v>43.7</v>
      </c>
      <c r="R281">
        <f>[5]m!$D283</f>
        <v>45.1</v>
      </c>
      <c r="S281">
        <f>[5]m!$Q283</f>
        <v>43.6</v>
      </c>
      <c r="T281">
        <f>[6]m!B283</f>
        <v>3636</v>
      </c>
      <c r="U281" s="2">
        <f>[9]Unemployment!$F163</f>
        <v>10</v>
      </c>
      <c r="V281" s="2">
        <f>[9]Unemployment!$G163</f>
        <v>5</v>
      </c>
      <c r="W281">
        <f>[9]Unemployment!$E163</f>
        <v>4459</v>
      </c>
      <c r="X281">
        <f>[9]Unemployment!N163</f>
        <v>2260</v>
      </c>
      <c r="Y281">
        <f>[9]Unemployment!O163</f>
        <v>1474</v>
      </c>
      <c r="Z281">
        <f>[9]Unemployment!P163-[9]Unemployment!Q163</f>
        <v>469</v>
      </c>
      <c r="AA281">
        <f>[9]Unemployment!$Q163</f>
        <v>340</v>
      </c>
      <c r="AB281" s="2">
        <f>[8]m!$B283</f>
        <v>6.26</v>
      </c>
      <c r="AC281" s="2">
        <f>[8]m!$F283</f>
        <v>6.67</v>
      </c>
      <c r="AD281">
        <f>[9]Employment!$B163</f>
        <v>76456</v>
      </c>
      <c r="AE281" s="2">
        <f>[2]Indicators!$AB163</f>
        <v>44.431600000000003</v>
      </c>
      <c r="AF281" s="2">
        <f>[8]m!$AS283</f>
        <v>175.8</v>
      </c>
      <c r="AG281" s="2">
        <f>[8]m!$H283</f>
        <v>7.26</v>
      </c>
      <c r="AH281" s="2">
        <f>[8]m!$I283</f>
        <v>8.09</v>
      </c>
      <c r="AI281" s="2">
        <f>[7]m!C282</f>
        <v>6837</v>
      </c>
      <c r="AJ281" s="2">
        <f>[7]m!D282</f>
        <v>6952</v>
      </c>
      <c r="AK281" s="2">
        <f>[2]Surveys_m!$AB163</f>
        <v>67.7</v>
      </c>
      <c r="AL281" s="4">
        <f t="shared" si="4"/>
        <v>4003.7814313346244</v>
      </c>
      <c r="AN281" s="2">
        <v>81</v>
      </c>
      <c r="AQ281" s="3">
        <f>[9]LaborForce!$B162*[9]LaborForce!$C162/100</f>
        <v>89046.464000000007</v>
      </c>
      <c r="AR281">
        <f>[9]Unemployment!$AC163</f>
        <v>222</v>
      </c>
      <c r="AS281">
        <f>[2]Indicators!BC163</f>
        <v>50.6</v>
      </c>
      <c r="AT281">
        <f>[2]Indicators!BD163</f>
        <v>46.747</v>
      </c>
      <c r="AU281">
        <f>[2]Indicators!BE163</f>
        <v>105.9834</v>
      </c>
    </row>
    <row r="282" spans="1:47" x14ac:dyDescent="0.25">
      <c r="A282" s="1">
        <v>26785</v>
      </c>
      <c r="B282" s="2">
        <f>[2]Indicators!G164</f>
        <v>843.96400000000006</v>
      </c>
      <c r="C282" s="2">
        <f>[2]Indicators!H164</f>
        <v>133.27500000000001</v>
      </c>
      <c r="D282" s="2">
        <f>[2]Indicators!I164</f>
        <v>280.70999999999998</v>
      </c>
      <c r="E282" s="2">
        <f>[2]Indicators!J164</f>
        <v>429.97899999999998</v>
      </c>
      <c r="M282" s="2">
        <f>[2]Indicators!AB164</f>
        <v>44.720600000000005</v>
      </c>
      <c r="N282" s="2">
        <f>[8]m!$C284</f>
        <v>7.84</v>
      </c>
      <c r="O282">
        <f>[9]Unemployment!$B164</f>
        <v>4.9000000000000004</v>
      </c>
      <c r="P282" s="2">
        <f>[2]Surveys_m!$B164</f>
        <v>102.80000000000001</v>
      </c>
      <c r="Q282">
        <f>[5]m!$B284</f>
        <v>43.9</v>
      </c>
      <c r="R282">
        <f>[5]m!$D284</f>
        <v>45.300000000000004</v>
      </c>
      <c r="S282">
        <f>[5]m!$Q284</f>
        <v>44.5</v>
      </c>
      <c r="T282">
        <f>[6]m!B284</f>
        <v>-3419</v>
      </c>
      <c r="U282" s="2">
        <f>[9]Unemployment!$F164</f>
        <v>10.100000000000001</v>
      </c>
      <c r="V282" s="2">
        <f>[9]Unemployment!$G164</f>
        <v>4.9000000000000004</v>
      </c>
      <c r="W282">
        <f>[9]Unemployment!$E164</f>
        <v>4329</v>
      </c>
      <c r="X282">
        <f>[9]Unemployment!N164</f>
        <v>2223</v>
      </c>
      <c r="Y282">
        <f>[9]Unemployment!O164</f>
        <v>1320</v>
      </c>
      <c r="Z282">
        <f>[9]Unemployment!P164-[9]Unemployment!Q164</f>
        <v>467</v>
      </c>
      <c r="AA282">
        <f>[9]Unemployment!$Q164</f>
        <v>349</v>
      </c>
      <c r="AB282" s="2">
        <f>[8]m!$B284</f>
        <v>6.36</v>
      </c>
      <c r="AC282" s="2">
        <f>[8]m!$F284</f>
        <v>6.8500000000000005</v>
      </c>
      <c r="AD282">
        <f>[9]Employment!$B164</f>
        <v>76646</v>
      </c>
      <c r="AE282" s="2">
        <f>[2]Indicators!$AB164</f>
        <v>44.720600000000005</v>
      </c>
      <c r="AF282" s="2">
        <f>[8]m!$AS284</f>
        <v>178.10000000000002</v>
      </c>
      <c r="AG282" s="2">
        <f>[8]m!$H284</f>
        <v>7.29</v>
      </c>
      <c r="AH282" s="2">
        <f>[8]m!$I284</f>
        <v>8.06</v>
      </c>
      <c r="AI282" s="2">
        <f>[7]m!C283</f>
        <v>7103</v>
      </c>
      <c r="AJ282" s="2">
        <f>[7]m!D283</f>
        <v>6940</v>
      </c>
      <c r="AK282" s="2">
        <f>[2]Surveys_m!$AB164</f>
        <v>64.8</v>
      </c>
      <c r="AL282" s="4">
        <f t="shared" si="4"/>
        <v>4053.2108317214711</v>
      </c>
      <c r="AN282" s="2">
        <v>82</v>
      </c>
      <c r="AQ282" s="3">
        <f>[9]LaborForce!$B163*[9]LaborForce!$C163/100</f>
        <v>88911.714000000007</v>
      </c>
      <c r="AR282">
        <f>[9]Unemployment!$AC164</f>
        <v>236</v>
      </c>
      <c r="AS282">
        <f>[2]Indicators!BC164</f>
        <v>50.5</v>
      </c>
      <c r="AT282">
        <f>[2]Indicators!BD164</f>
        <v>46.505600000000001</v>
      </c>
      <c r="AU282">
        <f>[2]Indicators!BE164</f>
        <v>105.20190000000001</v>
      </c>
    </row>
    <row r="283" spans="1:47" x14ac:dyDescent="0.25">
      <c r="A283" s="1">
        <v>26816</v>
      </c>
      <c r="B283" s="2">
        <f>[2]Indicators!G165</f>
        <v>846.70900000000006</v>
      </c>
      <c r="C283" s="2">
        <f>[2]Indicators!H165</f>
        <v>128.124</v>
      </c>
      <c r="D283" s="2">
        <f>[2]Indicators!I165</f>
        <v>284.08300000000003</v>
      </c>
      <c r="E283" s="2">
        <f>[2]Indicators!J165</f>
        <v>434.50200000000001</v>
      </c>
      <c r="M283" s="2">
        <f>[2]Indicators!AB165</f>
        <v>44.740400000000001</v>
      </c>
      <c r="N283" s="2">
        <f>[8]m!$C285</f>
        <v>8.49</v>
      </c>
      <c r="O283">
        <f>[9]Unemployment!$B165</f>
        <v>4.9000000000000004</v>
      </c>
      <c r="P283" s="2">
        <f>[2]Surveys_m!$B165</f>
        <v>104.4</v>
      </c>
      <c r="Q283">
        <f>[5]m!$B285</f>
        <v>44.2</v>
      </c>
      <c r="R283">
        <f>[5]m!$D285</f>
        <v>45.4</v>
      </c>
      <c r="S283">
        <f>[5]m!$Q285</f>
        <v>45.5</v>
      </c>
      <c r="T283">
        <f>[6]m!B285</f>
        <v>7467</v>
      </c>
      <c r="U283" s="2">
        <f>[9]Unemployment!$F165</f>
        <v>9.6000000000000014</v>
      </c>
      <c r="V283" s="2">
        <f>[9]Unemployment!$G165</f>
        <v>5</v>
      </c>
      <c r="W283">
        <f>[9]Unemployment!$E165</f>
        <v>4363</v>
      </c>
      <c r="X283">
        <f>[9]Unemployment!N165</f>
        <v>2322</v>
      </c>
      <c r="Y283">
        <f>[9]Unemployment!O165</f>
        <v>1248</v>
      </c>
      <c r="Z283">
        <f>[9]Unemployment!P165-[9]Unemployment!Q165</f>
        <v>454</v>
      </c>
      <c r="AA283">
        <f>[9]Unemployment!$Q165</f>
        <v>325</v>
      </c>
      <c r="AB283" s="2">
        <f>[8]m!$B285</f>
        <v>7.19</v>
      </c>
      <c r="AC283" s="2">
        <f>[8]m!$F285</f>
        <v>6.9</v>
      </c>
      <c r="AD283">
        <f>[9]Employment!$B165</f>
        <v>76886</v>
      </c>
      <c r="AE283" s="2">
        <f>[2]Indicators!$AB165</f>
        <v>44.740400000000001</v>
      </c>
      <c r="AF283" s="2">
        <f>[8]m!$AS285</f>
        <v>180.4</v>
      </c>
      <c r="AG283" s="2">
        <f>[8]m!$H285</f>
        <v>7.37</v>
      </c>
      <c r="AH283" s="2">
        <f>[8]m!$I285</f>
        <v>8.1300000000000008</v>
      </c>
      <c r="AI283" s="2">
        <f>[7]m!C284</f>
        <v>7170</v>
      </c>
      <c r="AJ283" s="2">
        <f>[7]m!D284</f>
        <v>7283</v>
      </c>
      <c r="AK283" s="2">
        <f>[2]Surveys_m!$AB165</f>
        <v>65</v>
      </c>
      <c r="AL283" s="4">
        <f t="shared" si="4"/>
        <v>4053.2108317214711</v>
      </c>
      <c r="AN283" s="2">
        <v>82</v>
      </c>
      <c r="AQ283" s="3">
        <f>[9]LaborForce!$B164*[9]LaborForce!$C164/100</f>
        <v>89510.82</v>
      </c>
      <c r="AR283">
        <f>[9]Unemployment!$AC165</f>
        <v>232</v>
      </c>
      <c r="AS283">
        <f>[2]Indicators!BC165</f>
        <v>50.300000000000004</v>
      </c>
      <c r="AT283">
        <f>[2]Indicators!BD165</f>
        <v>46.248699999999999</v>
      </c>
      <c r="AU283">
        <f>[2]Indicators!BE165</f>
        <v>104.3927</v>
      </c>
    </row>
    <row r="284" spans="1:47" x14ac:dyDescent="0.25">
      <c r="A284" s="1">
        <v>26846</v>
      </c>
      <c r="B284" s="2">
        <f>[2]Indicators!G166</f>
        <v>856.57100000000003</v>
      </c>
      <c r="C284" s="2">
        <f>[2]Indicators!H166</f>
        <v>130.084</v>
      </c>
      <c r="D284" s="2">
        <f>[2]Indicators!I166</f>
        <v>289.94299999999998</v>
      </c>
      <c r="E284" s="2">
        <f>[2]Indicators!J166</f>
        <v>436.54399999999998</v>
      </c>
      <c r="M284" s="2">
        <f>[2]Indicators!AB166</f>
        <v>44.934400000000004</v>
      </c>
      <c r="N284" s="2">
        <f>[8]m!$C286</f>
        <v>10.4</v>
      </c>
      <c r="O284">
        <f>[9]Unemployment!$B166</f>
        <v>4.8000000000000007</v>
      </c>
      <c r="P284" s="2">
        <f>[2]Surveys_m!$B166</f>
        <v>104.4</v>
      </c>
      <c r="Q284">
        <f>[5]m!$B286</f>
        <v>44.2</v>
      </c>
      <c r="R284">
        <f>[5]m!$D286</f>
        <v>45.5</v>
      </c>
      <c r="S284">
        <f>[5]m!$Q286</f>
        <v>44.900000000000006</v>
      </c>
      <c r="T284">
        <f>[6]m!B286</f>
        <v>-4507</v>
      </c>
      <c r="U284" s="2">
        <f>[9]Unemployment!$F166</f>
        <v>9.6000000000000014</v>
      </c>
      <c r="V284" s="2">
        <f>[9]Unemployment!$G166</f>
        <v>5.2</v>
      </c>
      <c r="W284">
        <f>[9]Unemployment!$E166</f>
        <v>4305</v>
      </c>
      <c r="X284">
        <f>[9]Unemployment!N166</f>
        <v>2271</v>
      </c>
      <c r="Y284">
        <f>[9]Unemployment!O166</f>
        <v>1314</v>
      </c>
      <c r="Z284">
        <f>[9]Unemployment!P166-[9]Unemployment!Q166</f>
        <v>474</v>
      </c>
      <c r="AA284">
        <f>[9]Unemployment!$Q166</f>
        <v>282</v>
      </c>
      <c r="AB284" s="2">
        <f>[8]m!$B286</f>
        <v>8.01</v>
      </c>
      <c r="AC284" s="2">
        <f>[8]m!$F286</f>
        <v>7.13</v>
      </c>
      <c r="AD284">
        <f>[9]Employment!$B166</f>
        <v>76911</v>
      </c>
      <c r="AE284" s="2">
        <f>[2]Indicators!$AB166</f>
        <v>44.934400000000004</v>
      </c>
      <c r="AF284" s="2">
        <f>[8]m!$AS286</f>
        <v>182.3</v>
      </c>
      <c r="AG284" s="2">
        <f>[8]m!$H286</f>
        <v>7.45</v>
      </c>
      <c r="AH284" s="2">
        <f>[8]m!$I286</f>
        <v>8.24</v>
      </c>
      <c r="AI284" s="2">
        <f>[7]m!C285</f>
        <v>7337</v>
      </c>
      <c r="AJ284" s="2">
        <f>[7]m!D285</f>
        <v>7355</v>
      </c>
      <c r="AK284" s="2">
        <f>[2]Surveys_m!$AB166</f>
        <v>57.800000000000004</v>
      </c>
      <c r="AL284" s="4">
        <f t="shared" si="4"/>
        <v>4152.0696324951659</v>
      </c>
      <c r="AN284" s="2">
        <v>84</v>
      </c>
      <c r="AQ284" s="3">
        <f>[9]LaborForce!$B165*[9]LaborForce!$C165/100</f>
        <v>89664.897000000012</v>
      </c>
      <c r="AR284">
        <f>[9]Unemployment!$AC166</f>
        <v>237</v>
      </c>
      <c r="AS284">
        <f>[2]Indicators!BC166</f>
        <v>50</v>
      </c>
      <c r="AT284">
        <f>[2]Indicators!BD166</f>
        <v>46.013600000000004</v>
      </c>
      <c r="AU284">
        <f>[2]Indicators!BE166</f>
        <v>103.64</v>
      </c>
    </row>
    <row r="285" spans="1:47" x14ac:dyDescent="0.25">
      <c r="A285" s="1">
        <v>26877</v>
      </c>
      <c r="B285" s="2">
        <f>[2]Indicators!G167</f>
        <v>855.73599999999999</v>
      </c>
      <c r="C285" s="2">
        <f>[2]Indicators!H167</f>
        <v>128.625</v>
      </c>
      <c r="D285" s="2">
        <f>[2]Indicators!I167</f>
        <v>287.46500000000003</v>
      </c>
      <c r="E285" s="2">
        <f>[2]Indicators!J167</f>
        <v>439.64699999999999</v>
      </c>
      <c r="M285" s="2">
        <f>[2]Indicators!AB167</f>
        <v>44.8551</v>
      </c>
      <c r="N285" s="2">
        <f>[8]m!$C287</f>
        <v>10.5</v>
      </c>
      <c r="O285">
        <f>[9]Unemployment!$B167</f>
        <v>4.8000000000000007</v>
      </c>
      <c r="P285" s="2">
        <f>[2]Surveys_m!$B167</f>
        <v>93.800000000000011</v>
      </c>
      <c r="Q285">
        <f>[5]m!$B287</f>
        <v>45</v>
      </c>
      <c r="R285">
        <f>[5]m!$D287</f>
        <v>45.7</v>
      </c>
      <c r="S285">
        <f>[5]m!$Q287</f>
        <v>47.5</v>
      </c>
      <c r="T285">
        <f>[6]m!B287</f>
        <v>-745</v>
      </c>
      <c r="U285" s="2">
        <f>[9]Unemployment!$F167</f>
        <v>9.8000000000000007</v>
      </c>
      <c r="V285" s="2">
        <f>[9]Unemployment!$G167</f>
        <v>4.9000000000000004</v>
      </c>
      <c r="W285">
        <f>[9]Unemployment!$E167</f>
        <v>4305</v>
      </c>
      <c r="X285">
        <f>[9]Unemployment!N167</f>
        <v>2290</v>
      </c>
      <c r="Y285">
        <f>[9]Unemployment!O167</f>
        <v>1260</v>
      </c>
      <c r="Z285">
        <f>[9]Unemployment!P167-[9]Unemployment!Q167</f>
        <v>454</v>
      </c>
      <c r="AA285">
        <f>[9]Unemployment!$Q167</f>
        <v>334</v>
      </c>
      <c r="AB285" s="2">
        <f>[8]m!$B287</f>
        <v>8.67</v>
      </c>
      <c r="AC285" s="2">
        <f>[8]m!$F287</f>
        <v>7.4</v>
      </c>
      <c r="AD285">
        <f>[9]Employment!$B167</f>
        <v>77166</v>
      </c>
      <c r="AE285" s="2">
        <f>[2]Indicators!$AB167</f>
        <v>44.8551</v>
      </c>
      <c r="AF285" s="2">
        <f>[8]m!$AS287</f>
        <v>184.3</v>
      </c>
      <c r="AG285" s="2">
        <f>[8]m!$H287</f>
        <v>7.68</v>
      </c>
      <c r="AH285" s="2">
        <f>[8]m!$I287</f>
        <v>8.5299999999999994</v>
      </c>
      <c r="AI285" s="2">
        <f>[7]m!C286</f>
        <v>7580</v>
      </c>
      <c r="AJ285" s="2">
        <f>[7]m!D286</f>
        <v>7376</v>
      </c>
      <c r="AK285" s="2">
        <f>[2]Surveys_m!$AB167</f>
        <v>62.7</v>
      </c>
      <c r="AL285" s="4">
        <f t="shared" si="4"/>
        <v>4053.2108317214715</v>
      </c>
      <c r="AN285" s="2">
        <v>82</v>
      </c>
      <c r="AQ285" s="3">
        <f>[9]LaborForce!$B166*[9]LaborForce!$C166/100</f>
        <v>89515.504000000001</v>
      </c>
      <c r="AR285">
        <f>[9]Unemployment!$AC167</f>
        <v>250</v>
      </c>
      <c r="AS285">
        <f>[2]Indicators!BC167</f>
        <v>49.5</v>
      </c>
      <c r="AT285">
        <f>[2]Indicators!BD167</f>
        <v>45.826900000000002</v>
      </c>
      <c r="AU285">
        <f>[2]Indicators!BE167</f>
        <v>103.0034</v>
      </c>
    </row>
    <row r="286" spans="1:47" x14ac:dyDescent="0.25">
      <c r="A286" s="1">
        <v>26908</v>
      </c>
      <c r="B286" s="2">
        <f>[2]Indicators!G168</f>
        <v>871.75200000000007</v>
      </c>
      <c r="C286" s="2">
        <f>[2]Indicators!H168</f>
        <v>133.69200000000001</v>
      </c>
      <c r="D286" s="2">
        <f>[2]Indicators!I168</f>
        <v>292.34100000000001</v>
      </c>
      <c r="E286" s="2">
        <f>[2]Indicators!J168</f>
        <v>445.71899999999999</v>
      </c>
      <c r="M286" s="2">
        <f>[2]Indicators!AB168</f>
        <v>45.254000000000005</v>
      </c>
      <c r="N286" s="2">
        <f>[8]m!$C288</f>
        <v>10.78</v>
      </c>
      <c r="O286">
        <f>[9]Unemployment!$B168</f>
        <v>4.8000000000000007</v>
      </c>
      <c r="P286" s="2">
        <f>[2]Surveys_m!$B168</f>
        <v>93.800000000000011</v>
      </c>
      <c r="Q286">
        <f>[5]m!$B288</f>
        <v>45.2</v>
      </c>
      <c r="R286">
        <f>[5]m!$D288</f>
        <v>46</v>
      </c>
      <c r="S286">
        <f>[5]m!$Q288</f>
        <v>46.7</v>
      </c>
      <c r="T286">
        <f>[6]m!B288</f>
        <v>4173</v>
      </c>
      <c r="U286" s="2">
        <f>[9]Unemployment!$F168</f>
        <v>9.4</v>
      </c>
      <c r="V286" s="2">
        <f>[9]Unemployment!$G168</f>
        <v>5.4</v>
      </c>
      <c r="W286">
        <f>[9]Unemployment!$E168</f>
        <v>4350</v>
      </c>
      <c r="X286">
        <f>[9]Unemployment!N168</f>
        <v>2211</v>
      </c>
      <c r="Y286">
        <f>[9]Unemployment!O168</f>
        <v>1346</v>
      </c>
      <c r="Z286">
        <f>[9]Unemployment!P168-[9]Unemployment!Q168</f>
        <v>490</v>
      </c>
      <c r="AA286">
        <f>[9]Unemployment!$Q168</f>
        <v>295</v>
      </c>
      <c r="AB286" s="2">
        <f>[8]m!$B288</f>
        <v>8.2900000000000009</v>
      </c>
      <c r="AC286" s="2">
        <f>[8]m!$F288</f>
        <v>7.09</v>
      </c>
      <c r="AD286">
        <f>[9]Employment!$B168</f>
        <v>77281</v>
      </c>
      <c r="AE286" s="2">
        <f>[2]Indicators!$AB168</f>
        <v>45.254000000000005</v>
      </c>
      <c r="AF286" s="2">
        <f>[8]m!$AS288</f>
        <v>185.3</v>
      </c>
      <c r="AG286" s="2">
        <f>[8]m!$H288</f>
        <v>7.63</v>
      </c>
      <c r="AH286" s="2">
        <f>[8]m!$I288</f>
        <v>8.6300000000000008</v>
      </c>
      <c r="AI286" s="2">
        <f>[7]m!C287</f>
        <v>7757</v>
      </c>
      <c r="AJ286" s="2">
        <f>[7]m!D287</f>
        <v>7557</v>
      </c>
      <c r="AK286" s="2">
        <f>[2]Surveys_m!$AB168</f>
        <v>63.5</v>
      </c>
      <c r="AL286" s="4">
        <f t="shared" si="4"/>
        <v>4003.7814313346244</v>
      </c>
      <c r="AN286" s="2">
        <v>81</v>
      </c>
      <c r="AQ286" s="3">
        <f>[9]LaborForce!$B167*[9]LaborForce!$C167/100</f>
        <v>89819.839999999997</v>
      </c>
      <c r="AR286">
        <f>[9]Unemployment!$AC168</f>
        <v>242</v>
      </c>
      <c r="AS286">
        <f>[2]Indicators!BC168</f>
        <v>49.300000000000004</v>
      </c>
      <c r="AT286">
        <f>[2]Indicators!BD168</f>
        <v>45.694200000000002</v>
      </c>
      <c r="AU286">
        <f>[2]Indicators!BE168</f>
        <v>102.49390000000001</v>
      </c>
    </row>
    <row r="287" spans="1:47" x14ac:dyDescent="0.25">
      <c r="A287" s="1">
        <v>26938</v>
      </c>
      <c r="B287" s="2">
        <f>[2]Indicators!G169</f>
        <v>870.69</v>
      </c>
      <c r="C287" s="2">
        <f>[2]Indicators!H169</f>
        <v>129.28399999999999</v>
      </c>
      <c r="D287" s="2">
        <f>[2]Indicators!I169</f>
        <v>293.35000000000002</v>
      </c>
      <c r="E287" s="2">
        <f>[2]Indicators!J169</f>
        <v>448.05599999999998</v>
      </c>
      <c r="M287" s="2">
        <f>[2]Indicators!AB169</f>
        <v>45.57</v>
      </c>
      <c r="N287" s="2">
        <f>[8]m!$C289</f>
        <v>10.01</v>
      </c>
      <c r="O287">
        <f>[9]Unemployment!$B169</f>
        <v>4.6000000000000005</v>
      </c>
      <c r="P287" s="2">
        <f>[2]Surveys_m!$B169</f>
        <v>107.5</v>
      </c>
      <c r="Q287">
        <f>[5]m!$B289</f>
        <v>45.6</v>
      </c>
      <c r="R287">
        <f>[5]m!$D289</f>
        <v>46.300000000000004</v>
      </c>
      <c r="S287">
        <f>[5]m!$Q289</f>
        <v>46.300000000000004</v>
      </c>
      <c r="T287">
        <f>[6]m!B289</f>
        <v>-5463</v>
      </c>
      <c r="U287" s="2">
        <f>[9]Unemployment!$F169</f>
        <v>10.200000000000001</v>
      </c>
      <c r="V287" s="2">
        <f>[9]Unemployment!$G169</f>
        <v>5.5</v>
      </c>
      <c r="W287">
        <f>[9]Unemployment!$E169</f>
        <v>4144</v>
      </c>
      <c r="X287">
        <f>[9]Unemployment!N169</f>
        <v>2063</v>
      </c>
      <c r="Y287">
        <f>[9]Unemployment!O169</f>
        <v>1321</v>
      </c>
      <c r="Z287">
        <f>[9]Unemployment!P169-[9]Unemployment!Q169</f>
        <v>457</v>
      </c>
      <c r="AA287">
        <f>[9]Unemployment!$Q169</f>
        <v>336</v>
      </c>
      <c r="AB287" s="2">
        <f>[8]m!$B289</f>
        <v>7.22</v>
      </c>
      <c r="AC287" s="2">
        <f>[8]m!$F289</f>
        <v>6.79</v>
      </c>
      <c r="AD287">
        <f>[9]Employment!$B169</f>
        <v>77605</v>
      </c>
      <c r="AE287" s="2">
        <f>[2]Indicators!$AB169</f>
        <v>45.57</v>
      </c>
      <c r="AF287" s="2">
        <f>[8]m!$AS289</f>
        <v>187.5</v>
      </c>
      <c r="AG287" s="2">
        <f>[8]m!$H289</f>
        <v>7.6000000000000005</v>
      </c>
      <c r="AH287" s="2">
        <f>[8]m!$I289</f>
        <v>8.41</v>
      </c>
      <c r="AI287" s="2">
        <f>[7]m!C288</f>
        <v>8135</v>
      </c>
      <c r="AJ287" s="2">
        <f>[7]m!D288</f>
        <v>7191</v>
      </c>
      <c r="AK287" s="2">
        <f>[2]Surveys_m!$AB169</f>
        <v>66.2</v>
      </c>
      <c r="AL287" s="4">
        <f t="shared" si="4"/>
        <v>4053.2108317214715</v>
      </c>
      <c r="AN287" s="2">
        <v>82</v>
      </c>
      <c r="AQ287" s="3">
        <f>[9]LaborForce!$B168*[9]LaborForce!$C168/100</f>
        <v>90119.21100000001</v>
      </c>
      <c r="AR287">
        <f>[9]Unemployment!$AC169</f>
        <v>249</v>
      </c>
      <c r="AS287">
        <f>[2]Indicators!BC169</f>
        <v>49.2</v>
      </c>
      <c r="AT287">
        <f>[2]Indicators!BD169</f>
        <v>45.6038</v>
      </c>
      <c r="AU287">
        <f>[2]Indicators!BE169</f>
        <v>102.08500000000001</v>
      </c>
    </row>
    <row r="288" spans="1:47" x14ac:dyDescent="0.25">
      <c r="A288" s="1">
        <v>26969</v>
      </c>
      <c r="B288" s="2">
        <f>[2]Indicators!G170</f>
        <v>879.45600000000002</v>
      </c>
      <c r="C288" s="2">
        <f>[2]Indicators!H170</f>
        <v>129.07</v>
      </c>
      <c r="D288" s="2">
        <f>[2]Indicators!I170</f>
        <v>299.11500000000001</v>
      </c>
      <c r="E288" s="2">
        <f>[2]Indicators!J170</f>
        <v>451.27199999999999</v>
      </c>
      <c r="M288" s="2">
        <f>[2]Indicators!AB170</f>
        <v>45.792500000000004</v>
      </c>
      <c r="N288" s="2">
        <f>[8]m!$C290</f>
        <v>10.029999999999999</v>
      </c>
      <c r="O288">
        <f>[9]Unemployment!$B170</f>
        <v>4.8000000000000007</v>
      </c>
      <c r="P288" s="2">
        <f>[2]Surveys_m!$B170</f>
        <v>107.5</v>
      </c>
      <c r="Q288">
        <f>[5]m!$B290</f>
        <v>45.9</v>
      </c>
      <c r="R288">
        <f>[5]m!$D290</f>
        <v>46.5</v>
      </c>
      <c r="S288">
        <f>[5]m!$Q290</f>
        <v>46.5</v>
      </c>
      <c r="T288">
        <f>[6]m!B290</f>
        <v>-1873</v>
      </c>
      <c r="U288" s="2">
        <f>[9]Unemployment!$F170</f>
        <v>9.9</v>
      </c>
      <c r="V288" s="2">
        <f>[9]Unemployment!$G170</f>
        <v>5.1000000000000005</v>
      </c>
      <c r="W288">
        <f>[9]Unemployment!$E170</f>
        <v>4396</v>
      </c>
      <c r="X288">
        <f>[9]Unemployment!N170</f>
        <v>2288</v>
      </c>
      <c r="Y288">
        <f>[9]Unemployment!O170</f>
        <v>1256</v>
      </c>
      <c r="Z288">
        <f>[9]Unemployment!P170-[9]Unemployment!Q170</f>
        <v>482</v>
      </c>
      <c r="AA288">
        <f>[9]Unemployment!$Q170</f>
        <v>350</v>
      </c>
      <c r="AB288" s="2">
        <f>[8]m!$B290</f>
        <v>7.83</v>
      </c>
      <c r="AC288" s="2">
        <f>[8]m!$F290</f>
        <v>6.73</v>
      </c>
      <c r="AD288">
        <f>[9]Employment!$B170</f>
        <v>77909</v>
      </c>
      <c r="AE288" s="2">
        <f>[2]Indicators!$AB170</f>
        <v>45.792500000000004</v>
      </c>
      <c r="AF288" s="2">
        <f>[8]m!$AS290</f>
        <v>189.3</v>
      </c>
      <c r="AG288" s="2">
        <f>[8]m!$H290</f>
        <v>7.67</v>
      </c>
      <c r="AH288" s="2">
        <f>[8]m!$I290</f>
        <v>8.42</v>
      </c>
      <c r="AI288" s="2">
        <f>[7]m!C289</f>
        <v>8345</v>
      </c>
      <c r="AJ288" s="2">
        <f>[7]m!D289</f>
        <v>7612</v>
      </c>
      <c r="AK288" s="2">
        <f>[2]Surveys_m!$AB170</f>
        <v>68.100000000000009</v>
      </c>
      <c r="AL288" s="4">
        <f t="shared" si="4"/>
        <v>4053.2108317214715</v>
      </c>
      <c r="AN288" s="2">
        <v>82</v>
      </c>
      <c r="AQ288" s="3">
        <f>[9]LaborForce!$B169*[9]LaborForce!$C169/100</f>
        <v>90710.028000000006</v>
      </c>
      <c r="AR288">
        <f>[9]Unemployment!$AC170</f>
        <v>235</v>
      </c>
      <c r="AS288">
        <f>[2]Indicators!BC170</f>
        <v>49</v>
      </c>
      <c r="AT288">
        <f>[2]Indicators!BD170</f>
        <v>45.525700000000001</v>
      </c>
      <c r="AU288">
        <f>[2]Indicators!BE170</f>
        <v>101.70910000000001</v>
      </c>
    </row>
    <row r="289" spans="1:47" x14ac:dyDescent="0.25">
      <c r="A289" s="1">
        <v>26999</v>
      </c>
      <c r="B289" s="2">
        <f>[2]Indicators!G171</f>
        <v>879.26599999999996</v>
      </c>
      <c r="C289" s="2">
        <f>[2]Indicators!H171</f>
        <v>126.25</v>
      </c>
      <c r="D289" s="2">
        <f>[2]Indicators!I171</f>
        <v>300.56200000000001</v>
      </c>
      <c r="E289" s="2">
        <f>[2]Indicators!J171</f>
        <v>452.45400000000001</v>
      </c>
      <c r="M289" s="2">
        <f>[2]Indicators!AB171</f>
        <v>45.678200000000004</v>
      </c>
      <c r="N289" s="2">
        <f>[8]m!$C291</f>
        <v>9.9500000000000011</v>
      </c>
      <c r="O289">
        <f>[9]Unemployment!$B171</f>
        <v>4.9000000000000004</v>
      </c>
      <c r="P289" s="2">
        <f>[2]Surveys_m!$B171</f>
        <v>70.600000000000009</v>
      </c>
      <c r="Q289">
        <f>[5]m!$B291</f>
        <v>46.300000000000004</v>
      </c>
      <c r="R289">
        <f>[5]m!$D291</f>
        <v>46.7</v>
      </c>
      <c r="S289">
        <f>[5]m!$Q291</f>
        <v>47.400000000000006</v>
      </c>
      <c r="T289">
        <f>[6]m!B291</f>
        <v>2309</v>
      </c>
      <c r="U289" s="2">
        <f>[9]Unemployment!$F171</f>
        <v>9.5</v>
      </c>
      <c r="V289" s="2">
        <f>[9]Unemployment!$G171</f>
        <v>4.7</v>
      </c>
      <c r="W289">
        <f>[9]Unemployment!$E171</f>
        <v>4489</v>
      </c>
      <c r="X289">
        <f>[9]Unemployment!N171</f>
        <v>2332</v>
      </c>
      <c r="Y289">
        <f>[9]Unemployment!O171</f>
        <v>1310</v>
      </c>
      <c r="Z289">
        <f>[9]Unemployment!P171-[9]Unemployment!Q171</f>
        <v>439</v>
      </c>
      <c r="AA289">
        <f>[9]Unemployment!$Q171</f>
        <v>328</v>
      </c>
      <c r="AB289" s="2">
        <f>[8]m!$B291</f>
        <v>7.45</v>
      </c>
      <c r="AC289" s="2">
        <f>[8]m!$F291</f>
        <v>6.74</v>
      </c>
      <c r="AD289">
        <f>[9]Employment!$B171</f>
        <v>78035</v>
      </c>
      <c r="AE289" s="2">
        <f>[2]Indicators!$AB171</f>
        <v>45.678200000000004</v>
      </c>
      <c r="AF289" s="2">
        <f>[8]m!$AS291</f>
        <v>190.10000000000002</v>
      </c>
      <c r="AG289" s="2">
        <f>[8]m!$H291</f>
        <v>7.68</v>
      </c>
      <c r="AH289" s="2">
        <f>[8]m!$I291</f>
        <v>8.48</v>
      </c>
      <c r="AI289" s="2">
        <f>[7]m!C290</f>
        <v>8639</v>
      </c>
      <c r="AJ289" s="2">
        <f>[7]m!D290</f>
        <v>8300</v>
      </c>
      <c r="AK289" s="2">
        <f>[2]Surveys_m!$AB171</f>
        <v>63.6</v>
      </c>
      <c r="AL289" s="4">
        <f t="shared" si="4"/>
        <v>3904.92263056093</v>
      </c>
      <c r="AN289" s="2">
        <v>79</v>
      </c>
      <c r="AQ289" s="3">
        <f>[9]LaborForce!$B170*[9]LaborForce!$C170/100</f>
        <v>90868.535999999993</v>
      </c>
      <c r="AR289">
        <f>[9]Unemployment!$AC171</f>
        <v>256</v>
      </c>
      <c r="AS289">
        <f>[2]Indicators!BC171</f>
        <v>48</v>
      </c>
      <c r="AT289">
        <f>[2]Indicators!BD171</f>
        <v>45.444900000000004</v>
      </c>
      <c r="AU289">
        <f>[2]Indicators!BE171</f>
        <v>101.33250000000001</v>
      </c>
    </row>
    <row r="290" spans="1:47" x14ac:dyDescent="0.25">
      <c r="A290" s="1">
        <v>27030</v>
      </c>
      <c r="B290" s="2">
        <f>[2]Indicators!G172</f>
        <v>887.28100000000006</v>
      </c>
      <c r="C290" s="2">
        <f>[2]Indicators!H172</f>
        <v>126.697</v>
      </c>
      <c r="D290" s="2">
        <f>[2]Indicators!I172</f>
        <v>305.04500000000002</v>
      </c>
      <c r="E290" s="2">
        <f>[2]Indicators!J172</f>
        <v>455.53899999999999</v>
      </c>
      <c r="M290" s="2">
        <f>[2]Indicators!AB172</f>
        <v>45.354800000000004</v>
      </c>
      <c r="N290" s="2">
        <f>[8]m!$C292</f>
        <v>9.65</v>
      </c>
      <c r="O290">
        <f>[9]Unemployment!$B172</f>
        <v>5.1000000000000005</v>
      </c>
      <c r="P290" s="2">
        <f>[2]Surveys_m!$B172</f>
        <v>70.600000000000009</v>
      </c>
      <c r="Q290">
        <f>[5]m!$B292</f>
        <v>46.800000000000004</v>
      </c>
      <c r="R290">
        <f>[5]m!$D292</f>
        <v>46.9</v>
      </c>
      <c r="S290">
        <f>[5]m!$Q292</f>
        <v>49</v>
      </c>
      <c r="T290">
        <f>[6]m!B292</f>
        <v>-189</v>
      </c>
      <c r="U290" s="2">
        <f>[9]Unemployment!$F172</f>
        <v>9.5</v>
      </c>
      <c r="V290" s="2">
        <f>[9]Unemployment!$G172</f>
        <v>5</v>
      </c>
      <c r="W290">
        <f>[9]Unemployment!$E172</f>
        <v>4644</v>
      </c>
      <c r="X290">
        <f>[9]Unemployment!N172</f>
        <v>2400</v>
      </c>
      <c r="Y290">
        <f>[9]Unemployment!O172</f>
        <v>1404</v>
      </c>
      <c r="Z290">
        <f>[9]Unemployment!P172-[9]Unemployment!Q172</f>
        <v>467</v>
      </c>
      <c r="AA290">
        <f>[9]Unemployment!$Q172</f>
        <v>332</v>
      </c>
      <c r="AB290" s="2">
        <f>[8]m!$B292</f>
        <v>7.7700000000000005</v>
      </c>
      <c r="AC290" s="2">
        <f>[8]m!$F292</f>
        <v>6.99</v>
      </c>
      <c r="AD290">
        <f>[9]Employment!$B172</f>
        <v>78104</v>
      </c>
      <c r="AE290" s="2">
        <f>[2]Indicators!$AB172</f>
        <v>45.354800000000004</v>
      </c>
      <c r="AF290" s="2">
        <f>[8]m!$AS292</f>
        <v>191.3</v>
      </c>
      <c r="AG290" s="2">
        <f>[8]m!$H292</f>
        <v>7.83</v>
      </c>
      <c r="AH290" s="2">
        <f>[8]m!$I292</f>
        <v>8.48</v>
      </c>
      <c r="AI290" s="2">
        <f>[7]m!C291</f>
        <v>8709</v>
      </c>
      <c r="AJ290" s="2">
        <f>[7]m!D291</f>
        <v>7907</v>
      </c>
      <c r="AK290" s="2">
        <f>[2]Surveys_m!$AB172</f>
        <v>62.1</v>
      </c>
      <c r="AL290" s="4">
        <f t="shared" si="4"/>
        <v>3855.4932301740823</v>
      </c>
      <c r="AN290" s="2">
        <v>78</v>
      </c>
      <c r="AQ290" s="3">
        <f>[9]LaborForce!$B171*[9]LaborForce!$C171/100</f>
        <v>91186.202000000005</v>
      </c>
      <c r="AR290">
        <f>[9]Unemployment!$AC172</f>
        <v>300</v>
      </c>
      <c r="AS290">
        <f>[2]Indicators!BC172</f>
        <v>47.7</v>
      </c>
      <c r="AT290">
        <f>[2]Indicators!BD172</f>
        <v>45.372900000000001</v>
      </c>
      <c r="AU290">
        <f>[2]Indicators!BE172</f>
        <v>100.9807</v>
      </c>
    </row>
    <row r="291" spans="1:47" x14ac:dyDescent="0.25">
      <c r="A291" s="1">
        <v>27061</v>
      </c>
      <c r="B291" s="2">
        <f>[2]Indicators!G173</f>
        <v>892.48199999999997</v>
      </c>
      <c r="C291" s="2">
        <f>[2]Indicators!H173</f>
        <v>124.78100000000001</v>
      </c>
      <c r="D291" s="2">
        <f>[2]Indicators!I173</f>
        <v>309.26</v>
      </c>
      <c r="E291" s="2">
        <f>[2]Indicators!J173</f>
        <v>458.44100000000003</v>
      </c>
      <c r="M291" s="2">
        <f>[2]Indicators!AB173</f>
        <v>45.229600000000005</v>
      </c>
      <c r="N291" s="2">
        <f>[8]m!$C293</f>
        <v>8.9700000000000006</v>
      </c>
      <c r="O291">
        <f>[9]Unemployment!$B173</f>
        <v>5.2</v>
      </c>
      <c r="P291" s="2">
        <f>[2]Surveys_m!$B173</f>
        <v>62.7</v>
      </c>
      <c r="Q291">
        <f>[5]m!$B293</f>
        <v>47.300000000000004</v>
      </c>
      <c r="R291">
        <f>[5]m!$D293</f>
        <v>47.2</v>
      </c>
      <c r="S291">
        <f>[5]m!$Q293</f>
        <v>50</v>
      </c>
      <c r="T291">
        <f>[6]m!B293</f>
        <v>-815</v>
      </c>
      <c r="U291" s="2">
        <f>[9]Unemployment!$F173</f>
        <v>9.6000000000000014</v>
      </c>
      <c r="V291" s="2">
        <f>[9]Unemployment!$G173</f>
        <v>5.1000000000000005</v>
      </c>
      <c r="W291">
        <f>[9]Unemployment!$E173</f>
        <v>4731</v>
      </c>
      <c r="X291">
        <f>[9]Unemployment!N173</f>
        <v>2432</v>
      </c>
      <c r="Y291">
        <f>[9]Unemployment!O173</f>
        <v>1426</v>
      </c>
      <c r="Z291">
        <f>[9]Unemployment!P173-[9]Unemployment!Q173</f>
        <v>495</v>
      </c>
      <c r="AA291">
        <f>[9]Unemployment!$Q173</f>
        <v>334</v>
      </c>
      <c r="AB291" s="2">
        <f>[8]m!$B293</f>
        <v>7.12</v>
      </c>
      <c r="AC291" s="2">
        <f>[8]m!$F293</f>
        <v>6.96</v>
      </c>
      <c r="AD291">
        <f>[9]Employment!$B173</f>
        <v>78253</v>
      </c>
      <c r="AE291" s="2">
        <f>[2]Indicators!$AB173</f>
        <v>45.229600000000005</v>
      </c>
      <c r="AF291" s="2">
        <f>[8]m!$AS293</f>
        <v>192.5</v>
      </c>
      <c r="AG291" s="2">
        <f>[8]m!$H293</f>
        <v>7.8500000000000005</v>
      </c>
      <c r="AH291" s="2">
        <f>[8]m!$I293</f>
        <v>8.5299999999999994</v>
      </c>
      <c r="AI291" s="2">
        <f>[7]m!C292</f>
        <v>8901</v>
      </c>
      <c r="AJ291" s="2">
        <f>[7]m!D292</f>
        <v>8327</v>
      </c>
      <c r="AK291" s="2">
        <f>[2]Surveys_m!$AB173</f>
        <v>58.6</v>
      </c>
      <c r="AL291" s="4">
        <f t="shared" si="4"/>
        <v>3806.0638297872356</v>
      </c>
      <c r="AN291" s="2">
        <v>77</v>
      </c>
      <c r="AQ291" s="3">
        <f>[9]LaborForce!$B172*[9]LaborForce!$C172/100</f>
        <v>91474.948000000004</v>
      </c>
      <c r="AR291">
        <f>[9]Unemployment!$AC173</f>
        <v>302</v>
      </c>
      <c r="AS291">
        <f>[2]Indicators!BC173</f>
        <v>47.1</v>
      </c>
      <c r="AT291">
        <f>[2]Indicators!BD173</f>
        <v>45.280300000000004</v>
      </c>
      <c r="AU291">
        <f>[2]Indicators!BE173</f>
        <v>100.5882</v>
      </c>
    </row>
    <row r="292" spans="1:47" x14ac:dyDescent="0.25">
      <c r="A292" s="1">
        <v>27089</v>
      </c>
      <c r="B292" s="2">
        <f>[2]Indicators!G174</f>
        <v>904.23199999999997</v>
      </c>
      <c r="C292" s="2">
        <f>[2]Indicators!H174</f>
        <v>128.47999999999999</v>
      </c>
      <c r="D292" s="2">
        <f>[2]Indicators!I174</f>
        <v>312.25400000000002</v>
      </c>
      <c r="E292" s="2">
        <f>[2]Indicators!J174</f>
        <v>463.49799999999999</v>
      </c>
      <c r="M292" s="2">
        <f>[2]Indicators!AB174</f>
        <v>45.2239</v>
      </c>
      <c r="N292" s="2">
        <f>[8]m!$C294</f>
        <v>9.35</v>
      </c>
      <c r="O292">
        <f>[9]Unemployment!$B174</f>
        <v>5.1000000000000005</v>
      </c>
      <c r="P292" s="2">
        <f>[2]Surveys_m!$B174</f>
        <v>62.7</v>
      </c>
      <c r="Q292">
        <f>[5]m!$B294</f>
        <v>47.800000000000004</v>
      </c>
      <c r="R292">
        <f>[5]m!$D294</f>
        <v>47.6</v>
      </c>
      <c r="S292">
        <f>[5]m!$Q294</f>
        <v>50.6</v>
      </c>
      <c r="T292">
        <f>[6]m!B294</f>
        <v>-6083</v>
      </c>
      <c r="U292" s="2">
        <f>[9]Unemployment!$F174</f>
        <v>9.7000000000000011</v>
      </c>
      <c r="V292" s="2">
        <f>[9]Unemployment!$G174</f>
        <v>4.8000000000000007</v>
      </c>
      <c r="W292">
        <f>[9]Unemployment!$E174</f>
        <v>4634</v>
      </c>
      <c r="X292">
        <f>[9]Unemployment!N174</f>
        <v>2413</v>
      </c>
      <c r="Y292">
        <f>[9]Unemployment!O174</f>
        <v>1403</v>
      </c>
      <c r="Z292">
        <f>[9]Unemployment!P174-[9]Unemployment!Q174</f>
        <v>519</v>
      </c>
      <c r="AA292">
        <f>[9]Unemployment!$Q174</f>
        <v>330</v>
      </c>
      <c r="AB292" s="2">
        <f>[8]m!$B294</f>
        <v>7.96</v>
      </c>
      <c r="AC292" s="2">
        <f>[8]m!$F294</f>
        <v>7.21</v>
      </c>
      <c r="AD292">
        <f>[9]Employment!$B174</f>
        <v>78295</v>
      </c>
      <c r="AE292" s="2">
        <f>[2]Indicators!$AB174</f>
        <v>45.2239</v>
      </c>
      <c r="AF292" s="2">
        <f>[8]m!$AS294</f>
        <v>193.4</v>
      </c>
      <c r="AG292" s="2">
        <f>[8]m!$H294</f>
        <v>8.01</v>
      </c>
      <c r="AH292" s="2">
        <f>[8]m!$I294</f>
        <v>8.620000000000001</v>
      </c>
      <c r="AI292" s="2">
        <f>[7]m!C293</f>
        <v>9279</v>
      </c>
      <c r="AJ292" s="2">
        <f>[7]m!D293</f>
        <v>9196</v>
      </c>
      <c r="AK292" s="2">
        <f>[2]Surveys_m!$AB174</f>
        <v>61.800000000000004</v>
      </c>
      <c r="AL292" s="4">
        <f t="shared" si="4"/>
        <v>3806.0638297872356</v>
      </c>
      <c r="AN292" s="2">
        <v>77</v>
      </c>
      <c r="AQ292" s="3">
        <f>[9]LaborForce!$B173*[9]LaborForce!$C173/100</f>
        <v>91474.925000000003</v>
      </c>
      <c r="AR292">
        <f>[9]Unemployment!$AC174</f>
        <v>301</v>
      </c>
      <c r="AS292">
        <f>[2]Indicators!BC174</f>
        <v>47.2</v>
      </c>
      <c r="AT292">
        <f>[2]Indicators!BD174</f>
        <v>45.122600000000006</v>
      </c>
      <c r="AU292">
        <f>[2]Indicators!BE174</f>
        <v>100.0556</v>
      </c>
    </row>
    <row r="293" spans="1:47" x14ac:dyDescent="0.25">
      <c r="A293" s="1">
        <v>27120</v>
      </c>
      <c r="B293" s="2">
        <f>[2]Indicators!G175</f>
        <v>913.60500000000002</v>
      </c>
      <c r="C293" s="2">
        <f>[2]Indicators!H175</f>
        <v>129.01900000000001</v>
      </c>
      <c r="D293" s="2">
        <f>[2]Indicators!I175</f>
        <v>315.245</v>
      </c>
      <c r="E293" s="2">
        <f>[2]Indicators!J175</f>
        <v>469.34100000000001</v>
      </c>
      <c r="M293" s="2">
        <f>[2]Indicators!AB175</f>
        <v>45.106700000000004</v>
      </c>
      <c r="N293" s="2">
        <f>[8]m!$C295</f>
        <v>10.51</v>
      </c>
      <c r="O293">
        <f>[9]Unemployment!$B175</f>
        <v>5.1000000000000005</v>
      </c>
      <c r="P293" s="2">
        <f>[2]Surveys_m!$B175</f>
        <v>95.100000000000009</v>
      </c>
      <c r="Q293">
        <f>[5]m!$B295</f>
        <v>48.1</v>
      </c>
      <c r="R293">
        <f>[5]m!$D295</f>
        <v>47.9</v>
      </c>
      <c r="S293">
        <f>[5]m!$Q295</f>
        <v>51</v>
      </c>
      <c r="T293">
        <f>[6]m!B295</f>
        <v>7441</v>
      </c>
      <c r="U293" s="2">
        <f>[9]Unemployment!$F175</f>
        <v>9.8000000000000007</v>
      </c>
      <c r="V293" s="2">
        <f>[9]Unemployment!$G175</f>
        <v>5</v>
      </c>
      <c r="W293">
        <f>[9]Unemployment!$E175</f>
        <v>4618</v>
      </c>
      <c r="X293">
        <f>[9]Unemployment!N175</f>
        <v>2337</v>
      </c>
      <c r="Y293">
        <f>[9]Unemployment!O175</f>
        <v>1456</v>
      </c>
      <c r="Z293">
        <f>[9]Unemployment!P175-[9]Unemployment!Q175</f>
        <v>535</v>
      </c>
      <c r="AA293">
        <f>[9]Unemployment!$Q175</f>
        <v>354</v>
      </c>
      <c r="AB293" s="2">
        <f>[8]m!$B295</f>
        <v>8.33</v>
      </c>
      <c r="AC293" s="2">
        <f>[8]m!$F295</f>
        <v>7.51</v>
      </c>
      <c r="AD293">
        <f>[9]Employment!$B175</f>
        <v>78384</v>
      </c>
      <c r="AE293" s="2">
        <f>[2]Indicators!$AB175</f>
        <v>45.106700000000004</v>
      </c>
      <c r="AF293" s="2">
        <f>[8]m!$AS295</f>
        <v>194.60000000000002</v>
      </c>
      <c r="AG293" s="2">
        <f>[8]m!$H295</f>
        <v>8.25</v>
      </c>
      <c r="AH293" s="2">
        <f>[8]m!$I295</f>
        <v>8.870000000000001</v>
      </c>
      <c r="AI293" s="2">
        <f>[7]m!C294</f>
        <v>9360</v>
      </c>
      <c r="AJ293" s="2">
        <f>[7]m!D294</f>
        <v>9659</v>
      </c>
      <c r="AK293" s="2">
        <f>[2]Surveys_m!$AB175</f>
        <v>59.900000000000006</v>
      </c>
      <c r="AL293" s="4">
        <f t="shared" si="4"/>
        <v>3904.92263056093</v>
      </c>
      <c r="AN293" s="2">
        <v>79</v>
      </c>
      <c r="AQ293" s="3">
        <f>[9]LaborForce!$B174*[9]LaborForce!$C174/100</f>
        <v>91331.058000000005</v>
      </c>
      <c r="AR293">
        <f>[9]Unemployment!$AC175</f>
        <v>323</v>
      </c>
      <c r="AS293">
        <f>[2]Indicators!BC175</f>
        <v>46.6</v>
      </c>
      <c r="AT293">
        <f>[2]Indicators!BD175</f>
        <v>44.870800000000003</v>
      </c>
      <c r="AU293">
        <f>[2]Indicators!BE175</f>
        <v>99.319500000000005</v>
      </c>
    </row>
    <row r="294" spans="1:47" x14ac:dyDescent="0.25">
      <c r="A294" s="1">
        <v>27150</v>
      </c>
      <c r="B294" s="2">
        <f>[2]Indicators!G176</f>
        <v>925.22400000000005</v>
      </c>
      <c r="C294" s="2">
        <f>[2]Indicators!H176</f>
        <v>131.96</v>
      </c>
      <c r="D294" s="2">
        <f>[2]Indicators!I176</f>
        <v>318.58499999999998</v>
      </c>
      <c r="E294" s="2">
        <f>[2]Indicators!J176</f>
        <v>474.67900000000003</v>
      </c>
      <c r="M294" s="2">
        <f>[2]Indicators!AB176</f>
        <v>45.432500000000005</v>
      </c>
      <c r="N294" s="2">
        <f>[8]m!$C296</f>
        <v>11.31</v>
      </c>
      <c r="O294">
        <f>[9]Unemployment!$B176</f>
        <v>5.1000000000000005</v>
      </c>
      <c r="P294" s="2">
        <f>[2]Surveys_m!$B176</f>
        <v>95.100000000000009</v>
      </c>
      <c r="Q294">
        <f>[5]m!$B296</f>
        <v>48.6</v>
      </c>
      <c r="R294">
        <f>[5]m!$D296</f>
        <v>48.5</v>
      </c>
      <c r="S294">
        <f>[5]m!$Q296</f>
        <v>51.800000000000004</v>
      </c>
      <c r="T294">
        <f>[6]m!B296</f>
        <v>-4794</v>
      </c>
      <c r="U294" s="2">
        <f>[9]Unemployment!$F176</f>
        <v>9.6000000000000014</v>
      </c>
      <c r="V294" s="2">
        <f>[9]Unemployment!$G176</f>
        <v>4.6000000000000005</v>
      </c>
      <c r="W294">
        <f>[9]Unemployment!$E176</f>
        <v>4705</v>
      </c>
      <c r="X294">
        <f>[9]Unemployment!N176</f>
        <v>2457</v>
      </c>
      <c r="Y294">
        <f>[9]Unemployment!O176</f>
        <v>1409</v>
      </c>
      <c r="Z294">
        <f>[9]Unemployment!P176-[9]Unemployment!Q176</f>
        <v>524</v>
      </c>
      <c r="AA294">
        <f>[9]Unemployment!$Q176</f>
        <v>356</v>
      </c>
      <c r="AB294" s="2">
        <f>[8]m!$B296</f>
        <v>8.23</v>
      </c>
      <c r="AC294" s="2">
        <f>[8]m!$F296</f>
        <v>7.58</v>
      </c>
      <c r="AD294">
        <f>[9]Employment!$B176</f>
        <v>78547</v>
      </c>
      <c r="AE294" s="2">
        <f>[2]Indicators!$AB176</f>
        <v>45.432500000000005</v>
      </c>
      <c r="AF294" s="2">
        <f>[8]m!$AS296</f>
        <v>195.9</v>
      </c>
      <c r="AG294" s="2">
        <f>[8]m!$H296</f>
        <v>8.370000000000001</v>
      </c>
      <c r="AH294" s="2">
        <f>[8]m!$I296</f>
        <v>9.0500000000000007</v>
      </c>
      <c r="AI294" s="2">
        <f>[7]m!C295</f>
        <v>10013</v>
      </c>
      <c r="AJ294" s="2">
        <f>[7]m!D295</f>
        <v>10023</v>
      </c>
      <c r="AK294" s="2">
        <f>[2]Surveys_m!$AB176</f>
        <v>55.7</v>
      </c>
      <c r="AL294" s="4">
        <f t="shared" si="4"/>
        <v>3855.4932301740828</v>
      </c>
      <c r="AN294" s="2">
        <v>78</v>
      </c>
      <c r="AQ294" s="3">
        <f>[9]LaborForce!$B175*[9]LaborForce!$C175/100</f>
        <v>91647.612000000008</v>
      </c>
      <c r="AR294">
        <f>[9]Unemployment!$AC176</f>
        <v>283</v>
      </c>
      <c r="AS294">
        <f>[2]Indicators!BC176</f>
        <v>46.300000000000004</v>
      </c>
      <c r="AT294">
        <f>[2]Indicators!BD176</f>
        <v>44.524100000000004</v>
      </c>
      <c r="AU294">
        <f>[2]Indicators!BE176</f>
        <v>98.378100000000003</v>
      </c>
    </row>
    <row r="295" spans="1:47" x14ac:dyDescent="0.25">
      <c r="A295" s="1">
        <v>27181</v>
      </c>
      <c r="B295" s="2">
        <f>[2]Indicators!G177</f>
        <v>930.79500000000007</v>
      </c>
      <c r="C295" s="2">
        <f>[2]Indicators!H177</f>
        <v>130.76900000000001</v>
      </c>
      <c r="D295" s="2">
        <f>[2]Indicators!I177</f>
        <v>320.221</v>
      </c>
      <c r="E295" s="2">
        <f>[2]Indicators!J177</f>
        <v>479.80500000000001</v>
      </c>
      <c r="M295" s="2">
        <f>[2]Indicators!AB177</f>
        <v>45.407900000000005</v>
      </c>
      <c r="N295" s="2">
        <f>[8]m!$C297</f>
        <v>11.93</v>
      </c>
      <c r="O295">
        <f>[9]Unemployment!$B177</f>
        <v>5.4</v>
      </c>
      <c r="P295" s="2">
        <f>[2]Surveys_m!$B177</f>
        <v>92.5</v>
      </c>
      <c r="Q295">
        <f>[5]m!$B297</f>
        <v>49</v>
      </c>
      <c r="R295">
        <f>[5]m!$D297</f>
        <v>49</v>
      </c>
      <c r="S295">
        <f>[5]m!$Q297</f>
        <v>52</v>
      </c>
      <c r="T295">
        <f>[6]m!B297</f>
        <v>7087</v>
      </c>
      <c r="U295" s="2">
        <f>[9]Unemployment!$F177</f>
        <v>9.7000000000000011</v>
      </c>
      <c r="V295" s="2">
        <f>[9]Unemployment!$G177</f>
        <v>5.3000000000000007</v>
      </c>
      <c r="W295">
        <f>[9]Unemployment!$E177</f>
        <v>4927</v>
      </c>
      <c r="X295">
        <f>[9]Unemployment!N177</f>
        <v>2497</v>
      </c>
      <c r="Y295">
        <f>[9]Unemployment!O177</f>
        <v>1517</v>
      </c>
      <c r="Z295">
        <f>[9]Unemployment!P177-[9]Unemployment!Q177</f>
        <v>559</v>
      </c>
      <c r="AA295">
        <f>[9]Unemployment!$Q177</f>
        <v>367</v>
      </c>
      <c r="AB295" s="2">
        <f>[8]m!$B297</f>
        <v>7.9</v>
      </c>
      <c r="AC295" s="2">
        <f>[8]m!$F297</f>
        <v>7.54</v>
      </c>
      <c r="AD295">
        <f>[9]Employment!$B177</f>
        <v>78602</v>
      </c>
      <c r="AE295" s="2">
        <f>[2]Indicators!$AB177</f>
        <v>45.407900000000005</v>
      </c>
      <c r="AF295" s="2">
        <f>[8]m!$AS297</f>
        <v>196.9</v>
      </c>
      <c r="AG295" s="2">
        <f>[8]m!$H297</f>
        <v>8.4700000000000006</v>
      </c>
      <c r="AH295" s="2">
        <f>[8]m!$I297</f>
        <v>9.27</v>
      </c>
      <c r="AI295" s="2">
        <f>[7]m!C296</f>
        <v>9551</v>
      </c>
      <c r="AJ295" s="2">
        <f>[7]m!D296</f>
        <v>10246</v>
      </c>
      <c r="AK295" s="2">
        <f>[2]Surveys_m!$AB177</f>
        <v>54.7</v>
      </c>
      <c r="AL295" s="4">
        <f t="shared" si="4"/>
        <v>3756.6344294003879</v>
      </c>
      <c r="AN295" s="2">
        <v>76</v>
      </c>
      <c r="AQ295" s="3">
        <f>[9]LaborForce!$B176*[9]LaborForce!$C176/100</f>
        <v>91806.732000000018</v>
      </c>
      <c r="AR295">
        <f>[9]Unemployment!$AC177</f>
        <v>278</v>
      </c>
      <c r="AS295">
        <f>[2]Indicators!BC177</f>
        <v>45.7</v>
      </c>
      <c r="AT295">
        <f>[2]Indicators!BD177</f>
        <v>44.097300000000004</v>
      </c>
      <c r="AU295">
        <f>[2]Indicators!BE177</f>
        <v>97.264900000000011</v>
      </c>
    </row>
    <row r="296" spans="1:47" x14ac:dyDescent="0.25">
      <c r="A296" s="1">
        <v>27211</v>
      </c>
      <c r="B296" s="2">
        <f>[2]Indicators!G178</f>
        <v>940.68299999999999</v>
      </c>
      <c r="C296" s="2">
        <f>[2]Indicators!H178</f>
        <v>133.39000000000001</v>
      </c>
      <c r="D296" s="2">
        <f>[2]Indicators!I178</f>
        <v>324.40199999999999</v>
      </c>
      <c r="E296" s="2">
        <f>[2]Indicators!J178</f>
        <v>482.89100000000002</v>
      </c>
      <c r="M296" s="2">
        <f>[2]Indicators!AB178</f>
        <v>45.4084</v>
      </c>
      <c r="N296" s="2">
        <f>[8]m!$C298</f>
        <v>12.92</v>
      </c>
      <c r="O296">
        <f>[9]Unemployment!$B178</f>
        <v>5.5</v>
      </c>
      <c r="P296" s="2">
        <f>[2]Surveys_m!$B178</f>
        <v>92.5</v>
      </c>
      <c r="Q296">
        <f>[5]m!$B298</f>
        <v>49.300000000000004</v>
      </c>
      <c r="R296">
        <f>[5]m!$D298</f>
        <v>49.5</v>
      </c>
      <c r="S296">
        <f>[5]m!$Q298</f>
        <v>54</v>
      </c>
      <c r="T296">
        <f>[6]m!B298</f>
        <v>-3326</v>
      </c>
      <c r="U296" s="2">
        <f>[9]Unemployment!$F178</f>
        <v>9.9</v>
      </c>
      <c r="V296" s="2">
        <f>[9]Unemployment!$G178</f>
        <v>5.7</v>
      </c>
      <c r="W296">
        <f>[9]Unemployment!$E178</f>
        <v>5063</v>
      </c>
      <c r="X296">
        <f>[9]Unemployment!N178</f>
        <v>2526</v>
      </c>
      <c r="Y296">
        <f>[9]Unemployment!O178</f>
        <v>1602</v>
      </c>
      <c r="Z296">
        <f>[9]Unemployment!P178-[9]Unemployment!Q178</f>
        <v>537</v>
      </c>
      <c r="AA296">
        <f>[9]Unemployment!$Q178</f>
        <v>387</v>
      </c>
      <c r="AB296" s="2">
        <f>[8]m!$B298</f>
        <v>7.55</v>
      </c>
      <c r="AC296" s="2">
        <f>[8]m!$F298</f>
        <v>7.8100000000000005</v>
      </c>
      <c r="AD296">
        <f>[9]Employment!$B178</f>
        <v>78634</v>
      </c>
      <c r="AE296" s="2">
        <f>[2]Indicators!$AB178</f>
        <v>45.4084</v>
      </c>
      <c r="AF296" s="2">
        <f>[8]m!$AS298</f>
        <v>198.3</v>
      </c>
      <c r="AG296" s="2">
        <f>[8]m!$H298</f>
        <v>8.7200000000000006</v>
      </c>
      <c r="AH296" s="2">
        <f>[8]m!$I298</f>
        <v>9.48</v>
      </c>
      <c r="AI296" s="2">
        <f>[7]m!C297</f>
        <v>10223</v>
      </c>
      <c r="AJ296" s="2">
        <f>[7]m!D297</f>
        <v>10656</v>
      </c>
      <c r="AK296" s="2">
        <f>[2]Surveys_m!$AB178</f>
        <v>54.800000000000004</v>
      </c>
      <c r="AL296" s="4">
        <f t="shared" si="4"/>
        <v>3657.7756286266936</v>
      </c>
      <c r="AN296" s="2">
        <v>74</v>
      </c>
      <c r="AQ296" s="3">
        <f>[9]LaborForce!$B177*[9]LaborForce!$C177/100</f>
        <v>92252.886000000013</v>
      </c>
      <c r="AR296">
        <f>[9]Unemployment!$AC178</f>
        <v>325</v>
      </c>
      <c r="AS296">
        <f>[2]Indicators!BC178</f>
        <v>45.1</v>
      </c>
      <c r="AT296">
        <f>[2]Indicators!BD178</f>
        <v>43.6036</v>
      </c>
      <c r="AU296">
        <f>[2]Indicators!BE178</f>
        <v>96.009</v>
      </c>
    </row>
    <row r="297" spans="1:47" x14ac:dyDescent="0.25">
      <c r="A297" s="1">
        <v>27242</v>
      </c>
      <c r="B297" s="2">
        <f>[2]Indicators!G179</f>
        <v>957.54600000000005</v>
      </c>
      <c r="C297" s="2">
        <f>[2]Indicators!H179</f>
        <v>140.87299999999999</v>
      </c>
      <c r="D297" s="2">
        <f>[2]Indicators!I179</f>
        <v>328.74400000000003</v>
      </c>
      <c r="E297" s="2">
        <f>[2]Indicators!J179</f>
        <v>487.92900000000003</v>
      </c>
      <c r="M297" s="2">
        <f>[2]Indicators!AB179</f>
        <v>44.984900000000003</v>
      </c>
      <c r="N297" s="2">
        <f>[8]m!$C299</f>
        <v>12.01</v>
      </c>
      <c r="O297">
        <f>[9]Unemployment!$B179</f>
        <v>5.5</v>
      </c>
      <c r="P297" s="2">
        <f>[2]Surveys_m!$B179</f>
        <v>77.300000000000011</v>
      </c>
      <c r="Q297">
        <f>[5]m!$B299</f>
        <v>49.9</v>
      </c>
      <c r="R297">
        <f>[5]m!$D299</f>
        <v>50.2</v>
      </c>
      <c r="S297">
        <f>[5]m!$Q299</f>
        <v>55.900000000000006</v>
      </c>
      <c r="T297">
        <f>[6]m!B299</f>
        <v>-894</v>
      </c>
      <c r="U297" s="2">
        <f>[9]Unemployment!$F179</f>
        <v>9.8000000000000007</v>
      </c>
      <c r="V297" s="2">
        <f>[9]Unemployment!$G179</f>
        <v>5</v>
      </c>
      <c r="W297">
        <f>[9]Unemployment!$E179</f>
        <v>5022</v>
      </c>
      <c r="X297">
        <f>[9]Unemployment!N179</f>
        <v>2609</v>
      </c>
      <c r="Y297">
        <f>[9]Unemployment!O179</f>
        <v>1483</v>
      </c>
      <c r="Z297">
        <f>[9]Unemployment!P179-[9]Unemployment!Q179</f>
        <v>572</v>
      </c>
      <c r="AA297">
        <f>[9]Unemployment!$Q179</f>
        <v>388</v>
      </c>
      <c r="AB297" s="2">
        <f>[8]m!$B299</f>
        <v>8.9600000000000009</v>
      </c>
      <c r="AC297" s="2">
        <f>[8]m!$F299</f>
        <v>8.0400000000000009</v>
      </c>
      <c r="AD297">
        <f>[9]Employment!$B179</f>
        <v>78619</v>
      </c>
      <c r="AE297" s="2">
        <f>[2]Indicators!$AB179</f>
        <v>44.984900000000003</v>
      </c>
      <c r="AF297" s="2">
        <f>[8]m!$AS299</f>
        <v>199.3</v>
      </c>
      <c r="AG297" s="2">
        <f>[8]m!$H299</f>
        <v>9</v>
      </c>
      <c r="AH297" s="2">
        <f>[8]m!$I299</f>
        <v>9.77</v>
      </c>
      <c r="AI297" s="2">
        <f>[7]m!C298</f>
        <v>10208</v>
      </c>
      <c r="AJ297" s="2">
        <f>[7]m!D298</f>
        <v>11001</v>
      </c>
      <c r="AK297" s="2">
        <f>[2]Surveys_m!$AB179</f>
        <v>52.900000000000006</v>
      </c>
      <c r="AL297" s="4">
        <f t="shared" si="4"/>
        <v>3558.9168278529987</v>
      </c>
      <c r="AN297" s="2">
        <v>72</v>
      </c>
      <c r="AQ297" s="3">
        <f>[9]LaborForce!$B178*[9]LaborForce!$C178/100</f>
        <v>92101.716</v>
      </c>
      <c r="AR297">
        <f>[9]Unemployment!$AC179</f>
        <v>320</v>
      </c>
      <c r="AS297">
        <f>[2]Indicators!BC179</f>
        <v>44.2</v>
      </c>
      <c r="AT297">
        <f>[2]Indicators!BD179</f>
        <v>43.072200000000002</v>
      </c>
      <c r="AU297">
        <f>[2]Indicators!BE179</f>
        <v>94.674400000000006</v>
      </c>
    </row>
    <row r="298" spans="1:47" x14ac:dyDescent="0.25">
      <c r="A298" s="1">
        <v>27273</v>
      </c>
      <c r="B298" s="2">
        <f>[2]Indicators!G180</f>
        <v>957.78600000000006</v>
      </c>
      <c r="C298" s="2">
        <f>[2]Indicators!H180</f>
        <v>134.71</v>
      </c>
      <c r="D298" s="2">
        <f>[2]Indicators!I180</f>
        <v>329.85599999999999</v>
      </c>
      <c r="E298" s="2">
        <f>[2]Indicators!J180</f>
        <v>493.22</v>
      </c>
      <c r="M298" s="2">
        <f>[2]Indicators!AB180</f>
        <v>45.023900000000005</v>
      </c>
      <c r="N298" s="2">
        <f>[8]m!$C300</f>
        <v>11.34</v>
      </c>
      <c r="O298">
        <f>[9]Unemployment!$B180</f>
        <v>5.9</v>
      </c>
      <c r="P298" s="2">
        <f>[2]Surveys_m!$B180</f>
        <v>77.300000000000011</v>
      </c>
      <c r="Q298">
        <f>[5]m!$B300</f>
        <v>50.6</v>
      </c>
      <c r="R298">
        <f>[5]m!$D300</f>
        <v>50.7</v>
      </c>
      <c r="S298">
        <f>[5]m!$Q300</f>
        <v>55.900000000000006</v>
      </c>
      <c r="T298">
        <f>[6]m!B300</f>
        <v>2632</v>
      </c>
      <c r="U298" s="2">
        <f>[9]Unemployment!$F180</f>
        <v>9.6000000000000014</v>
      </c>
      <c r="V298" s="2">
        <f>[9]Unemployment!$G180</f>
        <v>5.3000000000000007</v>
      </c>
      <c r="W298">
        <f>[9]Unemployment!$E180</f>
        <v>5437</v>
      </c>
      <c r="X298">
        <f>[9]Unemployment!N180</f>
        <v>2723</v>
      </c>
      <c r="Y298">
        <f>[9]Unemployment!O180</f>
        <v>1680</v>
      </c>
      <c r="Z298">
        <f>[9]Unemployment!P180-[9]Unemployment!Q180</f>
        <v>630</v>
      </c>
      <c r="AA298">
        <f>[9]Unemployment!$Q180</f>
        <v>391</v>
      </c>
      <c r="AB298" s="2">
        <f>[8]m!$B300</f>
        <v>8.06</v>
      </c>
      <c r="AC298" s="2">
        <f>[8]m!$F300</f>
        <v>8.0400000000000009</v>
      </c>
      <c r="AD298">
        <f>[9]Employment!$B180</f>
        <v>78614</v>
      </c>
      <c r="AE298" s="2">
        <f>[2]Indicators!$AB180</f>
        <v>45.023900000000005</v>
      </c>
      <c r="AF298" s="2">
        <f>[8]m!$AS300</f>
        <v>199.60000000000002</v>
      </c>
      <c r="AG298" s="2">
        <f>[8]m!$H300</f>
        <v>9.24</v>
      </c>
      <c r="AH298" s="2">
        <f>[8]m!$I300</f>
        <v>10.18</v>
      </c>
      <c r="AI298" s="2">
        <f>[7]m!C299</f>
        <v>10324</v>
      </c>
      <c r="AJ298" s="2">
        <f>[7]m!D299</f>
        <v>11291</v>
      </c>
      <c r="AK298" s="2">
        <f>[2]Surveys_m!$AB180</f>
        <v>46.2</v>
      </c>
      <c r="AL298" s="4">
        <f t="shared" si="4"/>
        <v>3410.6286266924571</v>
      </c>
      <c r="AN298" s="2">
        <v>69</v>
      </c>
      <c r="AQ298" s="3">
        <f>[9]LaborForce!$B179*[9]LaborForce!$C179/100</f>
        <v>92562.342000000004</v>
      </c>
      <c r="AR298">
        <f>[9]Unemployment!$AC180</f>
        <v>350</v>
      </c>
      <c r="AS298">
        <f>[2]Indicators!BC180</f>
        <v>43.1</v>
      </c>
      <c r="AT298">
        <f>[2]Indicators!BD180</f>
        <v>42.528200000000005</v>
      </c>
      <c r="AU298">
        <f>[2]Indicators!BE180</f>
        <v>93.316400000000002</v>
      </c>
    </row>
    <row r="299" spans="1:47" x14ac:dyDescent="0.25">
      <c r="A299" s="1">
        <v>27303</v>
      </c>
      <c r="B299" s="2">
        <f>[2]Indicators!G181</f>
        <v>961.97500000000002</v>
      </c>
      <c r="C299" s="2">
        <f>[2]Indicators!H181</f>
        <v>131.012</v>
      </c>
      <c r="D299" s="2">
        <f>[2]Indicators!I181</f>
        <v>331.50600000000003</v>
      </c>
      <c r="E299" s="2">
        <f>[2]Indicators!J181</f>
        <v>499.45600000000002</v>
      </c>
      <c r="M299" s="2">
        <f>[2]Indicators!AB181</f>
        <v>44.863500000000002</v>
      </c>
      <c r="N299" s="2">
        <f>[8]m!$C301</f>
        <v>10.06</v>
      </c>
      <c r="O299">
        <f>[9]Unemployment!$B181</f>
        <v>6</v>
      </c>
      <c r="P299" s="2">
        <f>[2]Surveys_m!$B181</f>
        <v>54.5</v>
      </c>
      <c r="Q299">
        <f>[5]m!$B301</f>
        <v>51</v>
      </c>
      <c r="R299">
        <f>[5]m!$D301</f>
        <v>51.2</v>
      </c>
      <c r="S299">
        <f>[5]m!$Q301</f>
        <v>56.900000000000006</v>
      </c>
      <c r="T299">
        <f>[6]m!B301</f>
        <v>-6839</v>
      </c>
      <c r="U299" s="2">
        <f>[9]Unemployment!$F181</f>
        <v>9.9</v>
      </c>
      <c r="V299" s="2">
        <f>[9]Unemployment!$G181</f>
        <v>5.5</v>
      </c>
      <c r="W299">
        <f>[9]Unemployment!$E181</f>
        <v>5523</v>
      </c>
      <c r="X299">
        <f>[9]Unemployment!N181</f>
        <v>2723</v>
      </c>
      <c r="Y299">
        <f>[9]Unemployment!O181</f>
        <v>1770</v>
      </c>
      <c r="Z299">
        <f>[9]Unemployment!P181-[9]Unemployment!Q181</f>
        <v>674</v>
      </c>
      <c r="AA299">
        <f>[9]Unemployment!$Q181</f>
        <v>398</v>
      </c>
      <c r="AB299" s="2">
        <f>[8]m!$B301</f>
        <v>7.46</v>
      </c>
      <c r="AC299" s="2">
        <f>[8]m!$F301</f>
        <v>7.9</v>
      </c>
      <c r="AD299">
        <f>[9]Employment!$B181</f>
        <v>78627</v>
      </c>
      <c r="AE299" s="2">
        <f>[2]Indicators!$AB181</f>
        <v>44.863500000000002</v>
      </c>
      <c r="AF299" s="2">
        <f>[8]m!$AS301</f>
        <v>199.5</v>
      </c>
      <c r="AG299" s="2">
        <f>[8]m!$H301</f>
        <v>9.27</v>
      </c>
      <c r="AH299" s="2">
        <f>[8]m!$I301</f>
        <v>10.48</v>
      </c>
      <c r="AI299" s="2">
        <f>[7]m!C300</f>
        <v>10304</v>
      </c>
      <c r="AJ299" s="2">
        <f>[7]m!D300</f>
        <v>10789</v>
      </c>
      <c r="AK299" s="2">
        <f>[2]Surveys_m!$AB181</f>
        <v>42.7</v>
      </c>
      <c r="AL299" s="4">
        <f t="shared" si="4"/>
        <v>3163.4816247582212</v>
      </c>
      <c r="AN299" s="2">
        <v>64</v>
      </c>
      <c r="AQ299" s="3">
        <f>[9]LaborForce!$B180*[9]LaborForce!$C180/100</f>
        <v>92568.517000000007</v>
      </c>
      <c r="AR299">
        <f>[9]Unemployment!$AC181</f>
        <v>366</v>
      </c>
      <c r="AS299">
        <f>[2]Indicators!BC181</f>
        <v>42.5</v>
      </c>
      <c r="AT299">
        <f>[2]Indicators!BD181</f>
        <v>42.027200000000001</v>
      </c>
      <c r="AU299">
        <f>[2]Indicators!BE181</f>
        <v>92.05680000000001</v>
      </c>
    </row>
    <row r="300" spans="1:47" x14ac:dyDescent="0.25">
      <c r="A300" s="1">
        <v>27334</v>
      </c>
      <c r="B300" s="2">
        <f>[2]Indicators!G182</f>
        <v>958.94500000000005</v>
      </c>
      <c r="C300" s="2">
        <f>[2]Indicators!H182</f>
        <v>125.393</v>
      </c>
      <c r="D300" s="2">
        <f>[2]Indicators!I182</f>
        <v>331.51600000000002</v>
      </c>
      <c r="E300" s="2">
        <f>[2]Indicators!J182</f>
        <v>502.03500000000003</v>
      </c>
      <c r="M300" s="2">
        <f>[2]Indicators!AB182</f>
        <v>43.386000000000003</v>
      </c>
      <c r="N300" s="2">
        <f>[8]m!$C302</f>
        <v>9.4500000000000011</v>
      </c>
      <c r="O300">
        <f>[9]Unemployment!$B182</f>
        <v>6.6000000000000005</v>
      </c>
      <c r="P300" s="2">
        <f>[2]Surveys_m!$B182</f>
        <v>54.5</v>
      </c>
      <c r="Q300">
        <f>[5]m!$B302</f>
        <v>51.5</v>
      </c>
      <c r="R300">
        <f>[5]m!$D302</f>
        <v>51.6</v>
      </c>
      <c r="S300">
        <f>[5]m!$Q302</f>
        <v>57.400000000000006</v>
      </c>
      <c r="T300">
        <f>[6]m!B302</f>
        <v>-2658</v>
      </c>
      <c r="U300" s="2">
        <f>[9]Unemployment!$F182</f>
        <v>9.6000000000000014</v>
      </c>
      <c r="V300" s="2">
        <f>[9]Unemployment!$G182</f>
        <v>5.2</v>
      </c>
      <c r="W300">
        <f>[9]Unemployment!$E182</f>
        <v>6140</v>
      </c>
      <c r="X300">
        <f>[9]Unemployment!N182</f>
        <v>3052</v>
      </c>
      <c r="Y300">
        <f>[9]Unemployment!O182</f>
        <v>1918</v>
      </c>
      <c r="Z300">
        <f>[9]Unemployment!P182-[9]Unemployment!Q182</f>
        <v>698</v>
      </c>
      <c r="AA300">
        <f>[9]Unemployment!$Q182</f>
        <v>430</v>
      </c>
      <c r="AB300" s="2">
        <f>[8]m!$B302</f>
        <v>7.47</v>
      </c>
      <c r="AC300" s="2">
        <f>[8]m!$F302</f>
        <v>7.68</v>
      </c>
      <c r="AD300">
        <f>[9]Employment!$B182</f>
        <v>78259</v>
      </c>
      <c r="AE300" s="2">
        <f>[2]Indicators!$AB182</f>
        <v>43.386000000000003</v>
      </c>
      <c r="AF300" s="2">
        <f>[8]m!$AS302</f>
        <v>199.3</v>
      </c>
      <c r="AG300" s="2">
        <f>[8]m!$H302</f>
        <v>8.89</v>
      </c>
      <c r="AH300" s="2">
        <f>[8]m!$I302</f>
        <v>10.6</v>
      </c>
      <c r="AI300" s="2">
        <f>[7]m!C301</f>
        <v>10707</v>
      </c>
      <c r="AJ300" s="2">
        <f>[7]m!D301</f>
        <v>10918</v>
      </c>
      <c r="AK300" s="2">
        <f>[2]Surveys_m!$AB182</f>
        <v>37.9</v>
      </c>
      <c r="AL300" s="4">
        <f t="shared" si="4"/>
        <v>2916.3346228239852</v>
      </c>
      <c r="AN300" s="2">
        <v>59</v>
      </c>
      <c r="AQ300" s="3">
        <f>[9]LaborForce!$B181*[9]LaborForce!$C181/100</f>
        <v>92719.315000000002</v>
      </c>
      <c r="AR300">
        <f>[9]Unemployment!$AC182</f>
        <v>406</v>
      </c>
      <c r="AS300">
        <f>[2]Indicators!BC182</f>
        <v>41.7</v>
      </c>
      <c r="AT300">
        <f>[2]Indicators!BD182</f>
        <v>41.620000000000005</v>
      </c>
      <c r="AU300">
        <f>[2]Indicators!BE182</f>
        <v>91.005499999999998</v>
      </c>
    </row>
    <row r="301" spans="1:47" x14ac:dyDescent="0.25">
      <c r="A301" s="1">
        <v>27364</v>
      </c>
      <c r="B301" s="2">
        <f>[2]Indicators!G183</f>
        <v>964.59900000000005</v>
      </c>
      <c r="C301" s="2">
        <f>[2]Indicators!H183</f>
        <v>125.039</v>
      </c>
      <c r="D301" s="2">
        <f>[2]Indicators!I183</f>
        <v>329.702</v>
      </c>
      <c r="E301" s="2">
        <f>[2]Indicators!J183</f>
        <v>509.858</v>
      </c>
      <c r="M301" s="2">
        <f>[2]Indicators!AB183</f>
        <v>41.8506</v>
      </c>
      <c r="N301" s="2">
        <f>[8]m!$C303</f>
        <v>8.5299999999999994</v>
      </c>
      <c r="O301">
        <f>[9]Unemployment!$B183</f>
        <v>7.2</v>
      </c>
      <c r="P301" s="2">
        <f>[2]Surveys_m!$B183</f>
        <v>43.2</v>
      </c>
      <c r="Q301">
        <f>[5]m!$B303</f>
        <v>51.9</v>
      </c>
      <c r="R301">
        <f>[5]m!$D303</f>
        <v>52</v>
      </c>
      <c r="S301">
        <f>[5]m!$Q303</f>
        <v>57.300000000000004</v>
      </c>
      <c r="T301">
        <f>[6]m!B303</f>
        <v>-2454</v>
      </c>
      <c r="U301" s="2">
        <f>[9]Unemployment!$F183</f>
        <v>10.100000000000001</v>
      </c>
      <c r="V301" s="2">
        <f>[9]Unemployment!$G183</f>
        <v>5.7</v>
      </c>
      <c r="W301">
        <f>[9]Unemployment!$E183</f>
        <v>6636</v>
      </c>
      <c r="X301">
        <f>[9]Unemployment!N183</f>
        <v>3125</v>
      </c>
      <c r="Y301">
        <f>[9]Unemployment!O183</f>
        <v>2151</v>
      </c>
      <c r="Z301">
        <f>[9]Unemployment!P183-[9]Unemployment!Q183</f>
        <v>788</v>
      </c>
      <c r="AA301">
        <f>[9]Unemployment!$Q183</f>
        <v>538</v>
      </c>
      <c r="AB301" s="2">
        <f>[8]m!$B303</f>
        <v>7.15</v>
      </c>
      <c r="AC301" s="2">
        <f>[8]m!$F303</f>
        <v>7.43</v>
      </c>
      <c r="AD301">
        <f>[9]Employment!$B183</f>
        <v>77657</v>
      </c>
      <c r="AE301" s="2">
        <f>[2]Indicators!$AB183</f>
        <v>41.8506</v>
      </c>
      <c r="AF301" s="2">
        <f>[8]m!$AS303</f>
        <v>198.9</v>
      </c>
      <c r="AG301" s="2">
        <f>[8]m!$H303</f>
        <v>8.89</v>
      </c>
      <c r="AH301" s="2">
        <f>[8]m!$I303</f>
        <v>10.63</v>
      </c>
      <c r="AI301" s="2">
        <f>[7]m!C302</f>
        <v>10998</v>
      </c>
      <c r="AJ301" s="2">
        <f>[7]m!D302</f>
        <v>11131</v>
      </c>
      <c r="AK301" s="2">
        <f>[2]Surveys_m!$AB183</f>
        <v>30.900000000000002</v>
      </c>
      <c r="AL301" s="4">
        <f t="shared" si="4"/>
        <v>2669.1876208897493</v>
      </c>
      <c r="AN301" s="2">
        <v>54</v>
      </c>
      <c r="AQ301" s="3">
        <f>[9]LaborForce!$B182*[9]LaborForce!$C182/100</f>
        <v>92714.328000000009</v>
      </c>
      <c r="AR301">
        <f>[9]Unemployment!$AC183</f>
        <v>474</v>
      </c>
      <c r="AS301">
        <f>[2]Indicators!BC183</f>
        <v>41</v>
      </c>
      <c r="AT301">
        <f>[2]Indicators!BD183</f>
        <v>41.372</v>
      </c>
      <c r="AU301">
        <f>[2]Indicators!BE183</f>
        <v>90.303899999999999</v>
      </c>
    </row>
    <row r="302" spans="1:47" x14ac:dyDescent="0.25">
      <c r="A302" s="1">
        <v>27395</v>
      </c>
      <c r="B302" s="2">
        <f>[2]Indicators!G184</f>
        <v>978.41100000000006</v>
      </c>
      <c r="C302" s="2">
        <f>[2]Indicators!H184</f>
        <v>129.541</v>
      </c>
      <c r="D302" s="2">
        <f>[2]Indicators!I184</f>
        <v>334.44600000000003</v>
      </c>
      <c r="E302" s="2">
        <f>[2]Indicators!J184</f>
        <v>514.42399999999998</v>
      </c>
      <c r="M302" s="2">
        <f>[2]Indicators!AB184</f>
        <v>41.292900000000003</v>
      </c>
      <c r="N302" s="2">
        <f>[8]m!$C304</f>
        <v>7.13</v>
      </c>
      <c r="O302">
        <f>[9]Unemployment!$B184</f>
        <v>8.1</v>
      </c>
      <c r="P302" s="2">
        <f>[2]Surveys_m!$B184</f>
        <v>43.2</v>
      </c>
      <c r="Q302">
        <f>[5]m!$B304</f>
        <v>52.300000000000004</v>
      </c>
      <c r="R302">
        <f>[5]m!$D304</f>
        <v>52.300000000000004</v>
      </c>
      <c r="S302">
        <f>[5]m!$Q304</f>
        <v>57.400000000000006</v>
      </c>
      <c r="T302">
        <f>[6]m!B304</f>
        <v>-3987</v>
      </c>
      <c r="U302" s="2">
        <f>[9]Unemployment!$F184</f>
        <v>10.700000000000001</v>
      </c>
      <c r="V302" s="2">
        <f>[9]Unemployment!$G184</f>
        <v>6.3000000000000007</v>
      </c>
      <c r="W302">
        <f>[9]Unemployment!$E184</f>
        <v>7501</v>
      </c>
      <c r="X302">
        <f>[9]Unemployment!N184</f>
        <v>3293</v>
      </c>
      <c r="Y302">
        <f>[9]Unemployment!O184</f>
        <v>2646</v>
      </c>
      <c r="Z302">
        <f>[9]Unemployment!P184-[9]Unemployment!Q184</f>
        <v>930</v>
      </c>
      <c r="AA302">
        <f>[9]Unemployment!$Q184</f>
        <v>625</v>
      </c>
      <c r="AB302" s="2">
        <f>[8]m!$B304</f>
        <v>6.26</v>
      </c>
      <c r="AC302" s="2">
        <f>[8]m!$F304</f>
        <v>7.5</v>
      </c>
      <c r="AD302">
        <f>[9]Employment!$B184</f>
        <v>77297</v>
      </c>
      <c r="AE302" s="2">
        <f>[2]Indicators!$AB184</f>
        <v>41.292900000000003</v>
      </c>
      <c r="AF302" s="2">
        <f>[8]m!$AS304</f>
        <v>199.10000000000002</v>
      </c>
      <c r="AG302" s="2">
        <f>[8]m!$H304</f>
        <v>8.83</v>
      </c>
      <c r="AH302" s="2">
        <f>[8]m!$I304</f>
        <v>10.81</v>
      </c>
      <c r="AI302" s="2">
        <f>[7]m!C303</f>
        <v>10885</v>
      </c>
      <c r="AJ302" s="2">
        <f>[7]m!D303</f>
        <v>11539</v>
      </c>
      <c r="AK302" s="2">
        <f>[2]Surveys_m!$AB184</f>
        <v>30.700000000000003</v>
      </c>
      <c r="AL302" s="4">
        <f t="shared" si="4"/>
        <v>2520.8994197292077</v>
      </c>
      <c r="AN302" s="2">
        <v>51</v>
      </c>
      <c r="AQ302" s="3">
        <f>[9]LaborForce!$B183*[9]LaborForce!$C183/100</f>
        <v>93176.95600000002</v>
      </c>
      <c r="AR302">
        <f>[9]Unemployment!$AC184</f>
        <v>537</v>
      </c>
      <c r="AS302">
        <f>[2]Indicators!BC184</f>
        <v>40.700000000000003</v>
      </c>
      <c r="AT302">
        <f>[2]Indicators!BD184</f>
        <v>41.3461</v>
      </c>
      <c r="AU302">
        <f>[2]Indicators!BE184</f>
        <v>90.086500000000001</v>
      </c>
    </row>
    <row r="303" spans="1:47" x14ac:dyDescent="0.25">
      <c r="A303" s="1">
        <v>27426</v>
      </c>
      <c r="B303" s="2">
        <f>[2]Indicators!G185</f>
        <v>992.26900000000001</v>
      </c>
      <c r="C303" s="2">
        <f>[2]Indicators!H185</f>
        <v>134.797</v>
      </c>
      <c r="D303" s="2">
        <f>[2]Indicators!I185</f>
        <v>336.06400000000002</v>
      </c>
      <c r="E303" s="2">
        <f>[2]Indicators!J185</f>
        <v>521.40800000000002</v>
      </c>
      <c r="M303" s="2">
        <f>[2]Indicators!AB185</f>
        <v>40.336800000000004</v>
      </c>
      <c r="N303" s="2">
        <f>[8]m!$C305</f>
        <v>6.24</v>
      </c>
      <c r="O303">
        <f>[9]Unemployment!$B185</f>
        <v>8.1</v>
      </c>
      <c r="P303" s="2">
        <f>[2]Surveys_m!$B185</f>
        <v>54.5</v>
      </c>
      <c r="Q303">
        <f>[5]m!$B305</f>
        <v>52.6</v>
      </c>
      <c r="R303">
        <f>[5]m!$D305</f>
        <v>52.800000000000004</v>
      </c>
      <c r="S303">
        <f>[5]m!$Q305</f>
        <v>57.2</v>
      </c>
      <c r="T303">
        <f>[6]m!B305</f>
        <v>-5773</v>
      </c>
      <c r="U303" s="2">
        <f>[9]Unemployment!$F185</f>
        <v>11.700000000000001</v>
      </c>
      <c r="V303" s="2">
        <f>[9]Unemployment!$G185</f>
        <v>7.1000000000000005</v>
      </c>
      <c r="W303">
        <f>[9]Unemployment!$E185</f>
        <v>7520</v>
      </c>
      <c r="X303">
        <f>[9]Unemployment!N185</f>
        <v>2947</v>
      </c>
      <c r="Y303">
        <f>[9]Unemployment!O185</f>
        <v>2616</v>
      </c>
      <c r="Z303">
        <f>[9]Unemployment!P185-[9]Unemployment!Q185</f>
        <v>1124</v>
      </c>
      <c r="AA303">
        <f>[9]Unemployment!$Q185</f>
        <v>717</v>
      </c>
      <c r="AB303" s="2">
        <f>[8]m!$B305</f>
        <v>5.5</v>
      </c>
      <c r="AC303" s="2">
        <f>[8]m!$F305</f>
        <v>7.3900000000000006</v>
      </c>
      <c r="AD303">
        <f>[9]Employment!$B185</f>
        <v>76919</v>
      </c>
      <c r="AE303" s="2">
        <f>[2]Indicators!$AB185</f>
        <v>40.336800000000004</v>
      </c>
      <c r="AF303" s="2">
        <f>[8]m!$AS305</f>
        <v>199.5</v>
      </c>
      <c r="AG303" s="2">
        <f>[8]m!$H305</f>
        <v>8.620000000000001</v>
      </c>
      <c r="AH303" s="2">
        <f>[8]m!$I305</f>
        <v>10.65</v>
      </c>
      <c r="AI303" s="2">
        <f>[7]m!C304</f>
        <v>11649</v>
      </c>
      <c r="AJ303" s="2">
        <f>[7]m!D304</f>
        <v>12005</v>
      </c>
      <c r="AK303" s="2">
        <f>[2]Surveys_m!$AB185</f>
        <v>34.4</v>
      </c>
      <c r="AL303" s="4">
        <f t="shared" si="4"/>
        <v>2471.4700193423605</v>
      </c>
      <c r="AN303" s="2">
        <v>50</v>
      </c>
      <c r="AQ303" s="3">
        <f>[9]LaborForce!$B184*[9]LaborForce!$C184/100</f>
        <v>92713.29</v>
      </c>
      <c r="AR303">
        <f>[9]Unemployment!$AC185</f>
        <v>559</v>
      </c>
      <c r="AS303">
        <f>[2]Indicators!BC185</f>
        <v>40.800000000000004</v>
      </c>
      <c r="AT303">
        <f>[2]Indicators!BD185</f>
        <v>41.532400000000003</v>
      </c>
      <c r="AU303">
        <f>[2]Indicators!BE185</f>
        <v>90.328900000000004</v>
      </c>
    </row>
    <row r="304" spans="1:47" x14ac:dyDescent="0.25">
      <c r="A304" s="1">
        <v>27454</v>
      </c>
      <c r="B304" s="2">
        <f>[2]Indicators!G186</f>
        <v>993.55899999999997</v>
      </c>
      <c r="C304" s="2">
        <f>[2]Indicators!H186</f>
        <v>131.023</v>
      </c>
      <c r="D304" s="2">
        <f>[2]Indicators!I186</f>
        <v>338.108</v>
      </c>
      <c r="E304" s="2">
        <f>[2]Indicators!J186</f>
        <v>524.42899999999997</v>
      </c>
      <c r="M304" s="2">
        <f>[2]Indicators!AB186</f>
        <v>39.914900000000003</v>
      </c>
      <c r="N304" s="2">
        <f>[8]m!$C306</f>
        <v>5.54</v>
      </c>
      <c r="O304">
        <f>[9]Unemployment!$B186</f>
        <v>8.6</v>
      </c>
      <c r="P304" s="2">
        <f>[2]Surveys_m!$B186</f>
        <v>54.5</v>
      </c>
      <c r="Q304">
        <f>[5]m!$B306</f>
        <v>52.800000000000004</v>
      </c>
      <c r="R304">
        <f>[5]m!$D306</f>
        <v>53</v>
      </c>
      <c r="S304">
        <f>[5]m!$Q306</f>
        <v>56.900000000000006</v>
      </c>
      <c r="T304">
        <f>[6]m!B306</f>
        <v>-8271</v>
      </c>
      <c r="U304" s="2">
        <f>[9]Unemployment!$F186</f>
        <v>11.8</v>
      </c>
      <c r="V304" s="2">
        <f>[9]Unemployment!$G186</f>
        <v>7.2</v>
      </c>
      <c r="W304">
        <f>[9]Unemployment!$E186</f>
        <v>7978</v>
      </c>
      <c r="X304">
        <f>[9]Unemployment!N186</f>
        <v>3193</v>
      </c>
      <c r="Y304">
        <f>[9]Unemployment!O186</f>
        <v>2630</v>
      </c>
      <c r="Z304">
        <f>[9]Unemployment!P186-[9]Unemployment!Q186</f>
        <v>1305</v>
      </c>
      <c r="AA304">
        <f>[9]Unemployment!$Q186</f>
        <v>769</v>
      </c>
      <c r="AB304" s="2">
        <f>[8]m!$B306</f>
        <v>5.49</v>
      </c>
      <c r="AC304" s="2">
        <f>[8]m!$F306</f>
        <v>7.73</v>
      </c>
      <c r="AD304">
        <f>[9]Employment!$B186</f>
        <v>76649</v>
      </c>
      <c r="AE304" s="2">
        <f>[2]Indicators!$AB186</f>
        <v>39.914900000000003</v>
      </c>
      <c r="AF304" s="2">
        <f>[8]m!$AS306</f>
        <v>199.10000000000002</v>
      </c>
      <c r="AG304" s="2">
        <f>[8]m!$H306</f>
        <v>8.67</v>
      </c>
      <c r="AH304" s="2">
        <f>[8]m!$I306</f>
        <v>10.48</v>
      </c>
      <c r="AI304" s="2">
        <f>[7]m!C305</f>
        <v>10963</v>
      </c>
      <c r="AJ304" s="2">
        <f>[7]m!D305</f>
        <v>9993</v>
      </c>
      <c r="AK304" s="2">
        <f>[2]Surveys_m!$AB186</f>
        <v>31.6</v>
      </c>
      <c r="AL304" s="4">
        <f t="shared" si="4"/>
        <v>2422.0406189555133</v>
      </c>
      <c r="AN304" s="2">
        <v>49</v>
      </c>
      <c r="AQ304" s="3">
        <f>[9]LaborForce!$B185*[9]LaborForce!$C185/100</f>
        <v>93156.19200000001</v>
      </c>
      <c r="AR304">
        <f>[9]Unemployment!$AC186</f>
        <v>546</v>
      </c>
      <c r="AS304">
        <f>[2]Indicators!BC186</f>
        <v>41.1</v>
      </c>
      <c r="AT304">
        <f>[2]Indicators!BD186</f>
        <v>41.907900000000005</v>
      </c>
      <c r="AU304">
        <f>[2]Indicators!BE186</f>
        <v>90.978400000000008</v>
      </c>
    </row>
    <row r="305" spans="1:47" x14ac:dyDescent="0.25">
      <c r="A305" s="1">
        <v>27485</v>
      </c>
      <c r="B305" s="2">
        <f>[2]Indicators!G187</f>
        <v>998.18000000000006</v>
      </c>
      <c r="C305" s="2">
        <f>[2]Indicators!H187</f>
        <v>131.98099999999999</v>
      </c>
      <c r="D305" s="2">
        <f>[2]Indicators!I187</f>
        <v>336.21899999999999</v>
      </c>
      <c r="E305" s="2">
        <f>[2]Indicators!J187</f>
        <v>529.98</v>
      </c>
      <c r="M305" s="2">
        <f>[2]Indicators!AB187</f>
        <v>39.932300000000005</v>
      </c>
      <c r="N305" s="2">
        <f>[8]m!$C307</f>
        <v>5.49</v>
      </c>
      <c r="O305">
        <f>[9]Unemployment!$B187</f>
        <v>8.8000000000000007</v>
      </c>
      <c r="P305" s="2">
        <f>[2]Surveys_m!$B187</f>
        <v>66.400000000000006</v>
      </c>
      <c r="Q305">
        <f>[5]m!$B307</f>
        <v>53</v>
      </c>
      <c r="R305">
        <f>[5]m!$D307</f>
        <v>53.300000000000004</v>
      </c>
      <c r="S305">
        <f>[5]m!$Q307</f>
        <v>57.5</v>
      </c>
      <c r="T305">
        <f>[6]m!B307</f>
        <v>2262</v>
      </c>
      <c r="U305" s="2">
        <f>[9]Unemployment!$F187</f>
        <v>12.9</v>
      </c>
      <c r="V305" s="2">
        <f>[9]Unemployment!$G187</f>
        <v>8.7000000000000011</v>
      </c>
      <c r="W305">
        <f>[9]Unemployment!$E187</f>
        <v>8210</v>
      </c>
      <c r="X305">
        <f>[9]Unemployment!N187</f>
        <v>2915</v>
      </c>
      <c r="Y305">
        <f>[9]Unemployment!O187</f>
        <v>2719</v>
      </c>
      <c r="Z305">
        <f>[9]Unemployment!P187-[9]Unemployment!Q187</f>
        <v>1478</v>
      </c>
      <c r="AA305">
        <f>[9]Unemployment!$Q187</f>
        <v>964</v>
      </c>
      <c r="AB305" s="2">
        <f>[8]m!$B307</f>
        <v>5.61</v>
      </c>
      <c r="AC305" s="2">
        <f>[8]m!$F307</f>
        <v>8.23</v>
      </c>
      <c r="AD305">
        <f>[9]Employment!$B187</f>
        <v>76463</v>
      </c>
      <c r="AE305" s="2">
        <f>[2]Indicators!$AB187</f>
        <v>39.932300000000005</v>
      </c>
      <c r="AF305" s="2">
        <f>[8]m!$AS307</f>
        <v>198.70000000000002</v>
      </c>
      <c r="AG305" s="2">
        <f>[8]m!$H307</f>
        <v>8.9500000000000011</v>
      </c>
      <c r="AH305" s="2">
        <f>[8]m!$I307</f>
        <v>10.58</v>
      </c>
      <c r="AI305" s="2">
        <f>[7]m!C306</f>
        <v>10871</v>
      </c>
      <c r="AJ305" s="2">
        <f>[7]m!D306</f>
        <v>9580</v>
      </c>
      <c r="AK305" s="2">
        <f>[2]Surveys_m!$AB187</f>
        <v>37.5</v>
      </c>
      <c r="AL305" s="4">
        <f t="shared" si="4"/>
        <v>2422.0406189555133</v>
      </c>
      <c r="AN305" s="2">
        <v>49</v>
      </c>
      <c r="AQ305" s="3">
        <f>[9]LaborForce!$B186*[9]LaborForce!$C186/100</f>
        <v>93447.559000000008</v>
      </c>
      <c r="AR305">
        <f>[9]Unemployment!$AC187</f>
        <v>555</v>
      </c>
      <c r="AS305">
        <f>[2]Indicators!BC187</f>
        <v>42</v>
      </c>
      <c r="AT305">
        <f>[2]Indicators!BD187</f>
        <v>42.4345</v>
      </c>
      <c r="AU305">
        <f>[2]Indicators!BE187</f>
        <v>91.949700000000007</v>
      </c>
    </row>
    <row r="306" spans="1:47" x14ac:dyDescent="0.25">
      <c r="A306" s="1">
        <v>27515</v>
      </c>
      <c r="B306" s="2">
        <f>[2]Indicators!G188</f>
        <v>1022.211</v>
      </c>
      <c r="C306" s="2">
        <f>[2]Indicators!H188</f>
        <v>138.125</v>
      </c>
      <c r="D306" s="2">
        <f>[2]Indicators!I188</f>
        <v>348.78199999999998</v>
      </c>
      <c r="E306" s="2">
        <f>[2]Indicators!J188</f>
        <v>535.30500000000006</v>
      </c>
      <c r="M306" s="2">
        <f>[2]Indicators!AB188</f>
        <v>39.845600000000005</v>
      </c>
      <c r="N306" s="2">
        <f>[8]m!$C308</f>
        <v>5.22</v>
      </c>
      <c r="O306">
        <f>[9]Unemployment!$B188</f>
        <v>9</v>
      </c>
      <c r="P306" s="2">
        <f>[2]Surveys_m!$B188</f>
        <v>66.400000000000006</v>
      </c>
      <c r="Q306">
        <f>[5]m!$B308</f>
        <v>53.1</v>
      </c>
      <c r="R306">
        <f>[5]m!$D308</f>
        <v>53.5</v>
      </c>
      <c r="S306">
        <f>[5]m!$Q308</f>
        <v>57.900000000000006</v>
      </c>
      <c r="T306">
        <f>[6]m!B308</f>
        <v>-15816</v>
      </c>
      <c r="U306" s="2">
        <f>[9]Unemployment!$F188</f>
        <v>13.4</v>
      </c>
      <c r="V306" s="2">
        <f>[9]Unemployment!$G188</f>
        <v>9.4</v>
      </c>
      <c r="W306">
        <f>[9]Unemployment!$E188</f>
        <v>8433</v>
      </c>
      <c r="X306">
        <f>[9]Unemployment!N188</f>
        <v>3051</v>
      </c>
      <c r="Y306">
        <f>[9]Unemployment!O188</f>
        <v>2692</v>
      </c>
      <c r="Z306">
        <f>[9]Unemployment!P188-[9]Unemployment!Q188</f>
        <v>1554</v>
      </c>
      <c r="AA306">
        <f>[9]Unemployment!$Q188</f>
        <v>1089</v>
      </c>
      <c r="AB306" s="2">
        <f>[8]m!$B308</f>
        <v>5.23</v>
      </c>
      <c r="AC306" s="2">
        <f>[8]m!$F308</f>
        <v>8.06</v>
      </c>
      <c r="AD306">
        <f>[9]Employment!$B188</f>
        <v>76623</v>
      </c>
      <c r="AE306" s="2">
        <f>[2]Indicators!$AB188</f>
        <v>39.845600000000005</v>
      </c>
      <c r="AF306" s="2">
        <f>[8]m!$AS308</f>
        <v>198.70000000000002</v>
      </c>
      <c r="AG306" s="2">
        <f>[8]m!$H308</f>
        <v>8.9</v>
      </c>
      <c r="AH306" s="2">
        <f>[8]m!$I308</f>
        <v>10.69</v>
      </c>
      <c r="AI306" s="2">
        <f>[7]m!C307</f>
        <v>10987</v>
      </c>
      <c r="AJ306" s="2">
        <f>[7]m!D307</f>
        <v>9988</v>
      </c>
      <c r="AK306" s="2">
        <f>[2]Surveys_m!$AB188</f>
        <v>41.2</v>
      </c>
      <c r="AL306" s="4">
        <f t="shared" si="4"/>
        <v>2422.0406189555133</v>
      </c>
      <c r="AN306" s="2">
        <v>49</v>
      </c>
      <c r="AQ306" s="3">
        <f>[9]LaborForce!$B187*[9]LaborForce!$C187/100</f>
        <v>93912.960000000006</v>
      </c>
      <c r="AR306">
        <f>[9]Unemployment!$AC188</f>
        <v>513</v>
      </c>
      <c r="AS306">
        <f>[2]Indicators!BC188</f>
        <v>42.6</v>
      </c>
      <c r="AT306">
        <f>[2]Indicators!BD188</f>
        <v>43.044200000000004</v>
      </c>
      <c r="AU306">
        <f>[2]Indicators!BE188</f>
        <v>93.093400000000003</v>
      </c>
    </row>
    <row r="307" spans="1:47" x14ac:dyDescent="0.25">
      <c r="A307" s="1">
        <v>27546</v>
      </c>
      <c r="B307" s="2">
        <f>[2]Indicators!G189</f>
        <v>1030.1479999999999</v>
      </c>
      <c r="C307" s="2">
        <f>[2]Indicators!H189</f>
        <v>139.97200000000001</v>
      </c>
      <c r="D307" s="2">
        <f>[2]Indicators!I189</f>
        <v>349.54599999999999</v>
      </c>
      <c r="E307" s="2">
        <f>[2]Indicators!J189</f>
        <v>540.63</v>
      </c>
      <c r="M307" s="2">
        <f>[2]Indicators!AB189</f>
        <v>40.123100000000001</v>
      </c>
      <c r="N307" s="2">
        <f>[8]m!$C309</f>
        <v>5.55</v>
      </c>
      <c r="O307">
        <f>[9]Unemployment!$B189</f>
        <v>8.8000000000000007</v>
      </c>
      <c r="P307" s="2">
        <f>[2]Surveys_m!$B189</f>
        <v>72.2</v>
      </c>
      <c r="Q307">
        <f>[5]m!$B309</f>
        <v>53.5</v>
      </c>
      <c r="R307">
        <f>[5]m!$D309</f>
        <v>53.800000000000004</v>
      </c>
      <c r="S307">
        <f>[5]m!$Q309</f>
        <v>58</v>
      </c>
      <c r="T307">
        <f>[6]m!B309</f>
        <v>1521</v>
      </c>
      <c r="U307" s="2">
        <f>[9]Unemployment!$F189</f>
        <v>15.3</v>
      </c>
      <c r="V307" s="2">
        <f>[9]Unemployment!$G189</f>
        <v>8.8000000000000007</v>
      </c>
      <c r="W307">
        <f>[9]Unemployment!$E189</f>
        <v>8220</v>
      </c>
      <c r="X307">
        <f>[9]Unemployment!N189</f>
        <v>2872</v>
      </c>
      <c r="Y307">
        <f>[9]Unemployment!O189</f>
        <v>2526</v>
      </c>
      <c r="Z307">
        <f>[9]Unemployment!P189-[9]Unemployment!Q189</f>
        <v>1538</v>
      </c>
      <c r="AA307">
        <f>[9]Unemployment!$Q189</f>
        <v>1305</v>
      </c>
      <c r="AB307" s="2">
        <f>[8]m!$B309</f>
        <v>5.34</v>
      </c>
      <c r="AC307" s="2">
        <f>[8]m!$F309</f>
        <v>7.86</v>
      </c>
      <c r="AD307">
        <f>[9]Employment!$B189</f>
        <v>76519</v>
      </c>
      <c r="AE307" s="2">
        <f>[2]Indicators!$AB189</f>
        <v>40.123100000000001</v>
      </c>
      <c r="AF307" s="2">
        <f>[8]m!$AS309</f>
        <v>196</v>
      </c>
      <c r="AG307" s="2">
        <f>[8]m!$H309</f>
        <v>8.77</v>
      </c>
      <c r="AH307" s="2">
        <f>[8]m!$I309</f>
        <v>10.620000000000001</v>
      </c>
      <c r="AI307" s="2">
        <f>[7]m!C308</f>
        <v>10519</v>
      </c>
      <c r="AJ307" s="2">
        <f>[7]m!D308</f>
        <v>9240</v>
      </c>
      <c r="AK307" s="2">
        <f>[2]Surveys_m!$AB189</f>
        <v>45.1</v>
      </c>
      <c r="AL307" s="4">
        <f t="shared" si="4"/>
        <v>2570.3288201160549</v>
      </c>
      <c r="AN307" s="2">
        <v>52</v>
      </c>
      <c r="AQ307" s="3">
        <f>[9]LaborForce!$B188*[9]LaborForce!$C188/100</f>
        <v>93620.7</v>
      </c>
      <c r="AR307">
        <f>[9]Unemployment!$AC189</f>
        <v>475</v>
      </c>
      <c r="AS307">
        <f>[2]Indicators!BC189</f>
        <v>43.1</v>
      </c>
      <c r="AT307">
        <f>[2]Indicators!BD189</f>
        <v>43.6828</v>
      </c>
      <c r="AU307">
        <f>[2]Indicators!BE189</f>
        <v>94.2911</v>
      </c>
    </row>
    <row r="308" spans="1:47" x14ac:dyDescent="0.25">
      <c r="A308" s="1">
        <v>27576</v>
      </c>
      <c r="B308" s="2">
        <f>[2]Indicators!G190</f>
        <v>1043.2180000000001</v>
      </c>
      <c r="C308" s="2">
        <f>[2]Indicators!H190</f>
        <v>144.99799999999999</v>
      </c>
      <c r="D308" s="2">
        <f>[2]Indicators!I190</f>
        <v>353.63400000000001</v>
      </c>
      <c r="E308" s="2">
        <f>[2]Indicators!J190</f>
        <v>544.58600000000001</v>
      </c>
      <c r="M308" s="2">
        <f>[2]Indicators!AB190</f>
        <v>40.550400000000003</v>
      </c>
      <c r="N308" s="2">
        <f>[8]m!$C310</f>
        <v>6.1000000000000005</v>
      </c>
      <c r="O308">
        <f>[9]Unemployment!$B190</f>
        <v>8.6</v>
      </c>
      <c r="P308" s="2">
        <f>[2]Surveys_m!$B190</f>
        <v>72.2</v>
      </c>
      <c r="Q308">
        <f>[5]m!$B310</f>
        <v>54</v>
      </c>
      <c r="R308">
        <f>[5]m!$D310</f>
        <v>54</v>
      </c>
      <c r="S308">
        <f>[5]m!$Q310</f>
        <v>58.7</v>
      </c>
      <c r="T308">
        <f>[6]m!B310</f>
        <v>-11052</v>
      </c>
      <c r="U308" s="2">
        <f>[9]Unemployment!$F190</f>
        <v>15</v>
      </c>
      <c r="V308" s="2">
        <f>[9]Unemployment!$G190</f>
        <v>8.6</v>
      </c>
      <c r="W308">
        <f>[9]Unemployment!$E190</f>
        <v>8127</v>
      </c>
      <c r="X308">
        <f>[9]Unemployment!N190</f>
        <v>2882</v>
      </c>
      <c r="Y308">
        <f>[9]Unemployment!O190</f>
        <v>2268</v>
      </c>
      <c r="Z308">
        <f>[9]Unemployment!P190-[9]Unemployment!Q190</f>
        <v>1542</v>
      </c>
      <c r="AA308">
        <f>[9]Unemployment!$Q190</f>
        <v>1401</v>
      </c>
      <c r="AB308" s="2">
        <f>[8]m!$B310</f>
        <v>6.13</v>
      </c>
      <c r="AC308" s="2">
        <f>[8]m!$F310</f>
        <v>8.06</v>
      </c>
      <c r="AD308">
        <f>[9]Employment!$B190</f>
        <v>76768</v>
      </c>
      <c r="AE308" s="2">
        <f>[2]Indicators!$AB190</f>
        <v>40.550400000000003</v>
      </c>
      <c r="AF308" s="2">
        <f>[8]m!$AS310</f>
        <v>197.60000000000002</v>
      </c>
      <c r="AG308" s="2">
        <f>[8]m!$H310</f>
        <v>8.84</v>
      </c>
      <c r="AH308" s="2">
        <f>[8]m!$I310</f>
        <v>10.55</v>
      </c>
      <c r="AI308" s="2">
        <f>[7]m!C309</f>
        <v>11027</v>
      </c>
      <c r="AJ308" s="2">
        <f>[7]m!D309</f>
        <v>9081</v>
      </c>
      <c r="AK308" s="2">
        <f>[2]Surveys_m!$AB190</f>
        <v>47.2</v>
      </c>
      <c r="AL308" s="4">
        <f t="shared" si="4"/>
        <v>2619.7582205029021</v>
      </c>
      <c r="AN308" s="2">
        <v>53</v>
      </c>
      <c r="AQ308" s="3">
        <f>[9]LaborForce!$B189*[9]LaborForce!$C189/100</f>
        <v>93978.417000000016</v>
      </c>
      <c r="AR308">
        <f>[9]Unemployment!$AC190</f>
        <v>459</v>
      </c>
      <c r="AS308">
        <f>[2]Indicators!BC190</f>
        <v>43.800000000000004</v>
      </c>
      <c r="AT308">
        <f>[2]Indicators!BD190</f>
        <v>44.316400000000002</v>
      </c>
      <c r="AU308">
        <f>[2]Indicators!BE190</f>
        <v>95.468600000000009</v>
      </c>
    </row>
    <row r="309" spans="1:47" x14ac:dyDescent="0.25">
      <c r="A309" s="1">
        <v>27607</v>
      </c>
      <c r="B309" s="2">
        <f>[2]Indicators!G191</f>
        <v>1050.4110000000001</v>
      </c>
      <c r="C309" s="2">
        <f>[2]Indicators!H191</f>
        <v>145.423</v>
      </c>
      <c r="D309" s="2">
        <f>[2]Indicators!I191</f>
        <v>357.43600000000004</v>
      </c>
      <c r="E309" s="2">
        <f>[2]Indicators!J191</f>
        <v>547.55200000000002</v>
      </c>
      <c r="M309" s="2">
        <f>[2]Indicators!AB191</f>
        <v>40.910499999999999</v>
      </c>
      <c r="N309" s="2">
        <f>[8]m!$C311</f>
        <v>6.1400000000000006</v>
      </c>
      <c r="O309">
        <f>[9]Unemployment!$B191</f>
        <v>8.4</v>
      </c>
      <c r="P309" s="2">
        <f>[2]Surveys_m!$B191</f>
        <v>82.4</v>
      </c>
      <c r="Q309">
        <f>[5]m!$B311</f>
        <v>54.2</v>
      </c>
      <c r="R309">
        <f>[5]m!$D311</f>
        <v>54.2</v>
      </c>
      <c r="S309">
        <f>[5]m!$Q311</f>
        <v>59</v>
      </c>
      <c r="T309">
        <f>[6]m!B311</f>
        <v>-7050</v>
      </c>
      <c r="U309" s="2">
        <f>[9]Unemployment!$F191</f>
        <v>15.600000000000001</v>
      </c>
      <c r="V309" s="2">
        <f>[9]Unemployment!$G191</f>
        <v>9.2000000000000011</v>
      </c>
      <c r="W309">
        <f>[9]Unemployment!$E191</f>
        <v>7928</v>
      </c>
      <c r="X309">
        <f>[9]Unemployment!N191</f>
        <v>2808</v>
      </c>
      <c r="Y309">
        <f>[9]Unemployment!O191</f>
        <v>2371</v>
      </c>
      <c r="Z309">
        <f>[9]Unemployment!P191-[9]Unemployment!Q191</f>
        <v>1390</v>
      </c>
      <c r="AA309">
        <f>[9]Unemployment!$Q191</f>
        <v>1472</v>
      </c>
      <c r="AB309" s="2">
        <f>[8]m!$B311</f>
        <v>6.44</v>
      </c>
      <c r="AC309" s="2">
        <f>[8]m!$F311</f>
        <v>8.4</v>
      </c>
      <c r="AD309">
        <f>[9]Employment!$B191</f>
        <v>77154</v>
      </c>
      <c r="AE309" s="2">
        <f>[2]Indicators!$AB191</f>
        <v>40.910499999999999</v>
      </c>
      <c r="AF309" s="2">
        <f>[8]m!$AS311</f>
        <v>198.20000000000002</v>
      </c>
      <c r="AG309" s="2">
        <f>[8]m!$H311</f>
        <v>8.9500000000000011</v>
      </c>
      <c r="AH309" s="2">
        <f>[8]m!$I311</f>
        <v>10.59</v>
      </c>
      <c r="AI309" s="2">
        <f>[7]m!C310</f>
        <v>10852</v>
      </c>
      <c r="AJ309" s="2">
        <f>[7]m!D310</f>
        <v>9903</v>
      </c>
      <c r="AK309" s="2">
        <f>[2]Surveys_m!$AB191</f>
        <v>51.400000000000006</v>
      </c>
      <c r="AL309" s="4">
        <f t="shared" si="4"/>
        <v>2570.3288201160544</v>
      </c>
      <c r="AN309" s="2">
        <v>52</v>
      </c>
      <c r="AQ309" s="3">
        <f>[9]LaborForce!$B190*[9]LaborForce!$C190/100</f>
        <v>94143.927000000011</v>
      </c>
      <c r="AR309">
        <f>[9]Unemployment!$AC191</f>
        <v>454</v>
      </c>
      <c r="AS309">
        <f>[2]Indicators!BC191</f>
        <v>44</v>
      </c>
      <c r="AT309">
        <f>[2]Indicators!BD191</f>
        <v>44.909300000000002</v>
      </c>
      <c r="AU309">
        <f>[2]Indicators!BE191</f>
        <v>96.548900000000003</v>
      </c>
    </row>
    <row r="310" spans="1:47" x14ac:dyDescent="0.25">
      <c r="A310" s="1">
        <v>27638</v>
      </c>
      <c r="B310" s="2">
        <f>[2]Indicators!G192</f>
        <v>1058.2560000000001</v>
      </c>
      <c r="C310" s="2">
        <f>[2]Indicators!H192</f>
        <v>149.94200000000001</v>
      </c>
      <c r="D310" s="2">
        <f>[2]Indicators!I192</f>
        <v>356.82299999999998</v>
      </c>
      <c r="E310" s="2">
        <f>[2]Indicators!J192</f>
        <v>551.49099999999999</v>
      </c>
      <c r="M310" s="2">
        <f>[2]Indicators!AB192</f>
        <v>41.427900000000001</v>
      </c>
      <c r="N310" s="2">
        <f>[8]m!$C312</f>
        <v>6.24</v>
      </c>
      <c r="O310">
        <f>[9]Unemployment!$B192</f>
        <v>8.4</v>
      </c>
      <c r="P310" s="2">
        <f>[2]Surveys_m!$B192</f>
        <v>82.4</v>
      </c>
      <c r="Q310">
        <f>[5]m!$B312</f>
        <v>54.6</v>
      </c>
      <c r="R310">
        <f>[5]m!$D312</f>
        <v>54.5</v>
      </c>
      <c r="S310">
        <f>[5]m!$Q312</f>
        <v>59.400000000000006</v>
      </c>
      <c r="T310">
        <f>[6]m!B312</f>
        <v>-429</v>
      </c>
      <c r="U310" s="2">
        <f>[9]Unemployment!$F192</f>
        <v>16.100000000000001</v>
      </c>
      <c r="V310" s="2">
        <f>[9]Unemployment!$G192</f>
        <v>9.2000000000000011</v>
      </c>
      <c r="W310">
        <f>[9]Unemployment!$E192</f>
        <v>7923</v>
      </c>
      <c r="X310">
        <f>[9]Unemployment!N192</f>
        <v>2878</v>
      </c>
      <c r="Y310">
        <f>[9]Unemployment!O192</f>
        <v>2357</v>
      </c>
      <c r="Z310">
        <f>[9]Unemployment!P192-[9]Unemployment!Q192</f>
        <v>1308</v>
      </c>
      <c r="AA310">
        <f>[9]Unemployment!$Q192</f>
        <v>1598</v>
      </c>
      <c r="AB310" s="2">
        <f>[8]m!$B312</f>
        <v>6.42</v>
      </c>
      <c r="AC310" s="2">
        <f>[8]m!$F312</f>
        <v>8.43</v>
      </c>
      <c r="AD310">
        <f>[9]Employment!$B192</f>
        <v>77232</v>
      </c>
      <c r="AE310" s="2">
        <f>[2]Indicators!$AB192</f>
        <v>41.427900000000001</v>
      </c>
      <c r="AF310" s="2">
        <f>[8]m!$AS312</f>
        <v>199.4</v>
      </c>
      <c r="AG310" s="2">
        <f>[8]m!$H312</f>
        <v>8.9500000000000011</v>
      </c>
      <c r="AH310" s="2">
        <f>[8]m!$I312</f>
        <v>10.61</v>
      </c>
      <c r="AI310" s="2">
        <f>[7]m!C311</f>
        <v>11005</v>
      </c>
      <c r="AJ310" s="2">
        <f>[7]m!D311</f>
        <v>9959</v>
      </c>
      <c r="AK310" s="2">
        <f>[2]Surveys_m!$AB192</f>
        <v>54.400000000000006</v>
      </c>
      <c r="AL310" s="4">
        <f t="shared" si="4"/>
        <v>2669.1876208897488</v>
      </c>
      <c r="AN310" s="2">
        <v>54</v>
      </c>
      <c r="AQ310" s="3">
        <f>[9]LaborForce!$B191*[9]LaborForce!$C191/100</f>
        <v>94154.975999999995</v>
      </c>
      <c r="AR310">
        <f>[9]Unemployment!$AC192</f>
        <v>446</v>
      </c>
      <c r="AS310">
        <f>[2]Indicators!BC192</f>
        <v>44.300000000000004</v>
      </c>
      <c r="AT310">
        <f>[2]Indicators!BD192</f>
        <v>45.455800000000004</v>
      </c>
      <c r="AU310">
        <f>[2]Indicators!BE192</f>
        <v>97.520099999999999</v>
      </c>
    </row>
    <row r="311" spans="1:47" x14ac:dyDescent="0.25">
      <c r="A311" s="1">
        <v>27668</v>
      </c>
      <c r="B311" s="2">
        <f>[2]Indicators!G193</f>
        <v>1064.222</v>
      </c>
      <c r="C311" s="2">
        <f>[2]Indicators!H193</f>
        <v>147.982</v>
      </c>
      <c r="D311" s="2">
        <f>[2]Indicators!I193</f>
        <v>355.74799999999999</v>
      </c>
      <c r="E311" s="2">
        <f>[2]Indicators!J193</f>
        <v>560.49199999999996</v>
      </c>
      <c r="M311" s="2">
        <f>[2]Indicators!AB193</f>
        <v>41.589300000000001</v>
      </c>
      <c r="N311" s="2">
        <f>[8]m!$C313</f>
        <v>5.82</v>
      </c>
      <c r="O311">
        <f>[9]Unemployment!$B193</f>
        <v>8.4</v>
      </c>
      <c r="P311" s="2">
        <f>[2]Surveys_m!$B193</f>
        <v>77.600000000000009</v>
      </c>
      <c r="Q311">
        <f>[5]m!$B313</f>
        <v>54.9</v>
      </c>
      <c r="R311">
        <f>[5]m!$D313</f>
        <v>54.800000000000004</v>
      </c>
      <c r="S311">
        <f>[5]m!$Q313</f>
        <v>59.800000000000004</v>
      </c>
      <c r="T311">
        <f>[6]m!B313</f>
        <v>-13177</v>
      </c>
      <c r="U311" s="2">
        <f>[9]Unemployment!$F193</f>
        <v>15.4</v>
      </c>
      <c r="V311" s="2">
        <f>[9]Unemployment!$G193</f>
        <v>8.6</v>
      </c>
      <c r="W311">
        <f>[9]Unemployment!$E193</f>
        <v>7897</v>
      </c>
      <c r="X311">
        <f>[9]Unemployment!N193</f>
        <v>2962</v>
      </c>
      <c r="Y311">
        <f>[9]Unemployment!O193</f>
        <v>2392</v>
      </c>
      <c r="Z311">
        <f>[9]Unemployment!P193-[9]Unemployment!Q193</f>
        <v>1241</v>
      </c>
      <c r="AA311">
        <f>[9]Unemployment!$Q193</f>
        <v>1448</v>
      </c>
      <c r="AB311" s="2">
        <f>[8]m!$B313</f>
        <v>5.96</v>
      </c>
      <c r="AC311" s="2">
        <f>[8]m!$F313</f>
        <v>8.14</v>
      </c>
      <c r="AD311">
        <f>[9]Employment!$B193</f>
        <v>77535</v>
      </c>
      <c r="AE311" s="2">
        <f>[2]Indicators!$AB193</f>
        <v>41.589300000000001</v>
      </c>
      <c r="AF311" s="2">
        <f>[8]m!$AS313</f>
        <v>200.4</v>
      </c>
      <c r="AG311" s="2">
        <f>[8]m!$H313</f>
        <v>8.86</v>
      </c>
      <c r="AH311" s="2">
        <f>[8]m!$I313</f>
        <v>10.620000000000001</v>
      </c>
      <c r="AI311" s="2">
        <f>[7]m!C312</f>
        <v>11080</v>
      </c>
      <c r="AJ311" s="2">
        <f>[7]m!D312</f>
        <v>10181</v>
      </c>
      <c r="AK311" s="2">
        <f>[2]Surveys_m!$AB193</f>
        <v>55.5</v>
      </c>
      <c r="AL311" s="4">
        <f t="shared" si="4"/>
        <v>2669.1876208897488</v>
      </c>
      <c r="AN311" s="2">
        <v>54</v>
      </c>
      <c r="AQ311" s="3">
        <f>[9]LaborForce!$B192*[9]LaborForce!$C192/100</f>
        <v>94298.796000000002</v>
      </c>
      <c r="AR311">
        <f>[9]Unemployment!$AC193</f>
        <v>445</v>
      </c>
      <c r="AS311">
        <f>[2]Indicators!BC193</f>
        <v>44.7</v>
      </c>
      <c r="AT311">
        <f>[2]Indicators!BD193</f>
        <v>45.971900000000005</v>
      </c>
      <c r="AU311">
        <f>[2]Indicators!BE193</f>
        <v>98.416499999999999</v>
      </c>
    </row>
    <row r="312" spans="1:47" x14ac:dyDescent="0.25">
      <c r="A312" s="1">
        <v>27699</v>
      </c>
      <c r="B312" s="2">
        <f>[2]Indicators!G194</f>
        <v>1079.1100000000001</v>
      </c>
      <c r="C312" s="2">
        <f>[2]Indicators!H194</f>
        <v>153.24700000000001</v>
      </c>
      <c r="D312" s="2">
        <f>[2]Indicators!I194</f>
        <v>360.375</v>
      </c>
      <c r="E312" s="2">
        <f>[2]Indicators!J194</f>
        <v>565.48800000000006</v>
      </c>
      <c r="M312" s="2">
        <f>[2]Indicators!AB194</f>
        <v>41.698300000000003</v>
      </c>
      <c r="N312" s="2">
        <f>[8]m!$C314</f>
        <v>5.22</v>
      </c>
      <c r="O312">
        <f>[9]Unemployment!$B194</f>
        <v>8.3000000000000007</v>
      </c>
      <c r="P312" s="2">
        <f>[2]Surveys_m!$B194</f>
        <v>77.600000000000009</v>
      </c>
      <c r="Q312">
        <f>[5]m!$B314</f>
        <v>55.300000000000004</v>
      </c>
      <c r="R312">
        <f>[5]m!$D314</f>
        <v>55.2</v>
      </c>
      <c r="S312">
        <f>[5]m!$Q314</f>
        <v>59.5</v>
      </c>
      <c r="T312">
        <f>[6]m!B314</f>
        <v>-7730</v>
      </c>
      <c r="U312" s="2">
        <f>[9]Unemployment!$F194</f>
        <v>16.600000000000001</v>
      </c>
      <c r="V312" s="2">
        <f>[9]Unemployment!$G194</f>
        <v>9.5</v>
      </c>
      <c r="W312">
        <f>[9]Unemployment!$E194</f>
        <v>7794</v>
      </c>
      <c r="X312">
        <f>[9]Unemployment!N194</f>
        <v>2718</v>
      </c>
      <c r="Y312">
        <f>[9]Unemployment!O194</f>
        <v>2345</v>
      </c>
      <c r="Z312">
        <f>[9]Unemployment!P194-[9]Unemployment!Q194</f>
        <v>1144</v>
      </c>
      <c r="AA312">
        <f>[9]Unemployment!$Q194</f>
        <v>1645</v>
      </c>
      <c r="AB312" s="2">
        <f>[8]m!$B314</f>
        <v>5.48</v>
      </c>
      <c r="AC312" s="2">
        <f>[8]m!$F314</f>
        <v>8.0500000000000007</v>
      </c>
      <c r="AD312">
        <f>[9]Employment!$B194</f>
        <v>77679</v>
      </c>
      <c r="AE312" s="2">
        <f>[2]Indicators!$AB194</f>
        <v>41.698300000000003</v>
      </c>
      <c r="AF312" s="2">
        <f>[8]m!$AS314</f>
        <v>201.5</v>
      </c>
      <c r="AG312" s="2">
        <f>[8]m!$H314</f>
        <v>8.7799999999999994</v>
      </c>
      <c r="AH312" s="2">
        <f>[8]m!$I314</f>
        <v>10.56</v>
      </c>
      <c r="AI312" s="2">
        <f>[7]m!C313</f>
        <v>11363</v>
      </c>
      <c r="AJ312" s="2">
        <f>[7]m!D313</f>
        <v>10443</v>
      </c>
      <c r="AK312" s="2">
        <f>[2]Surveys_m!$AB194</f>
        <v>54.5</v>
      </c>
      <c r="AL312" s="4">
        <f t="shared" si="4"/>
        <v>2768.0464216634432</v>
      </c>
      <c r="AN312" s="2">
        <v>56</v>
      </c>
      <c r="AQ312" s="3">
        <f>[9]LaborForce!$B193*[9]LaborForce!$C193/100</f>
        <v>94300.518000000011</v>
      </c>
      <c r="AR312">
        <f>[9]Unemployment!$AC194</f>
        <v>414</v>
      </c>
      <c r="AS312">
        <f>[2]Indicators!BC194</f>
        <v>45</v>
      </c>
      <c r="AT312">
        <f>[2]Indicators!BD194</f>
        <v>46.471700000000006</v>
      </c>
      <c r="AU312">
        <f>[2]Indicators!BE194</f>
        <v>99.26870000000001</v>
      </c>
    </row>
    <row r="313" spans="1:47" x14ac:dyDescent="0.25">
      <c r="A313" s="1">
        <v>27729</v>
      </c>
      <c r="B313" s="2">
        <f>[2]Indicators!G195</f>
        <v>1095.431</v>
      </c>
      <c r="C313" s="2">
        <f>[2]Indicators!H195</f>
        <v>158.946</v>
      </c>
      <c r="D313" s="2">
        <f>[2]Indicators!I195</f>
        <v>362.85500000000002</v>
      </c>
      <c r="E313" s="2">
        <f>[2]Indicators!J195</f>
        <v>573.63</v>
      </c>
      <c r="M313" s="2">
        <f>[2]Indicators!AB195</f>
        <v>42.218200000000003</v>
      </c>
      <c r="N313" s="2">
        <f>[8]m!$C315</f>
        <v>5.2</v>
      </c>
      <c r="O313">
        <f>[9]Unemployment!$B195</f>
        <v>8.2000000000000011</v>
      </c>
      <c r="P313" s="2">
        <f>[2]Surveys_m!$B195</f>
        <v>93.7</v>
      </c>
      <c r="Q313">
        <f>[5]m!$B315</f>
        <v>55.6</v>
      </c>
      <c r="R313">
        <f>[5]m!$D315</f>
        <v>55.5</v>
      </c>
      <c r="S313">
        <f>[5]m!$Q315</f>
        <v>59.7</v>
      </c>
      <c r="T313">
        <f>[6]m!B315</f>
        <v>-5928</v>
      </c>
      <c r="U313" s="2">
        <f>[9]Unemployment!$F195</f>
        <v>16.5</v>
      </c>
      <c r="V313" s="2">
        <f>[9]Unemployment!$G195</f>
        <v>9</v>
      </c>
      <c r="W313">
        <f>[9]Unemployment!$E195</f>
        <v>7744</v>
      </c>
      <c r="X313">
        <f>[9]Unemployment!N195</f>
        <v>2762</v>
      </c>
      <c r="Y313">
        <f>[9]Unemployment!O195</f>
        <v>2191</v>
      </c>
      <c r="Z313">
        <f>[9]Unemployment!P195-[9]Unemployment!Q195</f>
        <v>1282</v>
      </c>
      <c r="AA313">
        <f>[9]Unemployment!$Q195</f>
        <v>1586</v>
      </c>
      <c r="AB313" s="2">
        <f>[8]m!$B315</f>
        <v>5.44</v>
      </c>
      <c r="AC313" s="2">
        <f>[8]m!$F315</f>
        <v>8</v>
      </c>
      <c r="AD313">
        <f>[9]Employment!$B195</f>
        <v>78017</v>
      </c>
      <c r="AE313" s="2">
        <f>[2]Indicators!$AB195</f>
        <v>42.218200000000003</v>
      </c>
      <c r="AF313" s="2">
        <f>[8]m!$AS315</f>
        <v>204</v>
      </c>
      <c r="AG313" s="2">
        <f>[8]m!$H315</f>
        <v>8.7900000000000009</v>
      </c>
      <c r="AH313" s="2">
        <f>[8]m!$I315</f>
        <v>10.56</v>
      </c>
      <c r="AI313" s="2">
        <f>[7]m!C314</f>
        <v>11543</v>
      </c>
      <c r="AJ313" s="2">
        <f>[7]m!D314</f>
        <v>10374</v>
      </c>
      <c r="AK313" s="2">
        <f>[2]Surveys_m!$AB195</f>
        <v>54.900000000000006</v>
      </c>
      <c r="AL313" s="4">
        <f t="shared" si="4"/>
        <v>2768.0464216634432</v>
      </c>
      <c r="AN313" s="2">
        <v>56</v>
      </c>
      <c r="AQ313" s="3">
        <f>[9]LaborForce!$B194*[9]LaborForce!$C194/100</f>
        <v>94454.49</v>
      </c>
      <c r="AR313">
        <f>[9]Unemployment!$AC195</f>
        <v>387</v>
      </c>
      <c r="AS313">
        <f>[2]Indicators!BC195</f>
        <v>45.2</v>
      </c>
      <c r="AT313">
        <f>[2]Indicators!BD195</f>
        <v>46.964300000000001</v>
      </c>
      <c r="AU313">
        <f>[2]Indicators!BE195</f>
        <v>100.0968</v>
      </c>
    </row>
    <row r="314" spans="1:47" x14ac:dyDescent="0.25">
      <c r="A314" s="1">
        <v>27760</v>
      </c>
      <c r="B314" s="2">
        <f>[2]Indicators!G196</f>
        <v>1110.587</v>
      </c>
      <c r="C314" s="2">
        <f>[2]Indicators!H196</f>
        <v>161.221</v>
      </c>
      <c r="D314" s="2">
        <f>[2]Indicators!I196</f>
        <v>369.27</v>
      </c>
      <c r="E314" s="2">
        <f>[2]Indicators!J196</f>
        <v>580.096</v>
      </c>
      <c r="L314" s="2">
        <f>[2]Indicators!N196</f>
        <v>12.814</v>
      </c>
      <c r="M314" s="2">
        <f>[2]Indicators!AB196</f>
        <v>42.836500000000001</v>
      </c>
      <c r="N314" s="2">
        <f>[8]m!$C316</f>
        <v>4.87</v>
      </c>
      <c r="O314">
        <f>[9]Unemployment!$B196</f>
        <v>7.9</v>
      </c>
      <c r="P314" s="2">
        <f>[2]Surveys_m!$B196</f>
        <v>93.7</v>
      </c>
      <c r="Q314">
        <f>[5]m!$B316</f>
        <v>55.800000000000004</v>
      </c>
      <c r="R314">
        <f>[5]m!$D316</f>
        <v>55.9</v>
      </c>
      <c r="S314">
        <f>[5]m!$Q316</f>
        <v>59.900000000000006</v>
      </c>
      <c r="T314">
        <f>[6]m!B316</f>
        <v>-5114</v>
      </c>
      <c r="U314" s="2">
        <f>[9]Unemployment!$F196</f>
        <v>16.600000000000001</v>
      </c>
      <c r="V314" s="2">
        <f>[9]Unemployment!$G196</f>
        <v>9</v>
      </c>
      <c r="W314">
        <f>[9]Unemployment!$E196</f>
        <v>7534</v>
      </c>
      <c r="X314">
        <f>[9]Unemployment!N196</f>
        <v>2749</v>
      </c>
      <c r="Y314">
        <f>[9]Unemployment!O196</f>
        <v>2154</v>
      </c>
      <c r="Z314">
        <f>[9]Unemployment!P196-[9]Unemployment!Q196</f>
        <v>1132</v>
      </c>
      <c r="AA314">
        <f>[9]Unemployment!$Q196</f>
        <v>1581</v>
      </c>
      <c r="AB314" s="2">
        <f>[8]m!$B316</f>
        <v>4.87</v>
      </c>
      <c r="AC314" s="2">
        <f>[8]m!$F316</f>
        <v>7.74</v>
      </c>
      <c r="AD314">
        <f>[9]Employment!$B196</f>
        <v>78506</v>
      </c>
      <c r="AE314" s="2">
        <f>[2]Indicators!$AB196</f>
        <v>42.836500000000001</v>
      </c>
      <c r="AF314" s="2">
        <f>[8]m!$AS316</f>
        <v>205.5</v>
      </c>
      <c r="AG314" s="2">
        <f>[8]m!$H316</f>
        <v>8.6</v>
      </c>
      <c r="AH314" s="2">
        <f>[8]m!$I316</f>
        <v>10.41</v>
      </c>
      <c r="AI314" s="2">
        <f>[7]m!C315</f>
        <v>11397</v>
      </c>
      <c r="AJ314" s="2">
        <f>[7]m!D315</f>
        <v>10580</v>
      </c>
      <c r="AK314" s="2">
        <f>[2]Surveys_m!$AB196</f>
        <v>58.800000000000004</v>
      </c>
      <c r="AL314" s="4">
        <f t="shared" si="4"/>
        <v>2817.4758220502904</v>
      </c>
      <c r="AN314" s="2">
        <v>57</v>
      </c>
      <c r="AQ314" s="3">
        <f>[9]LaborForce!$B195*[9]LaborForce!$C195/100</f>
        <v>94924.88900000001</v>
      </c>
      <c r="AR314">
        <f>[9]Unemployment!$AC196</f>
        <v>391</v>
      </c>
      <c r="AS314">
        <f>[2]Indicators!BC196</f>
        <v>46.2</v>
      </c>
      <c r="AT314">
        <f>[2]Indicators!BD196</f>
        <v>47.439399999999999</v>
      </c>
      <c r="AU314">
        <f>[2]Indicators!BE196</f>
        <v>100.8784</v>
      </c>
    </row>
    <row r="315" spans="1:47" x14ac:dyDescent="0.25">
      <c r="A315" s="1">
        <v>27791</v>
      </c>
      <c r="B315" s="2">
        <f>[2]Indicators!G197</f>
        <v>1111.1690000000001</v>
      </c>
      <c r="C315" s="2">
        <f>[2]Indicators!H197</f>
        <v>164.16</v>
      </c>
      <c r="D315" s="2">
        <f>[2]Indicators!I197</f>
        <v>366.00900000000001</v>
      </c>
      <c r="E315" s="2">
        <f>[2]Indicators!J197</f>
        <v>581</v>
      </c>
      <c r="L315" s="2">
        <f>[2]Indicators!N197</f>
        <v>13.34</v>
      </c>
      <c r="M315" s="2">
        <f>[2]Indicators!AB197</f>
        <v>43.2438</v>
      </c>
      <c r="N315" s="2">
        <f>[8]m!$C317</f>
        <v>4.7700000000000005</v>
      </c>
      <c r="O315">
        <f>[9]Unemployment!$B197</f>
        <v>7.7</v>
      </c>
      <c r="P315" s="2">
        <f>[2]Surveys_m!$B197</f>
        <v>101</v>
      </c>
      <c r="Q315">
        <f>[5]m!$B317</f>
        <v>55.9</v>
      </c>
      <c r="R315">
        <f>[5]m!$D317</f>
        <v>56.2</v>
      </c>
      <c r="S315">
        <f>[5]m!$Q317</f>
        <v>59.900000000000006</v>
      </c>
      <c r="T315">
        <f>[6]m!B317</f>
        <v>-8958</v>
      </c>
      <c r="U315" s="2">
        <f>[9]Unemployment!$F197</f>
        <v>16.3</v>
      </c>
      <c r="V315" s="2">
        <f>[9]Unemployment!$G197</f>
        <v>8.2000000000000011</v>
      </c>
      <c r="W315">
        <f>[9]Unemployment!$E197</f>
        <v>7326</v>
      </c>
      <c r="X315">
        <f>[9]Unemployment!N197</f>
        <v>2799</v>
      </c>
      <c r="Y315">
        <f>[9]Unemployment!O197</f>
        <v>1980</v>
      </c>
      <c r="Z315">
        <f>[9]Unemployment!P197-[9]Unemployment!Q197</f>
        <v>986</v>
      </c>
      <c r="AA315">
        <f>[9]Unemployment!$Q197</f>
        <v>1533</v>
      </c>
      <c r="AB315" s="2">
        <f>[8]m!$B317</f>
        <v>4.88</v>
      </c>
      <c r="AC315" s="2">
        <f>[8]m!$F317</f>
        <v>7.79</v>
      </c>
      <c r="AD315">
        <f>[9]Employment!$B197</f>
        <v>78817</v>
      </c>
      <c r="AE315" s="2">
        <f>[2]Indicators!$AB197</f>
        <v>43.2438</v>
      </c>
      <c r="AF315" s="2">
        <f>[8]m!$AS317</f>
        <v>206.70000000000002</v>
      </c>
      <c r="AG315" s="2">
        <f>[8]m!$H317</f>
        <v>8.5500000000000007</v>
      </c>
      <c r="AH315" s="2">
        <f>[8]m!$I317</f>
        <v>10.24</v>
      </c>
      <c r="AI315" s="2">
        <f>[7]m!C316</f>
        <v>11298</v>
      </c>
      <c r="AJ315" s="2">
        <f>[7]m!D316</f>
        <v>11302</v>
      </c>
      <c r="AK315" s="2">
        <f>[2]Surveys_m!$AB197</f>
        <v>61.5</v>
      </c>
      <c r="AL315" s="4">
        <f t="shared" si="4"/>
        <v>2965.764023210832</v>
      </c>
      <c r="AN315" s="2">
        <v>60</v>
      </c>
      <c r="AQ315" s="3">
        <f>[9]LaborForce!$B196*[9]LaborForce!$C196/100</f>
        <v>95055.458000000013</v>
      </c>
      <c r="AR315">
        <f>[9]Unemployment!$AC197</f>
        <v>359</v>
      </c>
      <c r="AS315">
        <f>[2]Indicators!BC197</f>
        <v>47</v>
      </c>
      <c r="AT315">
        <f>[2]Indicators!BD197</f>
        <v>47.849700000000006</v>
      </c>
      <c r="AU315">
        <f>[2]Indicators!BE197</f>
        <v>101.51400000000001</v>
      </c>
    </row>
    <row r="316" spans="1:47" x14ac:dyDescent="0.25">
      <c r="A316" s="1">
        <v>27820</v>
      </c>
      <c r="B316" s="2">
        <f>[2]Indicators!G198</f>
        <v>1118.373</v>
      </c>
      <c r="C316" s="2">
        <f>[2]Indicators!H198</f>
        <v>164.511</v>
      </c>
      <c r="D316" s="2">
        <f>[2]Indicators!I198</f>
        <v>367.029</v>
      </c>
      <c r="E316" s="2">
        <f>[2]Indicators!J198</f>
        <v>586.83299999999997</v>
      </c>
      <c r="L316" s="2">
        <f>[2]Indicators!N198</f>
        <v>13.378</v>
      </c>
      <c r="M316" s="2">
        <f>[2]Indicators!AB198</f>
        <v>43.288800000000002</v>
      </c>
      <c r="N316" s="2">
        <f>[8]m!$C318</f>
        <v>4.84</v>
      </c>
      <c r="O316">
        <f>[9]Unemployment!$B198</f>
        <v>7.6000000000000005</v>
      </c>
      <c r="P316" s="2">
        <f>[2]Surveys_m!$B198</f>
        <v>101</v>
      </c>
      <c r="Q316">
        <f>[5]m!$B318</f>
        <v>56</v>
      </c>
      <c r="R316">
        <f>[5]m!$D318</f>
        <v>56.5</v>
      </c>
      <c r="S316">
        <f>[5]m!$Q318</f>
        <v>60</v>
      </c>
      <c r="T316">
        <f>[6]m!B318</f>
        <v>-8765</v>
      </c>
      <c r="U316" s="2">
        <f>[9]Unemployment!$F198</f>
        <v>16.5</v>
      </c>
      <c r="V316" s="2">
        <f>[9]Unemployment!$G198</f>
        <v>8.7000000000000011</v>
      </c>
      <c r="W316">
        <f>[9]Unemployment!$E198</f>
        <v>7230</v>
      </c>
      <c r="X316">
        <f>[9]Unemployment!N198</f>
        <v>2628</v>
      </c>
      <c r="Y316">
        <f>[9]Unemployment!O198</f>
        <v>1995</v>
      </c>
      <c r="Z316">
        <f>[9]Unemployment!P198-[9]Unemployment!Q198</f>
        <v>981</v>
      </c>
      <c r="AA316">
        <f>[9]Unemployment!$Q198</f>
        <v>1460</v>
      </c>
      <c r="AB316" s="2">
        <f>[8]m!$B318</f>
        <v>5</v>
      </c>
      <c r="AC316" s="2">
        <f>[8]m!$F318</f>
        <v>7.73</v>
      </c>
      <c r="AD316">
        <f>[9]Employment!$B198</f>
        <v>79049</v>
      </c>
      <c r="AE316" s="2">
        <f>[2]Indicators!$AB198</f>
        <v>43.288800000000002</v>
      </c>
      <c r="AF316" s="2">
        <f>[8]m!$AS318</f>
        <v>208.3</v>
      </c>
      <c r="AG316" s="2">
        <f>[8]m!$H318</f>
        <v>8.52</v>
      </c>
      <c r="AH316" s="2">
        <f>[8]m!$I318</f>
        <v>10.120000000000001</v>
      </c>
      <c r="AI316" s="2">
        <f>[7]m!C317</f>
        <v>11120</v>
      </c>
      <c r="AJ316" s="2">
        <f>[7]m!D317</f>
        <v>11263</v>
      </c>
      <c r="AK316" s="2">
        <f>[2]Surveys_m!$AB198</f>
        <v>58.400000000000006</v>
      </c>
      <c r="AL316" s="4">
        <f t="shared" si="4"/>
        <v>3015.1934235976792</v>
      </c>
      <c r="AN316" s="2">
        <v>61</v>
      </c>
      <c r="AQ316" s="3">
        <f>[9]LaborForce!$B197*[9]LaborForce!$C197/100</f>
        <v>95202.578000000009</v>
      </c>
      <c r="AR316">
        <f>[9]Unemployment!$AC198</f>
        <v>349</v>
      </c>
      <c r="AS316">
        <f>[2]Indicators!BC198</f>
        <v>47.2</v>
      </c>
      <c r="AT316">
        <f>[2]Indicators!BD198</f>
        <v>48.153300000000002</v>
      </c>
      <c r="AU316">
        <f>[2]Indicators!BE198</f>
        <v>101.91590000000001</v>
      </c>
    </row>
    <row r="317" spans="1:47" x14ac:dyDescent="0.25">
      <c r="A317" s="1">
        <v>27851</v>
      </c>
      <c r="B317" s="2">
        <f>[2]Indicators!G199</f>
        <v>1128.9110000000001</v>
      </c>
      <c r="C317" s="2">
        <f>[2]Indicators!H199</f>
        <v>167.62200000000001</v>
      </c>
      <c r="D317" s="2">
        <f>[2]Indicators!I199</f>
        <v>371.25900000000001</v>
      </c>
      <c r="E317" s="2">
        <f>[2]Indicators!J199</f>
        <v>590.03</v>
      </c>
      <c r="L317" s="2">
        <f>[2]Indicators!N199</f>
        <v>13.223000000000001</v>
      </c>
      <c r="M317" s="2">
        <f>[2]Indicators!AB199</f>
        <v>43.538000000000004</v>
      </c>
      <c r="N317" s="2">
        <f>[8]m!$C319</f>
        <v>4.82</v>
      </c>
      <c r="O317">
        <f>[9]Unemployment!$B199</f>
        <v>7.7</v>
      </c>
      <c r="P317" s="2">
        <f>[2]Surveys_m!$B199</f>
        <v>89.5</v>
      </c>
      <c r="Q317">
        <f>[5]m!$B319</f>
        <v>56.1</v>
      </c>
      <c r="R317">
        <f>[5]m!$D319</f>
        <v>56.7</v>
      </c>
      <c r="S317">
        <f>[5]m!$Q319</f>
        <v>60.6</v>
      </c>
      <c r="T317">
        <f>[6]m!B319</f>
        <v>791</v>
      </c>
      <c r="U317" s="2">
        <f>[9]Unemployment!$F199</f>
        <v>15.9</v>
      </c>
      <c r="V317" s="2">
        <f>[9]Unemployment!$G199</f>
        <v>8.2000000000000011</v>
      </c>
      <c r="W317">
        <f>[9]Unemployment!$E199</f>
        <v>7330</v>
      </c>
      <c r="X317">
        <f>[9]Unemployment!N199</f>
        <v>2938</v>
      </c>
      <c r="Y317">
        <f>[9]Unemployment!O199</f>
        <v>2011</v>
      </c>
      <c r="Z317">
        <f>[9]Unemployment!P199-[9]Unemployment!Q199</f>
        <v>801</v>
      </c>
      <c r="AA317">
        <f>[9]Unemployment!$Q199</f>
        <v>1409</v>
      </c>
      <c r="AB317" s="2">
        <f>[8]m!$B319</f>
        <v>4.8600000000000003</v>
      </c>
      <c r="AC317" s="2">
        <f>[8]m!$F319</f>
        <v>7.5600000000000005</v>
      </c>
      <c r="AD317">
        <f>[9]Employment!$B199</f>
        <v>79293</v>
      </c>
      <c r="AE317" s="2">
        <f>[2]Indicators!$AB199</f>
        <v>43.538000000000004</v>
      </c>
      <c r="AF317" s="2">
        <f>[8]m!$AS319</f>
        <v>210.5</v>
      </c>
      <c r="AG317" s="2">
        <f>[8]m!$H319</f>
        <v>8.4</v>
      </c>
      <c r="AH317" s="2">
        <f>[8]m!$I319</f>
        <v>9.94</v>
      </c>
      <c r="AI317" s="2">
        <f>[7]m!C318</f>
        <v>11221</v>
      </c>
      <c r="AJ317" s="2">
        <f>[7]m!D318</f>
        <v>11703</v>
      </c>
      <c r="AK317" s="2">
        <f>[2]Surveys_m!$AB199</f>
        <v>60.6</v>
      </c>
      <c r="AL317" s="4">
        <f t="shared" si="4"/>
        <v>2965.764023210832</v>
      </c>
      <c r="AN317" s="2">
        <v>60</v>
      </c>
      <c r="AQ317" s="3">
        <f>[9]LaborForce!$B198*[9]LaborForce!$C198/100</f>
        <v>95805.864000000001</v>
      </c>
      <c r="AR317">
        <f>[9]Unemployment!$AC199</f>
        <v>366</v>
      </c>
      <c r="AS317">
        <f>[2]Indicators!BC199</f>
        <v>47.300000000000004</v>
      </c>
      <c r="AT317">
        <f>[2]Indicators!BD199</f>
        <v>48.363600000000005</v>
      </c>
      <c r="AU317">
        <f>[2]Indicators!BE199</f>
        <v>102.11410000000001</v>
      </c>
    </row>
    <row r="318" spans="1:47" x14ac:dyDescent="0.25">
      <c r="A318" s="1">
        <v>27881</v>
      </c>
      <c r="B318" s="2">
        <f>[2]Indicators!G200</f>
        <v>1126.1980000000001</v>
      </c>
      <c r="C318" s="2">
        <f>[2]Indicators!H200</f>
        <v>162.19400000000002</v>
      </c>
      <c r="D318" s="2">
        <f>[2]Indicators!I200</f>
        <v>370.38</v>
      </c>
      <c r="E318" s="2">
        <f>[2]Indicators!J200</f>
        <v>593.62400000000002</v>
      </c>
      <c r="L318" s="2">
        <f>[2]Indicators!N200</f>
        <v>12.962</v>
      </c>
      <c r="M318" s="2">
        <f>[2]Indicators!AB200</f>
        <v>43.742899999999999</v>
      </c>
      <c r="N318" s="2">
        <f>[8]m!$C320</f>
        <v>5.29</v>
      </c>
      <c r="O318">
        <f>[9]Unemployment!$B200</f>
        <v>7.4</v>
      </c>
      <c r="P318" s="2">
        <f>[2]Surveys_m!$B200</f>
        <v>89.5</v>
      </c>
      <c r="Q318">
        <f>[5]m!$B320</f>
        <v>56.4</v>
      </c>
      <c r="R318">
        <f>[5]m!$D320</f>
        <v>57</v>
      </c>
      <c r="S318">
        <f>[5]m!$Q320</f>
        <v>60.800000000000004</v>
      </c>
      <c r="T318">
        <f>[6]m!B320</f>
        <v>-5732</v>
      </c>
      <c r="U318" s="2">
        <f>[9]Unemployment!$F200</f>
        <v>15</v>
      </c>
      <c r="V318" s="2">
        <f>[9]Unemployment!$G200</f>
        <v>8.3000000000000007</v>
      </c>
      <c r="W318">
        <f>[9]Unemployment!$E200</f>
        <v>7053</v>
      </c>
      <c r="X318">
        <f>[9]Unemployment!N200</f>
        <v>2795</v>
      </c>
      <c r="Y318">
        <f>[9]Unemployment!O200</f>
        <v>2049</v>
      </c>
      <c r="Z318">
        <f>[9]Unemployment!P200-[9]Unemployment!Q200</f>
        <v>896</v>
      </c>
      <c r="AA318">
        <f>[9]Unemployment!$Q200</f>
        <v>1219</v>
      </c>
      <c r="AB318" s="2">
        <f>[8]m!$B320</f>
        <v>5.2</v>
      </c>
      <c r="AC318" s="2">
        <f>[8]m!$F320</f>
        <v>7.9</v>
      </c>
      <c r="AD318">
        <f>[9]Employment!$B200</f>
        <v>79311</v>
      </c>
      <c r="AE318" s="2">
        <f>[2]Indicators!$AB200</f>
        <v>43.742899999999999</v>
      </c>
      <c r="AF318" s="2">
        <f>[8]m!$AS320</f>
        <v>211.4</v>
      </c>
      <c r="AG318" s="2">
        <f>[8]m!$H320</f>
        <v>8.58</v>
      </c>
      <c r="AH318" s="2">
        <f>[8]m!$I320</f>
        <v>9.86</v>
      </c>
      <c r="AI318" s="2">
        <f>[7]m!C319</f>
        <v>11600</v>
      </c>
      <c r="AJ318" s="2">
        <f>[7]m!D319</f>
        <v>11933</v>
      </c>
      <c r="AK318" s="2">
        <f>[2]Surveys_m!$AB200</f>
        <v>58.800000000000004</v>
      </c>
      <c r="AL318" s="4">
        <f t="shared" si="4"/>
        <v>3064.6228239845263</v>
      </c>
      <c r="AN318" s="2">
        <v>62</v>
      </c>
      <c r="AQ318" s="3">
        <f>[9]LaborForce!$B199*[9]LaborForce!$C199/100</f>
        <v>95795.475000000006</v>
      </c>
      <c r="AR318">
        <f>[9]Unemployment!$AC200</f>
        <v>385</v>
      </c>
      <c r="AS318">
        <f>[2]Indicators!BC200</f>
        <v>47.7</v>
      </c>
      <c r="AT318">
        <f>[2]Indicators!BD200</f>
        <v>48.503900000000002</v>
      </c>
      <c r="AU318">
        <f>[2]Indicators!BE200</f>
        <v>102.1593</v>
      </c>
    </row>
    <row r="319" spans="1:47" x14ac:dyDescent="0.25">
      <c r="A319" s="1">
        <v>27912</v>
      </c>
      <c r="B319" s="2">
        <f>[2]Indicators!G201</f>
        <v>1144.02</v>
      </c>
      <c r="C319" s="2">
        <f>[2]Indicators!H201</f>
        <v>167.88300000000001</v>
      </c>
      <c r="D319" s="2">
        <f>[2]Indicators!I201</f>
        <v>377.57</v>
      </c>
      <c r="E319" s="2">
        <f>[2]Indicators!J201</f>
        <v>598.56700000000001</v>
      </c>
      <c r="L319" s="2">
        <f>[2]Indicators!N201</f>
        <v>13.051</v>
      </c>
      <c r="M319" s="2">
        <f>[2]Indicators!AB201</f>
        <v>43.745800000000003</v>
      </c>
      <c r="N319" s="2">
        <f>[8]m!$C321</f>
        <v>5.48</v>
      </c>
      <c r="O319">
        <f>[9]Unemployment!$B201</f>
        <v>7.6000000000000005</v>
      </c>
      <c r="P319" s="2">
        <f>[2]Surveys_m!$B201</f>
        <v>94.5</v>
      </c>
      <c r="Q319">
        <f>[5]m!$B321</f>
        <v>56.7</v>
      </c>
      <c r="R319">
        <f>[5]m!$D321</f>
        <v>57.2</v>
      </c>
      <c r="S319">
        <f>[5]m!$Q321</f>
        <v>61.2</v>
      </c>
      <c r="T319">
        <f>[6]m!B321</f>
        <v>6959</v>
      </c>
      <c r="U319" s="2">
        <f>[9]Unemployment!$F201</f>
        <v>16.900000000000002</v>
      </c>
      <c r="V319" s="2">
        <f>[9]Unemployment!$G201</f>
        <v>7.8000000000000007</v>
      </c>
      <c r="W319">
        <f>[9]Unemployment!$E201</f>
        <v>7322</v>
      </c>
      <c r="X319">
        <f>[9]Unemployment!N201</f>
        <v>2787</v>
      </c>
      <c r="Y319">
        <f>[9]Unemployment!O201</f>
        <v>2281</v>
      </c>
      <c r="Z319">
        <f>[9]Unemployment!P201-[9]Unemployment!Q201</f>
        <v>979</v>
      </c>
      <c r="AA319">
        <f>[9]Unemployment!$Q201</f>
        <v>1353</v>
      </c>
      <c r="AB319" s="2">
        <f>[8]m!$B321</f>
        <v>5.41</v>
      </c>
      <c r="AC319" s="2">
        <f>[8]m!$F321</f>
        <v>7.86</v>
      </c>
      <c r="AD319">
        <f>[9]Employment!$B201</f>
        <v>79376</v>
      </c>
      <c r="AE319" s="2">
        <f>[2]Indicators!$AB201</f>
        <v>43.745800000000003</v>
      </c>
      <c r="AF319" s="2">
        <f>[8]m!$AS321</f>
        <v>213.20000000000002</v>
      </c>
      <c r="AG319" s="2">
        <f>[8]m!$H321</f>
        <v>8.620000000000001</v>
      </c>
      <c r="AH319" s="2">
        <f>[8]m!$I321</f>
        <v>9.89</v>
      </c>
      <c r="AI319" s="2">
        <f>[7]m!C320</f>
        <v>11795</v>
      </c>
      <c r="AJ319" s="2">
        <f>[7]m!D320</f>
        <v>11482</v>
      </c>
      <c r="AK319" s="2">
        <f>[2]Surveys_m!$AB201</f>
        <v>58.2</v>
      </c>
      <c r="AL319" s="4">
        <f t="shared" si="4"/>
        <v>3064.6228239845263</v>
      </c>
      <c r="AN319" s="2">
        <v>62</v>
      </c>
      <c r="AQ319" s="3">
        <f>[9]LaborForce!$B200*[9]LaborForce!$C200/100</f>
        <v>95955.99</v>
      </c>
      <c r="AR319">
        <f>[9]Unemployment!$AC201</f>
        <v>402</v>
      </c>
      <c r="AS319">
        <f>[2]Indicators!BC201</f>
        <v>47.800000000000004</v>
      </c>
      <c r="AT319">
        <f>[2]Indicators!BD201</f>
        <v>48.602900000000005</v>
      </c>
      <c r="AU319">
        <f>[2]Indicators!BE201</f>
        <v>102.11320000000001</v>
      </c>
    </row>
    <row r="320" spans="1:47" x14ac:dyDescent="0.25">
      <c r="A320" s="1">
        <v>27942</v>
      </c>
      <c r="B320" s="2">
        <f>[2]Indicators!G202</f>
        <v>1153.1479999999999</v>
      </c>
      <c r="C320" s="2">
        <f>[2]Indicators!H202</f>
        <v>169.69200000000001</v>
      </c>
      <c r="D320" s="2">
        <f>[2]Indicators!I202</f>
        <v>377.92700000000002</v>
      </c>
      <c r="E320" s="2">
        <f>[2]Indicators!J202</f>
        <v>605.52800000000002</v>
      </c>
      <c r="L320" s="2">
        <f>[2]Indicators!N202</f>
        <v>13.466000000000001</v>
      </c>
      <c r="M320" s="2">
        <f>[2]Indicators!AB202</f>
        <v>43.997900000000001</v>
      </c>
      <c r="N320" s="2">
        <f>[8]m!$C322</f>
        <v>5.3100000000000005</v>
      </c>
      <c r="O320">
        <f>[9]Unemployment!$B202</f>
        <v>7.8000000000000007</v>
      </c>
      <c r="P320" s="2">
        <f>[2]Surveys_m!$B202</f>
        <v>94.5</v>
      </c>
      <c r="Q320">
        <f>[5]m!$B322</f>
        <v>57</v>
      </c>
      <c r="R320">
        <f>[5]m!$D322</f>
        <v>57.6</v>
      </c>
      <c r="S320">
        <f>[5]m!$Q322</f>
        <v>61.6</v>
      </c>
      <c r="T320">
        <f>[6]m!B322</f>
        <v>-11293</v>
      </c>
      <c r="U320" s="2">
        <f>[9]Unemployment!$F202</f>
        <v>15.700000000000001</v>
      </c>
      <c r="V320" s="2">
        <f>[9]Unemployment!$G202</f>
        <v>7.7</v>
      </c>
      <c r="W320">
        <f>[9]Unemployment!$E202</f>
        <v>7490</v>
      </c>
      <c r="X320">
        <f>[9]Unemployment!N202</f>
        <v>2965</v>
      </c>
      <c r="Y320">
        <f>[9]Unemployment!O202</f>
        <v>2181</v>
      </c>
      <c r="Z320">
        <f>[9]Unemployment!P202-[9]Unemployment!Q202</f>
        <v>1066</v>
      </c>
      <c r="AA320">
        <f>[9]Unemployment!$Q202</f>
        <v>1250</v>
      </c>
      <c r="AB320" s="2">
        <f>[8]m!$B322</f>
        <v>5.23</v>
      </c>
      <c r="AC320" s="2">
        <f>[8]m!$F322</f>
        <v>7.83</v>
      </c>
      <c r="AD320">
        <f>[9]Employment!$B202</f>
        <v>79546</v>
      </c>
      <c r="AE320" s="2">
        <f>[2]Indicators!$AB202</f>
        <v>43.997900000000001</v>
      </c>
      <c r="AF320" s="2">
        <f>[8]m!$AS322</f>
        <v>215.3</v>
      </c>
      <c r="AG320" s="2">
        <f>[8]m!$H322</f>
        <v>8.56</v>
      </c>
      <c r="AH320" s="2">
        <f>[8]m!$I322</f>
        <v>9.82</v>
      </c>
      <c r="AI320" s="2">
        <f>[7]m!C321</f>
        <v>11958</v>
      </c>
      <c r="AJ320" s="2">
        <f>[7]m!D321</f>
        <v>12571</v>
      </c>
      <c r="AK320" s="2">
        <f>[2]Surveys_m!$AB202</f>
        <v>55.900000000000006</v>
      </c>
      <c r="AL320" s="4">
        <f t="shared" si="4"/>
        <v>3064.6228239845263</v>
      </c>
      <c r="AN320" s="2">
        <v>62</v>
      </c>
      <c r="AQ320" s="3">
        <f>[9]LaborForce!$B201*[9]LaborForce!$C201/100</f>
        <v>96578.568000000014</v>
      </c>
      <c r="AR320">
        <f>[9]Unemployment!$AC202</f>
        <v>387</v>
      </c>
      <c r="AS320">
        <f>[2]Indicators!BC202</f>
        <v>48.2</v>
      </c>
      <c r="AT320">
        <f>[2]Indicators!BD202</f>
        <v>48.687200000000004</v>
      </c>
      <c r="AU320">
        <f>[2]Indicators!BE202</f>
        <v>102.0325</v>
      </c>
    </row>
    <row r="321" spans="1:47" x14ac:dyDescent="0.25">
      <c r="A321" s="1">
        <v>27973</v>
      </c>
      <c r="B321" s="2">
        <f>[2]Indicators!G203</f>
        <v>1161.5989999999999</v>
      </c>
      <c r="C321" s="2">
        <f>[2]Indicators!H203</f>
        <v>168.68899999999999</v>
      </c>
      <c r="D321" s="2">
        <f>[2]Indicators!I203</f>
        <v>380.95</v>
      </c>
      <c r="E321" s="2">
        <f>[2]Indicators!J203</f>
        <v>611.96100000000001</v>
      </c>
      <c r="L321" s="2">
        <f>[2]Indicators!N203</f>
        <v>12.952999999999999</v>
      </c>
      <c r="M321" s="2">
        <f>[2]Indicators!AB203</f>
        <v>44.302900000000001</v>
      </c>
      <c r="N321" s="2">
        <f>[8]m!$C323</f>
        <v>5.29</v>
      </c>
      <c r="O321">
        <f>[9]Unemployment!$B203</f>
        <v>7.8000000000000007</v>
      </c>
      <c r="P321" s="2">
        <f>[2]Surveys_m!$B203</f>
        <v>94.600000000000009</v>
      </c>
      <c r="Q321">
        <f>[5]m!$B323</f>
        <v>57.300000000000004</v>
      </c>
      <c r="R321">
        <f>[5]m!$D323</f>
        <v>57.9</v>
      </c>
      <c r="S321">
        <f>[5]m!$Q323</f>
        <v>61.400000000000006</v>
      </c>
      <c r="T321">
        <f>[6]m!B323</f>
        <v>-2245</v>
      </c>
      <c r="U321" s="2">
        <f>[9]Unemployment!$F203</f>
        <v>15.600000000000001</v>
      </c>
      <c r="V321" s="2">
        <f>[9]Unemployment!$G203</f>
        <v>7.9</v>
      </c>
      <c r="W321">
        <f>[9]Unemployment!$E203</f>
        <v>7518</v>
      </c>
      <c r="X321">
        <f>[9]Unemployment!N203</f>
        <v>2893</v>
      </c>
      <c r="Y321">
        <f>[9]Unemployment!O203</f>
        <v>2323</v>
      </c>
      <c r="Z321">
        <f>[9]Unemployment!P203-[9]Unemployment!Q203</f>
        <v>1098</v>
      </c>
      <c r="AA321">
        <f>[9]Unemployment!$Q203</f>
        <v>1280</v>
      </c>
      <c r="AB321" s="2">
        <f>[8]m!$B323</f>
        <v>5.14</v>
      </c>
      <c r="AC321" s="2">
        <f>[8]m!$F323</f>
        <v>7.7700000000000005</v>
      </c>
      <c r="AD321">
        <f>[9]Employment!$B203</f>
        <v>79704</v>
      </c>
      <c r="AE321" s="2">
        <f>[2]Indicators!$AB203</f>
        <v>44.302900000000001</v>
      </c>
      <c r="AF321" s="2">
        <f>[8]m!$AS323</f>
        <v>216.5</v>
      </c>
      <c r="AG321" s="2">
        <f>[8]m!$H323</f>
        <v>8.4499999999999993</v>
      </c>
      <c r="AH321" s="2">
        <f>[8]m!$I323</f>
        <v>9.64</v>
      </c>
      <c r="AI321" s="2">
        <f>[7]m!C322</f>
        <v>12431</v>
      </c>
      <c r="AJ321" s="2">
        <f>[7]m!D322</f>
        <v>13105</v>
      </c>
      <c r="AK321" s="2">
        <f>[2]Surveys_m!$AB203</f>
        <v>54.5</v>
      </c>
      <c r="AL321" s="4">
        <f t="shared" si="4"/>
        <v>3064.6228239845263</v>
      </c>
      <c r="AN321" s="2">
        <v>62</v>
      </c>
      <c r="AQ321" s="3">
        <f>[9]LaborForce!$B202*[9]LaborForce!$C202/100</f>
        <v>96732.45</v>
      </c>
      <c r="AR321">
        <f>[9]Unemployment!$AC203</f>
        <v>388</v>
      </c>
      <c r="AS321">
        <f>[2]Indicators!BC203</f>
        <v>48.5</v>
      </c>
      <c r="AT321">
        <f>[2]Indicators!BD203</f>
        <v>48.776700000000005</v>
      </c>
      <c r="AU321">
        <f>[2]Indicators!BE203</f>
        <v>101.95910000000001</v>
      </c>
    </row>
    <row r="322" spans="1:47" x14ac:dyDescent="0.25">
      <c r="A322" s="1">
        <v>28004</v>
      </c>
      <c r="B322" s="2">
        <f>[2]Indicators!G204</f>
        <v>1172.5350000000001</v>
      </c>
      <c r="C322" s="2">
        <f>[2]Indicators!H204</f>
        <v>171.15200000000002</v>
      </c>
      <c r="D322" s="2">
        <f>[2]Indicators!I204</f>
        <v>382.947</v>
      </c>
      <c r="E322" s="2">
        <f>[2]Indicators!J204</f>
        <v>618.43500000000006</v>
      </c>
      <c r="L322" s="2">
        <f>[2]Indicators!N204</f>
        <v>13.61</v>
      </c>
      <c r="M322" s="2">
        <f>[2]Indicators!AB204</f>
        <v>44.431699999999999</v>
      </c>
      <c r="N322" s="2">
        <f>[8]m!$C324</f>
        <v>5.25</v>
      </c>
      <c r="O322">
        <f>[9]Unemployment!$B204</f>
        <v>7.6000000000000005</v>
      </c>
      <c r="P322" s="2">
        <f>[2]Surveys_m!$B204</f>
        <v>94.600000000000009</v>
      </c>
      <c r="Q322">
        <f>[5]m!$B324</f>
        <v>57.6</v>
      </c>
      <c r="R322">
        <f>[5]m!$D324</f>
        <v>58.2</v>
      </c>
      <c r="S322">
        <f>[5]m!$Q324</f>
        <v>61.800000000000004</v>
      </c>
      <c r="T322">
        <f>[6]m!B324</f>
        <v>564</v>
      </c>
      <c r="U322" s="2">
        <f>[9]Unemployment!$F204</f>
        <v>15.200000000000001</v>
      </c>
      <c r="V322" s="2">
        <f>[9]Unemployment!$G204</f>
        <v>7.8000000000000007</v>
      </c>
      <c r="W322">
        <f>[9]Unemployment!$E204</f>
        <v>7380</v>
      </c>
      <c r="X322">
        <f>[9]Unemployment!N204</f>
        <v>2910</v>
      </c>
      <c r="Y322">
        <f>[9]Unemployment!O204</f>
        <v>2329</v>
      </c>
      <c r="Z322">
        <f>[9]Unemployment!P204-[9]Unemployment!Q204</f>
        <v>1092</v>
      </c>
      <c r="AA322">
        <f>[9]Unemployment!$Q204</f>
        <v>1204</v>
      </c>
      <c r="AB322" s="2">
        <f>[8]m!$B324</f>
        <v>5.08</v>
      </c>
      <c r="AC322" s="2">
        <f>[8]m!$F324</f>
        <v>7.59</v>
      </c>
      <c r="AD322">
        <f>[9]Employment!$B204</f>
        <v>79892</v>
      </c>
      <c r="AE322" s="2">
        <f>[2]Indicators!$AB204</f>
        <v>44.431699999999999</v>
      </c>
      <c r="AF322" s="2">
        <f>[8]m!$AS324</f>
        <v>218.70000000000002</v>
      </c>
      <c r="AG322" s="2">
        <f>[8]m!$H324</f>
        <v>8.3800000000000008</v>
      </c>
      <c r="AH322" s="2">
        <f>[8]m!$I324</f>
        <v>9.4</v>
      </c>
      <c r="AI322" s="2">
        <f>[7]m!C323</f>
        <v>12268</v>
      </c>
      <c r="AJ322" s="2">
        <f>[7]m!D323</f>
        <v>12815</v>
      </c>
      <c r="AK322" s="2">
        <f>[2]Surveys_m!$AB204</f>
        <v>53.6</v>
      </c>
      <c r="AL322" s="4">
        <f t="shared" si="4"/>
        <v>3015.1934235976792</v>
      </c>
      <c r="AN322" s="2">
        <v>61</v>
      </c>
      <c r="AQ322" s="3">
        <f>[9]LaborForce!$B203*[9]LaborForce!$C203/100</f>
        <v>96575.864000000001</v>
      </c>
      <c r="AR322">
        <f>[9]Unemployment!$AC204</f>
        <v>394</v>
      </c>
      <c r="AS322">
        <f>[2]Indicators!BC204</f>
        <v>48.800000000000004</v>
      </c>
      <c r="AT322">
        <f>[2]Indicators!BD204</f>
        <v>48.889800000000001</v>
      </c>
      <c r="AU322">
        <f>[2]Indicators!BE204</f>
        <v>101.932</v>
      </c>
    </row>
    <row r="323" spans="1:47" x14ac:dyDescent="0.25">
      <c r="A323" s="1">
        <v>28034</v>
      </c>
      <c r="B323" s="2">
        <f>[2]Indicators!G205</f>
        <v>1180.5720000000001</v>
      </c>
      <c r="C323" s="2">
        <f>[2]Indicators!H205</f>
        <v>170.91300000000001</v>
      </c>
      <c r="D323" s="2">
        <f>[2]Indicators!I205</f>
        <v>387.346</v>
      </c>
      <c r="E323" s="2">
        <f>[2]Indicators!J205</f>
        <v>622.31299999999999</v>
      </c>
      <c r="L323" s="2">
        <f>[2]Indicators!N205</f>
        <v>12.823</v>
      </c>
      <c r="M323" s="2">
        <f>[2]Indicators!AB205</f>
        <v>44.4651</v>
      </c>
      <c r="N323" s="2">
        <f>[8]m!$C325</f>
        <v>5.0200000000000005</v>
      </c>
      <c r="O323">
        <f>[9]Unemployment!$B205</f>
        <v>7.7</v>
      </c>
      <c r="P323" s="2">
        <f>[2]Surveys_m!$B205</f>
        <v>87.100000000000009</v>
      </c>
      <c r="Q323">
        <f>[5]m!$B325</f>
        <v>57.9</v>
      </c>
      <c r="R323">
        <f>[5]m!$D325</f>
        <v>58.5</v>
      </c>
      <c r="S323">
        <f>[5]m!$Q325</f>
        <v>61.900000000000006</v>
      </c>
      <c r="T323">
        <f>[6]m!B325</f>
        <v>-12980</v>
      </c>
      <c r="U323" s="2">
        <f>[9]Unemployment!$F205</f>
        <v>15.200000000000001</v>
      </c>
      <c r="V323" s="2">
        <f>[9]Unemployment!$G205</f>
        <v>7.7</v>
      </c>
      <c r="W323">
        <f>[9]Unemployment!$E205</f>
        <v>7430</v>
      </c>
      <c r="X323">
        <f>[9]Unemployment!N205</f>
        <v>2945</v>
      </c>
      <c r="Y323">
        <f>[9]Unemployment!O205</f>
        <v>2285</v>
      </c>
      <c r="Z323">
        <f>[9]Unemployment!P205-[9]Unemployment!Q205</f>
        <v>1061</v>
      </c>
      <c r="AA323">
        <f>[9]Unemployment!$Q205</f>
        <v>1231</v>
      </c>
      <c r="AB323" s="2">
        <f>[8]m!$B325</f>
        <v>4.92</v>
      </c>
      <c r="AC323" s="2">
        <f>[8]m!$F325</f>
        <v>7.41</v>
      </c>
      <c r="AD323">
        <f>[9]Employment!$B205</f>
        <v>79905</v>
      </c>
      <c r="AE323" s="2">
        <f>[2]Indicators!$AB205</f>
        <v>44.4651</v>
      </c>
      <c r="AF323" s="2">
        <f>[8]m!$AS325</f>
        <v>220.9</v>
      </c>
      <c r="AG323" s="2">
        <f>[8]m!$H325</f>
        <v>8.32</v>
      </c>
      <c r="AH323" s="2">
        <f>[8]m!$I325</f>
        <v>9.2900000000000009</v>
      </c>
      <c r="AI323" s="2">
        <f>[7]m!C324</f>
        <v>12283</v>
      </c>
      <c r="AJ323" s="2">
        <f>[7]m!D324</f>
        <v>13049</v>
      </c>
      <c r="AK323" s="2">
        <f>[2]Surveys_m!$AB205</f>
        <v>53.5</v>
      </c>
      <c r="AL323" s="4">
        <f t="shared" si="4"/>
        <v>3064.6228239845263</v>
      </c>
      <c r="AN323" s="2">
        <v>62</v>
      </c>
      <c r="AQ323" s="3">
        <f>[9]LaborForce!$B204*[9]LaborForce!$C204/100</f>
        <v>96707.688000000009</v>
      </c>
      <c r="AR323">
        <f>[9]Unemployment!$AC205</f>
        <v>408</v>
      </c>
      <c r="AS323">
        <f>[2]Indicators!BC205</f>
        <v>48.800000000000004</v>
      </c>
      <c r="AT323">
        <f>[2]Indicators!BD205</f>
        <v>49.0411</v>
      </c>
      <c r="AU323">
        <f>[2]Indicators!BE205</f>
        <v>101.98100000000001</v>
      </c>
    </row>
    <row r="324" spans="1:47" x14ac:dyDescent="0.25">
      <c r="A324" s="1">
        <v>28065</v>
      </c>
      <c r="B324" s="2">
        <f>[2]Indicators!G206</f>
        <v>1192.7540000000001</v>
      </c>
      <c r="C324" s="2">
        <f>[2]Indicators!H206</f>
        <v>173.245</v>
      </c>
      <c r="D324" s="2">
        <f>[2]Indicators!I206</f>
        <v>388.23500000000001</v>
      </c>
      <c r="E324" s="2">
        <f>[2]Indicators!J206</f>
        <v>631.274</v>
      </c>
      <c r="L324" s="2">
        <f>[2]Indicators!N206</f>
        <v>13.332000000000001</v>
      </c>
      <c r="M324" s="2">
        <f>[2]Indicators!AB206</f>
        <v>45.1233</v>
      </c>
      <c r="N324" s="2">
        <f>[8]m!$C326</f>
        <v>4.95</v>
      </c>
      <c r="O324">
        <f>[9]Unemployment!$B206</f>
        <v>7.8000000000000007</v>
      </c>
      <c r="P324" s="2">
        <f>[2]Surveys_m!$B206</f>
        <v>87.100000000000009</v>
      </c>
      <c r="Q324">
        <f>[5]m!$B326</f>
        <v>58.1</v>
      </c>
      <c r="R324">
        <f>[5]m!$D326</f>
        <v>58.7</v>
      </c>
      <c r="S324">
        <f>[5]m!$Q326</f>
        <v>62</v>
      </c>
      <c r="T324">
        <f>[6]m!B326</f>
        <v>-7383</v>
      </c>
      <c r="U324" s="2">
        <f>[9]Unemployment!$F206</f>
        <v>15.3</v>
      </c>
      <c r="V324" s="2">
        <f>[9]Unemployment!$G206</f>
        <v>8.4</v>
      </c>
      <c r="W324">
        <f>[9]Unemployment!$E206</f>
        <v>7620</v>
      </c>
      <c r="X324">
        <f>[9]Unemployment!N206</f>
        <v>2826</v>
      </c>
      <c r="Y324">
        <f>[9]Unemployment!O206</f>
        <v>2449</v>
      </c>
      <c r="Z324">
        <f>[9]Unemployment!P206-[9]Unemployment!Q206</f>
        <v>1076</v>
      </c>
      <c r="AA324">
        <f>[9]Unemployment!$Q206</f>
        <v>1278</v>
      </c>
      <c r="AB324" s="2">
        <f>[8]m!$B326</f>
        <v>4.3500000000000005</v>
      </c>
      <c r="AC324" s="2">
        <f>[8]m!$F326</f>
        <v>7.29</v>
      </c>
      <c r="AD324">
        <f>[9]Employment!$B206</f>
        <v>80237</v>
      </c>
      <c r="AE324" s="2">
        <f>[2]Indicators!$AB206</f>
        <v>45.1233</v>
      </c>
      <c r="AF324" s="2">
        <f>[8]m!$AS326</f>
        <v>222.8</v>
      </c>
      <c r="AG324" s="2">
        <f>[8]m!$H326</f>
        <v>8.25</v>
      </c>
      <c r="AH324" s="2">
        <f>[8]m!$I326</f>
        <v>9.23</v>
      </c>
      <c r="AI324" s="2">
        <f>[7]m!C325</f>
        <v>12260</v>
      </c>
      <c r="AJ324" s="2">
        <f>[7]m!D325</f>
        <v>12969</v>
      </c>
      <c r="AK324" s="2">
        <f>[2]Surveys_m!$AB206</f>
        <v>51.7</v>
      </c>
      <c r="AL324" s="4">
        <f t="shared" si="4"/>
        <v>3163.4816247582207</v>
      </c>
      <c r="AN324" s="2">
        <v>64</v>
      </c>
      <c r="AQ324" s="3">
        <f>[9]LaborForce!$B205*[9]LaborForce!$C205/100</f>
        <v>97328.464999999997</v>
      </c>
      <c r="AR324">
        <f>[9]Unemployment!$AC206</f>
        <v>414</v>
      </c>
      <c r="AS324">
        <f>[2]Indicators!BC206</f>
        <v>49.2</v>
      </c>
      <c r="AT324">
        <f>[2]Indicators!BD206</f>
        <v>49.257300000000001</v>
      </c>
      <c r="AU324">
        <f>[2]Indicators!BE206</f>
        <v>102.16160000000001</v>
      </c>
    </row>
    <row r="325" spans="1:47" x14ac:dyDescent="0.25">
      <c r="A325" s="1">
        <v>28095</v>
      </c>
      <c r="B325" s="2">
        <f>[2]Indicators!G207</f>
        <v>1215.1859999999999</v>
      </c>
      <c r="C325" s="2">
        <f>[2]Indicators!H207</f>
        <v>182.209</v>
      </c>
      <c r="D325" s="2">
        <f>[2]Indicators!I207</f>
        <v>393.24099999999999</v>
      </c>
      <c r="E325" s="2">
        <f>[2]Indicators!J207</f>
        <v>639.73599999999999</v>
      </c>
      <c r="L325" s="2">
        <f>[2]Indicators!N207</f>
        <v>14.527000000000001</v>
      </c>
      <c r="M325" s="2">
        <f>[2]Indicators!AB207</f>
        <v>45.581000000000003</v>
      </c>
      <c r="N325" s="2">
        <f>[8]m!$C327</f>
        <v>4.6500000000000004</v>
      </c>
      <c r="O325">
        <f>[9]Unemployment!$B207</f>
        <v>7.8000000000000007</v>
      </c>
      <c r="P325" s="2">
        <f>[2]Surveys_m!$B207</f>
        <v>98.9</v>
      </c>
      <c r="Q325">
        <f>[5]m!$B327</f>
        <v>58.4</v>
      </c>
      <c r="R325">
        <f>[5]m!$D327</f>
        <v>58.9</v>
      </c>
      <c r="S325">
        <f>[5]m!$Q327</f>
        <v>62.5</v>
      </c>
      <c r="T325">
        <f>[6]m!B327</f>
        <v>-2418</v>
      </c>
      <c r="U325" s="2">
        <f>[9]Unemployment!$F207</f>
        <v>15.100000000000001</v>
      </c>
      <c r="V325" s="2">
        <f>[9]Unemployment!$G207</f>
        <v>8</v>
      </c>
      <c r="W325">
        <f>[9]Unemployment!$E207</f>
        <v>7545</v>
      </c>
      <c r="X325">
        <f>[9]Unemployment!N207</f>
        <v>2921</v>
      </c>
      <c r="Y325">
        <f>[9]Unemployment!O207</f>
        <v>2304</v>
      </c>
      <c r="Z325">
        <f>[9]Unemployment!P207-[9]Unemployment!Q207</f>
        <v>1041</v>
      </c>
      <c r="AA325">
        <f>[9]Unemployment!$Q207</f>
        <v>1334</v>
      </c>
      <c r="AB325" s="2">
        <f>[8]m!$B327</f>
        <v>4.3500000000000005</v>
      </c>
      <c r="AC325" s="2">
        <f>[8]m!$F327</f>
        <v>6.87</v>
      </c>
      <c r="AD325">
        <f>[9]Employment!$B207</f>
        <v>80448</v>
      </c>
      <c r="AE325" s="2">
        <f>[2]Indicators!$AB207</f>
        <v>45.581000000000003</v>
      </c>
      <c r="AF325" s="2">
        <f>[8]m!$AS327</f>
        <v>225.70000000000002</v>
      </c>
      <c r="AG325" s="2">
        <f>[8]m!$H327</f>
        <v>7.98</v>
      </c>
      <c r="AH325" s="2">
        <f>[8]m!$I327</f>
        <v>9.120000000000001</v>
      </c>
      <c r="AI325" s="2">
        <f>[7]m!C326</f>
        <v>12090</v>
      </c>
      <c r="AJ325" s="2">
        <f>[7]m!D326</f>
        <v>13110</v>
      </c>
      <c r="AK325" s="2">
        <f>[2]Surveys_m!$AB207</f>
        <v>56.6</v>
      </c>
      <c r="AL325" s="4">
        <f t="shared" si="4"/>
        <v>3262.3404255319151</v>
      </c>
      <c r="AN325" s="2">
        <v>66</v>
      </c>
      <c r="AQ325" s="3">
        <f>[9]LaborForce!$B206*[9]LaborForce!$C206/100</f>
        <v>97296.684000000008</v>
      </c>
      <c r="AR325">
        <f>[9]Unemployment!$AC207</f>
        <v>377</v>
      </c>
      <c r="AS325">
        <f>[2]Indicators!BC207</f>
        <v>49.800000000000004</v>
      </c>
      <c r="AT325">
        <f>[2]Indicators!BD207</f>
        <v>49.538400000000003</v>
      </c>
      <c r="AU325">
        <f>[2]Indicators!BE207</f>
        <v>102.47280000000001</v>
      </c>
    </row>
    <row r="326" spans="1:47" x14ac:dyDescent="0.25">
      <c r="A326" s="1">
        <v>28126</v>
      </c>
      <c r="B326" s="2">
        <f>[2]Indicators!G208</f>
        <v>1218.472</v>
      </c>
      <c r="C326" s="2">
        <f>[2]Indicators!H208</f>
        <v>177.81</v>
      </c>
      <c r="D326" s="2">
        <f>[2]Indicators!I208</f>
        <v>394.50600000000003</v>
      </c>
      <c r="E326" s="2">
        <f>[2]Indicators!J208</f>
        <v>646.15600000000006</v>
      </c>
      <c r="L326" s="2">
        <f>[2]Indicators!N208</f>
        <v>14.396000000000001</v>
      </c>
      <c r="M326" s="2">
        <f>[2]Indicators!AB208</f>
        <v>45.317100000000003</v>
      </c>
      <c r="N326" s="2">
        <f>[8]m!$C328</f>
        <v>4.6100000000000003</v>
      </c>
      <c r="O326">
        <f>[9]Unemployment!$B208</f>
        <v>7.5</v>
      </c>
      <c r="P326" s="2">
        <f>[2]Surveys_m!$B208</f>
        <v>98.9</v>
      </c>
      <c r="Q326">
        <f>[5]m!$B328</f>
        <v>58.7</v>
      </c>
      <c r="R326">
        <f>[5]m!$D328</f>
        <v>59.300000000000004</v>
      </c>
      <c r="S326">
        <f>[5]m!$Q328</f>
        <v>62.800000000000004</v>
      </c>
      <c r="T326">
        <f>[6]m!B328</f>
        <v>-2663</v>
      </c>
      <c r="U326" s="2">
        <f>[9]Unemployment!$F208</f>
        <v>15.200000000000001</v>
      </c>
      <c r="V326" s="2">
        <f>[9]Unemployment!$G208</f>
        <v>7.5</v>
      </c>
      <c r="W326">
        <f>[9]Unemployment!$E208</f>
        <v>7280</v>
      </c>
      <c r="X326">
        <f>[9]Unemployment!N208</f>
        <v>2894</v>
      </c>
      <c r="Y326">
        <f>[9]Unemployment!O208</f>
        <v>2206</v>
      </c>
      <c r="Z326">
        <f>[9]Unemployment!P208-[9]Unemployment!Q208</f>
        <v>989</v>
      </c>
      <c r="AA326">
        <f>[9]Unemployment!$Q208</f>
        <v>1211</v>
      </c>
      <c r="AB326" s="2">
        <f>[8]m!$B328</f>
        <v>4.62</v>
      </c>
      <c r="AC326" s="2">
        <f>[8]m!$F328</f>
        <v>7.21</v>
      </c>
      <c r="AD326">
        <f>[9]Employment!$B208</f>
        <v>80692</v>
      </c>
      <c r="AE326" s="2">
        <f>[2]Indicators!$AB208</f>
        <v>45.317100000000003</v>
      </c>
      <c r="AF326" s="2">
        <f>[8]m!$AS328</f>
        <v>225.70000000000002</v>
      </c>
      <c r="AG326" s="2">
        <f>[8]m!$H328</f>
        <v>7.96</v>
      </c>
      <c r="AH326" s="2">
        <f>[8]m!$I328</f>
        <v>9.08</v>
      </c>
      <c r="AI326" s="2">
        <f>[7]m!C327</f>
        <v>12938</v>
      </c>
      <c r="AJ326" s="2">
        <f>[7]m!D327</f>
        <v>13725</v>
      </c>
      <c r="AK326" s="2">
        <f>[2]Surveys_m!$AB208</f>
        <v>54.800000000000004</v>
      </c>
      <c r="AL326" s="4">
        <f t="shared" si="4"/>
        <v>3361.1992263056095</v>
      </c>
      <c r="AN326" s="2">
        <v>68</v>
      </c>
      <c r="AQ326" s="3">
        <f>[9]LaborForce!$B207*[9]LaborForce!$C207/100</f>
        <v>97135.808000000005</v>
      </c>
      <c r="AR326">
        <f>[9]Unemployment!$AC208</f>
        <v>380</v>
      </c>
      <c r="AS326">
        <f>[2]Indicators!BC208</f>
        <v>49.7</v>
      </c>
      <c r="AT326">
        <f>[2]Indicators!BD208</f>
        <v>49.856700000000004</v>
      </c>
      <c r="AU326">
        <f>[2]Indicators!BE208</f>
        <v>102.857</v>
      </c>
    </row>
    <row r="327" spans="1:47" x14ac:dyDescent="0.25">
      <c r="A327" s="1">
        <v>28157</v>
      </c>
      <c r="B327" s="2">
        <f>[2]Indicators!G209</f>
        <v>1234.7450000000001</v>
      </c>
      <c r="C327" s="2">
        <f>[2]Indicators!H209</f>
        <v>184.06</v>
      </c>
      <c r="D327" s="2">
        <f>[2]Indicators!I209</f>
        <v>397.74900000000002</v>
      </c>
      <c r="E327" s="2">
        <f>[2]Indicators!J209</f>
        <v>652.93500000000006</v>
      </c>
      <c r="L327" s="2">
        <f>[2]Indicators!N209</f>
        <v>14.709</v>
      </c>
      <c r="M327" s="2">
        <f>[2]Indicators!AB209</f>
        <v>45.988900000000001</v>
      </c>
      <c r="N327" s="2">
        <f>[8]m!$C329</f>
        <v>4.68</v>
      </c>
      <c r="O327">
        <f>[9]Unemployment!$B209</f>
        <v>7.6000000000000005</v>
      </c>
      <c r="P327" s="2">
        <f>[2]Surveys_m!$B209</f>
        <v>97.600000000000009</v>
      </c>
      <c r="Q327">
        <f>[5]m!$B329</f>
        <v>59.300000000000004</v>
      </c>
      <c r="R327">
        <f>[5]m!$D329</f>
        <v>59.7</v>
      </c>
      <c r="S327">
        <f>[5]m!$Q329</f>
        <v>63.5</v>
      </c>
      <c r="T327">
        <f>[6]m!B329</f>
        <v>-6554</v>
      </c>
      <c r="U327" s="2">
        <f>[9]Unemployment!$F209</f>
        <v>14.700000000000001</v>
      </c>
      <c r="V327" s="2">
        <f>[9]Unemployment!$G209</f>
        <v>7.2</v>
      </c>
      <c r="W327">
        <f>[9]Unemployment!$E209</f>
        <v>7443</v>
      </c>
      <c r="X327">
        <f>[9]Unemployment!N209</f>
        <v>3015</v>
      </c>
      <c r="Y327">
        <f>[9]Unemployment!O209</f>
        <v>2240</v>
      </c>
      <c r="Z327">
        <f>[9]Unemployment!P209-[9]Unemployment!Q209</f>
        <v>969</v>
      </c>
      <c r="AA327">
        <f>[9]Unemployment!$Q209</f>
        <v>1205</v>
      </c>
      <c r="AB327" s="2">
        <f>[8]m!$B329</f>
        <v>4.67</v>
      </c>
      <c r="AC327" s="2">
        <f>[8]m!$F329</f>
        <v>7.3900000000000006</v>
      </c>
      <c r="AD327">
        <f>[9]Employment!$B209</f>
        <v>80987</v>
      </c>
      <c r="AE327" s="2">
        <f>[2]Indicators!$AB209</f>
        <v>45.988900000000001</v>
      </c>
      <c r="AF327" s="2">
        <f>[8]m!$AS329</f>
        <v>228.5</v>
      </c>
      <c r="AG327" s="2">
        <f>[8]m!$H329</f>
        <v>8.0400000000000009</v>
      </c>
      <c r="AH327" s="2">
        <f>[8]m!$I329</f>
        <v>9.120000000000001</v>
      </c>
      <c r="AI327" s="2">
        <f>[7]m!C328</f>
        <v>12175</v>
      </c>
      <c r="AJ327" s="2">
        <f>[7]m!D328</f>
        <v>12919</v>
      </c>
      <c r="AK327" s="2">
        <f>[2]Surveys_m!$AB209</f>
        <v>55</v>
      </c>
      <c r="AL327" s="4">
        <f t="shared" si="4"/>
        <v>3361.1992263056095</v>
      </c>
      <c r="AN327" s="2">
        <v>68</v>
      </c>
      <c r="AQ327" s="3">
        <f>[9]LaborForce!$B208*[9]LaborForce!$C208/100</f>
        <v>97748.147000000012</v>
      </c>
      <c r="AR327">
        <f>[9]Unemployment!$AC209</f>
        <v>422</v>
      </c>
      <c r="AS327">
        <f>[2]Indicators!BC209</f>
        <v>50.2</v>
      </c>
      <c r="AT327">
        <f>[2]Indicators!BD209</f>
        <v>50.197600000000001</v>
      </c>
      <c r="AU327">
        <f>[2]Indicators!BE209</f>
        <v>103.2843</v>
      </c>
    </row>
    <row r="328" spans="1:47" x14ac:dyDescent="0.25">
      <c r="A328" s="1">
        <v>28185</v>
      </c>
      <c r="B328" s="2">
        <f>[2]Indicators!G210</f>
        <v>1241.7740000000001</v>
      </c>
      <c r="C328" s="2">
        <f>[2]Indicators!H210</f>
        <v>189.923</v>
      </c>
      <c r="D328" s="2">
        <f>[2]Indicators!I210</f>
        <v>397.14600000000002</v>
      </c>
      <c r="E328" s="2">
        <f>[2]Indicators!J210</f>
        <v>654.70500000000004</v>
      </c>
      <c r="L328" s="2">
        <f>[2]Indicators!N210</f>
        <v>15.17</v>
      </c>
      <c r="M328" s="2">
        <f>[2]Indicators!AB210</f>
        <v>46.560300000000005</v>
      </c>
      <c r="N328" s="2">
        <f>[8]m!$C330</f>
        <v>4.6900000000000004</v>
      </c>
      <c r="O328">
        <f>[9]Unemployment!$B210</f>
        <v>7.4</v>
      </c>
      <c r="P328" s="2">
        <f>[2]Surveys_m!$B210</f>
        <v>97.600000000000009</v>
      </c>
      <c r="Q328">
        <f>[5]m!$B330</f>
        <v>59.6</v>
      </c>
      <c r="R328">
        <f>[5]m!$D330</f>
        <v>60</v>
      </c>
      <c r="S328">
        <f>[5]m!$Q330</f>
        <v>64.100000000000009</v>
      </c>
      <c r="T328">
        <f>[6]m!B330</f>
        <v>-9473</v>
      </c>
      <c r="U328" s="2">
        <f>[9]Unemployment!$F210</f>
        <v>14.5</v>
      </c>
      <c r="V328" s="2">
        <f>[9]Unemployment!$G210</f>
        <v>7.2</v>
      </c>
      <c r="W328">
        <f>[9]Unemployment!$E210</f>
        <v>7307</v>
      </c>
      <c r="X328">
        <f>[9]Unemployment!N210</f>
        <v>2993</v>
      </c>
      <c r="Y328">
        <f>[9]Unemployment!O210</f>
        <v>2213</v>
      </c>
      <c r="Z328">
        <f>[9]Unemployment!P210-[9]Unemployment!Q210</f>
        <v>894</v>
      </c>
      <c r="AA328">
        <f>[9]Unemployment!$Q210</f>
        <v>1163</v>
      </c>
      <c r="AB328" s="2">
        <f>[8]m!$B330</f>
        <v>4.53</v>
      </c>
      <c r="AC328" s="2">
        <f>[8]m!$F330</f>
        <v>7.46</v>
      </c>
      <c r="AD328">
        <f>[9]Employment!$B210</f>
        <v>81391</v>
      </c>
      <c r="AE328" s="2">
        <f>[2]Indicators!$AB210</f>
        <v>46.560300000000005</v>
      </c>
      <c r="AF328" s="2">
        <f>[8]m!$AS330</f>
        <v>232.3</v>
      </c>
      <c r="AG328" s="2">
        <f>[8]m!$H330</f>
        <v>8.1</v>
      </c>
      <c r="AH328" s="2">
        <f>[8]m!$I330</f>
        <v>9.120000000000001</v>
      </c>
      <c r="AI328" s="2">
        <f>[7]m!C329</f>
        <v>12398</v>
      </c>
      <c r="AJ328" s="2">
        <f>[7]m!D329</f>
        <v>15215</v>
      </c>
      <c r="AK328" s="2">
        <f>[2]Surveys_m!$AB210</f>
        <v>58.400000000000006</v>
      </c>
      <c r="AL328" s="4">
        <f t="shared" si="4"/>
        <v>3460.0580270793039</v>
      </c>
      <c r="AN328" s="2">
        <v>70</v>
      </c>
      <c r="AQ328" s="3">
        <f>[9]LaborForce!$B209*[9]LaborForce!$C209/100</f>
        <v>98041.22</v>
      </c>
      <c r="AR328">
        <f>[9]Unemployment!$AC210</f>
        <v>362</v>
      </c>
      <c r="AS328">
        <f>[2]Indicators!BC210</f>
        <v>50.6</v>
      </c>
      <c r="AT328">
        <f>[2]Indicators!BD210</f>
        <v>50.515800000000006</v>
      </c>
      <c r="AU328">
        <f>[2]Indicators!BE210</f>
        <v>103.66160000000001</v>
      </c>
    </row>
    <row r="329" spans="1:47" x14ac:dyDescent="0.25">
      <c r="A329" s="1">
        <v>28216</v>
      </c>
      <c r="B329" s="2">
        <f>[2]Indicators!G211</f>
        <v>1250.848</v>
      </c>
      <c r="C329" s="2">
        <f>[2]Indicators!H211</f>
        <v>188.852</v>
      </c>
      <c r="D329" s="2">
        <f>[2]Indicators!I211</f>
        <v>402.05</v>
      </c>
      <c r="E329" s="2">
        <f>[2]Indicators!J211</f>
        <v>659.94500000000005</v>
      </c>
      <c r="L329" s="2">
        <f>[2]Indicators!N211</f>
        <v>15.135</v>
      </c>
      <c r="M329" s="2">
        <f>[2]Indicators!AB211</f>
        <v>47.011800000000001</v>
      </c>
      <c r="N329" s="2">
        <f>[8]m!$C331</f>
        <v>4.7300000000000004</v>
      </c>
      <c r="O329">
        <f>[9]Unemployment!$B211</f>
        <v>7.2</v>
      </c>
      <c r="P329" s="2">
        <f>[2]Surveys_m!$B211</f>
        <v>93.100000000000009</v>
      </c>
      <c r="Q329">
        <f>[5]m!$B331</f>
        <v>60</v>
      </c>
      <c r="R329">
        <f>[5]m!$D331</f>
        <v>60.300000000000004</v>
      </c>
      <c r="S329">
        <f>[5]m!$Q331</f>
        <v>64.900000000000006</v>
      </c>
      <c r="T329">
        <f>[6]m!B331</f>
        <v>4469</v>
      </c>
      <c r="U329" s="2">
        <f>[9]Unemployment!$F211</f>
        <v>14.4</v>
      </c>
      <c r="V329" s="2">
        <f>[9]Unemployment!$G211</f>
        <v>7.3000000000000007</v>
      </c>
      <c r="W329">
        <f>[9]Unemployment!$E211</f>
        <v>7059</v>
      </c>
      <c r="X329">
        <f>[9]Unemployment!N211</f>
        <v>3015</v>
      </c>
      <c r="Y329">
        <f>[9]Unemployment!O211</f>
        <v>1994</v>
      </c>
      <c r="Z329">
        <f>[9]Unemployment!P211-[9]Unemployment!Q211</f>
        <v>816</v>
      </c>
      <c r="AA329">
        <f>[9]Unemployment!$Q211</f>
        <v>1120</v>
      </c>
      <c r="AB329" s="2">
        <f>[8]m!$B331</f>
        <v>4.7</v>
      </c>
      <c r="AC329" s="2">
        <f>[8]m!$F331</f>
        <v>7.37</v>
      </c>
      <c r="AD329">
        <f>[9]Employment!$B211</f>
        <v>81730</v>
      </c>
      <c r="AE329" s="2">
        <f>[2]Indicators!$AB211</f>
        <v>47.011800000000001</v>
      </c>
      <c r="AF329" s="2">
        <f>[8]m!$AS331</f>
        <v>235.60000000000002</v>
      </c>
      <c r="AG329" s="2">
        <f>[8]m!$H331</f>
        <v>8.0400000000000009</v>
      </c>
      <c r="AH329" s="2">
        <f>[8]m!$I331</f>
        <v>9.07</v>
      </c>
      <c r="AI329" s="2">
        <f>[7]m!C330</f>
        <v>12665</v>
      </c>
      <c r="AJ329" s="2">
        <f>[7]m!D330</f>
        <v>15017</v>
      </c>
      <c r="AK329" s="2">
        <f>[2]Surveys_m!$AB211</f>
        <v>56.900000000000006</v>
      </c>
      <c r="AL329" s="4">
        <f t="shared" si="4"/>
        <v>3558.9168278529983</v>
      </c>
      <c r="AN329" s="2">
        <v>72</v>
      </c>
      <c r="AQ329" s="3">
        <f>[9]LaborForce!$B210*[9]LaborForce!$C210/100</f>
        <v>98348.391000000003</v>
      </c>
      <c r="AR329">
        <f>[9]Unemployment!$AC211</f>
        <v>350</v>
      </c>
      <c r="AS329">
        <f>[2]Indicators!BC211</f>
        <v>50.800000000000004</v>
      </c>
      <c r="AT329">
        <f>[2]Indicators!BD211</f>
        <v>50.768100000000004</v>
      </c>
      <c r="AU329">
        <f>[2]Indicators!BE211</f>
        <v>103.90140000000001</v>
      </c>
    </row>
    <row r="330" spans="1:47" x14ac:dyDescent="0.25">
      <c r="A330" s="1">
        <v>28246</v>
      </c>
      <c r="B330" s="2">
        <f>[2]Indicators!G212</f>
        <v>1260.758</v>
      </c>
      <c r="C330" s="2">
        <f>[2]Indicators!H212</f>
        <v>188.57900000000001</v>
      </c>
      <c r="D330" s="2">
        <f>[2]Indicators!I212</f>
        <v>404.62</v>
      </c>
      <c r="E330" s="2">
        <f>[2]Indicators!J212</f>
        <v>667.55799999999999</v>
      </c>
      <c r="L330" s="2">
        <f>[2]Indicators!N212</f>
        <v>14.984</v>
      </c>
      <c r="M330" s="2">
        <f>[2]Indicators!AB212</f>
        <v>47.403200000000005</v>
      </c>
      <c r="N330" s="2">
        <f>[8]m!$C332</f>
        <v>5.3500000000000005</v>
      </c>
      <c r="O330">
        <f>[9]Unemployment!$B212</f>
        <v>7</v>
      </c>
      <c r="P330" s="2">
        <f>[2]Surveys_m!$B212</f>
        <v>93.100000000000009</v>
      </c>
      <c r="Q330">
        <f>[5]m!$B332</f>
        <v>60.2</v>
      </c>
      <c r="R330">
        <f>[5]m!$D332</f>
        <v>60.6</v>
      </c>
      <c r="S330">
        <f>[5]m!$Q332</f>
        <v>65.2</v>
      </c>
      <c r="T330">
        <f>[6]m!B332</f>
        <v>-6042</v>
      </c>
      <c r="U330" s="2">
        <f>[9]Unemployment!$F212</f>
        <v>14.9</v>
      </c>
      <c r="V330" s="2">
        <f>[9]Unemployment!$G212</f>
        <v>7.9</v>
      </c>
      <c r="W330">
        <f>[9]Unemployment!$E212</f>
        <v>6911</v>
      </c>
      <c r="X330">
        <f>[9]Unemployment!N212</f>
        <v>2754</v>
      </c>
      <c r="Y330">
        <f>[9]Unemployment!O212</f>
        <v>2170</v>
      </c>
      <c r="Z330">
        <f>[9]Unemployment!P212-[9]Unemployment!Q212</f>
        <v>859</v>
      </c>
      <c r="AA330">
        <f>[9]Unemployment!$Q212</f>
        <v>1069</v>
      </c>
      <c r="AB330" s="2">
        <f>[8]m!$B332</f>
        <v>5.01</v>
      </c>
      <c r="AC330" s="2">
        <f>[8]m!$F332</f>
        <v>7.46</v>
      </c>
      <c r="AD330">
        <f>[9]Employment!$B212</f>
        <v>82089</v>
      </c>
      <c r="AE330" s="2">
        <f>[2]Indicators!$AB212</f>
        <v>47.403200000000005</v>
      </c>
      <c r="AF330" s="2">
        <f>[8]m!$AS332</f>
        <v>239</v>
      </c>
      <c r="AG330" s="2">
        <f>[8]m!$H332</f>
        <v>8.0500000000000007</v>
      </c>
      <c r="AH330" s="2">
        <f>[8]m!$I332</f>
        <v>9.01</v>
      </c>
      <c r="AI330" s="2">
        <f>[7]m!C331</f>
        <v>12589</v>
      </c>
      <c r="AJ330" s="2">
        <f>[7]m!D331</f>
        <v>14440</v>
      </c>
      <c r="AK330" s="2">
        <f>[2]Surveys_m!$AB212</f>
        <v>59.7</v>
      </c>
      <c r="AL330" s="4">
        <f t="shared" si="4"/>
        <v>3657.7756286266927</v>
      </c>
      <c r="AN330" s="2">
        <v>74</v>
      </c>
      <c r="AQ330" s="3">
        <f>[9]LaborForce!$B211*[9]LaborForce!$C211/100</f>
        <v>98684.65400000001</v>
      </c>
      <c r="AR330">
        <f>[9]Unemployment!$AC212</f>
        <v>375</v>
      </c>
      <c r="AS330">
        <f>[2]Indicators!BC212</f>
        <v>51</v>
      </c>
      <c r="AT330">
        <f>[2]Indicators!BD212</f>
        <v>50.953300000000006</v>
      </c>
      <c r="AU330">
        <f>[2]Indicators!BE212</f>
        <v>104.00320000000001</v>
      </c>
    </row>
    <row r="331" spans="1:47" x14ac:dyDescent="0.25">
      <c r="A331" s="1">
        <v>28277</v>
      </c>
      <c r="B331" s="2">
        <f>[2]Indicators!G213</f>
        <v>1267.3920000000001</v>
      </c>
      <c r="C331" s="2">
        <f>[2]Indicators!H213</f>
        <v>190.238</v>
      </c>
      <c r="D331" s="2">
        <f>[2]Indicators!I213</f>
        <v>404.44</v>
      </c>
      <c r="E331" s="2">
        <f>[2]Indicators!J213</f>
        <v>672.71299999999997</v>
      </c>
      <c r="L331" s="2">
        <f>[2]Indicators!N213</f>
        <v>14.952</v>
      </c>
      <c r="M331" s="2">
        <f>[2]Indicators!AB213</f>
        <v>47.757000000000005</v>
      </c>
      <c r="N331" s="2">
        <f>[8]m!$C333</f>
        <v>5.39</v>
      </c>
      <c r="O331">
        <f>[9]Unemployment!$B213</f>
        <v>7.2</v>
      </c>
      <c r="P331" s="2">
        <f>[2]Surveys_m!$B213</f>
        <v>98.2</v>
      </c>
      <c r="Q331">
        <f>[5]m!$B333</f>
        <v>60.5</v>
      </c>
      <c r="R331">
        <f>[5]m!$D333</f>
        <v>61</v>
      </c>
      <c r="S331">
        <f>[5]m!$Q333</f>
        <v>65</v>
      </c>
      <c r="T331">
        <f>[6]m!B333</f>
        <v>10190</v>
      </c>
      <c r="U331" s="2">
        <f>[9]Unemployment!$F213</f>
        <v>14.4</v>
      </c>
      <c r="V331" s="2">
        <f>[9]Unemployment!$G213</f>
        <v>6.2</v>
      </c>
      <c r="W331">
        <f>[9]Unemployment!$E213</f>
        <v>7134</v>
      </c>
      <c r="X331">
        <f>[9]Unemployment!N213</f>
        <v>3138</v>
      </c>
      <c r="Y331">
        <f>[9]Unemployment!O213</f>
        <v>2078</v>
      </c>
      <c r="Z331">
        <f>[9]Unemployment!P213-[9]Unemployment!Q213</f>
        <v>892</v>
      </c>
      <c r="AA331">
        <f>[9]Unemployment!$Q213</f>
        <v>1026</v>
      </c>
      <c r="AB331" s="2">
        <f>[8]m!$B333</f>
        <v>4.97</v>
      </c>
      <c r="AC331" s="2">
        <f>[8]m!$F333</f>
        <v>7.28</v>
      </c>
      <c r="AD331">
        <f>[9]Employment!$B213</f>
        <v>82488</v>
      </c>
      <c r="AE331" s="2">
        <f>[2]Indicators!$AB213</f>
        <v>47.757000000000005</v>
      </c>
      <c r="AF331" s="2">
        <f>[8]m!$AS333</f>
        <v>242.4</v>
      </c>
      <c r="AG331" s="2">
        <f>[8]m!$H333</f>
        <v>7.95</v>
      </c>
      <c r="AH331" s="2">
        <f>[8]m!$I333</f>
        <v>8.91</v>
      </c>
      <c r="AI331" s="2">
        <f>[7]m!C332</f>
        <v>13165</v>
      </c>
      <c r="AJ331" s="2">
        <f>[7]m!D332</f>
        <v>13791</v>
      </c>
      <c r="AK331" s="2">
        <f>[2]Surveys_m!$AB213</f>
        <v>56.800000000000004</v>
      </c>
      <c r="AL331" s="4">
        <f t="shared" si="4"/>
        <v>3707.2050290135403</v>
      </c>
      <c r="AN331" s="2">
        <v>75</v>
      </c>
      <c r="AQ331" s="3">
        <f>[9]LaborForce!$B212*[9]LaborForce!$C212/100</f>
        <v>99171.072000000015</v>
      </c>
      <c r="AR331">
        <f>[9]Unemployment!$AC213</f>
        <v>381</v>
      </c>
      <c r="AS331">
        <f>[2]Indicators!BC213</f>
        <v>51.300000000000004</v>
      </c>
      <c r="AT331">
        <f>[2]Indicators!BD213</f>
        <v>51.073</v>
      </c>
      <c r="AU331">
        <f>[2]Indicators!BE213</f>
        <v>103.97150000000001</v>
      </c>
    </row>
    <row r="332" spans="1:47" x14ac:dyDescent="0.25">
      <c r="A332" s="1">
        <v>28307</v>
      </c>
      <c r="B332" s="2">
        <f>[2]Indicators!G214</f>
        <v>1284.3589999999999</v>
      </c>
      <c r="C332" s="2">
        <f>[2]Indicators!H214</f>
        <v>191.71700000000001</v>
      </c>
      <c r="D332" s="2">
        <f>[2]Indicators!I214</f>
        <v>409.83100000000002</v>
      </c>
      <c r="E332" s="2">
        <f>[2]Indicators!J214</f>
        <v>682.81200000000001</v>
      </c>
      <c r="L332" s="2">
        <f>[2]Indicators!N214</f>
        <v>14.641</v>
      </c>
      <c r="M332" s="2">
        <f>[2]Indicators!AB214</f>
        <v>47.828700000000005</v>
      </c>
      <c r="N332" s="2">
        <f>[8]m!$C334</f>
        <v>5.42</v>
      </c>
      <c r="O332">
        <f>[9]Unemployment!$B214</f>
        <v>6.9</v>
      </c>
      <c r="P332" s="2">
        <f>[2]Surveys_m!$B214</f>
        <v>97.5</v>
      </c>
      <c r="Q332">
        <f>[5]m!$B334</f>
        <v>60.800000000000004</v>
      </c>
      <c r="R332">
        <f>[5]m!$D334</f>
        <v>61.2</v>
      </c>
      <c r="S332">
        <f>[5]m!$Q334</f>
        <v>65.100000000000009</v>
      </c>
      <c r="T332">
        <f>[6]m!B334</f>
        <v>-8680</v>
      </c>
      <c r="U332" s="2">
        <f>[9]Unemployment!$F214</f>
        <v>14.3</v>
      </c>
      <c r="V332" s="2">
        <f>[9]Unemployment!$G214</f>
        <v>7.1000000000000005</v>
      </c>
      <c r="W332">
        <f>[9]Unemployment!$E214</f>
        <v>6829</v>
      </c>
      <c r="X332">
        <f>[9]Unemployment!N214</f>
        <v>2859</v>
      </c>
      <c r="Y332">
        <f>[9]Unemployment!O214</f>
        <v>2060</v>
      </c>
      <c r="Z332">
        <f>[9]Unemployment!P214-[9]Unemployment!Q214</f>
        <v>934</v>
      </c>
      <c r="AA332">
        <f>[9]Unemployment!$Q214</f>
        <v>973</v>
      </c>
      <c r="AB332" s="2">
        <f>[8]m!$B334</f>
        <v>5.38</v>
      </c>
      <c r="AC332" s="2">
        <f>[8]m!$F334</f>
        <v>7.33</v>
      </c>
      <c r="AD332">
        <f>[9]Employment!$B214</f>
        <v>82836</v>
      </c>
      <c r="AE332" s="2">
        <f>[2]Indicators!$AB214</f>
        <v>47.828700000000005</v>
      </c>
      <c r="AF332" s="2">
        <f>[8]m!$AS334</f>
        <v>245.5</v>
      </c>
      <c r="AG332" s="2">
        <f>[8]m!$H334</f>
        <v>7.94</v>
      </c>
      <c r="AH332" s="2">
        <f>[8]m!$I334</f>
        <v>8.870000000000001</v>
      </c>
      <c r="AI332" s="2">
        <f>[7]m!C333</f>
        <v>12730</v>
      </c>
      <c r="AJ332" s="2">
        <f>[7]m!D333</f>
        <v>15989</v>
      </c>
      <c r="AK332" s="2">
        <f>[2]Surveys_m!$AB214</f>
        <v>57.7</v>
      </c>
      <c r="AL332" s="4">
        <f t="shared" si="4"/>
        <v>3806.0638297872347</v>
      </c>
      <c r="AN332" s="2">
        <v>77</v>
      </c>
      <c r="AQ332" s="3">
        <f>[9]LaborForce!$B213*[9]LaborForce!$C213/100</f>
        <v>98853.884999999995</v>
      </c>
      <c r="AR332">
        <f>[9]Unemployment!$AC214</f>
        <v>350</v>
      </c>
      <c r="AS332">
        <f>[2]Indicators!BC214</f>
        <v>51.300000000000004</v>
      </c>
      <c r="AT332">
        <f>[2]Indicators!BD214</f>
        <v>51.141800000000003</v>
      </c>
      <c r="AU332">
        <f>[2]Indicators!BE214</f>
        <v>103.83760000000001</v>
      </c>
    </row>
    <row r="333" spans="1:47" x14ac:dyDescent="0.25">
      <c r="A333" s="1">
        <v>28338</v>
      </c>
      <c r="B333" s="2">
        <f>[2]Indicators!G215</f>
        <v>1289.653</v>
      </c>
      <c r="C333" s="2">
        <f>[2]Indicators!H215</f>
        <v>194.20500000000001</v>
      </c>
      <c r="D333" s="2">
        <f>[2]Indicators!I215</f>
        <v>408.97200000000004</v>
      </c>
      <c r="E333" s="2">
        <f>[2]Indicators!J215</f>
        <v>686.476</v>
      </c>
      <c r="L333" s="2">
        <f>[2]Indicators!N215</f>
        <v>14.859</v>
      </c>
      <c r="M333" s="2">
        <f>[2]Indicators!AB215</f>
        <v>47.850200000000001</v>
      </c>
      <c r="N333" s="2">
        <f>[8]m!$C335</f>
        <v>5.9</v>
      </c>
      <c r="O333">
        <f>[9]Unemployment!$B215</f>
        <v>7</v>
      </c>
      <c r="P333" s="2">
        <f>[2]Surveys_m!$B215</f>
        <v>98.7</v>
      </c>
      <c r="Q333">
        <f>[5]m!$B335</f>
        <v>61.1</v>
      </c>
      <c r="R333">
        <f>[5]m!$D335</f>
        <v>61.5</v>
      </c>
      <c r="S333">
        <f>[5]m!$Q335</f>
        <v>65</v>
      </c>
      <c r="T333">
        <f>[6]m!B335</f>
        <v>-5047</v>
      </c>
      <c r="U333" s="2">
        <f>[9]Unemployment!$F215</f>
        <v>13.9</v>
      </c>
      <c r="V333" s="2">
        <f>[9]Unemployment!$G215</f>
        <v>7</v>
      </c>
      <c r="W333">
        <f>[9]Unemployment!$E215</f>
        <v>6925</v>
      </c>
      <c r="X333">
        <f>[9]Unemployment!N215</f>
        <v>2896</v>
      </c>
      <c r="Y333">
        <f>[9]Unemployment!O215</f>
        <v>2207</v>
      </c>
      <c r="Z333">
        <f>[9]Unemployment!P215-[9]Unemployment!Q215</f>
        <v>938</v>
      </c>
      <c r="AA333">
        <f>[9]Unemployment!$Q215</f>
        <v>898</v>
      </c>
      <c r="AB333" s="2">
        <f>[8]m!$B335</f>
        <v>5.5600000000000005</v>
      </c>
      <c r="AC333" s="2">
        <f>[8]m!$F335</f>
        <v>7.4</v>
      </c>
      <c r="AD333">
        <f>[9]Employment!$B215</f>
        <v>83074</v>
      </c>
      <c r="AE333" s="2">
        <f>[2]Indicators!$AB215</f>
        <v>47.850200000000001</v>
      </c>
      <c r="AF333" s="2">
        <f>[8]m!$AS335</f>
        <v>248.5</v>
      </c>
      <c r="AG333" s="2">
        <f>[8]m!$H335</f>
        <v>7.98</v>
      </c>
      <c r="AH333" s="2">
        <f>[8]m!$I335</f>
        <v>8.82</v>
      </c>
      <c r="AI333" s="2">
        <f>[7]m!C334</f>
        <v>13044</v>
      </c>
      <c r="AJ333" s="2">
        <f>[7]m!D334</f>
        <v>14952</v>
      </c>
      <c r="AK333" s="2">
        <f>[2]Surveys_m!$AB215</f>
        <v>54.900000000000006</v>
      </c>
      <c r="AL333" s="4">
        <f t="shared" si="4"/>
        <v>3904.9226305609291</v>
      </c>
      <c r="AN333" s="2">
        <v>79</v>
      </c>
      <c r="AQ333" s="3">
        <f>[9]LaborForce!$B214*[9]LaborForce!$C214/100</f>
        <v>99324.89</v>
      </c>
      <c r="AR333">
        <f>[9]Unemployment!$AC215</f>
        <v>365</v>
      </c>
      <c r="AS333">
        <f>[2]Indicators!BC215</f>
        <v>51.4</v>
      </c>
      <c r="AT333">
        <f>[2]Indicators!BD215</f>
        <v>51.174400000000006</v>
      </c>
      <c r="AU333">
        <f>[2]Indicators!BE215</f>
        <v>103.63250000000001</v>
      </c>
    </row>
    <row r="334" spans="1:47" x14ac:dyDescent="0.25">
      <c r="A334" s="1">
        <v>28369</v>
      </c>
      <c r="B334" s="2">
        <f>[2]Indicators!G216</f>
        <v>1298.5989999999999</v>
      </c>
      <c r="C334" s="2">
        <f>[2]Indicators!H216</f>
        <v>196.05500000000001</v>
      </c>
      <c r="D334" s="2">
        <f>[2]Indicators!I216</f>
        <v>410.92599999999999</v>
      </c>
      <c r="E334" s="2">
        <f>[2]Indicators!J216</f>
        <v>691.61800000000005</v>
      </c>
      <c r="L334" s="2">
        <f>[2]Indicators!N216</f>
        <v>14.65</v>
      </c>
      <c r="M334" s="2">
        <f>[2]Indicators!AB216</f>
        <v>48.074000000000005</v>
      </c>
      <c r="N334" s="2">
        <f>[8]m!$C336</f>
        <v>6.1400000000000006</v>
      </c>
      <c r="O334">
        <f>[9]Unemployment!$B216</f>
        <v>6.8000000000000007</v>
      </c>
      <c r="P334" s="2">
        <f>[2]Surveys_m!$B216</f>
        <v>96.7</v>
      </c>
      <c r="Q334">
        <f>[5]m!$B336</f>
        <v>61.300000000000004</v>
      </c>
      <c r="R334">
        <f>[5]m!$D336</f>
        <v>61.800000000000004</v>
      </c>
      <c r="S334">
        <f>[5]m!$Q336</f>
        <v>65.3</v>
      </c>
      <c r="T334">
        <f>[6]m!B336</f>
        <v>1541</v>
      </c>
      <c r="U334" s="2">
        <f>[9]Unemployment!$F216</f>
        <v>14</v>
      </c>
      <c r="V334" s="2">
        <f>[9]Unemployment!$G216</f>
        <v>6.7</v>
      </c>
      <c r="W334">
        <f>[9]Unemployment!$E216</f>
        <v>6751</v>
      </c>
      <c r="X334">
        <f>[9]Unemployment!N216</f>
        <v>2883</v>
      </c>
      <c r="Y334">
        <f>[9]Unemployment!O216</f>
        <v>2125</v>
      </c>
      <c r="Z334">
        <f>[9]Unemployment!P216-[9]Unemployment!Q216</f>
        <v>914</v>
      </c>
      <c r="AA334">
        <f>[9]Unemployment!$Q216</f>
        <v>939</v>
      </c>
      <c r="AB334" s="2">
        <f>[8]m!$B336</f>
        <v>5.89</v>
      </c>
      <c r="AC334" s="2">
        <f>[8]m!$F336</f>
        <v>7.34</v>
      </c>
      <c r="AD334">
        <f>[9]Employment!$B216</f>
        <v>83532</v>
      </c>
      <c r="AE334" s="2">
        <f>[2]Indicators!$AB216</f>
        <v>48.074000000000005</v>
      </c>
      <c r="AF334" s="2">
        <f>[8]m!$AS336</f>
        <v>251.3</v>
      </c>
      <c r="AG334" s="2">
        <f>[8]m!$H336</f>
        <v>7.92</v>
      </c>
      <c r="AH334" s="2">
        <f>[8]m!$I336</f>
        <v>8.8000000000000007</v>
      </c>
      <c r="AI334" s="2">
        <f>[7]m!C335</f>
        <v>12362</v>
      </c>
      <c r="AJ334" s="2">
        <f>[7]m!D335</f>
        <v>14828</v>
      </c>
      <c r="AK334" s="2">
        <f>[2]Surveys_m!$AB216</f>
        <v>53.900000000000006</v>
      </c>
      <c r="AL334" s="4">
        <f t="shared" ref="AL334:AL397" si="5">AL335*AN334/AN335</f>
        <v>3855.4932301740819</v>
      </c>
      <c r="AN334" s="2">
        <v>78</v>
      </c>
      <c r="AQ334" s="3">
        <f>[9]LaborForce!$B215*[9]LaborForce!$C215/100</f>
        <v>99476.902000000016</v>
      </c>
      <c r="AR334">
        <f>[9]Unemployment!$AC216</f>
        <v>365</v>
      </c>
      <c r="AS334">
        <f>[2]Indicators!BC216</f>
        <v>51.5</v>
      </c>
      <c r="AT334">
        <f>[2]Indicators!BD216</f>
        <v>51.199800000000003</v>
      </c>
      <c r="AU334">
        <f>[2]Indicators!BE216</f>
        <v>103.4157</v>
      </c>
    </row>
    <row r="335" spans="1:47" x14ac:dyDescent="0.25">
      <c r="A335" s="1">
        <v>28399</v>
      </c>
      <c r="B335" s="2">
        <f>[2]Indicators!G217</f>
        <v>1315.527</v>
      </c>
      <c r="C335" s="2">
        <f>[2]Indicators!H217</f>
        <v>197.12800000000001</v>
      </c>
      <c r="D335" s="2">
        <f>[2]Indicators!I217</f>
        <v>418.77600000000001</v>
      </c>
      <c r="E335" s="2">
        <f>[2]Indicators!J217</f>
        <v>699.62300000000005</v>
      </c>
      <c r="L335" s="2">
        <f>[2]Indicators!N217</f>
        <v>14.9</v>
      </c>
      <c r="M335" s="2">
        <f>[2]Indicators!AB217</f>
        <v>48.2029</v>
      </c>
      <c r="N335" s="2">
        <f>[8]m!$C337</f>
        <v>6.47</v>
      </c>
      <c r="O335">
        <f>[9]Unemployment!$B217</f>
        <v>6.8000000000000007</v>
      </c>
      <c r="P335" s="2">
        <f>[2]Surveys_m!$B217</f>
        <v>95.5</v>
      </c>
      <c r="Q335">
        <f>[5]m!$B337</f>
        <v>61.6</v>
      </c>
      <c r="R335">
        <f>[5]m!$D337</f>
        <v>62</v>
      </c>
      <c r="S335">
        <f>[5]m!$Q337</f>
        <v>65.600000000000009</v>
      </c>
      <c r="T335">
        <f>[6]m!B337</f>
        <v>-14663</v>
      </c>
      <c r="U335" s="2">
        <f>[9]Unemployment!$F217</f>
        <v>13.700000000000001</v>
      </c>
      <c r="V335" s="2">
        <f>[9]Unemployment!$G217</f>
        <v>6.9</v>
      </c>
      <c r="W335">
        <f>[9]Unemployment!$E217</f>
        <v>6763</v>
      </c>
      <c r="X335">
        <f>[9]Unemployment!N217</f>
        <v>2883</v>
      </c>
      <c r="Y335">
        <f>[9]Unemployment!O217</f>
        <v>2127</v>
      </c>
      <c r="Z335">
        <f>[9]Unemployment!P217-[9]Unemployment!Q217</f>
        <v>876</v>
      </c>
      <c r="AA335">
        <f>[9]Unemployment!$Q217</f>
        <v>913</v>
      </c>
      <c r="AB335" s="2">
        <f>[8]m!$B337</f>
        <v>6.1400000000000006</v>
      </c>
      <c r="AC335" s="2">
        <f>[8]m!$F337</f>
        <v>7.5200000000000005</v>
      </c>
      <c r="AD335">
        <f>[9]Employment!$B217</f>
        <v>83794</v>
      </c>
      <c r="AE335" s="2">
        <f>[2]Indicators!$AB217</f>
        <v>48.2029</v>
      </c>
      <c r="AF335" s="2">
        <f>[8]m!$AS337</f>
        <v>255.4</v>
      </c>
      <c r="AG335" s="2">
        <f>[8]m!$H337</f>
        <v>8.0400000000000009</v>
      </c>
      <c r="AH335" s="2">
        <f>[8]m!$I337</f>
        <v>8.89</v>
      </c>
      <c r="AI335" s="2">
        <f>[7]m!C336</f>
        <v>13708</v>
      </c>
      <c r="AJ335" s="2">
        <f>[7]m!D336</f>
        <v>15456</v>
      </c>
      <c r="AK335" s="2">
        <f>[2]Surveys_m!$AB217</f>
        <v>55.400000000000006</v>
      </c>
      <c r="AL335" s="4">
        <f t="shared" si="5"/>
        <v>4053.2108317214706</v>
      </c>
      <c r="AN335" s="2">
        <v>82</v>
      </c>
      <c r="AQ335" s="3">
        <f>[9]LaborForce!$B216*[9]LaborForce!$C216/100</f>
        <v>99786.96</v>
      </c>
      <c r="AR335">
        <f>[9]Unemployment!$AC217</f>
        <v>348</v>
      </c>
      <c r="AS335">
        <f>[2]Indicators!BC217</f>
        <v>51.5</v>
      </c>
      <c r="AT335">
        <f>[2]Indicators!BD217</f>
        <v>51.235900000000001</v>
      </c>
      <c r="AU335">
        <f>[2]Indicators!BE217</f>
        <v>103.22370000000001</v>
      </c>
    </row>
    <row r="336" spans="1:47" x14ac:dyDescent="0.25">
      <c r="A336" s="1">
        <v>28430</v>
      </c>
      <c r="B336" s="2">
        <f>[2]Indicators!G218</f>
        <v>1331.2570000000001</v>
      </c>
      <c r="C336" s="2">
        <f>[2]Indicators!H218</f>
        <v>200.81300000000002</v>
      </c>
      <c r="D336" s="2">
        <f>[2]Indicators!I218</f>
        <v>426.45699999999999</v>
      </c>
      <c r="E336" s="2">
        <f>[2]Indicators!J218</f>
        <v>703.98800000000006</v>
      </c>
      <c r="L336" s="2">
        <f>[2]Indicators!N218</f>
        <v>14.798999999999999</v>
      </c>
      <c r="M336" s="2">
        <f>[2]Indicators!AB218</f>
        <v>48.218299999999999</v>
      </c>
      <c r="N336" s="2">
        <f>[8]m!$C338</f>
        <v>6.51</v>
      </c>
      <c r="O336">
        <f>[9]Unemployment!$B218</f>
        <v>6.8000000000000007</v>
      </c>
      <c r="P336" s="2">
        <f>[2]Surveys_m!$B218</f>
        <v>98.9</v>
      </c>
      <c r="Q336">
        <f>[5]m!$B338</f>
        <v>62</v>
      </c>
      <c r="R336">
        <f>[5]m!$D338</f>
        <v>62.300000000000004</v>
      </c>
      <c r="S336">
        <f>[5]m!$Q338</f>
        <v>65.8</v>
      </c>
      <c r="T336">
        <f>[6]m!B338</f>
        <v>-9268</v>
      </c>
      <c r="U336" s="2">
        <f>[9]Unemployment!$F218</f>
        <v>13.600000000000001</v>
      </c>
      <c r="V336" s="2">
        <f>[9]Unemployment!$G218</f>
        <v>7</v>
      </c>
      <c r="W336">
        <f>[9]Unemployment!$E218</f>
        <v>6815</v>
      </c>
      <c r="X336">
        <f>[9]Unemployment!N218</f>
        <v>2924</v>
      </c>
      <c r="Y336">
        <f>[9]Unemployment!O218</f>
        <v>2080</v>
      </c>
      <c r="Z336">
        <f>[9]Unemployment!P218-[9]Unemployment!Q218</f>
        <v>908</v>
      </c>
      <c r="AA336">
        <f>[9]Unemployment!$Q218</f>
        <v>896</v>
      </c>
      <c r="AB336" s="2">
        <f>[8]m!$B338</f>
        <v>6.03</v>
      </c>
      <c r="AC336" s="2">
        <f>[8]m!$F338</f>
        <v>7.58</v>
      </c>
      <c r="AD336">
        <f>[9]Employment!$B218</f>
        <v>84173</v>
      </c>
      <c r="AE336" s="2">
        <f>[2]Indicators!$AB218</f>
        <v>48.218299999999999</v>
      </c>
      <c r="AF336" s="2">
        <f>[8]m!$AS338</f>
        <v>258.8</v>
      </c>
      <c r="AG336" s="2">
        <f>[8]m!$H338</f>
        <v>8.08</v>
      </c>
      <c r="AH336" s="2">
        <f>[8]m!$I338</f>
        <v>8.9500000000000011</v>
      </c>
      <c r="AI336" s="2">
        <f>[7]m!C337</f>
        <v>12063</v>
      </c>
      <c r="AJ336" s="2">
        <f>[7]m!D337</f>
        <v>15374</v>
      </c>
      <c r="AK336" s="2">
        <f>[2]Surveys_m!$AB218</f>
        <v>56.1</v>
      </c>
      <c r="AL336" s="4">
        <f t="shared" si="5"/>
        <v>4201.4990328820122</v>
      </c>
      <c r="AN336" s="2">
        <v>85</v>
      </c>
      <c r="AQ336" s="3">
        <f>[9]LaborForce!$B217*[9]LaborForce!$C217/100</f>
        <v>100561.01200000002</v>
      </c>
      <c r="AR336">
        <f>[9]Unemployment!$AC218</f>
        <v>349</v>
      </c>
      <c r="AS336">
        <f>[2]Indicators!BC218</f>
        <v>51.6</v>
      </c>
      <c r="AT336">
        <f>[2]Indicators!BD218</f>
        <v>51.280100000000004</v>
      </c>
      <c r="AU336">
        <f>[2]Indicators!BE218</f>
        <v>103.05130000000001</v>
      </c>
    </row>
    <row r="337" spans="1:47" x14ac:dyDescent="0.25">
      <c r="A337" s="1">
        <v>28460</v>
      </c>
      <c r="B337" s="2">
        <f>[2]Indicators!G219</f>
        <v>1340.5150000000001</v>
      </c>
      <c r="C337" s="2">
        <f>[2]Indicators!H219</f>
        <v>204.178</v>
      </c>
      <c r="D337" s="2">
        <f>[2]Indicators!I219</f>
        <v>425.57800000000003</v>
      </c>
      <c r="E337" s="2">
        <f>[2]Indicators!J219</f>
        <v>710.75900000000001</v>
      </c>
      <c r="L337" s="2">
        <f>[2]Indicators!N219</f>
        <v>15.175000000000001</v>
      </c>
      <c r="M337" s="2">
        <f>[2]Indicators!AB219</f>
        <v>48.275800000000004</v>
      </c>
      <c r="N337" s="2">
        <f>[8]m!$C339</f>
        <v>6.5600000000000005</v>
      </c>
      <c r="O337">
        <f>[9]Unemployment!$B219</f>
        <v>6.4</v>
      </c>
      <c r="P337" s="2">
        <f>[2]Surveys_m!$B219</f>
        <v>109.7</v>
      </c>
      <c r="Q337">
        <f>[5]m!$B339</f>
        <v>62.300000000000004</v>
      </c>
      <c r="R337">
        <f>[5]m!$D339</f>
        <v>62.7</v>
      </c>
      <c r="S337">
        <f>[5]m!$Q339</f>
        <v>66.2</v>
      </c>
      <c r="T337">
        <f>[6]m!B339</f>
        <v>-4852</v>
      </c>
      <c r="U337" s="2">
        <f>[9]Unemployment!$F219</f>
        <v>13.600000000000001</v>
      </c>
      <c r="V337" s="2">
        <f>[9]Unemployment!$G219</f>
        <v>6.8000000000000007</v>
      </c>
      <c r="W337">
        <f>[9]Unemployment!$E219</f>
        <v>6386</v>
      </c>
      <c r="X337">
        <f>[9]Unemployment!N219</f>
        <v>2729</v>
      </c>
      <c r="Y337">
        <f>[9]Unemployment!O219</f>
        <v>1941</v>
      </c>
      <c r="Z337">
        <f>[9]Unemployment!P219-[9]Unemployment!Q219</f>
        <v>859</v>
      </c>
      <c r="AA337">
        <f>[9]Unemployment!$Q219</f>
        <v>858</v>
      </c>
      <c r="AB337" s="2">
        <f>[8]m!$B339</f>
        <v>6.1400000000000006</v>
      </c>
      <c r="AC337" s="2">
        <f>[8]m!$F339</f>
        <v>7.69</v>
      </c>
      <c r="AD337">
        <f>[9]Employment!$B219</f>
        <v>84408</v>
      </c>
      <c r="AE337" s="2">
        <f>[2]Indicators!$AB219</f>
        <v>48.275800000000004</v>
      </c>
      <c r="AF337" s="2">
        <f>[8]m!$AS339</f>
        <v>260.60000000000002</v>
      </c>
      <c r="AG337" s="2">
        <f>[8]m!$H339</f>
        <v>8.19</v>
      </c>
      <c r="AH337" s="2">
        <f>[8]m!$I339</f>
        <v>8.99</v>
      </c>
      <c r="AI337" s="2">
        <f>[7]m!C338</f>
        <v>12185</v>
      </c>
      <c r="AJ337" s="2">
        <f>[7]m!D338</f>
        <v>15156</v>
      </c>
      <c r="AK337" s="2">
        <f>[2]Surveys_m!$AB219</f>
        <v>59.800000000000004</v>
      </c>
      <c r="AL337" s="4">
        <f t="shared" si="5"/>
        <v>4349.7872340425538</v>
      </c>
      <c r="AN337" s="2">
        <v>88</v>
      </c>
      <c r="AQ337" s="3">
        <f>[9]LaborForce!$B218*[9]LaborForce!$C218/100</f>
        <v>100555.75200000001</v>
      </c>
      <c r="AR337">
        <f>[9]Unemployment!$AC219</f>
        <v>354</v>
      </c>
      <c r="AS337">
        <f>[2]Indicators!BC219</f>
        <v>51.7</v>
      </c>
      <c r="AT337">
        <f>[2]Indicators!BD219</f>
        <v>51.341000000000001</v>
      </c>
      <c r="AU337">
        <f>[2]Indicators!BE219</f>
        <v>102.9165</v>
      </c>
    </row>
    <row r="338" spans="1:47" x14ac:dyDescent="0.25">
      <c r="A338" s="1">
        <v>28491</v>
      </c>
      <c r="B338" s="2">
        <f>[2]Indicators!G220</f>
        <v>1334.31</v>
      </c>
      <c r="C338" s="2">
        <f>[2]Indicators!H220</f>
        <v>191.238</v>
      </c>
      <c r="D338" s="2">
        <f>[2]Indicators!I220</f>
        <v>424.20600000000002</v>
      </c>
      <c r="E338" s="2">
        <f>[2]Indicators!J220</f>
        <v>718.86599999999999</v>
      </c>
      <c r="L338" s="2">
        <f>[2]Indicators!N220</f>
        <v>13.704000000000001</v>
      </c>
      <c r="M338" s="2">
        <f>[2]Indicators!AB220</f>
        <v>47.621400000000001</v>
      </c>
      <c r="N338" s="2">
        <f>[8]m!$C340</f>
        <v>6.7</v>
      </c>
      <c r="O338">
        <f>[9]Unemployment!$B220</f>
        <v>6.4</v>
      </c>
      <c r="P338" s="2">
        <f>[2]Surveys_m!$B220</f>
        <v>107.80000000000001</v>
      </c>
      <c r="Q338">
        <f>[5]m!$B340</f>
        <v>62.7</v>
      </c>
      <c r="R338">
        <f>[5]m!$D340</f>
        <v>63.1</v>
      </c>
      <c r="S338">
        <f>[5]m!$Q340</f>
        <v>66.8</v>
      </c>
      <c r="T338">
        <f>[6]m!B340</f>
        <v>-3717</v>
      </c>
      <c r="U338" s="2">
        <f>[9]Unemployment!$F220</f>
        <v>12.9</v>
      </c>
      <c r="V338" s="2">
        <f>[9]Unemployment!$G220</f>
        <v>6.5</v>
      </c>
      <c r="W338">
        <f>[9]Unemployment!$E220</f>
        <v>6489</v>
      </c>
      <c r="X338">
        <f>[9]Unemployment!N220</f>
        <v>2824</v>
      </c>
      <c r="Y338">
        <f>[9]Unemployment!O220</f>
        <v>1989</v>
      </c>
      <c r="Z338">
        <f>[9]Unemployment!P220-[9]Unemployment!Q220</f>
        <v>830</v>
      </c>
      <c r="AA338">
        <f>[9]Unemployment!$Q220</f>
        <v>813</v>
      </c>
      <c r="AB338" s="2">
        <f>[8]m!$B340</f>
        <v>6.3900000000000006</v>
      </c>
      <c r="AC338" s="2">
        <f>[8]m!$F340</f>
        <v>7.96</v>
      </c>
      <c r="AD338">
        <f>[9]Employment!$B220</f>
        <v>84595</v>
      </c>
      <c r="AE338" s="2">
        <f>[2]Indicators!$AB220</f>
        <v>47.621400000000001</v>
      </c>
      <c r="AF338" s="2">
        <f>[8]m!$AS340</f>
        <v>262.8</v>
      </c>
      <c r="AG338" s="2">
        <f>[8]m!$H340</f>
        <v>8.41</v>
      </c>
      <c r="AH338" s="2">
        <f>[8]m!$I340</f>
        <v>9.17</v>
      </c>
      <c r="AI338" s="2">
        <f>[7]m!C339</f>
        <v>13700</v>
      </c>
      <c r="AJ338" s="2">
        <f>[7]m!D339</f>
        <v>16039</v>
      </c>
      <c r="AK338" s="2">
        <f>[2]Surveys_m!$AB220</f>
        <v>57.400000000000006</v>
      </c>
      <c r="AL338" s="4">
        <f t="shared" si="5"/>
        <v>4349.7872340425538</v>
      </c>
      <c r="AN338" s="2">
        <v>88</v>
      </c>
      <c r="AQ338" s="3">
        <f>[9]LaborForce!$B219*[9]LaborForce!$C219/100</f>
        <v>100867.47600000001</v>
      </c>
      <c r="AR338">
        <f>[9]Unemployment!$AC220</f>
        <v>364</v>
      </c>
      <c r="AS338">
        <f>[2]Indicators!BC220</f>
        <v>51.1</v>
      </c>
      <c r="AT338">
        <f>[2]Indicators!BD220</f>
        <v>51.437400000000004</v>
      </c>
      <c r="AU338">
        <f>[2]Indicators!BE220</f>
        <v>102.8566</v>
      </c>
    </row>
    <row r="339" spans="1:47" x14ac:dyDescent="0.25">
      <c r="A339" s="1">
        <v>28522</v>
      </c>
      <c r="B339" s="2">
        <f>[2]Indicators!G221</f>
        <v>1360.173</v>
      </c>
      <c r="C339" s="2">
        <f>[2]Indicators!H221</f>
        <v>198.523</v>
      </c>
      <c r="D339" s="2">
        <f>[2]Indicators!I221</f>
        <v>431.21699999999998</v>
      </c>
      <c r="E339" s="2">
        <f>[2]Indicators!J221</f>
        <v>730.43299999999999</v>
      </c>
      <c r="L339" s="2">
        <f>[2]Indicators!N221</f>
        <v>14.363</v>
      </c>
      <c r="M339" s="2">
        <f>[2]Indicators!AB221</f>
        <v>47.868100000000005</v>
      </c>
      <c r="N339" s="2">
        <f>[8]m!$C341</f>
        <v>6.78</v>
      </c>
      <c r="O339">
        <f>[9]Unemployment!$B221</f>
        <v>6.3000000000000007</v>
      </c>
      <c r="P339" s="2">
        <f>[2]Surveys_m!$B221</f>
        <v>107</v>
      </c>
      <c r="Q339">
        <f>[5]m!$B341</f>
        <v>63</v>
      </c>
      <c r="R339">
        <f>[5]m!$D341</f>
        <v>63.4</v>
      </c>
      <c r="S339">
        <f>[5]m!$Q341</f>
        <v>67.5</v>
      </c>
      <c r="T339">
        <f>[6]m!B341</f>
        <v>-6993</v>
      </c>
      <c r="U339" s="2">
        <f>[9]Unemployment!$F221</f>
        <v>12.5</v>
      </c>
      <c r="V339" s="2">
        <f>[9]Unemployment!$G221</f>
        <v>6.7</v>
      </c>
      <c r="W339">
        <f>[9]Unemployment!$E221</f>
        <v>6318</v>
      </c>
      <c r="X339">
        <f>[9]Unemployment!N221</f>
        <v>2764</v>
      </c>
      <c r="Y339">
        <f>[9]Unemployment!O221</f>
        <v>1942</v>
      </c>
      <c r="Z339">
        <f>[9]Unemployment!P221-[9]Unemployment!Q221</f>
        <v>917</v>
      </c>
      <c r="AA339">
        <f>[9]Unemployment!$Q221</f>
        <v>667</v>
      </c>
      <c r="AB339" s="2">
        <f>[8]m!$B341</f>
        <v>6.3900000000000006</v>
      </c>
      <c r="AC339" s="2">
        <f>[8]m!$F341</f>
        <v>8.0299999999999994</v>
      </c>
      <c r="AD339">
        <f>[9]Employment!$B221</f>
        <v>84948</v>
      </c>
      <c r="AE339" s="2">
        <f>[2]Indicators!$AB221</f>
        <v>47.868100000000005</v>
      </c>
      <c r="AF339" s="2">
        <f>[8]m!$AS341</f>
        <v>265.7</v>
      </c>
      <c r="AG339" s="2">
        <f>[8]m!$H341</f>
        <v>8.4700000000000006</v>
      </c>
      <c r="AH339" s="2">
        <f>[8]m!$I341</f>
        <v>9.2000000000000011</v>
      </c>
      <c r="AI339" s="2">
        <f>[7]m!C340</f>
        <v>12769</v>
      </c>
      <c r="AJ339" s="2">
        <f>[7]m!D340</f>
        <v>16198</v>
      </c>
      <c r="AK339" s="2">
        <f>[2]Surveys_m!$AB221</f>
        <v>55.900000000000006</v>
      </c>
      <c r="AL339" s="4">
        <f t="shared" si="5"/>
        <v>4399.216634429401</v>
      </c>
      <c r="AN339" s="2">
        <v>89</v>
      </c>
      <c r="AQ339" s="3">
        <f>[9]LaborForce!$B220*[9]LaborForce!$C220/100</f>
        <v>100841.03700000001</v>
      </c>
      <c r="AR339">
        <f>[9]Unemployment!$AC221</f>
        <v>363</v>
      </c>
      <c r="AS339">
        <f>[2]Indicators!BC221</f>
        <v>51.5</v>
      </c>
      <c r="AT339">
        <f>[2]Indicators!BD221</f>
        <v>51.601400000000005</v>
      </c>
      <c r="AU339">
        <f>[2]Indicators!BE221</f>
        <v>102.93600000000001</v>
      </c>
    </row>
    <row r="340" spans="1:47" x14ac:dyDescent="0.25">
      <c r="A340" s="1">
        <v>28550</v>
      </c>
      <c r="B340" s="2">
        <f>[2]Indicators!G222</f>
        <v>1382.74</v>
      </c>
      <c r="C340" s="2">
        <f>[2]Indicators!H222</f>
        <v>204.74299999999999</v>
      </c>
      <c r="D340" s="2">
        <f>[2]Indicators!I222</f>
        <v>437.79700000000003</v>
      </c>
      <c r="E340" s="2">
        <f>[2]Indicators!J222</f>
        <v>740.19900000000007</v>
      </c>
      <c r="L340" s="2">
        <f>[2]Indicators!N222</f>
        <v>15.166</v>
      </c>
      <c r="M340" s="2">
        <f>[2]Indicators!AB222</f>
        <v>48.783300000000004</v>
      </c>
      <c r="N340" s="2">
        <f>[8]m!$C342</f>
        <v>6.79</v>
      </c>
      <c r="O340">
        <f>[9]Unemployment!$B222</f>
        <v>6.3000000000000007</v>
      </c>
      <c r="P340" s="2">
        <f>[2]Surveys_m!$B222</f>
        <v>104.7</v>
      </c>
      <c r="Q340">
        <f>[5]m!$B342</f>
        <v>63.4</v>
      </c>
      <c r="R340">
        <f>[5]m!$D342</f>
        <v>63.800000000000004</v>
      </c>
      <c r="S340">
        <f>[5]m!$Q342</f>
        <v>68.100000000000009</v>
      </c>
      <c r="T340">
        <f>[6]m!B342</f>
        <v>-15125</v>
      </c>
      <c r="U340" s="2">
        <f>[9]Unemployment!$F222</f>
        <v>12.4</v>
      </c>
      <c r="V340" s="2">
        <f>[9]Unemployment!$G222</f>
        <v>6.2</v>
      </c>
      <c r="W340">
        <f>[9]Unemployment!$E222</f>
        <v>6337</v>
      </c>
      <c r="X340">
        <f>[9]Unemployment!N222</f>
        <v>2871</v>
      </c>
      <c r="Y340">
        <f>[9]Unemployment!O222</f>
        <v>1966</v>
      </c>
      <c r="Z340">
        <f>[9]Unemployment!P222-[9]Unemployment!Q222</f>
        <v>817</v>
      </c>
      <c r="AA340">
        <f>[9]Unemployment!$Q222</f>
        <v>714</v>
      </c>
      <c r="AB340" s="2">
        <f>[8]m!$B342</f>
        <v>6.47</v>
      </c>
      <c r="AC340" s="2">
        <f>[8]m!$F342</f>
        <v>8.0400000000000009</v>
      </c>
      <c r="AD340">
        <f>[9]Employment!$B222</f>
        <v>85461</v>
      </c>
      <c r="AE340" s="2">
        <f>[2]Indicators!$AB222</f>
        <v>48.783300000000004</v>
      </c>
      <c r="AF340" s="2">
        <f>[8]m!$AS342</f>
        <v>270.3</v>
      </c>
      <c r="AG340" s="2">
        <f>[8]m!$H342</f>
        <v>8.4700000000000006</v>
      </c>
      <c r="AH340" s="2">
        <f>[8]m!$I342</f>
        <v>9.2200000000000006</v>
      </c>
      <c r="AI340" s="2">
        <f>[7]m!C341</f>
        <v>12847</v>
      </c>
      <c r="AJ340" s="2">
        <f>[7]m!D341</f>
        <v>17154</v>
      </c>
      <c r="AK340" s="2">
        <f>[2]Surveys_m!$AB222</f>
        <v>55</v>
      </c>
      <c r="AL340" s="4">
        <f t="shared" si="5"/>
        <v>4498.0754352030954</v>
      </c>
      <c r="AN340" s="2">
        <v>91</v>
      </c>
      <c r="AQ340" s="3">
        <f>[9]LaborForce!$B221*[9]LaborForce!$C221/100</f>
        <v>101131.864</v>
      </c>
      <c r="AR340">
        <f>[9]Unemployment!$AC222</f>
        <v>371</v>
      </c>
      <c r="AS340">
        <f>[2]Indicators!BC222</f>
        <v>51.6</v>
      </c>
      <c r="AT340">
        <f>[2]Indicators!BD222</f>
        <v>51.868400000000001</v>
      </c>
      <c r="AU340">
        <f>[2]Indicators!BE222</f>
        <v>103.22450000000001</v>
      </c>
    </row>
    <row r="341" spans="1:47" x14ac:dyDescent="0.25">
      <c r="A341" s="1">
        <v>28581</v>
      </c>
      <c r="B341" s="2">
        <f>[2]Indicators!G223</f>
        <v>1401.616</v>
      </c>
      <c r="C341" s="2">
        <f>[2]Indicators!H223</f>
        <v>213.489</v>
      </c>
      <c r="D341" s="2">
        <f>[2]Indicators!I223</f>
        <v>438.81900000000002</v>
      </c>
      <c r="E341" s="2">
        <f>[2]Indicators!J223</f>
        <v>749.30799999999999</v>
      </c>
      <c r="L341" s="2">
        <f>[2]Indicators!N223</f>
        <v>16.198</v>
      </c>
      <c r="M341" s="2">
        <f>[2]Indicators!AB223</f>
        <v>49.7483</v>
      </c>
      <c r="N341" s="2">
        <f>[8]m!$C343</f>
        <v>6.8900000000000006</v>
      </c>
      <c r="O341">
        <f>[9]Unemployment!$B223</f>
        <v>6.1000000000000005</v>
      </c>
      <c r="P341" s="2">
        <f>[2]Surveys_m!$B223</f>
        <v>109.9</v>
      </c>
      <c r="Q341">
        <f>[5]m!$B343</f>
        <v>63.9</v>
      </c>
      <c r="R341">
        <f>[5]m!$D343</f>
        <v>64.3</v>
      </c>
      <c r="S341">
        <f>[5]m!$Q343</f>
        <v>69</v>
      </c>
      <c r="T341">
        <f>[6]m!B343</f>
        <v>6618</v>
      </c>
      <c r="U341" s="2">
        <f>[9]Unemployment!$F223</f>
        <v>12.3</v>
      </c>
      <c r="V341" s="2">
        <f>[9]Unemployment!$G223</f>
        <v>6.1000000000000005</v>
      </c>
      <c r="W341">
        <f>[9]Unemployment!$E223</f>
        <v>6180</v>
      </c>
      <c r="X341">
        <f>[9]Unemployment!N223</f>
        <v>2750</v>
      </c>
      <c r="Y341">
        <f>[9]Unemployment!O223</f>
        <v>1888</v>
      </c>
      <c r="Z341">
        <f>[9]Unemployment!P223-[9]Unemployment!Q223</f>
        <v>822</v>
      </c>
      <c r="AA341">
        <f>[9]Unemployment!$Q223</f>
        <v>680</v>
      </c>
      <c r="AB341" s="2">
        <f>[8]m!$B343</f>
        <v>6.34</v>
      </c>
      <c r="AC341" s="2">
        <f>[8]m!$F343</f>
        <v>8.15</v>
      </c>
      <c r="AD341">
        <f>[9]Employment!$B223</f>
        <v>86163</v>
      </c>
      <c r="AE341" s="2">
        <f>[2]Indicators!$AB223</f>
        <v>49.7483</v>
      </c>
      <c r="AF341" s="2">
        <f>[8]m!$AS343</f>
        <v>274.10000000000002</v>
      </c>
      <c r="AG341" s="2">
        <f>[8]m!$H343</f>
        <v>8.56</v>
      </c>
      <c r="AH341" s="2">
        <f>[8]m!$I343</f>
        <v>9.32</v>
      </c>
      <c r="AI341" s="2">
        <f>[7]m!C342</f>
        <v>14051</v>
      </c>
      <c r="AJ341" s="2">
        <f>[7]m!D342</f>
        <v>16857</v>
      </c>
      <c r="AK341" s="2">
        <f>[2]Surveys_m!$AB223</f>
        <v>57.7</v>
      </c>
      <c r="AL341" s="4">
        <f t="shared" si="5"/>
        <v>4794.6518375241785</v>
      </c>
      <c r="AN341" s="2">
        <v>97</v>
      </c>
      <c r="AQ341" s="3">
        <f>[9]LaborForce!$B222*[9]LaborForce!$C222/100</f>
        <v>101595.69</v>
      </c>
      <c r="AR341">
        <f>[9]Unemployment!$AC223</f>
        <v>333</v>
      </c>
      <c r="AS341">
        <f>[2]Indicators!BC223</f>
        <v>52.1</v>
      </c>
      <c r="AT341">
        <f>[2]Indicators!BD223</f>
        <v>52.191200000000002</v>
      </c>
      <c r="AU341">
        <f>[2]Indicators!BE223</f>
        <v>103.62690000000001</v>
      </c>
    </row>
    <row r="342" spans="1:47" x14ac:dyDescent="0.25">
      <c r="A342" s="1">
        <v>28611</v>
      </c>
      <c r="B342" s="2">
        <f>[2]Indicators!G224</f>
        <v>1417.2860000000001</v>
      </c>
      <c r="C342" s="2">
        <f>[2]Indicators!H224</f>
        <v>216.96899999999999</v>
      </c>
      <c r="D342" s="2">
        <f>[2]Indicators!I224</f>
        <v>445.71800000000002</v>
      </c>
      <c r="E342" s="2">
        <f>[2]Indicators!J224</f>
        <v>754.59900000000005</v>
      </c>
      <c r="L342" s="2">
        <f>[2]Indicators!N224</f>
        <v>16.298000000000002</v>
      </c>
      <c r="M342" s="2">
        <f>[2]Indicators!AB224</f>
        <v>49.935200000000002</v>
      </c>
      <c r="N342" s="2">
        <f>[8]m!$C344</f>
        <v>7.36</v>
      </c>
      <c r="O342">
        <f>[9]Unemployment!$B224</f>
        <v>6</v>
      </c>
      <c r="P342" s="2">
        <f>[2]Surveys_m!$B224</f>
        <v>105.5</v>
      </c>
      <c r="Q342">
        <f>[5]m!$B344</f>
        <v>64.5</v>
      </c>
      <c r="R342">
        <f>[5]m!$D344</f>
        <v>64.7</v>
      </c>
      <c r="S342">
        <f>[5]m!$Q344</f>
        <v>69.5</v>
      </c>
      <c r="T342">
        <f>[6]m!B344</f>
        <v>-1710</v>
      </c>
      <c r="U342" s="2">
        <f>[9]Unemployment!$F224</f>
        <v>12.100000000000001</v>
      </c>
      <c r="V342" s="2">
        <f>[9]Unemployment!$G224</f>
        <v>5.7</v>
      </c>
      <c r="W342">
        <f>[9]Unemployment!$E224</f>
        <v>6127</v>
      </c>
      <c r="X342">
        <f>[9]Unemployment!N224</f>
        <v>2870</v>
      </c>
      <c r="Y342">
        <f>[9]Unemployment!O224</f>
        <v>1827</v>
      </c>
      <c r="Z342">
        <f>[9]Unemployment!P224-[9]Unemployment!Q224</f>
        <v>728</v>
      </c>
      <c r="AA342">
        <f>[9]Unemployment!$Q224</f>
        <v>692</v>
      </c>
      <c r="AB342" s="2">
        <f>[8]m!$B344</f>
        <v>6.6400000000000006</v>
      </c>
      <c r="AC342" s="2">
        <f>[8]m!$F344</f>
        <v>8.35</v>
      </c>
      <c r="AD342">
        <f>[9]Employment!$B224</f>
        <v>86509</v>
      </c>
      <c r="AE342" s="2">
        <f>[2]Indicators!$AB224</f>
        <v>49.935200000000002</v>
      </c>
      <c r="AF342" s="2">
        <f>[8]m!$AS344</f>
        <v>279.3</v>
      </c>
      <c r="AG342" s="2">
        <f>[8]m!$H344</f>
        <v>8.69</v>
      </c>
      <c r="AH342" s="2">
        <f>[8]m!$I344</f>
        <v>9.49</v>
      </c>
      <c r="AI342" s="2">
        <f>[7]m!C343</f>
        <v>14556</v>
      </c>
      <c r="AJ342" s="2">
        <f>[7]m!D343</f>
        <v>17362</v>
      </c>
      <c r="AK342" s="2">
        <f>[2]Surveys_m!$AB224</f>
        <v>60.2</v>
      </c>
      <c r="AL342" s="4">
        <f t="shared" si="5"/>
        <v>4745.2224371373313</v>
      </c>
      <c r="AN342" s="2">
        <v>96</v>
      </c>
      <c r="AQ342" s="3">
        <f>[9]LaborForce!$B223*[9]LaborForce!$C223/100</f>
        <v>101917.85800000001</v>
      </c>
      <c r="AR342">
        <f>[9]Unemployment!$AC224</f>
        <v>324</v>
      </c>
      <c r="AS342">
        <f>[2]Indicators!BC224</f>
        <v>52.2</v>
      </c>
      <c r="AT342">
        <f>[2]Indicators!BD224</f>
        <v>52.505400000000002</v>
      </c>
      <c r="AU342">
        <f>[2]Indicators!BE224</f>
        <v>104.01570000000001</v>
      </c>
    </row>
    <row r="343" spans="1:47" x14ac:dyDescent="0.25">
      <c r="A343" s="1">
        <v>28642</v>
      </c>
      <c r="B343" s="2">
        <f>[2]Indicators!G225</f>
        <v>1431.2190000000001</v>
      </c>
      <c r="C343" s="2">
        <f>[2]Indicators!H225</f>
        <v>218.10300000000001</v>
      </c>
      <c r="D343" s="2">
        <f>[2]Indicators!I225</f>
        <v>449.899</v>
      </c>
      <c r="E343" s="2">
        <f>[2]Indicators!J225</f>
        <v>763.21699999999998</v>
      </c>
      <c r="L343" s="2">
        <f>[2]Indicators!N225</f>
        <v>16.347999999999999</v>
      </c>
      <c r="M343" s="2">
        <f>[2]Indicators!AB225</f>
        <v>50.282299999999999</v>
      </c>
      <c r="N343" s="2">
        <f>[8]m!$C345</f>
        <v>7.6000000000000005</v>
      </c>
      <c r="O343">
        <f>[9]Unemployment!$B225</f>
        <v>5.9</v>
      </c>
      <c r="P343" s="2">
        <f>[2]Surveys_m!$B225</f>
        <v>109.5</v>
      </c>
      <c r="Q343">
        <f>[5]m!$B345</f>
        <v>65</v>
      </c>
      <c r="R343">
        <f>[5]m!$D345</f>
        <v>65.2</v>
      </c>
      <c r="S343">
        <f>[5]m!$Q345</f>
        <v>70</v>
      </c>
      <c r="T343">
        <f>[6]m!B345</f>
        <v>9014</v>
      </c>
      <c r="U343" s="2">
        <f>[9]Unemployment!$F225</f>
        <v>12.100000000000001</v>
      </c>
      <c r="V343" s="2">
        <f>[9]Unemployment!$G225</f>
        <v>6</v>
      </c>
      <c r="W343">
        <f>[9]Unemployment!$E225</f>
        <v>6028</v>
      </c>
      <c r="X343">
        <f>[9]Unemployment!N225</f>
        <v>2788</v>
      </c>
      <c r="Y343">
        <f>[9]Unemployment!O225</f>
        <v>1946</v>
      </c>
      <c r="Z343">
        <f>[9]Unemployment!P225-[9]Unemployment!Q225</f>
        <v>712</v>
      </c>
      <c r="AA343">
        <f>[9]Unemployment!$Q225</f>
        <v>640</v>
      </c>
      <c r="AB343" s="2">
        <f>[8]m!$B345</f>
        <v>7</v>
      </c>
      <c r="AC343" s="2">
        <f>[8]m!$F345</f>
        <v>8.4600000000000009</v>
      </c>
      <c r="AD343">
        <f>[9]Employment!$B225</f>
        <v>86951</v>
      </c>
      <c r="AE343" s="2">
        <f>[2]Indicators!$AB225</f>
        <v>50.282299999999999</v>
      </c>
      <c r="AF343" s="2">
        <f>[8]m!$AS345</f>
        <v>285.10000000000002</v>
      </c>
      <c r="AG343" s="2">
        <f>[8]m!$H345</f>
        <v>8.76</v>
      </c>
      <c r="AH343" s="2">
        <f>[8]m!$I345</f>
        <v>9.6</v>
      </c>
      <c r="AI343" s="2">
        <f>[7]m!C344</f>
        <v>14711</v>
      </c>
      <c r="AJ343" s="2">
        <f>[7]m!D344</f>
        <v>16884</v>
      </c>
      <c r="AK343" s="2">
        <f>[2]Surveys_m!$AB225</f>
        <v>60.5</v>
      </c>
      <c r="AL343" s="4">
        <f t="shared" si="5"/>
        <v>4794.6518375241785</v>
      </c>
      <c r="AN343" s="2">
        <v>97</v>
      </c>
      <c r="AQ343" s="3">
        <f>[9]LaborForce!$B224*[9]LaborForce!$C224/100</f>
        <v>102415.60200000001</v>
      </c>
      <c r="AR343">
        <f>[9]Unemployment!$AC225</f>
        <v>318</v>
      </c>
      <c r="AS343">
        <f>[2]Indicators!BC225</f>
        <v>52.4</v>
      </c>
      <c r="AT343">
        <f>[2]Indicators!BD225</f>
        <v>52.765900000000002</v>
      </c>
      <c r="AU343">
        <f>[2]Indicators!BE225</f>
        <v>104.30210000000001</v>
      </c>
    </row>
    <row r="344" spans="1:47" x14ac:dyDescent="0.25">
      <c r="A344" s="1">
        <v>28672</v>
      </c>
      <c r="B344" s="2">
        <f>[2]Indicators!G226</f>
        <v>1432.277</v>
      </c>
      <c r="C344" s="2">
        <f>[2]Indicators!H226</f>
        <v>215.25200000000001</v>
      </c>
      <c r="D344" s="2">
        <f>[2]Indicators!I226</f>
        <v>450.72800000000001</v>
      </c>
      <c r="E344" s="2">
        <f>[2]Indicators!J226</f>
        <v>766.29700000000003</v>
      </c>
      <c r="L344" s="2">
        <f>[2]Indicators!N226</f>
        <v>15.528</v>
      </c>
      <c r="M344" s="2">
        <f>[2]Indicators!AB226</f>
        <v>50.264200000000002</v>
      </c>
      <c r="N344" s="2">
        <f>[8]m!$C346</f>
        <v>7.8100000000000005</v>
      </c>
      <c r="O344">
        <f>[9]Unemployment!$B226</f>
        <v>6.2</v>
      </c>
      <c r="P344" s="2">
        <f>[2]Surveys_m!$B226</f>
        <v>105.4</v>
      </c>
      <c r="Q344">
        <f>[5]m!$B346</f>
        <v>65.5</v>
      </c>
      <c r="R344">
        <f>[5]m!$D346</f>
        <v>65.599999999999994</v>
      </c>
      <c r="S344">
        <f>[5]m!$Q346</f>
        <v>70.400000000000006</v>
      </c>
      <c r="T344">
        <f>[6]m!B346</f>
        <v>-7275</v>
      </c>
      <c r="U344" s="2">
        <f>[9]Unemployment!$F226</f>
        <v>12</v>
      </c>
      <c r="V344" s="2">
        <f>[9]Unemployment!$G226</f>
        <v>5.8000000000000007</v>
      </c>
      <c r="W344">
        <f>[9]Unemployment!$E226</f>
        <v>6309</v>
      </c>
      <c r="X344">
        <f>[9]Unemployment!N226</f>
        <v>3069</v>
      </c>
      <c r="Y344">
        <f>[9]Unemployment!O226</f>
        <v>1867</v>
      </c>
      <c r="Z344">
        <f>[9]Unemployment!P226-[9]Unemployment!Q226</f>
        <v>715</v>
      </c>
      <c r="AA344">
        <f>[9]Unemployment!$Q226</f>
        <v>658</v>
      </c>
      <c r="AB344" s="2">
        <f>[8]m!$B346</f>
        <v>6.71</v>
      </c>
      <c r="AC344" s="2">
        <f>[8]m!$F346</f>
        <v>8.64</v>
      </c>
      <c r="AD344">
        <f>[9]Employment!$B226</f>
        <v>87205</v>
      </c>
      <c r="AE344" s="2">
        <f>[2]Indicators!$AB226</f>
        <v>50.264200000000002</v>
      </c>
      <c r="AF344" s="2">
        <f>[8]m!$AS346</f>
        <v>288.8</v>
      </c>
      <c r="AG344" s="2">
        <f>[8]m!$H346</f>
        <v>8.8800000000000008</v>
      </c>
      <c r="AH344" s="2">
        <f>[8]m!$I346</f>
        <v>9.6</v>
      </c>
      <c r="AI344" s="2">
        <f>[7]m!C345</f>
        <v>15192</v>
      </c>
      <c r="AJ344" s="2">
        <f>[7]m!D345</f>
        <v>16815</v>
      </c>
      <c r="AK344" s="2">
        <f>[2]Surveys_m!$AB226</f>
        <v>62.2</v>
      </c>
      <c r="AL344" s="4">
        <f t="shared" si="5"/>
        <v>4745.2224371373313</v>
      </c>
      <c r="AN344" s="2">
        <v>96</v>
      </c>
      <c r="AQ344" s="3">
        <f>[9]LaborForce!$B225*[9]LaborForce!$C225/100</f>
        <v>102405.48800000001</v>
      </c>
      <c r="AR344">
        <f>[9]Unemployment!$AC226</f>
        <v>348</v>
      </c>
      <c r="AS344">
        <f>[2]Indicators!BC226</f>
        <v>52.2</v>
      </c>
      <c r="AT344">
        <f>[2]Indicators!BD226</f>
        <v>52.947100000000006</v>
      </c>
      <c r="AU344">
        <f>[2]Indicators!BE226</f>
        <v>104.43700000000001</v>
      </c>
    </row>
    <row r="345" spans="1:47" x14ac:dyDescent="0.25">
      <c r="A345" s="1">
        <v>28703</v>
      </c>
      <c r="B345" s="2">
        <f>[2]Indicators!G227</f>
        <v>1452.473</v>
      </c>
      <c r="C345" s="2">
        <f>[2]Indicators!H227</f>
        <v>221.84700000000001</v>
      </c>
      <c r="D345" s="2">
        <f>[2]Indicators!I227</f>
        <v>454.30500000000001</v>
      </c>
      <c r="E345" s="2">
        <f>[2]Indicators!J227</f>
        <v>776.32100000000003</v>
      </c>
      <c r="L345" s="2">
        <f>[2]Indicators!N227</f>
        <v>16.045000000000002</v>
      </c>
      <c r="M345" s="2">
        <f>[2]Indicators!AB227</f>
        <v>50.458500000000001</v>
      </c>
      <c r="N345" s="2">
        <f>[8]m!$C347</f>
        <v>8.0400000000000009</v>
      </c>
      <c r="O345">
        <f>[9]Unemployment!$B227</f>
        <v>5.9</v>
      </c>
      <c r="P345" s="2">
        <f>[2]Surveys_m!$B227</f>
        <v>108</v>
      </c>
      <c r="Q345">
        <f>[5]m!$B347</f>
        <v>65.900000000000006</v>
      </c>
      <c r="R345">
        <f>[5]m!$D347</f>
        <v>66.099999999999994</v>
      </c>
      <c r="S345">
        <f>[5]m!$Q347</f>
        <v>70.400000000000006</v>
      </c>
      <c r="T345">
        <f>[6]m!B347</f>
        <v>-4575</v>
      </c>
      <c r="U345" s="2">
        <f>[9]Unemployment!$F227</f>
        <v>11.4</v>
      </c>
      <c r="V345" s="2">
        <f>[9]Unemployment!$G227</f>
        <v>5.8000000000000007</v>
      </c>
      <c r="W345">
        <f>[9]Unemployment!$E227</f>
        <v>6080</v>
      </c>
      <c r="X345">
        <f>[9]Unemployment!N227</f>
        <v>2858</v>
      </c>
      <c r="Y345">
        <f>[9]Unemployment!O227</f>
        <v>1967</v>
      </c>
      <c r="Z345">
        <f>[9]Unemployment!P227-[9]Unemployment!Q227</f>
        <v>630</v>
      </c>
      <c r="AA345">
        <f>[9]Unemployment!$Q227</f>
        <v>612</v>
      </c>
      <c r="AB345" s="2">
        <f>[8]m!$B347</f>
        <v>7.53</v>
      </c>
      <c r="AC345" s="2">
        <f>[8]m!$F347</f>
        <v>8.41</v>
      </c>
      <c r="AD345">
        <f>[9]Employment!$B227</f>
        <v>87481</v>
      </c>
      <c r="AE345" s="2">
        <f>[2]Indicators!$AB227</f>
        <v>50.458500000000001</v>
      </c>
      <c r="AF345" s="2">
        <f>[8]m!$AS347</f>
        <v>292.8</v>
      </c>
      <c r="AG345" s="2">
        <f>[8]m!$H347</f>
        <v>8.69</v>
      </c>
      <c r="AH345" s="2">
        <f>[8]m!$I347</f>
        <v>9.48</v>
      </c>
      <c r="AI345" s="2">
        <f>[7]m!C346</f>
        <v>14737</v>
      </c>
      <c r="AJ345" s="2">
        <f>[7]m!D346</f>
        <v>17645</v>
      </c>
      <c r="AK345" s="2">
        <f>[2]Surveys_m!$AB227</f>
        <v>60.300000000000004</v>
      </c>
      <c r="AL345" s="4">
        <f t="shared" si="5"/>
        <v>4844.0812379110257</v>
      </c>
      <c r="AN345" s="2">
        <v>98</v>
      </c>
      <c r="AQ345" s="3">
        <f>[9]LaborForce!$B226*[9]LaborForce!$C226/100</f>
        <v>102547.68800000001</v>
      </c>
      <c r="AR345">
        <f>[9]Unemployment!$AC227</f>
        <v>346</v>
      </c>
      <c r="AS345">
        <f>[2]Indicators!BC227</f>
        <v>52.300000000000004</v>
      </c>
      <c r="AT345">
        <f>[2]Indicators!BD227</f>
        <v>53.038000000000004</v>
      </c>
      <c r="AU345">
        <f>[2]Indicators!BE227</f>
        <v>104.3999</v>
      </c>
    </row>
    <row r="346" spans="1:47" x14ac:dyDescent="0.25">
      <c r="A346" s="1">
        <v>28734</v>
      </c>
      <c r="B346" s="2">
        <f>[2]Indicators!G228</f>
        <v>1458.453</v>
      </c>
      <c r="C346" s="2">
        <f>[2]Indicators!H228</f>
        <v>213.12100000000001</v>
      </c>
      <c r="D346" s="2">
        <f>[2]Indicators!I228</f>
        <v>461.82800000000003</v>
      </c>
      <c r="E346" s="2">
        <f>[2]Indicators!J228</f>
        <v>783.50400000000002</v>
      </c>
      <c r="L346" s="2">
        <f>[2]Indicators!N228</f>
        <v>14.641</v>
      </c>
      <c r="M346" s="2">
        <f>[2]Indicators!AB228</f>
        <v>50.595200000000006</v>
      </c>
      <c r="N346" s="2">
        <f>[8]m!$C348</f>
        <v>8.4499999999999993</v>
      </c>
      <c r="O346">
        <f>[9]Unemployment!$B228</f>
        <v>6</v>
      </c>
      <c r="P346" s="2">
        <f>[2]Surveys_m!$B228</f>
        <v>106.60000000000001</v>
      </c>
      <c r="Q346">
        <f>[5]m!$B348</f>
        <v>66.5</v>
      </c>
      <c r="R346">
        <f>[5]m!$D348</f>
        <v>66.7</v>
      </c>
      <c r="S346">
        <f>[5]m!$Q348</f>
        <v>71</v>
      </c>
      <c r="T346">
        <f>[6]m!B348</f>
        <v>3604</v>
      </c>
      <c r="U346" s="2">
        <f>[9]Unemployment!$F228</f>
        <v>11.4</v>
      </c>
      <c r="V346" s="2">
        <f>[9]Unemployment!$G228</f>
        <v>5.6000000000000005</v>
      </c>
      <c r="W346">
        <f>[9]Unemployment!$E228</f>
        <v>6125</v>
      </c>
      <c r="X346">
        <f>[9]Unemployment!N228</f>
        <v>2941</v>
      </c>
      <c r="Y346">
        <f>[9]Unemployment!O228</f>
        <v>1884</v>
      </c>
      <c r="Z346">
        <f>[9]Unemployment!P228-[9]Unemployment!Q228</f>
        <v>684</v>
      </c>
      <c r="AA346">
        <f>[9]Unemployment!$Q228</f>
        <v>624</v>
      </c>
      <c r="AB346" s="2">
        <f>[8]m!$B348</f>
        <v>7.7700000000000005</v>
      </c>
      <c r="AC346" s="2">
        <f>[8]m!$F348</f>
        <v>8.42</v>
      </c>
      <c r="AD346">
        <f>[9]Employment!$B228</f>
        <v>87618</v>
      </c>
      <c r="AE346" s="2">
        <f>[2]Indicators!$AB228</f>
        <v>50.595200000000006</v>
      </c>
      <c r="AF346" s="2">
        <f>[8]m!$AS348</f>
        <v>296.2</v>
      </c>
      <c r="AG346" s="2">
        <f>[8]m!$H348</f>
        <v>8.69</v>
      </c>
      <c r="AH346" s="2">
        <f>[8]m!$I348</f>
        <v>9.42</v>
      </c>
      <c r="AI346" s="2">
        <f>[7]m!C347</f>
        <v>15359</v>
      </c>
      <c r="AJ346" s="2">
        <f>[7]m!D347</f>
        <v>17161</v>
      </c>
      <c r="AK346" s="2">
        <f>[2]Surveys_m!$AB228</f>
        <v>60.5</v>
      </c>
      <c r="AL346" s="4">
        <f t="shared" si="5"/>
        <v>4893.5106382978729</v>
      </c>
      <c r="AN346" s="2">
        <v>99</v>
      </c>
      <c r="AQ346" s="3">
        <f>[9]LaborForce!$B227*[9]LaborForce!$C227/100</f>
        <v>102863.76600000002</v>
      </c>
      <c r="AR346">
        <f>[9]Unemployment!$AC228</f>
        <v>313</v>
      </c>
      <c r="AS346">
        <f>[2]Indicators!BC228</f>
        <v>52.5</v>
      </c>
      <c r="AT346">
        <f>[2]Indicators!BD228</f>
        <v>53.045100000000005</v>
      </c>
      <c r="AU346">
        <f>[2]Indicators!BE228</f>
        <v>104.2051</v>
      </c>
    </row>
    <row r="347" spans="1:47" x14ac:dyDescent="0.25">
      <c r="A347" s="1">
        <v>28764</v>
      </c>
      <c r="B347" s="2">
        <f>[2]Indicators!G229</f>
        <v>1472.55</v>
      </c>
      <c r="C347" s="2">
        <f>[2]Indicators!H229</f>
        <v>220.33</v>
      </c>
      <c r="D347" s="2">
        <f>[2]Indicators!I229</f>
        <v>461.863</v>
      </c>
      <c r="E347" s="2">
        <f>[2]Indicators!J229</f>
        <v>790.35699999999997</v>
      </c>
      <c r="L347" s="2">
        <f>[2]Indicators!N229</f>
        <v>15.845000000000001</v>
      </c>
      <c r="M347" s="2">
        <f>[2]Indicators!AB229</f>
        <v>51.014700000000005</v>
      </c>
      <c r="N347" s="2">
        <f>[8]m!$C349</f>
        <v>8.9600000000000009</v>
      </c>
      <c r="O347">
        <f>[9]Unemployment!$B229</f>
        <v>5.8000000000000007</v>
      </c>
      <c r="P347" s="2">
        <f>[2]Surveys_m!$B229</f>
        <v>108.60000000000001</v>
      </c>
      <c r="Q347">
        <f>[5]m!$B349</f>
        <v>67.099999999999994</v>
      </c>
      <c r="R347">
        <f>[5]m!$D349</f>
        <v>67.2</v>
      </c>
      <c r="S347">
        <f>[5]m!$Q349</f>
        <v>71.8</v>
      </c>
      <c r="T347">
        <f>[6]m!B349</f>
        <v>-14000</v>
      </c>
      <c r="U347" s="2">
        <f>[9]Unemployment!$F229</f>
        <v>11.700000000000001</v>
      </c>
      <c r="V347" s="2">
        <f>[9]Unemployment!$G229</f>
        <v>5.9</v>
      </c>
      <c r="W347">
        <f>[9]Unemployment!$E229</f>
        <v>5947</v>
      </c>
      <c r="X347">
        <f>[9]Unemployment!N229</f>
        <v>2786</v>
      </c>
      <c r="Y347">
        <f>[9]Unemployment!O229</f>
        <v>1833</v>
      </c>
      <c r="Z347">
        <f>[9]Unemployment!P229-[9]Unemployment!Q229</f>
        <v>723</v>
      </c>
      <c r="AA347">
        <f>[9]Unemployment!$Q229</f>
        <v>596</v>
      </c>
      <c r="AB347" s="2">
        <f>[8]m!$B349</f>
        <v>8.73</v>
      </c>
      <c r="AC347" s="2">
        <f>[8]m!$F349</f>
        <v>8.64</v>
      </c>
      <c r="AD347">
        <f>[9]Employment!$B229</f>
        <v>87954</v>
      </c>
      <c r="AE347" s="2">
        <f>[2]Indicators!$AB229</f>
        <v>51.014700000000005</v>
      </c>
      <c r="AF347" s="2">
        <f>[8]m!$AS349</f>
        <v>298.8</v>
      </c>
      <c r="AG347" s="2">
        <f>[8]m!$H349</f>
        <v>8.89</v>
      </c>
      <c r="AH347" s="2">
        <f>[8]m!$I349</f>
        <v>9.59</v>
      </c>
      <c r="AI347" s="2">
        <f>[7]m!C348</f>
        <v>16356</v>
      </c>
      <c r="AJ347" s="2">
        <f>[7]m!D348</f>
        <v>17995</v>
      </c>
      <c r="AK347" s="2">
        <f>[2]Surveys_m!$AB229</f>
        <v>60.1</v>
      </c>
      <c r="AL347" s="4">
        <f t="shared" si="5"/>
        <v>5091.2282398452617</v>
      </c>
      <c r="AN347" s="2">
        <v>103</v>
      </c>
      <c r="AQ347" s="3">
        <f>[9]LaborForce!$B228*[9]LaborForce!$C228/100</f>
        <v>103041.63900000001</v>
      </c>
      <c r="AR347">
        <f>[9]Unemployment!$AC229</f>
        <v>318</v>
      </c>
      <c r="AS347">
        <f>[2]Indicators!BC229</f>
        <v>52.7</v>
      </c>
      <c r="AT347">
        <f>[2]Indicators!BD229</f>
        <v>52.975300000000004</v>
      </c>
      <c r="AU347">
        <f>[2]Indicators!BE229</f>
        <v>103.86710000000001</v>
      </c>
    </row>
    <row r="348" spans="1:47" x14ac:dyDescent="0.25">
      <c r="A348" s="1">
        <v>28795</v>
      </c>
      <c r="B348" s="2">
        <f>[2]Indicators!G230</f>
        <v>1486.239</v>
      </c>
      <c r="C348" s="2">
        <f>[2]Indicators!H230</f>
        <v>222.327</v>
      </c>
      <c r="D348" s="2">
        <f>[2]Indicators!I230</f>
        <v>469.45300000000003</v>
      </c>
      <c r="E348" s="2">
        <f>[2]Indicators!J230</f>
        <v>794.46</v>
      </c>
      <c r="L348" s="2">
        <f>[2]Indicators!N230</f>
        <v>15.484</v>
      </c>
      <c r="M348" s="2">
        <f>[2]Indicators!AB230</f>
        <v>51.377600000000001</v>
      </c>
      <c r="N348" s="2">
        <f>[8]m!$C350</f>
        <v>9.76</v>
      </c>
      <c r="O348">
        <f>[9]Unemployment!$B230</f>
        <v>5.9</v>
      </c>
      <c r="P348" s="2">
        <f>[2]Surveys_m!$B230</f>
        <v>96.5</v>
      </c>
      <c r="Q348">
        <f>[5]m!$B350</f>
        <v>67.5</v>
      </c>
      <c r="R348">
        <f>[5]m!$D350</f>
        <v>67.599999999999994</v>
      </c>
      <c r="S348">
        <f>[5]m!$Q350</f>
        <v>72.100000000000009</v>
      </c>
      <c r="T348">
        <f>[6]m!B350</f>
        <v>-5960</v>
      </c>
      <c r="U348" s="2">
        <f>[9]Unemployment!$F230</f>
        <v>11.100000000000001</v>
      </c>
      <c r="V348" s="2">
        <f>[9]Unemployment!$G230</f>
        <v>5.5</v>
      </c>
      <c r="W348">
        <f>[9]Unemployment!$E230</f>
        <v>6077</v>
      </c>
      <c r="X348">
        <f>[9]Unemployment!N230</f>
        <v>2903</v>
      </c>
      <c r="Y348">
        <f>[9]Unemployment!O230</f>
        <v>1881</v>
      </c>
      <c r="Z348">
        <f>[9]Unemployment!P230-[9]Unemployment!Q230</f>
        <v>709</v>
      </c>
      <c r="AA348">
        <f>[9]Unemployment!$Q230</f>
        <v>533</v>
      </c>
      <c r="AB348" s="2">
        <f>[8]m!$B350</f>
        <v>8.99</v>
      </c>
      <c r="AC348" s="2">
        <f>[8]m!$F350</f>
        <v>8.81</v>
      </c>
      <c r="AD348">
        <f>[9]Employment!$B230</f>
        <v>88391</v>
      </c>
      <c r="AE348" s="2">
        <f>[2]Indicators!$AB230</f>
        <v>51.377600000000001</v>
      </c>
      <c r="AF348" s="2">
        <f>[8]m!$AS350</f>
        <v>302.7</v>
      </c>
      <c r="AG348" s="2">
        <f>[8]m!$H350</f>
        <v>9.0299999999999994</v>
      </c>
      <c r="AH348" s="2">
        <f>[8]m!$I350</f>
        <v>9.83</v>
      </c>
      <c r="AI348" s="2">
        <f>[7]m!C349</f>
        <v>16130</v>
      </c>
      <c r="AJ348" s="2">
        <f>[7]m!D349</f>
        <v>17945</v>
      </c>
      <c r="AK348" s="2">
        <f>[2]Surveys_m!$AB230</f>
        <v>61.300000000000004</v>
      </c>
      <c r="AL348" s="4">
        <f t="shared" si="5"/>
        <v>5041.7988394584145</v>
      </c>
      <c r="AN348" s="2">
        <v>102</v>
      </c>
      <c r="AQ348" s="3">
        <f>[9]LaborForce!$B229*[9]LaborForce!$C229/100</f>
        <v>103515.795</v>
      </c>
      <c r="AR348">
        <f>[9]Unemployment!$AC230</f>
        <v>316</v>
      </c>
      <c r="AS348">
        <f>[2]Indicators!BC230</f>
        <v>52.1</v>
      </c>
      <c r="AT348">
        <f>[2]Indicators!BD230</f>
        <v>52.848200000000006</v>
      </c>
      <c r="AU348">
        <f>[2]Indicators!BE230</f>
        <v>103.42530000000001</v>
      </c>
    </row>
    <row r="349" spans="1:47" x14ac:dyDescent="0.25">
      <c r="A349" s="1">
        <v>28825</v>
      </c>
      <c r="B349" s="2">
        <f>[2]Indicators!G231</f>
        <v>1502.104</v>
      </c>
      <c r="C349" s="2">
        <f>[2]Indicators!H231</f>
        <v>224.239</v>
      </c>
      <c r="D349" s="2">
        <f>[2]Indicators!I231</f>
        <v>476.78500000000003</v>
      </c>
      <c r="E349" s="2">
        <f>[2]Indicators!J231</f>
        <v>801.08</v>
      </c>
      <c r="L349" s="2">
        <f>[2]Indicators!N231</f>
        <v>15.338000000000001</v>
      </c>
      <c r="M349" s="2">
        <f>[2]Indicators!AB231</f>
        <v>51.6708</v>
      </c>
      <c r="N349" s="2">
        <f>[8]m!$C351</f>
        <v>10.029999999999999</v>
      </c>
      <c r="O349">
        <f>[9]Unemployment!$B231</f>
        <v>6</v>
      </c>
      <c r="P349" s="2">
        <f>[2]Surveys_m!$B231</f>
        <v>102.2</v>
      </c>
      <c r="Q349">
        <f>[5]m!$B351</f>
        <v>67.900000000000006</v>
      </c>
      <c r="R349">
        <f>[5]m!$D351</f>
        <v>68</v>
      </c>
      <c r="S349">
        <f>[5]m!$Q351</f>
        <v>72.7</v>
      </c>
      <c r="T349">
        <f>[6]m!B351</f>
        <v>-12033</v>
      </c>
      <c r="U349" s="2">
        <f>[9]Unemployment!$F231</f>
        <v>10.600000000000001</v>
      </c>
      <c r="V349" s="2">
        <f>[9]Unemployment!$G231</f>
        <v>5.6000000000000005</v>
      </c>
      <c r="W349">
        <f>[9]Unemployment!$E231</f>
        <v>6228</v>
      </c>
      <c r="X349">
        <f>[9]Unemployment!N231</f>
        <v>2978</v>
      </c>
      <c r="Y349">
        <f>[9]Unemployment!O231</f>
        <v>2004</v>
      </c>
      <c r="Z349">
        <f>[9]Unemployment!P231-[9]Unemployment!Q231</f>
        <v>759</v>
      </c>
      <c r="AA349">
        <f>[9]Unemployment!$Q231</f>
        <v>510</v>
      </c>
      <c r="AB349" s="2">
        <f>[8]m!$B351</f>
        <v>9.19</v>
      </c>
      <c r="AC349" s="2">
        <f>[8]m!$F351</f>
        <v>9.01</v>
      </c>
      <c r="AD349">
        <f>[9]Employment!$B231</f>
        <v>88674</v>
      </c>
      <c r="AE349" s="2">
        <f>[2]Indicators!$AB231</f>
        <v>51.6708</v>
      </c>
      <c r="AF349" s="2">
        <f>[8]m!$AS351</f>
        <v>306.10000000000002</v>
      </c>
      <c r="AG349" s="2">
        <f>[8]m!$H351</f>
        <v>9.16</v>
      </c>
      <c r="AH349" s="2">
        <f>[8]m!$I351</f>
        <v>9.94</v>
      </c>
      <c r="AI349" s="2">
        <f>[7]m!C350</f>
        <v>16684</v>
      </c>
      <c r="AJ349" s="2">
        <f>[7]m!D350</f>
        <v>18092</v>
      </c>
      <c r="AK349" s="2">
        <f>[2]Surveys_m!$AB231</f>
        <v>59.400000000000006</v>
      </c>
      <c r="AL349" s="4">
        <f t="shared" si="5"/>
        <v>5091.2282398452617</v>
      </c>
      <c r="AN349" s="2">
        <v>103</v>
      </c>
      <c r="AQ349" s="3">
        <f>[9]LaborForce!$B230*[9]LaborForce!$C230/100</f>
        <v>103840.99200000001</v>
      </c>
      <c r="AR349">
        <f>[9]Unemployment!$AC231</f>
        <v>377</v>
      </c>
      <c r="AS349">
        <f>[2]Indicators!BC231</f>
        <v>51.7</v>
      </c>
      <c r="AT349">
        <f>[2]Indicators!BD231</f>
        <v>52.700400000000002</v>
      </c>
      <c r="AU349">
        <f>[2]Indicators!BE231</f>
        <v>102.9516</v>
      </c>
    </row>
    <row r="350" spans="1:47" x14ac:dyDescent="0.25">
      <c r="A350" s="1">
        <v>28856</v>
      </c>
      <c r="B350" s="2">
        <f>[2]Indicators!G232</f>
        <v>1507.894</v>
      </c>
      <c r="C350" s="2">
        <f>[2]Indicators!H232</f>
        <v>220.54300000000001</v>
      </c>
      <c r="D350" s="2">
        <f>[2]Indicators!I232</f>
        <v>478.94100000000003</v>
      </c>
      <c r="E350" s="2">
        <f>[2]Indicators!J232</f>
        <v>808.41100000000006</v>
      </c>
      <c r="L350" s="2">
        <f>[2]Indicators!N232</f>
        <v>15.061</v>
      </c>
      <c r="M350" s="2">
        <f>[2]Indicators!AB232</f>
        <v>51.323100000000004</v>
      </c>
      <c r="N350" s="2">
        <f>[8]m!$C352</f>
        <v>10.07</v>
      </c>
      <c r="O350">
        <f>[9]Unemployment!$B232</f>
        <v>5.9</v>
      </c>
      <c r="P350" s="2">
        <f>[2]Surveys_m!$B232</f>
        <v>99.5</v>
      </c>
      <c r="Q350">
        <f>[5]m!$B352</f>
        <v>68.5</v>
      </c>
      <c r="R350">
        <f>[5]m!$D352</f>
        <v>68.5</v>
      </c>
      <c r="S350">
        <f>[5]m!$Q352</f>
        <v>73.8</v>
      </c>
      <c r="T350">
        <f>[6]m!B352</f>
        <v>-2507</v>
      </c>
      <c r="U350" s="2">
        <f>[9]Unemployment!$F232</f>
        <v>11.100000000000001</v>
      </c>
      <c r="V350" s="2">
        <f>[9]Unemployment!$G232</f>
        <v>5.9</v>
      </c>
      <c r="W350">
        <f>[9]Unemployment!$E232</f>
        <v>6109</v>
      </c>
      <c r="X350">
        <f>[9]Unemployment!N232</f>
        <v>2791</v>
      </c>
      <c r="Y350">
        <f>[9]Unemployment!O232</f>
        <v>2003</v>
      </c>
      <c r="Z350">
        <f>[9]Unemployment!P232-[9]Unemployment!Q232</f>
        <v>717</v>
      </c>
      <c r="AA350">
        <f>[9]Unemployment!$Q232</f>
        <v>533</v>
      </c>
      <c r="AB350" s="2">
        <f>[8]m!$B352</f>
        <v>9.2900000000000009</v>
      </c>
      <c r="AC350" s="2">
        <f>[8]m!$F352</f>
        <v>9.1</v>
      </c>
      <c r="AD350">
        <f>[9]Employment!$B232</f>
        <v>88811</v>
      </c>
      <c r="AE350" s="2">
        <f>[2]Indicators!$AB232</f>
        <v>51.323100000000004</v>
      </c>
      <c r="AF350" s="2">
        <f>[8]m!$AS352</f>
        <v>309.90000000000003</v>
      </c>
      <c r="AG350" s="2">
        <f>[8]m!$H352</f>
        <v>9.25</v>
      </c>
      <c r="AH350" s="2">
        <f>[8]m!$I352</f>
        <v>10.130000000000001</v>
      </c>
      <c r="AI350" s="2">
        <f>[7]m!C351</f>
        <v>16523</v>
      </c>
      <c r="AJ350" s="2">
        <f>[7]m!D351</f>
        <v>18154</v>
      </c>
      <c r="AK350" s="2">
        <f>[2]Surveys_m!$AB232</f>
        <v>58.5</v>
      </c>
      <c r="AL350" s="4">
        <f t="shared" si="5"/>
        <v>5041.7988394584145</v>
      </c>
      <c r="AN350" s="2">
        <v>102</v>
      </c>
      <c r="AQ350" s="3">
        <f>[9]LaborForce!$B231*[9]LaborForce!$C231/100</f>
        <v>103996.17599999999</v>
      </c>
      <c r="AR350">
        <f>[9]Unemployment!$AC232</f>
        <v>358</v>
      </c>
      <c r="AS350">
        <f>[2]Indicators!BC232</f>
        <v>51.6</v>
      </c>
      <c r="AT350">
        <f>[2]Indicators!BD232</f>
        <v>52.574200000000005</v>
      </c>
      <c r="AU350">
        <f>[2]Indicators!BE232</f>
        <v>102.5284</v>
      </c>
    </row>
    <row r="351" spans="1:47" x14ac:dyDescent="0.25">
      <c r="A351" s="1">
        <v>28887</v>
      </c>
      <c r="B351" s="2">
        <f>[2]Indicators!G233</f>
        <v>1523.2440000000001</v>
      </c>
      <c r="C351" s="2">
        <f>[2]Indicators!H233</f>
        <v>223.98400000000001</v>
      </c>
      <c r="D351" s="2">
        <f>[2]Indicators!I233</f>
        <v>484.32900000000001</v>
      </c>
      <c r="E351" s="2">
        <f>[2]Indicators!J233</f>
        <v>814.93200000000002</v>
      </c>
      <c r="L351" s="2">
        <f>[2]Indicators!N233</f>
        <v>15.321</v>
      </c>
      <c r="M351" s="2">
        <f>[2]Indicators!AB233</f>
        <v>51.617200000000004</v>
      </c>
      <c r="N351" s="2">
        <f>[8]m!$C353</f>
        <v>10.06</v>
      </c>
      <c r="O351">
        <f>[9]Unemployment!$B233</f>
        <v>5.9</v>
      </c>
      <c r="P351" s="2">
        <f>[2]Surveys_m!$B233</f>
        <v>101.5</v>
      </c>
      <c r="Q351">
        <f>[5]m!$B353</f>
        <v>69.2</v>
      </c>
      <c r="R351">
        <f>[5]m!$D353</f>
        <v>69.2</v>
      </c>
      <c r="S351">
        <f>[5]m!$Q353</f>
        <v>74.900000000000006</v>
      </c>
      <c r="T351">
        <f>[6]m!B353</f>
        <v>-5100</v>
      </c>
      <c r="U351" s="2">
        <f>[9]Unemployment!$F233</f>
        <v>11.200000000000001</v>
      </c>
      <c r="V351" s="2">
        <f>[9]Unemployment!$G233</f>
        <v>5.9</v>
      </c>
      <c r="W351">
        <f>[9]Unemployment!$E233</f>
        <v>6173</v>
      </c>
      <c r="X351">
        <f>[9]Unemployment!N233</f>
        <v>2899</v>
      </c>
      <c r="Y351">
        <f>[9]Unemployment!O233</f>
        <v>1964</v>
      </c>
      <c r="Z351">
        <f>[9]Unemployment!P233-[9]Unemployment!Q233</f>
        <v>745</v>
      </c>
      <c r="AA351">
        <f>[9]Unemployment!$Q233</f>
        <v>552</v>
      </c>
      <c r="AB351" s="2">
        <f>[8]m!$B353</f>
        <v>9.42</v>
      </c>
      <c r="AC351" s="2">
        <f>[8]m!$F353</f>
        <v>9.1</v>
      </c>
      <c r="AD351">
        <f>[9]Employment!$B233</f>
        <v>89054</v>
      </c>
      <c r="AE351" s="2">
        <f>[2]Indicators!$AB233</f>
        <v>51.617200000000004</v>
      </c>
      <c r="AF351" s="2">
        <f>[8]m!$AS353</f>
        <v>313.5</v>
      </c>
      <c r="AG351" s="2">
        <f>[8]m!$H353</f>
        <v>9.26</v>
      </c>
      <c r="AH351" s="2">
        <f>[8]m!$I353</f>
        <v>10.08</v>
      </c>
      <c r="AI351" s="2">
        <f>[7]m!C352</f>
        <v>16502</v>
      </c>
      <c r="AJ351" s="2">
        <f>[7]m!D352</f>
        <v>19696</v>
      </c>
      <c r="AK351" s="2">
        <f>[2]Surveys_m!$AB233</f>
        <v>58.2</v>
      </c>
      <c r="AL351" s="4">
        <f t="shared" si="5"/>
        <v>4942.9400386847201</v>
      </c>
      <c r="AN351" s="2">
        <v>100</v>
      </c>
      <c r="AQ351" s="3">
        <f>[9]LaborForce!$B232*[9]LaborForce!$C232/100</f>
        <v>104457.18800000001</v>
      </c>
      <c r="AR351">
        <f>[9]Unemployment!$AC233</f>
        <v>342</v>
      </c>
      <c r="AS351">
        <f>[2]Indicators!BC233</f>
        <v>51.6</v>
      </c>
      <c r="AT351">
        <f>[2]Indicators!BD233</f>
        <v>52.479400000000005</v>
      </c>
      <c r="AU351">
        <f>[2]Indicators!BE233</f>
        <v>102.1752</v>
      </c>
    </row>
    <row r="352" spans="1:47" x14ac:dyDescent="0.25">
      <c r="A352" s="1">
        <v>28915</v>
      </c>
      <c r="B352" s="2">
        <f>[2]Indicators!G234</f>
        <v>1536.607</v>
      </c>
      <c r="C352" s="2">
        <f>[2]Indicators!H234</f>
        <v>225.30700000000002</v>
      </c>
      <c r="D352" s="2">
        <f>[2]Indicators!I234</f>
        <v>490.50200000000001</v>
      </c>
      <c r="E352" s="2">
        <f>[2]Indicators!J234</f>
        <v>820.798</v>
      </c>
      <c r="L352" s="2">
        <f>[2]Indicators!N234</f>
        <v>15.275</v>
      </c>
      <c r="M352" s="2">
        <f>[2]Indicators!AB234</f>
        <v>51.780100000000004</v>
      </c>
      <c r="N352" s="2">
        <f>[8]m!$C354</f>
        <v>10.09</v>
      </c>
      <c r="O352">
        <f>[9]Unemployment!$B234</f>
        <v>5.8000000000000007</v>
      </c>
      <c r="P352" s="2">
        <f>[2]Surveys_m!$B234</f>
        <v>96.4</v>
      </c>
      <c r="Q352">
        <f>[5]m!$B354</f>
        <v>69.900000000000006</v>
      </c>
      <c r="R352">
        <f>[5]m!$D354</f>
        <v>69.8</v>
      </c>
      <c r="S352">
        <f>[5]m!$Q354</f>
        <v>75.8</v>
      </c>
      <c r="T352">
        <f>[6]m!B354</f>
        <v>-12581</v>
      </c>
      <c r="U352" s="2">
        <f>[9]Unemployment!$F234</f>
        <v>11.700000000000001</v>
      </c>
      <c r="V352" s="2">
        <f>[9]Unemployment!$G234</f>
        <v>5.9</v>
      </c>
      <c r="W352">
        <f>[9]Unemployment!$E234</f>
        <v>6109</v>
      </c>
      <c r="X352">
        <f>[9]Unemployment!N234</f>
        <v>2843</v>
      </c>
      <c r="Y352">
        <f>[9]Unemployment!O234</f>
        <v>1935</v>
      </c>
      <c r="Z352">
        <f>[9]Unemployment!P234-[9]Unemployment!Q234</f>
        <v>773</v>
      </c>
      <c r="AA352">
        <f>[9]Unemployment!$Q234</f>
        <v>592</v>
      </c>
      <c r="AB352" s="2">
        <f>[8]m!$B354</f>
        <v>9.41</v>
      </c>
      <c r="AC352" s="2">
        <f>[8]m!$F354</f>
        <v>9.120000000000001</v>
      </c>
      <c r="AD352">
        <f>[9]Employment!$B234</f>
        <v>89480</v>
      </c>
      <c r="AE352" s="2">
        <f>[2]Indicators!$AB234</f>
        <v>51.780100000000004</v>
      </c>
      <c r="AF352" s="2">
        <f>[8]m!$AS354</f>
        <v>317.20000000000005</v>
      </c>
      <c r="AG352" s="2">
        <f>[8]m!$H354</f>
        <v>9.370000000000001</v>
      </c>
      <c r="AH352" s="2">
        <f>[8]m!$I354</f>
        <v>10.26</v>
      </c>
      <c r="AI352" s="2">
        <f>[7]m!C353</f>
        <v>16848</v>
      </c>
      <c r="AJ352" s="2">
        <f>[7]m!D353</f>
        <v>17802</v>
      </c>
      <c r="AK352" s="2">
        <f>[2]Surveys_m!$AB234</f>
        <v>57.7</v>
      </c>
      <c r="AL352" s="4">
        <f t="shared" si="5"/>
        <v>4942.9400386847201</v>
      </c>
      <c r="AN352" s="2">
        <v>100</v>
      </c>
      <c r="AQ352" s="3">
        <f>[9]LaborForce!$B233*[9]LaborForce!$C233/100</f>
        <v>104649.22600000001</v>
      </c>
      <c r="AR352">
        <f>[9]Unemployment!$AC234</f>
        <v>360</v>
      </c>
      <c r="AS352">
        <f>[2]Indicators!BC234</f>
        <v>51.800000000000004</v>
      </c>
      <c r="AT352">
        <f>[2]Indicators!BD234</f>
        <v>52.394400000000005</v>
      </c>
      <c r="AU352">
        <f>[2]Indicators!BE234</f>
        <v>101.8497</v>
      </c>
    </row>
    <row r="353" spans="1:47" x14ac:dyDescent="0.25">
      <c r="A353" s="1">
        <v>28946</v>
      </c>
      <c r="B353" s="2">
        <f>[2]Indicators!G235</f>
        <v>1543.9470000000001</v>
      </c>
      <c r="C353" s="2">
        <f>[2]Indicators!H235</f>
        <v>222.654</v>
      </c>
      <c r="D353" s="2">
        <f>[2]Indicators!I235</f>
        <v>489.11400000000003</v>
      </c>
      <c r="E353" s="2">
        <f>[2]Indicators!J235</f>
        <v>832.178</v>
      </c>
      <c r="L353" s="2">
        <f>[2]Indicators!N235</f>
        <v>14.742000000000001</v>
      </c>
      <c r="M353" s="2">
        <f>[2]Indicators!AB235</f>
        <v>51.222700000000003</v>
      </c>
      <c r="N353" s="2">
        <f>[8]m!$C355</f>
        <v>10.01</v>
      </c>
      <c r="O353">
        <f>[9]Unemployment!$B235</f>
        <v>5.8000000000000007</v>
      </c>
      <c r="P353" s="2">
        <f>[2]Surveys_m!$B235</f>
        <v>94.600000000000009</v>
      </c>
      <c r="Q353">
        <f>[5]m!$B355</f>
        <v>70.600000000000009</v>
      </c>
      <c r="R353">
        <f>[5]m!$D355</f>
        <v>70.3</v>
      </c>
      <c r="S353">
        <f>[5]m!$Q355</f>
        <v>76.900000000000006</v>
      </c>
      <c r="T353">
        <f>[6]m!B355</f>
        <v>11478</v>
      </c>
      <c r="U353" s="2">
        <f>[9]Unemployment!$F235</f>
        <v>11</v>
      </c>
      <c r="V353" s="2">
        <f>[9]Unemployment!$G235</f>
        <v>5.4</v>
      </c>
      <c r="W353">
        <f>[9]Unemployment!$E235</f>
        <v>6069</v>
      </c>
      <c r="X353">
        <f>[9]Unemployment!N235</f>
        <v>2938</v>
      </c>
      <c r="Y353">
        <f>[9]Unemployment!O235</f>
        <v>1908</v>
      </c>
      <c r="Z353">
        <f>[9]Unemployment!P235-[9]Unemployment!Q235</f>
        <v>723</v>
      </c>
      <c r="AA353">
        <f>[9]Unemployment!$Q235</f>
        <v>549</v>
      </c>
      <c r="AB353" s="2">
        <f>[8]m!$B355</f>
        <v>9.5299999999999994</v>
      </c>
      <c r="AC353" s="2">
        <f>[8]m!$F355</f>
        <v>9.18</v>
      </c>
      <c r="AD353">
        <f>[9]Employment!$B235</f>
        <v>89418</v>
      </c>
      <c r="AE353" s="2">
        <f>[2]Indicators!$AB235</f>
        <v>51.222700000000003</v>
      </c>
      <c r="AF353" s="2">
        <f>[8]m!$AS355</f>
        <v>320.90000000000003</v>
      </c>
      <c r="AG353" s="2">
        <f>[8]m!$H355</f>
        <v>9.3800000000000008</v>
      </c>
      <c r="AH353" s="2">
        <f>[8]m!$I355</f>
        <v>10.33</v>
      </c>
      <c r="AI353" s="2">
        <f>[7]m!C354</f>
        <v>17538</v>
      </c>
      <c r="AJ353" s="2">
        <f>[7]m!D354</f>
        <v>18540</v>
      </c>
      <c r="AK353" s="2">
        <f>[2]Surveys_m!$AB235</f>
        <v>56.2</v>
      </c>
      <c r="AL353" s="4">
        <f t="shared" si="5"/>
        <v>5140.6576402321089</v>
      </c>
      <c r="AN353" s="2">
        <v>104</v>
      </c>
      <c r="AQ353" s="3">
        <f>[9]LaborForce!$B234*[9]LaborForce!$C234/100</f>
        <v>104242.87</v>
      </c>
      <c r="AR353">
        <f>[9]Unemployment!$AC235</f>
        <v>360</v>
      </c>
      <c r="AS353">
        <f>[2]Indicators!BC235</f>
        <v>51</v>
      </c>
      <c r="AT353">
        <f>[2]Indicators!BD235</f>
        <v>52.287400000000005</v>
      </c>
      <c r="AU353">
        <f>[2]Indicators!BE235</f>
        <v>101.4901</v>
      </c>
    </row>
    <row r="354" spans="1:47" x14ac:dyDescent="0.25">
      <c r="A354" s="1">
        <v>28976</v>
      </c>
      <c r="B354" s="2">
        <f>[2]Indicators!G236</f>
        <v>1564.367</v>
      </c>
      <c r="C354" s="2">
        <f>[2]Indicators!H236</f>
        <v>224.35500000000002</v>
      </c>
      <c r="D354" s="2">
        <f>[2]Indicators!I236</f>
        <v>499.411</v>
      </c>
      <c r="E354" s="2">
        <f>[2]Indicators!J236</f>
        <v>840.601</v>
      </c>
      <c r="L354" s="2">
        <f>[2]Indicators!N236</f>
        <v>14.374000000000001</v>
      </c>
      <c r="M354" s="2">
        <f>[2]Indicators!AB236</f>
        <v>51.615500000000004</v>
      </c>
      <c r="N354" s="2">
        <f>[8]m!$C356</f>
        <v>10.24</v>
      </c>
      <c r="O354">
        <f>[9]Unemployment!$B236</f>
        <v>5.6000000000000005</v>
      </c>
      <c r="P354" s="2">
        <f>[2]Surveys_m!$B236</f>
        <v>96</v>
      </c>
      <c r="Q354">
        <f>[5]m!$B356</f>
        <v>71.400000000000006</v>
      </c>
      <c r="R354">
        <f>[5]m!$D356</f>
        <v>70.8</v>
      </c>
      <c r="S354">
        <f>[5]m!$Q356</f>
        <v>77.5</v>
      </c>
      <c r="T354">
        <f>[6]m!B356</f>
        <v>-3331</v>
      </c>
      <c r="U354" s="2">
        <f>[9]Unemployment!$F236</f>
        <v>11.100000000000001</v>
      </c>
      <c r="V354" s="2">
        <f>[9]Unemployment!$G236</f>
        <v>5.6000000000000005</v>
      </c>
      <c r="W354">
        <f>[9]Unemployment!$E236</f>
        <v>5840</v>
      </c>
      <c r="X354">
        <f>[9]Unemployment!N236</f>
        <v>2773</v>
      </c>
      <c r="Y354">
        <f>[9]Unemployment!O236</f>
        <v>1897</v>
      </c>
      <c r="Z354">
        <f>[9]Unemployment!P236-[9]Unemployment!Q236</f>
        <v>719</v>
      </c>
      <c r="AA354">
        <f>[9]Unemployment!$Q236</f>
        <v>520</v>
      </c>
      <c r="AB354" s="2">
        <f>[8]m!$B356</f>
        <v>9.58</v>
      </c>
      <c r="AC354" s="2">
        <f>[8]m!$F356</f>
        <v>9.25</v>
      </c>
      <c r="AD354">
        <f>[9]Employment!$B236</f>
        <v>89790</v>
      </c>
      <c r="AE354" s="2">
        <f>[2]Indicators!$AB236</f>
        <v>51.615500000000004</v>
      </c>
      <c r="AF354" s="2">
        <f>[8]m!$AS356</f>
        <v>325.20000000000005</v>
      </c>
      <c r="AG354" s="2">
        <f>[8]m!$H356</f>
        <v>9.5</v>
      </c>
      <c r="AH354" s="2">
        <f>[8]m!$I356</f>
        <v>10.47</v>
      </c>
      <c r="AI354" s="2">
        <f>[7]m!C355</f>
        <v>17226</v>
      </c>
      <c r="AJ354" s="2">
        <f>[7]m!D355</f>
        <v>19048</v>
      </c>
      <c r="AK354" s="2">
        <f>[2]Surveys_m!$AB236</f>
        <v>54.400000000000006</v>
      </c>
      <c r="AL354" s="4">
        <f t="shared" si="5"/>
        <v>5091.2282398452617</v>
      </c>
      <c r="AN354" s="2">
        <v>103</v>
      </c>
      <c r="AQ354" s="3">
        <f>[9]LaborForce!$B235*[9]LaborForce!$C235/100</f>
        <v>104102.54700000001</v>
      </c>
      <c r="AR354">
        <f>[9]Unemployment!$AC236</f>
        <v>357</v>
      </c>
      <c r="AS354">
        <f>[2]Indicators!BC236</f>
        <v>51.300000000000004</v>
      </c>
      <c r="AT354">
        <f>[2]Indicators!BD236</f>
        <v>52.165400000000005</v>
      </c>
      <c r="AU354">
        <f>[2]Indicators!BE236</f>
        <v>101.1097</v>
      </c>
    </row>
    <row r="355" spans="1:47" x14ac:dyDescent="0.25">
      <c r="A355" s="1">
        <v>29007</v>
      </c>
      <c r="B355" s="2">
        <f>[2]Indicators!G237</f>
        <v>1581.2860000000001</v>
      </c>
      <c r="C355" s="2">
        <f>[2]Indicators!H237</f>
        <v>219.29300000000001</v>
      </c>
      <c r="D355" s="2">
        <f>[2]Indicators!I237</f>
        <v>511.67500000000001</v>
      </c>
      <c r="E355" s="2">
        <f>[2]Indicators!J237</f>
        <v>850.31799999999998</v>
      </c>
      <c r="L355" s="2">
        <f>[2]Indicators!N237</f>
        <v>12.744</v>
      </c>
      <c r="M355" s="2">
        <f>[2]Indicators!AB237</f>
        <v>51.629300000000001</v>
      </c>
      <c r="N355" s="2">
        <f>[8]m!$C357</f>
        <v>10.290000000000001</v>
      </c>
      <c r="O355">
        <f>[9]Unemployment!$B237</f>
        <v>5.7</v>
      </c>
      <c r="P355" s="2">
        <f>[2]Surveys_m!$B237</f>
        <v>92.7</v>
      </c>
      <c r="Q355">
        <f>[5]m!$B357</f>
        <v>72.2</v>
      </c>
      <c r="R355">
        <f>[5]m!$D357</f>
        <v>71.3</v>
      </c>
      <c r="S355">
        <f>[5]m!$Q357</f>
        <v>78</v>
      </c>
      <c r="T355">
        <f>[6]m!B357</f>
        <v>13223</v>
      </c>
      <c r="U355" s="2">
        <f>[9]Unemployment!$F237</f>
        <v>10.4</v>
      </c>
      <c r="V355" s="2">
        <f>[9]Unemployment!$G237</f>
        <v>5.6000000000000005</v>
      </c>
      <c r="W355">
        <f>[9]Unemployment!$E237</f>
        <v>5959</v>
      </c>
      <c r="X355">
        <f>[9]Unemployment!N237</f>
        <v>2947</v>
      </c>
      <c r="Y355">
        <f>[9]Unemployment!O237</f>
        <v>1816</v>
      </c>
      <c r="Z355">
        <f>[9]Unemployment!P237-[9]Unemployment!Q237</f>
        <v>650</v>
      </c>
      <c r="AA355">
        <f>[9]Unemployment!$Q237</f>
        <v>521</v>
      </c>
      <c r="AB355" s="2">
        <f>[8]m!$B357</f>
        <v>8.93</v>
      </c>
      <c r="AC355" s="2">
        <f>[8]m!$F357</f>
        <v>8.91</v>
      </c>
      <c r="AD355">
        <f>[9]Employment!$B237</f>
        <v>90108</v>
      </c>
      <c r="AE355" s="2">
        <f>[2]Indicators!$AB237</f>
        <v>51.629300000000001</v>
      </c>
      <c r="AF355" s="2">
        <f>[8]m!$AS357</f>
        <v>328.20000000000005</v>
      </c>
      <c r="AG355" s="2">
        <f>[8]m!$H357</f>
        <v>9.2900000000000009</v>
      </c>
      <c r="AH355" s="2">
        <f>[8]m!$I357</f>
        <v>10.38</v>
      </c>
      <c r="AI355" s="2">
        <f>[7]m!C356</f>
        <v>17344</v>
      </c>
      <c r="AJ355" s="2">
        <f>[7]m!D356</f>
        <v>19792</v>
      </c>
      <c r="AK355" s="2">
        <f>[2]Surveys_m!$AB237</f>
        <v>52.7</v>
      </c>
      <c r="AL355" s="4">
        <f t="shared" si="5"/>
        <v>4992.3694390715673</v>
      </c>
      <c r="AN355" s="2">
        <v>101</v>
      </c>
      <c r="AQ355" s="3">
        <f>[9]LaborForce!$B236*[9]LaborForce!$C236/100</f>
        <v>104597.2</v>
      </c>
      <c r="AR355">
        <f>[9]Unemployment!$AC237</f>
        <v>336</v>
      </c>
      <c r="AS355">
        <f>[2]Indicators!BC237</f>
        <v>51</v>
      </c>
      <c r="AT355">
        <f>[2]Indicators!BD237</f>
        <v>52.023099999999999</v>
      </c>
      <c r="AU355">
        <f>[2]Indicators!BE237</f>
        <v>100.6983</v>
      </c>
    </row>
    <row r="356" spans="1:47" x14ac:dyDescent="0.25">
      <c r="A356" s="1">
        <v>29037</v>
      </c>
      <c r="B356" s="2">
        <f>[2]Indicators!G238</f>
        <v>1591.82</v>
      </c>
      <c r="C356" s="2">
        <f>[2]Indicators!H238</f>
        <v>226.04300000000001</v>
      </c>
      <c r="D356" s="2">
        <f>[2]Indicators!I238</f>
        <v>511.28500000000003</v>
      </c>
      <c r="E356" s="2">
        <f>[2]Indicators!J238</f>
        <v>854.49099999999999</v>
      </c>
      <c r="L356" s="2">
        <f>[2]Indicators!N238</f>
        <v>14.112</v>
      </c>
      <c r="M356" s="2">
        <f>[2]Indicators!AB238</f>
        <v>51.536799999999999</v>
      </c>
      <c r="N356" s="2">
        <f>[8]m!$C358</f>
        <v>10.47</v>
      </c>
      <c r="O356">
        <f>[9]Unemployment!$B238</f>
        <v>5.7</v>
      </c>
      <c r="P356" s="2">
        <f>[2]Surveys_m!$B238</f>
        <v>81.400000000000006</v>
      </c>
      <c r="Q356">
        <f>[5]m!$B358</f>
        <v>73</v>
      </c>
      <c r="R356">
        <f>[5]m!$D358</f>
        <v>71.900000000000006</v>
      </c>
      <c r="S356">
        <f>[5]m!$Q358</f>
        <v>79.2</v>
      </c>
      <c r="T356">
        <f>[6]m!B358</f>
        <v>-7214</v>
      </c>
      <c r="U356" s="2">
        <f>[9]Unemployment!$F238</f>
        <v>10.3</v>
      </c>
      <c r="V356" s="2">
        <f>[9]Unemployment!$G238</f>
        <v>5.9</v>
      </c>
      <c r="W356">
        <f>[9]Unemployment!$E238</f>
        <v>5996</v>
      </c>
      <c r="X356">
        <f>[9]Unemployment!N238</f>
        <v>2890</v>
      </c>
      <c r="Y356">
        <f>[9]Unemployment!O238</f>
        <v>1982</v>
      </c>
      <c r="Z356">
        <f>[9]Unemployment!P238-[9]Unemployment!Q238</f>
        <v>653</v>
      </c>
      <c r="AA356">
        <f>[9]Unemployment!$Q238</f>
        <v>470</v>
      </c>
      <c r="AB356" s="2">
        <f>[8]m!$B358</f>
        <v>9.15</v>
      </c>
      <c r="AC356" s="2">
        <f>[8]m!$F358</f>
        <v>8.9500000000000011</v>
      </c>
      <c r="AD356">
        <f>[9]Employment!$B238</f>
        <v>90214</v>
      </c>
      <c r="AE356" s="2">
        <f>[2]Indicators!$AB238</f>
        <v>51.536799999999999</v>
      </c>
      <c r="AF356" s="2">
        <f>[8]m!$AS358</f>
        <v>332</v>
      </c>
      <c r="AG356" s="2">
        <f>[8]m!$H358</f>
        <v>9.2000000000000011</v>
      </c>
      <c r="AH356" s="2">
        <f>[8]m!$I358</f>
        <v>10.290000000000001</v>
      </c>
      <c r="AI356" s="2">
        <f>[7]m!C357</f>
        <v>18066</v>
      </c>
      <c r="AJ356" s="2">
        <f>[7]m!D357</f>
        <v>20188</v>
      </c>
      <c r="AK356" s="2">
        <f>[2]Surveys_m!$AB238</f>
        <v>51.300000000000004</v>
      </c>
      <c r="AL356" s="4">
        <f t="shared" si="5"/>
        <v>4992.3694390715673</v>
      </c>
      <c r="AN356" s="2">
        <v>101</v>
      </c>
      <c r="AQ356" s="3">
        <f>[9]LaborForce!$B237*[9]LaborForce!$C237/100</f>
        <v>104920.92</v>
      </c>
      <c r="AR356">
        <f>[9]Unemployment!$AC238</f>
        <v>369</v>
      </c>
      <c r="AS356">
        <f>[2]Indicators!BC238</f>
        <v>50.4</v>
      </c>
      <c r="AT356">
        <f>[2]Indicators!BD238</f>
        <v>51.861499999999999</v>
      </c>
      <c r="AU356">
        <f>[2]Indicators!BE238</f>
        <v>100.2574</v>
      </c>
    </row>
    <row r="357" spans="1:47" x14ac:dyDescent="0.25">
      <c r="A357" s="1">
        <v>29068</v>
      </c>
      <c r="B357" s="2">
        <f>[2]Indicators!G239</f>
        <v>1621.3700000000001</v>
      </c>
      <c r="C357" s="2">
        <f>[2]Indicators!H239</f>
        <v>231.34100000000001</v>
      </c>
      <c r="D357" s="2">
        <f>[2]Indicators!I239</f>
        <v>524.22500000000002</v>
      </c>
      <c r="E357" s="2">
        <f>[2]Indicators!J239</f>
        <v>865.80399999999997</v>
      </c>
      <c r="L357" s="2">
        <f>[2]Indicators!N239</f>
        <v>14.343999999999999</v>
      </c>
      <c r="M357" s="2">
        <f>[2]Indicators!AB239</f>
        <v>51.193600000000004</v>
      </c>
      <c r="N357" s="2">
        <f>[8]m!$C359</f>
        <v>10.94</v>
      </c>
      <c r="O357">
        <f>[9]Unemployment!$B239</f>
        <v>6</v>
      </c>
      <c r="P357" s="2">
        <f>[2]Surveys_m!$B239</f>
        <v>79.400000000000006</v>
      </c>
      <c r="Q357">
        <f>[5]m!$B359</f>
        <v>73.7</v>
      </c>
      <c r="R357">
        <f>[5]m!$D359</f>
        <v>72.7</v>
      </c>
      <c r="S357">
        <f>[5]m!$Q359</f>
        <v>79.600000000000009</v>
      </c>
      <c r="T357">
        <f>[6]m!B359</f>
        <v>-15386</v>
      </c>
      <c r="U357" s="2">
        <f>[9]Unemployment!$F239</f>
        <v>10.600000000000001</v>
      </c>
      <c r="V357" s="2">
        <f>[9]Unemployment!$G239</f>
        <v>4.8000000000000007</v>
      </c>
      <c r="W357">
        <f>[9]Unemployment!$E239</f>
        <v>6320</v>
      </c>
      <c r="X357">
        <f>[9]Unemployment!N239</f>
        <v>3296</v>
      </c>
      <c r="Y357">
        <f>[9]Unemployment!O239</f>
        <v>1820</v>
      </c>
      <c r="Z357">
        <f>[9]Unemployment!P239-[9]Unemployment!Q239</f>
        <v>669</v>
      </c>
      <c r="AA357">
        <f>[9]Unemployment!$Q239</f>
        <v>534</v>
      </c>
      <c r="AB357" s="2">
        <f>[8]m!$B359</f>
        <v>9.74</v>
      </c>
      <c r="AC357" s="2">
        <f>[8]m!$F359</f>
        <v>9.0299999999999994</v>
      </c>
      <c r="AD357">
        <f>[9]Employment!$B239</f>
        <v>90296</v>
      </c>
      <c r="AE357" s="2">
        <f>[2]Indicators!$AB239</f>
        <v>51.193600000000004</v>
      </c>
      <c r="AF357" s="2">
        <f>[8]m!$AS359</f>
        <v>335.8</v>
      </c>
      <c r="AG357" s="2">
        <f>[8]m!$H359</f>
        <v>9.23</v>
      </c>
      <c r="AH357" s="2">
        <f>[8]m!$I359</f>
        <v>10.35</v>
      </c>
      <c r="AI357" s="2">
        <f>[7]m!C358</f>
        <v>19018</v>
      </c>
      <c r="AJ357" s="2">
        <f>[7]m!D358</f>
        <v>20226</v>
      </c>
      <c r="AK357" s="2">
        <f>[2]Surveys_m!$AB239</f>
        <v>49.5</v>
      </c>
      <c r="AL357" s="4">
        <f t="shared" si="5"/>
        <v>5041.7988394584145</v>
      </c>
      <c r="AN357" s="2">
        <v>102</v>
      </c>
      <c r="AQ357" s="3">
        <f>[9]LaborForce!$B238*[9]LaborForce!$C238/100</f>
        <v>105065.92800000001</v>
      </c>
      <c r="AR357">
        <f>[9]Unemployment!$AC239</f>
        <v>386</v>
      </c>
      <c r="AS357">
        <f>[2]Indicators!BC239</f>
        <v>50.4</v>
      </c>
      <c r="AT357">
        <f>[2]Indicators!BD239</f>
        <v>51.689800000000005</v>
      </c>
      <c r="AU357">
        <f>[2]Indicators!BE239</f>
        <v>99.804700000000011</v>
      </c>
    </row>
    <row r="358" spans="1:47" x14ac:dyDescent="0.25">
      <c r="A358" s="1">
        <v>29099</v>
      </c>
      <c r="B358" s="2">
        <f>[2]Indicators!G240</f>
        <v>1639.8410000000001</v>
      </c>
      <c r="C358" s="2">
        <f>[2]Indicators!H240</f>
        <v>235.411</v>
      </c>
      <c r="D358" s="2">
        <f>[2]Indicators!I240</f>
        <v>531.53</v>
      </c>
      <c r="E358" s="2">
        <f>[2]Indicators!J240</f>
        <v>872.9</v>
      </c>
      <c r="L358" s="2">
        <f>[2]Indicators!N240</f>
        <v>14.292</v>
      </c>
      <c r="M358" s="2">
        <f>[2]Indicators!AB240</f>
        <v>51.264900000000004</v>
      </c>
      <c r="N358" s="2">
        <f>[8]m!$C360</f>
        <v>11.43</v>
      </c>
      <c r="O358">
        <f>[9]Unemployment!$B240</f>
        <v>5.9</v>
      </c>
      <c r="P358" s="2">
        <f>[2]Surveys_m!$B240</f>
        <v>87.800000000000011</v>
      </c>
      <c r="Q358">
        <f>[5]m!$B360</f>
        <v>74.400000000000006</v>
      </c>
      <c r="R358">
        <f>[5]m!$D360</f>
        <v>73.3</v>
      </c>
      <c r="S358">
        <f>[5]m!$Q360</f>
        <v>80.900000000000006</v>
      </c>
      <c r="T358">
        <f>[6]m!B360</f>
        <v>17759</v>
      </c>
      <c r="U358" s="2">
        <f>[9]Unemployment!$F240</f>
        <v>10.5</v>
      </c>
      <c r="V358" s="2">
        <f>[9]Unemployment!$G240</f>
        <v>5.5</v>
      </c>
      <c r="W358">
        <f>[9]Unemployment!$E240</f>
        <v>6190</v>
      </c>
      <c r="X358">
        <f>[9]Unemployment!N240</f>
        <v>2946</v>
      </c>
      <c r="Y358">
        <f>[9]Unemployment!O240</f>
        <v>2054</v>
      </c>
      <c r="Z358">
        <f>[9]Unemployment!P240-[9]Unemployment!Q240</f>
        <v>640</v>
      </c>
      <c r="AA358">
        <f>[9]Unemployment!$Q240</f>
        <v>532</v>
      </c>
      <c r="AB358" s="2">
        <f>[8]m!$B360</f>
        <v>10.18</v>
      </c>
      <c r="AC358" s="2">
        <f>[8]m!$F360</f>
        <v>9.33</v>
      </c>
      <c r="AD358">
        <f>[9]Employment!$B240</f>
        <v>90323</v>
      </c>
      <c r="AE358" s="2">
        <f>[2]Indicators!$AB240</f>
        <v>51.264900000000004</v>
      </c>
      <c r="AF358" s="2">
        <f>[8]m!$AS360</f>
        <v>339.40000000000003</v>
      </c>
      <c r="AG358" s="2">
        <f>[8]m!$H360</f>
        <v>9.44</v>
      </c>
      <c r="AH358" s="2">
        <f>[8]m!$I360</f>
        <v>10.540000000000001</v>
      </c>
      <c r="AI358" s="2">
        <f>[7]m!C359</f>
        <v>19066</v>
      </c>
      <c r="AJ358" s="2">
        <f>[7]m!D359</f>
        <v>21769</v>
      </c>
      <c r="AK358" s="2">
        <f>[2]Surveys_m!$AB240</f>
        <v>49.6</v>
      </c>
      <c r="AL358" s="4">
        <f t="shared" si="5"/>
        <v>5190.0870406189551</v>
      </c>
      <c r="AN358" s="2">
        <v>105</v>
      </c>
      <c r="AQ358" s="3">
        <f>[9]LaborForce!$B239*[9]LaborForce!$C239/100</f>
        <v>105544.978</v>
      </c>
      <c r="AR358">
        <f>[9]Unemployment!$AC240</f>
        <v>389</v>
      </c>
      <c r="AS358">
        <f>[2]Indicators!BC240</f>
        <v>50.4</v>
      </c>
      <c r="AT358">
        <f>[2]Indicators!BD240</f>
        <v>51.492100000000001</v>
      </c>
      <c r="AU358">
        <f>[2]Indicators!BE240</f>
        <v>99.309000000000012</v>
      </c>
    </row>
    <row r="359" spans="1:47" x14ac:dyDescent="0.25">
      <c r="A359" s="1">
        <v>29129</v>
      </c>
      <c r="B359" s="2">
        <f>[2]Indicators!G241</f>
        <v>1647.72</v>
      </c>
      <c r="C359" s="2">
        <f>[2]Indicators!H241</f>
        <v>228.26400000000001</v>
      </c>
      <c r="D359" s="2">
        <f>[2]Indicators!I241</f>
        <v>533.78700000000003</v>
      </c>
      <c r="E359" s="2">
        <f>[2]Indicators!J241</f>
        <v>885.66899999999998</v>
      </c>
      <c r="L359" s="2">
        <f>[2]Indicators!N241</f>
        <v>13.112</v>
      </c>
      <c r="M359" s="2">
        <f>[2]Indicators!AB241</f>
        <v>51.5443</v>
      </c>
      <c r="N359" s="2">
        <f>[8]m!$C361</f>
        <v>13.77</v>
      </c>
      <c r="O359">
        <f>[9]Unemployment!$B241</f>
        <v>6</v>
      </c>
      <c r="P359" s="2">
        <f>[2]Surveys_m!$B241</f>
        <v>92.300000000000011</v>
      </c>
      <c r="Q359">
        <f>[5]m!$B361</f>
        <v>75.2</v>
      </c>
      <c r="R359">
        <f>[5]m!$D361</f>
        <v>74</v>
      </c>
      <c r="S359">
        <f>[5]m!$Q361</f>
        <v>82.100000000000009</v>
      </c>
      <c r="T359">
        <f>[6]m!B361</f>
        <v>-14630</v>
      </c>
      <c r="U359" s="2">
        <f>[9]Unemployment!$F241</f>
        <v>10.5</v>
      </c>
      <c r="V359" s="2">
        <f>[9]Unemployment!$G241</f>
        <v>5.5</v>
      </c>
      <c r="W359">
        <f>[9]Unemployment!$E241</f>
        <v>6296</v>
      </c>
      <c r="X359">
        <f>[9]Unemployment!N241</f>
        <v>3039</v>
      </c>
      <c r="Y359">
        <f>[9]Unemployment!O241</f>
        <v>2011</v>
      </c>
      <c r="Z359">
        <f>[9]Unemployment!P241-[9]Unemployment!Q241</f>
        <v>689</v>
      </c>
      <c r="AA359">
        <f>[9]Unemployment!$Q241</f>
        <v>530</v>
      </c>
      <c r="AB359" s="2">
        <f>[8]m!$B361</f>
        <v>12.02</v>
      </c>
      <c r="AC359" s="2">
        <f>[8]m!$F361</f>
        <v>10.3</v>
      </c>
      <c r="AD359">
        <f>[9]Employment!$B241</f>
        <v>90480</v>
      </c>
      <c r="AE359" s="2">
        <f>[2]Indicators!$AB241</f>
        <v>51.5443</v>
      </c>
      <c r="AF359" s="2">
        <f>[8]m!$AS361</f>
        <v>343.3</v>
      </c>
      <c r="AG359" s="2">
        <f>[8]m!$H361</f>
        <v>10.130000000000001</v>
      </c>
      <c r="AH359" s="2">
        <f>[8]m!$I361</f>
        <v>11.4</v>
      </c>
      <c r="AI359" s="2">
        <f>[7]m!C360</f>
        <v>19155</v>
      </c>
      <c r="AJ359" s="2">
        <f>[7]m!D360</f>
        <v>21742</v>
      </c>
      <c r="AK359" s="2">
        <f>[2]Surveys_m!$AB241</f>
        <v>49</v>
      </c>
      <c r="AL359" s="4">
        <f t="shared" si="5"/>
        <v>5239.5164410058023</v>
      </c>
      <c r="AN359" s="2">
        <v>106</v>
      </c>
      <c r="AQ359" s="3">
        <f>[9]LaborForce!$B240*[9]LaborForce!$C240/100</f>
        <v>105622.88099999999</v>
      </c>
      <c r="AR359">
        <f>[9]Unemployment!$AC241</f>
        <v>390</v>
      </c>
      <c r="AS359">
        <f>[2]Indicators!BC241</f>
        <v>49.7</v>
      </c>
      <c r="AT359">
        <f>[2]Indicators!BD241</f>
        <v>51.240500000000004</v>
      </c>
      <c r="AU359">
        <f>[2]Indicators!BE241</f>
        <v>98.716999999999999</v>
      </c>
    </row>
    <row r="360" spans="1:47" x14ac:dyDescent="0.25">
      <c r="A360" s="1">
        <v>29160</v>
      </c>
      <c r="B360" s="2">
        <f>[2]Indicators!G242</f>
        <v>1663.444</v>
      </c>
      <c r="C360" s="2">
        <f>[2]Indicators!H242</f>
        <v>228.98099999999999</v>
      </c>
      <c r="D360" s="2">
        <f>[2]Indicators!I242</f>
        <v>541.08299999999997</v>
      </c>
      <c r="E360" s="2">
        <f>[2]Indicators!J242</f>
        <v>893.37900000000002</v>
      </c>
      <c r="L360" s="2">
        <f>[2]Indicators!N242</f>
        <v>13.025</v>
      </c>
      <c r="M360" s="2">
        <f>[2]Indicators!AB242</f>
        <v>51.491600000000005</v>
      </c>
      <c r="N360" s="2">
        <f>[8]m!$C362</f>
        <v>13.18</v>
      </c>
      <c r="O360">
        <f>[9]Unemployment!$B242</f>
        <v>5.9</v>
      </c>
      <c r="P360" s="2">
        <f>[2]Surveys_m!$B242</f>
        <v>90.2</v>
      </c>
      <c r="Q360">
        <f>[5]m!$B362</f>
        <v>76</v>
      </c>
      <c r="R360">
        <f>[5]m!$D362</f>
        <v>74.8</v>
      </c>
      <c r="S360">
        <f>[5]m!$Q362</f>
        <v>82.600000000000009</v>
      </c>
      <c r="T360">
        <f>[6]m!B362</f>
        <v>-8495</v>
      </c>
      <c r="U360" s="2">
        <f>[9]Unemployment!$F242</f>
        <v>10.600000000000001</v>
      </c>
      <c r="V360" s="2">
        <f>[9]Unemployment!$G242</f>
        <v>5.3000000000000007</v>
      </c>
      <c r="W360">
        <f>[9]Unemployment!$E242</f>
        <v>6238</v>
      </c>
      <c r="X360">
        <f>[9]Unemployment!N242</f>
        <v>3030</v>
      </c>
      <c r="Y360">
        <f>[9]Unemployment!O242</f>
        <v>1883</v>
      </c>
      <c r="Z360">
        <f>[9]Unemployment!P242-[9]Unemployment!Q242</f>
        <v>688</v>
      </c>
      <c r="AA360">
        <f>[9]Unemployment!$Q242</f>
        <v>551</v>
      </c>
      <c r="AB360" s="2">
        <f>[8]m!$B362</f>
        <v>11.85</v>
      </c>
      <c r="AC360" s="2">
        <f>[8]m!$F362</f>
        <v>10.65</v>
      </c>
      <c r="AD360">
        <f>[9]Employment!$B242</f>
        <v>90574</v>
      </c>
      <c r="AE360" s="2">
        <f>[2]Indicators!$AB242</f>
        <v>51.491600000000005</v>
      </c>
      <c r="AF360" s="2">
        <f>[8]m!$AS362</f>
        <v>346.40000000000003</v>
      </c>
      <c r="AG360" s="2">
        <f>[8]m!$H362</f>
        <v>10.76</v>
      </c>
      <c r="AH360" s="2">
        <f>[8]m!$I362</f>
        <v>11.99</v>
      </c>
      <c r="AI360" s="2">
        <f>[7]m!C361</f>
        <v>20159</v>
      </c>
      <c r="AJ360" s="2">
        <f>[7]m!D361</f>
        <v>22521</v>
      </c>
      <c r="AK360" s="2">
        <f>[2]Surveys_m!$AB242</f>
        <v>48</v>
      </c>
      <c r="AL360" s="4">
        <f t="shared" si="5"/>
        <v>4942.9400386847192</v>
      </c>
      <c r="AN360" s="2">
        <v>100</v>
      </c>
      <c r="AQ360" s="3">
        <f>[9]LaborForce!$B241*[9]LaborForce!$C241/100</f>
        <v>105774.48700000001</v>
      </c>
      <c r="AR360">
        <f>[9]Unemployment!$AC242</f>
        <v>398</v>
      </c>
      <c r="AS360">
        <f>[2]Indicators!BC242</f>
        <v>49.2</v>
      </c>
      <c r="AT360">
        <f>[2]Indicators!BD242</f>
        <v>50.940400000000004</v>
      </c>
      <c r="AU360">
        <f>[2]Indicators!BE242</f>
        <v>98.038800000000009</v>
      </c>
    </row>
    <row r="361" spans="1:47" x14ac:dyDescent="0.25">
      <c r="A361" s="1">
        <v>29190</v>
      </c>
      <c r="B361" s="2">
        <f>[2]Indicators!G243</f>
        <v>1672.433</v>
      </c>
      <c r="C361" s="2">
        <f>[2]Indicators!H243</f>
        <v>229.90100000000001</v>
      </c>
      <c r="D361" s="2">
        <f>[2]Indicators!I243</f>
        <v>543.29300000000001</v>
      </c>
      <c r="E361" s="2">
        <f>[2]Indicators!J243</f>
        <v>899.23800000000006</v>
      </c>
      <c r="L361" s="2">
        <f>[2]Indicators!N243</f>
        <v>13.496</v>
      </c>
      <c r="M361" s="2">
        <f>[2]Indicators!AB243</f>
        <v>51.529600000000002</v>
      </c>
      <c r="N361" s="2">
        <f>[8]m!$C363</f>
        <v>13.780000000000001</v>
      </c>
      <c r="O361">
        <f>[9]Unemployment!$B243</f>
        <v>6</v>
      </c>
      <c r="P361" s="2">
        <f>[2]Surveys_m!$B243</f>
        <v>90.7</v>
      </c>
      <c r="Q361">
        <f>[5]m!$B363</f>
        <v>76.900000000000006</v>
      </c>
      <c r="R361">
        <f>[5]m!$D363</f>
        <v>75.7</v>
      </c>
      <c r="S361">
        <f>[5]m!$Q363</f>
        <v>83.4</v>
      </c>
      <c r="T361">
        <f>[6]m!B363</f>
        <v>-1354</v>
      </c>
      <c r="U361" s="2">
        <f>[9]Unemployment!$F243</f>
        <v>10.8</v>
      </c>
      <c r="V361" s="2">
        <f>[9]Unemployment!$G243</f>
        <v>5.7</v>
      </c>
      <c r="W361">
        <f>[9]Unemployment!$E243</f>
        <v>6325</v>
      </c>
      <c r="X361">
        <f>[9]Unemployment!N243</f>
        <v>3013</v>
      </c>
      <c r="Y361">
        <f>[9]Unemployment!O243</f>
        <v>2033</v>
      </c>
      <c r="Z361">
        <f>[9]Unemployment!P243-[9]Unemployment!Q243</f>
        <v>733</v>
      </c>
      <c r="AA361">
        <f>[9]Unemployment!$Q243</f>
        <v>544</v>
      </c>
      <c r="AB361" s="2">
        <f>[8]m!$B363</f>
        <v>12.36</v>
      </c>
      <c r="AC361" s="2">
        <f>[8]m!$F363</f>
        <v>10.39</v>
      </c>
      <c r="AD361">
        <f>[9]Employment!$B243</f>
        <v>90669</v>
      </c>
      <c r="AE361" s="2">
        <f>[2]Indicators!$AB243</f>
        <v>51.529600000000002</v>
      </c>
      <c r="AF361" s="2">
        <f>[8]m!$AS363</f>
        <v>348.6</v>
      </c>
      <c r="AG361" s="2">
        <f>[8]m!$H363</f>
        <v>10.74</v>
      </c>
      <c r="AH361" s="2">
        <f>[8]m!$I363</f>
        <v>12.06</v>
      </c>
      <c r="AI361" s="2">
        <f>[7]m!C362</f>
        <v>20397</v>
      </c>
      <c r="AJ361" s="2">
        <f>[7]m!D362</f>
        <v>22263</v>
      </c>
      <c r="AK361" s="2">
        <f>[2]Surveys_m!$AB243</f>
        <v>44.800000000000004</v>
      </c>
      <c r="AL361" s="4">
        <f t="shared" si="5"/>
        <v>4893.510638297872</v>
      </c>
      <c r="AN361" s="2">
        <v>99</v>
      </c>
      <c r="AQ361" s="3">
        <f>[9]LaborForce!$B242*[9]LaborForce!$C242/100</f>
        <v>106265.70000000001</v>
      </c>
      <c r="AR361">
        <f>[9]Unemployment!$AC243</f>
        <v>416</v>
      </c>
      <c r="AS361">
        <f>[2]Indicators!BC243</f>
        <v>48.9</v>
      </c>
      <c r="AT361">
        <f>[2]Indicators!BD243</f>
        <v>50.604500000000002</v>
      </c>
      <c r="AU361">
        <f>[2]Indicators!BE243</f>
        <v>97.2988</v>
      </c>
    </row>
    <row r="362" spans="1:47" x14ac:dyDescent="0.25">
      <c r="A362" s="1">
        <v>29221</v>
      </c>
      <c r="B362" s="2">
        <f>[2]Indicators!G244</f>
        <v>1703.15</v>
      </c>
      <c r="C362" s="2">
        <f>[2]Indicators!H244</f>
        <v>239.583</v>
      </c>
      <c r="D362" s="2">
        <f>[2]Indicators!I244</f>
        <v>554.202</v>
      </c>
      <c r="E362" s="2">
        <f>[2]Indicators!J244</f>
        <v>909.36500000000001</v>
      </c>
      <c r="L362" s="2">
        <f>[2]Indicators!N244</f>
        <v>14.439</v>
      </c>
      <c r="M362" s="2">
        <f>[2]Indicators!AB244</f>
        <v>51.749000000000002</v>
      </c>
      <c r="N362" s="2">
        <f>[8]m!$C364</f>
        <v>13.82</v>
      </c>
      <c r="O362">
        <f>[9]Unemployment!$B244</f>
        <v>6.3000000000000007</v>
      </c>
      <c r="P362" s="2">
        <f>[2]Surveys_m!$B244</f>
        <v>85.9</v>
      </c>
      <c r="Q362">
        <f>[5]m!$B364</f>
        <v>78</v>
      </c>
      <c r="R362">
        <f>[5]m!$D364</f>
        <v>76.7</v>
      </c>
      <c r="S362">
        <f>[5]m!$Q364</f>
        <v>85.2</v>
      </c>
      <c r="T362">
        <f>[6]m!B364</f>
        <v>-4448</v>
      </c>
      <c r="U362" s="2">
        <f>[9]Unemployment!$F244</f>
        <v>10.4</v>
      </c>
      <c r="V362" s="2">
        <f>[9]Unemployment!$G244</f>
        <v>5.3000000000000007</v>
      </c>
      <c r="W362">
        <f>[9]Unemployment!$E244</f>
        <v>6683</v>
      </c>
      <c r="X362">
        <f>[9]Unemployment!N244</f>
        <v>3215</v>
      </c>
      <c r="Y362">
        <f>[9]Unemployment!O244</f>
        <v>2063</v>
      </c>
      <c r="Z362">
        <f>[9]Unemployment!P244-[9]Unemployment!Q244</f>
        <v>805</v>
      </c>
      <c r="AA362">
        <f>[9]Unemployment!$Q244</f>
        <v>548</v>
      </c>
      <c r="AB362" s="2">
        <f>[8]m!$B364</f>
        <v>11.92</v>
      </c>
      <c r="AC362" s="2">
        <f>[8]m!$F364</f>
        <v>10.8</v>
      </c>
      <c r="AD362">
        <f>[9]Employment!$B244</f>
        <v>90800</v>
      </c>
      <c r="AE362" s="2">
        <f>[2]Indicators!$AB244</f>
        <v>51.749000000000002</v>
      </c>
      <c r="AF362" s="2">
        <f>[8]m!$AS364</f>
        <v>350.5</v>
      </c>
      <c r="AG362" s="2">
        <f>[8]m!$H364</f>
        <v>11.09</v>
      </c>
      <c r="AH362" s="2">
        <f>[8]m!$I364</f>
        <v>12.42</v>
      </c>
      <c r="AI362" s="2">
        <f>[7]m!C363</f>
        <v>20212</v>
      </c>
      <c r="AJ362" s="2">
        <f>[7]m!D363</f>
        <v>23406</v>
      </c>
      <c r="AK362" s="2">
        <f>[2]Surveys_m!$AB244</f>
        <v>46.2</v>
      </c>
      <c r="AL362" s="4">
        <f t="shared" si="5"/>
        <v>4794.6518375241776</v>
      </c>
      <c r="AN362" s="2">
        <v>97</v>
      </c>
      <c r="AQ362" s="3">
        <f>[9]LaborForce!$B243*[9]LaborForce!$C243/100</f>
        <v>106588.16</v>
      </c>
      <c r="AR362">
        <f>[9]Unemployment!$AC244</f>
        <v>428</v>
      </c>
      <c r="AS362">
        <f>[2]Indicators!BC244</f>
        <v>48.9</v>
      </c>
      <c r="AT362">
        <f>[2]Indicators!BD244</f>
        <v>50.238500000000002</v>
      </c>
      <c r="AU362">
        <f>[2]Indicators!BE244</f>
        <v>96.50800000000001</v>
      </c>
    </row>
    <row r="363" spans="1:47" x14ac:dyDescent="0.25">
      <c r="A363" s="1">
        <v>29252</v>
      </c>
      <c r="B363" s="2">
        <f>[2]Indicators!G245</f>
        <v>1707.019</v>
      </c>
      <c r="C363" s="2">
        <f>[2]Indicators!H245</f>
        <v>232.935</v>
      </c>
      <c r="D363" s="2">
        <f>[2]Indicators!I245</f>
        <v>560.20799999999997</v>
      </c>
      <c r="E363" s="2">
        <f>[2]Indicators!J245</f>
        <v>913.87599999999998</v>
      </c>
      <c r="L363" s="2">
        <f>[2]Indicators!N245</f>
        <v>13.276</v>
      </c>
      <c r="M363" s="2">
        <f>[2]Indicators!AB245</f>
        <v>51.7896</v>
      </c>
      <c r="N363" s="2">
        <f>[8]m!$C365</f>
        <v>14.13</v>
      </c>
      <c r="O363">
        <f>[9]Unemployment!$B245</f>
        <v>6.3000000000000007</v>
      </c>
      <c r="P363" s="2">
        <f>[2]Surveys_m!$B245</f>
        <v>85.300000000000011</v>
      </c>
      <c r="Q363">
        <f>[5]m!$B365</f>
        <v>79</v>
      </c>
      <c r="R363">
        <f>[5]m!$D365</f>
        <v>77.5</v>
      </c>
      <c r="S363">
        <f>[5]m!$Q365</f>
        <v>86.9</v>
      </c>
      <c r="T363">
        <f>[6]m!B365</f>
        <v>-9285</v>
      </c>
      <c r="U363" s="2">
        <f>[9]Unemployment!$F245</f>
        <v>10.600000000000001</v>
      </c>
      <c r="V363" s="2">
        <f>[9]Unemployment!$G245</f>
        <v>5.8000000000000007</v>
      </c>
      <c r="W363">
        <f>[9]Unemployment!$E245</f>
        <v>6702</v>
      </c>
      <c r="X363">
        <f>[9]Unemployment!N245</f>
        <v>3134</v>
      </c>
      <c r="Y363">
        <f>[9]Unemployment!O245</f>
        <v>2200</v>
      </c>
      <c r="Z363">
        <f>[9]Unemployment!P245-[9]Unemployment!Q245</f>
        <v>850</v>
      </c>
      <c r="AA363">
        <f>[9]Unemployment!$Q245</f>
        <v>508</v>
      </c>
      <c r="AB363" s="2">
        <f>[8]m!$B365</f>
        <v>14.63</v>
      </c>
      <c r="AC363" s="2">
        <f>[8]m!$F365</f>
        <v>12.41</v>
      </c>
      <c r="AD363">
        <f>[9]Employment!$B245</f>
        <v>90879</v>
      </c>
      <c r="AE363" s="2">
        <f>[2]Indicators!$AB245</f>
        <v>51.7896</v>
      </c>
      <c r="AF363" s="2">
        <f>[8]m!$AS365</f>
        <v>353.1</v>
      </c>
      <c r="AG363" s="2">
        <f>[8]m!$H365</f>
        <v>12.38</v>
      </c>
      <c r="AH363" s="2">
        <f>[8]m!$I365</f>
        <v>13.57</v>
      </c>
      <c r="AI363" s="2">
        <f>[7]m!C364</f>
        <v>21085</v>
      </c>
      <c r="AJ363" s="2">
        <f>[7]m!D364</f>
        <v>24626</v>
      </c>
      <c r="AK363" s="2">
        <f>[2]Surveys_m!$AB245</f>
        <v>50.2</v>
      </c>
      <c r="AL363" s="4">
        <f t="shared" si="5"/>
        <v>4646.363636363636</v>
      </c>
      <c r="AN363" s="2">
        <v>94</v>
      </c>
      <c r="AQ363" s="3">
        <f>[9]LaborForce!$B244*[9]LaborForce!$C244/100</f>
        <v>106725.75999999999</v>
      </c>
      <c r="AR363">
        <f>[9]Unemployment!$AC245</f>
        <v>404</v>
      </c>
      <c r="AS363">
        <f>[2]Indicators!BC245</f>
        <v>48.9</v>
      </c>
      <c r="AT363">
        <f>[2]Indicators!BD245</f>
        <v>49.839100000000002</v>
      </c>
      <c r="AU363">
        <f>[2]Indicators!BE245</f>
        <v>95.659599999999998</v>
      </c>
    </row>
    <row r="364" spans="1:47" x14ac:dyDescent="0.25">
      <c r="A364" s="1">
        <v>29281</v>
      </c>
      <c r="B364" s="2">
        <f>[2]Indicators!G246</f>
        <v>1713.6960000000001</v>
      </c>
      <c r="C364" s="2">
        <f>[2]Indicators!H246</f>
        <v>223.64699999999999</v>
      </c>
      <c r="D364" s="2">
        <f>[2]Indicators!I246</f>
        <v>565.42899999999997</v>
      </c>
      <c r="E364" s="2">
        <f>[2]Indicators!J246</f>
        <v>924.62</v>
      </c>
      <c r="L364" s="2">
        <f>[2]Indicators!N246</f>
        <v>12.077</v>
      </c>
      <c r="M364" s="2">
        <f>[2]Indicators!AB246</f>
        <v>51.6282</v>
      </c>
      <c r="N364" s="2">
        <f>[8]m!$C366</f>
        <v>17.190000000000001</v>
      </c>
      <c r="O364">
        <f>[9]Unemployment!$B246</f>
        <v>6.3000000000000007</v>
      </c>
      <c r="P364" s="2">
        <f>[2]Surveys_m!$B246</f>
        <v>80.800000000000011</v>
      </c>
      <c r="Q364">
        <f>[5]m!$B366</f>
        <v>80.100000000000009</v>
      </c>
      <c r="R364">
        <f>[5]m!$D366</f>
        <v>78.600000000000009</v>
      </c>
      <c r="S364">
        <f>[5]m!$Q366</f>
        <v>87.5</v>
      </c>
      <c r="T364">
        <f>[6]m!B366</f>
        <v>-13108</v>
      </c>
      <c r="U364" s="2">
        <f>[9]Unemployment!$F246</f>
        <v>11</v>
      </c>
      <c r="V364" s="2">
        <f>[9]Unemployment!$G246</f>
        <v>6</v>
      </c>
      <c r="W364">
        <f>[9]Unemployment!$E246</f>
        <v>6729</v>
      </c>
      <c r="X364">
        <f>[9]Unemployment!N246</f>
        <v>3097</v>
      </c>
      <c r="Y364">
        <f>[9]Unemployment!O246</f>
        <v>2272</v>
      </c>
      <c r="Z364">
        <f>[9]Unemployment!P246-[9]Unemployment!Q246</f>
        <v>835</v>
      </c>
      <c r="AA364">
        <f>[9]Unemployment!$Q246</f>
        <v>622</v>
      </c>
      <c r="AB364" s="2">
        <f>[8]m!$B366</f>
        <v>14.35</v>
      </c>
      <c r="AC364" s="2">
        <f>[8]m!$F366</f>
        <v>12.75</v>
      </c>
      <c r="AD364">
        <f>[9]Employment!$B246</f>
        <v>90991</v>
      </c>
      <c r="AE364" s="2">
        <f>[2]Indicators!$AB246</f>
        <v>51.6282</v>
      </c>
      <c r="AF364" s="2">
        <f>[8]m!$AS366</f>
        <v>353</v>
      </c>
      <c r="AG364" s="2">
        <f>[8]m!$H366</f>
        <v>12.96</v>
      </c>
      <c r="AH364" s="2">
        <f>[8]m!$I366</f>
        <v>14.450000000000001</v>
      </c>
      <c r="AI364" s="2">
        <f>[7]m!C365</f>
        <v>20650</v>
      </c>
      <c r="AJ364" s="2">
        <f>[7]m!D365</f>
        <v>25279</v>
      </c>
      <c r="AK364" s="2">
        <f>[2]Surveys_m!$AB246</f>
        <v>43.6</v>
      </c>
      <c r="AL364" s="4">
        <f t="shared" si="5"/>
        <v>4596.9342359767888</v>
      </c>
      <c r="AN364" s="2">
        <v>93</v>
      </c>
      <c r="AQ364" s="3">
        <f>[9]LaborForce!$B245*[9]LaborForce!$C245/100</f>
        <v>106368.808</v>
      </c>
      <c r="AR364">
        <f>[9]Unemployment!$AC246</f>
        <v>409</v>
      </c>
      <c r="AS364">
        <f>[2]Indicators!BC246</f>
        <v>47.300000000000004</v>
      </c>
      <c r="AT364">
        <f>[2]Indicators!BD246</f>
        <v>49.462900000000005</v>
      </c>
      <c r="AU364">
        <f>[2]Indicators!BE246</f>
        <v>94.861900000000006</v>
      </c>
    </row>
    <row r="365" spans="1:47" x14ac:dyDescent="0.25">
      <c r="A365" s="1">
        <v>29312</v>
      </c>
      <c r="B365" s="2">
        <f>[2]Indicators!G247</f>
        <v>1700.6510000000001</v>
      </c>
      <c r="C365" s="2">
        <f>[2]Indicators!H247</f>
        <v>212.35</v>
      </c>
      <c r="D365" s="2">
        <f>[2]Indicators!I247</f>
        <v>565.16899999999998</v>
      </c>
      <c r="E365" s="2">
        <f>[2]Indicators!J247</f>
        <v>923.13200000000006</v>
      </c>
      <c r="L365" s="2">
        <f>[2]Indicators!N247</f>
        <v>10.444000000000001</v>
      </c>
      <c r="M365" s="2">
        <f>[2]Indicators!AB247</f>
        <v>50.600500000000004</v>
      </c>
      <c r="N365" s="2">
        <f>[8]m!$C367</f>
        <v>17.61</v>
      </c>
      <c r="O365">
        <f>[9]Unemployment!$B247</f>
        <v>6.9</v>
      </c>
      <c r="P365" s="2">
        <f>[2]Surveys_m!$B247</f>
        <v>60.5</v>
      </c>
      <c r="Q365">
        <f>[5]m!$B367</f>
        <v>80.900000000000006</v>
      </c>
      <c r="R365">
        <f>[5]m!$D367</f>
        <v>79.5</v>
      </c>
      <c r="S365">
        <f>[5]m!$Q367</f>
        <v>87.800000000000011</v>
      </c>
      <c r="T365">
        <f>[6]m!B367</f>
        <v>9752</v>
      </c>
      <c r="U365" s="2">
        <f>[9]Unemployment!$F247</f>
        <v>11.4</v>
      </c>
      <c r="V365" s="2">
        <f>[9]Unemployment!$G247</f>
        <v>5.8000000000000007</v>
      </c>
      <c r="W365">
        <f>[9]Unemployment!$E247</f>
        <v>7358</v>
      </c>
      <c r="X365">
        <f>[9]Unemployment!N247</f>
        <v>3374</v>
      </c>
      <c r="Y365">
        <f>[9]Unemployment!O247</f>
        <v>2388</v>
      </c>
      <c r="Z365">
        <f>[9]Unemployment!P247-[9]Unemployment!Q247</f>
        <v>1003</v>
      </c>
      <c r="AA365">
        <f>[9]Unemployment!$Q247</f>
        <v>691</v>
      </c>
      <c r="AB365" s="2">
        <f>[8]m!$B367</f>
        <v>10.68</v>
      </c>
      <c r="AC365" s="2">
        <f>[8]m!$F367</f>
        <v>11.47</v>
      </c>
      <c r="AD365">
        <f>[9]Employment!$B247</f>
        <v>90846</v>
      </c>
      <c r="AE365" s="2">
        <f>[2]Indicators!$AB247</f>
        <v>50.600500000000004</v>
      </c>
      <c r="AF365" s="2">
        <f>[8]m!$AS367</f>
        <v>351.3</v>
      </c>
      <c r="AG365" s="2">
        <f>[8]m!$H367</f>
        <v>12.040000000000001</v>
      </c>
      <c r="AH365" s="2">
        <f>[8]m!$I367</f>
        <v>14.19</v>
      </c>
      <c r="AI365" s="2">
        <f>[7]m!C366</f>
        <v>21931</v>
      </c>
      <c r="AJ365" s="2">
        <f>[7]m!D366</f>
        <v>24473</v>
      </c>
      <c r="AK365" s="2">
        <f>[2]Surveys_m!$AB247</f>
        <v>37.4</v>
      </c>
      <c r="AL365" s="4">
        <f t="shared" si="5"/>
        <v>4053.2108317214697</v>
      </c>
      <c r="AN365" s="2">
        <v>82</v>
      </c>
      <c r="AQ365" s="3">
        <f>[9]LaborForce!$B246*[9]LaborForce!$C246/100</f>
        <v>106671.68600000002</v>
      </c>
      <c r="AR365">
        <f>[9]Unemployment!$AC247</f>
        <v>475</v>
      </c>
      <c r="AS365">
        <f>[2]Indicators!BC247</f>
        <v>46.1</v>
      </c>
      <c r="AT365">
        <f>[2]Indicators!BD247</f>
        <v>49.273200000000003</v>
      </c>
      <c r="AU365">
        <f>[2]Indicators!BE247</f>
        <v>94.42710000000001</v>
      </c>
    </row>
    <row r="366" spans="1:47" x14ac:dyDescent="0.25">
      <c r="A366" s="1">
        <v>29342</v>
      </c>
      <c r="B366" s="2">
        <f>[2]Indicators!G248</f>
        <v>1705.3980000000001</v>
      </c>
      <c r="C366" s="2">
        <f>[2]Indicators!H248</f>
        <v>208.52199999999999</v>
      </c>
      <c r="D366" s="2">
        <f>[2]Indicators!I248</f>
        <v>566.42899999999997</v>
      </c>
      <c r="E366" s="2">
        <f>[2]Indicators!J248</f>
        <v>930.447</v>
      </c>
      <c r="L366" s="2">
        <f>[2]Indicators!N248</f>
        <v>9.5400000000000009</v>
      </c>
      <c r="M366" s="2">
        <f>[2]Indicators!AB248</f>
        <v>49.343400000000003</v>
      </c>
      <c r="N366" s="2">
        <f>[8]m!$C368</f>
        <v>10.98</v>
      </c>
      <c r="O366">
        <f>[9]Unemployment!$B248</f>
        <v>7.5</v>
      </c>
      <c r="P366" s="2">
        <f>[2]Surveys_m!$B248</f>
        <v>50.1</v>
      </c>
      <c r="Q366">
        <f>[5]m!$B368</f>
        <v>81.7</v>
      </c>
      <c r="R366">
        <f>[5]m!$D368</f>
        <v>80.100000000000009</v>
      </c>
      <c r="S366">
        <f>[5]m!$Q368</f>
        <v>88.300000000000011</v>
      </c>
      <c r="T366">
        <f>[6]m!B368</f>
        <v>-14036</v>
      </c>
      <c r="U366" s="2">
        <f>[9]Unemployment!$F248</f>
        <v>10.9</v>
      </c>
      <c r="V366" s="2">
        <f>[9]Unemployment!$G248</f>
        <v>5.7</v>
      </c>
      <c r="W366">
        <f>[9]Unemployment!$E248</f>
        <v>7984</v>
      </c>
      <c r="X366">
        <f>[9]Unemployment!N248</f>
        <v>3754</v>
      </c>
      <c r="Y366">
        <f>[9]Unemployment!O248</f>
        <v>2608</v>
      </c>
      <c r="Z366">
        <f>[9]Unemployment!P248-[9]Unemployment!Q248</f>
        <v>1021</v>
      </c>
      <c r="AA366">
        <f>[9]Unemployment!$Q248</f>
        <v>719</v>
      </c>
      <c r="AB366" s="2">
        <f>[8]m!$B368</f>
        <v>7.94</v>
      </c>
      <c r="AC366" s="2">
        <f>[8]m!$F368</f>
        <v>10.18</v>
      </c>
      <c r="AD366">
        <f>[9]Employment!$B248</f>
        <v>90415</v>
      </c>
      <c r="AE366" s="2">
        <f>[2]Indicators!$AB248</f>
        <v>49.343400000000003</v>
      </c>
      <c r="AF366" s="2">
        <f>[8]m!$AS368</f>
        <v>348.6</v>
      </c>
      <c r="AG366" s="2">
        <f>[8]m!$H368</f>
        <v>10.99</v>
      </c>
      <c r="AH366" s="2">
        <f>[8]m!$I368</f>
        <v>13.17</v>
      </c>
      <c r="AI366" s="2">
        <f>[7]m!C367</f>
        <v>22397</v>
      </c>
      <c r="AJ366" s="2">
        <f>[7]m!D367</f>
        <v>23200</v>
      </c>
      <c r="AK366" s="2">
        <f>[2]Surveys_m!$AB248</f>
        <v>29.400000000000002</v>
      </c>
      <c r="AL366" s="4">
        <f t="shared" si="5"/>
        <v>3756.6344294003861</v>
      </c>
      <c r="AN366" s="2">
        <v>76</v>
      </c>
      <c r="AQ366" s="3">
        <f>[9]LaborForce!$B247*[9]LaborForce!$C247/100</f>
        <v>106973.073</v>
      </c>
      <c r="AR366">
        <f>[9]Unemployment!$AC248</f>
        <v>563</v>
      </c>
      <c r="AS366">
        <f>[2]Indicators!BC248</f>
        <v>45.5</v>
      </c>
      <c r="AT366">
        <f>[2]Indicators!BD248</f>
        <v>49.387500000000003</v>
      </c>
      <c r="AU366">
        <f>[2]Indicators!BE248</f>
        <v>94.578900000000004</v>
      </c>
    </row>
    <row r="367" spans="1:47" x14ac:dyDescent="0.25">
      <c r="A367" s="1">
        <v>29373</v>
      </c>
      <c r="B367" s="2">
        <f>[2]Indicators!G249</f>
        <v>1724.077</v>
      </c>
      <c r="C367" s="2">
        <f>[2]Indicators!H249</f>
        <v>214.87800000000001</v>
      </c>
      <c r="D367" s="2">
        <f>[2]Indicators!I249</f>
        <v>566.14400000000001</v>
      </c>
      <c r="E367" s="2">
        <f>[2]Indicators!J249</f>
        <v>943.05500000000006</v>
      </c>
      <c r="L367" s="2">
        <f>[2]Indicators!N249</f>
        <v>10.449</v>
      </c>
      <c r="M367" s="2">
        <f>[2]Indicators!AB249</f>
        <v>48.738600000000005</v>
      </c>
      <c r="N367" s="2">
        <f>[8]m!$C369</f>
        <v>9.4700000000000006</v>
      </c>
      <c r="O367">
        <f>[9]Unemployment!$B249</f>
        <v>7.6000000000000005</v>
      </c>
      <c r="P367" s="2">
        <f>[2]Surveys_m!$B249</f>
        <v>56.1</v>
      </c>
      <c r="Q367">
        <f>[5]m!$B369</f>
        <v>82.5</v>
      </c>
      <c r="R367">
        <f>[5]m!$D369</f>
        <v>81</v>
      </c>
      <c r="S367">
        <f>[5]m!$Q369</f>
        <v>88.7</v>
      </c>
      <c r="T367">
        <f>[6]m!B369</f>
        <v>12368</v>
      </c>
      <c r="U367" s="2">
        <f>[9]Unemployment!$F249</f>
        <v>11.3</v>
      </c>
      <c r="V367" s="2">
        <f>[9]Unemployment!$G249</f>
        <v>6.4</v>
      </c>
      <c r="W367">
        <f>[9]Unemployment!$E249</f>
        <v>8098</v>
      </c>
      <c r="X367">
        <f>[9]Unemployment!N249</f>
        <v>3409</v>
      </c>
      <c r="Y367">
        <f>[9]Unemployment!O249</f>
        <v>2879</v>
      </c>
      <c r="Z367">
        <f>[9]Unemployment!P249-[9]Unemployment!Q249</f>
        <v>987</v>
      </c>
      <c r="AA367">
        <f>[9]Unemployment!$Q249</f>
        <v>773</v>
      </c>
      <c r="AB367" s="2">
        <f>[8]m!$B369</f>
        <v>8.15</v>
      </c>
      <c r="AC367" s="2">
        <f>[8]m!$F369</f>
        <v>9.7799999999999994</v>
      </c>
      <c r="AD367">
        <f>[9]Employment!$B249</f>
        <v>90095</v>
      </c>
      <c r="AE367" s="2">
        <f>[2]Indicators!$AB249</f>
        <v>48.738600000000005</v>
      </c>
      <c r="AF367" s="2">
        <f>[8]m!$AS369</f>
        <v>346.70000000000005</v>
      </c>
      <c r="AG367" s="2">
        <f>[8]m!$H369</f>
        <v>10.58</v>
      </c>
      <c r="AH367" s="2">
        <f>[8]m!$I369</f>
        <v>12.71</v>
      </c>
      <c r="AI367" s="2">
        <f>[7]m!C368</f>
        <v>21477</v>
      </c>
      <c r="AJ367" s="2">
        <f>[7]m!D368</f>
        <v>24027</v>
      </c>
      <c r="AK367" s="2">
        <f>[2]Surveys_m!$AB249</f>
        <v>30.3</v>
      </c>
      <c r="AL367" s="4">
        <f t="shared" si="5"/>
        <v>3806.0638297872333</v>
      </c>
      <c r="AN367" s="2">
        <v>77</v>
      </c>
      <c r="AQ367" s="3">
        <f>[9]LaborForce!$B248*[9]LaborForce!$C248/100</f>
        <v>106788.591</v>
      </c>
      <c r="AR367">
        <f>[9]Unemployment!$AC249</f>
        <v>637</v>
      </c>
      <c r="AS367">
        <f>[2]Indicators!BC249</f>
        <v>46.4</v>
      </c>
      <c r="AT367">
        <f>[2]Indicators!BD249</f>
        <v>49.848300000000002</v>
      </c>
      <c r="AU367">
        <f>[2]Indicators!BE249</f>
        <v>95.397000000000006</v>
      </c>
    </row>
    <row r="368" spans="1:47" x14ac:dyDescent="0.25">
      <c r="A368" s="1">
        <v>29403</v>
      </c>
      <c r="B368" s="2">
        <f>[2]Indicators!G250</f>
        <v>1752.1980000000001</v>
      </c>
      <c r="C368" s="2">
        <f>[2]Indicators!H250</f>
        <v>226.68800000000002</v>
      </c>
      <c r="D368" s="2">
        <f>[2]Indicators!I250</f>
        <v>570.327</v>
      </c>
      <c r="E368" s="2">
        <f>[2]Indicators!J250</f>
        <v>955.18299999999999</v>
      </c>
      <c r="L368" s="2">
        <f>[2]Indicators!N250</f>
        <v>11.664</v>
      </c>
      <c r="M368" s="2">
        <f>[2]Indicators!AB250</f>
        <v>48.405700000000003</v>
      </c>
      <c r="N368" s="2">
        <f>[8]m!$C370</f>
        <v>9.0299999999999994</v>
      </c>
      <c r="O368">
        <f>[9]Unemployment!$B250</f>
        <v>7.8000000000000007</v>
      </c>
      <c r="P368" s="2">
        <f>[2]Surveys_m!$B250</f>
        <v>65.400000000000006</v>
      </c>
      <c r="Q368">
        <f>[5]m!$B370</f>
        <v>82.600000000000009</v>
      </c>
      <c r="R368">
        <f>[5]m!$D370</f>
        <v>80.8</v>
      </c>
      <c r="S368">
        <f>[5]m!$Q370</f>
        <v>90.300000000000011</v>
      </c>
      <c r="T368">
        <f>[6]m!B370</f>
        <v>-14994</v>
      </c>
      <c r="U368" s="2">
        <f>[9]Unemployment!$F250</f>
        <v>11.8</v>
      </c>
      <c r="V368" s="2">
        <f>[9]Unemployment!$G250</f>
        <v>7</v>
      </c>
      <c r="W368">
        <f>[9]Unemployment!$E250</f>
        <v>8363</v>
      </c>
      <c r="X368">
        <f>[9]Unemployment!N250</f>
        <v>3458</v>
      </c>
      <c r="Y368">
        <f>[9]Unemployment!O250</f>
        <v>2817</v>
      </c>
      <c r="Z368">
        <f>[9]Unemployment!P250-[9]Unemployment!Q250</f>
        <v>1111</v>
      </c>
      <c r="AA368">
        <f>[9]Unemployment!$Q250</f>
        <v>884</v>
      </c>
      <c r="AB368" s="2">
        <f>[8]m!$B370</f>
        <v>8.4</v>
      </c>
      <c r="AC368" s="2">
        <f>[8]m!$F370</f>
        <v>10.25</v>
      </c>
      <c r="AD368">
        <f>[9]Employment!$B250</f>
        <v>89832</v>
      </c>
      <c r="AE368" s="2">
        <f>[2]Indicators!$AB250</f>
        <v>48.405700000000003</v>
      </c>
      <c r="AF368" s="2">
        <f>[8]m!$AS370</f>
        <v>347.1</v>
      </c>
      <c r="AG368" s="2">
        <f>[8]m!$H370</f>
        <v>11.07</v>
      </c>
      <c r="AH368" s="2">
        <f>[8]m!$I370</f>
        <v>12.65</v>
      </c>
      <c r="AI368" s="2">
        <f>[7]m!C369</f>
        <v>22270</v>
      </c>
      <c r="AJ368" s="2">
        <f>[7]m!D369</f>
        <v>23796</v>
      </c>
      <c r="AK368" s="2">
        <f>[2]Surveys_m!$AB250</f>
        <v>35</v>
      </c>
      <c r="AL368" s="4">
        <f t="shared" si="5"/>
        <v>3806.0638297872338</v>
      </c>
      <c r="AN368" s="2">
        <v>77</v>
      </c>
      <c r="AQ368" s="3">
        <f>[9]LaborForce!$B249*[9]LaborForce!$C249/100</f>
        <v>107140.61600000001</v>
      </c>
      <c r="AR368">
        <f>[9]Unemployment!$AC250</f>
        <v>627</v>
      </c>
      <c r="AS368">
        <f>[2]Indicators!BC250</f>
        <v>47.1</v>
      </c>
      <c r="AT368">
        <f>[2]Indicators!BD250</f>
        <v>50.548500000000004</v>
      </c>
      <c r="AU368">
        <f>[2]Indicators!BE250</f>
        <v>96.675000000000011</v>
      </c>
    </row>
    <row r="369" spans="1:47" x14ac:dyDescent="0.25">
      <c r="A369" s="1">
        <v>29434</v>
      </c>
      <c r="B369" s="2">
        <f>[2]Indicators!G251</f>
        <v>1768.742</v>
      </c>
      <c r="C369" s="2">
        <f>[2]Indicators!H251</f>
        <v>223.958</v>
      </c>
      <c r="D369" s="2">
        <f>[2]Indicators!I251</f>
        <v>579.37900000000002</v>
      </c>
      <c r="E369" s="2">
        <f>[2]Indicators!J251</f>
        <v>965.40499999999997</v>
      </c>
      <c r="L369" s="2">
        <f>[2]Indicators!N251</f>
        <v>11.154</v>
      </c>
      <c r="M369" s="2">
        <f>[2]Indicators!AB251</f>
        <v>48.550699999999999</v>
      </c>
      <c r="N369" s="2">
        <f>[8]m!$C371</f>
        <v>9.61</v>
      </c>
      <c r="O369">
        <f>[9]Unemployment!$B251</f>
        <v>7.7</v>
      </c>
      <c r="P369" s="2">
        <f>[2]Surveys_m!$B251</f>
        <v>70.8</v>
      </c>
      <c r="Q369">
        <f>[5]m!$B371</f>
        <v>83.2</v>
      </c>
      <c r="R369">
        <f>[5]m!$D371</f>
        <v>81.3</v>
      </c>
      <c r="S369">
        <f>[5]m!$Q371</f>
        <v>91.5</v>
      </c>
      <c r="T369">
        <f>[6]m!B371</f>
        <v>-6956</v>
      </c>
      <c r="U369" s="2">
        <f>[9]Unemployment!$F251</f>
        <v>12.4</v>
      </c>
      <c r="V369" s="2">
        <f>[9]Unemployment!$G251</f>
        <v>7.5</v>
      </c>
      <c r="W369">
        <f>[9]Unemployment!$E251</f>
        <v>8281</v>
      </c>
      <c r="X369">
        <f>[9]Unemployment!N251</f>
        <v>3415</v>
      </c>
      <c r="Y369">
        <f>[9]Unemployment!O251</f>
        <v>2658</v>
      </c>
      <c r="Z369">
        <f>[9]Unemployment!P251-[9]Unemployment!Q251</f>
        <v>1232</v>
      </c>
      <c r="AA369">
        <f>[9]Unemployment!$Q251</f>
        <v>930</v>
      </c>
      <c r="AB369" s="2">
        <f>[8]m!$B371</f>
        <v>10.120000000000001</v>
      </c>
      <c r="AC369" s="2">
        <f>[8]m!$F371</f>
        <v>11.1</v>
      </c>
      <c r="AD369">
        <f>[9]Employment!$B251</f>
        <v>90092</v>
      </c>
      <c r="AE369" s="2">
        <f>[2]Indicators!$AB251</f>
        <v>48.550699999999999</v>
      </c>
      <c r="AF369" s="2">
        <f>[8]m!$AS371</f>
        <v>347.5</v>
      </c>
      <c r="AG369" s="2">
        <f>[8]m!$H371</f>
        <v>11.64</v>
      </c>
      <c r="AH369" s="2">
        <f>[8]m!$I371</f>
        <v>13.15</v>
      </c>
      <c r="AI369" s="2">
        <f>[7]m!C370</f>
        <v>22448</v>
      </c>
      <c r="AJ369" s="2">
        <f>[7]m!D370</f>
        <v>22620</v>
      </c>
      <c r="AK369" s="2">
        <f>[2]Surveys_m!$AB251</f>
        <v>45.5</v>
      </c>
      <c r="AL369" s="4">
        <f t="shared" si="5"/>
        <v>3855.493230174081</v>
      </c>
      <c r="AN369" s="2">
        <v>78</v>
      </c>
      <c r="AQ369" s="3">
        <f>[9]LaborForce!$B250*[9]LaborForce!$C250/100</f>
        <v>107081.61099999999</v>
      </c>
      <c r="AR369">
        <f>[9]Unemployment!$AC251</f>
        <v>569</v>
      </c>
      <c r="AS369">
        <f>[2]Indicators!BC251</f>
        <v>47.7</v>
      </c>
      <c r="AT369">
        <f>[2]Indicators!BD251</f>
        <v>51.322600000000001</v>
      </c>
      <c r="AU369">
        <f>[2]Indicators!BE251</f>
        <v>98.09620000000001</v>
      </c>
    </row>
    <row r="370" spans="1:47" x14ac:dyDescent="0.25">
      <c r="A370" s="1">
        <v>29465</v>
      </c>
      <c r="B370" s="2">
        <f>[2]Indicators!G252</f>
        <v>1785.2160000000001</v>
      </c>
      <c r="C370" s="2">
        <f>[2]Indicators!H252</f>
        <v>225.44200000000001</v>
      </c>
      <c r="D370" s="2">
        <f>[2]Indicators!I252</f>
        <v>579.79200000000003</v>
      </c>
      <c r="E370" s="2">
        <f>[2]Indicators!J252</f>
        <v>979.98199999999997</v>
      </c>
      <c r="L370" s="2">
        <f>[2]Indicators!N252</f>
        <v>10.912000000000001</v>
      </c>
      <c r="M370" s="2">
        <f>[2]Indicators!AB252</f>
        <v>49.333400000000005</v>
      </c>
      <c r="N370" s="2">
        <f>[8]m!$C372</f>
        <v>10.870000000000001</v>
      </c>
      <c r="O370">
        <f>[9]Unemployment!$B252</f>
        <v>7.5</v>
      </c>
      <c r="P370" s="2">
        <f>[2]Surveys_m!$B252</f>
        <v>80.300000000000011</v>
      </c>
      <c r="Q370">
        <f>[5]m!$B372</f>
        <v>83.9</v>
      </c>
      <c r="R370">
        <f>[5]m!$D372</f>
        <v>82.100000000000009</v>
      </c>
      <c r="S370">
        <f>[5]m!$Q372</f>
        <v>91.7</v>
      </c>
      <c r="T370">
        <f>[6]m!B372</f>
        <v>5641</v>
      </c>
      <c r="U370" s="2">
        <f>[9]Unemployment!$F252</f>
        <v>12.9</v>
      </c>
      <c r="V370" s="2">
        <f>[9]Unemployment!$G252</f>
        <v>7.7</v>
      </c>
      <c r="W370">
        <f>[9]Unemployment!$E252</f>
        <v>8021</v>
      </c>
      <c r="X370">
        <f>[9]Unemployment!N252</f>
        <v>3150</v>
      </c>
      <c r="Y370">
        <f>[9]Unemployment!O252</f>
        <v>2613</v>
      </c>
      <c r="Z370">
        <f>[9]Unemployment!P252-[9]Unemployment!Q252</f>
        <v>1343</v>
      </c>
      <c r="AA370">
        <f>[9]Unemployment!$Q252</f>
        <v>966</v>
      </c>
      <c r="AB370" s="2">
        <f>[8]m!$B372</f>
        <v>11.5</v>
      </c>
      <c r="AC370" s="2">
        <f>[8]m!$F372</f>
        <v>11.51</v>
      </c>
      <c r="AD370">
        <f>[9]Employment!$B252</f>
        <v>90205</v>
      </c>
      <c r="AE370" s="2">
        <f>[2]Indicators!$AB252</f>
        <v>49.333400000000005</v>
      </c>
      <c r="AF370" s="2">
        <f>[8]m!$AS372</f>
        <v>348.20000000000005</v>
      </c>
      <c r="AG370" s="2">
        <f>[8]m!$H372</f>
        <v>12.02</v>
      </c>
      <c r="AH370" s="2">
        <f>[8]m!$I372</f>
        <v>13.700000000000001</v>
      </c>
      <c r="AI370" s="2">
        <f>[7]m!C371</f>
        <v>23267</v>
      </c>
      <c r="AJ370" s="2">
        <f>[7]m!D371</f>
        <v>23150</v>
      </c>
      <c r="AK370" s="2">
        <f>[2]Surveys_m!$AB252</f>
        <v>50.1</v>
      </c>
      <c r="AL370" s="4">
        <f t="shared" si="5"/>
        <v>4003.7814313346221</v>
      </c>
      <c r="AN370" s="2">
        <v>81</v>
      </c>
      <c r="AQ370" s="3">
        <f>[9]LaborForce!$B251*[9]LaborForce!$C251/100</f>
        <v>107036.89200000001</v>
      </c>
      <c r="AR370">
        <f>[9]Unemployment!$AC252</f>
        <v>502</v>
      </c>
      <c r="AS370">
        <f>[2]Indicators!BC252</f>
        <v>48.5</v>
      </c>
      <c r="AT370">
        <f>[2]Indicators!BD252</f>
        <v>51.997300000000003</v>
      </c>
      <c r="AU370">
        <f>[2]Indicators!BE252</f>
        <v>99.329100000000011</v>
      </c>
    </row>
    <row r="371" spans="1:47" x14ac:dyDescent="0.25">
      <c r="A371" s="1">
        <v>29495</v>
      </c>
      <c r="B371" s="2">
        <f>[2]Indicators!G253</f>
        <v>1821.556</v>
      </c>
      <c r="C371" s="2">
        <f>[2]Indicators!H253</f>
        <v>236.285</v>
      </c>
      <c r="D371" s="2">
        <f>[2]Indicators!I253</f>
        <v>588.02700000000004</v>
      </c>
      <c r="E371" s="2">
        <f>[2]Indicators!J253</f>
        <v>997.24300000000005</v>
      </c>
      <c r="L371" s="2">
        <f>[2]Indicators!N253</f>
        <v>11.412000000000001</v>
      </c>
      <c r="M371" s="2">
        <f>[2]Indicators!AB253</f>
        <v>49.953500000000005</v>
      </c>
      <c r="N371" s="2">
        <f>[8]m!$C373</f>
        <v>12.81</v>
      </c>
      <c r="O371">
        <f>[9]Unemployment!$B253</f>
        <v>7.5</v>
      </c>
      <c r="P371" s="2">
        <f>[2]Surveys_m!$B253</f>
        <v>84.2</v>
      </c>
      <c r="Q371">
        <f>[5]m!$B373</f>
        <v>84.7</v>
      </c>
      <c r="R371">
        <f>[5]m!$D373</f>
        <v>83</v>
      </c>
      <c r="S371">
        <f>[5]m!$Q373</f>
        <v>92.800000000000011</v>
      </c>
      <c r="T371">
        <f>[6]m!B373</f>
        <v>-16921</v>
      </c>
      <c r="U371" s="2">
        <f>[9]Unemployment!$F253</f>
        <v>13.100000000000001</v>
      </c>
      <c r="V371" s="2">
        <f>[9]Unemployment!$G253</f>
        <v>7.5</v>
      </c>
      <c r="W371">
        <f>[9]Unemployment!$E253</f>
        <v>8088</v>
      </c>
      <c r="X371">
        <f>[9]Unemployment!N253</f>
        <v>3236</v>
      </c>
      <c r="Y371">
        <f>[9]Unemployment!O253</f>
        <v>2544</v>
      </c>
      <c r="Z371">
        <f>[9]Unemployment!P253-[9]Unemployment!Q253</f>
        <v>1246</v>
      </c>
      <c r="AA371">
        <f>[9]Unemployment!$Q253</f>
        <v>1060</v>
      </c>
      <c r="AB371" s="2">
        <f>[8]m!$B373</f>
        <v>13.22</v>
      </c>
      <c r="AC371" s="2">
        <f>[8]m!$F373</f>
        <v>11.75</v>
      </c>
      <c r="AD371">
        <f>[9]Employment!$B253</f>
        <v>90485</v>
      </c>
      <c r="AE371" s="2">
        <f>[2]Indicators!$AB253</f>
        <v>49.953500000000005</v>
      </c>
      <c r="AF371" s="2">
        <f>[8]m!$AS373</f>
        <v>349.6</v>
      </c>
      <c r="AG371" s="2">
        <f>[8]m!$H373</f>
        <v>12.31</v>
      </c>
      <c r="AH371" s="2">
        <f>[8]m!$I373</f>
        <v>14.23</v>
      </c>
      <c r="AI371" s="2">
        <f>[7]m!C372</f>
        <v>23009</v>
      </c>
      <c r="AJ371" s="2">
        <f>[7]m!D372</f>
        <v>23365</v>
      </c>
      <c r="AK371" s="2">
        <f>[2]Surveys_m!$AB253</f>
        <v>55.5</v>
      </c>
      <c r="AL371" s="4">
        <f t="shared" si="5"/>
        <v>4003.7814313346221</v>
      </c>
      <c r="AN371" s="2">
        <v>81</v>
      </c>
      <c r="AQ371" s="3">
        <f>[9]LaborForce!$B252*[9]LaborForce!$C252/100</f>
        <v>107336.41099999999</v>
      </c>
      <c r="AR371">
        <f>[9]Unemployment!$AC253</f>
        <v>463</v>
      </c>
      <c r="AS371">
        <f>[2]Indicators!BC253</f>
        <v>48.9</v>
      </c>
      <c r="AT371">
        <f>[2]Indicators!BD253</f>
        <v>52.4559</v>
      </c>
      <c r="AU371">
        <f>[2]Indicators!BE253</f>
        <v>100.1512</v>
      </c>
    </row>
    <row r="372" spans="1:47" x14ac:dyDescent="0.25">
      <c r="A372" s="1">
        <v>29526</v>
      </c>
      <c r="B372" s="2">
        <f>[2]Indicators!G254</f>
        <v>1831.396</v>
      </c>
      <c r="C372" s="2">
        <f>[2]Indicators!H254</f>
        <v>236.703</v>
      </c>
      <c r="D372" s="2">
        <f>[2]Indicators!I254</f>
        <v>588.74400000000003</v>
      </c>
      <c r="E372" s="2">
        <f>[2]Indicators!J254</f>
        <v>1005.9490000000001</v>
      </c>
      <c r="L372" s="2">
        <f>[2]Indicators!N254</f>
        <v>11.257</v>
      </c>
      <c r="M372" s="2">
        <f>[2]Indicators!AB254</f>
        <v>50.820700000000002</v>
      </c>
      <c r="N372" s="2">
        <f>[8]m!$C374</f>
        <v>15.85</v>
      </c>
      <c r="O372">
        <f>[9]Unemployment!$B254</f>
        <v>7.5</v>
      </c>
      <c r="P372" s="2">
        <f>[2]Surveys_m!$B254</f>
        <v>87.2</v>
      </c>
      <c r="Q372">
        <f>[5]m!$B374</f>
        <v>85.600000000000009</v>
      </c>
      <c r="R372">
        <f>[5]m!$D374</f>
        <v>83.9</v>
      </c>
      <c r="S372">
        <f>[5]m!$Q374</f>
        <v>93.2</v>
      </c>
      <c r="T372">
        <f>[6]m!B374</f>
        <v>-8907</v>
      </c>
      <c r="U372" s="2">
        <f>[9]Unemployment!$F254</f>
        <v>13.600000000000001</v>
      </c>
      <c r="V372" s="2">
        <f>[9]Unemployment!$G254</f>
        <v>7.7</v>
      </c>
      <c r="W372">
        <f>[9]Unemployment!$E254</f>
        <v>8023</v>
      </c>
      <c r="X372">
        <f>[9]Unemployment!N254</f>
        <v>3146</v>
      </c>
      <c r="Y372">
        <f>[9]Unemployment!O254</f>
        <v>2498</v>
      </c>
      <c r="Z372">
        <f>[9]Unemployment!P254-[9]Unemployment!Q254</f>
        <v>1196</v>
      </c>
      <c r="AA372">
        <f>[9]Unemployment!$Q254</f>
        <v>1133</v>
      </c>
      <c r="AB372" s="2">
        <f>[8]m!$B374</f>
        <v>14.65</v>
      </c>
      <c r="AC372" s="2">
        <f>[8]m!$F374</f>
        <v>12.68</v>
      </c>
      <c r="AD372">
        <f>[9]Employment!$B254</f>
        <v>90741</v>
      </c>
      <c r="AE372" s="2">
        <f>[2]Indicators!$AB254</f>
        <v>50.820700000000002</v>
      </c>
      <c r="AF372" s="2">
        <f>[8]m!$AS374</f>
        <v>350</v>
      </c>
      <c r="AG372" s="2">
        <f>[8]m!$H374</f>
        <v>12.97</v>
      </c>
      <c r="AH372" s="2">
        <f>[8]m!$I374</f>
        <v>14.64</v>
      </c>
      <c r="AI372" s="2">
        <f>[7]m!C373</f>
        <v>23402</v>
      </c>
      <c r="AJ372" s="2">
        <f>[7]m!D373</f>
        <v>23914</v>
      </c>
      <c r="AK372" s="2">
        <f>[2]Surveys_m!$AB254</f>
        <v>58.2</v>
      </c>
      <c r="AL372" s="4">
        <f t="shared" si="5"/>
        <v>4152.0696324951632</v>
      </c>
      <c r="AN372" s="2">
        <v>84</v>
      </c>
      <c r="AQ372" s="3">
        <f>[9]LaborForce!$B253*[9]LaborForce!$C253/100</f>
        <v>107627.41</v>
      </c>
      <c r="AR372">
        <f>[9]Unemployment!$AC254</f>
        <v>419</v>
      </c>
      <c r="AS372">
        <f>[2]Indicators!BC254</f>
        <v>48.9</v>
      </c>
      <c r="AT372">
        <f>[2]Indicators!BD254</f>
        <v>52.667999999999999</v>
      </c>
      <c r="AU372">
        <f>[2]Indicators!BE254</f>
        <v>100.5044</v>
      </c>
    </row>
    <row r="373" spans="1:47" x14ac:dyDescent="0.25">
      <c r="A373" s="1">
        <v>29556</v>
      </c>
      <c r="B373" s="2">
        <f>[2]Indicators!G255</f>
        <v>1856.8220000000001</v>
      </c>
      <c r="C373" s="2">
        <f>[2]Indicators!H255</f>
        <v>235.70400000000001</v>
      </c>
      <c r="D373" s="2">
        <f>[2]Indicators!I255</f>
        <v>596.97699999999998</v>
      </c>
      <c r="E373" s="2">
        <f>[2]Indicators!J255</f>
        <v>1024.1410000000001</v>
      </c>
      <c r="L373" s="2">
        <f>[2]Indicators!N255</f>
        <v>10.939</v>
      </c>
      <c r="M373" s="2">
        <f>[2]Indicators!AB255</f>
        <v>51.117200000000004</v>
      </c>
      <c r="N373" s="2">
        <f>[8]m!$C375</f>
        <v>18.900000000000002</v>
      </c>
      <c r="O373">
        <f>[9]Unemployment!$B255</f>
        <v>7.2</v>
      </c>
      <c r="P373" s="2">
        <f>[2]Surveys_m!$B255</f>
        <v>78.600000000000009</v>
      </c>
      <c r="Q373">
        <f>[5]m!$B375</f>
        <v>86.4</v>
      </c>
      <c r="R373">
        <f>[5]m!$D375</f>
        <v>84.9</v>
      </c>
      <c r="S373">
        <f>[5]m!$Q375</f>
        <v>93.800000000000011</v>
      </c>
      <c r="T373">
        <f>[6]m!B375</f>
        <v>-1965</v>
      </c>
      <c r="U373" s="2">
        <f>[9]Unemployment!$F255</f>
        <v>13.700000000000001</v>
      </c>
      <c r="V373" s="2">
        <f>[9]Unemployment!$G255</f>
        <v>7.5</v>
      </c>
      <c r="W373">
        <f>[9]Unemployment!$E255</f>
        <v>7718</v>
      </c>
      <c r="X373">
        <f>[9]Unemployment!N255</f>
        <v>3097</v>
      </c>
      <c r="Y373">
        <f>[9]Unemployment!O255</f>
        <v>2234</v>
      </c>
      <c r="Z373">
        <f>[9]Unemployment!P255-[9]Unemployment!Q255</f>
        <v>1259</v>
      </c>
      <c r="AA373">
        <f>[9]Unemployment!$Q255</f>
        <v>1147</v>
      </c>
      <c r="AB373" s="2">
        <f>[8]m!$B375</f>
        <v>14.11</v>
      </c>
      <c r="AC373" s="2">
        <f>[8]m!$F375</f>
        <v>12.84</v>
      </c>
      <c r="AD373">
        <f>[9]Employment!$B255</f>
        <v>90936</v>
      </c>
      <c r="AE373" s="2">
        <f>[2]Indicators!$AB255</f>
        <v>51.117200000000004</v>
      </c>
      <c r="AF373" s="2">
        <f>[8]m!$AS375</f>
        <v>351.90000000000003</v>
      </c>
      <c r="AG373" s="2">
        <f>[8]m!$H375</f>
        <v>13.21</v>
      </c>
      <c r="AH373" s="2">
        <f>[8]m!$I375</f>
        <v>15.14</v>
      </c>
      <c r="AI373" s="2">
        <f>[7]m!C374</f>
        <v>22900</v>
      </c>
      <c r="AJ373" s="2">
        <f>[7]m!D374</f>
        <v>23443</v>
      </c>
      <c r="AK373" s="2">
        <f>[2]Surveys_m!$AB255</f>
        <v>53</v>
      </c>
      <c r="AL373" s="4">
        <f t="shared" si="5"/>
        <v>4003.7814313346216</v>
      </c>
      <c r="AN373" s="2">
        <v>81</v>
      </c>
      <c r="AQ373" s="3">
        <f>[9]LaborForce!$B254*[9]LaborForce!$C254/100</f>
        <v>107409.588</v>
      </c>
      <c r="AR373">
        <f>[9]Unemployment!$AC255</f>
        <v>412</v>
      </c>
      <c r="AS373">
        <f>[2]Indicators!BC255</f>
        <v>48.2</v>
      </c>
      <c r="AT373">
        <f>[2]Indicators!BD255</f>
        <v>52.683800000000005</v>
      </c>
      <c r="AU373">
        <f>[2]Indicators!BE255</f>
        <v>100.485</v>
      </c>
    </row>
    <row r="374" spans="1:47" x14ac:dyDescent="0.25">
      <c r="A374" s="1">
        <v>29587</v>
      </c>
      <c r="B374" s="2">
        <f>[2]Indicators!G256</f>
        <v>1876.232</v>
      </c>
      <c r="C374" s="2">
        <f>[2]Indicators!H256</f>
        <v>239.899</v>
      </c>
      <c r="D374" s="2">
        <f>[2]Indicators!I256</f>
        <v>609.78300000000002</v>
      </c>
      <c r="E374" s="2">
        <f>[2]Indicators!J256</f>
        <v>1026.55</v>
      </c>
      <c r="L374" s="2">
        <f>[2]Indicators!N256</f>
        <v>11.282</v>
      </c>
      <c r="M374" s="2">
        <f>[2]Indicators!AB256</f>
        <v>50.8279</v>
      </c>
      <c r="N374" s="2">
        <f>[8]m!$C376</f>
        <v>19.080000000000002</v>
      </c>
      <c r="O374">
        <f>[9]Unemployment!$B256</f>
        <v>7.5</v>
      </c>
      <c r="P374" s="2">
        <f>[2]Surveys_m!$B256</f>
        <v>74.400000000000006</v>
      </c>
      <c r="Q374">
        <f>[5]m!$B376</f>
        <v>87.2</v>
      </c>
      <c r="R374">
        <f>[5]m!$D376</f>
        <v>85.4</v>
      </c>
      <c r="S374">
        <f>[5]m!$Q376</f>
        <v>95.2</v>
      </c>
      <c r="T374">
        <f>[6]m!B376</f>
        <v>-12192</v>
      </c>
      <c r="U374" s="2">
        <f>[9]Unemployment!$F256</f>
        <v>14.3</v>
      </c>
      <c r="V374" s="2">
        <f>[9]Unemployment!$G256</f>
        <v>7.4</v>
      </c>
      <c r="W374">
        <f>[9]Unemployment!$E256</f>
        <v>8071</v>
      </c>
      <c r="X374">
        <f>[9]Unemployment!N256</f>
        <v>3318</v>
      </c>
      <c r="Y374">
        <f>[9]Unemployment!O256</f>
        <v>2334</v>
      </c>
      <c r="Z374">
        <f>[9]Unemployment!P256-[9]Unemployment!Q256</f>
        <v>1126</v>
      </c>
      <c r="AA374">
        <f>[9]Unemployment!$Q256</f>
        <v>1263</v>
      </c>
      <c r="AB374" s="2">
        <f>[8]m!$B376</f>
        <v>14.780000000000001</v>
      </c>
      <c r="AC374" s="2">
        <f>[8]m!$F376</f>
        <v>12.57</v>
      </c>
      <c r="AD374">
        <f>[9]Employment!$B256</f>
        <v>91031</v>
      </c>
      <c r="AE374" s="2">
        <f>[2]Indicators!$AB256</f>
        <v>50.8279</v>
      </c>
      <c r="AF374" s="2">
        <f>[8]m!$AS376</f>
        <v>353</v>
      </c>
      <c r="AG374" s="2">
        <f>[8]m!$H376</f>
        <v>12.81</v>
      </c>
      <c r="AH374" s="2">
        <f>[8]m!$I376</f>
        <v>15.030000000000001</v>
      </c>
      <c r="AI374" s="2">
        <f>[7]m!C375</f>
        <v>23436</v>
      </c>
      <c r="AJ374" s="2">
        <f>[7]m!D375</f>
        <v>25014</v>
      </c>
      <c r="AK374" s="2">
        <f>[2]Surveys_m!$AB256</f>
        <v>49.2</v>
      </c>
      <c r="AL374" s="4">
        <f t="shared" si="5"/>
        <v>3954.3520309477744</v>
      </c>
      <c r="AN374" s="2">
        <v>80</v>
      </c>
      <c r="AQ374" s="3">
        <f>[9]LaborForce!$B255*[9]LaborForce!$C255/100</f>
        <v>108057.45600000002</v>
      </c>
      <c r="AR374">
        <f>[9]Unemployment!$AC256</f>
        <v>399</v>
      </c>
      <c r="AS374">
        <f>[2]Indicators!BC256</f>
        <v>47.800000000000004</v>
      </c>
      <c r="AT374">
        <f>[2]Indicators!BD256</f>
        <v>52.592100000000002</v>
      </c>
      <c r="AU374">
        <f>[2]Indicators!BE256</f>
        <v>100.26140000000001</v>
      </c>
    </row>
    <row r="375" spans="1:47" x14ac:dyDescent="0.25">
      <c r="A375" s="1">
        <v>29618</v>
      </c>
      <c r="B375" s="2">
        <f>[2]Indicators!G257</f>
        <v>1891.048</v>
      </c>
      <c r="C375" s="2">
        <f>[2]Indicators!H257</f>
        <v>247.34300000000002</v>
      </c>
      <c r="D375" s="2">
        <f>[2]Indicators!I257</f>
        <v>614.29</v>
      </c>
      <c r="E375" s="2">
        <f>[2]Indicators!J257</f>
        <v>1029.415</v>
      </c>
      <c r="L375" s="2">
        <f>[2]Indicators!N257</f>
        <v>12.351000000000001</v>
      </c>
      <c r="M375" s="2">
        <f>[2]Indicators!AB257</f>
        <v>50.591200000000001</v>
      </c>
      <c r="N375" s="2">
        <f>[8]m!$C377</f>
        <v>15.93</v>
      </c>
      <c r="O375">
        <f>[9]Unemployment!$B257</f>
        <v>7.4</v>
      </c>
      <c r="P375" s="2">
        <f>[2]Surveys_m!$B257</f>
        <v>69</v>
      </c>
      <c r="Q375">
        <f>[5]m!$B377</f>
        <v>88</v>
      </c>
      <c r="R375">
        <f>[5]m!$D377</f>
        <v>85.9</v>
      </c>
      <c r="S375">
        <f>[5]m!$Q377</f>
        <v>96.100000000000009</v>
      </c>
      <c r="T375">
        <f>[6]m!B377</f>
        <v>-15620</v>
      </c>
      <c r="U375" s="2">
        <f>[9]Unemployment!$F257</f>
        <v>14.100000000000001</v>
      </c>
      <c r="V375" s="2">
        <f>[9]Unemployment!$G257</f>
        <v>7.1000000000000005</v>
      </c>
      <c r="W375">
        <f>[9]Unemployment!$E257</f>
        <v>8051</v>
      </c>
      <c r="X375">
        <f>[9]Unemployment!N257</f>
        <v>3287</v>
      </c>
      <c r="Y375">
        <f>[9]Unemployment!O257</f>
        <v>2412</v>
      </c>
      <c r="Z375">
        <f>[9]Unemployment!P257-[9]Unemployment!Q257</f>
        <v>1099</v>
      </c>
      <c r="AA375">
        <f>[9]Unemployment!$Q257</f>
        <v>1245</v>
      </c>
      <c r="AB375" s="2">
        <f>[8]m!$B377</f>
        <v>14.370000000000001</v>
      </c>
      <c r="AC375" s="2">
        <f>[8]m!$F377</f>
        <v>13.19</v>
      </c>
      <c r="AD375">
        <f>[9]Employment!$B257</f>
        <v>91098</v>
      </c>
      <c r="AE375" s="2">
        <f>[2]Indicators!$AB257</f>
        <v>50.591200000000001</v>
      </c>
      <c r="AF375" s="2">
        <f>[8]m!$AS377</f>
        <v>354.70000000000005</v>
      </c>
      <c r="AG375" s="2">
        <f>[8]m!$H377</f>
        <v>13.35</v>
      </c>
      <c r="AH375" s="2">
        <f>[8]m!$I377</f>
        <v>15.370000000000001</v>
      </c>
      <c r="AI375" s="2">
        <f>[7]m!C376</f>
        <v>23463</v>
      </c>
      <c r="AJ375" s="2">
        <f>[7]m!D376</f>
        <v>26403</v>
      </c>
      <c r="AK375" s="2">
        <f>[2]Surveys_m!$AB257</f>
        <v>48.800000000000004</v>
      </c>
      <c r="AL375" s="4">
        <f t="shared" si="5"/>
        <v>4003.7814313346212</v>
      </c>
      <c r="AN375" s="2">
        <v>81</v>
      </c>
      <c r="AQ375" s="3">
        <f>[9]LaborForce!$B256*[9]LaborForce!$C256/100</f>
        <v>108169.92000000001</v>
      </c>
      <c r="AR375">
        <f>[9]Unemployment!$AC257</f>
        <v>419</v>
      </c>
      <c r="AS375">
        <f>[2]Indicators!BC257</f>
        <v>47.2</v>
      </c>
      <c r="AT375">
        <f>[2]Indicators!BD257</f>
        <v>52.452200000000005</v>
      </c>
      <c r="AU375">
        <f>[2]Indicators!BE257</f>
        <v>99.94680000000001</v>
      </c>
    </row>
    <row r="376" spans="1:47" x14ac:dyDescent="0.25">
      <c r="A376" s="1">
        <v>29646</v>
      </c>
      <c r="B376" s="2">
        <f>[2]Indicators!G258</f>
        <v>1909.925</v>
      </c>
      <c r="C376" s="2">
        <f>[2]Indicators!H258</f>
        <v>250.898</v>
      </c>
      <c r="D376" s="2">
        <f>[2]Indicators!I258</f>
        <v>618.06000000000006</v>
      </c>
      <c r="E376" s="2">
        <f>[2]Indicators!J258</f>
        <v>1040.9670000000001</v>
      </c>
      <c r="L376" s="2">
        <f>[2]Indicators!N258</f>
        <v>12.427</v>
      </c>
      <c r="M376" s="2">
        <f>[2]Indicators!AB258</f>
        <v>50.856400000000001</v>
      </c>
      <c r="N376" s="2">
        <f>[8]m!$C378</f>
        <v>14.700000000000001</v>
      </c>
      <c r="O376">
        <f>[9]Unemployment!$B258</f>
        <v>7.4</v>
      </c>
      <c r="P376" s="2">
        <f>[2]Surveys_m!$B258</f>
        <v>77.800000000000011</v>
      </c>
      <c r="Q376">
        <f>[5]m!$B378</f>
        <v>88.600000000000009</v>
      </c>
      <c r="R376">
        <f>[5]m!$D378</f>
        <v>86.4</v>
      </c>
      <c r="S376">
        <f>[5]m!$Q378</f>
        <v>97</v>
      </c>
      <c r="T376">
        <f>[6]m!B378</f>
        <v>-9582</v>
      </c>
      <c r="U376" s="2">
        <f>[9]Unemployment!$F258</f>
        <v>14</v>
      </c>
      <c r="V376" s="2">
        <f>[9]Unemployment!$G258</f>
        <v>7.1000000000000005</v>
      </c>
      <c r="W376">
        <f>[9]Unemployment!$E258</f>
        <v>7982</v>
      </c>
      <c r="X376">
        <f>[9]Unemployment!N258</f>
        <v>3328</v>
      </c>
      <c r="Y376">
        <f>[9]Unemployment!O258</f>
        <v>2428</v>
      </c>
      <c r="Z376">
        <f>[9]Unemployment!P258-[9]Unemployment!Q258</f>
        <v>1059</v>
      </c>
      <c r="AA376">
        <f>[9]Unemployment!$Q258</f>
        <v>1217</v>
      </c>
      <c r="AB376" s="2">
        <f>[8]m!$B378</f>
        <v>12.450000000000001</v>
      </c>
      <c r="AC376" s="2">
        <f>[8]m!$F378</f>
        <v>13.120000000000001</v>
      </c>
      <c r="AD376">
        <f>[9]Employment!$B258</f>
        <v>91202</v>
      </c>
      <c r="AE376" s="2">
        <f>[2]Indicators!$AB258</f>
        <v>50.856400000000001</v>
      </c>
      <c r="AF376" s="2">
        <f>[8]m!$AS378</f>
        <v>357.1</v>
      </c>
      <c r="AG376" s="2">
        <f>[8]m!$H378</f>
        <v>13.33</v>
      </c>
      <c r="AH376" s="2">
        <f>[8]m!$I378</f>
        <v>15.34</v>
      </c>
      <c r="AI376" s="2">
        <f>[7]m!C377</f>
        <v>24349</v>
      </c>
      <c r="AJ376" s="2">
        <f>[7]m!D377</f>
        <v>25703</v>
      </c>
      <c r="AK376" s="2">
        <f>[2]Surveys_m!$AB258</f>
        <v>49.6</v>
      </c>
      <c r="AL376" s="4">
        <f t="shared" si="5"/>
        <v>4003.7814313346212</v>
      </c>
      <c r="AN376" s="2">
        <v>81</v>
      </c>
      <c r="AQ376" s="3">
        <f>[9]LaborForce!$B257*[9]LaborForce!$C257/100</f>
        <v>108619.37300000001</v>
      </c>
      <c r="AR376">
        <f>[9]Unemployment!$AC258</f>
        <v>434</v>
      </c>
      <c r="AS376">
        <f>[2]Indicators!BC258</f>
        <v>47.5</v>
      </c>
      <c r="AT376">
        <f>[2]Indicators!BD258</f>
        <v>52.304600000000001</v>
      </c>
      <c r="AU376">
        <f>[2]Indicators!BE258</f>
        <v>99.618000000000009</v>
      </c>
    </row>
    <row r="377" spans="1:47" x14ac:dyDescent="0.25">
      <c r="A377" s="1">
        <v>29677</v>
      </c>
      <c r="B377" s="2">
        <f>[2]Indicators!G259</f>
        <v>1911.085</v>
      </c>
      <c r="C377" s="2">
        <f>[2]Indicators!H259</f>
        <v>241.69</v>
      </c>
      <c r="D377" s="2">
        <f>[2]Indicators!I259</f>
        <v>621.48500000000001</v>
      </c>
      <c r="E377" s="2">
        <f>[2]Indicators!J259</f>
        <v>1047.9090000000001</v>
      </c>
      <c r="L377" s="2">
        <f>[2]Indicators!N259</f>
        <v>10.49</v>
      </c>
      <c r="M377" s="2">
        <f>[2]Indicators!AB259</f>
        <v>50.6404</v>
      </c>
      <c r="N377" s="2">
        <f>[8]m!$C379</f>
        <v>15.72</v>
      </c>
      <c r="O377">
        <f>[9]Unemployment!$B259</f>
        <v>7.2</v>
      </c>
      <c r="P377" s="2">
        <f>[2]Surveys_m!$B259</f>
        <v>81.600000000000009</v>
      </c>
      <c r="Q377">
        <f>[5]m!$B379</f>
        <v>89.100000000000009</v>
      </c>
      <c r="R377">
        <f>[5]m!$D379</f>
        <v>87</v>
      </c>
      <c r="S377">
        <f>[5]m!$Q379</f>
        <v>98</v>
      </c>
      <c r="T377">
        <f>[6]m!B379</f>
        <v>17190</v>
      </c>
      <c r="U377" s="2">
        <f>[9]Unemployment!$F259</f>
        <v>13.9</v>
      </c>
      <c r="V377" s="2">
        <f>[9]Unemployment!$G259</f>
        <v>7.4</v>
      </c>
      <c r="W377">
        <f>[9]Unemployment!$E259</f>
        <v>7869</v>
      </c>
      <c r="X377">
        <f>[9]Unemployment!N259</f>
        <v>3185</v>
      </c>
      <c r="Y377">
        <f>[9]Unemployment!O259</f>
        <v>2436</v>
      </c>
      <c r="Z377">
        <f>[9]Unemployment!P259-[9]Unemployment!Q259</f>
        <v>1099</v>
      </c>
      <c r="AA377">
        <f>[9]Unemployment!$Q259</f>
        <v>1132</v>
      </c>
      <c r="AB377" s="2">
        <f>[8]m!$B379</f>
        <v>14.36</v>
      </c>
      <c r="AC377" s="2">
        <f>[8]m!$F379</f>
        <v>13.68</v>
      </c>
      <c r="AD377">
        <f>[9]Employment!$B259</f>
        <v>91276</v>
      </c>
      <c r="AE377" s="2">
        <f>[2]Indicators!$AB259</f>
        <v>50.6404</v>
      </c>
      <c r="AF377" s="2">
        <f>[8]m!$AS379</f>
        <v>359.1</v>
      </c>
      <c r="AG377" s="2">
        <f>[8]m!$H379</f>
        <v>13.88</v>
      </c>
      <c r="AH377" s="2">
        <f>[8]m!$I379</f>
        <v>15.56</v>
      </c>
      <c r="AI377" s="2">
        <f>[7]m!C378</f>
        <v>25839</v>
      </c>
      <c r="AJ377" s="2">
        <f>[7]m!D378</f>
        <v>24816</v>
      </c>
      <c r="AK377" s="2">
        <f>[2]Surveys_m!$AB259</f>
        <v>51.6</v>
      </c>
      <c r="AL377" s="4">
        <f t="shared" si="5"/>
        <v>4003.7814313346216</v>
      </c>
      <c r="AN377" s="2">
        <v>81</v>
      </c>
      <c r="AQ377" s="3">
        <f>[9]LaborForce!$B258*[9]LaborForce!$C258/100</f>
        <v>108909.52200000001</v>
      </c>
      <c r="AR377">
        <f>[9]Unemployment!$AC259</f>
        <v>412</v>
      </c>
      <c r="AS377">
        <f>[2]Indicators!BC259</f>
        <v>47.9</v>
      </c>
      <c r="AT377">
        <f>[2]Indicators!BD259</f>
        <v>52.112900000000003</v>
      </c>
      <c r="AU377">
        <f>[2]Indicators!BE259</f>
        <v>99.205600000000004</v>
      </c>
    </row>
    <row r="378" spans="1:47" x14ac:dyDescent="0.25">
      <c r="A378" s="1">
        <v>29707</v>
      </c>
      <c r="B378" s="2">
        <f>[2]Indicators!G260</f>
        <v>1920.213</v>
      </c>
      <c r="C378" s="2">
        <f>[2]Indicators!H260</f>
        <v>239.76500000000001</v>
      </c>
      <c r="D378" s="2">
        <f>[2]Indicators!I260</f>
        <v>620.56299999999999</v>
      </c>
      <c r="E378" s="2">
        <f>[2]Indicators!J260</f>
        <v>1059.885</v>
      </c>
      <c r="L378" s="2">
        <f>[2]Indicators!N260</f>
        <v>10.354000000000001</v>
      </c>
      <c r="M378" s="2">
        <f>[2]Indicators!AB260</f>
        <v>50.951700000000002</v>
      </c>
      <c r="N378" s="2">
        <f>[8]m!$C380</f>
        <v>18.52</v>
      </c>
      <c r="O378">
        <f>[9]Unemployment!$B260</f>
        <v>7.5</v>
      </c>
      <c r="P378" s="2">
        <f>[2]Surveys_m!$B260</f>
        <v>86.9</v>
      </c>
      <c r="Q378">
        <f>[5]m!$B380</f>
        <v>89.7</v>
      </c>
      <c r="R378">
        <f>[5]m!$D380</f>
        <v>87.8</v>
      </c>
      <c r="S378">
        <f>[5]m!$Q380</f>
        <v>98.300000000000011</v>
      </c>
      <c r="T378">
        <f>[6]m!B380</f>
        <v>-16171</v>
      </c>
      <c r="U378" s="2">
        <f>[9]Unemployment!$F260</f>
        <v>13.600000000000001</v>
      </c>
      <c r="V378" s="2">
        <f>[9]Unemployment!$G260</f>
        <v>6.9</v>
      </c>
      <c r="W378">
        <f>[9]Unemployment!$E260</f>
        <v>8174</v>
      </c>
      <c r="X378">
        <f>[9]Unemployment!N260</f>
        <v>3409</v>
      </c>
      <c r="Y378">
        <f>[9]Unemployment!O260</f>
        <v>2594</v>
      </c>
      <c r="Z378">
        <f>[9]Unemployment!P260-[9]Unemployment!Q260</f>
        <v>1072</v>
      </c>
      <c r="AA378">
        <f>[9]Unemployment!$Q260</f>
        <v>1149</v>
      </c>
      <c r="AB378" s="2">
        <f>[8]m!$B380</f>
        <v>15.92</v>
      </c>
      <c r="AC378" s="2">
        <f>[8]m!$F380</f>
        <v>14.1</v>
      </c>
      <c r="AD378">
        <f>[9]Employment!$B260</f>
        <v>91286</v>
      </c>
      <c r="AE378" s="2">
        <f>[2]Indicators!$AB260</f>
        <v>50.951700000000002</v>
      </c>
      <c r="AF378" s="2">
        <f>[8]m!$AS380</f>
        <v>361.20000000000005</v>
      </c>
      <c r="AG378" s="2">
        <f>[8]m!$H380</f>
        <v>14.32</v>
      </c>
      <c r="AH378" s="2">
        <f>[8]m!$I380</f>
        <v>15.950000000000001</v>
      </c>
      <c r="AI378" s="2">
        <f>[7]m!C379</f>
        <v>24583</v>
      </c>
      <c r="AJ378" s="2">
        <f>[7]m!D379</f>
        <v>26065</v>
      </c>
      <c r="AK378" s="2">
        <f>[2]Surveys_m!$AB260</f>
        <v>53.5</v>
      </c>
      <c r="AL378" s="4">
        <f t="shared" si="5"/>
        <v>3954.3520309477744</v>
      </c>
      <c r="AN378" s="2">
        <v>80</v>
      </c>
      <c r="AQ378" s="3">
        <f>[9]LaborForce!$B259*[9]LaborForce!$C259/100</f>
        <v>109200.04699999999</v>
      </c>
      <c r="AR378">
        <f>[9]Unemployment!$AC260</f>
        <v>413</v>
      </c>
      <c r="AS378">
        <f>[2]Indicators!BC260</f>
        <v>47.6</v>
      </c>
      <c r="AT378">
        <f>[2]Indicators!BD260</f>
        <v>51.841100000000004</v>
      </c>
      <c r="AU378">
        <f>[2]Indicators!BE260</f>
        <v>98.641199999999998</v>
      </c>
    </row>
    <row r="379" spans="1:47" x14ac:dyDescent="0.25">
      <c r="A379" s="1">
        <v>29738</v>
      </c>
      <c r="B379" s="2">
        <f>[2]Indicators!G261</f>
        <v>1940.558</v>
      </c>
      <c r="C379" s="2">
        <f>[2]Indicators!H261</f>
        <v>241.351</v>
      </c>
      <c r="D379" s="2">
        <f>[2]Indicators!I261</f>
        <v>626.49800000000005</v>
      </c>
      <c r="E379" s="2">
        <f>[2]Indicators!J261</f>
        <v>1072.7090000000001</v>
      </c>
      <c r="L379" s="2">
        <f>[2]Indicators!N261</f>
        <v>10.415000000000001</v>
      </c>
      <c r="M379" s="2">
        <f>[2]Indicators!AB261</f>
        <v>51.1873</v>
      </c>
      <c r="N379" s="2">
        <f>[8]m!$C381</f>
        <v>19.100000000000001</v>
      </c>
      <c r="O379">
        <f>[9]Unemployment!$B261</f>
        <v>7.5</v>
      </c>
      <c r="P379" s="2">
        <f>[2]Surveys_m!$B261</f>
        <v>83</v>
      </c>
      <c r="Q379">
        <f>[5]m!$B381</f>
        <v>90.5</v>
      </c>
      <c r="R379">
        <f>[5]m!$D381</f>
        <v>88.600000000000009</v>
      </c>
      <c r="S379">
        <f>[5]m!$Q381</f>
        <v>98.5</v>
      </c>
      <c r="T379">
        <f>[6]m!B381</f>
        <v>15363</v>
      </c>
      <c r="U379" s="2">
        <f>[9]Unemployment!$F261</f>
        <v>13.700000000000001</v>
      </c>
      <c r="V379" s="2">
        <f>[9]Unemployment!$G261</f>
        <v>6.6000000000000005</v>
      </c>
      <c r="W379">
        <f>[9]Unemployment!$E261</f>
        <v>8098</v>
      </c>
      <c r="X379">
        <f>[9]Unemployment!N261</f>
        <v>3340</v>
      </c>
      <c r="Y379">
        <f>[9]Unemployment!O261</f>
        <v>2403</v>
      </c>
      <c r="Z379">
        <f>[9]Unemployment!P261-[9]Unemployment!Q261</f>
        <v>1127</v>
      </c>
      <c r="AA379">
        <f>[9]Unemployment!$Q261</f>
        <v>1123</v>
      </c>
      <c r="AB379" s="2">
        <f>[8]m!$B381</f>
        <v>14.120000000000001</v>
      </c>
      <c r="AC379" s="2">
        <f>[8]m!$F381</f>
        <v>13.47</v>
      </c>
      <c r="AD379">
        <f>[9]Employment!$B261</f>
        <v>91482</v>
      </c>
      <c r="AE379" s="2">
        <f>[2]Indicators!$AB261</f>
        <v>51.1873</v>
      </c>
      <c r="AF379" s="2">
        <f>[8]m!$AS381</f>
        <v>362.70000000000005</v>
      </c>
      <c r="AG379" s="2">
        <f>[8]m!$H381</f>
        <v>13.75</v>
      </c>
      <c r="AH379" s="2">
        <f>[8]m!$I381</f>
        <v>15.8</v>
      </c>
      <c r="AI379" s="2">
        <f>[7]m!C380</f>
        <v>23696</v>
      </c>
      <c r="AJ379" s="2">
        <f>[7]m!D380</f>
        <v>25048</v>
      </c>
      <c r="AK379" s="2">
        <f>[2]Surveys_m!$AB261</f>
        <v>50.7</v>
      </c>
      <c r="AL379" s="4">
        <f t="shared" si="5"/>
        <v>3954.3520309477744</v>
      </c>
      <c r="AN379" s="2">
        <v>80</v>
      </c>
      <c r="AQ379" s="3">
        <f>[9]LaborForce!$B260*[9]LaborForce!$C260/100</f>
        <v>108316.754</v>
      </c>
      <c r="AR379">
        <f>[9]Unemployment!$AC261</f>
        <v>417</v>
      </c>
      <c r="AS379">
        <f>[2]Indicators!BC261</f>
        <v>47</v>
      </c>
      <c r="AT379">
        <f>[2]Indicators!BD261</f>
        <v>51.514800000000001</v>
      </c>
      <c r="AU379">
        <f>[2]Indicators!BE261</f>
        <v>97.972999999999999</v>
      </c>
    </row>
    <row r="380" spans="1:47" x14ac:dyDescent="0.25">
      <c r="A380" s="1">
        <v>29768</v>
      </c>
      <c r="B380" s="2">
        <f>[2]Indicators!G262</f>
        <v>1947.866</v>
      </c>
      <c r="C380" s="2">
        <f>[2]Indicators!H262</f>
        <v>245.20699999999999</v>
      </c>
      <c r="D380" s="2">
        <f>[2]Indicators!I262</f>
        <v>626.51200000000006</v>
      </c>
      <c r="E380" s="2">
        <f>[2]Indicators!J262</f>
        <v>1076.146</v>
      </c>
      <c r="L380" s="2">
        <f>[2]Indicators!N262</f>
        <v>10.428000000000001</v>
      </c>
      <c r="M380" s="2">
        <f>[2]Indicators!AB262</f>
        <v>51.505500000000005</v>
      </c>
      <c r="N380" s="2">
        <f>[8]m!$C382</f>
        <v>19.04</v>
      </c>
      <c r="O380">
        <f>[9]Unemployment!$B262</f>
        <v>7.2</v>
      </c>
      <c r="P380" s="2">
        <f>[2]Surveys_m!$B262</f>
        <v>83.5</v>
      </c>
      <c r="Q380">
        <f>[5]m!$B382</f>
        <v>91.5</v>
      </c>
      <c r="R380">
        <f>[5]m!$D382</f>
        <v>89.8</v>
      </c>
      <c r="S380">
        <f>[5]m!$Q382</f>
        <v>99</v>
      </c>
      <c r="T380">
        <f>[6]m!B382</f>
        <v>-10343</v>
      </c>
      <c r="U380" s="2">
        <f>[9]Unemployment!$F262</f>
        <v>13.8</v>
      </c>
      <c r="V380" s="2">
        <f>[9]Unemployment!$G262</f>
        <v>7.1000000000000005</v>
      </c>
      <c r="W380">
        <f>[9]Unemployment!$E262</f>
        <v>7863</v>
      </c>
      <c r="X380">
        <f>[9]Unemployment!N262</f>
        <v>3307</v>
      </c>
      <c r="Y380">
        <f>[9]Unemployment!O262</f>
        <v>2408</v>
      </c>
      <c r="Z380">
        <f>[9]Unemployment!P262-[9]Unemployment!Q262</f>
        <v>1080</v>
      </c>
      <c r="AA380">
        <f>[9]Unemployment!$Q262</f>
        <v>1086</v>
      </c>
      <c r="AB380" s="2">
        <f>[8]m!$B382</f>
        <v>15.23</v>
      </c>
      <c r="AC380" s="2">
        <f>[8]m!$F382</f>
        <v>14.280000000000001</v>
      </c>
      <c r="AD380">
        <f>[9]Employment!$B262</f>
        <v>91594</v>
      </c>
      <c r="AE380" s="2">
        <f>[2]Indicators!$AB262</f>
        <v>51.505500000000005</v>
      </c>
      <c r="AF380" s="2">
        <f>[8]m!$AS382</f>
        <v>364.70000000000005</v>
      </c>
      <c r="AG380" s="2">
        <f>[8]m!$H382</f>
        <v>14.38</v>
      </c>
      <c r="AH380" s="2">
        <f>[8]m!$I382</f>
        <v>16.170000000000002</v>
      </c>
      <c r="AI380" s="2">
        <f>[7]m!C381</f>
        <v>24547</v>
      </c>
      <c r="AJ380" s="2">
        <f>[7]m!D381</f>
        <v>25821</v>
      </c>
      <c r="AK380" s="2">
        <f>[2]Surveys_m!$AB262</f>
        <v>46.7</v>
      </c>
      <c r="AL380" s="4">
        <f t="shared" si="5"/>
        <v>3954.3520309477744</v>
      </c>
      <c r="AN380" s="2">
        <v>80</v>
      </c>
      <c r="AQ380" s="3">
        <f>[9]LaborForce!$B261*[9]LaborForce!$C261/100</f>
        <v>108616.948</v>
      </c>
      <c r="AR380">
        <f>[9]Unemployment!$AC262</f>
        <v>444</v>
      </c>
      <c r="AS380">
        <f>[2]Indicators!BC262</f>
        <v>46.5</v>
      </c>
      <c r="AT380">
        <f>[2]Indicators!BD262</f>
        <v>51.178800000000003</v>
      </c>
      <c r="AU380">
        <f>[2]Indicators!BE262</f>
        <v>97.286200000000008</v>
      </c>
    </row>
    <row r="381" spans="1:47" x14ac:dyDescent="0.25">
      <c r="A381" s="1">
        <v>29799</v>
      </c>
      <c r="B381" s="2">
        <f>[2]Indicators!G263</f>
        <v>1971.973</v>
      </c>
      <c r="C381" s="2">
        <f>[2]Indicators!H263</f>
        <v>260.392</v>
      </c>
      <c r="D381" s="2">
        <f>[2]Indicators!I263</f>
        <v>629.76499999999999</v>
      </c>
      <c r="E381" s="2">
        <f>[2]Indicators!J263</f>
        <v>1081.8150000000001</v>
      </c>
      <c r="L381" s="2">
        <f>[2]Indicators!N263</f>
        <v>12.681000000000001</v>
      </c>
      <c r="M381" s="2">
        <f>[2]Indicators!AB263</f>
        <v>51.5122</v>
      </c>
      <c r="N381" s="2">
        <f>[8]m!$C383</f>
        <v>17.82</v>
      </c>
      <c r="O381">
        <f>[9]Unemployment!$B263</f>
        <v>7.4</v>
      </c>
      <c r="P381" s="2">
        <f>[2]Surveys_m!$B263</f>
        <v>85.7</v>
      </c>
      <c r="Q381">
        <f>[5]m!$B383</f>
        <v>92.2</v>
      </c>
      <c r="R381">
        <f>[5]m!$D383</f>
        <v>90.7</v>
      </c>
      <c r="S381">
        <f>[5]m!$Q383</f>
        <v>99</v>
      </c>
      <c r="T381">
        <f>[6]m!B383</f>
        <v>-5119</v>
      </c>
      <c r="U381" s="2">
        <f>[9]Unemployment!$F263</f>
        <v>14.4</v>
      </c>
      <c r="V381" s="2">
        <f>[9]Unemployment!$G263</f>
        <v>7.2</v>
      </c>
      <c r="W381">
        <f>[9]Unemployment!$E263</f>
        <v>8036</v>
      </c>
      <c r="X381">
        <f>[9]Unemployment!N263</f>
        <v>3320</v>
      </c>
      <c r="Y381">
        <f>[9]Unemployment!O263</f>
        <v>2487</v>
      </c>
      <c r="Z381">
        <f>[9]Unemployment!P263-[9]Unemployment!Q263</f>
        <v>1077</v>
      </c>
      <c r="AA381">
        <f>[9]Unemployment!$Q263</f>
        <v>1164</v>
      </c>
      <c r="AB381" s="2">
        <f>[8]m!$B383</f>
        <v>15.58</v>
      </c>
      <c r="AC381" s="2">
        <f>[8]m!$F383</f>
        <v>14.94</v>
      </c>
      <c r="AD381">
        <f>[9]Employment!$B263</f>
        <v>91558</v>
      </c>
      <c r="AE381" s="2">
        <f>[2]Indicators!$AB263</f>
        <v>51.5122</v>
      </c>
      <c r="AF381" s="2">
        <f>[8]m!$AS383</f>
        <v>365.20000000000005</v>
      </c>
      <c r="AG381" s="2">
        <f>[8]m!$H383</f>
        <v>14.89</v>
      </c>
      <c r="AH381" s="2">
        <f>[8]m!$I383</f>
        <v>16.34</v>
      </c>
      <c r="AI381" s="2">
        <f>[7]m!C382</f>
        <v>24234</v>
      </c>
      <c r="AJ381" s="2">
        <f>[7]m!D382</f>
        <v>23859</v>
      </c>
      <c r="AK381" s="2">
        <f>[2]Surveys_m!$AB263</f>
        <v>48.300000000000004</v>
      </c>
      <c r="AL381" s="4">
        <f t="shared" si="5"/>
        <v>3904.9226305609272</v>
      </c>
      <c r="AN381" s="2">
        <v>79</v>
      </c>
      <c r="AQ381" s="3">
        <f>[9]LaborForce!$B262*[9]LaborForce!$C262/100</f>
        <v>108714.56200000001</v>
      </c>
      <c r="AR381">
        <f>[9]Unemployment!$AC263</f>
        <v>476</v>
      </c>
      <c r="AS381">
        <f>[2]Indicators!BC263</f>
        <v>46.4</v>
      </c>
      <c r="AT381">
        <f>[2]Indicators!BD263</f>
        <v>50.839600000000004</v>
      </c>
      <c r="AU381">
        <f>[2]Indicators!BE263</f>
        <v>96.592600000000004</v>
      </c>
    </row>
    <row r="382" spans="1:47" x14ac:dyDescent="0.25">
      <c r="A382" s="1">
        <v>29830</v>
      </c>
      <c r="B382" s="2">
        <f>[2]Indicators!G264</f>
        <v>1970.4370000000001</v>
      </c>
      <c r="C382" s="2">
        <f>[2]Indicators!H264</f>
        <v>250.17600000000002</v>
      </c>
      <c r="D382" s="2">
        <f>[2]Indicators!I264</f>
        <v>631.10300000000007</v>
      </c>
      <c r="E382" s="2">
        <f>[2]Indicators!J264</f>
        <v>1089.1580000000001</v>
      </c>
      <c r="L382" s="2">
        <f>[2]Indicators!N264</f>
        <v>11.08</v>
      </c>
      <c r="M382" s="2">
        <f>[2]Indicators!AB264</f>
        <v>51.189399999999999</v>
      </c>
      <c r="N382" s="2">
        <f>[8]m!$C384</f>
        <v>15.870000000000001</v>
      </c>
      <c r="O382">
        <f>[9]Unemployment!$B264</f>
        <v>7.6000000000000005</v>
      </c>
      <c r="P382" s="2">
        <f>[2]Surveys_m!$B264</f>
        <v>77.600000000000009</v>
      </c>
      <c r="Q382">
        <f>[5]m!$B384</f>
        <v>93.100000000000009</v>
      </c>
      <c r="R382">
        <f>[5]m!$D384</f>
        <v>91.8</v>
      </c>
      <c r="S382">
        <f>[5]m!$Q384</f>
        <v>98.800000000000011</v>
      </c>
      <c r="T382">
        <f>[6]m!B384</f>
        <v>6335</v>
      </c>
      <c r="U382" s="2">
        <f>[9]Unemployment!$F264</f>
        <v>13.600000000000001</v>
      </c>
      <c r="V382" s="2">
        <f>[9]Unemployment!$G264</f>
        <v>6.8000000000000007</v>
      </c>
      <c r="W382">
        <f>[9]Unemployment!$E264</f>
        <v>8230</v>
      </c>
      <c r="X382">
        <f>[9]Unemployment!N264</f>
        <v>3493</v>
      </c>
      <c r="Y382">
        <f>[9]Unemployment!O264</f>
        <v>2524</v>
      </c>
      <c r="Z382">
        <f>[9]Unemployment!P264-[9]Unemployment!Q264</f>
        <v>1147</v>
      </c>
      <c r="AA382">
        <f>[9]Unemployment!$Q264</f>
        <v>1114</v>
      </c>
      <c r="AB382" s="2">
        <f>[8]m!$B384</f>
        <v>14.1</v>
      </c>
      <c r="AC382" s="2">
        <f>[8]m!$F384</f>
        <v>15.32</v>
      </c>
      <c r="AD382">
        <f>[9]Employment!$B264</f>
        <v>91471</v>
      </c>
      <c r="AE382" s="2">
        <f>[2]Indicators!$AB264</f>
        <v>51.189399999999999</v>
      </c>
      <c r="AF382" s="2">
        <f>[8]m!$AS384</f>
        <v>369.6</v>
      </c>
      <c r="AG382" s="2">
        <f>[8]m!$H384</f>
        <v>15.49</v>
      </c>
      <c r="AH382" s="2">
        <f>[8]m!$I384</f>
        <v>16.920000000000002</v>
      </c>
      <c r="AI382" s="2">
        <f>[7]m!C383</f>
        <v>23976</v>
      </c>
      <c r="AJ382" s="2">
        <f>[7]m!D383</f>
        <v>26987</v>
      </c>
      <c r="AK382" s="2">
        <f>[2]Surveys_m!$AB264</f>
        <v>42.5</v>
      </c>
      <c r="AL382" s="4">
        <f t="shared" si="5"/>
        <v>3707.2050290135389</v>
      </c>
      <c r="AN382" s="2">
        <v>75</v>
      </c>
      <c r="AQ382" s="3">
        <f>[9]LaborForce!$B263*[9]LaborForce!$C263/100</f>
        <v>108326.55499999999</v>
      </c>
      <c r="AR382">
        <f>[9]Unemployment!$AC264</f>
        <v>451</v>
      </c>
      <c r="AS382">
        <f>[2]Indicators!BC264</f>
        <v>45.7</v>
      </c>
      <c r="AT382">
        <f>[2]Indicators!BD264</f>
        <v>50.4786</v>
      </c>
      <c r="AU382">
        <f>[2]Indicators!BE264</f>
        <v>95.857399999999998</v>
      </c>
    </row>
    <row r="383" spans="1:47" x14ac:dyDescent="0.25">
      <c r="A383" s="1">
        <v>29860</v>
      </c>
      <c r="B383" s="2">
        <f>[2]Indicators!G265</f>
        <v>1968.3410000000001</v>
      </c>
      <c r="C383" s="2">
        <f>[2]Indicators!H265</f>
        <v>237.256</v>
      </c>
      <c r="D383" s="2">
        <f>[2]Indicators!I265</f>
        <v>633.42399999999998</v>
      </c>
      <c r="E383" s="2">
        <f>[2]Indicators!J265</f>
        <v>1097.6610000000001</v>
      </c>
      <c r="L383" s="2">
        <f>[2]Indicators!N265</f>
        <v>9.418000000000001</v>
      </c>
      <c r="M383" s="2">
        <f>[2]Indicators!AB265</f>
        <v>50.826800000000006</v>
      </c>
      <c r="N383" s="2">
        <f>[8]m!$C385</f>
        <v>15.08</v>
      </c>
      <c r="O383">
        <f>[9]Unemployment!$B265</f>
        <v>7.9</v>
      </c>
      <c r="P383" s="2">
        <f>[2]Surveys_m!$B265</f>
        <v>75.600000000000009</v>
      </c>
      <c r="Q383">
        <f>[5]m!$B385</f>
        <v>93.4</v>
      </c>
      <c r="R383">
        <f>[5]m!$D385</f>
        <v>92.100000000000009</v>
      </c>
      <c r="S383">
        <f>[5]m!$Q385</f>
        <v>98.9</v>
      </c>
      <c r="T383">
        <f>[6]m!B385</f>
        <v>-18105</v>
      </c>
      <c r="U383" s="2">
        <f>[9]Unemployment!$F265</f>
        <v>13.5</v>
      </c>
      <c r="V383" s="2">
        <f>[9]Unemployment!$G265</f>
        <v>6.8000000000000007</v>
      </c>
      <c r="W383">
        <f>[9]Unemployment!$E265</f>
        <v>8646</v>
      </c>
      <c r="X383">
        <f>[9]Unemployment!N265</f>
        <v>3656</v>
      </c>
      <c r="Y383">
        <f>[9]Unemployment!O265</f>
        <v>2654</v>
      </c>
      <c r="Z383">
        <f>[9]Unemployment!P265-[9]Unemployment!Q265</f>
        <v>1169</v>
      </c>
      <c r="AA383">
        <f>[9]Unemployment!$Q265</f>
        <v>1134</v>
      </c>
      <c r="AB383" s="2">
        <f>[8]m!$B385</f>
        <v>13.05</v>
      </c>
      <c r="AC383" s="2">
        <f>[8]m!$F385</f>
        <v>15.15</v>
      </c>
      <c r="AD383">
        <f>[9]Employment!$B265</f>
        <v>91371</v>
      </c>
      <c r="AE383" s="2">
        <f>[2]Indicators!$AB265</f>
        <v>50.826800000000006</v>
      </c>
      <c r="AF383" s="2">
        <f>[8]m!$AS385</f>
        <v>370.5</v>
      </c>
      <c r="AG383" s="2">
        <f>[8]m!$H385</f>
        <v>15.4</v>
      </c>
      <c r="AH383" s="2">
        <f>[8]m!$I385</f>
        <v>17.11</v>
      </c>
      <c r="AI383" s="2">
        <f>[7]m!C384</f>
        <v>24496</v>
      </c>
      <c r="AJ383" s="2">
        <f>[7]m!D384</f>
        <v>25019</v>
      </c>
      <c r="AK383" s="2">
        <f>[2]Surveys_m!$AB265</f>
        <v>40</v>
      </c>
      <c r="AL383" s="4">
        <f t="shared" si="5"/>
        <v>3509.4874274661497</v>
      </c>
      <c r="AN383" s="2">
        <v>71</v>
      </c>
      <c r="AQ383" s="3">
        <f>[9]LaborForce!$B264*[9]LaborForce!$C264/100</f>
        <v>108976.14200000001</v>
      </c>
      <c r="AR383">
        <f>[9]Unemployment!$AC265</f>
        <v>491</v>
      </c>
      <c r="AS383">
        <f>[2]Indicators!BC265</f>
        <v>45.2</v>
      </c>
      <c r="AT383">
        <f>[2]Indicators!BD265</f>
        <v>50.114600000000003</v>
      </c>
      <c r="AU383">
        <f>[2]Indicators!BE265</f>
        <v>95.115500000000011</v>
      </c>
    </row>
    <row r="384" spans="1:47" x14ac:dyDescent="0.25">
      <c r="A384" s="1">
        <v>29891</v>
      </c>
      <c r="B384" s="2">
        <f>[2]Indicators!G266</f>
        <v>1974.4670000000001</v>
      </c>
      <c r="C384" s="2">
        <f>[2]Indicators!H266</f>
        <v>236.95400000000001</v>
      </c>
      <c r="D384" s="2">
        <f>[2]Indicators!I266</f>
        <v>633.68399999999997</v>
      </c>
      <c r="E384" s="2">
        <f>[2]Indicators!J266</f>
        <v>1103.829</v>
      </c>
      <c r="L384" s="2">
        <f>[2]Indicators!N266</f>
        <v>9.4939999999999998</v>
      </c>
      <c r="M384" s="2">
        <f>[2]Indicators!AB266</f>
        <v>50.270099999999999</v>
      </c>
      <c r="N384" s="2">
        <f>[8]m!$C386</f>
        <v>13.31</v>
      </c>
      <c r="O384">
        <f>[9]Unemployment!$B266</f>
        <v>8.3000000000000007</v>
      </c>
      <c r="P384" s="2">
        <f>[2]Surveys_m!$B266</f>
        <v>66.900000000000006</v>
      </c>
      <c r="Q384">
        <f>[5]m!$B386</f>
        <v>93.8</v>
      </c>
      <c r="R384">
        <f>[5]m!$D386</f>
        <v>92.5</v>
      </c>
      <c r="S384">
        <f>[5]m!$Q386</f>
        <v>98.800000000000011</v>
      </c>
      <c r="T384">
        <f>[6]m!B386</f>
        <v>-10642</v>
      </c>
      <c r="U384" s="2">
        <f>[9]Unemployment!$F266</f>
        <v>13.100000000000001</v>
      </c>
      <c r="V384" s="2">
        <f>[9]Unemployment!$G266</f>
        <v>6.9</v>
      </c>
      <c r="W384">
        <f>[9]Unemployment!$E266</f>
        <v>9029</v>
      </c>
      <c r="X384">
        <f>[9]Unemployment!N266</f>
        <v>3812</v>
      </c>
      <c r="Y384">
        <f>[9]Unemployment!O266</f>
        <v>2810</v>
      </c>
      <c r="Z384">
        <f>[9]Unemployment!P266-[9]Unemployment!Q266</f>
        <v>1202</v>
      </c>
      <c r="AA384">
        <f>[9]Unemployment!$Q266</f>
        <v>1143</v>
      </c>
      <c r="AB384" s="2">
        <f>[8]m!$B386</f>
        <v>10.200000000000001</v>
      </c>
      <c r="AC384" s="2">
        <f>[8]m!$F386</f>
        <v>13.39</v>
      </c>
      <c r="AD384">
        <f>[9]Employment!$B266</f>
        <v>91162</v>
      </c>
      <c r="AE384" s="2">
        <f>[2]Indicators!$AB266</f>
        <v>50.270099999999999</v>
      </c>
      <c r="AF384" s="2">
        <f>[8]m!$AS386</f>
        <v>371.8</v>
      </c>
      <c r="AG384" s="2">
        <f>[8]m!$H386</f>
        <v>14.22</v>
      </c>
      <c r="AH384" s="2">
        <f>[8]m!$I386</f>
        <v>16.39</v>
      </c>
      <c r="AI384" s="2">
        <f>[7]m!C385</f>
        <v>23978</v>
      </c>
      <c r="AJ384" s="2">
        <f>[7]m!D385</f>
        <v>26897</v>
      </c>
      <c r="AK384" s="2">
        <f>[2]Surveys_m!$AB266</f>
        <v>36.1</v>
      </c>
      <c r="AL384" s="4">
        <f t="shared" si="5"/>
        <v>3460.0580270793025</v>
      </c>
      <c r="AN384" s="2">
        <v>70</v>
      </c>
      <c r="AQ384" s="3">
        <f>[9]LaborForce!$B265*[9]LaborForce!$C265/100</f>
        <v>109266.444</v>
      </c>
      <c r="AR384">
        <f>[9]Unemployment!$AC266</f>
        <v>514</v>
      </c>
      <c r="AS384">
        <f>[2]Indicators!BC266</f>
        <v>45</v>
      </c>
      <c r="AT384">
        <f>[2]Indicators!BD266</f>
        <v>49.773800000000001</v>
      </c>
      <c r="AU384">
        <f>[2]Indicators!BE266</f>
        <v>94.416499999999999</v>
      </c>
    </row>
    <row r="385" spans="1:47" x14ac:dyDescent="0.25">
      <c r="A385" s="1">
        <v>29921</v>
      </c>
      <c r="B385" s="2">
        <f>[2]Indicators!G267</f>
        <v>1991.865</v>
      </c>
      <c r="C385" s="2">
        <f>[2]Indicators!H267</f>
        <v>236.32300000000001</v>
      </c>
      <c r="D385" s="2">
        <f>[2]Indicators!I267</f>
        <v>639.99800000000005</v>
      </c>
      <c r="E385" s="2">
        <f>[2]Indicators!J267</f>
        <v>1115.5450000000001</v>
      </c>
      <c r="L385" s="2">
        <f>[2]Indicators!N267</f>
        <v>9.0549999999999997</v>
      </c>
      <c r="M385" s="2">
        <f>[2]Indicators!AB267</f>
        <v>49.7121</v>
      </c>
      <c r="N385" s="2">
        <f>[8]m!$C387</f>
        <v>12.370000000000001</v>
      </c>
      <c r="O385">
        <f>[9]Unemployment!$B267</f>
        <v>8.5</v>
      </c>
      <c r="P385" s="2">
        <f>[2]Surveys_m!$B267</f>
        <v>66.600000000000009</v>
      </c>
      <c r="Q385">
        <f>[5]m!$B387</f>
        <v>94.100000000000009</v>
      </c>
      <c r="R385">
        <f>[5]m!$D387</f>
        <v>93</v>
      </c>
      <c r="S385">
        <f>[5]m!$Q387</f>
        <v>98.800000000000011</v>
      </c>
      <c r="T385">
        <f>[6]m!B387</f>
        <v>-19468</v>
      </c>
      <c r="U385" s="2">
        <f>[9]Unemployment!$F267</f>
        <v>13.100000000000001</v>
      </c>
      <c r="V385" s="2">
        <f>[9]Unemployment!$G267</f>
        <v>6.9</v>
      </c>
      <c r="W385">
        <f>[9]Unemployment!$E267</f>
        <v>9267</v>
      </c>
      <c r="X385">
        <f>[9]Unemployment!N267</f>
        <v>3949</v>
      </c>
      <c r="Y385">
        <f>[9]Unemployment!O267</f>
        <v>2989</v>
      </c>
      <c r="Z385">
        <f>[9]Unemployment!P267-[9]Unemployment!Q267</f>
        <v>1203</v>
      </c>
      <c r="AA385">
        <f>[9]Unemployment!$Q267</f>
        <v>1171</v>
      </c>
      <c r="AB385" s="2">
        <f>[8]m!$B387</f>
        <v>11.64</v>
      </c>
      <c r="AC385" s="2">
        <f>[8]m!$F387</f>
        <v>13.72</v>
      </c>
      <c r="AD385">
        <f>[9]Employment!$B267</f>
        <v>90884</v>
      </c>
      <c r="AE385" s="2">
        <f>[2]Indicators!$AB267</f>
        <v>49.7121</v>
      </c>
      <c r="AF385" s="2">
        <f>[8]m!$AS387</f>
        <v>371.3</v>
      </c>
      <c r="AG385" s="2">
        <f>[8]m!$H387</f>
        <v>14.23</v>
      </c>
      <c r="AH385" s="2">
        <f>[8]m!$I387</f>
        <v>16.55</v>
      </c>
      <c r="AI385" s="2">
        <f>[7]m!C386</f>
        <v>23968</v>
      </c>
      <c r="AJ385" s="2">
        <f>[7]m!D386</f>
        <v>26328</v>
      </c>
      <c r="AK385" s="2">
        <f>[2]Surveys_m!$AB267</f>
        <v>37.800000000000004</v>
      </c>
      <c r="AL385" s="4">
        <f t="shared" si="5"/>
        <v>3311.7698259187609</v>
      </c>
      <c r="AN385" s="2">
        <v>67</v>
      </c>
      <c r="AQ385" s="3">
        <f>[9]LaborForce!$B266*[9]LaborForce!$C266/100</f>
        <v>108861.576</v>
      </c>
      <c r="AR385">
        <f>[9]Unemployment!$AC267</f>
        <v>552</v>
      </c>
      <c r="AS385">
        <f>[2]Indicators!BC267</f>
        <v>45.1</v>
      </c>
      <c r="AT385">
        <f>[2]Indicators!BD267</f>
        <v>49.483800000000002</v>
      </c>
      <c r="AU385">
        <f>[2]Indicators!BE267</f>
        <v>93.812200000000004</v>
      </c>
    </row>
    <row r="386" spans="1:47" x14ac:dyDescent="0.25">
      <c r="A386" s="1">
        <v>29952</v>
      </c>
      <c r="B386" s="2">
        <f>[2]Indicators!G268</f>
        <v>1999.278</v>
      </c>
      <c r="C386" s="2">
        <f>[2]Indicators!H268</f>
        <v>241.00200000000001</v>
      </c>
      <c r="D386" s="2">
        <f>[2]Indicators!I268</f>
        <v>637.255</v>
      </c>
      <c r="E386" s="2">
        <f>[2]Indicators!J268</f>
        <v>1121.021</v>
      </c>
      <c r="L386" s="2">
        <f>[2]Indicators!N268</f>
        <v>10.285</v>
      </c>
      <c r="M386" s="2">
        <f>[2]Indicators!AB268</f>
        <v>48.727499999999999</v>
      </c>
      <c r="N386" s="2">
        <f>[8]m!$C388</f>
        <v>13.22</v>
      </c>
      <c r="O386">
        <f>[9]Unemployment!$B268</f>
        <v>8.6</v>
      </c>
      <c r="P386" s="2">
        <f>[2]Surveys_m!$B268</f>
        <v>64.900000000000006</v>
      </c>
      <c r="Q386">
        <f>[5]m!$B388</f>
        <v>94.4</v>
      </c>
      <c r="R386">
        <f>[5]m!$D388</f>
        <v>93.3</v>
      </c>
      <c r="S386">
        <f>[5]m!$Q388</f>
        <v>99.7</v>
      </c>
      <c r="T386">
        <f>[6]m!B388</f>
        <v>9339</v>
      </c>
      <c r="U386" s="2">
        <f>[9]Unemployment!$F268</f>
        <v>13.4</v>
      </c>
      <c r="V386" s="2">
        <f>[9]Unemployment!$G268</f>
        <v>7.1000000000000005</v>
      </c>
      <c r="W386">
        <f>[9]Unemployment!$E268</f>
        <v>9397</v>
      </c>
      <c r="X386">
        <f>[9]Unemployment!N268</f>
        <v>3924</v>
      </c>
      <c r="Y386">
        <f>[9]Unemployment!O268</f>
        <v>3074</v>
      </c>
      <c r="Z386">
        <f>[9]Unemployment!P268-[9]Unemployment!Q268</f>
        <v>1223</v>
      </c>
      <c r="AA386">
        <f>[9]Unemployment!$Q268</f>
        <v>1186</v>
      </c>
      <c r="AB386" s="2">
        <f>[8]m!$B388</f>
        <v>12.77</v>
      </c>
      <c r="AC386" s="2">
        <f>[8]m!$F388</f>
        <v>14.59</v>
      </c>
      <c r="AD386">
        <f>[9]Employment!$B268</f>
        <v>90557</v>
      </c>
      <c r="AE386" s="2">
        <f>[2]Indicators!$AB268</f>
        <v>48.727499999999999</v>
      </c>
      <c r="AF386" s="2">
        <f>[8]m!$AS388</f>
        <v>375.20000000000005</v>
      </c>
      <c r="AG386" s="2">
        <f>[8]m!$H388</f>
        <v>15.18</v>
      </c>
      <c r="AH386" s="2">
        <f>[8]m!$I388</f>
        <v>17.100000000000001</v>
      </c>
      <c r="AI386" s="2">
        <f>[7]m!C387</f>
        <v>23700</v>
      </c>
      <c r="AJ386" s="2">
        <f>[7]m!D387</f>
        <v>23566</v>
      </c>
      <c r="AK386" s="2">
        <f>[2]Surveys_m!$AB268</f>
        <v>38.200000000000003</v>
      </c>
      <c r="AL386" s="4">
        <f t="shared" si="5"/>
        <v>3311.7698259187609</v>
      </c>
      <c r="AN386" s="2">
        <v>67</v>
      </c>
      <c r="AQ386" s="3">
        <f>[9]LaborForce!$B267*[9]LaborForce!$C267/100</f>
        <v>109140.395</v>
      </c>
      <c r="AR386">
        <f>[9]Unemployment!$AC268</f>
        <v>495</v>
      </c>
      <c r="AS386">
        <f>[2]Indicators!BC268</f>
        <v>44.800000000000004</v>
      </c>
      <c r="AT386">
        <f>[2]Indicators!BD268</f>
        <v>49.226200000000006</v>
      </c>
      <c r="AU386">
        <f>[2]Indicators!BE268</f>
        <v>93.266900000000007</v>
      </c>
    </row>
    <row r="387" spans="1:47" x14ac:dyDescent="0.25">
      <c r="A387" s="1">
        <v>29983</v>
      </c>
      <c r="B387" s="2">
        <f>[2]Indicators!G269</f>
        <v>2023.133</v>
      </c>
      <c r="C387" s="2">
        <f>[2]Indicators!H269</f>
        <v>249.303</v>
      </c>
      <c r="D387" s="2">
        <f>[2]Indicators!I269</f>
        <v>643.40300000000002</v>
      </c>
      <c r="E387" s="2">
        <f>[2]Indicators!J269</f>
        <v>1130.4270000000001</v>
      </c>
      <c r="L387" s="2">
        <f>[2]Indicators!N269</f>
        <v>10.923999999999999</v>
      </c>
      <c r="M387" s="2">
        <f>[2]Indicators!AB269</f>
        <v>49.678699999999999</v>
      </c>
      <c r="N387" s="2">
        <f>[8]m!$C389</f>
        <v>14.780000000000001</v>
      </c>
      <c r="O387">
        <f>[9]Unemployment!$B269</f>
        <v>8.9</v>
      </c>
      <c r="P387" s="2">
        <f>[2]Surveys_m!$B269</f>
        <v>62.300000000000004</v>
      </c>
      <c r="Q387">
        <f>[5]m!$B389</f>
        <v>94.7</v>
      </c>
      <c r="R387">
        <f>[5]m!$D389</f>
        <v>93.8</v>
      </c>
      <c r="S387">
        <f>[5]m!$Q389</f>
        <v>99.800000000000011</v>
      </c>
      <c r="T387">
        <f>[6]m!B389</f>
        <v>-14780</v>
      </c>
      <c r="U387" s="2">
        <f>[9]Unemployment!$F269</f>
        <v>14.100000000000001</v>
      </c>
      <c r="V387" s="2">
        <f>[9]Unemployment!$G269</f>
        <v>7.5</v>
      </c>
      <c r="W387">
        <f>[9]Unemployment!$E269</f>
        <v>9705</v>
      </c>
      <c r="X387">
        <f>[9]Unemployment!N269</f>
        <v>3808</v>
      </c>
      <c r="Y387">
        <f>[9]Unemployment!O269</f>
        <v>3122</v>
      </c>
      <c r="Z387">
        <f>[9]Unemployment!P269-[9]Unemployment!Q269</f>
        <v>1479</v>
      </c>
      <c r="AA387">
        <f>[9]Unemployment!$Q269</f>
        <v>1279</v>
      </c>
      <c r="AB387" s="2">
        <f>[8]m!$B389</f>
        <v>12.16</v>
      </c>
      <c r="AC387" s="2">
        <f>[8]m!$F389</f>
        <v>14.43</v>
      </c>
      <c r="AD387">
        <f>[9]Employment!$B269</f>
        <v>90551</v>
      </c>
      <c r="AE387" s="2">
        <f>[2]Indicators!$AB269</f>
        <v>49.678699999999999</v>
      </c>
      <c r="AF387" s="2">
        <f>[8]m!$AS389</f>
        <v>376.40000000000003</v>
      </c>
      <c r="AG387" s="2">
        <f>[8]m!$H389</f>
        <v>15.27</v>
      </c>
      <c r="AH387" s="2">
        <f>[8]m!$I389</f>
        <v>17.18</v>
      </c>
      <c r="AI387" s="2">
        <f>[7]m!C388</f>
        <v>23928</v>
      </c>
      <c r="AJ387" s="2">
        <f>[7]m!D388</f>
        <v>26823</v>
      </c>
      <c r="AK387" s="2">
        <f>[2]Surveys_m!$AB269</f>
        <v>38.300000000000004</v>
      </c>
      <c r="AL387" s="4">
        <f t="shared" si="5"/>
        <v>3163.4816247582194</v>
      </c>
      <c r="AN387" s="2">
        <v>64</v>
      </c>
      <c r="AQ387" s="3">
        <f>[9]LaborForce!$B268*[9]LaborForce!$C268/100</f>
        <v>109409.98200000002</v>
      </c>
      <c r="AR387">
        <f>[9]Unemployment!$AC269</f>
        <v>583</v>
      </c>
      <c r="AS387">
        <f>[2]Indicators!BC269</f>
        <v>45.2</v>
      </c>
      <c r="AT387">
        <f>[2]Indicators!BD269</f>
        <v>48.982500000000002</v>
      </c>
      <c r="AU387">
        <f>[2]Indicators!BE269</f>
        <v>92.745200000000011</v>
      </c>
    </row>
    <row r="388" spans="1:47" x14ac:dyDescent="0.25">
      <c r="A388" s="1">
        <v>30011</v>
      </c>
      <c r="B388" s="2">
        <f>[2]Indicators!G270</f>
        <v>2026.1020000000001</v>
      </c>
      <c r="C388" s="2">
        <f>[2]Indicators!H270</f>
        <v>249.012</v>
      </c>
      <c r="D388" s="2">
        <f>[2]Indicators!I270</f>
        <v>638.90200000000004</v>
      </c>
      <c r="E388" s="2">
        <f>[2]Indicators!J270</f>
        <v>1138.1880000000001</v>
      </c>
      <c r="L388" s="2">
        <f>[2]Indicators!N270</f>
        <v>10.651</v>
      </c>
      <c r="M388" s="2">
        <f>[2]Indicators!AB270</f>
        <v>49.311800000000005</v>
      </c>
      <c r="N388" s="2">
        <f>[8]m!$C390</f>
        <v>14.68</v>
      </c>
      <c r="O388">
        <f>[9]Unemployment!$B270</f>
        <v>9</v>
      </c>
      <c r="P388" s="2">
        <f>[2]Surveys_m!$B270</f>
        <v>56.7</v>
      </c>
      <c r="Q388">
        <f>[5]m!$B390</f>
        <v>94.7</v>
      </c>
      <c r="R388">
        <f>[5]m!$D390</f>
        <v>93.9</v>
      </c>
      <c r="S388">
        <f>[5]m!$Q390</f>
        <v>99.600000000000009</v>
      </c>
      <c r="T388">
        <f>[6]m!B390</f>
        <v>-18255</v>
      </c>
      <c r="U388" s="2">
        <f>[9]Unemployment!$F270</f>
        <v>14.100000000000001</v>
      </c>
      <c r="V388" s="2">
        <f>[9]Unemployment!$G270</f>
        <v>7.7</v>
      </c>
      <c r="W388">
        <f>[9]Unemployment!$E270</f>
        <v>9895</v>
      </c>
      <c r="X388">
        <f>[9]Unemployment!N270</f>
        <v>3896</v>
      </c>
      <c r="Y388">
        <f>[9]Unemployment!O270</f>
        <v>3107</v>
      </c>
      <c r="Z388">
        <f>[9]Unemployment!P270-[9]Unemployment!Q270</f>
        <v>1607</v>
      </c>
      <c r="AA388">
        <f>[9]Unemployment!$Q270</f>
        <v>1358</v>
      </c>
      <c r="AB388" s="2">
        <f>[8]m!$B390</f>
        <v>13.44</v>
      </c>
      <c r="AC388" s="2">
        <f>[8]m!$F390</f>
        <v>13.86</v>
      </c>
      <c r="AD388">
        <f>[9]Employment!$B270</f>
        <v>90422</v>
      </c>
      <c r="AE388" s="2">
        <f>[2]Indicators!$AB270</f>
        <v>49.311800000000005</v>
      </c>
      <c r="AF388" s="2">
        <f>[8]m!$AS390</f>
        <v>376.90000000000003</v>
      </c>
      <c r="AG388" s="2">
        <f>[8]m!$H390</f>
        <v>14.58</v>
      </c>
      <c r="AH388" s="2">
        <f>[8]m!$I390</f>
        <v>16.82</v>
      </c>
      <c r="AI388" s="2">
        <f>[7]m!C389</f>
        <v>23958</v>
      </c>
      <c r="AJ388" s="2">
        <f>[7]m!D389</f>
        <v>23820</v>
      </c>
      <c r="AK388" s="2">
        <f>[2]Surveys_m!$AB270</f>
        <v>36.800000000000004</v>
      </c>
      <c r="AL388" s="4">
        <f t="shared" si="5"/>
        <v>3064.622823984525</v>
      </c>
      <c r="AN388" s="2">
        <v>62</v>
      </c>
      <c r="AQ388" s="3">
        <f>[9]LaborForce!$B269*[9]LaborForce!$C269/100</f>
        <v>109523.54600000002</v>
      </c>
      <c r="AR388">
        <f>[9]Unemployment!$AC270</f>
        <v>528</v>
      </c>
      <c r="AS388">
        <f>[2]Indicators!BC270</f>
        <v>45</v>
      </c>
      <c r="AT388">
        <f>[2]Indicators!BD270</f>
        <v>48.781500000000001</v>
      </c>
      <c r="AU388">
        <f>[2]Indicators!BE270</f>
        <v>92.300899999999999</v>
      </c>
    </row>
    <row r="389" spans="1:47" x14ac:dyDescent="0.25">
      <c r="A389" s="1">
        <v>30042</v>
      </c>
      <c r="B389" s="2">
        <f>[2]Indicators!G271</f>
        <v>2028.7820000000002</v>
      </c>
      <c r="C389" s="2">
        <f>[2]Indicators!H271</f>
        <v>244.85400000000001</v>
      </c>
      <c r="D389" s="2">
        <f>[2]Indicators!I271</f>
        <v>637.50400000000002</v>
      </c>
      <c r="E389" s="2">
        <f>[2]Indicators!J271</f>
        <v>1146.423</v>
      </c>
      <c r="L389" s="2">
        <f>[2]Indicators!N271</f>
        <v>9.7469999999999999</v>
      </c>
      <c r="M389" s="2">
        <f>[2]Indicators!AB271</f>
        <v>48.886099999999999</v>
      </c>
      <c r="N389" s="2">
        <f>[8]m!$C391</f>
        <v>14.94</v>
      </c>
      <c r="O389">
        <f>[9]Unemployment!$B271</f>
        <v>9.3000000000000007</v>
      </c>
      <c r="P389" s="2">
        <f>[2]Surveys_m!$B271</f>
        <v>57</v>
      </c>
      <c r="Q389">
        <f>[5]m!$B391</f>
        <v>95</v>
      </c>
      <c r="R389">
        <f>[5]m!$D391</f>
        <v>94.7</v>
      </c>
      <c r="S389">
        <f>[5]m!$Q391</f>
        <v>99.600000000000009</v>
      </c>
      <c r="T389">
        <f>[6]m!B391</f>
        <v>9704</v>
      </c>
      <c r="U389" s="2">
        <f>[9]Unemployment!$F271</f>
        <v>14.5</v>
      </c>
      <c r="V389" s="2">
        <f>[9]Unemployment!$G271</f>
        <v>8.1</v>
      </c>
      <c r="W389">
        <f>[9]Unemployment!$E271</f>
        <v>10244</v>
      </c>
      <c r="X389">
        <f>[9]Unemployment!N271</f>
        <v>3951</v>
      </c>
      <c r="Y389">
        <f>[9]Unemployment!O271</f>
        <v>3227</v>
      </c>
      <c r="Z389">
        <f>[9]Unemployment!P271-[9]Unemployment!Q271</f>
        <v>1585</v>
      </c>
      <c r="AA389">
        <f>[9]Unemployment!$Q271</f>
        <v>1501</v>
      </c>
      <c r="AB389" s="2">
        <f>[8]m!$B391</f>
        <v>12.36</v>
      </c>
      <c r="AC389" s="2">
        <f>[8]m!$F391</f>
        <v>13.870000000000001</v>
      </c>
      <c r="AD389">
        <f>[9]Employment!$B271</f>
        <v>90141</v>
      </c>
      <c r="AE389" s="2">
        <f>[2]Indicators!$AB271</f>
        <v>48.886099999999999</v>
      </c>
      <c r="AF389" s="2">
        <f>[8]m!$AS391</f>
        <v>378.6</v>
      </c>
      <c r="AG389" s="2">
        <f>[8]m!$H391</f>
        <v>14.46</v>
      </c>
      <c r="AH389" s="2">
        <f>[8]m!$I391</f>
        <v>16.78</v>
      </c>
      <c r="AI389" s="2">
        <f>[7]m!C390</f>
        <v>23806</v>
      </c>
      <c r="AJ389" s="2">
        <f>[7]m!D390</f>
        <v>24268</v>
      </c>
      <c r="AK389" s="2">
        <f>[2]Surveys_m!$AB271</f>
        <v>37.800000000000004</v>
      </c>
      <c r="AL389" s="4">
        <f t="shared" si="5"/>
        <v>2965.7640232108306</v>
      </c>
      <c r="AN389" s="2">
        <v>60</v>
      </c>
      <c r="AQ389" s="3">
        <f>[9]LaborForce!$B270*[9]LaborForce!$C270/100</f>
        <v>109808.31600000002</v>
      </c>
      <c r="AR389">
        <f>[9]Unemployment!$AC271</f>
        <v>574</v>
      </c>
      <c r="AS389">
        <f>[2]Indicators!BC271</f>
        <v>45.300000000000004</v>
      </c>
      <c r="AT389">
        <f>[2]Indicators!BD271</f>
        <v>48.666900000000005</v>
      </c>
      <c r="AU389">
        <f>[2]Indicators!BE271</f>
        <v>92.015799999999999</v>
      </c>
    </row>
    <row r="390" spans="1:47" x14ac:dyDescent="0.25">
      <c r="A390" s="1">
        <v>30072</v>
      </c>
      <c r="B390" s="2">
        <f>[2]Indicators!G272</f>
        <v>2047.51</v>
      </c>
      <c r="C390" s="2">
        <f>[2]Indicators!H272</f>
        <v>256.79700000000003</v>
      </c>
      <c r="D390" s="2">
        <f>[2]Indicators!I272</f>
        <v>638.61099999999999</v>
      </c>
      <c r="E390" s="2">
        <f>[2]Indicators!J272</f>
        <v>1152.1020000000001</v>
      </c>
      <c r="L390" s="2">
        <f>[2]Indicators!N272</f>
        <v>11.103</v>
      </c>
      <c r="M390" s="2">
        <f>[2]Indicators!AB272</f>
        <v>48.580100000000002</v>
      </c>
      <c r="N390" s="2">
        <f>[8]m!$C392</f>
        <v>14.450000000000001</v>
      </c>
      <c r="O390">
        <f>[9]Unemployment!$B272</f>
        <v>9.4</v>
      </c>
      <c r="P390" s="2">
        <f>[2]Surveys_m!$B272</f>
        <v>61.400000000000006</v>
      </c>
      <c r="Q390">
        <f>[5]m!$B392</f>
        <v>95.9</v>
      </c>
      <c r="R390">
        <f>[5]m!$D392</f>
        <v>95.4</v>
      </c>
      <c r="S390">
        <f>[5]m!$Q392</f>
        <v>99.800000000000011</v>
      </c>
      <c r="T390">
        <f>[6]m!B392</f>
        <v>-18930</v>
      </c>
      <c r="U390" s="2">
        <f>[9]Unemployment!$F272</f>
        <v>14.9</v>
      </c>
      <c r="V390" s="2">
        <f>[9]Unemployment!$G272</f>
        <v>8.5</v>
      </c>
      <c r="W390">
        <f>[9]Unemployment!$E272</f>
        <v>10335</v>
      </c>
      <c r="X390">
        <f>[9]Unemployment!N272</f>
        <v>3885</v>
      </c>
      <c r="Y390">
        <f>[9]Unemployment!O272</f>
        <v>3295</v>
      </c>
      <c r="Z390">
        <f>[9]Unemployment!P272-[9]Unemployment!Q272</f>
        <v>1659</v>
      </c>
      <c r="AA390">
        <f>[9]Unemployment!$Q272</f>
        <v>1617</v>
      </c>
      <c r="AB390" s="2">
        <f>[8]m!$B392</f>
        <v>11.540000000000001</v>
      </c>
      <c r="AC390" s="2">
        <f>[8]m!$F392</f>
        <v>13.620000000000001</v>
      </c>
      <c r="AD390">
        <f>[9]Employment!$B272</f>
        <v>90096</v>
      </c>
      <c r="AE390" s="2">
        <f>[2]Indicators!$AB272</f>
        <v>48.580100000000002</v>
      </c>
      <c r="AF390" s="2">
        <f>[8]m!$AS392</f>
        <v>380.40000000000003</v>
      </c>
      <c r="AG390" s="2">
        <f>[8]m!$H392</f>
        <v>14.26</v>
      </c>
      <c r="AH390" s="2">
        <f>[8]m!$I392</f>
        <v>16.64</v>
      </c>
      <c r="AI390" s="2">
        <f>[7]m!C391</f>
        <v>23401</v>
      </c>
      <c r="AJ390" s="2">
        <f>[7]m!D391</f>
        <v>22079</v>
      </c>
      <c r="AK390" s="2">
        <f>[2]Surveys_m!$AB272</f>
        <v>35.5</v>
      </c>
      <c r="AL390" s="4">
        <f t="shared" si="5"/>
        <v>2916.3346228239834</v>
      </c>
      <c r="AN390" s="2">
        <v>59</v>
      </c>
      <c r="AQ390" s="3">
        <f>[9]LaborForce!$B271*[9]LaborForce!$C271/100</f>
        <v>110440.69200000001</v>
      </c>
      <c r="AR390">
        <f>[9]Unemployment!$AC272</f>
        <v>576</v>
      </c>
      <c r="AS390">
        <f>[2]Indicators!BC272</f>
        <v>45.300000000000004</v>
      </c>
      <c r="AT390">
        <f>[2]Indicators!BD272</f>
        <v>48.654299999999999</v>
      </c>
      <c r="AU390">
        <f>[2]Indicators!BE272</f>
        <v>91.918400000000005</v>
      </c>
    </row>
    <row r="391" spans="1:47" x14ac:dyDescent="0.25">
      <c r="A391" s="1">
        <v>30103</v>
      </c>
      <c r="B391" s="2">
        <f>[2]Indicators!G273</f>
        <v>2051.7400000000002</v>
      </c>
      <c r="C391" s="2">
        <f>[2]Indicators!H273</f>
        <v>246.02799999999999</v>
      </c>
      <c r="D391" s="2">
        <f>[2]Indicators!I273</f>
        <v>640.048</v>
      </c>
      <c r="E391" s="2">
        <f>[2]Indicators!J273</f>
        <v>1165.664</v>
      </c>
      <c r="L391" s="2">
        <f>[2]Indicators!N273</f>
        <v>9.6129999999999995</v>
      </c>
      <c r="M391" s="2">
        <f>[2]Indicators!AB273</f>
        <v>48.418800000000005</v>
      </c>
      <c r="N391" s="2">
        <f>[8]m!$C393</f>
        <v>14.15</v>
      </c>
      <c r="O391">
        <f>[9]Unemployment!$B273</f>
        <v>9.6000000000000014</v>
      </c>
      <c r="P391" s="2">
        <f>[2]Surveys_m!$B273</f>
        <v>56.7</v>
      </c>
      <c r="Q391">
        <f>[5]m!$B393</f>
        <v>97</v>
      </c>
      <c r="R391">
        <f>[5]m!$D393</f>
        <v>96.100000000000009</v>
      </c>
      <c r="S391">
        <f>[5]m!$Q393</f>
        <v>100</v>
      </c>
      <c r="T391">
        <f>[6]m!B393</f>
        <v>6724</v>
      </c>
      <c r="U391" s="2">
        <f>[9]Unemployment!$F273</f>
        <v>15.700000000000001</v>
      </c>
      <c r="V391" s="2">
        <f>[9]Unemployment!$G273</f>
        <v>9.5</v>
      </c>
      <c r="W391">
        <f>[9]Unemployment!$E273</f>
        <v>10538</v>
      </c>
      <c r="X391">
        <f>[9]Unemployment!N273</f>
        <v>3606</v>
      </c>
      <c r="Y391">
        <f>[9]Unemployment!O273</f>
        <v>3413</v>
      </c>
      <c r="Z391">
        <f>[9]Unemployment!P273-[9]Unemployment!Q273</f>
        <v>1667</v>
      </c>
      <c r="AA391">
        <f>[9]Unemployment!$Q273</f>
        <v>1784</v>
      </c>
      <c r="AB391" s="2">
        <f>[8]m!$B393</f>
        <v>12.75</v>
      </c>
      <c r="AC391" s="2">
        <f>[8]m!$F393</f>
        <v>14.3</v>
      </c>
      <c r="AD391">
        <f>[9]Employment!$B273</f>
        <v>89853</v>
      </c>
      <c r="AE391" s="2">
        <f>[2]Indicators!$AB273</f>
        <v>48.418800000000005</v>
      </c>
      <c r="AF391" s="2">
        <f>[8]m!$AS393</f>
        <v>382</v>
      </c>
      <c r="AG391" s="2">
        <f>[8]m!$H393</f>
        <v>14.81</v>
      </c>
      <c r="AH391" s="2">
        <f>[8]m!$I393</f>
        <v>16.920000000000002</v>
      </c>
      <c r="AI391" s="2">
        <f>[7]m!C392</f>
        <v>23520</v>
      </c>
      <c r="AJ391" s="2">
        <f>[7]m!D392</f>
        <v>24842</v>
      </c>
      <c r="AK391" s="2">
        <f>[2]Surveys_m!$AB273</f>
        <v>38.300000000000004</v>
      </c>
      <c r="AL391" s="4">
        <f t="shared" si="5"/>
        <v>2768.0464216634418</v>
      </c>
      <c r="AN391" s="2">
        <v>56</v>
      </c>
      <c r="AQ391" s="3">
        <f>[9]LaborForce!$B272*[9]LaborForce!$C272/100</f>
        <v>110029.41000000002</v>
      </c>
      <c r="AR391">
        <f>[9]Unemployment!$AC273</f>
        <v>588</v>
      </c>
      <c r="AS391">
        <f>[2]Indicators!BC273</f>
        <v>45.1</v>
      </c>
      <c r="AT391">
        <f>[2]Indicators!BD273</f>
        <v>48.747600000000006</v>
      </c>
      <c r="AU391">
        <f>[2]Indicators!BE273</f>
        <v>92.015300000000011</v>
      </c>
    </row>
    <row r="392" spans="1:47" x14ac:dyDescent="0.25">
      <c r="A392" s="1">
        <v>30133</v>
      </c>
      <c r="B392" s="2">
        <f>[2]Indicators!G274</f>
        <v>2076.585</v>
      </c>
      <c r="C392" s="2">
        <f>[2]Indicators!H274</f>
        <v>247.762</v>
      </c>
      <c r="D392" s="2">
        <f>[2]Indicators!I274</f>
        <v>652.55700000000002</v>
      </c>
      <c r="E392" s="2">
        <f>[2]Indicators!J274</f>
        <v>1176.2660000000001</v>
      </c>
      <c r="L392" s="2">
        <f>[2]Indicators!N274</f>
        <v>9.7590000000000003</v>
      </c>
      <c r="M392" s="2">
        <f>[2]Indicators!AB274</f>
        <v>48.257200000000005</v>
      </c>
      <c r="N392" s="2">
        <f>[8]m!$C394</f>
        <v>12.59</v>
      </c>
      <c r="O392">
        <f>[9]Unemployment!$B274</f>
        <v>9.8000000000000007</v>
      </c>
      <c r="P392" s="2">
        <f>[2]Surveys_m!$B274</f>
        <v>63.2</v>
      </c>
      <c r="Q392">
        <f>[5]m!$B394</f>
        <v>97.5</v>
      </c>
      <c r="R392">
        <f>[5]m!$D394</f>
        <v>96.7</v>
      </c>
      <c r="S392">
        <f>[5]m!$Q394</f>
        <v>100.4</v>
      </c>
      <c r="T392">
        <f>[6]m!B394</f>
        <v>-19831</v>
      </c>
      <c r="U392" s="2">
        <f>[9]Unemployment!$F274</f>
        <v>15.4</v>
      </c>
      <c r="V392" s="2">
        <f>[9]Unemployment!$G274</f>
        <v>8.5</v>
      </c>
      <c r="W392">
        <f>[9]Unemployment!$E274</f>
        <v>10849</v>
      </c>
      <c r="X392">
        <f>[9]Unemployment!N274</f>
        <v>3929</v>
      </c>
      <c r="Y392">
        <f>[9]Unemployment!O274</f>
        <v>3300</v>
      </c>
      <c r="Z392">
        <f>[9]Unemployment!P274-[9]Unemployment!Q274</f>
        <v>1739</v>
      </c>
      <c r="AA392">
        <f>[9]Unemployment!$Q274</f>
        <v>1816</v>
      </c>
      <c r="AB392" s="2">
        <f>[8]m!$B394</f>
        <v>10.25</v>
      </c>
      <c r="AC392" s="2">
        <f>[8]m!$F394</f>
        <v>13.950000000000001</v>
      </c>
      <c r="AD392">
        <f>[9]Employment!$B274</f>
        <v>89510</v>
      </c>
      <c r="AE392" s="2">
        <f>[2]Indicators!$AB274</f>
        <v>48.257200000000005</v>
      </c>
      <c r="AF392" s="2">
        <f>[8]m!$AS394</f>
        <v>382.40000000000003</v>
      </c>
      <c r="AG392" s="2">
        <f>[8]m!$H394</f>
        <v>14.61</v>
      </c>
      <c r="AH392" s="2">
        <f>[8]m!$I394</f>
        <v>16.8</v>
      </c>
      <c r="AI392" s="2">
        <f>[7]m!C393</f>
        <v>24219</v>
      </c>
      <c r="AJ392" s="2">
        <f>[7]m!D393</f>
        <v>25552</v>
      </c>
      <c r="AK392" s="2">
        <f>[2]Surveys_m!$AB274</f>
        <v>38.400000000000006</v>
      </c>
      <c r="AL392" s="4">
        <f t="shared" si="5"/>
        <v>2619.7582205029003</v>
      </c>
      <c r="AN392" s="2">
        <v>53</v>
      </c>
      <c r="AQ392" s="3">
        <f>[9]LaborForce!$B273*[9]LaborForce!$C273/100</f>
        <v>110312.96000000001</v>
      </c>
      <c r="AR392">
        <f>[9]Unemployment!$AC274</f>
        <v>582</v>
      </c>
      <c r="AS392">
        <f>[2]Indicators!BC274</f>
        <v>45.300000000000004</v>
      </c>
      <c r="AT392">
        <f>[2]Indicators!BD274</f>
        <v>48.944700000000005</v>
      </c>
      <c r="AU392">
        <f>[2]Indicators!BE274</f>
        <v>92.301900000000003</v>
      </c>
    </row>
    <row r="393" spans="1:47" x14ac:dyDescent="0.25">
      <c r="A393" s="1">
        <v>30164</v>
      </c>
      <c r="B393" s="2">
        <f>[2]Indicators!G275</f>
        <v>2085.21</v>
      </c>
      <c r="C393" s="2">
        <f>[2]Indicators!H275</f>
        <v>248.589</v>
      </c>
      <c r="D393" s="2">
        <f>[2]Indicators!I275</f>
        <v>647.00900000000001</v>
      </c>
      <c r="E393" s="2">
        <f>[2]Indicators!J275</f>
        <v>1189.6130000000001</v>
      </c>
      <c r="L393" s="2">
        <f>[2]Indicators!N275</f>
        <v>9.947000000000001</v>
      </c>
      <c r="M393" s="2">
        <f>[2]Indicators!AB275</f>
        <v>47.866900000000001</v>
      </c>
      <c r="N393" s="2">
        <f>[8]m!$C395</f>
        <v>10.120000000000001</v>
      </c>
      <c r="O393">
        <f>[9]Unemployment!$B275</f>
        <v>9.8000000000000007</v>
      </c>
      <c r="P393" s="2">
        <f>[2]Surveys_m!$B275</f>
        <v>56.900000000000006</v>
      </c>
      <c r="Q393">
        <f>[5]m!$B395</f>
        <v>97.7</v>
      </c>
      <c r="R393">
        <f>[5]m!$D395</f>
        <v>97.100000000000009</v>
      </c>
      <c r="S393">
        <f>[5]m!$Q395</f>
        <v>100.30000000000001</v>
      </c>
      <c r="T393">
        <f>[6]m!B395</f>
        <v>-14704</v>
      </c>
      <c r="U393" s="2">
        <f>[9]Unemployment!$F275</f>
        <v>16.2</v>
      </c>
      <c r="V393" s="2">
        <f>[9]Unemployment!$G275</f>
        <v>8.7000000000000011</v>
      </c>
      <c r="W393">
        <f>[9]Unemployment!$E275</f>
        <v>10881</v>
      </c>
      <c r="X393">
        <f>[9]Unemployment!N275</f>
        <v>3895</v>
      </c>
      <c r="Y393">
        <f>[9]Unemployment!O275</f>
        <v>3354</v>
      </c>
      <c r="Z393">
        <f>[9]Unemployment!P275-[9]Unemployment!Q275</f>
        <v>1830</v>
      </c>
      <c r="AA393">
        <f>[9]Unemployment!$Q275</f>
        <v>1866</v>
      </c>
      <c r="AB393" s="2">
        <f>[8]m!$B395</f>
        <v>8.42</v>
      </c>
      <c r="AC393" s="2">
        <f>[8]m!$F395</f>
        <v>13.06</v>
      </c>
      <c r="AD393">
        <f>[9]Employment!$B275</f>
        <v>89352</v>
      </c>
      <c r="AE393" s="2">
        <f>[2]Indicators!$AB275</f>
        <v>47.866900000000001</v>
      </c>
      <c r="AF393" s="2">
        <f>[8]m!$AS395</f>
        <v>382.90000000000003</v>
      </c>
      <c r="AG393" s="2">
        <f>[8]m!$H395</f>
        <v>13.71</v>
      </c>
      <c r="AH393" s="2">
        <f>[8]m!$I395</f>
        <v>16.32</v>
      </c>
      <c r="AI393" s="2">
        <f>[7]m!C394</f>
        <v>23394</v>
      </c>
      <c r="AJ393" s="2">
        <f>[7]m!D394</f>
        <v>24114</v>
      </c>
      <c r="AK393" s="2">
        <f>[2]Surveys_m!$AB275</f>
        <v>38.300000000000004</v>
      </c>
      <c r="AL393" s="4">
        <f t="shared" si="5"/>
        <v>2570.3288201160531</v>
      </c>
      <c r="AN393" s="2">
        <v>52</v>
      </c>
      <c r="AQ393" s="3">
        <f>[9]LaborForce!$B274*[9]LaborForce!$C274/100</f>
        <v>110579.55100000002</v>
      </c>
      <c r="AR393">
        <f>[9]Unemployment!$AC275</f>
        <v>605</v>
      </c>
      <c r="AS393">
        <f>[2]Indicators!BC275</f>
        <v>45.1</v>
      </c>
      <c r="AT393">
        <f>[2]Indicators!BD275</f>
        <v>49.218800000000002</v>
      </c>
      <c r="AU393">
        <f>[2]Indicators!BE275</f>
        <v>92.727200000000011</v>
      </c>
    </row>
    <row r="394" spans="1:47" x14ac:dyDescent="0.25">
      <c r="A394" s="1">
        <v>30195</v>
      </c>
      <c r="B394" s="2">
        <f>[2]Indicators!G276</f>
        <v>2110.306</v>
      </c>
      <c r="C394" s="2">
        <f>[2]Indicators!H276</f>
        <v>259.97000000000003</v>
      </c>
      <c r="D394" s="2">
        <f>[2]Indicators!I276</f>
        <v>649.59100000000001</v>
      </c>
      <c r="E394" s="2">
        <f>[2]Indicators!J276</f>
        <v>1200.7439999999999</v>
      </c>
      <c r="L394" s="2">
        <f>[2]Indicators!N276</f>
        <v>11.129</v>
      </c>
      <c r="M394" s="2">
        <f>[2]Indicators!AB276</f>
        <v>47.696300000000001</v>
      </c>
      <c r="N394" s="2">
        <f>[8]m!$C396</f>
        <v>10.31</v>
      </c>
      <c r="O394">
        <f>[9]Unemployment!$B276</f>
        <v>10.100000000000001</v>
      </c>
      <c r="P394" s="2">
        <f>[2]Surveys_m!$B276</f>
        <v>58.1</v>
      </c>
      <c r="Q394">
        <f>[5]m!$B396</f>
        <v>97.7</v>
      </c>
      <c r="R394">
        <f>[5]m!$D396</f>
        <v>97.2</v>
      </c>
      <c r="S394">
        <f>[5]m!$Q396</f>
        <v>100</v>
      </c>
      <c r="T394">
        <f>[6]m!B396</f>
        <v>-1708</v>
      </c>
      <c r="U394" s="2">
        <f>[9]Unemployment!$F276</f>
        <v>16.600000000000001</v>
      </c>
      <c r="V394" s="2">
        <f>[9]Unemployment!$G276</f>
        <v>9.5</v>
      </c>
      <c r="W394">
        <f>[9]Unemployment!$E276</f>
        <v>11217</v>
      </c>
      <c r="X394">
        <f>[9]Unemployment!N276</f>
        <v>3966</v>
      </c>
      <c r="Y394">
        <f>[9]Unemployment!O276</f>
        <v>3494</v>
      </c>
      <c r="Z394">
        <f>[9]Unemployment!P276-[9]Unemployment!Q276</f>
        <v>1871</v>
      </c>
      <c r="AA394">
        <f>[9]Unemployment!$Q276</f>
        <v>2018</v>
      </c>
      <c r="AB394" s="2">
        <f>[8]m!$B396</f>
        <v>7.5600000000000005</v>
      </c>
      <c r="AC394" s="2">
        <f>[8]m!$F396</f>
        <v>12.34</v>
      </c>
      <c r="AD394">
        <f>[9]Employment!$B276</f>
        <v>89171</v>
      </c>
      <c r="AE394" s="2">
        <f>[2]Indicators!$AB276</f>
        <v>47.696300000000001</v>
      </c>
      <c r="AF394" s="2">
        <f>[8]m!$AS396</f>
        <v>384.40000000000003</v>
      </c>
      <c r="AG394" s="2">
        <f>[8]m!$H396</f>
        <v>12.94</v>
      </c>
      <c r="AH394" s="2">
        <f>[8]m!$I396</f>
        <v>15.63</v>
      </c>
      <c r="AI394" s="2">
        <f>[7]m!C395</f>
        <v>22797</v>
      </c>
      <c r="AJ394" s="2">
        <f>[7]m!D395</f>
        <v>27195</v>
      </c>
      <c r="AK394" s="2">
        <f>[2]Surveys_m!$AB276</f>
        <v>38.800000000000004</v>
      </c>
      <c r="AL394" s="4">
        <f t="shared" si="5"/>
        <v>2422.0406189555115</v>
      </c>
      <c r="AN394" s="2">
        <v>49</v>
      </c>
      <c r="AQ394" s="3">
        <f>[9]LaborForce!$B275*[9]LaborForce!$C275/100</f>
        <v>110694.29000000002</v>
      </c>
      <c r="AR394">
        <f>[9]Unemployment!$AC276</f>
        <v>647</v>
      </c>
      <c r="AS394">
        <f>[2]Indicators!BC276</f>
        <v>45.9</v>
      </c>
      <c r="AT394">
        <f>[2]Indicators!BD276</f>
        <v>49.575800000000001</v>
      </c>
      <c r="AU394">
        <f>[2]Indicators!BE276</f>
        <v>93.301299999999998</v>
      </c>
    </row>
    <row r="395" spans="1:47" x14ac:dyDescent="0.25">
      <c r="A395" s="1">
        <v>30225</v>
      </c>
      <c r="B395" s="2">
        <f>[2]Indicators!G277</f>
        <v>2132.096</v>
      </c>
      <c r="C395" s="2">
        <f>[2]Indicators!H277</f>
        <v>254.13400000000001</v>
      </c>
      <c r="D395" s="2">
        <f>[2]Indicators!I277</f>
        <v>656.45</v>
      </c>
      <c r="E395" s="2">
        <f>[2]Indicators!J277</f>
        <v>1221.511</v>
      </c>
      <c r="L395" s="2">
        <f>[2]Indicators!N277</f>
        <v>10.14</v>
      </c>
      <c r="M395" s="2">
        <f>[2]Indicators!AB277</f>
        <v>47.291800000000002</v>
      </c>
      <c r="N395" s="2">
        <f>[8]m!$C397</f>
        <v>9.7100000000000009</v>
      </c>
      <c r="O395">
        <f>[9]Unemployment!$B277</f>
        <v>10.4</v>
      </c>
      <c r="P395" s="2">
        <f>[2]Surveys_m!$B277</f>
        <v>54.300000000000004</v>
      </c>
      <c r="Q395">
        <f>[5]m!$B397</f>
        <v>98.100000000000009</v>
      </c>
      <c r="R395">
        <f>[5]m!$D397</f>
        <v>97.5</v>
      </c>
      <c r="S395">
        <f>[5]m!$Q397</f>
        <v>100.2</v>
      </c>
      <c r="T395">
        <f>[6]m!B397</f>
        <v>-26169</v>
      </c>
      <c r="U395" s="2">
        <f>[9]Unemployment!$F277</f>
        <v>17.2</v>
      </c>
      <c r="V395" s="2">
        <f>[9]Unemployment!$G277</f>
        <v>9.7000000000000011</v>
      </c>
      <c r="W395">
        <f>[9]Unemployment!$E277</f>
        <v>11529</v>
      </c>
      <c r="X395">
        <f>[9]Unemployment!N277</f>
        <v>3873</v>
      </c>
      <c r="Y395">
        <f>[9]Unemployment!O277</f>
        <v>3471</v>
      </c>
      <c r="Z395">
        <f>[9]Unemployment!P277-[9]Unemployment!Q277</f>
        <v>1939</v>
      </c>
      <c r="AA395">
        <f>[9]Unemployment!$Q277</f>
        <v>2246</v>
      </c>
      <c r="AB395" s="2">
        <f>[8]m!$B397</f>
        <v>7.86</v>
      </c>
      <c r="AC395" s="2">
        <f>[8]m!$F397</f>
        <v>10.91</v>
      </c>
      <c r="AD395">
        <f>[9]Employment!$B277</f>
        <v>88894</v>
      </c>
      <c r="AE395" s="2">
        <f>[2]Indicators!$AB277</f>
        <v>47.291800000000002</v>
      </c>
      <c r="AF395" s="2">
        <f>[8]m!$AS397</f>
        <v>385</v>
      </c>
      <c r="AG395" s="2">
        <f>[8]m!$H397</f>
        <v>12.120000000000001</v>
      </c>
      <c r="AH395" s="2">
        <f>[8]m!$I397</f>
        <v>14.73</v>
      </c>
      <c r="AI395" s="2">
        <f>[7]m!C396</f>
        <v>22654</v>
      </c>
      <c r="AJ395" s="2">
        <f>[7]m!D396</f>
        <v>24846</v>
      </c>
      <c r="AK395" s="2">
        <f>[2]Surveys_m!$AB277</f>
        <v>39.400000000000006</v>
      </c>
      <c r="AL395" s="4">
        <f t="shared" si="5"/>
        <v>2422.0406189555115</v>
      </c>
      <c r="AN395" s="2">
        <v>49</v>
      </c>
      <c r="AQ395" s="3">
        <f>[9]LaborForce!$B276*[9]LaborForce!$C276/100</f>
        <v>110816.72100000002</v>
      </c>
      <c r="AR395">
        <f>[9]Unemployment!$AC277</f>
        <v>695</v>
      </c>
      <c r="AS395">
        <f>[2]Indicators!BC277</f>
        <v>46.300000000000004</v>
      </c>
      <c r="AT395">
        <f>[2]Indicators!BD277</f>
        <v>50.012900000000002</v>
      </c>
      <c r="AU395">
        <f>[2]Indicators!BE277</f>
        <v>94.018200000000007</v>
      </c>
    </row>
    <row r="396" spans="1:47" x14ac:dyDescent="0.25">
      <c r="A396" s="1">
        <v>30256</v>
      </c>
      <c r="B396" s="2">
        <f>[2]Indicators!G278</f>
        <v>2156.194</v>
      </c>
      <c r="C396" s="2">
        <f>[2]Indicators!H278</f>
        <v>268.08600000000001</v>
      </c>
      <c r="D396" s="2">
        <f>[2]Indicators!I278</f>
        <v>654.96100000000001</v>
      </c>
      <c r="E396" s="2">
        <f>[2]Indicators!J278</f>
        <v>1233.146</v>
      </c>
      <c r="L396" s="2">
        <f>[2]Indicators!N278</f>
        <v>12.030000000000001</v>
      </c>
      <c r="M396" s="2">
        <f>[2]Indicators!AB278</f>
        <v>47.111400000000003</v>
      </c>
      <c r="N396" s="2">
        <f>[8]m!$C398</f>
        <v>9.2000000000000011</v>
      </c>
      <c r="O396">
        <f>[9]Unemployment!$B278</f>
        <v>10.8</v>
      </c>
      <c r="P396" s="2">
        <f>[2]Surveys_m!$B278</f>
        <v>57.400000000000006</v>
      </c>
      <c r="Q396">
        <f>[5]m!$B398</f>
        <v>98</v>
      </c>
      <c r="R396">
        <f>[5]m!$D398</f>
        <v>97.3</v>
      </c>
      <c r="S396">
        <f>[5]m!$Q398</f>
        <v>100.30000000000001</v>
      </c>
      <c r="T396">
        <f>[6]m!B398</f>
        <v>-24158</v>
      </c>
      <c r="U396" s="2">
        <f>[9]Unemployment!$F278</f>
        <v>17.100000000000001</v>
      </c>
      <c r="V396" s="2">
        <f>[9]Unemployment!$G278</f>
        <v>10</v>
      </c>
      <c r="W396">
        <f>[9]Unemployment!$E278</f>
        <v>11938</v>
      </c>
      <c r="X396">
        <f>[9]Unemployment!N278</f>
        <v>3974</v>
      </c>
      <c r="Y396">
        <f>[9]Unemployment!O278</f>
        <v>3518</v>
      </c>
      <c r="Z396">
        <f>[9]Unemployment!P278-[9]Unemployment!Q278</f>
        <v>2147</v>
      </c>
      <c r="AA396">
        <f>[9]Unemployment!$Q278</f>
        <v>2338</v>
      </c>
      <c r="AB396" s="2">
        <f>[8]m!$B398</f>
        <v>8.18</v>
      </c>
      <c r="AC396" s="2">
        <f>[8]m!$F398</f>
        <v>10.55</v>
      </c>
      <c r="AD396">
        <f>[9]Employment!$B278</f>
        <v>88770</v>
      </c>
      <c r="AE396" s="2">
        <f>[2]Indicators!$AB278</f>
        <v>47.111400000000003</v>
      </c>
      <c r="AF396" s="2">
        <f>[8]m!$AS398</f>
        <v>386.8</v>
      </c>
      <c r="AG396" s="2">
        <f>[8]m!$H398</f>
        <v>11.68</v>
      </c>
      <c r="AH396" s="2">
        <f>[8]m!$I398</f>
        <v>14.3</v>
      </c>
      <c r="AI396" s="2">
        <f>[7]m!C397</f>
        <v>21957</v>
      </c>
      <c r="AJ396" s="2">
        <f>[7]m!D397</f>
        <v>25376</v>
      </c>
      <c r="AK396" s="2">
        <f>[2]Surveys_m!$AB278</f>
        <v>39.200000000000003</v>
      </c>
      <c r="AL396" s="4">
        <f t="shared" si="5"/>
        <v>2471.4700193423587</v>
      </c>
      <c r="AN396" s="2">
        <v>50</v>
      </c>
      <c r="AQ396" s="3">
        <f>[9]LaborForce!$B277*[9]LaborForce!$C277/100</f>
        <v>111103.23599999999</v>
      </c>
      <c r="AR396">
        <f>[9]Unemployment!$AC278</f>
        <v>637</v>
      </c>
      <c r="AS396">
        <f>[2]Indicators!BC278</f>
        <v>46.6</v>
      </c>
      <c r="AT396">
        <f>[2]Indicators!BD278</f>
        <v>50.541600000000003</v>
      </c>
      <c r="AU396">
        <f>[2]Indicators!BE278</f>
        <v>94.898499999999999</v>
      </c>
    </row>
    <row r="397" spans="1:47" x14ac:dyDescent="0.25">
      <c r="A397" s="1">
        <v>30286</v>
      </c>
      <c r="B397" s="2">
        <f>[2]Indicators!G279</f>
        <v>2168.991</v>
      </c>
      <c r="C397" s="2">
        <f>[2]Indicators!H279</f>
        <v>270.846</v>
      </c>
      <c r="D397" s="2">
        <f>[2]Indicators!I279</f>
        <v>658.80899999999997</v>
      </c>
      <c r="E397" s="2">
        <f>[2]Indicators!J279</f>
        <v>1239.336</v>
      </c>
      <c r="L397" s="2">
        <f>[2]Indicators!N279</f>
        <v>11.249000000000001</v>
      </c>
      <c r="M397" s="2">
        <f>[2]Indicators!AB279</f>
        <v>46.762500000000003</v>
      </c>
      <c r="N397" s="2">
        <f>[8]m!$C399</f>
        <v>8.9500000000000011</v>
      </c>
      <c r="O397">
        <f>[9]Unemployment!$B279</f>
        <v>10.8</v>
      </c>
      <c r="P397" s="2">
        <f>[2]Surveys_m!$B279</f>
        <v>59.5</v>
      </c>
      <c r="Q397">
        <f>[5]m!$B399</f>
        <v>97.7</v>
      </c>
      <c r="R397">
        <f>[5]m!$D399</f>
        <v>97.2</v>
      </c>
      <c r="S397">
        <f>[5]m!$Q399</f>
        <v>100.5</v>
      </c>
      <c r="T397">
        <f>[6]m!B399</f>
        <v>-17938</v>
      </c>
      <c r="U397" s="2">
        <f>[9]Unemployment!$F279</f>
        <v>18.100000000000001</v>
      </c>
      <c r="V397" s="2">
        <f>[9]Unemployment!$G279</f>
        <v>10.200000000000001</v>
      </c>
      <c r="W397">
        <f>[9]Unemployment!$E279</f>
        <v>12051</v>
      </c>
      <c r="X397">
        <f>[9]Unemployment!N279</f>
        <v>3939</v>
      </c>
      <c r="Y397">
        <f>[9]Unemployment!O279</f>
        <v>3425</v>
      </c>
      <c r="Z397">
        <f>[9]Unemployment!P279-[9]Unemployment!Q279</f>
        <v>2098</v>
      </c>
      <c r="AA397">
        <f>[9]Unemployment!$Q279</f>
        <v>2564</v>
      </c>
      <c r="AB397" s="2">
        <f>[8]m!$B399</f>
        <v>7.9</v>
      </c>
      <c r="AC397" s="2">
        <f>[8]m!$F399</f>
        <v>10.540000000000001</v>
      </c>
      <c r="AD397">
        <f>[9]Employment!$B279</f>
        <v>88756</v>
      </c>
      <c r="AE397" s="2">
        <f>[2]Indicators!$AB279</f>
        <v>46.762500000000003</v>
      </c>
      <c r="AF397" s="2">
        <f>[8]m!$AS399</f>
        <v>389.8</v>
      </c>
      <c r="AG397" s="2">
        <f>[8]m!$H399</f>
        <v>11.83</v>
      </c>
      <c r="AH397" s="2">
        <f>[8]m!$I399</f>
        <v>14.14</v>
      </c>
      <c r="AI397" s="2">
        <f>[7]m!C398</f>
        <v>21138</v>
      </c>
      <c r="AJ397" s="2">
        <f>[7]m!D398</f>
        <v>23262</v>
      </c>
      <c r="AK397" s="2">
        <f>[2]Surveys_m!$AB279</f>
        <v>42.800000000000004</v>
      </c>
      <c r="AL397" s="4">
        <f t="shared" si="5"/>
        <v>2520.8994197292059</v>
      </c>
      <c r="AN397" s="2">
        <v>51</v>
      </c>
      <c r="AQ397" s="3">
        <f>[9]LaborForce!$B278*[9]LaborForce!$C278/100</f>
        <v>111020.55900000002</v>
      </c>
      <c r="AR397">
        <f>[9]Unemployment!$AC279</f>
        <v>612</v>
      </c>
      <c r="AS397">
        <f>[2]Indicators!BC279</f>
        <v>47.1</v>
      </c>
      <c r="AT397">
        <f>[2]Indicators!BD279</f>
        <v>51.165800000000004</v>
      </c>
      <c r="AU397">
        <f>[2]Indicators!BE279</f>
        <v>95.948300000000003</v>
      </c>
    </row>
    <row r="398" spans="1:47" x14ac:dyDescent="0.25">
      <c r="A398" s="1">
        <v>30317</v>
      </c>
      <c r="B398" s="2">
        <f>[2]Indicators!G280</f>
        <v>2181.7660000000001</v>
      </c>
      <c r="C398" s="2">
        <f>[2]Indicators!H280</f>
        <v>268.31</v>
      </c>
      <c r="D398" s="2">
        <f>[2]Indicators!I280</f>
        <v>655.05600000000004</v>
      </c>
      <c r="E398" s="2">
        <f>[2]Indicators!J280</f>
        <v>1258.3990000000001</v>
      </c>
      <c r="L398" s="2">
        <f>[2]Indicators!N280</f>
        <v>10.865</v>
      </c>
      <c r="M398" s="2">
        <f>[2]Indicators!AB280</f>
        <v>47.659500000000001</v>
      </c>
      <c r="N398" s="2">
        <f>[8]m!$C400</f>
        <v>8.68</v>
      </c>
      <c r="O398">
        <f>[9]Unemployment!$B280</f>
        <v>10.4</v>
      </c>
      <c r="P398" s="2">
        <f>[2]Surveys_m!$B280</f>
        <v>59</v>
      </c>
      <c r="Q398">
        <f>[5]m!$B400</f>
        <v>97.9</v>
      </c>
      <c r="R398">
        <f>[5]m!$D400</f>
        <v>97.600000000000009</v>
      </c>
      <c r="S398">
        <f>[5]m!$Q400</f>
        <v>100.2</v>
      </c>
      <c r="T398">
        <f>[6]m!B400</f>
        <v>-9582</v>
      </c>
      <c r="U398" s="2">
        <f>[9]Unemployment!$F280</f>
        <v>19.400000000000002</v>
      </c>
      <c r="V398" s="2">
        <f>[9]Unemployment!$G280</f>
        <v>11.100000000000001</v>
      </c>
      <c r="W398">
        <f>[9]Unemployment!$E280</f>
        <v>11534</v>
      </c>
      <c r="X398">
        <f>[9]Unemployment!N280</f>
        <v>3654</v>
      </c>
      <c r="Y398">
        <f>[9]Unemployment!O280</f>
        <v>3312</v>
      </c>
      <c r="Z398">
        <f>[9]Unemployment!P280-[9]Unemployment!Q280</f>
        <v>2001</v>
      </c>
      <c r="AA398">
        <f>[9]Unemployment!$Q280</f>
        <v>2667</v>
      </c>
      <c r="AB398" s="2">
        <f>[8]m!$B400</f>
        <v>8.1</v>
      </c>
      <c r="AC398" s="2">
        <f>[8]m!$F400</f>
        <v>10.46</v>
      </c>
      <c r="AD398">
        <f>[9]Employment!$B280</f>
        <v>88981</v>
      </c>
      <c r="AE398" s="2">
        <f>[2]Indicators!$AB280</f>
        <v>47.659500000000001</v>
      </c>
      <c r="AF398" s="2">
        <f>[8]m!$AS400</f>
        <v>391.8</v>
      </c>
      <c r="AG398" s="2">
        <f>[8]m!$H400</f>
        <v>11.790000000000001</v>
      </c>
      <c r="AH398" s="2">
        <f>[8]m!$I400</f>
        <v>13.94</v>
      </c>
      <c r="AI398" s="2">
        <f>[7]m!C399</f>
        <v>21633</v>
      </c>
      <c r="AJ398" s="2">
        <f>[7]m!D399</f>
        <v>23524</v>
      </c>
      <c r="AK398" s="2">
        <f>[2]Surveys_m!$AB280</f>
        <v>46</v>
      </c>
      <c r="AL398" s="4">
        <f t="shared" ref="AL398:AL461" si="6">AL399*AN398/AN399</f>
        <v>2570.3288201160535</v>
      </c>
      <c r="AN398" s="2">
        <v>52</v>
      </c>
      <c r="AQ398" s="3">
        <f>[9]LaborForce!$B279*[9]LaborForce!$C279/100</f>
        <v>110773.20600000002</v>
      </c>
      <c r="AR398">
        <f>[9]Unemployment!$AC280</f>
        <v>534</v>
      </c>
      <c r="AS398">
        <f>[2]Indicators!BC280</f>
        <v>48</v>
      </c>
      <c r="AT398">
        <f>[2]Indicators!BD280</f>
        <v>51.8703</v>
      </c>
      <c r="AU398">
        <f>[2]Indicators!BE280</f>
        <v>97.138199999999998</v>
      </c>
    </row>
    <row r="399" spans="1:47" x14ac:dyDescent="0.25">
      <c r="A399" s="1">
        <v>30348</v>
      </c>
      <c r="B399" s="2">
        <f>[2]Indicators!G281</f>
        <v>2184.7040000000002</v>
      </c>
      <c r="C399" s="2">
        <f>[2]Indicators!H281</f>
        <v>266.84199999999998</v>
      </c>
      <c r="D399" s="2">
        <f>[2]Indicators!I281</f>
        <v>652.86500000000001</v>
      </c>
      <c r="E399" s="2">
        <f>[2]Indicators!J281</f>
        <v>1264.9970000000001</v>
      </c>
      <c r="L399" s="2">
        <f>[2]Indicators!N281</f>
        <v>10.608000000000001</v>
      </c>
      <c r="M399" s="2">
        <f>[2]Indicators!AB281</f>
        <v>47.370000000000005</v>
      </c>
      <c r="N399" s="2">
        <f>[8]m!$C401</f>
        <v>8.51</v>
      </c>
      <c r="O399">
        <f>[9]Unemployment!$B281</f>
        <v>10.4</v>
      </c>
      <c r="P399" s="2">
        <f>[2]Surveys_m!$B281</f>
        <v>67.600000000000009</v>
      </c>
      <c r="Q399">
        <f>[5]m!$B401</f>
        <v>98</v>
      </c>
      <c r="R399">
        <f>[5]m!$D401</f>
        <v>98</v>
      </c>
      <c r="S399">
        <f>[5]m!$Q401</f>
        <v>100.5</v>
      </c>
      <c r="T399">
        <f>[6]m!B401</f>
        <v>-25336</v>
      </c>
      <c r="U399" s="2">
        <f>[9]Unemployment!$F281</f>
        <v>19.200000000000003</v>
      </c>
      <c r="V399" s="2">
        <f>[9]Unemployment!$G281</f>
        <v>9.8000000000000007</v>
      </c>
      <c r="W399">
        <f>[9]Unemployment!$E281</f>
        <v>11545</v>
      </c>
      <c r="X399">
        <f>[9]Unemployment!N281</f>
        <v>3717</v>
      </c>
      <c r="Y399">
        <f>[9]Unemployment!O281</f>
        <v>3177</v>
      </c>
      <c r="Z399">
        <f>[9]Unemployment!P281-[9]Unemployment!Q281</f>
        <v>1925</v>
      </c>
      <c r="AA399">
        <f>[9]Unemployment!$Q281</f>
        <v>2716</v>
      </c>
      <c r="AB399" s="2">
        <f>[8]m!$B401</f>
        <v>7.88</v>
      </c>
      <c r="AC399" s="2">
        <f>[8]m!$F401</f>
        <v>10.72</v>
      </c>
      <c r="AD399">
        <f>[9]Employment!$B281</f>
        <v>88903</v>
      </c>
      <c r="AE399" s="2">
        <f>[2]Indicators!$AB281</f>
        <v>47.370000000000005</v>
      </c>
      <c r="AF399" s="2">
        <f>[8]m!$AS401</f>
        <v>392.40000000000003</v>
      </c>
      <c r="AG399" s="2">
        <f>[8]m!$H401</f>
        <v>12.01</v>
      </c>
      <c r="AH399" s="2">
        <f>[8]m!$I401</f>
        <v>13.950000000000001</v>
      </c>
      <c r="AI399" s="2">
        <f>[7]m!C400</f>
        <v>22641</v>
      </c>
      <c r="AJ399" s="2">
        <f>[7]m!D400</f>
        <v>24439</v>
      </c>
      <c r="AK399" s="2">
        <f>[2]Surveys_m!$AB281</f>
        <v>54.400000000000006</v>
      </c>
      <c r="AL399" s="4">
        <f t="shared" si="6"/>
        <v>2570.3288201160535</v>
      </c>
      <c r="AN399" s="2">
        <v>52</v>
      </c>
      <c r="AQ399" s="3">
        <f>[9]LaborForce!$B280*[9]LaborForce!$C280/100</f>
        <v>110696.19</v>
      </c>
      <c r="AR399">
        <f>[9]Unemployment!$AC281</f>
        <v>503</v>
      </c>
      <c r="AS399">
        <f>[2]Indicators!BC281</f>
        <v>48.6</v>
      </c>
      <c r="AT399">
        <f>[2]Indicators!BD281</f>
        <v>52.612500000000004</v>
      </c>
      <c r="AU399">
        <f>[2]Indicators!BE281</f>
        <v>98.387100000000004</v>
      </c>
    </row>
    <row r="400" spans="1:47" x14ac:dyDescent="0.25">
      <c r="A400" s="1">
        <v>30376</v>
      </c>
      <c r="B400" s="2">
        <f>[2]Indicators!G282</f>
        <v>2210.25</v>
      </c>
      <c r="C400" s="2">
        <f>[2]Indicators!H282</f>
        <v>271.57100000000003</v>
      </c>
      <c r="D400" s="2">
        <f>[2]Indicators!I282</f>
        <v>663.08699999999999</v>
      </c>
      <c r="E400" s="2">
        <f>[2]Indicators!J282</f>
        <v>1275.5920000000001</v>
      </c>
      <c r="L400" s="2">
        <f>[2]Indicators!N282</f>
        <v>11.023</v>
      </c>
      <c r="M400" s="2">
        <f>[2]Indicators!AB282</f>
        <v>47.769300000000001</v>
      </c>
      <c r="N400" s="2">
        <f>[8]m!$C402</f>
        <v>8.77</v>
      </c>
      <c r="O400">
        <f>[9]Unemployment!$B282</f>
        <v>10.3</v>
      </c>
      <c r="P400" s="2">
        <f>[2]Surveys_m!$B282</f>
        <v>79.400000000000006</v>
      </c>
      <c r="Q400">
        <f>[5]m!$B402</f>
        <v>98.100000000000009</v>
      </c>
      <c r="R400">
        <f>[5]m!$D402</f>
        <v>98.2</v>
      </c>
      <c r="S400">
        <f>[5]m!$Q402</f>
        <v>100.4</v>
      </c>
      <c r="T400">
        <f>[6]m!B402</f>
        <v>-26036</v>
      </c>
      <c r="U400" s="2">
        <f>[9]Unemployment!$F282</f>
        <v>19.400000000000002</v>
      </c>
      <c r="V400" s="2">
        <f>[9]Unemployment!$G282</f>
        <v>10.4</v>
      </c>
      <c r="W400">
        <f>[9]Unemployment!$E282</f>
        <v>11408</v>
      </c>
      <c r="X400">
        <f>[9]Unemployment!N282</f>
        <v>3502</v>
      </c>
      <c r="Y400">
        <f>[9]Unemployment!O282</f>
        <v>3150</v>
      </c>
      <c r="Z400">
        <f>[9]Unemployment!P282-[9]Unemployment!Q282</f>
        <v>1866</v>
      </c>
      <c r="AA400">
        <f>[9]Unemployment!$Q282</f>
        <v>2746</v>
      </c>
      <c r="AB400" s="2">
        <f>[8]m!$B402</f>
        <v>8.61</v>
      </c>
      <c r="AC400" s="2">
        <f>[8]m!$F402</f>
        <v>10.51</v>
      </c>
      <c r="AD400">
        <f>[9]Employment!$B282</f>
        <v>89076</v>
      </c>
      <c r="AE400" s="2">
        <f>[2]Indicators!$AB282</f>
        <v>47.769300000000001</v>
      </c>
      <c r="AF400" s="2">
        <f>[8]m!$AS402</f>
        <v>395.6</v>
      </c>
      <c r="AG400" s="2">
        <f>[8]m!$H402</f>
        <v>11.73</v>
      </c>
      <c r="AH400" s="2">
        <f>[8]m!$I402</f>
        <v>13.61</v>
      </c>
      <c r="AI400" s="2">
        <f>[7]m!C401</f>
        <v>21721</v>
      </c>
      <c r="AJ400" s="2">
        <f>[7]m!D401</f>
        <v>23116</v>
      </c>
      <c r="AK400" s="2">
        <f>[2]Surveys_m!$AB282</f>
        <v>53.900000000000006</v>
      </c>
      <c r="AL400" s="4">
        <f t="shared" si="6"/>
        <v>2669.1876208897484</v>
      </c>
      <c r="AN400" s="2">
        <v>54</v>
      </c>
      <c r="AQ400" s="3">
        <f>[9]LaborForce!$B281*[9]LaborForce!$C281/100</f>
        <v>110618.87200000002</v>
      </c>
      <c r="AR400">
        <f>[9]Unemployment!$AC282</f>
        <v>481</v>
      </c>
      <c r="AS400">
        <f>[2]Indicators!BC282</f>
        <v>49.4</v>
      </c>
      <c r="AT400">
        <f>[2]Indicators!BD282</f>
        <v>53.361699999999999</v>
      </c>
      <c r="AU400">
        <f>[2]Indicators!BE282</f>
        <v>99.637700000000009</v>
      </c>
    </row>
    <row r="401" spans="1:47" x14ac:dyDescent="0.25">
      <c r="A401" s="1">
        <v>30407</v>
      </c>
      <c r="B401" s="2">
        <f>[2]Indicators!G283</f>
        <v>2233.5250000000001</v>
      </c>
      <c r="C401" s="2">
        <f>[2]Indicators!H283</f>
        <v>281.69400000000002</v>
      </c>
      <c r="D401" s="2">
        <f>[2]Indicators!I283</f>
        <v>665.33299999999997</v>
      </c>
      <c r="E401" s="2">
        <f>[2]Indicators!J283</f>
        <v>1286.498</v>
      </c>
      <c r="L401" s="2">
        <f>[2]Indicators!N283</f>
        <v>11.673</v>
      </c>
      <c r="M401" s="2">
        <f>[2]Indicators!AB283</f>
        <v>48.337600000000002</v>
      </c>
      <c r="N401" s="2">
        <f>[8]m!$C403</f>
        <v>8.8000000000000007</v>
      </c>
      <c r="O401">
        <f>[9]Unemployment!$B283</f>
        <v>10.200000000000001</v>
      </c>
      <c r="P401" s="2">
        <f>[2]Surveys_m!$B283</f>
        <v>83.100000000000009</v>
      </c>
      <c r="Q401">
        <f>[5]m!$B403</f>
        <v>98.8</v>
      </c>
      <c r="R401">
        <f>[5]m!$D403</f>
        <v>98.600000000000009</v>
      </c>
      <c r="S401">
        <f>[5]m!$Q403</f>
        <v>100.4</v>
      </c>
      <c r="T401">
        <f>[6]m!B403</f>
        <v>-3308</v>
      </c>
      <c r="U401" s="2">
        <f>[9]Unemployment!$F283</f>
        <v>19.5</v>
      </c>
      <c r="V401" s="2">
        <f>[9]Unemployment!$G283</f>
        <v>10.9</v>
      </c>
      <c r="W401">
        <f>[9]Unemployment!$E283</f>
        <v>11268</v>
      </c>
      <c r="X401">
        <f>[9]Unemployment!N283</f>
        <v>3539</v>
      </c>
      <c r="Y401">
        <f>[9]Unemployment!O283</f>
        <v>3112</v>
      </c>
      <c r="Z401">
        <f>[9]Unemployment!P283-[9]Unemployment!Q283</f>
        <v>1660</v>
      </c>
      <c r="AA401">
        <f>[9]Unemployment!$Q283</f>
        <v>2710</v>
      </c>
      <c r="AB401" s="2">
        <f>[8]m!$B403</f>
        <v>8.07</v>
      </c>
      <c r="AC401" s="2">
        <f>[8]m!$F403</f>
        <v>10.4</v>
      </c>
      <c r="AD401">
        <f>[9]Employment!$B283</f>
        <v>89352</v>
      </c>
      <c r="AE401" s="2">
        <f>[2]Indicators!$AB283</f>
        <v>48.337600000000002</v>
      </c>
      <c r="AF401" s="2">
        <f>[8]m!$AS403</f>
        <v>398.40000000000003</v>
      </c>
      <c r="AG401" s="2">
        <f>[8]m!$H403</f>
        <v>11.51</v>
      </c>
      <c r="AH401" s="2">
        <f>[8]m!$I403</f>
        <v>13.290000000000001</v>
      </c>
      <c r="AI401" s="2">
        <f>[7]m!C402</f>
        <v>22099</v>
      </c>
      <c r="AJ401" s="2">
        <f>[7]m!D402</f>
        <v>23840</v>
      </c>
      <c r="AK401" s="2">
        <f>[2]Surveys_m!$AB283</f>
        <v>54.2</v>
      </c>
      <c r="AL401" s="4">
        <f t="shared" si="6"/>
        <v>2718.6170212765956</v>
      </c>
      <c r="AN401" s="2">
        <v>55</v>
      </c>
      <c r="AQ401" s="3">
        <f>[9]LaborForce!$B282*[9]LaborForce!$C282/100</f>
        <v>110880.57200000001</v>
      </c>
      <c r="AR401">
        <f>[9]Unemployment!$AC283</f>
        <v>491</v>
      </c>
      <c r="AS401">
        <f>[2]Indicators!BC283</f>
        <v>50</v>
      </c>
      <c r="AT401">
        <f>[2]Indicators!BD283</f>
        <v>54.095400000000005</v>
      </c>
      <c r="AU401">
        <f>[2]Indicators!BE283</f>
        <v>100.848</v>
      </c>
    </row>
    <row r="402" spans="1:47" x14ac:dyDescent="0.25">
      <c r="A402" s="1">
        <v>30437</v>
      </c>
      <c r="B402" s="2">
        <f>[2]Indicators!G284</f>
        <v>2252.8270000000002</v>
      </c>
      <c r="C402" s="2">
        <f>[2]Indicators!H284</f>
        <v>288.82299999999998</v>
      </c>
      <c r="D402" s="2">
        <f>[2]Indicators!I284</f>
        <v>672.74300000000005</v>
      </c>
      <c r="E402" s="2">
        <f>[2]Indicators!J284</f>
        <v>1291.2619999999999</v>
      </c>
      <c r="L402" s="2">
        <f>[2]Indicators!N284</f>
        <v>12.028</v>
      </c>
      <c r="M402" s="2">
        <f>[2]Indicators!AB284</f>
        <v>48.681899999999999</v>
      </c>
      <c r="N402" s="2">
        <f>[8]m!$C404</f>
        <v>8.6300000000000008</v>
      </c>
      <c r="O402">
        <f>[9]Unemployment!$B284</f>
        <v>10.100000000000001</v>
      </c>
      <c r="P402" s="2">
        <f>[2]Surveys_m!$B284</f>
        <v>87.7</v>
      </c>
      <c r="Q402">
        <f>[5]m!$B404</f>
        <v>99.2</v>
      </c>
      <c r="R402">
        <f>[5]m!$D404</f>
        <v>98.9</v>
      </c>
      <c r="S402">
        <f>[5]m!$Q404</f>
        <v>100.80000000000001</v>
      </c>
      <c r="T402">
        <f>[6]m!B404</f>
        <v>-29285</v>
      </c>
      <c r="U402" s="2">
        <f>[9]Unemployment!$F284</f>
        <v>20.5</v>
      </c>
      <c r="V402" s="2">
        <f>[9]Unemployment!$G284</f>
        <v>12.3</v>
      </c>
      <c r="W402">
        <f>[9]Unemployment!$E284</f>
        <v>11154</v>
      </c>
      <c r="X402">
        <f>[9]Unemployment!N284</f>
        <v>3531</v>
      </c>
      <c r="Y402">
        <f>[9]Unemployment!O284</f>
        <v>2979</v>
      </c>
      <c r="Z402">
        <f>[9]Unemployment!P284-[9]Unemployment!Q284</f>
        <v>1788</v>
      </c>
      <c r="AA402">
        <f>[9]Unemployment!$Q284</f>
        <v>2750</v>
      </c>
      <c r="AB402" s="2">
        <f>[8]m!$B404</f>
        <v>8.56</v>
      </c>
      <c r="AC402" s="2">
        <f>[8]m!$F404</f>
        <v>10.38</v>
      </c>
      <c r="AD402">
        <f>[9]Employment!$B284</f>
        <v>89629</v>
      </c>
      <c r="AE402" s="2">
        <f>[2]Indicators!$AB284</f>
        <v>48.681899999999999</v>
      </c>
      <c r="AF402" s="2">
        <f>[8]m!$AS404</f>
        <v>400</v>
      </c>
      <c r="AG402" s="2">
        <f>[8]m!$H404</f>
        <v>11.46</v>
      </c>
      <c r="AH402" s="2">
        <f>[8]m!$I404</f>
        <v>13.09</v>
      </c>
      <c r="AI402" s="2">
        <f>[7]m!C403</f>
        <v>21451</v>
      </c>
      <c r="AJ402" s="2">
        <f>[7]m!D403</f>
        <v>24426</v>
      </c>
      <c r="AK402" s="2">
        <f>[2]Surveys_m!$AB284</f>
        <v>56.1</v>
      </c>
      <c r="AL402" s="4">
        <f t="shared" si="6"/>
        <v>2965.7640232108315</v>
      </c>
      <c r="AN402" s="2">
        <v>60</v>
      </c>
      <c r="AQ402" s="3">
        <f>[9]LaborForce!$B283*[9]LaborForce!$C283/100</f>
        <v>110808.061</v>
      </c>
      <c r="AR402">
        <f>[9]Unemployment!$AC284</f>
        <v>490</v>
      </c>
      <c r="AS402">
        <f>[2]Indicators!BC284</f>
        <v>50.7</v>
      </c>
      <c r="AT402">
        <f>[2]Indicators!BD284</f>
        <v>54.787200000000006</v>
      </c>
      <c r="AU402">
        <f>[2]Indicators!BE284</f>
        <v>101.96940000000001</v>
      </c>
    </row>
    <row r="403" spans="1:47" x14ac:dyDescent="0.25">
      <c r="A403" s="1">
        <v>30468</v>
      </c>
      <c r="B403" s="2">
        <f>[2]Indicators!G285</f>
        <v>2282.7739999999999</v>
      </c>
      <c r="C403" s="2">
        <f>[2]Indicators!H285</f>
        <v>298.23399999999998</v>
      </c>
      <c r="D403" s="2">
        <f>[2]Indicators!I285</f>
        <v>681.07</v>
      </c>
      <c r="E403" s="2">
        <f>[2]Indicators!J285</f>
        <v>1303.47</v>
      </c>
      <c r="L403" s="2">
        <f>[2]Indicators!N285</f>
        <v>12.96</v>
      </c>
      <c r="M403" s="2">
        <f>[2]Indicators!AB285</f>
        <v>48.945900000000002</v>
      </c>
      <c r="N403" s="2">
        <f>[8]m!$C405</f>
        <v>8.98</v>
      </c>
      <c r="O403">
        <f>[9]Unemployment!$B285</f>
        <v>10.100000000000001</v>
      </c>
      <c r="P403" s="2">
        <f>[2]Surveys_m!$B285</f>
        <v>87.5</v>
      </c>
      <c r="Q403">
        <f>[5]m!$B405</f>
        <v>99.4</v>
      </c>
      <c r="R403">
        <f>[5]m!$D405</f>
        <v>99.2</v>
      </c>
      <c r="S403">
        <f>[5]m!$Q405</f>
        <v>101</v>
      </c>
      <c r="T403">
        <f>[6]m!B405</f>
        <v>3401</v>
      </c>
      <c r="U403" s="2">
        <f>[9]Unemployment!$F285</f>
        <v>20.8</v>
      </c>
      <c r="V403" s="2">
        <f>[9]Unemployment!$G285</f>
        <v>11.3</v>
      </c>
      <c r="W403">
        <f>[9]Unemployment!$E285</f>
        <v>11246</v>
      </c>
      <c r="X403">
        <f>[9]Unemployment!N285</f>
        <v>3686</v>
      </c>
      <c r="Y403">
        <f>[9]Unemployment!O285</f>
        <v>2926</v>
      </c>
      <c r="Z403">
        <f>[9]Unemployment!P285-[9]Unemployment!Q285</f>
        <v>1585</v>
      </c>
      <c r="AA403">
        <f>[9]Unemployment!$Q285</f>
        <v>2885</v>
      </c>
      <c r="AB403" s="2">
        <f>[8]m!$B405</f>
        <v>8.84</v>
      </c>
      <c r="AC403" s="2">
        <f>[8]m!$F405</f>
        <v>10.85</v>
      </c>
      <c r="AD403">
        <f>[9]Employment!$B285</f>
        <v>90007</v>
      </c>
      <c r="AE403" s="2">
        <f>[2]Indicators!$AB285</f>
        <v>48.945900000000002</v>
      </c>
      <c r="AF403" s="2">
        <f>[8]m!$AS405</f>
        <v>404.8</v>
      </c>
      <c r="AG403" s="2">
        <f>[8]m!$H405</f>
        <v>11.74</v>
      </c>
      <c r="AH403" s="2">
        <f>[8]m!$I405</f>
        <v>13.370000000000001</v>
      </c>
      <c r="AI403" s="2">
        <f>[7]m!C404</f>
        <v>21011</v>
      </c>
      <c r="AJ403" s="2">
        <f>[7]m!D404</f>
        <v>25958</v>
      </c>
      <c r="AK403" s="2">
        <f>[2]Surveys_m!$AB285</f>
        <v>57.5</v>
      </c>
      <c r="AL403" s="4">
        <f t="shared" si="6"/>
        <v>2965.7640232108315</v>
      </c>
      <c r="AN403" s="2">
        <v>60</v>
      </c>
      <c r="AQ403" s="3">
        <f>[9]LaborForce!$B284*[9]LaborForce!$C284/100</f>
        <v>111962.375</v>
      </c>
      <c r="AR403">
        <f>[9]Unemployment!$AC285</f>
        <v>454</v>
      </c>
      <c r="AS403">
        <f>[2]Indicators!BC285</f>
        <v>51.2</v>
      </c>
      <c r="AT403">
        <f>[2]Indicators!BD285</f>
        <v>55.395400000000002</v>
      </c>
      <c r="AU403">
        <f>[2]Indicators!BE285</f>
        <v>102.9248</v>
      </c>
    </row>
    <row r="404" spans="1:47" x14ac:dyDescent="0.25">
      <c r="A404" s="1">
        <v>30498</v>
      </c>
      <c r="B404" s="2">
        <f>[2]Indicators!G286</f>
        <v>2311.15</v>
      </c>
      <c r="C404" s="2">
        <f>[2]Indicators!H286</f>
        <v>303.363</v>
      </c>
      <c r="D404" s="2">
        <f>[2]Indicators!I286</f>
        <v>686.34199999999998</v>
      </c>
      <c r="E404" s="2">
        <f>[2]Indicators!J286</f>
        <v>1321.4449999999999</v>
      </c>
      <c r="L404" s="2">
        <f>[2]Indicators!N286</f>
        <v>12.917</v>
      </c>
      <c r="M404" s="2">
        <f>[2]Indicators!AB286</f>
        <v>49.695800000000006</v>
      </c>
      <c r="N404" s="2">
        <f>[8]m!$C406</f>
        <v>9.370000000000001</v>
      </c>
      <c r="O404">
        <f>[9]Unemployment!$B286</f>
        <v>9.4</v>
      </c>
      <c r="P404" s="2">
        <f>[2]Surveys_m!$B286</f>
        <v>89</v>
      </c>
      <c r="Q404">
        <f>[5]m!$B406</f>
        <v>99.8</v>
      </c>
      <c r="R404">
        <f>[5]m!$D406</f>
        <v>99.8</v>
      </c>
      <c r="S404">
        <f>[5]m!$Q406</f>
        <v>101.30000000000001</v>
      </c>
      <c r="T404">
        <f>[6]m!B406</f>
        <v>-21412</v>
      </c>
      <c r="U404" s="2">
        <f>[9]Unemployment!$F286</f>
        <v>21.200000000000003</v>
      </c>
      <c r="V404" s="2">
        <f>[9]Unemployment!$G286</f>
        <v>10.100000000000001</v>
      </c>
      <c r="W404">
        <f>[9]Unemployment!$E286</f>
        <v>10548</v>
      </c>
      <c r="X404">
        <f>[9]Unemployment!N286</f>
        <v>3459</v>
      </c>
      <c r="Y404">
        <f>[9]Unemployment!O286</f>
        <v>2821</v>
      </c>
      <c r="Z404">
        <f>[9]Unemployment!P286-[9]Unemployment!Q286</f>
        <v>1735</v>
      </c>
      <c r="AA404">
        <f>[9]Unemployment!$Q286</f>
        <v>2594</v>
      </c>
      <c r="AB404" s="2">
        <f>[8]m!$B406</f>
        <v>9.25</v>
      </c>
      <c r="AC404" s="2">
        <f>[8]m!$F406</f>
        <v>11.38</v>
      </c>
      <c r="AD404">
        <f>[9]Employment!$B286</f>
        <v>90425</v>
      </c>
      <c r="AE404" s="2">
        <f>[2]Indicators!$AB286</f>
        <v>49.695800000000006</v>
      </c>
      <c r="AF404" s="2">
        <f>[8]m!$AS406</f>
        <v>409.5</v>
      </c>
      <c r="AG404" s="2">
        <f>[8]m!$H406</f>
        <v>12.15</v>
      </c>
      <c r="AH404" s="2">
        <f>[8]m!$I406</f>
        <v>13.39</v>
      </c>
      <c r="AI404" s="2">
        <f>[7]m!C405</f>
        <v>22315</v>
      </c>
      <c r="AJ404" s="2">
        <f>[7]m!D405</f>
        <v>25428</v>
      </c>
      <c r="AK404" s="2">
        <f>[2]Surveys_m!$AB286</f>
        <v>63.6</v>
      </c>
      <c r="AL404" s="4">
        <f t="shared" si="6"/>
        <v>3163.4816247582203</v>
      </c>
      <c r="AN404" s="2">
        <v>64</v>
      </c>
      <c r="AQ404" s="3">
        <f>[9]LaborForce!$B285*[9]LaborForce!$C285/100</f>
        <v>111730.14600000001</v>
      </c>
      <c r="AR404">
        <f>[9]Unemployment!$AC286</f>
        <v>422</v>
      </c>
      <c r="AS404">
        <f>[2]Indicators!BC286</f>
        <v>51.5</v>
      </c>
      <c r="AT404">
        <f>[2]Indicators!BD286</f>
        <v>55.903200000000005</v>
      </c>
      <c r="AU404">
        <f>[2]Indicators!BE286</f>
        <v>103.68400000000001</v>
      </c>
    </row>
    <row r="405" spans="1:47" x14ac:dyDescent="0.25">
      <c r="A405" s="1">
        <v>30529</v>
      </c>
      <c r="B405" s="2">
        <f>[2]Indicators!G287</f>
        <v>2327.114</v>
      </c>
      <c r="C405" s="2">
        <f>[2]Indicators!H287</f>
        <v>301.16899999999998</v>
      </c>
      <c r="D405" s="2">
        <f>[2]Indicators!I287</f>
        <v>688.2</v>
      </c>
      <c r="E405" s="2">
        <f>[2]Indicators!J287</f>
        <v>1337.7450000000001</v>
      </c>
      <c r="L405" s="2">
        <f>[2]Indicators!N287</f>
        <v>12.246</v>
      </c>
      <c r="M405" s="2">
        <f>[2]Indicators!AB287</f>
        <v>50.237500000000004</v>
      </c>
      <c r="N405" s="2">
        <f>[8]m!$C407</f>
        <v>9.56</v>
      </c>
      <c r="O405">
        <f>[9]Unemployment!$B287</f>
        <v>9.5</v>
      </c>
      <c r="P405" s="2">
        <f>[2]Surveys_m!$B287</f>
        <v>91.2</v>
      </c>
      <c r="Q405">
        <f>[5]m!$B407</f>
        <v>100.10000000000001</v>
      </c>
      <c r="R405">
        <f>[5]m!$D407</f>
        <v>100.10000000000001</v>
      </c>
      <c r="S405">
        <f>[5]m!$Q407</f>
        <v>101.80000000000001</v>
      </c>
      <c r="T405">
        <f>[6]m!B407</f>
        <v>-17477</v>
      </c>
      <c r="U405" s="2">
        <f>[9]Unemployment!$F287</f>
        <v>20</v>
      </c>
      <c r="V405" s="2">
        <f>[9]Unemployment!$G287</f>
        <v>9.3000000000000007</v>
      </c>
      <c r="W405">
        <f>[9]Unemployment!$E287</f>
        <v>10623</v>
      </c>
      <c r="X405">
        <f>[9]Unemployment!N287</f>
        <v>3632</v>
      </c>
      <c r="Y405">
        <f>[9]Unemployment!O287</f>
        <v>3035</v>
      </c>
      <c r="Z405">
        <f>[9]Unemployment!P287-[9]Unemployment!Q287</f>
        <v>1540</v>
      </c>
      <c r="AA405">
        <f>[9]Unemployment!$Q287</f>
        <v>2530</v>
      </c>
      <c r="AB405" s="2">
        <f>[8]m!$B407</f>
        <v>9.27</v>
      </c>
      <c r="AC405" s="2">
        <f>[8]m!$F407</f>
        <v>11.85</v>
      </c>
      <c r="AD405">
        <f>[9]Employment!$B287</f>
        <v>90117</v>
      </c>
      <c r="AE405" s="2">
        <f>[2]Indicators!$AB287</f>
        <v>50.237500000000004</v>
      </c>
      <c r="AF405" s="2">
        <f>[8]m!$AS407</f>
        <v>414</v>
      </c>
      <c r="AG405" s="2">
        <f>[8]m!$H407</f>
        <v>12.51</v>
      </c>
      <c r="AH405" s="2">
        <f>[8]m!$I407</f>
        <v>13.64</v>
      </c>
      <c r="AI405" s="2">
        <f>[7]m!C406</f>
        <v>21910</v>
      </c>
      <c r="AJ405" s="2">
        <f>[7]m!D406</f>
        <v>26531</v>
      </c>
      <c r="AK405" s="2">
        <f>[2]Surveys_m!$AB287</f>
        <v>63.1</v>
      </c>
      <c r="AL405" s="4">
        <f t="shared" si="6"/>
        <v>3212.9110251450675</v>
      </c>
      <c r="AN405" s="2">
        <v>65</v>
      </c>
      <c r="AQ405" s="3">
        <f>[9]LaborForce!$B286*[9]LaborForce!$C286/100</f>
        <v>112164.92</v>
      </c>
      <c r="AR405">
        <f>[9]Unemployment!$AC287</f>
        <v>415</v>
      </c>
      <c r="AS405">
        <f>[2]Indicators!BC287</f>
        <v>51.5</v>
      </c>
      <c r="AT405">
        <f>[2]Indicators!BD287</f>
        <v>56.310500000000005</v>
      </c>
      <c r="AU405">
        <f>[2]Indicators!BE287</f>
        <v>104.2479</v>
      </c>
    </row>
    <row r="406" spans="1:47" x14ac:dyDescent="0.25">
      <c r="A406" s="1">
        <v>30560</v>
      </c>
      <c r="B406" s="2">
        <f>[2]Indicators!G288</f>
        <v>2341.3310000000001</v>
      </c>
      <c r="C406" s="2">
        <f>[2]Indicators!H288</f>
        <v>302.55200000000002</v>
      </c>
      <c r="D406" s="2">
        <f>[2]Indicators!I288</f>
        <v>690.76800000000003</v>
      </c>
      <c r="E406" s="2">
        <f>[2]Indicators!J288</f>
        <v>1348.011</v>
      </c>
      <c r="L406" s="2">
        <f>[2]Indicators!N288</f>
        <v>12.451000000000001</v>
      </c>
      <c r="M406" s="2">
        <f>[2]Indicators!AB288</f>
        <v>50.994300000000003</v>
      </c>
      <c r="N406" s="2">
        <f>[8]m!$C408</f>
        <v>9.4500000000000011</v>
      </c>
      <c r="O406">
        <f>[9]Unemployment!$B288</f>
        <v>9.2000000000000011</v>
      </c>
      <c r="P406" s="2">
        <f>[2]Surveys_m!$B288</f>
        <v>91.100000000000009</v>
      </c>
      <c r="Q406">
        <f>[5]m!$B408</f>
        <v>100.4</v>
      </c>
      <c r="R406">
        <f>[5]m!$D408</f>
        <v>100.5</v>
      </c>
      <c r="S406">
        <f>[5]m!$Q408</f>
        <v>102</v>
      </c>
      <c r="T406">
        <f>[6]m!B408</f>
        <v>1946</v>
      </c>
      <c r="U406" s="2">
        <f>[9]Unemployment!$F288</f>
        <v>20.200000000000003</v>
      </c>
      <c r="V406" s="2">
        <f>[9]Unemployment!$G288</f>
        <v>9.3000000000000007</v>
      </c>
      <c r="W406">
        <f>[9]Unemployment!$E288</f>
        <v>10282</v>
      </c>
      <c r="X406">
        <f>[9]Unemployment!N288</f>
        <v>3768</v>
      </c>
      <c r="Y406">
        <f>[9]Unemployment!O288</f>
        <v>2774</v>
      </c>
      <c r="Z406">
        <f>[9]Unemployment!P288-[9]Unemployment!Q288</f>
        <v>1413</v>
      </c>
      <c r="AA406">
        <f>[9]Unemployment!$Q288</f>
        <v>2441</v>
      </c>
      <c r="AB406" s="2">
        <f>[8]m!$B408</f>
        <v>8.75</v>
      </c>
      <c r="AC406" s="2">
        <f>[8]m!$F408</f>
        <v>11.65</v>
      </c>
      <c r="AD406">
        <f>[9]Employment!$B288</f>
        <v>91231</v>
      </c>
      <c r="AE406" s="2">
        <f>[2]Indicators!$AB288</f>
        <v>50.994300000000003</v>
      </c>
      <c r="AF406" s="2">
        <f>[8]m!$AS408</f>
        <v>417.8</v>
      </c>
      <c r="AG406" s="2">
        <f>[8]m!$H408</f>
        <v>12.370000000000001</v>
      </c>
      <c r="AH406" s="2">
        <f>[8]m!$I408</f>
        <v>13.55</v>
      </c>
      <c r="AI406" s="2">
        <f>[7]m!C407</f>
        <v>22006</v>
      </c>
      <c r="AJ406" s="2">
        <f>[7]m!D407</f>
        <v>27417</v>
      </c>
      <c r="AK406" s="2">
        <f>[2]Surveys_m!$AB288</f>
        <v>62.5</v>
      </c>
      <c r="AL406" s="4">
        <f t="shared" si="6"/>
        <v>3311.7698259187619</v>
      </c>
      <c r="AN406" s="2">
        <v>67</v>
      </c>
      <c r="AQ406" s="3">
        <f>[9]LaborForce!$B287*[9]LaborForce!$C287/100</f>
        <v>112269.086</v>
      </c>
      <c r="AR406">
        <f>[9]Unemployment!$AC288</f>
        <v>426</v>
      </c>
      <c r="AS406">
        <f>[2]Indicators!BC288</f>
        <v>51.800000000000004</v>
      </c>
      <c r="AT406">
        <f>[2]Indicators!BD288</f>
        <v>56.642200000000003</v>
      </c>
      <c r="AU406">
        <f>[2]Indicators!BE288</f>
        <v>104.6635</v>
      </c>
    </row>
    <row r="407" spans="1:47" x14ac:dyDescent="0.25">
      <c r="A407" s="1">
        <v>30590</v>
      </c>
      <c r="B407" s="2">
        <f>[2]Indicators!G289</f>
        <v>2364.1390000000001</v>
      </c>
      <c r="C407" s="2">
        <f>[2]Indicators!H289</f>
        <v>313.65199999999999</v>
      </c>
      <c r="D407" s="2">
        <f>[2]Indicators!I289</f>
        <v>693.81700000000001</v>
      </c>
      <c r="E407" s="2">
        <f>[2]Indicators!J289</f>
        <v>1356.67</v>
      </c>
      <c r="L407" s="2">
        <f>[2]Indicators!N289</f>
        <v>13.311</v>
      </c>
      <c r="M407" s="2">
        <f>[2]Indicators!AB289</f>
        <v>51.412200000000006</v>
      </c>
      <c r="N407" s="2">
        <f>[8]m!$C409</f>
        <v>9.48</v>
      </c>
      <c r="O407">
        <f>[9]Unemployment!$B289</f>
        <v>8.8000000000000007</v>
      </c>
      <c r="P407" s="2">
        <f>[2]Surveys_m!$B289</f>
        <v>92.100000000000009</v>
      </c>
      <c r="Q407">
        <f>[5]m!$B409</f>
        <v>100.8</v>
      </c>
      <c r="R407">
        <f>[5]m!$D409</f>
        <v>101</v>
      </c>
      <c r="S407">
        <f>[5]m!$Q409</f>
        <v>102.2</v>
      </c>
      <c r="T407">
        <f>[6]m!B409</f>
        <v>-25069</v>
      </c>
      <c r="U407" s="2">
        <f>[9]Unemployment!$F289</f>
        <v>20.200000000000003</v>
      </c>
      <c r="V407" s="2">
        <f>[9]Unemployment!$G289</f>
        <v>9.4</v>
      </c>
      <c r="W407">
        <f>[9]Unemployment!$E289</f>
        <v>9887</v>
      </c>
      <c r="X407">
        <f>[9]Unemployment!N289</f>
        <v>3491</v>
      </c>
      <c r="Y407">
        <f>[9]Unemployment!O289</f>
        <v>2736</v>
      </c>
      <c r="Z407">
        <f>[9]Unemployment!P289-[9]Unemployment!Q289</f>
        <v>1371</v>
      </c>
      <c r="AA407">
        <f>[9]Unemployment!$Q289</f>
        <v>2277</v>
      </c>
      <c r="AB407" s="2">
        <f>[8]m!$B409</f>
        <v>8.4600000000000009</v>
      </c>
      <c r="AC407" s="2">
        <f>[8]m!$F409</f>
        <v>11.540000000000001</v>
      </c>
      <c r="AD407">
        <f>[9]Employment!$B289</f>
        <v>91502</v>
      </c>
      <c r="AE407" s="2">
        <f>[2]Indicators!$AB289</f>
        <v>51.412200000000006</v>
      </c>
      <c r="AF407" s="2">
        <f>[8]m!$AS409</f>
        <v>423.8</v>
      </c>
      <c r="AG407" s="2">
        <f>[8]m!$H409</f>
        <v>12.25</v>
      </c>
      <c r="AH407" s="2">
        <f>[8]m!$I409</f>
        <v>13.46</v>
      </c>
      <c r="AI407" s="2">
        <f>[7]m!C408</f>
        <v>22681</v>
      </c>
      <c r="AJ407" s="2">
        <f>[7]m!D408</f>
        <v>27154</v>
      </c>
      <c r="AK407" s="2">
        <f>[2]Surveys_m!$AB289</f>
        <v>64.400000000000006</v>
      </c>
      <c r="AL407" s="4">
        <f t="shared" si="6"/>
        <v>3558.9168278529978</v>
      </c>
      <c r="AN407" s="2">
        <v>72</v>
      </c>
      <c r="AQ407" s="3">
        <f>[9]LaborForce!$B288*[9]LaborForce!$C288/100</f>
        <v>111858.56</v>
      </c>
      <c r="AR407">
        <f>[9]Unemployment!$AC289</f>
        <v>413</v>
      </c>
      <c r="AS407">
        <f>[2]Indicators!BC289</f>
        <v>52.4</v>
      </c>
      <c r="AT407">
        <f>[2]Indicators!BD289</f>
        <v>56.918900000000001</v>
      </c>
      <c r="AU407">
        <f>[2]Indicators!BE289</f>
        <v>104.96950000000001</v>
      </c>
    </row>
    <row r="408" spans="1:47" x14ac:dyDescent="0.25">
      <c r="A408" s="1">
        <v>30621</v>
      </c>
      <c r="B408" s="2">
        <f>[2]Indicators!G290</f>
        <v>2372.89</v>
      </c>
      <c r="C408" s="2">
        <f>[2]Indicators!H290</f>
        <v>315.86400000000003</v>
      </c>
      <c r="D408" s="2">
        <f>[2]Indicators!I290</f>
        <v>696.524</v>
      </c>
      <c r="E408" s="2">
        <f>[2]Indicators!J290</f>
        <v>1360.502</v>
      </c>
      <c r="L408" s="2">
        <f>[2]Indicators!N290</f>
        <v>13.125</v>
      </c>
      <c r="M408" s="2">
        <f>[2]Indicators!AB290</f>
        <v>51.574600000000004</v>
      </c>
      <c r="N408" s="2">
        <f>[8]m!$C410</f>
        <v>9.34</v>
      </c>
      <c r="O408">
        <f>[9]Unemployment!$B290</f>
        <v>8.5</v>
      </c>
      <c r="P408" s="2">
        <f>[2]Surveys_m!$B290</f>
        <v>96.7</v>
      </c>
      <c r="Q408">
        <f>[5]m!$B410</f>
        <v>101.10000000000001</v>
      </c>
      <c r="R408">
        <f>[5]m!$D410</f>
        <v>101.5</v>
      </c>
      <c r="S408">
        <f>[5]m!$Q410</f>
        <v>102.10000000000001</v>
      </c>
      <c r="T408">
        <f>[6]m!B410</f>
        <v>-21591</v>
      </c>
      <c r="U408" s="2">
        <f>[9]Unemployment!$F290</f>
        <v>19.700000000000003</v>
      </c>
      <c r="V408" s="2">
        <f>[9]Unemployment!$G290</f>
        <v>9.3000000000000007</v>
      </c>
      <c r="W408">
        <f>[9]Unemployment!$E290</f>
        <v>9499</v>
      </c>
      <c r="X408">
        <f>[9]Unemployment!N290</f>
        <v>3347</v>
      </c>
      <c r="Y408">
        <f>[9]Unemployment!O290</f>
        <v>2644</v>
      </c>
      <c r="Z408">
        <f>[9]Unemployment!P290-[9]Unemployment!Q290</f>
        <v>1368</v>
      </c>
      <c r="AA408">
        <f>[9]Unemployment!$Q290</f>
        <v>2167</v>
      </c>
      <c r="AB408" s="2">
        <f>[8]m!$B410</f>
        <v>8.4700000000000006</v>
      </c>
      <c r="AC408" s="2">
        <f>[8]m!$F410</f>
        <v>11.69</v>
      </c>
      <c r="AD408">
        <f>[9]Employment!$B290</f>
        <v>91854</v>
      </c>
      <c r="AE408" s="2">
        <f>[2]Indicators!$AB290</f>
        <v>51.574600000000004</v>
      </c>
      <c r="AF408" s="2">
        <f>[8]m!$AS410</f>
        <v>430</v>
      </c>
      <c r="AG408" s="2">
        <f>[8]m!$H410</f>
        <v>12.41</v>
      </c>
      <c r="AH408" s="2">
        <f>[8]m!$I410</f>
        <v>13.61</v>
      </c>
      <c r="AI408" s="2">
        <f>[7]m!C409</f>
        <v>22248</v>
      </c>
      <c r="AJ408" s="2">
        <f>[7]m!D409</f>
        <v>29106</v>
      </c>
      <c r="AK408" s="2">
        <f>[2]Surveys_m!$AB290</f>
        <v>66</v>
      </c>
      <c r="AL408" s="4">
        <f t="shared" si="6"/>
        <v>3608.346228239845</v>
      </c>
      <c r="AN408" s="2">
        <v>73</v>
      </c>
      <c r="AQ408" s="3">
        <f>[9]LaborForce!$B289*[9]LaborForce!$C289/100</f>
        <v>112143.59100000001</v>
      </c>
      <c r="AR408">
        <f>[9]Unemployment!$AC290</f>
        <v>404</v>
      </c>
      <c r="AS408">
        <f>[2]Indicators!BC290</f>
        <v>52.6</v>
      </c>
      <c r="AT408">
        <f>[2]Indicators!BD290</f>
        <v>57.147500000000001</v>
      </c>
      <c r="AU408">
        <f>[2]Indicators!BE290</f>
        <v>105.1798</v>
      </c>
    </row>
    <row r="409" spans="1:47" x14ac:dyDescent="0.25">
      <c r="A409" s="1">
        <v>30651</v>
      </c>
      <c r="B409" s="2">
        <f>[2]Indicators!G291</f>
        <v>2400.4580000000001</v>
      </c>
      <c r="C409" s="2">
        <f>[2]Indicators!H291</f>
        <v>328.29399999999998</v>
      </c>
      <c r="D409" s="2">
        <f>[2]Indicators!I291</f>
        <v>699.22400000000005</v>
      </c>
      <c r="E409" s="2">
        <f>[2]Indicators!J291</f>
        <v>1372.9390000000001</v>
      </c>
      <c r="L409" s="2">
        <f>[2]Indicators!N291</f>
        <v>14.503</v>
      </c>
      <c r="M409" s="2">
        <f>[2]Indicators!AB291</f>
        <v>51.831099999999999</v>
      </c>
      <c r="N409" s="2">
        <f>[8]m!$C411</f>
        <v>9.4700000000000006</v>
      </c>
      <c r="O409">
        <f>[9]Unemployment!$B291</f>
        <v>8.3000000000000007</v>
      </c>
      <c r="P409" s="2">
        <f>[2]Surveys_m!$B291</f>
        <v>103.60000000000001</v>
      </c>
      <c r="Q409">
        <f>[5]m!$B411</f>
        <v>101.4</v>
      </c>
      <c r="R409">
        <f>[5]m!$D411</f>
        <v>101.8</v>
      </c>
      <c r="S409">
        <f>[5]m!$Q411</f>
        <v>102.30000000000001</v>
      </c>
      <c r="T409">
        <f>[6]m!B411</f>
        <v>-16661</v>
      </c>
      <c r="U409" s="2">
        <f>[9]Unemployment!$F291</f>
        <v>19.200000000000003</v>
      </c>
      <c r="V409" s="2">
        <f>[9]Unemployment!$G291</f>
        <v>8.7000000000000011</v>
      </c>
      <c r="W409">
        <f>[9]Unemployment!$E291</f>
        <v>9331</v>
      </c>
      <c r="X409">
        <f>[9]Unemployment!N291</f>
        <v>3455</v>
      </c>
      <c r="Y409">
        <f>[9]Unemployment!O291</f>
        <v>2521</v>
      </c>
      <c r="Z409">
        <f>[9]Unemployment!P291-[9]Unemployment!Q291</f>
        <v>1318</v>
      </c>
      <c r="AA409">
        <f>[9]Unemployment!$Q291</f>
        <v>2061</v>
      </c>
      <c r="AB409" s="2">
        <f>[8]m!$B411</f>
        <v>8.9500000000000011</v>
      </c>
      <c r="AC409" s="2">
        <f>[8]m!$F411</f>
        <v>11.83</v>
      </c>
      <c r="AD409">
        <f>[9]Employment!$B291</f>
        <v>92210</v>
      </c>
      <c r="AE409" s="2">
        <f>[2]Indicators!$AB291</f>
        <v>51.831099999999999</v>
      </c>
      <c r="AF409" s="2">
        <f>[8]m!$AS411</f>
        <v>437.1</v>
      </c>
      <c r="AG409" s="2">
        <f>[8]m!$H411</f>
        <v>12.57</v>
      </c>
      <c r="AH409" s="2">
        <f>[8]m!$I411</f>
        <v>13.75</v>
      </c>
      <c r="AI409" s="2">
        <f>[7]m!C410</f>
        <v>22278</v>
      </c>
      <c r="AJ409" s="2">
        <f>[7]m!D410</f>
        <v>27888</v>
      </c>
      <c r="AK409" s="2">
        <f>[2]Surveys_m!$AB291</f>
        <v>69.900000000000006</v>
      </c>
      <c r="AL409" s="4">
        <f t="shared" si="6"/>
        <v>3756.6344294003866</v>
      </c>
      <c r="AN409" s="2">
        <v>76</v>
      </c>
      <c r="AQ409" s="3">
        <f>[9]LaborForce!$B290*[9]LaborForce!$C290/100</f>
        <v>112252.56100000002</v>
      </c>
      <c r="AR409">
        <f>[9]Unemployment!$AC291</f>
        <v>398</v>
      </c>
      <c r="AS409">
        <f>[2]Indicators!BC291</f>
        <v>52.800000000000004</v>
      </c>
      <c r="AT409">
        <f>[2]Indicators!BD291</f>
        <v>57.321899999999999</v>
      </c>
      <c r="AU409">
        <f>[2]Indicators!BE291</f>
        <v>105.2838</v>
      </c>
    </row>
    <row r="410" spans="1:47" x14ac:dyDescent="0.25">
      <c r="A410" s="1">
        <v>30682</v>
      </c>
      <c r="B410" s="2">
        <f>[2]Indicators!G292</f>
        <v>2426.4279999999999</v>
      </c>
      <c r="C410" s="2">
        <f>[2]Indicators!H292</f>
        <v>336.81400000000002</v>
      </c>
      <c r="D410" s="2">
        <f>[2]Indicators!I292</f>
        <v>710.52499999999998</v>
      </c>
      <c r="E410" s="2">
        <f>[2]Indicators!J292</f>
        <v>1379.0889999999999</v>
      </c>
      <c r="L410" s="2">
        <f>[2]Indicators!N292</f>
        <v>14.21</v>
      </c>
      <c r="M410" s="2">
        <f>[2]Indicators!AB292</f>
        <v>52.884600000000006</v>
      </c>
      <c r="N410" s="2">
        <f>[8]m!$C412</f>
        <v>9.56</v>
      </c>
      <c r="O410">
        <f>[9]Unemployment!$B292</f>
        <v>8</v>
      </c>
      <c r="P410" s="2">
        <f>[2]Surveys_m!$B292</f>
        <v>103.9</v>
      </c>
      <c r="Q410">
        <f>[5]m!$B412</f>
        <v>102.10000000000001</v>
      </c>
      <c r="R410">
        <f>[5]m!$D412</f>
        <v>102.5</v>
      </c>
      <c r="S410">
        <f>[5]m!$Q412</f>
        <v>102.9</v>
      </c>
      <c r="T410">
        <f>[6]m!B412</f>
        <v>-5515</v>
      </c>
      <c r="U410" s="2">
        <f>[9]Unemployment!$F292</f>
        <v>20.400000000000002</v>
      </c>
      <c r="V410" s="2">
        <f>[9]Unemployment!$G292</f>
        <v>9.1</v>
      </c>
      <c r="W410">
        <f>[9]Unemployment!$E292</f>
        <v>9008</v>
      </c>
      <c r="X410">
        <f>[9]Unemployment!N292</f>
        <v>3309</v>
      </c>
      <c r="Y410">
        <f>[9]Unemployment!O292</f>
        <v>2532</v>
      </c>
      <c r="Z410">
        <f>[9]Unemployment!P292-[9]Unemployment!Q292</f>
        <v>1214</v>
      </c>
      <c r="AA410">
        <f>[9]Unemployment!$Q292</f>
        <v>2040</v>
      </c>
      <c r="AB410" s="2">
        <f>[8]m!$B412</f>
        <v>8.8800000000000008</v>
      </c>
      <c r="AC410" s="2">
        <f>[8]m!$F412</f>
        <v>11.67</v>
      </c>
      <c r="AD410">
        <f>[9]Employment!$B292</f>
        <v>92657</v>
      </c>
      <c r="AE410" s="2">
        <f>[2]Indicators!$AB292</f>
        <v>52.884600000000006</v>
      </c>
      <c r="AF410" s="2">
        <f>[8]m!$AS412</f>
        <v>442</v>
      </c>
      <c r="AG410" s="2">
        <f>[8]m!$H412</f>
        <v>12.200000000000001</v>
      </c>
      <c r="AH410" s="2">
        <f>[8]m!$I412</f>
        <v>13.65</v>
      </c>
      <c r="AI410" s="2">
        <f>[7]m!C411</f>
        <v>22513</v>
      </c>
      <c r="AJ410" s="2">
        <f>[7]m!D411</f>
        <v>27749</v>
      </c>
      <c r="AK410" s="2">
        <f>[2]Surveys_m!$AB292</f>
        <v>60.5</v>
      </c>
      <c r="AL410" s="4">
        <f t="shared" si="6"/>
        <v>3855.493230174081</v>
      </c>
      <c r="AN410" s="2">
        <v>78</v>
      </c>
      <c r="AQ410" s="3">
        <f>[9]LaborForce!$B291*[9]LaborForce!$C291/100</f>
        <v>112165.58700000001</v>
      </c>
      <c r="AR410">
        <f>[9]Unemployment!$AC292</f>
        <v>372</v>
      </c>
      <c r="AS410">
        <f>[2]Indicators!BC292</f>
        <v>53.6</v>
      </c>
      <c r="AT410">
        <f>[2]Indicators!BD292</f>
        <v>57.428200000000004</v>
      </c>
      <c r="AU410">
        <f>[2]Indicators!BE292</f>
        <v>105.2573</v>
      </c>
    </row>
    <row r="411" spans="1:47" x14ac:dyDescent="0.25">
      <c r="A411" s="1">
        <v>30713</v>
      </c>
      <c r="B411" s="2">
        <f>[2]Indicators!G293</f>
        <v>2410.8319999999999</v>
      </c>
      <c r="C411" s="2">
        <f>[2]Indicators!H293</f>
        <v>328.74200000000002</v>
      </c>
      <c r="D411" s="2">
        <f>[2]Indicators!I293</f>
        <v>701.476</v>
      </c>
      <c r="E411" s="2">
        <f>[2]Indicators!J293</f>
        <v>1380.614</v>
      </c>
      <c r="L411" s="2">
        <f>[2]Indicators!N293</f>
        <v>14.381</v>
      </c>
      <c r="M411" s="2">
        <f>[2]Indicators!AB293</f>
        <v>53.145000000000003</v>
      </c>
      <c r="N411" s="2">
        <f>[8]m!$C413</f>
        <v>9.59</v>
      </c>
      <c r="O411">
        <f>[9]Unemployment!$B293</f>
        <v>7.8000000000000007</v>
      </c>
      <c r="P411" s="2">
        <f>[2]Surveys_m!$B293</f>
        <v>101</v>
      </c>
      <c r="Q411">
        <f>[5]m!$B413</f>
        <v>102.60000000000001</v>
      </c>
      <c r="R411">
        <f>[5]m!$D413</f>
        <v>102.8</v>
      </c>
      <c r="S411">
        <f>[5]m!$Q413</f>
        <v>103.2</v>
      </c>
      <c r="T411">
        <f>[6]m!B413</f>
        <v>-20381</v>
      </c>
      <c r="U411" s="2">
        <f>[9]Unemployment!$F293</f>
        <v>19</v>
      </c>
      <c r="V411" s="2">
        <f>[9]Unemployment!$G293</f>
        <v>8.3000000000000007</v>
      </c>
      <c r="W411">
        <f>[9]Unemployment!$E293</f>
        <v>8791</v>
      </c>
      <c r="X411">
        <f>[9]Unemployment!N293</f>
        <v>3327</v>
      </c>
      <c r="Y411">
        <f>[9]Unemployment!O293</f>
        <v>2485</v>
      </c>
      <c r="Z411">
        <f>[9]Unemployment!P293-[9]Unemployment!Q293</f>
        <v>1157</v>
      </c>
      <c r="AA411">
        <f>[9]Unemployment!$Q293</f>
        <v>1834</v>
      </c>
      <c r="AB411" s="2">
        <f>[8]m!$B413</f>
        <v>9.1300000000000008</v>
      </c>
      <c r="AC411" s="2">
        <f>[8]m!$F413</f>
        <v>11.84</v>
      </c>
      <c r="AD411">
        <f>[9]Employment!$B293</f>
        <v>93136</v>
      </c>
      <c r="AE411" s="2">
        <f>[2]Indicators!$AB293</f>
        <v>53.145000000000003</v>
      </c>
      <c r="AF411" s="2">
        <f>[8]m!$AS413</f>
        <v>451.90000000000003</v>
      </c>
      <c r="AG411" s="2">
        <f>[8]m!$H413</f>
        <v>12.08</v>
      </c>
      <c r="AH411" s="2">
        <f>[8]m!$I413</f>
        <v>13.59</v>
      </c>
      <c r="AI411" s="2">
        <f>[7]m!C412</f>
        <v>23659</v>
      </c>
      <c r="AJ411" s="2">
        <f>[7]m!D412</f>
        <v>31576</v>
      </c>
      <c r="AK411" s="2">
        <f>[2]Surveys_m!$AB293</f>
        <v>61.300000000000004</v>
      </c>
      <c r="AL411" s="4">
        <f t="shared" si="6"/>
        <v>4003.7814313346221</v>
      </c>
      <c r="AN411" s="2">
        <v>81</v>
      </c>
      <c r="AQ411" s="3">
        <f>[9]LaborForce!$B292*[9]LaborForce!$C292/100</f>
        <v>112610.23900000002</v>
      </c>
      <c r="AR411">
        <f>[9]Unemployment!$AC293</f>
        <v>364</v>
      </c>
      <c r="AS411">
        <f>[2]Indicators!BC293</f>
        <v>53.800000000000004</v>
      </c>
      <c r="AT411">
        <f>[2]Indicators!BD293</f>
        <v>57.444200000000002</v>
      </c>
      <c r="AU411">
        <f>[2]Indicators!BE293</f>
        <v>105.06070000000001</v>
      </c>
    </row>
    <row r="412" spans="1:47" x14ac:dyDescent="0.25">
      <c r="A412" s="1">
        <v>30742</v>
      </c>
      <c r="B412" s="2">
        <f>[2]Indicators!G294</f>
        <v>2439.1820000000002</v>
      </c>
      <c r="C412" s="2">
        <f>[2]Indicators!H294</f>
        <v>328.76</v>
      </c>
      <c r="D412" s="2">
        <f>[2]Indicators!I294</f>
        <v>707.37</v>
      </c>
      <c r="E412" s="2">
        <f>[2]Indicators!J294</f>
        <v>1403.0530000000001</v>
      </c>
      <c r="L412" s="2">
        <f>[2]Indicators!N294</f>
        <v>14.21</v>
      </c>
      <c r="M412" s="2">
        <f>[2]Indicators!AB294</f>
        <v>53.386800000000001</v>
      </c>
      <c r="N412" s="2">
        <f>[8]m!$C414</f>
        <v>9.91</v>
      </c>
      <c r="O412">
        <f>[9]Unemployment!$B294</f>
        <v>7.8000000000000007</v>
      </c>
      <c r="P412" s="2">
        <f>[2]Surveys_m!$B294</f>
        <v>101.10000000000001</v>
      </c>
      <c r="Q412">
        <f>[5]m!$B414</f>
        <v>102.9</v>
      </c>
      <c r="R412">
        <f>[5]m!$D414</f>
        <v>103.2</v>
      </c>
      <c r="S412">
        <f>[5]m!$Q414</f>
        <v>103.9</v>
      </c>
      <c r="T412">
        <f>[6]m!B414</f>
        <v>-28555</v>
      </c>
      <c r="U412" s="2">
        <f>[9]Unemployment!$F294</f>
        <v>19.100000000000001</v>
      </c>
      <c r="V412" s="2">
        <f>[9]Unemployment!$G294</f>
        <v>8.3000000000000007</v>
      </c>
      <c r="W412">
        <f>[9]Unemployment!$E294</f>
        <v>8746</v>
      </c>
      <c r="X412">
        <f>[9]Unemployment!N294</f>
        <v>3335</v>
      </c>
      <c r="Y412">
        <f>[9]Unemployment!O294</f>
        <v>2501</v>
      </c>
      <c r="Z412">
        <f>[9]Unemployment!P294-[9]Unemployment!Q294</f>
        <v>1101</v>
      </c>
      <c r="AA412">
        <f>[9]Unemployment!$Q294</f>
        <v>1780</v>
      </c>
      <c r="AB412" s="2">
        <f>[8]m!$B414</f>
        <v>9.7000000000000011</v>
      </c>
      <c r="AC412" s="2">
        <f>[8]m!$F414</f>
        <v>12.32</v>
      </c>
      <c r="AD412">
        <f>[9]Employment!$B294</f>
        <v>93411</v>
      </c>
      <c r="AE412" s="2">
        <f>[2]Indicators!$AB294</f>
        <v>53.386800000000001</v>
      </c>
      <c r="AF412" s="2">
        <f>[8]m!$AS414</f>
        <v>456.6</v>
      </c>
      <c r="AG412" s="2">
        <f>[8]m!$H414</f>
        <v>12.57</v>
      </c>
      <c r="AH412" s="2">
        <f>[8]m!$I414</f>
        <v>13.99</v>
      </c>
      <c r="AI412" s="2">
        <f>[7]m!C413</f>
        <v>22978</v>
      </c>
      <c r="AJ412" s="2">
        <f>[7]m!D413</f>
        <v>31792</v>
      </c>
      <c r="AK412" s="2">
        <f>[2]Surveys_m!$AB294</f>
        <v>58.900000000000006</v>
      </c>
      <c r="AL412" s="4">
        <f t="shared" si="6"/>
        <v>4003.7814313346221</v>
      </c>
      <c r="AN412" s="2">
        <v>81</v>
      </c>
      <c r="AQ412" s="3">
        <f>[9]LaborForce!$B293*[9]LaborForce!$C293/100</f>
        <v>112703.18400000002</v>
      </c>
      <c r="AR412">
        <f>[9]Unemployment!$AC294</f>
        <v>343</v>
      </c>
      <c r="AS412">
        <f>[2]Indicators!BC294</f>
        <v>53.800000000000004</v>
      </c>
      <c r="AT412">
        <f>[2]Indicators!BD294</f>
        <v>57.349299999999999</v>
      </c>
      <c r="AU412">
        <f>[2]Indicators!BE294</f>
        <v>104.65770000000001</v>
      </c>
    </row>
    <row r="413" spans="1:47" x14ac:dyDescent="0.25">
      <c r="A413" s="1">
        <v>30773</v>
      </c>
      <c r="B413" s="2">
        <f>[2]Indicators!G295</f>
        <v>2465.4630000000002</v>
      </c>
      <c r="C413" s="2">
        <f>[2]Indicators!H295</f>
        <v>336.00400000000002</v>
      </c>
      <c r="D413" s="2">
        <f>[2]Indicators!I295</f>
        <v>716.59400000000005</v>
      </c>
      <c r="E413" s="2">
        <f>[2]Indicators!J295</f>
        <v>1412.865</v>
      </c>
      <c r="L413" s="2">
        <f>[2]Indicators!N295</f>
        <v>14.357000000000001</v>
      </c>
      <c r="M413" s="2">
        <f>[2]Indicators!AB295</f>
        <v>53.713799999999999</v>
      </c>
      <c r="N413" s="2">
        <f>[8]m!$C415</f>
        <v>10.290000000000001</v>
      </c>
      <c r="O413">
        <f>[9]Unemployment!$B295</f>
        <v>7.7</v>
      </c>
      <c r="P413" s="2">
        <f>[2]Surveys_m!$B295</f>
        <v>106.10000000000001</v>
      </c>
      <c r="Q413">
        <f>[5]m!$B415</f>
        <v>103.3</v>
      </c>
      <c r="R413">
        <f>[5]m!$D415</f>
        <v>103.7</v>
      </c>
      <c r="S413">
        <f>[5]m!$Q415</f>
        <v>104</v>
      </c>
      <c r="T413">
        <f>[6]m!B415</f>
        <v>11493</v>
      </c>
      <c r="U413" s="2">
        <f>[9]Unemployment!$F295</f>
        <v>18.900000000000002</v>
      </c>
      <c r="V413" s="2">
        <f>[9]Unemployment!$G295</f>
        <v>8.2000000000000011</v>
      </c>
      <c r="W413">
        <f>[9]Unemployment!$E295</f>
        <v>8762</v>
      </c>
      <c r="X413">
        <f>[9]Unemployment!N295</f>
        <v>3362</v>
      </c>
      <c r="Y413">
        <f>[9]Unemployment!O295</f>
        <v>2459</v>
      </c>
      <c r="Z413">
        <f>[9]Unemployment!P295-[9]Unemployment!Q295</f>
        <v>1094</v>
      </c>
      <c r="AA413">
        <f>[9]Unemployment!$Q295</f>
        <v>1764</v>
      </c>
      <c r="AB413" s="2">
        <f>[8]m!$B415</f>
        <v>9.7200000000000006</v>
      </c>
      <c r="AC413" s="2">
        <f>[8]m!$F415</f>
        <v>12.63</v>
      </c>
      <c r="AD413">
        <f>[9]Employment!$B295</f>
        <v>93774</v>
      </c>
      <c r="AE413" s="2">
        <f>[2]Indicators!$AB295</f>
        <v>53.713799999999999</v>
      </c>
      <c r="AF413" s="2">
        <f>[8]m!$AS415</f>
        <v>462.1</v>
      </c>
      <c r="AG413" s="2">
        <f>[8]m!$H415</f>
        <v>12.81</v>
      </c>
      <c r="AH413" s="2">
        <f>[8]m!$I415</f>
        <v>14.31</v>
      </c>
      <c r="AI413" s="2">
        <f>[7]m!C414</f>
        <v>23676</v>
      </c>
      <c r="AJ413" s="2">
        <f>[7]m!D414</f>
        <v>32320</v>
      </c>
      <c r="AK413" s="2">
        <f>[2]Surveys_m!$AB295</f>
        <v>61</v>
      </c>
      <c r="AL413" s="4">
        <f t="shared" si="6"/>
        <v>4201.4990328820104</v>
      </c>
      <c r="AN413" s="2">
        <v>85</v>
      </c>
      <c r="AQ413" s="3">
        <f>[9]LaborForce!$B294*[9]LaborForce!$C294/100</f>
        <v>113148.067</v>
      </c>
      <c r="AR413">
        <f>[9]Unemployment!$AC295</f>
        <v>341</v>
      </c>
      <c r="AS413">
        <f>[2]Indicators!BC295</f>
        <v>53.800000000000004</v>
      </c>
      <c r="AT413">
        <f>[2]Indicators!BD295</f>
        <v>57.174200000000006</v>
      </c>
      <c r="AU413">
        <f>[2]Indicators!BE295</f>
        <v>104.1062</v>
      </c>
    </row>
    <row r="414" spans="1:47" x14ac:dyDescent="0.25">
      <c r="A414" s="1">
        <v>30803</v>
      </c>
      <c r="B414" s="2">
        <f>[2]Indicators!G296</f>
        <v>2482.7280000000001</v>
      </c>
      <c r="C414" s="2">
        <f>[2]Indicators!H296</f>
        <v>341.67900000000003</v>
      </c>
      <c r="D414" s="2">
        <f>[2]Indicators!I296</f>
        <v>719.65200000000004</v>
      </c>
      <c r="E414" s="2">
        <f>[2]Indicators!J296</f>
        <v>1421.3969999999999</v>
      </c>
      <c r="L414" s="2">
        <f>[2]Indicators!N296</f>
        <v>14.856</v>
      </c>
      <c r="M414" s="2">
        <f>[2]Indicators!AB296</f>
        <v>53.980800000000002</v>
      </c>
      <c r="N414" s="2">
        <f>[8]m!$C416</f>
        <v>10.32</v>
      </c>
      <c r="O414">
        <f>[9]Unemployment!$B296</f>
        <v>7.4</v>
      </c>
      <c r="P414" s="2">
        <f>[2]Surveys_m!$B296</f>
        <v>104.80000000000001</v>
      </c>
      <c r="Q414">
        <f>[5]m!$B416</f>
        <v>103.5</v>
      </c>
      <c r="R414">
        <f>[5]m!$D416</f>
        <v>104.10000000000001</v>
      </c>
      <c r="S414">
        <f>[5]m!$Q416</f>
        <v>104.10000000000001</v>
      </c>
      <c r="T414">
        <f>[6]m!B416</f>
        <v>-33932</v>
      </c>
      <c r="U414" s="2">
        <f>[9]Unemployment!$F296</f>
        <v>18.8</v>
      </c>
      <c r="V414" s="2">
        <f>[9]Unemployment!$G296</f>
        <v>9.1</v>
      </c>
      <c r="W414">
        <f>[9]Unemployment!$E296</f>
        <v>8456</v>
      </c>
      <c r="X414">
        <f>[9]Unemployment!N296</f>
        <v>3167</v>
      </c>
      <c r="Y414">
        <f>[9]Unemployment!O296</f>
        <v>2387</v>
      </c>
      <c r="Z414">
        <f>[9]Unemployment!P296-[9]Unemployment!Q296</f>
        <v>1193</v>
      </c>
      <c r="AA414">
        <f>[9]Unemployment!$Q296</f>
        <v>1691</v>
      </c>
      <c r="AB414" s="2">
        <f>[8]m!$B416</f>
        <v>9.74</v>
      </c>
      <c r="AC414" s="2">
        <f>[8]m!$F416</f>
        <v>13.41</v>
      </c>
      <c r="AD414">
        <f>[9]Employment!$B296</f>
        <v>94082</v>
      </c>
      <c r="AE414" s="2">
        <f>[2]Indicators!$AB296</f>
        <v>53.980800000000002</v>
      </c>
      <c r="AF414" s="2">
        <f>[8]m!$AS416</f>
        <v>472.40000000000003</v>
      </c>
      <c r="AG414" s="2">
        <f>[8]m!$H416</f>
        <v>13.280000000000001</v>
      </c>
      <c r="AH414" s="2">
        <f>[8]m!$I416</f>
        <v>14.74</v>
      </c>
      <c r="AI414" s="2">
        <f>[7]m!C415</f>
        <v>23519</v>
      </c>
      <c r="AJ414" s="2">
        <f>[7]m!D415</f>
        <v>33695</v>
      </c>
      <c r="AK414" s="2">
        <f>[2]Surveys_m!$AB296</f>
        <v>58.6</v>
      </c>
      <c r="AL414" s="4">
        <f t="shared" si="6"/>
        <v>4250.9284332688576</v>
      </c>
      <c r="AN414" s="2">
        <v>86</v>
      </c>
      <c r="AQ414" s="3">
        <f>[9]LaborForce!$B295*[9]LaborForce!$C295/100</f>
        <v>113599.33500000001</v>
      </c>
      <c r="AR414">
        <f>[9]Unemployment!$AC296</f>
        <v>375</v>
      </c>
      <c r="AS414">
        <f>[2]Indicators!BC296</f>
        <v>54</v>
      </c>
      <c r="AT414">
        <f>[2]Indicators!BD296</f>
        <v>56.948600000000006</v>
      </c>
      <c r="AU414">
        <f>[2]Indicators!BE296</f>
        <v>103.4616</v>
      </c>
    </row>
    <row r="415" spans="1:47" x14ac:dyDescent="0.25">
      <c r="A415" s="1">
        <v>30834</v>
      </c>
      <c r="B415" s="2">
        <f>[2]Indicators!G297</f>
        <v>2504.1950000000002</v>
      </c>
      <c r="C415" s="2">
        <f>[2]Indicators!H297</f>
        <v>346.12299999999999</v>
      </c>
      <c r="D415" s="2">
        <f>[2]Indicators!I297</f>
        <v>730.87700000000007</v>
      </c>
      <c r="E415" s="2">
        <f>[2]Indicators!J297</f>
        <v>1427.1949999999999</v>
      </c>
      <c r="L415" s="2">
        <f>[2]Indicators!N297</f>
        <v>14.673</v>
      </c>
      <c r="M415" s="2">
        <f>[2]Indicators!AB297</f>
        <v>54.1691</v>
      </c>
      <c r="N415" s="2">
        <f>[8]m!$C417</f>
        <v>11.06</v>
      </c>
      <c r="O415">
        <f>[9]Unemployment!$B297</f>
        <v>7.2</v>
      </c>
      <c r="P415" s="2">
        <f>[2]Surveys_m!$B297</f>
        <v>105.80000000000001</v>
      </c>
      <c r="Q415">
        <f>[5]m!$B417</f>
        <v>103.7</v>
      </c>
      <c r="R415">
        <f>[5]m!$D417</f>
        <v>104.5</v>
      </c>
      <c r="S415">
        <f>[5]m!$Q417</f>
        <v>104</v>
      </c>
      <c r="T415">
        <f>[6]m!B417</f>
        <v>-2000</v>
      </c>
      <c r="U415" s="2">
        <f>[9]Unemployment!$F297</f>
        <v>18.100000000000001</v>
      </c>
      <c r="V415" s="2">
        <f>[9]Unemployment!$G297</f>
        <v>7.5</v>
      </c>
      <c r="W415">
        <f>[9]Unemployment!$E297</f>
        <v>8226</v>
      </c>
      <c r="X415">
        <f>[9]Unemployment!N297</f>
        <v>3261</v>
      </c>
      <c r="Y415">
        <f>[9]Unemployment!O297</f>
        <v>2273</v>
      </c>
      <c r="Z415">
        <f>[9]Unemployment!P297-[9]Unemployment!Q297</f>
        <v>1036</v>
      </c>
      <c r="AA415">
        <f>[9]Unemployment!$Q297</f>
        <v>1576</v>
      </c>
      <c r="AB415" s="2">
        <f>[8]m!$B417</f>
        <v>9.9</v>
      </c>
      <c r="AC415" s="2">
        <f>[8]m!$F417</f>
        <v>13.56</v>
      </c>
      <c r="AD415">
        <f>[9]Employment!$B297</f>
        <v>94461</v>
      </c>
      <c r="AE415" s="2">
        <f>[2]Indicators!$AB297</f>
        <v>54.1691</v>
      </c>
      <c r="AF415" s="2">
        <f>[8]m!$AS417</f>
        <v>481</v>
      </c>
      <c r="AG415" s="2">
        <f>[8]m!$H417</f>
        <v>13.55</v>
      </c>
      <c r="AH415" s="2">
        <f>[8]m!$I417</f>
        <v>15.05</v>
      </c>
      <c r="AI415" s="2">
        <f>[7]m!C416</f>
        <v>23977</v>
      </c>
      <c r="AJ415" s="2">
        <f>[7]m!D416</f>
        <v>31633</v>
      </c>
      <c r="AK415" s="2">
        <f>[2]Surveys_m!$AB297</f>
        <v>58.1</v>
      </c>
      <c r="AL415" s="4">
        <f t="shared" si="6"/>
        <v>4300.3578336557048</v>
      </c>
      <c r="AN415" s="2">
        <v>87</v>
      </c>
      <c r="AQ415" s="3">
        <f>[9]LaborForce!$B296*[9]LaborForce!$C296/100</f>
        <v>113879.46400000002</v>
      </c>
      <c r="AR415">
        <f>[9]Unemployment!$AC297</f>
        <v>355</v>
      </c>
      <c r="AS415">
        <f>[2]Indicators!BC297</f>
        <v>53.800000000000004</v>
      </c>
      <c r="AT415">
        <f>[2]Indicators!BD297</f>
        <v>56.695399999999999</v>
      </c>
      <c r="AU415">
        <f>[2]Indicators!BE297</f>
        <v>102.7659</v>
      </c>
    </row>
    <row r="416" spans="1:47" x14ac:dyDescent="0.25">
      <c r="A416" s="1">
        <v>30864</v>
      </c>
      <c r="B416" s="2">
        <f>[2]Indicators!G298</f>
        <v>2503.5320000000002</v>
      </c>
      <c r="C416" s="2">
        <f>[2]Indicators!H298</f>
        <v>341.51100000000002</v>
      </c>
      <c r="D416" s="2">
        <f>[2]Indicators!I298</f>
        <v>720.19600000000003</v>
      </c>
      <c r="E416" s="2">
        <f>[2]Indicators!J298</f>
        <v>1441.825</v>
      </c>
      <c r="L416" s="2">
        <f>[2]Indicators!N298</f>
        <v>14.758000000000001</v>
      </c>
      <c r="M416" s="2">
        <f>[2]Indicators!AB298</f>
        <v>54.3551</v>
      </c>
      <c r="N416" s="2">
        <f>[8]m!$C418</f>
        <v>11.23</v>
      </c>
      <c r="O416">
        <f>[9]Unemployment!$B298</f>
        <v>7.5</v>
      </c>
      <c r="P416" s="2">
        <f>[2]Surveys_m!$B298</f>
        <v>100.4</v>
      </c>
      <c r="Q416">
        <f>[5]m!$B418</f>
        <v>104.10000000000001</v>
      </c>
      <c r="R416">
        <f>[5]m!$D418</f>
        <v>105</v>
      </c>
      <c r="S416">
        <f>[5]m!$Q418</f>
        <v>104.2</v>
      </c>
      <c r="T416">
        <f>[6]m!B418</f>
        <v>-16416</v>
      </c>
      <c r="U416" s="2">
        <f>[9]Unemployment!$F298</f>
        <v>18</v>
      </c>
      <c r="V416" s="2">
        <f>[9]Unemployment!$G298</f>
        <v>7.5</v>
      </c>
      <c r="W416">
        <f>[9]Unemployment!$E298</f>
        <v>8537</v>
      </c>
      <c r="X416">
        <f>[9]Unemployment!N298</f>
        <v>3392</v>
      </c>
      <c r="Y416">
        <f>[9]Unemployment!O298</f>
        <v>2472</v>
      </c>
      <c r="Z416">
        <f>[9]Unemployment!P298-[9]Unemployment!Q298</f>
        <v>1048</v>
      </c>
      <c r="AA416">
        <f>[9]Unemployment!$Q298</f>
        <v>1590</v>
      </c>
      <c r="AB416" s="2">
        <f>[8]m!$B418</f>
        <v>10.4</v>
      </c>
      <c r="AC416" s="2">
        <f>[8]m!$F418</f>
        <v>13.36</v>
      </c>
      <c r="AD416">
        <f>[9]Employment!$B298</f>
        <v>94773</v>
      </c>
      <c r="AE416" s="2">
        <f>[2]Indicators!$AB298</f>
        <v>54.3551</v>
      </c>
      <c r="AF416" s="2">
        <f>[8]m!$AS418</f>
        <v>487.1</v>
      </c>
      <c r="AG416" s="2">
        <f>[8]m!$H418</f>
        <v>13.44</v>
      </c>
      <c r="AH416" s="2">
        <f>[8]m!$I418</f>
        <v>15.15</v>
      </c>
      <c r="AI416" s="2">
        <f>[7]m!C417</f>
        <v>23704</v>
      </c>
      <c r="AJ416" s="2">
        <f>[7]m!D417</f>
        <v>30897</v>
      </c>
      <c r="AK416" s="2">
        <f>[2]Surveys_m!$AB298</f>
        <v>56.1</v>
      </c>
      <c r="AL416" s="4">
        <f t="shared" si="6"/>
        <v>4399.2166344293992</v>
      </c>
      <c r="AN416" s="2">
        <v>89</v>
      </c>
      <c r="AQ416" s="3">
        <f>[9]LaborForce!$B297*[9]LaborForce!$C297/100</f>
        <v>113980.24000000002</v>
      </c>
      <c r="AR416">
        <f>[9]Unemployment!$AC298</f>
        <v>360</v>
      </c>
      <c r="AS416">
        <f>[2]Indicators!BC298</f>
        <v>54</v>
      </c>
      <c r="AT416">
        <f>[2]Indicators!BD298</f>
        <v>56.455300000000001</v>
      </c>
      <c r="AU416">
        <f>[2]Indicators!BE298</f>
        <v>102.09360000000001</v>
      </c>
    </row>
    <row r="417" spans="1:47" x14ac:dyDescent="0.25">
      <c r="A417" s="1">
        <v>30895</v>
      </c>
      <c r="B417" s="2">
        <f>[2]Indicators!G299</f>
        <v>2521.4230000000002</v>
      </c>
      <c r="C417" s="2">
        <f>[2]Indicators!H299</f>
        <v>339.745</v>
      </c>
      <c r="D417" s="2">
        <f>[2]Indicators!I299</f>
        <v>721.85199999999998</v>
      </c>
      <c r="E417" s="2">
        <f>[2]Indicators!J299</f>
        <v>1459.826</v>
      </c>
      <c r="L417" s="2">
        <f>[2]Indicators!N299</f>
        <v>14.279</v>
      </c>
      <c r="M417" s="2">
        <f>[2]Indicators!AB299</f>
        <v>54.3842</v>
      </c>
      <c r="N417" s="2">
        <f>[8]m!$C419</f>
        <v>11.64</v>
      </c>
      <c r="O417">
        <f>[9]Unemployment!$B299</f>
        <v>7.5</v>
      </c>
      <c r="P417" s="2">
        <f>[2]Surveys_m!$B299</f>
        <v>103.10000000000001</v>
      </c>
      <c r="Q417">
        <f>[5]m!$B419</f>
        <v>104.4</v>
      </c>
      <c r="R417">
        <f>[5]m!$D419</f>
        <v>105.4</v>
      </c>
      <c r="S417">
        <f>[5]m!$Q419</f>
        <v>103.80000000000001</v>
      </c>
      <c r="T417">
        <f>[6]m!B419</f>
        <v>-33498</v>
      </c>
      <c r="U417" s="2">
        <f>[9]Unemployment!$F299</f>
        <v>17.3</v>
      </c>
      <c r="V417" s="2">
        <f>[9]Unemployment!$G299</f>
        <v>7.3000000000000007</v>
      </c>
      <c r="W417">
        <f>[9]Unemployment!$E299</f>
        <v>8519</v>
      </c>
      <c r="X417">
        <f>[9]Unemployment!N299</f>
        <v>3567</v>
      </c>
      <c r="Y417">
        <f>[9]Unemployment!O299</f>
        <v>2415</v>
      </c>
      <c r="Z417">
        <f>[9]Unemployment!P299-[9]Unemployment!Q299</f>
        <v>1089</v>
      </c>
      <c r="AA417">
        <f>[9]Unemployment!$Q299</f>
        <v>1515</v>
      </c>
      <c r="AB417" s="2">
        <f>[8]m!$B419</f>
        <v>10.71</v>
      </c>
      <c r="AC417" s="2">
        <f>[8]m!$F419</f>
        <v>12.72</v>
      </c>
      <c r="AD417">
        <f>[9]Employment!$B299</f>
        <v>95014</v>
      </c>
      <c r="AE417" s="2">
        <f>[2]Indicators!$AB299</f>
        <v>54.3842</v>
      </c>
      <c r="AF417" s="2">
        <f>[8]m!$AS419</f>
        <v>494.1</v>
      </c>
      <c r="AG417" s="2">
        <f>[8]m!$H419</f>
        <v>12.870000000000001</v>
      </c>
      <c r="AH417" s="2">
        <f>[8]m!$I419</f>
        <v>14.63</v>
      </c>
      <c r="AI417" s="2">
        <f>[7]m!C418</f>
        <v>25111</v>
      </c>
      <c r="AJ417" s="2">
        <f>[7]m!D418</f>
        <v>37049</v>
      </c>
      <c r="AK417" s="2">
        <f>[2]Surveys_m!$AB299</f>
        <v>53</v>
      </c>
      <c r="AL417" s="4">
        <f t="shared" si="6"/>
        <v>4250.9284332688576</v>
      </c>
      <c r="AN417" s="2">
        <v>86</v>
      </c>
      <c r="AQ417" s="3">
        <f>[9]LaborForce!$B298*[9]LaborForce!$C298/100</f>
        <v>113719.452</v>
      </c>
      <c r="AR417">
        <f>[9]Unemployment!$AC299</f>
        <v>359</v>
      </c>
      <c r="AS417">
        <f>[2]Indicators!BC299</f>
        <v>53.800000000000004</v>
      </c>
      <c r="AT417">
        <f>[2]Indicators!BD299</f>
        <v>56.260400000000004</v>
      </c>
      <c r="AU417">
        <f>[2]Indicators!BE299</f>
        <v>101.5027</v>
      </c>
    </row>
    <row r="418" spans="1:47" x14ac:dyDescent="0.25">
      <c r="A418" s="1">
        <v>30926</v>
      </c>
      <c r="B418" s="2">
        <f>[2]Indicators!G300</f>
        <v>2543.31</v>
      </c>
      <c r="C418" s="2">
        <f>[2]Indicators!H300</f>
        <v>344.96699999999998</v>
      </c>
      <c r="D418" s="2">
        <f>[2]Indicators!I300</f>
        <v>731.65300000000002</v>
      </c>
      <c r="E418" s="2">
        <f>[2]Indicators!J300</f>
        <v>1466.69</v>
      </c>
      <c r="L418" s="2">
        <f>[2]Indicators!N300</f>
        <v>13.959</v>
      </c>
      <c r="M418" s="2">
        <f>[2]Indicators!AB300</f>
        <v>54.300699999999999</v>
      </c>
      <c r="N418" s="2">
        <f>[8]m!$C420</f>
        <v>11.3</v>
      </c>
      <c r="O418">
        <f>[9]Unemployment!$B300</f>
        <v>7.3000000000000007</v>
      </c>
      <c r="P418" s="2">
        <f>[2]Surveys_m!$B300</f>
        <v>100</v>
      </c>
      <c r="Q418">
        <f>[5]m!$B420</f>
        <v>104.7</v>
      </c>
      <c r="R418">
        <f>[5]m!$D420</f>
        <v>105.8</v>
      </c>
      <c r="S418">
        <f>[5]m!$Q420</f>
        <v>103.4</v>
      </c>
      <c r="T418">
        <f>[6]m!B420</f>
        <v>16785</v>
      </c>
      <c r="U418" s="2">
        <f>[9]Unemployment!$F300</f>
        <v>17</v>
      </c>
      <c r="V418" s="2">
        <f>[9]Unemployment!$G300</f>
        <v>7.6000000000000005</v>
      </c>
      <c r="W418">
        <f>[9]Unemployment!$E300</f>
        <v>8367</v>
      </c>
      <c r="X418">
        <f>[9]Unemployment!N300</f>
        <v>3325</v>
      </c>
      <c r="Y418">
        <f>[9]Unemployment!O300</f>
        <v>2558</v>
      </c>
      <c r="Z418">
        <f>[9]Unemployment!P300-[9]Unemployment!Q300</f>
        <v>1087</v>
      </c>
      <c r="AA418">
        <f>[9]Unemployment!$Q300</f>
        <v>1451</v>
      </c>
      <c r="AB418" s="2">
        <f>[8]m!$B420</f>
        <v>10.220000000000001</v>
      </c>
      <c r="AC418" s="2">
        <f>[8]m!$F420</f>
        <v>12.52</v>
      </c>
      <c r="AD418">
        <f>[9]Employment!$B300</f>
        <v>95325</v>
      </c>
      <c r="AE418" s="2">
        <f>[2]Indicators!$AB300</f>
        <v>54.300699999999999</v>
      </c>
      <c r="AF418" s="2">
        <f>[8]m!$AS420</f>
        <v>498.5</v>
      </c>
      <c r="AG418" s="2">
        <f>[8]m!$H420</f>
        <v>12.66</v>
      </c>
      <c r="AH418" s="2">
        <f>[8]m!$I420</f>
        <v>14.35</v>
      </c>
      <c r="AI418" s="2">
        <f>[7]m!C419</f>
        <v>24080</v>
      </c>
      <c r="AJ418" s="2">
        <f>[7]m!D419</f>
        <v>32581</v>
      </c>
      <c r="AK418" s="2">
        <f>[2]Surveys_m!$AB300</f>
        <v>50</v>
      </c>
      <c r="AL418" s="4">
        <f t="shared" si="6"/>
        <v>4349.787234042552</v>
      </c>
      <c r="AN418" s="2">
        <v>88</v>
      </c>
      <c r="AQ418" s="3">
        <f>[9]LaborForce!$B299*[9]LaborForce!$C299/100</f>
        <v>113835.37200000002</v>
      </c>
      <c r="AR418">
        <f>[9]Unemployment!$AC300</f>
        <v>385</v>
      </c>
      <c r="AS418">
        <f>[2]Indicators!BC300</f>
        <v>53.7</v>
      </c>
      <c r="AT418">
        <f>[2]Indicators!BD300</f>
        <v>56.139100000000006</v>
      </c>
      <c r="AU418">
        <f>[2]Indicators!BE300</f>
        <v>101.04390000000001</v>
      </c>
    </row>
    <row r="419" spans="1:47" x14ac:dyDescent="0.25">
      <c r="A419" s="1">
        <v>30956</v>
      </c>
      <c r="B419" s="2">
        <f>[2]Indicators!G301</f>
        <v>2541.2440000000001</v>
      </c>
      <c r="C419" s="2">
        <f>[2]Indicators!H301</f>
        <v>343.041</v>
      </c>
      <c r="D419" s="2">
        <f>[2]Indicators!I301</f>
        <v>728.74400000000003</v>
      </c>
      <c r="E419" s="2">
        <f>[2]Indicators!J301</f>
        <v>1469.4590000000001</v>
      </c>
      <c r="L419" s="2">
        <f>[2]Indicators!N301</f>
        <v>14.641999999999999</v>
      </c>
      <c r="M419" s="2">
        <f>[2]Indicators!AB301</f>
        <v>54.226400000000005</v>
      </c>
      <c r="N419" s="2">
        <f>[8]m!$C421</f>
        <v>9.99</v>
      </c>
      <c r="O419">
        <f>[9]Unemployment!$B301</f>
        <v>7.4</v>
      </c>
      <c r="P419" s="2">
        <f>[2]Surveys_m!$B301</f>
        <v>99.100000000000009</v>
      </c>
      <c r="Q419">
        <f>[5]m!$B421</f>
        <v>105.10000000000001</v>
      </c>
      <c r="R419">
        <f>[5]m!$D421</f>
        <v>106.2</v>
      </c>
      <c r="S419">
        <f>[5]m!$Q421</f>
        <v>103.4</v>
      </c>
      <c r="T419">
        <f>[6]m!B421</f>
        <v>-28009</v>
      </c>
      <c r="U419" s="2">
        <f>[9]Unemployment!$F301</f>
        <v>16.7</v>
      </c>
      <c r="V419" s="2">
        <f>[9]Unemployment!$G301</f>
        <v>7.2</v>
      </c>
      <c r="W419">
        <f>[9]Unemployment!$E301</f>
        <v>8381</v>
      </c>
      <c r="X419">
        <f>[9]Unemployment!N301</f>
        <v>3423</v>
      </c>
      <c r="Y419">
        <f>[9]Unemployment!O301</f>
        <v>2392</v>
      </c>
      <c r="Z419">
        <f>[9]Unemployment!P301-[9]Unemployment!Q301</f>
        <v>1099</v>
      </c>
      <c r="AA419">
        <f>[9]Unemployment!$Q301</f>
        <v>1427</v>
      </c>
      <c r="AB419" s="2">
        <f>[8]m!$B421</f>
        <v>8.99</v>
      </c>
      <c r="AC419" s="2">
        <f>[8]m!$F421</f>
        <v>12.16</v>
      </c>
      <c r="AD419">
        <f>[9]Employment!$B301</f>
        <v>95611</v>
      </c>
      <c r="AE419" s="2">
        <f>[2]Indicators!$AB301</f>
        <v>54.226400000000005</v>
      </c>
      <c r="AF419" s="2">
        <f>[8]m!$AS421</f>
        <v>504.70000000000005</v>
      </c>
      <c r="AG419" s="2">
        <f>[8]m!$H421</f>
        <v>12.63</v>
      </c>
      <c r="AH419" s="2">
        <f>[8]m!$I421</f>
        <v>13.94</v>
      </c>
      <c r="AI419" s="2">
        <f>[7]m!C420</f>
        <v>24167</v>
      </c>
      <c r="AJ419" s="2">
        <f>[7]m!D420</f>
        <v>34124</v>
      </c>
      <c r="AK419" s="2">
        <f>[2]Surveys_m!$AB301</f>
        <v>50.800000000000004</v>
      </c>
      <c r="AL419" s="4">
        <f t="shared" si="6"/>
        <v>4399.2166344293992</v>
      </c>
      <c r="AN419" s="2">
        <v>89</v>
      </c>
      <c r="AQ419" s="3">
        <f>[9]LaborForce!$B300*[9]LaborForce!$C300/100</f>
        <v>113959.664</v>
      </c>
      <c r="AR419">
        <f>[9]Unemployment!$AC301</f>
        <v>402</v>
      </c>
      <c r="AS419">
        <f>[2]Indicators!BC301</f>
        <v>53.6</v>
      </c>
      <c r="AT419">
        <f>[2]Indicators!BD301</f>
        <v>56.096600000000002</v>
      </c>
      <c r="AU419">
        <f>[2]Indicators!BE301</f>
        <v>100.72620000000001</v>
      </c>
    </row>
    <row r="420" spans="1:47" x14ac:dyDescent="0.25">
      <c r="A420" s="1">
        <v>30987</v>
      </c>
      <c r="B420" s="2">
        <f>[2]Indicators!G302</f>
        <v>2581.6309999999999</v>
      </c>
      <c r="C420" s="2">
        <f>[2]Indicators!H302</f>
        <v>358.42200000000003</v>
      </c>
      <c r="D420" s="2">
        <f>[2]Indicators!I302</f>
        <v>736.69600000000003</v>
      </c>
      <c r="E420" s="2">
        <f>[2]Indicators!J302</f>
        <v>1486.5119999999999</v>
      </c>
      <c r="L420" s="2">
        <f>[2]Indicators!N302</f>
        <v>14.774000000000001</v>
      </c>
      <c r="M420" s="2">
        <f>[2]Indicators!AB302</f>
        <v>54.430900000000001</v>
      </c>
      <c r="N420" s="2">
        <f>[8]m!$C422</f>
        <v>9.43</v>
      </c>
      <c r="O420">
        <f>[9]Unemployment!$B302</f>
        <v>7.2</v>
      </c>
      <c r="P420" s="2">
        <f>[2]Surveys_m!$B302</f>
        <v>105.5</v>
      </c>
      <c r="Q420">
        <f>[5]m!$B422</f>
        <v>105.3</v>
      </c>
      <c r="R420">
        <f>[5]m!$D422</f>
        <v>106.4</v>
      </c>
      <c r="S420">
        <f>[5]m!$Q422</f>
        <v>103.7</v>
      </c>
      <c r="T420">
        <f>[6]m!B422</f>
        <v>-28896</v>
      </c>
      <c r="U420" s="2">
        <f>[9]Unemployment!$F302</f>
        <v>17</v>
      </c>
      <c r="V420" s="2">
        <f>[9]Unemployment!$G302</f>
        <v>7.2</v>
      </c>
      <c r="W420">
        <f>[9]Unemployment!$E302</f>
        <v>8198</v>
      </c>
      <c r="X420">
        <f>[9]Unemployment!N302</f>
        <v>3392</v>
      </c>
      <c r="Y420">
        <f>[9]Unemployment!O302</f>
        <v>2356</v>
      </c>
      <c r="Z420">
        <f>[9]Unemployment!P302-[9]Unemployment!Q302</f>
        <v>1016</v>
      </c>
      <c r="AA420">
        <f>[9]Unemployment!$Q302</f>
        <v>1422</v>
      </c>
      <c r="AB420" s="2">
        <f>[8]m!$B422</f>
        <v>8.42</v>
      </c>
      <c r="AC420" s="2">
        <f>[8]m!$F422</f>
        <v>11.57</v>
      </c>
      <c r="AD420">
        <f>[9]Employment!$B302</f>
        <v>95960</v>
      </c>
      <c r="AE420" s="2">
        <f>[2]Indicators!$AB302</f>
        <v>54.430900000000001</v>
      </c>
      <c r="AF420" s="2">
        <f>[8]m!$AS422</f>
        <v>510.20000000000005</v>
      </c>
      <c r="AG420" s="2">
        <f>[8]m!$H422</f>
        <v>12.290000000000001</v>
      </c>
      <c r="AH420" s="2">
        <f>[8]m!$I422</f>
        <v>13.48</v>
      </c>
      <c r="AI420" s="2">
        <f>[7]m!C421</f>
        <v>24339</v>
      </c>
      <c r="AJ420" s="2">
        <f>[7]m!D421</f>
        <v>32631</v>
      </c>
      <c r="AK420" s="2">
        <f>[2]Surveys_m!$AB302</f>
        <v>50.300000000000004</v>
      </c>
      <c r="AL420" s="4">
        <f t="shared" si="6"/>
        <v>4349.787234042552</v>
      </c>
      <c r="AN420" s="2">
        <v>88</v>
      </c>
      <c r="AQ420" s="3">
        <f>[9]LaborForce!$B301*[9]LaborForce!$C301/100</f>
        <v>114252.075</v>
      </c>
      <c r="AR420">
        <f>[9]Unemployment!$AC302</f>
        <v>425</v>
      </c>
      <c r="AS420">
        <f>[2]Indicators!BC302</f>
        <v>54</v>
      </c>
      <c r="AT420">
        <f>[2]Indicators!BD302</f>
        <v>56.1252</v>
      </c>
      <c r="AU420">
        <f>[2]Indicators!BE302</f>
        <v>100.53440000000001</v>
      </c>
    </row>
    <row r="421" spans="1:47" x14ac:dyDescent="0.25">
      <c r="A421" s="1">
        <v>31017</v>
      </c>
      <c r="B421" s="2">
        <f>[2]Indicators!G303</f>
        <v>2593.038</v>
      </c>
      <c r="C421" s="2">
        <f>[2]Indicators!H303</f>
        <v>360.05599999999998</v>
      </c>
      <c r="D421" s="2">
        <f>[2]Indicators!I303</f>
        <v>732.90300000000002</v>
      </c>
      <c r="E421" s="2">
        <f>[2]Indicators!J303</f>
        <v>1500.078</v>
      </c>
      <c r="L421" s="2">
        <f>[2]Indicators!N303</f>
        <v>14.602</v>
      </c>
      <c r="M421" s="2">
        <f>[2]Indicators!AB303</f>
        <v>54.4923</v>
      </c>
      <c r="N421" s="2">
        <f>[8]m!$C423</f>
        <v>8.3800000000000008</v>
      </c>
      <c r="O421">
        <f>[9]Unemployment!$B303</f>
        <v>7.3000000000000007</v>
      </c>
      <c r="P421" s="2">
        <f>[2]Surveys_m!$B303</f>
        <v>97</v>
      </c>
      <c r="Q421">
        <f>[5]m!$B423</f>
        <v>105.5</v>
      </c>
      <c r="R421">
        <f>[5]m!$D423</f>
        <v>106.8</v>
      </c>
      <c r="S421">
        <f>[5]m!$Q423</f>
        <v>103.5</v>
      </c>
      <c r="T421">
        <f>[6]m!B423</f>
        <v>-14568</v>
      </c>
      <c r="U421" s="2">
        <f>[9]Unemployment!$F303</f>
        <v>16.8</v>
      </c>
      <c r="V421" s="2">
        <f>[9]Unemployment!$G303</f>
        <v>7.3000000000000007</v>
      </c>
      <c r="W421">
        <f>[9]Unemployment!$E303</f>
        <v>8358</v>
      </c>
      <c r="X421">
        <f>[9]Unemployment!N303</f>
        <v>3371</v>
      </c>
      <c r="Y421">
        <f>[9]Unemployment!O303</f>
        <v>2578</v>
      </c>
      <c r="Z421">
        <f>[9]Unemployment!P303-[9]Unemployment!Q303</f>
        <v>1008</v>
      </c>
      <c r="AA421">
        <f>[9]Unemployment!$Q303</f>
        <v>1393</v>
      </c>
      <c r="AB421" s="2">
        <f>[8]m!$B423</f>
        <v>7.84</v>
      </c>
      <c r="AC421" s="2">
        <f>[8]m!$F423</f>
        <v>11.5</v>
      </c>
      <c r="AD421">
        <f>[9]Employment!$B303</f>
        <v>96087</v>
      </c>
      <c r="AE421" s="2">
        <f>[2]Indicators!$AB303</f>
        <v>54.4923</v>
      </c>
      <c r="AF421" s="2">
        <f>[8]m!$AS423</f>
        <v>517.30000000000007</v>
      </c>
      <c r="AG421" s="2">
        <f>[8]m!$H423</f>
        <v>12.13</v>
      </c>
      <c r="AH421" s="2">
        <f>[8]m!$I423</f>
        <v>13.4</v>
      </c>
      <c r="AI421" s="2">
        <f>[7]m!C422</f>
        <v>24323</v>
      </c>
      <c r="AJ421" s="2">
        <f>[7]m!D422</f>
        <v>33179</v>
      </c>
      <c r="AK421" s="2">
        <f>[2]Surveys_m!$AB303</f>
        <v>50.6</v>
      </c>
      <c r="AL421" s="4">
        <f t="shared" si="6"/>
        <v>4498.0754352030935</v>
      </c>
      <c r="AN421" s="2">
        <v>91</v>
      </c>
      <c r="AQ421" s="3">
        <f>[9]LaborForce!$B302*[9]LaborForce!$C302/100</f>
        <v>114539.67600000002</v>
      </c>
      <c r="AR421">
        <f>[9]Unemployment!$AC303</f>
        <v>401</v>
      </c>
      <c r="AS421">
        <f>[2]Indicators!BC303</f>
        <v>54.4</v>
      </c>
      <c r="AT421">
        <f>[2]Indicators!BD303</f>
        <v>56.201800000000006</v>
      </c>
      <c r="AU421">
        <f>[2]Indicators!BE303</f>
        <v>100.4269</v>
      </c>
    </row>
    <row r="422" spans="1:47" x14ac:dyDescent="0.25">
      <c r="A422" s="1">
        <v>31048</v>
      </c>
      <c r="B422" s="2">
        <f>[2]Indicators!G304</f>
        <v>2627.3110000000001</v>
      </c>
      <c r="C422" s="2">
        <f>[2]Indicators!H304</f>
        <v>365.512</v>
      </c>
      <c r="D422" s="2">
        <f>[2]Indicators!I304</f>
        <v>737.01</v>
      </c>
      <c r="E422" s="2">
        <f>[2]Indicators!J304</f>
        <v>1524.789</v>
      </c>
      <c r="L422" s="2">
        <f>[2]Indicators!N304</f>
        <v>15.563000000000001</v>
      </c>
      <c r="M422" s="2">
        <f>[2]Indicators!AB304</f>
        <v>54.360800000000005</v>
      </c>
      <c r="N422" s="2">
        <f>[8]m!$C424</f>
        <v>8.35</v>
      </c>
      <c r="O422">
        <f>[9]Unemployment!$B304</f>
        <v>7.3000000000000007</v>
      </c>
      <c r="P422" s="2">
        <f>[2]Surveys_m!$B304</f>
        <v>102</v>
      </c>
      <c r="Q422">
        <f>[5]m!$B424</f>
        <v>105.7</v>
      </c>
      <c r="R422">
        <f>[5]m!$D424</f>
        <v>107.10000000000001</v>
      </c>
      <c r="S422">
        <f>[5]m!$Q424</f>
        <v>103.4</v>
      </c>
      <c r="T422">
        <f>[6]m!B424</f>
        <v>-7992</v>
      </c>
      <c r="U422" s="2">
        <f>[9]Unemployment!$F304</f>
        <v>15.9</v>
      </c>
      <c r="V422" s="2">
        <f>[9]Unemployment!$G304</f>
        <v>6.8000000000000007</v>
      </c>
      <c r="W422">
        <f>[9]Unemployment!$E304</f>
        <v>8423</v>
      </c>
      <c r="X422">
        <f>[9]Unemployment!N304</f>
        <v>3667</v>
      </c>
      <c r="Y422">
        <f>[9]Unemployment!O304</f>
        <v>2536</v>
      </c>
      <c r="Z422">
        <f>[9]Unemployment!P304-[9]Unemployment!Q304</f>
        <v>969</v>
      </c>
      <c r="AA422">
        <f>[9]Unemployment!$Q304</f>
        <v>1315</v>
      </c>
      <c r="AB422" s="2">
        <f>[8]m!$B424</f>
        <v>8.02</v>
      </c>
      <c r="AC422" s="2">
        <f>[8]m!$F424</f>
        <v>11.38</v>
      </c>
      <c r="AD422">
        <f>[9]Employment!$B304</f>
        <v>96353</v>
      </c>
      <c r="AE422" s="2">
        <f>[2]Indicators!$AB304</f>
        <v>54.360800000000005</v>
      </c>
      <c r="AF422" s="2">
        <f>[8]m!$AS424</f>
        <v>524</v>
      </c>
      <c r="AG422" s="2">
        <f>[8]m!$H424</f>
        <v>12.08</v>
      </c>
      <c r="AH422" s="2">
        <f>[8]m!$I424</f>
        <v>13.26</v>
      </c>
      <c r="AI422" s="2">
        <f>[7]m!C423</f>
        <v>25070</v>
      </c>
      <c r="AJ422" s="2">
        <f>[7]m!D423</f>
        <v>31781</v>
      </c>
      <c r="AK422" s="2">
        <f>[2]Surveys_m!$AB304</f>
        <v>50.300000000000004</v>
      </c>
      <c r="AL422" s="4">
        <f t="shared" si="6"/>
        <v>4399.2166344293992</v>
      </c>
      <c r="AN422" s="2">
        <v>89</v>
      </c>
      <c r="AQ422" s="3">
        <f>[9]LaborForce!$B303*[9]LaborForce!$C303/100</f>
        <v>114767.448</v>
      </c>
      <c r="AR422">
        <f>[9]Unemployment!$AC304</f>
        <v>379</v>
      </c>
      <c r="AS422">
        <f>[2]Indicators!BC304</f>
        <v>54.9</v>
      </c>
      <c r="AT422">
        <f>[2]Indicators!BD304</f>
        <v>56.307500000000005</v>
      </c>
      <c r="AU422">
        <f>[2]Indicators!BE304</f>
        <v>100.3695</v>
      </c>
    </row>
    <row r="423" spans="1:47" x14ac:dyDescent="0.25">
      <c r="A423" s="1">
        <v>31079</v>
      </c>
      <c r="B423" s="2">
        <f>[2]Indicators!G305</f>
        <v>2647.9960000000001</v>
      </c>
      <c r="C423" s="2">
        <f>[2]Indicators!H305</f>
        <v>364.87700000000001</v>
      </c>
      <c r="D423" s="2">
        <f>[2]Indicators!I305</f>
        <v>745.73099999999999</v>
      </c>
      <c r="E423" s="2">
        <f>[2]Indicators!J305</f>
        <v>1537.3879999999999</v>
      </c>
      <c r="L423" s="2">
        <f>[2]Indicators!N305</f>
        <v>15.724</v>
      </c>
      <c r="M423" s="2">
        <f>[2]Indicators!AB305</f>
        <v>54.594100000000005</v>
      </c>
      <c r="N423" s="2">
        <f>[8]m!$C425</f>
        <v>8.5</v>
      </c>
      <c r="O423">
        <f>[9]Unemployment!$B305</f>
        <v>7.2</v>
      </c>
      <c r="P423" s="2">
        <f>[2]Surveys_m!$B305</f>
        <v>103.10000000000001</v>
      </c>
      <c r="Q423">
        <f>[5]m!$B425</f>
        <v>106.3</v>
      </c>
      <c r="R423">
        <f>[5]m!$D425</f>
        <v>107.7</v>
      </c>
      <c r="S423">
        <f>[5]m!$Q425</f>
        <v>103.30000000000001</v>
      </c>
      <c r="T423">
        <f>[6]m!B425</f>
        <v>-21053</v>
      </c>
      <c r="U423" s="2">
        <f>[9]Unemployment!$F305</f>
        <v>15.9</v>
      </c>
      <c r="V423" s="2">
        <f>[9]Unemployment!$G305</f>
        <v>7.1000000000000005</v>
      </c>
      <c r="W423">
        <f>[9]Unemployment!$E305</f>
        <v>8321</v>
      </c>
      <c r="X423">
        <f>[9]Unemployment!N305</f>
        <v>3471</v>
      </c>
      <c r="Y423">
        <f>[9]Unemployment!O305</f>
        <v>2452</v>
      </c>
      <c r="Z423">
        <f>[9]Unemployment!P305-[9]Unemployment!Q305</f>
        <v>1045</v>
      </c>
      <c r="AA423">
        <f>[9]Unemployment!$Q305</f>
        <v>1344</v>
      </c>
      <c r="AB423" s="2">
        <f>[8]m!$B425</f>
        <v>8.4600000000000009</v>
      </c>
      <c r="AC423" s="2">
        <f>[8]m!$F425</f>
        <v>11.51</v>
      </c>
      <c r="AD423">
        <f>[9]Employment!$B305</f>
        <v>96477</v>
      </c>
      <c r="AE423" s="2">
        <f>[2]Indicators!$AB305</f>
        <v>54.594100000000005</v>
      </c>
      <c r="AF423" s="2">
        <f>[8]m!$AS425</f>
        <v>532.4</v>
      </c>
      <c r="AG423" s="2">
        <f>[8]m!$H425</f>
        <v>12.13</v>
      </c>
      <c r="AH423" s="2">
        <f>[8]m!$I425</f>
        <v>13.23</v>
      </c>
      <c r="AI423" s="2">
        <f>[7]m!C424</f>
        <v>25456</v>
      </c>
      <c r="AJ423" s="2">
        <f>[7]m!D424</f>
        <v>34196</v>
      </c>
      <c r="AK423" s="2">
        <f>[2]Surveys_m!$AB305</f>
        <v>49.900000000000006</v>
      </c>
      <c r="AL423" s="4">
        <f t="shared" si="6"/>
        <v>4448.6460348162464</v>
      </c>
      <c r="AN423" s="2">
        <v>90</v>
      </c>
      <c r="AQ423" s="3">
        <f>[9]LaborForce!$B304*[9]LaborForce!$C304/100</f>
        <v>114852.85200000001</v>
      </c>
      <c r="AR423">
        <f>[9]Unemployment!$AC305</f>
        <v>386</v>
      </c>
      <c r="AS423">
        <f>[2]Indicators!BC305</f>
        <v>55</v>
      </c>
      <c r="AT423">
        <f>[2]Indicators!BD305</f>
        <v>56.417999999999999</v>
      </c>
      <c r="AU423">
        <f>[2]Indicators!BE305</f>
        <v>100.3186</v>
      </c>
    </row>
    <row r="424" spans="1:47" x14ac:dyDescent="0.25">
      <c r="A424" s="1">
        <v>31107</v>
      </c>
      <c r="B424" s="2">
        <f>[2]Indicators!G306</f>
        <v>2655.0129999999999</v>
      </c>
      <c r="C424" s="2">
        <f>[2]Indicators!H306</f>
        <v>373.63200000000001</v>
      </c>
      <c r="D424" s="2">
        <f>[2]Indicators!I306</f>
        <v>744.41300000000001</v>
      </c>
      <c r="E424" s="2">
        <f>[2]Indicators!J306</f>
        <v>1536.9680000000001</v>
      </c>
      <c r="L424" s="2">
        <f>[2]Indicators!N306</f>
        <v>15.358000000000001</v>
      </c>
      <c r="M424" s="2">
        <f>[2]Indicators!AB306</f>
        <v>54.654299999999999</v>
      </c>
      <c r="N424" s="2">
        <f>[8]m!$C426</f>
        <v>8.58</v>
      </c>
      <c r="O424">
        <f>[9]Unemployment!$B306</f>
        <v>7.2</v>
      </c>
      <c r="P424" s="2">
        <f>[2]Surveys_m!$B306</f>
        <v>96.100000000000009</v>
      </c>
      <c r="Q424">
        <f>[5]m!$B426</f>
        <v>106.8</v>
      </c>
      <c r="R424">
        <f>[5]m!$D426</f>
        <v>108.10000000000001</v>
      </c>
      <c r="S424">
        <f>[5]m!$Q426</f>
        <v>103.10000000000001</v>
      </c>
      <c r="T424">
        <f>[6]m!B426</f>
        <v>-29502</v>
      </c>
      <c r="U424" s="2">
        <f>[9]Unemployment!$F306</f>
        <v>16.100000000000001</v>
      </c>
      <c r="V424" s="2">
        <f>[9]Unemployment!$G306</f>
        <v>7.1000000000000005</v>
      </c>
      <c r="W424">
        <f>[9]Unemployment!$E306</f>
        <v>8339</v>
      </c>
      <c r="X424">
        <f>[9]Unemployment!N306</f>
        <v>3519</v>
      </c>
      <c r="Y424">
        <f>[9]Unemployment!O306</f>
        <v>2443</v>
      </c>
      <c r="Z424">
        <f>[9]Unemployment!P306-[9]Unemployment!Q306</f>
        <v>1045</v>
      </c>
      <c r="AA424">
        <f>[9]Unemployment!$Q306</f>
        <v>1349</v>
      </c>
      <c r="AB424" s="2">
        <f>[8]m!$B426</f>
        <v>8.15</v>
      </c>
      <c r="AC424" s="2">
        <f>[8]m!$F426</f>
        <v>11.86</v>
      </c>
      <c r="AD424">
        <f>[9]Employment!$B306</f>
        <v>96823</v>
      </c>
      <c r="AE424" s="2">
        <f>[2]Indicators!$AB306</f>
        <v>54.654299999999999</v>
      </c>
      <c r="AF424" s="2">
        <f>[8]m!$AS426</f>
        <v>541.80000000000007</v>
      </c>
      <c r="AG424" s="2">
        <f>[8]m!$H426</f>
        <v>12.56</v>
      </c>
      <c r="AH424" s="2">
        <f>[8]m!$I426</f>
        <v>13.69</v>
      </c>
      <c r="AI424" s="2">
        <f>[7]m!C425</f>
        <v>23908</v>
      </c>
      <c r="AJ424" s="2">
        <f>[7]m!D425</f>
        <v>33884</v>
      </c>
      <c r="AK424" s="2">
        <f>[2]Surveys_m!$AB306</f>
        <v>47.800000000000004</v>
      </c>
      <c r="AL424" s="4">
        <f t="shared" si="6"/>
        <v>4547.5048355899407</v>
      </c>
      <c r="AN424" s="2">
        <v>92</v>
      </c>
      <c r="AQ424" s="3">
        <f>[9]LaborForce!$B305*[9]LaborForce!$C305/100</f>
        <v>115305.883</v>
      </c>
      <c r="AR424">
        <f>[9]Unemployment!$AC306</f>
        <v>374</v>
      </c>
      <c r="AS424">
        <f>[2]Indicators!BC306</f>
        <v>55.300000000000004</v>
      </c>
      <c r="AT424">
        <f>[2]Indicators!BD306</f>
        <v>56.5349</v>
      </c>
      <c r="AU424">
        <f>[2]Indicators!BE306</f>
        <v>100.2771</v>
      </c>
    </row>
    <row r="425" spans="1:47" x14ac:dyDescent="0.25">
      <c r="A425" s="1">
        <v>31138</v>
      </c>
      <c r="B425" s="2">
        <f>[2]Indicators!G307</f>
        <v>2666.2310000000002</v>
      </c>
      <c r="C425" s="2">
        <f>[2]Indicators!H307</f>
        <v>365.73599999999999</v>
      </c>
      <c r="D425" s="2">
        <f>[2]Indicators!I307</f>
        <v>753.97400000000005</v>
      </c>
      <c r="E425" s="2">
        <f>[2]Indicators!J307</f>
        <v>1546.5219999999999</v>
      </c>
      <c r="L425" s="2">
        <f>[2]Indicators!N307</f>
        <v>15.521000000000001</v>
      </c>
      <c r="M425" s="2">
        <f>[2]Indicators!AB307</f>
        <v>54.541800000000002</v>
      </c>
      <c r="N425" s="2">
        <f>[8]m!$C427</f>
        <v>8.27</v>
      </c>
      <c r="O425">
        <f>[9]Unemployment!$B307</f>
        <v>7.3000000000000007</v>
      </c>
      <c r="P425" s="2">
        <f>[2]Surveys_m!$B307</f>
        <v>104.4</v>
      </c>
      <c r="Q425">
        <f>[5]m!$B427</f>
        <v>107</v>
      </c>
      <c r="R425">
        <f>[5]m!$D427</f>
        <v>108.4</v>
      </c>
      <c r="S425">
        <f>[5]m!$Q427</f>
        <v>103.30000000000001</v>
      </c>
      <c r="T425">
        <f>[6]m!B427</f>
        <v>11386</v>
      </c>
      <c r="U425" s="2">
        <f>[9]Unemployment!$F307</f>
        <v>16.400000000000002</v>
      </c>
      <c r="V425" s="2">
        <f>[9]Unemployment!$G307</f>
        <v>6.9</v>
      </c>
      <c r="W425">
        <f>[9]Unemployment!$E307</f>
        <v>8395</v>
      </c>
      <c r="X425">
        <f>[9]Unemployment!N307</f>
        <v>3499</v>
      </c>
      <c r="Y425">
        <f>[9]Unemployment!O307</f>
        <v>2495</v>
      </c>
      <c r="Z425">
        <f>[9]Unemployment!P307-[9]Unemployment!Q307</f>
        <v>1015</v>
      </c>
      <c r="AA425">
        <f>[9]Unemployment!$Q307</f>
        <v>1378</v>
      </c>
      <c r="AB425" s="2">
        <f>[8]m!$B427</f>
        <v>7.83</v>
      </c>
      <c r="AC425" s="2">
        <f>[8]m!$F427</f>
        <v>11.43</v>
      </c>
      <c r="AD425">
        <f>[9]Employment!$B307</f>
        <v>97018</v>
      </c>
      <c r="AE425" s="2">
        <f>[2]Indicators!$AB307</f>
        <v>54.541800000000002</v>
      </c>
      <c r="AF425" s="2">
        <f>[8]m!$AS427</f>
        <v>549.30000000000007</v>
      </c>
      <c r="AG425" s="2">
        <f>[8]m!$H427</f>
        <v>12.23</v>
      </c>
      <c r="AH425" s="2">
        <f>[8]m!$I427</f>
        <v>13.51</v>
      </c>
      <c r="AI425" s="2">
        <f>[7]m!C426</f>
        <v>24501</v>
      </c>
      <c r="AJ425" s="2">
        <f>[7]m!D426</f>
        <v>34028</v>
      </c>
      <c r="AK425" s="2">
        <f>[2]Surveys_m!$AB307</f>
        <v>48.2</v>
      </c>
      <c r="AL425" s="4">
        <f t="shared" si="6"/>
        <v>4498.0754352030935</v>
      </c>
      <c r="AN425" s="2">
        <v>91</v>
      </c>
      <c r="AQ425" s="3">
        <f>[9]LaborForce!$B306*[9]LaborForce!$C306/100</f>
        <v>115391.55100000002</v>
      </c>
      <c r="AR425">
        <f>[9]Unemployment!$AC307</f>
        <v>386</v>
      </c>
      <c r="AS425">
        <f>[2]Indicators!BC307</f>
        <v>55.300000000000004</v>
      </c>
      <c r="AT425">
        <f>[2]Indicators!BD307</f>
        <v>56.644800000000004</v>
      </c>
      <c r="AU425">
        <f>[2]Indicators!BE307</f>
        <v>100.22160000000001</v>
      </c>
    </row>
    <row r="426" spans="1:47" x14ac:dyDescent="0.25">
      <c r="A426" s="1">
        <v>31168</v>
      </c>
      <c r="B426" s="2">
        <f>[2]Indicators!G308</f>
        <v>2702.348</v>
      </c>
      <c r="C426" s="2">
        <f>[2]Indicators!H308</f>
        <v>384.33600000000001</v>
      </c>
      <c r="D426" s="2">
        <f>[2]Indicators!I308</f>
        <v>753.87800000000004</v>
      </c>
      <c r="E426" s="2">
        <f>[2]Indicators!J308</f>
        <v>1564.134</v>
      </c>
      <c r="L426" s="2">
        <f>[2]Indicators!N308</f>
        <v>15.561</v>
      </c>
      <c r="M426" s="2">
        <f>[2]Indicators!AB308</f>
        <v>54.5929</v>
      </c>
      <c r="N426" s="2">
        <f>[8]m!$C428</f>
        <v>7.97</v>
      </c>
      <c r="O426">
        <f>[9]Unemployment!$B308</f>
        <v>7.2</v>
      </c>
      <c r="P426" s="2">
        <f>[2]Surveys_m!$B308</f>
        <v>99.600000000000009</v>
      </c>
      <c r="Q426">
        <f>[5]m!$B428</f>
        <v>107.2</v>
      </c>
      <c r="R426">
        <f>[5]m!$D428</f>
        <v>108.8</v>
      </c>
      <c r="S426">
        <f>[5]m!$Q428</f>
        <v>103.5</v>
      </c>
      <c r="T426">
        <f>[6]m!B428</f>
        <v>-41997</v>
      </c>
      <c r="U426" s="2">
        <f>[9]Unemployment!$F308</f>
        <v>15.3</v>
      </c>
      <c r="V426" s="2">
        <f>[9]Unemployment!$G308</f>
        <v>6.9</v>
      </c>
      <c r="W426">
        <f>[9]Unemployment!$E308</f>
        <v>8302</v>
      </c>
      <c r="X426">
        <f>[9]Unemployment!N308</f>
        <v>3503</v>
      </c>
      <c r="Y426">
        <f>[9]Unemployment!O308</f>
        <v>2556</v>
      </c>
      <c r="Z426">
        <f>[9]Unemployment!P308-[9]Unemployment!Q308</f>
        <v>1057</v>
      </c>
      <c r="AA426">
        <f>[9]Unemployment!$Q308</f>
        <v>1235</v>
      </c>
      <c r="AB426" s="2">
        <f>[8]m!$B428</f>
        <v>7.17</v>
      </c>
      <c r="AC426" s="2">
        <f>[8]m!$F428</f>
        <v>10.85</v>
      </c>
      <c r="AD426">
        <f>[9]Employment!$B308</f>
        <v>97292</v>
      </c>
      <c r="AE426" s="2">
        <f>[2]Indicators!$AB308</f>
        <v>54.5929</v>
      </c>
      <c r="AF426" s="2">
        <f>[8]m!$AS428</f>
        <v>555.80000000000007</v>
      </c>
      <c r="AG426" s="2">
        <f>[8]m!$H428</f>
        <v>11.72</v>
      </c>
      <c r="AH426" s="2">
        <f>[8]m!$I428</f>
        <v>13.15</v>
      </c>
      <c r="AI426" s="2">
        <f>[7]m!C427</f>
        <v>23829</v>
      </c>
      <c r="AJ426" s="2">
        <f>[7]m!D427</f>
        <v>34382</v>
      </c>
      <c r="AK426" s="2">
        <f>[2]Surveys_m!$AB308</f>
        <v>47.1</v>
      </c>
      <c r="AL426" s="4">
        <f t="shared" si="6"/>
        <v>4547.5048355899407</v>
      </c>
      <c r="AN426" s="2">
        <v>92</v>
      </c>
      <c r="AQ426" s="3">
        <f>[9]LaborForce!$B307*[9]LaborForce!$C307/100</f>
        <v>115307.712</v>
      </c>
      <c r="AR426">
        <f>[9]Unemployment!$AC308</f>
        <v>386</v>
      </c>
      <c r="AS426">
        <f>[2]Indicators!BC308</f>
        <v>55.7</v>
      </c>
      <c r="AT426">
        <f>[2]Indicators!BD308</f>
        <v>56.744500000000002</v>
      </c>
      <c r="AU426">
        <f>[2]Indicators!BE308</f>
        <v>100.14620000000001</v>
      </c>
    </row>
    <row r="427" spans="1:47" x14ac:dyDescent="0.25">
      <c r="A427" s="1">
        <v>31199</v>
      </c>
      <c r="B427" s="2">
        <f>[2]Indicators!G309</f>
        <v>2693.681</v>
      </c>
      <c r="C427" s="2">
        <f>[2]Indicators!H309</f>
        <v>369.68099999999998</v>
      </c>
      <c r="D427" s="2">
        <f>[2]Indicators!I309</f>
        <v>750.428</v>
      </c>
      <c r="E427" s="2">
        <f>[2]Indicators!J309</f>
        <v>1573.5730000000001</v>
      </c>
      <c r="L427" s="2">
        <f>[2]Indicators!N309</f>
        <v>15.093</v>
      </c>
      <c r="M427" s="2">
        <f>[2]Indicators!AB309</f>
        <v>54.630900000000004</v>
      </c>
      <c r="N427" s="2">
        <f>[8]m!$C429</f>
        <v>7.53</v>
      </c>
      <c r="O427">
        <f>[9]Unemployment!$B309</f>
        <v>7.4</v>
      </c>
      <c r="P427" s="2">
        <f>[2]Surveys_m!$B309</f>
        <v>102.60000000000001</v>
      </c>
      <c r="Q427">
        <f>[5]m!$B429</f>
        <v>107.5</v>
      </c>
      <c r="R427">
        <f>[5]m!$D429</f>
        <v>109.10000000000001</v>
      </c>
      <c r="S427">
        <f>[5]m!$Q429</f>
        <v>103.30000000000001</v>
      </c>
      <c r="T427">
        <f>[6]m!B429</f>
        <v>-1408</v>
      </c>
      <c r="U427" s="2">
        <f>[9]Unemployment!$F309</f>
        <v>15.5</v>
      </c>
      <c r="V427" s="2">
        <f>[9]Unemployment!$G309</f>
        <v>6.6000000000000005</v>
      </c>
      <c r="W427">
        <f>[9]Unemployment!$E309</f>
        <v>8460</v>
      </c>
      <c r="X427">
        <f>[9]Unemployment!N309</f>
        <v>3538</v>
      </c>
      <c r="Y427">
        <f>[9]Unemployment!O309</f>
        <v>2517</v>
      </c>
      <c r="Z427">
        <f>[9]Unemployment!P309-[9]Unemployment!Q309</f>
        <v>1029</v>
      </c>
      <c r="AA427">
        <f>[9]Unemployment!$Q309</f>
        <v>1281</v>
      </c>
      <c r="AB427" s="2">
        <f>[8]m!$B429</f>
        <v>6.83</v>
      </c>
      <c r="AC427" s="2">
        <f>[8]m!$F429</f>
        <v>10.16</v>
      </c>
      <c r="AD427">
        <f>[9]Employment!$B309</f>
        <v>97437</v>
      </c>
      <c r="AE427" s="2">
        <f>[2]Indicators!$AB309</f>
        <v>54.630900000000004</v>
      </c>
      <c r="AF427" s="2">
        <f>[8]m!$AS429</f>
        <v>561.20000000000005</v>
      </c>
      <c r="AG427" s="2">
        <f>[8]m!$H429</f>
        <v>10.94</v>
      </c>
      <c r="AH427" s="2">
        <f>[8]m!$I429</f>
        <v>12.4</v>
      </c>
      <c r="AI427" s="2">
        <f>[7]m!C428</f>
        <v>23464</v>
      </c>
      <c r="AJ427" s="2">
        <f>[7]m!D428</f>
        <v>34772</v>
      </c>
      <c r="AK427" s="2">
        <f>[2]Surveys_m!$AB309</f>
        <v>47.800000000000004</v>
      </c>
      <c r="AL427" s="4">
        <f t="shared" si="6"/>
        <v>4547.5048355899407</v>
      </c>
      <c r="AN427" s="2">
        <v>92</v>
      </c>
      <c r="AQ427" s="3">
        <f>[9]LaborForce!$B308*[9]LaborForce!$C308/100</f>
        <v>115050.01600000002</v>
      </c>
      <c r="AR427">
        <f>[9]Unemployment!$AC309</f>
        <v>393</v>
      </c>
      <c r="AS427">
        <f>[2]Indicators!BC309</f>
        <v>56.2</v>
      </c>
      <c r="AT427">
        <f>[2]Indicators!BD309</f>
        <v>56.845300000000002</v>
      </c>
      <c r="AU427">
        <f>[2]Indicators!BE309</f>
        <v>100.0716</v>
      </c>
    </row>
    <row r="428" spans="1:47" x14ac:dyDescent="0.25">
      <c r="A428" s="1">
        <v>31229</v>
      </c>
      <c r="B428" s="2">
        <f>[2]Indicators!G310</f>
        <v>2717.79</v>
      </c>
      <c r="C428" s="2">
        <f>[2]Indicators!H310</f>
        <v>376.334</v>
      </c>
      <c r="D428" s="2">
        <f>[2]Indicators!I310</f>
        <v>755.22</v>
      </c>
      <c r="E428" s="2">
        <f>[2]Indicators!J310</f>
        <v>1586.2360000000001</v>
      </c>
      <c r="L428" s="2">
        <f>[2]Indicators!N310</f>
        <v>15.498000000000001</v>
      </c>
      <c r="M428" s="2">
        <f>[2]Indicators!AB310</f>
        <v>54.256500000000003</v>
      </c>
      <c r="N428" s="2">
        <f>[8]m!$C430</f>
        <v>7.88</v>
      </c>
      <c r="O428">
        <f>[9]Unemployment!$B310</f>
        <v>7.4</v>
      </c>
      <c r="P428" s="2">
        <f>[2]Surveys_m!$B310</f>
        <v>103.2</v>
      </c>
      <c r="Q428">
        <f>[5]m!$B430</f>
        <v>107.7</v>
      </c>
      <c r="R428">
        <f>[5]m!$D430</f>
        <v>109.4</v>
      </c>
      <c r="S428">
        <f>[5]m!$Q430</f>
        <v>103.2</v>
      </c>
      <c r="T428">
        <f>[6]m!B430</f>
        <v>-21533</v>
      </c>
      <c r="U428" s="2">
        <f>[9]Unemployment!$F310</f>
        <v>15.5</v>
      </c>
      <c r="V428" s="2">
        <f>[9]Unemployment!$G310</f>
        <v>6.9</v>
      </c>
      <c r="W428">
        <f>[9]Unemployment!$E310</f>
        <v>8513</v>
      </c>
      <c r="X428">
        <f>[9]Unemployment!N310</f>
        <v>3555</v>
      </c>
      <c r="Y428">
        <f>[9]Unemployment!O310</f>
        <v>2554</v>
      </c>
      <c r="Z428">
        <f>[9]Unemployment!P310-[9]Unemployment!Q310</f>
        <v>1062</v>
      </c>
      <c r="AA428">
        <f>[9]Unemployment!$Q310</f>
        <v>1267</v>
      </c>
      <c r="AB428" s="2">
        <f>[8]m!$B430</f>
        <v>7.25</v>
      </c>
      <c r="AC428" s="2">
        <f>[8]m!$F430</f>
        <v>10.31</v>
      </c>
      <c r="AD428">
        <f>[9]Employment!$B310</f>
        <v>97626</v>
      </c>
      <c r="AE428" s="2">
        <f>[2]Indicators!$AB310</f>
        <v>54.256500000000003</v>
      </c>
      <c r="AF428" s="2">
        <f>[8]m!$AS430</f>
        <v>567.70000000000005</v>
      </c>
      <c r="AG428" s="2">
        <f>[8]m!$H430</f>
        <v>10.97</v>
      </c>
      <c r="AH428" s="2">
        <f>[8]m!$I430</f>
        <v>12.43</v>
      </c>
      <c r="AI428" s="2">
        <f>[7]m!C429</f>
        <v>23488</v>
      </c>
      <c r="AJ428" s="2">
        <f>[7]m!D429</f>
        <v>35512</v>
      </c>
      <c r="AK428" s="2">
        <f>[2]Surveys_m!$AB310</f>
        <v>47.900000000000006</v>
      </c>
      <c r="AL428" s="4">
        <f t="shared" si="6"/>
        <v>4498.0754352030935</v>
      </c>
      <c r="AN428" s="2">
        <v>91</v>
      </c>
      <c r="AQ428" s="3">
        <f>[9]LaborForce!$B309*[9]LaborForce!$C309/100</f>
        <v>115336.16099999999</v>
      </c>
      <c r="AR428">
        <f>[9]Unemployment!$AC310</f>
        <v>390</v>
      </c>
      <c r="AS428">
        <f>[2]Indicators!BC310</f>
        <v>56.300000000000004</v>
      </c>
      <c r="AT428">
        <f>[2]Indicators!BD310</f>
        <v>56.941700000000004</v>
      </c>
      <c r="AU428">
        <f>[2]Indicators!BE310</f>
        <v>99.988100000000003</v>
      </c>
    </row>
    <row r="429" spans="1:47" x14ac:dyDescent="0.25">
      <c r="A429" s="1">
        <v>31260</v>
      </c>
      <c r="B429" s="2">
        <f>[2]Indicators!G311</f>
        <v>2753.3240000000001</v>
      </c>
      <c r="C429" s="2">
        <f>[2]Indicators!H311</f>
        <v>390.29</v>
      </c>
      <c r="D429" s="2">
        <f>[2]Indicators!I311</f>
        <v>761.18799999999999</v>
      </c>
      <c r="E429" s="2">
        <f>[2]Indicators!J311</f>
        <v>1601.846</v>
      </c>
      <c r="L429" s="2">
        <f>[2]Indicators!N311</f>
        <v>16.91</v>
      </c>
      <c r="M429" s="2">
        <f>[2]Indicators!AB311</f>
        <v>54.486000000000004</v>
      </c>
      <c r="N429" s="2">
        <f>[8]m!$C431</f>
        <v>7.9</v>
      </c>
      <c r="O429">
        <f>[9]Unemployment!$B311</f>
        <v>7.1000000000000005</v>
      </c>
      <c r="P429" s="2">
        <f>[2]Surveys_m!$B311</f>
        <v>100.9</v>
      </c>
      <c r="Q429">
        <f>[5]m!$B431</f>
        <v>107.9</v>
      </c>
      <c r="R429">
        <f>[5]m!$D431</f>
        <v>109.8</v>
      </c>
      <c r="S429">
        <f>[5]m!$Q431</f>
        <v>102.7</v>
      </c>
      <c r="T429">
        <f>[6]m!B431</f>
        <v>-27597</v>
      </c>
      <c r="U429" s="2">
        <f>[9]Unemployment!$F311</f>
        <v>15.3</v>
      </c>
      <c r="V429" s="2">
        <f>[9]Unemployment!$G311</f>
        <v>7.1000000000000005</v>
      </c>
      <c r="W429">
        <f>[9]Unemployment!$E311</f>
        <v>8196</v>
      </c>
      <c r="X429">
        <f>[9]Unemployment!N311</f>
        <v>3439</v>
      </c>
      <c r="Y429">
        <f>[9]Unemployment!O311</f>
        <v>2515</v>
      </c>
      <c r="Z429">
        <f>[9]Unemployment!P311-[9]Unemployment!Q311</f>
        <v>1036</v>
      </c>
      <c r="AA429">
        <f>[9]Unemployment!$Q311</f>
        <v>1222</v>
      </c>
      <c r="AB429" s="2">
        <f>[8]m!$B431</f>
        <v>7.37</v>
      </c>
      <c r="AC429" s="2">
        <f>[8]m!$F431</f>
        <v>10.33</v>
      </c>
      <c r="AD429">
        <f>[9]Employment!$B311</f>
        <v>97819</v>
      </c>
      <c r="AE429" s="2">
        <f>[2]Indicators!$AB311</f>
        <v>54.486000000000004</v>
      </c>
      <c r="AF429" s="2">
        <f>[8]m!$AS431</f>
        <v>573.30000000000007</v>
      </c>
      <c r="AG429" s="2">
        <f>[8]m!$H431</f>
        <v>11.05</v>
      </c>
      <c r="AH429" s="2">
        <f>[8]m!$I431</f>
        <v>12.5</v>
      </c>
      <c r="AI429" s="2">
        <f>[7]m!C430</f>
        <v>23371</v>
      </c>
      <c r="AJ429" s="2">
        <f>[7]m!D430</f>
        <v>32676</v>
      </c>
      <c r="AK429" s="2">
        <f>[2]Surveys_m!$AB311</f>
        <v>47.7</v>
      </c>
      <c r="AL429" s="4">
        <f t="shared" si="6"/>
        <v>4547.5048355899407</v>
      </c>
      <c r="AN429" s="2">
        <v>92</v>
      </c>
      <c r="AQ429" s="3">
        <f>[9]LaborForce!$B310*[9]LaborForce!$C310/100</f>
        <v>115249.63000000002</v>
      </c>
      <c r="AR429">
        <f>[9]Unemployment!$AC311</f>
        <v>362</v>
      </c>
      <c r="AS429">
        <f>[2]Indicators!BC311</f>
        <v>56.6</v>
      </c>
      <c r="AT429">
        <f>[2]Indicators!BD311</f>
        <v>57.0503</v>
      </c>
      <c r="AU429">
        <f>[2]Indicators!BE311</f>
        <v>99.924800000000005</v>
      </c>
    </row>
    <row r="430" spans="1:47" x14ac:dyDescent="0.25">
      <c r="A430" s="1">
        <v>31291</v>
      </c>
      <c r="B430" s="2">
        <f>[2]Indicators!G312</f>
        <v>2796.4360000000001</v>
      </c>
      <c r="C430" s="2">
        <f>[2]Indicators!H312</f>
        <v>422.72700000000003</v>
      </c>
      <c r="D430" s="2">
        <f>[2]Indicators!I312</f>
        <v>765.04700000000003</v>
      </c>
      <c r="E430" s="2">
        <f>[2]Indicators!J312</f>
        <v>1608.662</v>
      </c>
      <c r="L430" s="2">
        <f>[2]Indicators!N312</f>
        <v>19.103999999999999</v>
      </c>
      <c r="M430" s="2">
        <f>[2]Indicators!AB312</f>
        <v>54.723500000000001</v>
      </c>
      <c r="N430" s="2">
        <f>[8]m!$C432</f>
        <v>7.92</v>
      </c>
      <c r="O430">
        <f>[9]Unemployment!$B312</f>
        <v>7.1000000000000005</v>
      </c>
      <c r="P430" s="2">
        <f>[2]Surveys_m!$B312</f>
        <v>96</v>
      </c>
      <c r="Q430">
        <f>[5]m!$B432</f>
        <v>108.10000000000001</v>
      </c>
      <c r="R430">
        <f>[5]m!$D432</f>
        <v>110</v>
      </c>
      <c r="S430">
        <f>[5]m!$Q432</f>
        <v>102.10000000000001</v>
      </c>
      <c r="T430">
        <f>[6]m!B432</f>
        <v>-764</v>
      </c>
      <c r="U430" s="2">
        <f>[9]Unemployment!$F312</f>
        <v>15.3</v>
      </c>
      <c r="V430" s="2">
        <f>[9]Unemployment!$G312</f>
        <v>6.9</v>
      </c>
      <c r="W430">
        <f>[9]Unemployment!$E312</f>
        <v>8248</v>
      </c>
      <c r="X430">
        <f>[9]Unemployment!N312</f>
        <v>3494</v>
      </c>
      <c r="Y430">
        <f>[9]Unemployment!O312</f>
        <v>2570</v>
      </c>
      <c r="Z430">
        <f>[9]Unemployment!P312-[9]Unemployment!Q312</f>
        <v>1009</v>
      </c>
      <c r="AA430">
        <f>[9]Unemployment!$Q312</f>
        <v>1233</v>
      </c>
      <c r="AB430" s="2">
        <f>[8]m!$B432</f>
        <v>7.26</v>
      </c>
      <c r="AC430" s="2">
        <f>[8]m!$F432</f>
        <v>10.370000000000001</v>
      </c>
      <c r="AD430">
        <f>[9]Employment!$B312</f>
        <v>98023</v>
      </c>
      <c r="AE430" s="2">
        <f>[2]Indicators!$AB312</f>
        <v>54.723500000000001</v>
      </c>
      <c r="AF430" s="2">
        <f>[8]m!$AS432</f>
        <v>582.1</v>
      </c>
      <c r="AG430" s="2">
        <f>[8]m!$H432</f>
        <v>11.07</v>
      </c>
      <c r="AH430" s="2">
        <f>[8]m!$I432</f>
        <v>12.48</v>
      </c>
      <c r="AI430" s="2">
        <f>[7]m!C431</f>
        <v>23382</v>
      </c>
      <c r="AJ430" s="2">
        <f>[7]m!D431</f>
        <v>32129</v>
      </c>
      <c r="AK430" s="2">
        <f>[2]Surveys_m!$AB312</f>
        <v>49.900000000000006</v>
      </c>
      <c r="AL430" s="4">
        <f t="shared" si="6"/>
        <v>4596.9342359767879</v>
      </c>
      <c r="AN430" s="2">
        <v>93</v>
      </c>
      <c r="AQ430" s="3">
        <f>[9]LaborForce!$B311*[9]LaborForce!$C311/100</f>
        <v>115893.228</v>
      </c>
      <c r="AR430">
        <f>[9]Unemployment!$AC312</f>
        <v>409</v>
      </c>
      <c r="AS430">
        <f>[2]Indicators!BC312</f>
        <v>57</v>
      </c>
      <c r="AT430">
        <f>[2]Indicators!BD312</f>
        <v>57.1783</v>
      </c>
      <c r="AU430">
        <f>[2]Indicators!BE312</f>
        <v>99.894300000000001</v>
      </c>
    </row>
    <row r="431" spans="1:47" x14ac:dyDescent="0.25">
      <c r="A431" s="1">
        <v>31321</v>
      </c>
      <c r="B431" s="2">
        <f>[2]Indicators!G313</f>
        <v>2759.393</v>
      </c>
      <c r="C431" s="2">
        <f>[2]Indicators!H313</f>
        <v>379.24400000000003</v>
      </c>
      <c r="D431" s="2">
        <f>[2]Indicators!I313</f>
        <v>765.96100000000001</v>
      </c>
      <c r="E431" s="2">
        <f>[2]Indicators!J313</f>
        <v>1614.1870000000001</v>
      </c>
      <c r="L431" s="2">
        <f>[2]Indicators!N313</f>
        <v>14.185</v>
      </c>
      <c r="M431" s="2">
        <f>[2]Indicators!AB313</f>
        <v>54.5032</v>
      </c>
      <c r="N431" s="2">
        <f>[8]m!$C433</f>
        <v>7.99</v>
      </c>
      <c r="O431">
        <f>[9]Unemployment!$B313</f>
        <v>7.1000000000000005</v>
      </c>
      <c r="P431" s="2">
        <f>[2]Surveys_m!$B313</f>
        <v>96.100000000000009</v>
      </c>
      <c r="Q431">
        <f>[5]m!$B433</f>
        <v>108.5</v>
      </c>
      <c r="R431">
        <f>[5]m!$D433</f>
        <v>110.5</v>
      </c>
      <c r="S431">
        <f>[5]m!$Q433</f>
        <v>102.9</v>
      </c>
      <c r="T431">
        <f>[6]m!B433</f>
        <v>-27087</v>
      </c>
      <c r="U431" s="2">
        <f>[9]Unemployment!$F313</f>
        <v>15.3</v>
      </c>
      <c r="V431" s="2">
        <f>[9]Unemployment!$G313</f>
        <v>7.1000000000000005</v>
      </c>
      <c r="W431">
        <f>[9]Unemployment!$E313</f>
        <v>8298</v>
      </c>
      <c r="X431">
        <f>[9]Unemployment!N313</f>
        <v>3424</v>
      </c>
      <c r="Y431">
        <f>[9]Unemployment!O313</f>
        <v>2545</v>
      </c>
      <c r="Z431">
        <f>[9]Unemployment!P313-[9]Unemployment!Q313</f>
        <v>1096</v>
      </c>
      <c r="AA431">
        <f>[9]Unemployment!$Q313</f>
        <v>1199</v>
      </c>
      <c r="AB431" s="2">
        <f>[8]m!$B433</f>
        <v>7.41</v>
      </c>
      <c r="AC431" s="2">
        <f>[8]m!$F433</f>
        <v>10.24</v>
      </c>
      <c r="AD431">
        <f>[9]Employment!$B313</f>
        <v>98210</v>
      </c>
      <c r="AE431" s="2">
        <f>[2]Indicators!$AB313</f>
        <v>54.5032</v>
      </c>
      <c r="AF431" s="2">
        <f>[8]m!$AS433</f>
        <v>588.30000000000007</v>
      </c>
      <c r="AG431" s="2">
        <f>[8]m!$H433</f>
        <v>11.02</v>
      </c>
      <c r="AH431" s="2">
        <f>[8]m!$I433</f>
        <v>12.36</v>
      </c>
      <c r="AI431" s="2">
        <f>[7]m!C432</f>
        <v>23691</v>
      </c>
      <c r="AJ431" s="2">
        <f>[7]m!D432</f>
        <v>37810</v>
      </c>
      <c r="AK431" s="2">
        <f>[2]Surveys_m!$AB313</f>
        <v>50.900000000000006</v>
      </c>
      <c r="AL431" s="4">
        <f t="shared" si="6"/>
        <v>4547.5048355899407</v>
      </c>
      <c r="AN431" s="2">
        <v>92</v>
      </c>
      <c r="AQ431" s="3">
        <f>[9]LaborForce!$B312*[9]LaborForce!$C312/100</f>
        <v>116200.5</v>
      </c>
      <c r="AR431">
        <f>[9]Unemployment!$AC313</f>
        <v>399</v>
      </c>
      <c r="AS431">
        <f>[2]Indicators!BC313</f>
        <v>57.1</v>
      </c>
      <c r="AT431">
        <f>[2]Indicators!BD313</f>
        <v>57.335900000000002</v>
      </c>
      <c r="AU431">
        <f>[2]Indicators!BE313</f>
        <v>99.914000000000001</v>
      </c>
    </row>
    <row r="432" spans="1:47" x14ac:dyDescent="0.25">
      <c r="A432" s="1">
        <v>31352</v>
      </c>
      <c r="B432" s="2">
        <f>[2]Indicators!G314</f>
        <v>2775.8360000000002</v>
      </c>
      <c r="C432" s="2">
        <f>[2]Indicators!H314</f>
        <v>380.84399999999999</v>
      </c>
      <c r="D432" s="2">
        <f>[2]Indicators!I314</f>
        <v>775.17500000000007</v>
      </c>
      <c r="E432" s="2">
        <f>[2]Indicators!J314</f>
        <v>1619.816</v>
      </c>
      <c r="L432" s="2">
        <f>[2]Indicators!N314</f>
        <v>14.622</v>
      </c>
      <c r="M432" s="2">
        <f>[2]Indicators!AB314</f>
        <v>54.689</v>
      </c>
      <c r="N432" s="2">
        <f>[8]m!$C434</f>
        <v>8.0500000000000007</v>
      </c>
      <c r="O432">
        <f>[9]Unemployment!$B314</f>
        <v>7</v>
      </c>
      <c r="P432" s="2">
        <f>[2]Surveys_m!$B314</f>
        <v>98.100000000000009</v>
      </c>
      <c r="Q432">
        <f>[5]m!$B434</f>
        <v>109</v>
      </c>
      <c r="R432">
        <f>[5]m!$D434</f>
        <v>111.10000000000001</v>
      </c>
      <c r="S432">
        <f>[5]m!$Q434</f>
        <v>103.4</v>
      </c>
      <c r="T432">
        <f>[6]m!B434</f>
        <v>-33386</v>
      </c>
      <c r="U432" s="2">
        <f>[9]Unemployment!$F314</f>
        <v>15.700000000000001</v>
      </c>
      <c r="V432" s="2">
        <f>[9]Unemployment!$G314</f>
        <v>7</v>
      </c>
      <c r="W432">
        <f>[9]Unemployment!$E314</f>
        <v>8128</v>
      </c>
      <c r="X432">
        <f>[9]Unemployment!N314</f>
        <v>3463</v>
      </c>
      <c r="Y432">
        <f>[9]Unemployment!O314</f>
        <v>2456</v>
      </c>
      <c r="Z432">
        <f>[9]Unemployment!P314-[9]Unemployment!Q314</f>
        <v>910</v>
      </c>
      <c r="AA432">
        <f>[9]Unemployment!$Q314</f>
        <v>1297</v>
      </c>
      <c r="AB432" s="2">
        <f>[8]m!$B434</f>
        <v>7.3900000000000006</v>
      </c>
      <c r="AC432" s="2">
        <f>[8]m!$F434</f>
        <v>9.7799999999999994</v>
      </c>
      <c r="AD432">
        <f>[9]Employment!$B314</f>
        <v>98419</v>
      </c>
      <c r="AE432" s="2">
        <f>[2]Indicators!$AB314</f>
        <v>54.689</v>
      </c>
      <c r="AF432" s="2">
        <f>[8]m!$AS434</f>
        <v>594.5</v>
      </c>
      <c r="AG432" s="2">
        <f>[8]m!$H434</f>
        <v>10.55</v>
      </c>
      <c r="AH432" s="2">
        <f>[8]m!$I434</f>
        <v>11.99</v>
      </c>
      <c r="AI432" s="2">
        <f>[7]m!C433</f>
        <v>23601</v>
      </c>
      <c r="AJ432" s="2">
        <f>[7]m!D433</f>
        <v>33836</v>
      </c>
      <c r="AK432" s="2">
        <f>[2]Surveys_m!$AB314</f>
        <v>52</v>
      </c>
      <c r="AL432" s="4">
        <f t="shared" si="6"/>
        <v>4596.9342359767879</v>
      </c>
      <c r="AN432" s="2">
        <v>93</v>
      </c>
      <c r="AQ432" s="3">
        <f>[9]LaborForce!$B313*[9]LaborForce!$C313/100</f>
        <v>116132.06000000001</v>
      </c>
      <c r="AR432">
        <f>[9]Unemployment!$AC314</f>
        <v>398</v>
      </c>
      <c r="AS432">
        <f>[2]Indicators!BC314</f>
        <v>57.2</v>
      </c>
      <c r="AT432">
        <f>[2]Indicators!BD314</f>
        <v>57.525700000000001</v>
      </c>
      <c r="AU432">
        <f>[2]Indicators!BE314</f>
        <v>99.988</v>
      </c>
    </row>
    <row r="433" spans="1:48" x14ac:dyDescent="0.25">
      <c r="A433" s="1">
        <v>31382</v>
      </c>
      <c r="B433" s="2">
        <f>[2]Indicators!G315</f>
        <v>2815.9690000000001</v>
      </c>
      <c r="C433" s="2">
        <f>[2]Indicators!H315</f>
        <v>391.166</v>
      </c>
      <c r="D433" s="2">
        <f>[2]Indicators!I315</f>
        <v>778.899</v>
      </c>
      <c r="E433" s="2">
        <f>[2]Indicators!J315</f>
        <v>1645.903</v>
      </c>
      <c r="L433" s="2">
        <f>[2]Indicators!N315</f>
        <v>15.711</v>
      </c>
      <c r="M433" s="2">
        <f>[2]Indicators!AB315</f>
        <v>55.255300000000005</v>
      </c>
      <c r="N433" s="2">
        <f>[8]m!$C435</f>
        <v>8.27</v>
      </c>
      <c r="O433">
        <f>[9]Unemployment!$B315</f>
        <v>7</v>
      </c>
      <c r="P433" s="2">
        <f>[2]Surveys_m!$B315</f>
        <v>98.2</v>
      </c>
      <c r="Q433">
        <f>[5]m!$B435</f>
        <v>109.5</v>
      </c>
      <c r="R433">
        <f>[5]m!$D435</f>
        <v>111.4</v>
      </c>
      <c r="S433">
        <f>[5]m!$Q435</f>
        <v>103.60000000000001</v>
      </c>
      <c r="T433">
        <f>[6]m!B435</f>
        <v>-14656</v>
      </c>
      <c r="U433" s="2">
        <f>[9]Unemployment!$F315</f>
        <v>15.100000000000001</v>
      </c>
      <c r="V433" s="2">
        <f>[9]Unemployment!$G315</f>
        <v>6.8000000000000007</v>
      </c>
      <c r="W433">
        <f>[9]Unemployment!$E315</f>
        <v>8138</v>
      </c>
      <c r="X433">
        <f>[9]Unemployment!N315</f>
        <v>3393</v>
      </c>
      <c r="Y433">
        <f>[9]Unemployment!O315</f>
        <v>2544</v>
      </c>
      <c r="Z433">
        <f>[9]Unemployment!P315-[9]Unemployment!Q315</f>
        <v>1003</v>
      </c>
      <c r="AA433">
        <f>[9]Unemployment!$Q315</f>
        <v>1205</v>
      </c>
      <c r="AB433" s="2">
        <f>[8]m!$B435</f>
        <v>7.26</v>
      </c>
      <c r="AC433" s="2">
        <f>[8]m!$F435</f>
        <v>9.26</v>
      </c>
      <c r="AD433">
        <f>[9]Employment!$B315</f>
        <v>98587</v>
      </c>
      <c r="AE433" s="2">
        <f>[2]Indicators!$AB315</f>
        <v>55.255300000000005</v>
      </c>
      <c r="AF433" s="2">
        <f>[8]m!$AS435</f>
        <v>599.70000000000005</v>
      </c>
      <c r="AG433" s="2">
        <f>[8]m!$H435</f>
        <v>10.16</v>
      </c>
      <c r="AH433" s="2">
        <f>[8]m!$I435</f>
        <v>11.58</v>
      </c>
      <c r="AI433" s="2">
        <f>[7]m!C434</f>
        <v>24209</v>
      </c>
      <c r="AJ433" s="2">
        <f>[7]m!D434</f>
        <v>36627</v>
      </c>
      <c r="AK433" s="2">
        <f>[2]Surveys_m!$AB315</f>
        <v>50.7</v>
      </c>
      <c r="AL433" s="4">
        <f t="shared" si="6"/>
        <v>4448.6460348162464</v>
      </c>
      <c r="AN433" s="2">
        <v>90</v>
      </c>
      <c r="AQ433" s="3">
        <f>[9]LaborForce!$B314*[9]LaborForce!$C314/100</f>
        <v>116422.8</v>
      </c>
      <c r="AR433">
        <f>[9]Unemployment!$AC315</f>
        <v>393</v>
      </c>
      <c r="AS433">
        <f>[2]Indicators!BC315</f>
        <v>57.800000000000004</v>
      </c>
      <c r="AT433">
        <f>[2]Indicators!BD315</f>
        <v>57.739900000000006</v>
      </c>
      <c r="AU433">
        <f>[2]Indicators!BE315</f>
        <v>100.1027</v>
      </c>
    </row>
    <row r="434" spans="1:48" x14ac:dyDescent="0.25">
      <c r="A434" s="1">
        <v>31413</v>
      </c>
      <c r="B434" s="2">
        <f>[2]Indicators!G316</f>
        <v>2830.5349999999999</v>
      </c>
      <c r="C434" s="2">
        <f>[2]Indicators!H316</f>
        <v>401.416</v>
      </c>
      <c r="D434" s="2">
        <f>[2]Indicators!I316</f>
        <v>784.39200000000005</v>
      </c>
      <c r="E434" s="2">
        <f>[2]Indicators!J316</f>
        <v>1644.7270000000001</v>
      </c>
      <c r="L434" s="2">
        <f>[2]Indicators!N316</f>
        <v>16.059999999999999</v>
      </c>
      <c r="M434" s="2">
        <f>[2]Indicators!AB316</f>
        <v>55.521700000000003</v>
      </c>
      <c r="N434" s="2">
        <f>[8]m!$C436</f>
        <v>8.14</v>
      </c>
      <c r="O434">
        <f>[9]Unemployment!$B316</f>
        <v>6.7</v>
      </c>
      <c r="P434" s="2">
        <f>[2]Surveys_m!$B316</f>
        <v>96.9</v>
      </c>
      <c r="Q434">
        <f>[5]m!$B436</f>
        <v>109.9</v>
      </c>
      <c r="R434">
        <f>[5]m!$D436</f>
        <v>111.9</v>
      </c>
      <c r="S434">
        <f>[5]m!$Q436</f>
        <v>103.2</v>
      </c>
      <c r="T434">
        <f>[6]m!B436</f>
        <v>-6492</v>
      </c>
      <c r="U434" s="2">
        <f>[9]Unemployment!$F316</f>
        <v>14.8</v>
      </c>
      <c r="V434" s="2">
        <f>[9]Unemployment!$G316</f>
        <v>6.7</v>
      </c>
      <c r="W434">
        <f>[9]Unemployment!$E316</f>
        <v>7795</v>
      </c>
      <c r="X434">
        <f>[9]Unemployment!N316</f>
        <v>3333</v>
      </c>
      <c r="Y434">
        <f>[9]Unemployment!O316</f>
        <v>2414</v>
      </c>
      <c r="Z434">
        <f>[9]Unemployment!P316-[9]Unemployment!Q316</f>
        <v>1002</v>
      </c>
      <c r="AA434">
        <f>[9]Unemployment!$Q316</f>
        <v>1087</v>
      </c>
      <c r="AB434" s="2">
        <f>[8]m!$B436</f>
        <v>7.16</v>
      </c>
      <c r="AC434" s="2">
        <f>[8]m!$F436</f>
        <v>9.19</v>
      </c>
      <c r="AD434">
        <f>[9]Employment!$B316</f>
        <v>98710</v>
      </c>
      <c r="AE434" s="2">
        <f>[2]Indicators!$AB316</f>
        <v>55.521700000000003</v>
      </c>
      <c r="AF434" s="2">
        <f>[8]m!$AS436</f>
        <v>605.70000000000005</v>
      </c>
      <c r="AG434" s="2">
        <f>[8]m!$H436</f>
        <v>10.050000000000001</v>
      </c>
      <c r="AH434" s="2">
        <f>[8]m!$I436</f>
        <v>11.44</v>
      </c>
      <c r="AI434" s="2">
        <f>[7]m!C435</f>
        <v>23257</v>
      </c>
      <c r="AJ434" s="2">
        <f>[7]m!D435</f>
        <v>39130</v>
      </c>
      <c r="AK434" s="2">
        <f>[2]Surveys_m!$AB316</f>
        <v>51.2</v>
      </c>
      <c r="AL434" s="4">
        <f t="shared" si="6"/>
        <v>4498.0754352030935</v>
      </c>
      <c r="AN434" s="2">
        <v>91</v>
      </c>
      <c r="AQ434" s="3">
        <f>[9]LaborForce!$B315*[9]LaborForce!$C315/100</f>
        <v>116605.83000000002</v>
      </c>
      <c r="AR434">
        <f>[9]Unemployment!$AC316</f>
        <v>390</v>
      </c>
      <c r="AS434">
        <f>[2]Indicators!BC316</f>
        <v>57.9</v>
      </c>
      <c r="AT434">
        <f>[2]Indicators!BD316</f>
        <v>57.938800000000001</v>
      </c>
      <c r="AU434">
        <f>[2]Indicators!BE316</f>
        <v>100.1888</v>
      </c>
    </row>
    <row r="435" spans="1:48" x14ac:dyDescent="0.25">
      <c r="A435" s="1">
        <v>31444</v>
      </c>
      <c r="B435" s="2">
        <f>[2]Indicators!G317</f>
        <v>2823.5120000000002</v>
      </c>
      <c r="C435" s="2">
        <f>[2]Indicators!H317</f>
        <v>389.36200000000002</v>
      </c>
      <c r="D435" s="2">
        <f>[2]Indicators!I317</f>
        <v>776.67100000000005</v>
      </c>
      <c r="E435" s="2">
        <f>[2]Indicators!J317</f>
        <v>1657.4780000000001</v>
      </c>
      <c r="L435" s="2">
        <f>[2]Indicators!N317</f>
        <v>15.371</v>
      </c>
      <c r="M435" s="2">
        <f>[2]Indicators!AB317</f>
        <v>55.112200000000001</v>
      </c>
      <c r="N435" s="2">
        <f>[8]m!$C437</f>
        <v>7.86</v>
      </c>
      <c r="O435">
        <f>[9]Unemployment!$B317</f>
        <v>7.2</v>
      </c>
      <c r="P435" s="2">
        <f>[2]Surveys_m!$B317</f>
        <v>96</v>
      </c>
      <c r="Q435">
        <f>[5]m!$B437</f>
        <v>109.7</v>
      </c>
      <c r="R435">
        <f>[5]m!$D437</f>
        <v>112.2</v>
      </c>
      <c r="S435">
        <f>[5]m!$Q437</f>
        <v>101.7</v>
      </c>
      <c r="T435">
        <f>[6]m!B437</f>
        <v>-24580</v>
      </c>
      <c r="U435" s="2">
        <f>[9]Unemployment!$F317</f>
        <v>15.200000000000001</v>
      </c>
      <c r="V435" s="2">
        <f>[9]Unemployment!$G317</f>
        <v>6.9</v>
      </c>
      <c r="W435">
        <f>[9]Unemployment!$E317</f>
        <v>8402</v>
      </c>
      <c r="X435">
        <f>[9]Unemployment!N317</f>
        <v>3516</v>
      </c>
      <c r="Y435">
        <f>[9]Unemployment!O317</f>
        <v>2569</v>
      </c>
      <c r="Z435">
        <f>[9]Unemployment!P317-[9]Unemployment!Q317</f>
        <v>1125</v>
      </c>
      <c r="AA435">
        <f>[9]Unemployment!$Q317</f>
        <v>1183</v>
      </c>
      <c r="AB435" s="2">
        <f>[8]m!$B437</f>
        <v>7.24</v>
      </c>
      <c r="AC435" s="2">
        <f>[8]m!$F437</f>
        <v>8.7000000000000011</v>
      </c>
      <c r="AD435">
        <f>[9]Employment!$B317</f>
        <v>98817</v>
      </c>
      <c r="AE435" s="2">
        <f>[2]Indicators!$AB317</f>
        <v>55.112200000000001</v>
      </c>
      <c r="AF435" s="2">
        <f>[8]m!$AS437</f>
        <v>610.70000000000005</v>
      </c>
      <c r="AG435" s="2">
        <f>[8]m!$H437</f>
        <v>9.67</v>
      </c>
      <c r="AH435" s="2">
        <f>[8]m!$I437</f>
        <v>11.11</v>
      </c>
      <c r="AI435" s="2">
        <f>[7]m!C436</f>
        <v>25518</v>
      </c>
      <c r="AJ435" s="2">
        <f>[7]m!D436</f>
        <v>37202</v>
      </c>
      <c r="AK435" s="2">
        <f>[2]Surveys_m!$AB317</f>
        <v>51</v>
      </c>
      <c r="AL435" s="4">
        <f t="shared" si="6"/>
        <v>4498.0754352030935</v>
      </c>
      <c r="AN435" s="2">
        <v>91</v>
      </c>
      <c r="AQ435" s="3">
        <f>[9]LaborForce!$B316*[9]LaborForce!$C316/100</f>
        <v>116883.65</v>
      </c>
      <c r="AR435">
        <f>[9]Unemployment!$AC317</f>
        <v>364</v>
      </c>
      <c r="AS435">
        <f>[2]Indicators!BC317</f>
        <v>58.1</v>
      </c>
      <c r="AT435">
        <f>[2]Indicators!BD317</f>
        <v>58.104100000000003</v>
      </c>
      <c r="AU435">
        <f>[2]Indicators!BE317</f>
        <v>100.21550000000001</v>
      </c>
    </row>
    <row r="436" spans="1:48" x14ac:dyDescent="0.25">
      <c r="A436" s="1">
        <v>31472</v>
      </c>
      <c r="B436" s="2">
        <f>[2]Indicators!G318</f>
        <v>2827.6620000000003</v>
      </c>
      <c r="C436" s="2">
        <f>[2]Indicators!H318</f>
        <v>384.09800000000001</v>
      </c>
      <c r="D436" s="2">
        <f>[2]Indicators!I318</f>
        <v>776.69100000000003</v>
      </c>
      <c r="E436" s="2">
        <f>[2]Indicators!J318</f>
        <v>1666.873</v>
      </c>
      <c r="L436" s="2">
        <f>[2]Indicators!N318</f>
        <v>14.161</v>
      </c>
      <c r="M436" s="2">
        <f>[2]Indicators!AB318</f>
        <v>54.7682</v>
      </c>
      <c r="N436" s="2">
        <f>[8]m!$C438</f>
        <v>7.48</v>
      </c>
      <c r="O436">
        <f>[9]Unemployment!$B318</f>
        <v>7.2</v>
      </c>
      <c r="P436" s="2">
        <f>[2]Surveys_m!$B318</f>
        <v>95.100000000000009</v>
      </c>
      <c r="Q436">
        <f>[5]m!$B438</f>
        <v>109.10000000000001</v>
      </c>
      <c r="R436">
        <f>[5]m!$D438</f>
        <v>112.5</v>
      </c>
      <c r="S436">
        <f>[5]m!$Q438</f>
        <v>100.30000000000001</v>
      </c>
      <c r="T436">
        <f>[6]m!B438</f>
        <v>-30142</v>
      </c>
      <c r="U436" s="2">
        <f>[9]Unemployment!$F318</f>
        <v>14.600000000000001</v>
      </c>
      <c r="V436" s="2">
        <f>[9]Unemployment!$G318</f>
        <v>6.8000000000000007</v>
      </c>
      <c r="W436">
        <f>[9]Unemployment!$E318</f>
        <v>8383</v>
      </c>
      <c r="X436">
        <f>[9]Unemployment!N318</f>
        <v>3540</v>
      </c>
      <c r="Y436">
        <f>[9]Unemployment!O318</f>
        <v>2586</v>
      </c>
      <c r="Z436">
        <f>[9]Unemployment!P318-[9]Unemployment!Q318</f>
        <v>1088</v>
      </c>
      <c r="AA436">
        <f>[9]Unemployment!$Q318</f>
        <v>1173</v>
      </c>
      <c r="AB436" s="2">
        <f>[8]m!$B438</f>
        <v>6.54</v>
      </c>
      <c r="AC436" s="2">
        <f>[8]m!$F438</f>
        <v>7.78</v>
      </c>
      <c r="AD436">
        <f>[9]Employment!$B318</f>
        <v>98910</v>
      </c>
      <c r="AE436" s="2">
        <f>[2]Indicators!$AB318</f>
        <v>54.7682</v>
      </c>
      <c r="AF436" s="2">
        <f>[8]m!$AS438</f>
        <v>613.4</v>
      </c>
      <c r="AG436" s="2">
        <f>[8]m!$H438</f>
        <v>9</v>
      </c>
      <c r="AH436" s="2">
        <f>[8]m!$I438</f>
        <v>10.5</v>
      </c>
      <c r="AI436" s="2">
        <f>[7]m!C437</f>
        <v>25481</v>
      </c>
      <c r="AJ436" s="2">
        <f>[7]m!D437</f>
        <v>35468</v>
      </c>
      <c r="AK436" s="2">
        <f>[2]Surveys_m!$AB318</f>
        <v>51</v>
      </c>
      <c r="AL436" s="4">
        <f t="shared" si="6"/>
        <v>4498.0754352030935</v>
      </c>
      <c r="AN436" s="2">
        <v>91</v>
      </c>
      <c r="AQ436" s="3">
        <f>[9]LaborForce!$B317*[9]LaborForce!$C317/100</f>
        <v>117170.23500000002</v>
      </c>
      <c r="AR436">
        <f>[9]Unemployment!$AC318</f>
        <v>375</v>
      </c>
      <c r="AS436">
        <f>[2]Indicators!BC318</f>
        <v>58.2</v>
      </c>
      <c r="AT436">
        <f>[2]Indicators!BD318</f>
        <v>58.241200000000006</v>
      </c>
      <c r="AU436">
        <f>[2]Indicators!BE318</f>
        <v>100.1922</v>
      </c>
    </row>
    <row r="437" spans="1:48" x14ac:dyDescent="0.25">
      <c r="A437" s="1">
        <v>31503</v>
      </c>
      <c r="B437" s="2">
        <f>[2]Indicators!G319</f>
        <v>2840.982</v>
      </c>
      <c r="C437" s="2">
        <f>[2]Indicators!H319</f>
        <v>404.02</v>
      </c>
      <c r="D437" s="2">
        <f>[2]Indicators!I319</f>
        <v>761.37800000000004</v>
      </c>
      <c r="E437" s="2">
        <f>[2]Indicators!J319</f>
        <v>1675.5840000000001</v>
      </c>
      <c r="L437" s="2">
        <f>[2]Indicators!N319</f>
        <v>15.849</v>
      </c>
      <c r="M437" s="2">
        <f>[2]Indicators!AB319</f>
        <v>54.807000000000002</v>
      </c>
      <c r="N437" s="2">
        <f>[8]m!$C439</f>
        <v>6.99</v>
      </c>
      <c r="O437">
        <f>[9]Unemployment!$B319</f>
        <v>7.1000000000000005</v>
      </c>
      <c r="P437" s="2">
        <f>[2]Surveys_m!$B319</f>
        <v>100</v>
      </c>
      <c r="Q437">
        <f>[5]m!$B439</f>
        <v>108.7</v>
      </c>
      <c r="R437">
        <f>[5]m!$D439</f>
        <v>112.9</v>
      </c>
      <c r="S437">
        <f>[5]m!$Q439</f>
        <v>99.600000000000009</v>
      </c>
      <c r="T437">
        <f>[6]m!B439</f>
        <v>9928</v>
      </c>
      <c r="U437" s="2">
        <f>[9]Unemployment!$F319</f>
        <v>14.700000000000001</v>
      </c>
      <c r="V437" s="2">
        <f>[9]Unemployment!$G319</f>
        <v>6.7</v>
      </c>
      <c r="W437">
        <f>[9]Unemployment!$E319</f>
        <v>8364</v>
      </c>
      <c r="X437">
        <f>[9]Unemployment!N319</f>
        <v>3598</v>
      </c>
      <c r="Y437">
        <f>[9]Unemployment!O319</f>
        <v>2666</v>
      </c>
      <c r="Z437">
        <f>[9]Unemployment!P319-[9]Unemployment!Q319</f>
        <v>988</v>
      </c>
      <c r="AA437">
        <f>[9]Unemployment!$Q319</f>
        <v>1174</v>
      </c>
      <c r="AB437" s="2">
        <f>[8]m!$B439</f>
        <v>6.2700000000000005</v>
      </c>
      <c r="AC437" s="2">
        <f>[8]m!$F439</f>
        <v>7.3</v>
      </c>
      <c r="AD437">
        <f>[9]Employment!$B319</f>
        <v>99098</v>
      </c>
      <c r="AE437" s="2">
        <f>[2]Indicators!$AB319</f>
        <v>54.807000000000002</v>
      </c>
      <c r="AF437" s="2">
        <f>[8]m!$AS439</f>
        <v>619.70000000000005</v>
      </c>
      <c r="AG437" s="2">
        <f>[8]m!$H439</f>
        <v>8.7900000000000009</v>
      </c>
      <c r="AH437" s="2">
        <f>[8]m!$I439</f>
        <v>10.19</v>
      </c>
      <c r="AI437" s="2">
        <f>[7]m!C438</f>
        <v>24960</v>
      </c>
      <c r="AJ437" s="2">
        <f>[7]m!D438</f>
        <v>35726</v>
      </c>
      <c r="AK437" s="2">
        <f>[2]Surveys_m!$AB319</f>
        <v>49.7</v>
      </c>
      <c r="AL437" s="4">
        <f t="shared" si="6"/>
        <v>4498.0754352030935</v>
      </c>
      <c r="AN437" s="2">
        <v>91</v>
      </c>
      <c r="AQ437" s="3">
        <f>[9]LaborForce!$B318*[9]LaborForce!$C318/100</f>
        <v>117276.34800000001</v>
      </c>
      <c r="AR437">
        <f>[9]Unemployment!$AC319</f>
        <v>396</v>
      </c>
      <c r="AS437">
        <f>[2]Indicators!BC319</f>
        <v>58.5</v>
      </c>
      <c r="AT437">
        <f>[2]Indicators!BD319</f>
        <v>58.359700000000004</v>
      </c>
      <c r="AU437">
        <f>[2]Indicators!BE319</f>
        <v>100.1361</v>
      </c>
    </row>
    <row r="438" spans="1:48" x14ac:dyDescent="0.25">
      <c r="A438" s="1">
        <v>31533</v>
      </c>
      <c r="B438" s="2">
        <f>[2]Indicators!G320</f>
        <v>2865.1440000000002</v>
      </c>
      <c r="C438" s="2">
        <f>[2]Indicators!H320</f>
        <v>414.173</v>
      </c>
      <c r="D438" s="2">
        <f>[2]Indicators!I320</f>
        <v>768.63599999999997</v>
      </c>
      <c r="E438" s="2">
        <f>[2]Indicators!J320</f>
        <v>1682.3340000000001</v>
      </c>
      <c r="L438" s="2">
        <f>[2]Indicators!N320</f>
        <v>16.302</v>
      </c>
      <c r="M438" s="2">
        <f>[2]Indicators!AB320</f>
        <v>54.906100000000002</v>
      </c>
      <c r="N438" s="2">
        <f>[8]m!$C440</f>
        <v>6.8500000000000005</v>
      </c>
      <c r="O438">
        <f>[9]Unemployment!$B320</f>
        <v>7.2</v>
      </c>
      <c r="P438" s="2">
        <f>[2]Surveys_m!$B320</f>
        <v>100.2</v>
      </c>
      <c r="Q438">
        <f>[5]m!$B440</f>
        <v>109</v>
      </c>
      <c r="R438">
        <f>[5]m!$D440</f>
        <v>113.10000000000001</v>
      </c>
      <c r="S438">
        <f>[5]m!$Q440</f>
        <v>100</v>
      </c>
      <c r="T438">
        <f>[6]m!B440</f>
        <v>-39396</v>
      </c>
      <c r="U438" s="2">
        <f>[9]Unemployment!$F320</f>
        <v>14.700000000000001</v>
      </c>
      <c r="V438" s="2">
        <f>[9]Unemployment!$G320</f>
        <v>6.8000000000000007</v>
      </c>
      <c r="W438">
        <f>[9]Unemployment!$E320</f>
        <v>8439</v>
      </c>
      <c r="X438">
        <f>[9]Unemployment!N320</f>
        <v>3586</v>
      </c>
      <c r="Y438">
        <f>[9]Unemployment!O320</f>
        <v>2670</v>
      </c>
      <c r="Z438">
        <f>[9]Unemployment!P320-[9]Unemployment!Q320</f>
        <v>1064</v>
      </c>
      <c r="AA438">
        <f>[9]Unemployment!$Q320</f>
        <v>1168</v>
      </c>
      <c r="AB438" s="2">
        <f>[8]m!$B440</f>
        <v>6.28</v>
      </c>
      <c r="AC438" s="2">
        <f>[8]m!$F440</f>
        <v>7.71</v>
      </c>
      <c r="AD438">
        <f>[9]Employment!$B320</f>
        <v>99223</v>
      </c>
      <c r="AE438" s="2">
        <f>[2]Indicators!$AB320</f>
        <v>54.906100000000002</v>
      </c>
      <c r="AF438" s="2">
        <f>[8]m!$AS440</f>
        <v>625.80000000000007</v>
      </c>
      <c r="AG438" s="2">
        <f>[8]m!$H440</f>
        <v>9.09</v>
      </c>
      <c r="AH438" s="2">
        <f>[8]m!$I440</f>
        <v>10.290000000000001</v>
      </c>
      <c r="AI438" s="2">
        <f>[7]m!C439</f>
        <v>25686</v>
      </c>
      <c r="AJ438" s="2">
        <f>[7]m!D439</f>
        <v>36622</v>
      </c>
      <c r="AK438" s="2">
        <f>[2]Surveys_m!$AB320</f>
        <v>53.400000000000006</v>
      </c>
      <c r="AL438" s="4">
        <f t="shared" si="6"/>
        <v>4448.6460348162464</v>
      </c>
      <c r="AN438" s="2">
        <v>90</v>
      </c>
      <c r="AQ438" s="3">
        <f>[9]LaborForce!$B319*[9]LaborForce!$C319/100</f>
        <v>117562.77200000001</v>
      </c>
      <c r="AR438">
        <f>[9]Unemployment!$AC320</f>
        <v>391</v>
      </c>
      <c r="AS438">
        <f>[2]Indicators!BC320</f>
        <v>58.7</v>
      </c>
      <c r="AT438">
        <f>[2]Indicators!BD320</f>
        <v>58.467600000000004</v>
      </c>
      <c r="AU438">
        <f>[2]Indicators!BE320</f>
        <v>100.06110000000001</v>
      </c>
    </row>
    <row r="439" spans="1:48" x14ac:dyDescent="0.25">
      <c r="A439" s="1">
        <v>31564</v>
      </c>
      <c r="B439" s="2">
        <f>[2]Indicators!G321</f>
        <v>2871.4160000000002</v>
      </c>
      <c r="C439" s="2">
        <f>[2]Indicators!H321</f>
        <v>403.67900000000003</v>
      </c>
      <c r="D439" s="2">
        <f>[2]Indicators!I321</f>
        <v>772.34100000000001</v>
      </c>
      <c r="E439" s="2">
        <f>[2]Indicators!J321</f>
        <v>1695.3969999999999</v>
      </c>
      <c r="L439" s="2">
        <f>[2]Indicators!N321</f>
        <v>15.92</v>
      </c>
      <c r="M439" s="2">
        <f>[2]Indicators!AB321</f>
        <v>54.729300000000002</v>
      </c>
      <c r="N439" s="2">
        <f>[8]m!$C441</f>
        <v>6.92</v>
      </c>
      <c r="O439">
        <f>[9]Unemployment!$B321</f>
        <v>7.2</v>
      </c>
      <c r="P439" s="2">
        <f>[2]Surveys_m!$B321</f>
        <v>100</v>
      </c>
      <c r="Q439">
        <f>[5]m!$B441</f>
        <v>109.4</v>
      </c>
      <c r="R439">
        <f>[5]m!$D441</f>
        <v>113.4</v>
      </c>
      <c r="S439">
        <f>[5]m!$Q441</f>
        <v>99.9</v>
      </c>
      <c r="T439">
        <f>[6]m!B441</f>
        <v>-1044</v>
      </c>
      <c r="U439" s="2">
        <f>[9]Unemployment!$F321</f>
        <v>15.200000000000001</v>
      </c>
      <c r="V439" s="2">
        <f>[9]Unemployment!$G321</f>
        <v>7</v>
      </c>
      <c r="W439">
        <f>[9]Unemployment!$E321</f>
        <v>8508</v>
      </c>
      <c r="X439">
        <f>[9]Unemployment!N321</f>
        <v>3489</v>
      </c>
      <c r="Y439">
        <f>[9]Unemployment!O321</f>
        <v>2705</v>
      </c>
      <c r="Z439">
        <f>[9]Unemployment!P321-[9]Unemployment!Q321</f>
        <v>1040</v>
      </c>
      <c r="AA439">
        <f>[9]Unemployment!$Q321</f>
        <v>1280</v>
      </c>
      <c r="AB439" s="2">
        <f>[8]m!$B441</f>
        <v>6.12</v>
      </c>
      <c r="AC439" s="2">
        <f>[8]m!$F441</f>
        <v>7.8</v>
      </c>
      <c r="AD439">
        <f>[9]Employment!$B321</f>
        <v>99130</v>
      </c>
      <c r="AE439" s="2">
        <f>[2]Indicators!$AB321</f>
        <v>54.729300000000002</v>
      </c>
      <c r="AF439" s="2">
        <f>[8]m!$AS441</f>
        <v>630.1</v>
      </c>
      <c r="AG439" s="2">
        <f>[8]m!$H441</f>
        <v>9.1300000000000008</v>
      </c>
      <c r="AH439" s="2">
        <f>[8]m!$I441</f>
        <v>10.34</v>
      </c>
      <c r="AI439" s="2">
        <f>[7]m!C440</f>
        <v>25947</v>
      </c>
      <c r="AJ439" s="2">
        <f>[7]m!D440</f>
        <v>35725</v>
      </c>
      <c r="AK439" s="2">
        <f>[2]Surveys_m!$AB321</f>
        <v>50.5</v>
      </c>
      <c r="AL439" s="4">
        <f t="shared" si="6"/>
        <v>4547.5048355899407</v>
      </c>
      <c r="AN439" s="2">
        <v>92</v>
      </c>
      <c r="AQ439" s="3">
        <f>[9]LaborForce!$B320*[9]LaborForce!$C320/100</f>
        <v>118048.96200000001</v>
      </c>
      <c r="AR439">
        <f>[9]Unemployment!$AC321</f>
        <v>373</v>
      </c>
      <c r="AS439">
        <f>[2]Indicators!BC321</f>
        <v>59</v>
      </c>
      <c r="AT439">
        <f>[2]Indicators!BD321</f>
        <v>58.555800000000005</v>
      </c>
      <c r="AU439">
        <f>[2]Indicators!BE321</f>
        <v>99.952400000000011</v>
      </c>
    </row>
    <row r="440" spans="1:48" x14ac:dyDescent="0.25">
      <c r="A440" s="1">
        <v>31594</v>
      </c>
      <c r="B440" s="2">
        <f>[2]Indicators!G322</f>
        <v>2893.078</v>
      </c>
      <c r="C440" s="2">
        <f>[2]Indicators!H322</f>
        <v>415.92700000000002</v>
      </c>
      <c r="D440" s="2">
        <f>[2]Indicators!I322</f>
        <v>771.57</v>
      </c>
      <c r="E440" s="2">
        <f>[2]Indicators!J322</f>
        <v>1705.5810000000001</v>
      </c>
      <c r="L440" s="2">
        <f>[2]Indicators!N322</f>
        <v>15.742000000000001</v>
      </c>
      <c r="M440" s="2">
        <f>[2]Indicators!AB322</f>
        <v>55.072200000000002</v>
      </c>
      <c r="N440" s="2">
        <f>[8]m!$C442</f>
        <v>6.5600000000000005</v>
      </c>
      <c r="O440">
        <f>[9]Unemployment!$B322</f>
        <v>7</v>
      </c>
      <c r="P440" s="2">
        <f>[2]Surveys_m!$B322</f>
        <v>97.5</v>
      </c>
      <c r="Q440">
        <f>[5]m!$B442</f>
        <v>109.5</v>
      </c>
      <c r="R440">
        <f>[5]m!$D442</f>
        <v>113.8</v>
      </c>
      <c r="S440">
        <f>[5]m!$Q442</f>
        <v>99.4</v>
      </c>
      <c r="T440">
        <f>[6]m!B442</f>
        <v>-22304</v>
      </c>
      <c r="U440" s="2">
        <f>[9]Unemployment!$F322</f>
        <v>15.200000000000001</v>
      </c>
      <c r="V440" s="2">
        <f>[9]Unemployment!$G322</f>
        <v>6.9</v>
      </c>
      <c r="W440">
        <f>[9]Unemployment!$E322</f>
        <v>8319</v>
      </c>
      <c r="X440">
        <f>[9]Unemployment!N322</f>
        <v>3446</v>
      </c>
      <c r="Y440">
        <f>[9]Unemployment!O322</f>
        <v>2548</v>
      </c>
      <c r="Z440">
        <f>[9]Unemployment!P322-[9]Unemployment!Q322</f>
        <v>1056</v>
      </c>
      <c r="AA440">
        <f>[9]Unemployment!$Q322</f>
        <v>1213</v>
      </c>
      <c r="AB440" s="2">
        <f>[8]m!$B442</f>
        <v>5.96</v>
      </c>
      <c r="AC440" s="2">
        <f>[8]m!$F442</f>
        <v>7.3</v>
      </c>
      <c r="AD440">
        <f>[9]Employment!$B322</f>
        <v>99448</v>
      </c>
      <c r="AE440" s="2">
        <f>[2]Indicators!$AB322</f>
        <v>55.072200000000002</v>
      </c>
      <c r="AF440" s="2">
        <f>[8]m!$AS442</f>
        <v>635.20000000000005</v>
      </c>
      <c r="AG440" s="2">
        <f>[8]m!$H442</f>
        <v>8.8800000000000008</v>
      </c>
      <c r="AH440" s="2">
        <f>[8]m!$I442</f>
        <v>10.16</v>
      </c>
      <c r="AI440" s="2">
        <f>[7]m!C441</f>
        <v>26962</v>
      </c>
      <c r="AJ440" s="2">
        <f>[7]m!D441</f>
        <v>36295</v>
      </c>
      <c r="AK440" s="2">
        <f>[2]Surveys_m!$AB322</f>
        <v>48</v>
      </c>
      <c r="AL440" s="4">
        <f t="shared" si="6"/>
        <v>4498.0754352030935</v>
      </c>
      <c r="AN440" s="2">
        <v>91</v>
      </c>
      <c r="AQ440" s="3">
        <f>[9]LaborForce!$B321*[9]LaborForce!$C321/100</f>
        <v>118166.02800000001</v>
      </c>
      <c r="AR440">
        <f>[9]Unemployment!$AC322</f>
        <v>371</v>
      </c>
      <c r="AS440">
        <f>[2]Indicators!BC322</f>
        <v>59</v>
      </c>
      <c r="AT440">
        <f>[2]Indicators!BD322</f>
        <v>58.623400000000004</v>
      </c>
      <c r="AU440">
        <f>[2]Indicators!BE322</f>
        <v>99.808400000000006</v>
      </c>
    </row>
    <row r="441" spans="1:48" x14ac:dyDescent="0.25">
      <c r="A441" s="1">
        <v>31625</v>
      </c>
      <c r="B441" s="2">
        <f>[2]Indicators!G323</f>
        <v>2912.1860000000001</v>
      </c>
      <c r="C441" s="2">
        <f>[2]Indicators!H323</f>
        <v>434.38299999999998</v>
      </c>
      <c r="D441" s="2">
        <f>[2]Indicators!I323</f>
        <v>768.46100000000001</v>
      </c>
      <c r="E441" s="2">
        <f>[2]Indicators!J323</f>
        <v>1709.3430000000001</v>
      </c>
      <c r="L441" s="2">
        <f>[2]Indicators!N323</f>
        <v>17.285</v>
      </c>
      <c r="M441" s="2">
        <f>[2]Indicators!AB323</f>
        <v>54.959500000000006</v>
      </c>
      <c r="N441" s="2">
        <f>[8]m!$C443</f>
        <v>6.17</v>
      </c>
      <c r="O441">
        <f>[9]Unemployment!$B323</f>
        <v>6.9</v>
      </c>
      <c r="P441" s="2">
        <f>[2]Surveys_m!$B323</f>
        <v>91.7</v>
      </c>
      <c r="Q441">
        <f>[5]m!$B443</f>
        <v>109.60000000000001</v>
      </c>
      <c r="R441">
        <f>[5]m!$D443</f>
        <v>114.2</v>
      </c>
      <c r="S441">
        <f>[5]m!$Q443</f>
        <v>99.300000000000011</v>
      </c>
      <c r="T441">
        <f>[6]m!B443</f>
        <v>-28056</v>
      </c>
      <c r="U441" s="2">
        <f>[9]Unemployment!$F323</f>
        <v>15.5</v>
      </c>
      <c r="V441" s="2">
        <f>[9]Unemployment!$G323</f>
        <v>7.1000000000000005</v>
      </c>
      <c r="W441">
        <f>[9]Unemployment!$E323</f>
        <v>8135</v>
      </c>
      <c r="X441">
        <f>[9]Unemployment!N323</f>
        <v>3439</v>
      </c>
      <c r="Y441">
        <f>[9]Unemployment!O323</f>
        <v>2398</v>
      </c>
      <c r="Z441">
        <f>[9]Unemployment!P323-[9]Unemployment!Q323</f>
        <v>1084</v>
      </c>
      <c r="AA441">
        <f>[9]Unemployment!$Q323</f>
        <v>1192</v>
      </c>
      <c r="AB441" s="2">
        <f>[8]m!$B443</f>
        <v>5.32</v>
      </c>
      <c r="AC441" s="2">
        <f>[8]m!$F443</f>
        <v>7.17</v>
      </c>
      <c r="AD441">
        <f>[9]Employment!$B323</f>
        <v>99561</v>
      </c>
      <c r="AE441" s="2">
        <f>[2]Indicators!$AB323</f>
        <v>54.959500000000006</v>
      </c>
      <c r="AF441" s="2">
        <f>[8]m!$AS443</f>
        <v>638.90000000000009</v>
      </c>
      <c r="AG441" s="2">
        <f>[8]m!$H443</f>
        <v>8.7200000000000006</v>
      </c>
      <c r="AH441" s="2">
        <f>[8]m!$I443</f>
        <v>10.18</v>
      </c>
      <c r="AI441" s="2">
        <f>[7]m!C442</f>
        <v>27005</v>
      </c>
      <c r="AJ441" s="2">
        <f>[7]m!D442</f>
        <v>37751</v>
      </c>
      <c r="AK441" s="2">
        <f>[2]Surveys_m!$AB323</f>
        <v>52.6</v>
      </c>
      <c r="AL441" s="4">
        <f t="shared" si="6"/>
        <v>4547.5048355899407</v>
      </c>
      <c r="AN441" s="2">
        <v>92</v>
      </c>
      <c r="AQ441" s="3">
        <f>[9]LaborForce!$B322*[9]LaborForce!$C322/100</f>
        <v>118080.68400000001</v>
      </c>
      <c r="AR441">
        <f>[9]Unemployment!$AC323</f>
        <v>416</v>
      </c>
      <c r="AS441">
        <f>[2]Indicators!BC323</f>
        <v>59</v>
      </c>
      <c r="AT441">
        <f>[2]Indicators!BD323</f>
        <v>58.692800000000005</v>
      </c>
      <c r="AU441">
        <f>[2]Indicators!BE323</f>
        <v>99.668199999999999</v>
      </c>
    </row>
    <row r="442" spans="1:48" x14ac:dyDescent="0.25">
      <c r="A442" s="1">
        <v>31656</v>
      </c>
      <c r="B442" s="2">
        <f>[2]Indicators!G324</f>
        <v>2986.643</v>
      </c>
      <c r="C442" s="2">
        <f>[2]Indicators!H324</f>
        <v>486.81100000000004</v>
      </c>
      <c r="D442" s="2">
        <f>[2]Indicators!I324</f>
        <v>773.09500000000003</v>
      </c>
      <c r="E442" s="2">
        <f>[2]Indicators!J324</f>
        <v>1726.7360000000001</v>
      </c>
      <c r="L442" s="2">
        <f>[2]Indicators!N324</f>
        <v>21.495000000000001</v>
      </c>
      <c r="M442" s="2">
        <f>[2]Indicators!AB324</f>
        <v>55.062800000000003</v>
      </c>
      <c r="N442" s="2">
        <f>[8]m!$C444</f>
        <v>5.89</v>
      </c>
      <c r="O442">
        <f>[9]Unemployment!$B324</f>
        <v>7</v>
      </c>
      <c r="P442" s="2">
        <f>[2]Surveys_m!$B324</f>
        <v>89.7</v>
      </c>
      <c r="Q442">
        <f>[5]m!$B444</f>
        <v>110</v>
      </c>
      <c r="R442">
        <f>[5]m!$D444</f>
        <v>114.60000000000001</v>
      </c>
      <c r="S442">
        <f>[5]m!$Q444</f>
        <v>99.4</v>
      </c>
      <c r="T442">
        <f>[6]m!B444</f>
        <v>-3926</v>
      </c>
      <c r="U442" s="2">
        <f>[9]Unemployment!$F324</f>
        <v>15.4</v>
      </c>
      <c r="V442" s="2">
        <f>[9]Unemployment!$G324</f>
        <v>7.4</v>
      </c>
      <c r="W442">
        <f>[9]Unemployment!$E324</f>
        <v>8310</v>
      </c>
      <c r="X442">
        <f>[9]Unemployment!N324</f>
        <v>3405</v>
      </c>
      <c r="Y442">
        <f>[9]Unemployment!O324</f>
        <v>2642</v>
      </c>
      <c r="Z442">
        <f>[9]Unemployment!P324-[9]Unemployment!Q324</f>
        <v>1081</v>
      </c>
      <c r="AA442">
        <f>[9]Unemployment!$Q324</f>
        <v>1237</v>
      </c>
      <c r="AB442" s="2">
        <f>[8]m!$B444</f>
        <v>5.33</v>
      </c>
      <c r="AC442" s="2">
        <f>[8]m!$F444</f>
        <v>7.45</v>
      </c>
      <c r="AD442">
        <f>[9]Employment!$B324</f>
        <v>99907</v>
      </c>
      <c r="AE442" s="2">
        <f>[2]Indicators!$AB324</f>
        <v>55.062800000000003</v>
      </c>
      <c r="AF442" s="2">
        <f>[8]m!$AS444</f>
        <v>646</v>
      </c>
      <c r="AG442" s="2">
        <f>[8]m!$H444</f>
        <v>8.89</v>
      </c>
      <c r="AH442" s="2">
        <f>[8]m!$I444</f>
        <v>10.200000000000001</v>
      </c>
      <c r="AI442" s="2">
        <f>[7]m!C443</f>
        <v>25244</v>
      </c>
      <c r="AJ442" s="2">
        <f>[7]m!D443</f>
        <v>36904</v>
      </c>
      <c r="AK442" s="2">
        <f>[2]Surveys_m!$AB324</f>
        <v>52.400000000000006</v>
      </c>
      <c r="AL442" s="4">
        <f t="shared" si="6"/>
        <v>4596.9342359767879</v>
      </c>
      <c r="AN442" s="2">
        <v>93</v>
      </c>
      <c r="AQ442" s="3">
        <f>[9]LaborForce!$B323*[9]LaborForce!$C323/100</f>
        <v>118372.038</v>
      </c>
      <c r="AR442">
        <f>[9]Unemployment!$AC324</f>
        <v>401</v>
      </c>
      <c r="AS442">
        <f>[2]Indicators!BC324</f>
        <v>59.2</v>
      </c>
      <c r="AT442">
        <f>[2]Indicators!BD324</f>
        <v>58.777100000000004</v>
      </c>
      <c r="AU442">
        <f>[2]Indicators!BE324</f>
        <v>99.553700000000006</v>
      </c>
    </row>
    <row r="443" spans="1:48" x14ac:dyDescent="0.25">
      <c r="A443" s="1">
        <v>31686</v>
      </c>
      <c r="B443" s="2">
        <f>[2]Indicators!G325</f>
        <v>2948.5750000000003</v>
      </c>
      <c r="C443" s="2">
        <f>[2]Indicators!H325</f>
        <v>434.90199999999999</v>
      </c>
      <c r="D443" s="2">
        <f>[2]Indicators!I325</f>
        <v>778.30600000000004</v>
      </c>
      <c r="E443" s="2">
        <f>[2]Indicators!J325</f>
        <v>1735.3679999999999</v>
      </c>
      <c r="L443" s="2">
        <f>[2]Indicators!N325</f>
        <v>14.793000000000001</v>
      </c>
      <c r="M443" s="2">
        <f>[2]Indicators!AB325</f>
        <v>55.314500000000002</v>
      </c>
      <c r="N443" s="2">
        <f>[8]m!$C445</f>
        <v>5.8500000000000005</v>
      </c>
      <c r="O443">
        <f>[9]Unemployment!$B325</f>
        <v>7</v>
      </c>
      <c r="P443" s="2">
        <f>[2]Surveys_m!$B325</f>
        <v>85.800000000000011</v>
      </c>
      <c r="Q443">
        <f>[5]m!$B445</f>
        <v>110.2</v>
      </c>
      <c r="R443">
        <f>[5]m!$D445</f>
        <v>115</v>
      </c>
      <c r="S443">
        <f>[5]m!$Q445</f>
        <v>99.7</v>
      </c>
      <c r="T443">
        <f>[6]m!B445</f>
        <v>-25290</v>
      </c>
      <c r="U443" s="2">
        <f>[9]Unemployment!$F325</f>
        <v>15.200000000000001</v>
      </c>
      <c r="V443" s="2">
        <f>[9]Unemployment!$G325</f>
        <v>7</v>
      </c>
      <c r="W443">
        <f>[9]Unemployment!$E325</f>
        <v>8243</v>
      </c>
      <c r="X443">
        <f>[9]Unemployment!N325</f>
        <v>3416</v>
      </c>
      <c r="Y443">
        <f>[9]Unemployment!O325</f>
        <v>2599</v>
      </c>
      <c r="Z443">
        <f>[9]Unemployment!P325-[9]Unemployment!Q325</f>
        <v>974</v>
      </c>
      <c r="AA443">
        <f>[9]Unemployment!$Q325</f>
        <v>1214</v>
      </c>
      <c r="AB443" s="2">
        <f>[8]m!$B445</f>
        <v>5.34</v>
      </c>
      <c r="AC443" s="2">
        <f>[8]m!$F445</f>
        <v>7.43</v>
      </c>
      <c r="AD443">
        <f>[9]Employment!$B325</f>
        <v>100094</v>
      </c>
      <c r="AE443" s="2">
        <f>[2]Indicators!$AB325</f>
        <v>55.314500000000002</v>
      </c>
      <c r="AF443" s="2">
        <f>[8]m!$AS445</f>
        <v>653.80000000000007</v>
      </c>
      <c r="AG443" s="2">
        <f>[8]m!$H445</f>
        <v>8.86</v>
      </c>
      <c r="AH443" s="2">
        <f>[8]m!$I445</f>
        <v>10.24</v>
      </c>
      <c r="AI443" s="2">
        <f>[7]m!C444</f>
        <v>25556</v>
      </c>
      <c r="AJ443" s="2">
        <f>[7]m!D444</f>
        <v>38520</v>
      </c>
      <c r="AK443" s="2">
        <f>[2]Surveys_m!$AB325</f>
        <v>51.2</v>
      </c>
      <c r="AL443" s="4">
        <f t="shared" si="6"/>
        <v>4596.9342359767879</v>
      </c>
      <c r="AN443" s="2">
        <v>93</v>
      </c>
      <c r="AQ443" s="3">
        <f>[9]LaborForce!$B324*[9]LaborForce!$C324/100</f>
        <v>118495.644</v>
      </c>
      <c r="AR443">
        <f>[9]Unemployment!$AC325</f>
        <v>389</v>
      </c>
      <c r="AS443">
        <f>[2]Indicators!BC325</f>
        <v>59.6</v>
      </c>
      <c r="AT443">
        <f>[2]Indicators!BD325</f>
        <v>58.896700000000003</v>
      </c>
      <c r="AU443">
        <f>[2]Indicators!BE325</f>
        <v>99.499300000000005</v>
      </c>
    </row>
    <row r="444" spans="1:48" x14ac:dyDescent="0.25">
      <c r="A444" s="1">
        <v>31717</v>
      </c>
      <c r="B444" s="2">
        <f>[2]Indicators!G326</f>
        <v>2945.3830000000003</v>
      </c>
      <c r="C444" s="2">
        <f>[2]Indicators!H326</f>
        <v>420.00200000000001</v>
      </c>
      <c r="D444" s="2">
        <f>[2]Indicators!I326</f>
        <v>775.20100000000002</v>
      </c>
      <c r="E444" s="2">
        <f>[2]Indicators!J326</f>
        <v>1750.18</v>
      </c>
      <c r="L444" s="2">
        <f>[2]Indicators!N326</f>
        <v>14.822000000000001</v>
      </c>
      <c r="M444" s="2">
        <f>[2]Indicators!AB326</f>
        <v>55.575100000000006</v>
      </c>
      <c r="N444" s="2">
        <f>[8]m!$C446</f>
        <v>6.04</v>
      </c>
      <c r="O444">
        <f>[9]Unemployment!$B326</f>
        <v>6.9</v>
      </c>
      <c r="P444" s="2">
        <f>[2]Surveys_m!$B326</f>
        <v>89.7</v>
      </c>
      <c r="Q444">
        <f>[5]m!$B446</f>
        <v>110.4</v>
      </c>
      <c r="R444">
        <f>[5]m!$D446</f>
        <v>115.3</v>
      </c>
      <c r="S444">
        <f>[5]m!$Q446</f>
        <v>99.800000000000011</v>
      </c>
      <c r="T444">
        <f>[6]m!B446</f>
        <v>-27087</v>
      </c>
      <c r="U444" s="2">
        <f>[9]Unemployment!$F326</f>
        <v>15</v>
      </c>
      <c r="V444" s="2">
        <f>[9]Unemployment!$G326</f>
        <v>7.1000000000000005</v>
      </c>
      <c r="W444">
        <f>[9]Unemployment!$E326</f>
        <v>8159</v>
      </c>
      <c r="X444">
        <f>[9]Unemployment!N326</f>
        <v>3343</v>
      </c>
      <c r="Y444">
        <f>[9]Unemployment!O326</f>
        <v>2630</v>
      </c>
      <c r="Z444">
        <f>[9]Unemployment!P326-[9]Unemployment!Q326</f>
        <v>1037</v>
      </c>
      <c r="AA444">
        <f>[9]Unemployment!$Q326</f>
        <v>1165</v>
      </c>
      <c r="AB444" s="2">
        <f>[8]m!$B446</f>
        <v>5.53</v>
      </c>
      <c r="AC444" s="2">
        <f>[8]m!$F446</f>
        <v>7.25</v>
      </c>
      <c r="AD444">
        <f>[9]Employment!$B326</f>
        <v>100280</v>
      </c>
      <c r="AE444" s="2">
        <f>[2]Indicators!$AB326</f>
        <v>55.575100000000006</v>
      </c>
      <c r="AF444" s="2">
        <f>[8]m!$AS446</f>
        <v>653.80000000000007</v>
      </c>
      <c r="AG444" s="2">
        <f>[8]m!$H446</f>
        <v>8.68</v>
      </c>
      <c r="AH444" s="2">
        <f>[8]m!$I446</f>
        <v>10.07</v>
      </c>
      <c r="AI444" s="2">
        <f>[7]m!C445</f>
        <v>27281</v>
      </c>
      <c r="AJ444" s="2">
        <f>[7]m!D445</f>
        <v>37848</v>
      </c>
      <c r="AK444" s="2">
        <f>[2]Surveys_m!$AB326</f>
        <v>51.2</v>
      </c>
      <c r="AL444" s="4">
        <f t="shared" si="6"/>
        <v>4794.6518375241767</v>
      </c>
      <c r="AN444" s="2">
        <v>97</v>
      </c>
      <c r="AQ444" s="3">
        <f>[9]LaborForce!$B325*[9]LaborForce!$C325/100</f>
        <v>118611.40200000002</v>
      </c>
      <c r="AR444">
        <f>[9]Unemployment!$AC326</f>
        <v>364</v>
      </c>
      <c r="AS444">
        <f>[2]Indicators!BC326</f>
        <v>59.7</v>
      </c>
      <c r="AT444">
        <f>[2]Indicators!BD326</f>
        <v>59.079100000000004</v>
      </c>
      <c r="AU444">
        <f>[2]Indicators!BE326</f>
        <v>99.551299999999998</v>
      </c>
    </row>
    <row r="445" spans="1:48" x14ac:dyDescent="0.25">
      <c r="A445" s="1">
        <v>31747</v>
      </c>
      <c r="B445" s="2">
        <f>[2]Indicators!G327</f>
        <v>3015.779</v>
      </c>
      <c r="C445" s="2">
        <f>[2]Indicators!H327</f>
        <v>468.495</v>
      </c>
      <c r="D445" s="2">
        <f>[2]Indicators!I327</f>
        <v>783.51400000000001</v>
      </c>
      <c r="E445" s="2">
        <f>[2]Indicators!J327</f>
        <v>1763.77</v>
      </c>
      <c r="L445" s="2">
        <f>[2]Indicators!N327</f>
        <v>18.079000000000001</v>
      </c>
      <c r="M445" s="2">
        <f>[2]Indicators!AB327</f>
        <v>56.0627</v>
      </c>
      <c r="N445" s="2">
        <f>[8]m!$C447</f>
        <v>6.91</v>
      </c>
      <c r="O445">
        <f>[9]Unemployment!$B327</f>
        <v>6.6000000000000005</v>
      </c>
      <c r="P445" s="2">
        <f>[2]Surveys_m!$B327</f>
        <v>93.2</v>
      </c>
      <c r="Q445">
        <f>[5]m!$B447</f>
        <v>110.8</v>
      </c>
      <c r="R445">
        <f>[5]m!$D447</f>
        <v>115.60000000000001</v>
      </c>
      <c r="S445">
        <f>[5]m!$Q447</f>
        <v>99.7</v>
      </c>
      <c r="T445">
        <f>[6]m!B447</f>
        <v>-12369</v>
      </c>
      <c r="U445" s="2">
        <f>[9]Unemployment!$F327</f>
        <v>15</v>
      </c>
      <c r="V445" s="2">
        <f>[9]Unemployment!$G327</f>
        <v>7.1000000000000005</v>
      </c>
      <c r="W445">
        <f>[9]Unemployment!$E327</f>
        <v>7883</v>
      </c>
      <c r="X445">
        <f>[9]Unemployment!N327</f>
        <v>3297</v>
      </c>
      <c r="Y445">
        <f>[9]Unemployment!O327</f>
        <v>2397</v>
      </c>
      <c r="Z445">
        <f>[9]Unemployment!P327-[9]Unemployment!Q327</f>
        <v>1011</v>
      </c>
      <c r="AA445">
        <f>[9]Unemployment!$Q327</f>
        <v>1150</v>
      </c>
      <c r="AB445" s="2">
        <f>[8]m!$B447</f>
        <v>5.84</v>
      </c>
      <c r="AC445" s="2">
        <f>[8]m!$F447</f>
        <v>7.11</v>
      </c>
      <c r="AD445">
        <f>[9]Employment!$B327</f>
        <v>100484</v>
      </c>
      <c r="AE445" s="2">
        <f>[2]Indicators!$AB327</f>
        <v>56.0627</v>
      </c>
      <c r="AF445" s="2">
        <f>[8]m!$AS447</f>
        <v>654.80000000000007</v>
      </c>
      <c r="AG445" s="2">
        <f>[8]m!$H447</f>
        <v>8.49</v>
      </c>
      <c r="AH445" s="2">
        <f>[8]m!$I447</f>
        <v>9.9700000000000006</v>
      </c>
      <c r="AI445" s="2">
        <f>[7]m!C446</f>
        <v>26848</v>
      </c>
      <c r="AJ445" s="2">
        <f>[7]m!D446</f>
        <v>39561</v>
      </c>
      <c r="AK445" s="2">
        <f>[2]Surveys_m!$AB327</f>
        <v>50.5</v>
      </c>
      <c r="AL445" s="4">
        <f t="shared" si="6"/>
        <v>4547.5048355899407</v>
      </c>
      <c r="AN445" s="2">
        <v>92</v>
      </c>
      <c r="AQ445" s="3">
        <f>[9]LaborForce!$B326*[9]LaborForce!$C326/100</f>
        <v>118550.19099999999</v>
      </c>
      <c r="AR445">
        <f>[9]Unemployment!$AC327</f>
        <v>366</v>
      </c>
      <c r="AS445">
        <f>[2]Indicators!BC327</f>
        <v>60.4</v>
      </c>
      <c r="AT445">
        <f>[2]Indicators!BD327</f>
        <v>59.349600000000002</v>
      </c>
      <c r="AU445">
        <f>[2]Indicators!BE327</f>
        <v>99.751000000000005</v>
      </c>
    </row>
    <row r="446" spans="1:48" x14ac:dyDescent="0.25">
      <c r="A446" s="1">
        <v>31778</v>
      </c>
      <c r="B446" s="2">
        <f>[2]Indicators!G328</f>
        <v>2956.5080000000003</v>
      </c>
      <c r="C446" s="2">
        <f>[2]Indicators!H328</f>
        <v>399.74400000000003</v>
      </c>
      <c r="D446" s="2">
        <f>[2]Indicators!I328</f>
        <v>782.87900000000002</v>
      </c>
      <c r="E446" s="2">
        <f>[2]Indicators!J328</f>
        <v>1773.885</v>
      </c>
      <c r="L446" s="2">
        <f>[2]Indicators!N328</f>
        <v>12.414</v>
      </c>
      <c r="M446" s="2">
        <f>[2]Indicators!AB328</f>
        <v>55.874400000000001</v>
      </c>
      <c r="N446" s="2">
        <f>[8]m!$C448</f>
        <v>6.43</v>
      </c>
      <c r="O446">
        <f>[9]Unemployment!$B328</f>
        <v>6.6000000000000005</v>
      </c>
      <c r="P446" s="2">
        <f>[2]Surveys_m!$B328</f>
        <v>85.4</v>
      </c>
      <c r="Q446">
        <f>[5]m!$B448</f>
        <v>111.4</v>
      </c>
      <c r="R446">
        <f>[5]m!$D448</f>
        <v>115.9</v>
      </c>
      <c r="S446">
        <f>[5]m!$Q448</f>
        <v>100.5</v>
      </c>
      <c r="T446">
        <f>[6]m!B448</f>
        <v>-2157</v>
      </c>
      <c r="U446" s="2">
        <f>[9]Unemployment!$F328</f>
        <v>14.9</v>
      </c>
      <c r="V446" s="2">
        <f>[9]Unemployment!$G328</f>
        <v>6.9</v>
      </c>
      <c r="W446">
        <f>[9]Unemployment!$E328</f>
        <v>7892</v>
      </c>
      <c r="X446">
        <f>[9]Unemployment!N328</f>
        <v>3390</v>
      </c>
      <c r="Y446">
        <f>[9]Unemployment!O328</f>
        <v>2399</v>
      </c>
      <c r="Z446">
        <f>[9]Unemployment!P328-[9]Unemployment!Q328</f>
        <v>1028</v>
      </c>
      <c r="AA446">
        <f>[9]Unemployment!$Q328</f>
        <v>1140</v>
      </c>
      <c r="AB446" s="2">
        <f>[8]m!$B448</f>
        <v>5.74</v>
      </c>
      <c r="AC446" s="2">
        <f>[8]m!$F448</f>
        <v>7.08</v>
      </c>
      <c r="AD446">
        <f>[9]Employment!$B328</f>
        <v>100655</v>
      </c>
      <c r="AE446" s="2">
        <f>[2]Indicators!$AB328</f>
        <v>55.874400000000001</v>
      </c>
      <c r="AF446" s="2">
        <f>[8]m!$AS448</f>
        <v>653.30000000000007</v>
      </c>
      <c r="AG446" s="2">
        <f>[8]m!$H448</f>
        <v>8.36</v>
      </c>
      <c r="AH446" s="2">
        <f>[8]m!$I448</f>
        <v>9.7200000000000006</v>
      </c>
      <c r="AI446" s="2">
        <f>[7]m!C447</f>
        <v>26808</v>
      </c>
      <c r="AJ446" s="2">
        <f>[7]m!D447</f>
        <v>37657</v>
      </c>
      <c r="AK446" s="2">
        <f>[2]Surveys_m!$AB328</f>
        <v>54.900000000000006</v>
      </c>
      <c r="AL446" s="4">
        <f t="shared" si="6"/>
        <v>4498.0754352030935</v>
      </c>
      <c r="AN446" s="2">
        <v>91</v>
      </c>
      <c r="AQ446" s="3">
        <f>[9]LaborForce!$B327*[9]LaborForce!$C327/100</f>
        <v>118914.85800000001</v>
      </c>
      <c r="AR446">
        <f>[9]Unemployment!$AC328</f>
        <v>345</v>
      </c>
      <c r="AS446">
        <f>[2]Indicators!BC328</f>
        <v>60.2</v>
      </c>
      <c r="AT446">
        <f>[2]Indicators!BD328</f>
        <v>59.705500000000001</v>
      </c>
      <c r="AU446">
        <f>[2]Indicators!BE328</f>
        <v>100.0929</v>
      </c>
      <c r="AV446">
        <f>[5]m!$O448</f>
        <v>62.82</v>
      </c>
    </row>
    <row r="447" spans="1:48" x14ac:dyDescent="0.25">
      <c r="A447" s="1">
        <v>31809</v>
      </c>
      <c r="B447" s="2">
        <f>[2]Indicators!G329</f>
        <v>3023.451</v>
      </c>
      <c r="C447" s="2">
        <f>[2]Indicators!H329</f>
        <v>426.95499999999998</v>
      </c>
      <c r="D447" s="2">
        <f>[2]Indicators!I329</f>
        <v>805.79700000000003</v>
      </c>
      <c r="E447" s="2">
        <f>[2]Indicators!J329</f>
        <v>1790.6990000000001</v>
      </c>
      <c r="L447" s="2">
        <f>[2]Indicators!N329</f>
        <v>15.109</v>
      </c>
      <c r="M447" s="2">
        <f>[2]Indicators!AB329</f>
        <v>56.5929</v>
      </c>
      <c r="N447" s="2">
        <f>[8]m!$C449</f>
        <v>6.1000000000000005</v>
      </c>
      <c r="O447">
        <f>[9]Unemployment!$B329</f>
        <v>6.6000000000000005</v>
      </c>
      <c r="P447" s="2">
        <f>[2]Surveys_m!$B329</f>
        <v>91.800000000000011</v>
      </c>
      <c r="Q447">
        <f>[5]m!$B449</f>
        <v>111.8</v>
      </c>
      <c r="R447">
        <f>[5]m!$D449</f>
        <v>116.2</v>
      </c>
      <c r="S447">
        <f>[5]m!$Q449</f>
        <v>101</v>
      </c>
      <c r="T447">
        <f>[6]m!B449</f>
        <v>-28379</v>
      </c>
      <c r="U447" s="2">
        <f>[9]Unemployment!$F329</f>
        <v>14.700000000000001</v>
      </c>
      <c r="V447" s="2">
        <f>[9]Unemployment!$G329</f>
        <v>6.6000000000000005</v>
      </c>
      <c r="W447">
        <f>[9]Unemployment!$E329</f>
        <v>7865</v>
      </c>
      <c r="X447">
        <f>[9]Unemployment!N329</f>
        <v>3323</v>
      </c>
      <c r="Y447">
        <f>[9]Unemployment!O329</f>
        <v>2415</v>
      </c>
      <c r="Z447">
        <f>[9]Unemployment!P329-[9]Unemployment!Q329</f>
        <v>1004</v>
      </c>
      <c r="AA447">
        <f>[9]Unemployment!$Q329</f>
        <v>1113</v>
      </c>
      <c r="AB447" s="2">
        <f>[8]m!$B449</f>
        <v>5.6000000000000005</v>
      </c>
      <c r="AC447" s="2">
        <f>[8]m!$F449</f>
        <v>7.25</v>
      </c>
      <c r="AD447">
        <f>[9]Employment!$B329</f>
        <v>100887</v>
      </c>
      <c r="AE447" s="2">
        <f>[2]Indicators!$AB329</f>
        <v>56.5929</v>
      </c>
      <c r="AF447" s="2">
        <f>[8]m!$AS449</f>
        <v>652.5</v>
      </c>
      <c r="AG447" s="2">
        <f>[8]m!$H449</f>
        <v>8.3800000000000008</v>
      </c>
      <c r="AH447" s="2">
        <f>[8]m!$I449</f>
        <v>9.65</v>
      </c>
      <c r="AI447" s="2">
        <f>[7]m!C448</f>
        <v>26355</v>
      </c>
      <c r="AJ447" s="2">
        <f>[7]m!D448</f>
        <v>39241</v>
      </c>
      <c r="AK447" s="2">
        <f>[2]Surveys_m!$AB329</f>
        <v>52.6</v>
      </c>
      <c r="AL447" s="4">
        <f t="shared" si="6"/>
        <v>4695.7930367504823</v>
      </c>
      <c r="AN447" s="2">
        <v>95</v>
      </c>
      <c r="AQ447" s="3">
        <f>[9]LaborForce!$B328*[9]LaborForce!$C328/100</f>
        <v>119208.69</v>
      </c>
      <c r="AR447">
        <f>[9]Unemployment!$AC329</f>
        <v>370</v>
      </c>
      <c r="AS447">
        <f>[2]Indicators!BC329</f>
        <v>60.7</v>
      </c>
      <c r="AT447">
        <f>[2]Indicators!BD329</f>
        <v>60.114600000000003</v>
      </c>
      <c r="AU447">
        <f>[2]Indicators!BE329</f>
        <v>100.5224</v>
      </c>
      <c r="AV447">
        <f>[5]m!$O449</f>
        <v>63.39</v>
      </c>
    </row>
    <row r="448" spans="1:48" x14ac:dyDescent="0.25">
      <c r="A448" s="1">
        <v>31837</v>
      </c>
      <c r="B448" s="2">
        <f>[2]Indicators!G330</f>
        <v>3034.2919999999999</v>
      </c>
      <c r="C448" s="2">
        <f>[2]Indicators!H330</f>
        <v>428.79300000000001</v>
      </c>
      <c r="D448" s="2">
        <f>[2]Indicators!I330</f>
        <v>803.47</v>
      </c>
      <c r="E448" s="2">
        <f>[2]Indicators!J330</f>
        <v>1802.03</v>
      </c>
      <c r="L448" s="2">
        <f>[2]Indicators!N330</f>
        <v>15.298999999999999</v>
      </c>
      <c r="M448" s="2">
        <f>[2]Indicators!AB330</f>
        <v>56.686500000000002</v>
      </c>
      <c r="N448" s="2">
        <f>[8]m!$C450</f>
        <v>6.13</v>
      </c>
      <c r="O448">
        <f>[9]Unemployment!$B330</f>
        <v>6.6000000000000005</v>
      </c>
      <c r="P448" s="2">
        <f>[2]Surveys_m!$B330</f>
        <v>95.800000000000011</v>
      </c>
      <c r="Q448">
        <f>[5]m!$B450</f>
        <v>112.2</v>
      </c>
      <c r="R448">
        <f>[5]m!$D450</f>
        <v>116.60000000000001</v>
      </c>
      <c r="S448">
        <f>[5]m!$Q450</f>
        <v>101.2</v>
      </c>
      <c r="T448">
        <f>[6]m!B450</f>
        <v>-27931</v>
      </c>
      <c r="U448" s="2">
        <f>[9]Unemployment!$F330</f>
        <v>14.9</v>
      </c>
      <c r="V448" s="2">
        <f>[9]Unemployment!$G330</f>
        <v>6.6000000000000005</v>
      </c>
      <c r="W448">
        <f>[9]Unemployment!$E330</f>
        <v>7862</v>
      </c>
      <c r="X448">
        <f>[9]Unemployment!N330</f>
        <v>3386</v>
      </c>
      <c r="Y448">
        <f>[9]Unemployment!O330</f>
        <v>2393</v>
      </c>
      <c r="Z448">
        <f>[9]Unemployment!P330-[9]Unemployment!Q330</f>
        <v>949</v>
      </c>
      <c r="AA448">
        <f>[9]Unemployment!$Q330</f>
        <v>1121</v>
      </c>
      <c r="AB448" s="2">
        <f>[8]m!$B450</f>
        <v>5.79</v>
      </c>
      <c r="AC448" s="2">
        <f>[8]m!$F450</f>
        <v>7.25</v>
      </c>
      <c r="AD448">
        <f>[9]Employment!$B330</f>
        <v>101136</v>
      </c>
      <c r="AE448" s="2">
        <f>[2]Indicators!$AB330</f>
        <v>56.686500000000002</v>
      </c>
      <c r="AF448" s="2">
        <f>[8]m!$AS450</f>
        <v>651.20000000000005</v>
      </c>
      <c r="AG448" s="2">
        <f>[8]m!$H450</f>
        <v>8.36</v>
      </c>
      <c r="AH448" s="2">
        <f>[8]m!$I450</f>
        <v>9.61</v>
      </c>
      <c r="AI448" s="2">
        <f>[7]m!C449</f>
        <v>27349</v>
      </c>
      <c r="AJ448" s="2">
        <f>[7]m!D449</f>
        <v>38238</v>
      </c>
      <c r="AK448" s="2">
        <f>[2]Surveys_m!$AB330</f>
        <v>55</v>
      </c>
      <c r="AL448" s="4">
        <f t="shared" si="6"/>
        <v>4893.5106382978711</v>
      </c>
      <c r="AN448" s="2">
        <v>99</v>
      </c>
      <c r="AQ448" s="3">
        <f>[9]LaborForce!$B329*[9]LaborForce!$C329/100</f>
        <v>119327.245</v>
      </c>
      <c r="AR448">
        <f>[9]Unemployment!$AC330</f>
        <v>348</v>
      </c>
      <c r="AS448">
        <f>[2]Indicators!BC330</f>
        <v>60.9</v>
      </c>
      <c r="AT448">
        <f>[2]Indicators!BD330</f>
        <v>60.524700000000003</v>
      </c>
      <c r="AU448">
        <f>[2]Indicators!BE330</f>
        <v>100.952</v>
      </c>
      <c r="AV448">
        <f>[5]m!$O450</f>
        <v>63.870000000000005</v>
      </c>
    </row>
    <row r="449" spans="1:48" x14ac:dyDescent="0.25">
      <c r="A449" s="1">
        <v>31868</v>
      </c>
      <c r="B449" s="2">
        <f>[2]Indicators!G331</f>
        <v>3057.741</v>
      </c>
      <c r="C449" s="2">
        <f>[2]Indicators!H331</f>
        <v>437.584</v>
      </c>
      <c r="D449" s="2">
        <f>[2]Indicators!I331</f>
        <v>809.02200000000005</v>
      </c>
      <c r="E449" s="2">
        <f>[2]Indicators!J331</f>
        <v>1811.135</v>
      </c>
      <c r="L449" s="2">
        <f>[2]Indicators!N331</f>
        <v>15.452</v>
      </c>
      <c r="M449" s="2">
        <f>[2]Indicators!AB331</f>
        <v>57.037500000000001</v>
      </c>
      <c r="N449" s="2">
        <f>[8]m!$C451</f>
        <v>6.37</v>
      </c>
      <c r="O449">
        <f>[9]Unemployment!$B331</f>
        <v>6.3000000000000007</v>
      </c>
      <c r="P449" s="2">
        <f>[2]Surveys_m!$B331</f>
        <v>97.4</v>
      </c>
      <c r="Q449">
        <f>[5]m!$B451</f>
        <v>112.7</v>
      </c>
      <c r="R449">
        <f>[5]m!$D451</f>
        <v>117.3</v>
      </c>
      <c r="S449">
        <f>[5]m!$Q451</f>
        <v>101.9</v>
      </c>
      <c r="T449">
        <f>[6]m!B451</f>
        <v>38742</v>
      </c>
      <c r="U449" s="2">
        <f>[9]Unemployment!$F331</f>
        <v>14.8</v>
      </c>
      <c r="V449" s="2">
        <f>[9]Unemployment!$G331</f>
        <v>7.1000000000000005</v>
      </c>
      <c r="W449">
        <f>[9]Unemployment!$E331</f>
        <v>7542</v>
      </c>
      <c r="X449">
        <f>[9]Unemployment!N331</f>
        <v>3162</v>
      </c>
      <c r="Y449">
        <f>[9]Unemployment!O331</f>
        <v>2236</v>
      </c>
      <c r="Z449">
        <f>[9]Unemployment!P331-[9]Unemployment!Q331</f>
        <v>1012</v>
      </c>
      <c r="AA449">
        <f>[9]Unemployment!$Q331</f>
        <v>1079</v>
      </c>
      <c r="AB449" s="2">
        <f>[8]m!$B451</f>
        <v>5.66</v>
      </c>
      <c r="AC449" s="2">
        <f>[8]m!$F451</f>
        <v>8.02</v>
      </c>
      <c r="AD449">
        <f>[9]Employment!$B331</f>
        <v>101474</v>
      </c>
      <c r="AE449" s="2">
        <f>[2]Indicators!$AB331</f>
        <v>57.037500000000001</v>
      </c>
      <c r="AF449" s="2">
        <f>[8]m!$AS451</f>
        <v>656.40000000000009</v>
      </c>
      <c r="AG449" s="2">
        <f>[8]m!$H451</f>
        <v>8.85</v>
      </c>
      <c r="AH449" s="2">
        <f>[8]m!$I451</f>
        <v>10.040000000000001</v>
      </c>
      <c r="AI449" s="2">
        <f>[7]m!C450</f>
        <v>27959</v>
      </c>
      <c r="AJ449" s="2">
        <f>[7]m!D450</f>
        <v>39299</v>
      </c>
      <c r="AK449" s="2">
        <f>[2]Surveys_m!$AB331</f>
        <v>55.5</v>
      </c>
      <c r="AL449" s="4">
        <f t="shared" si="6"/>
        <v>4794.6518375241767</v>
      </c>
      <c r="AN449" s="2">
        <v>97</v>
      </c>
      <c r="AQ449" s="3">
        <f>[9]LaborForce!$B330*[9]LaborForce!$C330/100</f>
        <v>119252.97600000001</v>
      </c>
      <c r="AR449">
        <f>[9]Unemployment!$AC331</f>
        <v>326</v>
      </c>
      <c r="AS449">
        <f>[2]Indicators!BC331</f>
        <v>60.9</v>
      </c>
      <c r="AT449">
        <f>[2]Indicators!BD331</f>
        <v>60.908300000000004</v>
      </c>
      <c r="AU449">
        <f>[2]Indicators!BE331</f>
        <v>101.33630000000001</v>
      </c>
      <c r="AV449">
        <f>[5]m!$O451</f>
        <v>64.570000000000007</v>
      </c>
    </row>
    <row r="450" spans="1:48" x14ac:dyDescent="0.25">
      <c r="A450" s="1">
        <v>31898</v>
      </c>
      <c r="B450" s="2">
        <f>[2]Indicators!G332</f>
        <v>3066.5920000000001</v>
      </c>
      <c r="C450" s="2">
        <f>[2]Indicators!H332</f>
        <v>433.99599999999998</v>
      </c>
      <c r="D450" s="2">
        <f>[2]Indicators!I332</f>
        <v>812.37400000000002</v>
      </c>
      <c r="E450" s="2">
        <f>[2]Indicators!J332</f>
        <v>1820.222</v>
      </c>
      <c r="L450" s="2">
        <f>[2]Indicators!N332</f>
        <v>14.572000000000001</v>
      </c>
      <c r="M450" s="2">
        <f>[2]Indicators!AB332</f>
        <v>57.418900000000001</v>
      </c>
      <c r="N450" s="2">
        <f>[8]m!$C452</f>
        <v>6.8500000000000005</v>
      </c>
      <c r="O450">
        <f>[9]Unemployment!$B332</f>
        <v>6.3000000000000007</v>
      </c>
      <c r="P450" s="2">
        <f>[2]Surveys_m!$B332</f>
        <v>103</v>
      </c>
      <c r="Q450">
        <f>[5]m!$B452</f>
        <v>113</v>
      </c>
      <c r="R450">
        <f>[5]m!$D452</f>
        <v>117.7</v>
      </c>
      <c r="S450">
        <f>[5]m!$Q452</f>
        <v>102.60000000000001</v>
      </c>
      <c r="T450">
        <f>[6]m!B452</f>
        <v>-35637</v>
      </c>
      <c r="U450" s="2">
        <f>[9]Unemployment!$F332</f>
        <v>14.9</v>
      </c>
      <c r="V450" s="2">
        <f>[9]Unemployment!$G332</f>
        <v>6.6000000000000005</v>
      </c>
      <c r="W450">
        <f>[9]Unemployment!$E332</f>
        <v>7574</v>
      </c>
      <c r="X450">
        <f>[9]Unemployment!N332</f>
        <v>3315</v>
      </c>
      <c r="Y450">
        <f>[9]Unemployment!O332</f>
        <v>2100</v>
      </c>
      <c r="Z450">
        <f>[9]Unemployment!P332-[9]Unemployment!Q332</f>
        <v>992</v>
      </c>
      <c r="AA450">
        <f>[9]Unemployment!$Q332</f>
        <v>1112</v>
      </c>
      <c r="AB450" s="2">
        <f>[8]m!$B452</f>
        <v>5.8100000000000005</v>
      </c>
      <c r="AC450" s="2">
        <f>[8]m!$F452</f>
        <v>8.61</v>
      </c>
      <c r="AD450">
        <f>[9]Employment!$B332</f>
        <v>101701</v>
      </c>
      <c r="AE450" s="2">
        <f>[2]Indicators!$AB332</f>
        <v>57.418900000000001</v>
      </c>
      <c r="AF450" s="2">
        <f>[8]m!$AS452</f>
        <v>658.5</v>
      </c>
      <c r="AG450" s="2">
        <f>[8]m!$H452</f>
        <v>9.33</v>
      </c>
      <c r="AH450" s="2">
        <f>[8]m!$I452</f>
        <v>10.51</v>
      </c>
      <c r="AI450" s="2">
        <f>[7]m!C451</f>
        <v>28429</v>
      </c>
      <c r="AJ450" s="2">
        <f>[7]m!D451</f>
        <v>39794</v>
      </c>
      <c r="AK450" s="2">
        <f>[2]Surveys_m!$AB332</f>
        <v>57.2</v>
      </c>
      <c r="AL450" s="4">
        <f t="shared" si="6"/>
        <v>4893.5106382978711</v>
      </c>
      <c r="AN450" s="2">
        <v>99</v>
      </c>
      <c r="AQ450" s="3">
        <f>[9]LaborForce!$B331*[9]LaborForce!$C331/100</f>
        <v>119924.181</v>
      </c>
      <c r="AR450">
        <f>[9]Unemployment!$AC332</f>
        <v>330</v>
      </c>
      <c r="AS450">
        <f>[2]Indicators!BC332</f>
        <v>61.1</v>
      </c>
      <c r="AT450">
        <f>[2]Indicators!BD332</f>
        <v>61.255200000000002</v>
      </c>
      <c r="AU450">
        <f>[2]Indicators!BE332</f>
        <v>101.6593</v>
      </c>
      <c r="AV450">
        <f>[5]m!$O452</f>
        <v>65.56</v>
      </c>
    </row>
    <row r="451" spans="1:48" x14ac:dyDescent="0.25">
      <c r="A451" s="1">
        <v>31929</v>
      </c>
      <c r="B451" s="2">
        <f>[2]Indicators!G333</f>
        <v>3091.2910000000002</v>
      </c>
      <c r="C451" s="2">
        <f>[2]Indicators!H333</f>
        <v>445.72300000000001</v>
      </c>
      <c r="D451" s="2">
        <f>[2]Indicators!I333</f>
        <v>815.44799999999998</v>
      </c>
      <c r="E451" s="2">
        <f>[2]Indicators!J333</f>
        <v>1830.1200000000001</v>
      </c>
      <c r="L451" s="2">
        <f>[2]Indicators!N333</f>
        <v>15.619</v>
      </c>
      <c r="M451" s="2">
        <f>[2]Indicators!AB333</f>
        <v>57.716700000000003</v>
      </c>
      <c r="N451" s="2">
        <f>[8]m!$C453</f>
        <v>6.73</v>
      </c>
      <c r="O451">
        <f>[9]Unemployment!$B333</f>
        <v>6.2</v>
      </c>
      <c r="P451" s="2">
        <f>[2]Surveys_m!$B333</f>
        <v>102.10000000000001</v>
      </c>
      <c r="Q451">
        <f>[5]m!$B453</f>
        <v>113.5</v>
      </c>
      <c r="R451">
        <f>[5]m!$D453</f>
        <v>117.9</v>
      </c>
      <c r="S451">
        <f>[5]m!$Q453</f>
        <v>103</v>
      </c>
      <c r="T451">
        <f>[6]m!B453</f>
        <v>-623</v>
      </c>
      <c r="U451" s="2">
        <f>[9]Unemployment!$F333</f>
        <v>14.9</v>
      </c>
      <c r="V451" s="2">
        <f>[9]Unemployment!$G333</f>
        <v>6.5</v>
      </c>
      <c r="W451">
        <f>[9]Unemployment!$E333</f>
        <v>7398</v>
      </c>
      <c r="X451">
        <f>[9]Unemployment!N333</f>
        <v>3167</v>
      </c>
      <c r="Y451">
        <f>[9]Unemployment!O333</f>
        <v>2173</v>
      </c>
      <c r="Z451">
        <f>[9]Unemployment!P333-[9]Unemployment!Q333</f>
        <v>1012</v>
      </c>
      <c r="AA451">
        <f>[9]Unemployment!$Q333</f>
        <v>1075</v>
      </c>
      <c r="AB451" s="2">
        <f>[8]m!$B453</f>
        <v>5.89</v>
      </c>
      <c r="AC451" s="2">
        <f>[8]m!$F453</f>
        <v>8.4</v>
      </c>
      <c r="AD451">
        <f>[9]Employment!$B333</f>
        <v>101872</v>
      </c>
      <c r="AE451" s="2">
        <f>[2]Indicators!$AB333</f>
        <v>57.716700000000003</v>
      </c>
      <c r="AF451" s="2">
        <f>[8]m!$AS453</f>
        <v>662.90000000000009</v>
      </c>
      <c r="AG451" s="2">
        <f>[8]m!$H453</f>
        <v>9.32</v>
      </c>
      <c r="AH451" s="2">
        <f>[8]m!$I453</f>
        <v>10.52</v>
      </c>
      <c r="AI451" s="2">
        <f>[7]m!C452</f>
        <v>28290</v>
      </c>
      <c r="AJ451" s="2">
        <f>[7]m!D452</f>
        <v>40961</v>
      </c>
      <c r="AK451" s="2">
        <f>[2]Surveys_m!$AB333</f>
        <v>57.400000000000006</v>
      </c>
      <c r="AL451" s="4">
        <f t="shared" si="6"/>
        <v>4942.9400386847183</v>
      </c>
      <c r="AN451" s="2">
        <v>100</v>
      </c>
      <c r="AQ451" s="3">
        <f>[9]LaborForce!$B332*[9]LaborForce!$C332/100</f>
        <v>119670.465</v>
      </c>
      <c r="AR451">
        <f>[9]Unemployment!$AC333</f>
        <v>326</v>
      </c>
      <c r="AS451">
        <f>[2]Indicators!BC333</f>
        <v>61.4</v>
      </c>
      <c r="AT451">
        <f>[2]Indicators!BD333</f>
        <v>61.548500000000004</v>
      </c>
      <c r="AU451">
        <f>[2]Indicators!BE333</f>
        <v>101.89360000000001</v>
      </c>
      <c r="AV451">
        <f>[5]m!$O453</f>
        <v>66.59</v>
      </c>
    </row>
    <row r="452" spans="1:48" x14ac:dyDescent="0.25">
      <c r="A452" s="1">
        <v>31959</v>
      </c>
      <c r="B452" s="2">
        <f>[2]Indicators!G334</f>
        <v>3114.7330000000002</v>
      </c>
      <c r="C452" s="2">
        <f>[2]Indicators!H334</f>
        <v>452.40000000000003</v>
      </c>
      <c r="D452" s="2">
        <f>[2]Indicators!I334</f>
        <v>817.29500000000007</v>
      </c>
      <c r="E452" s="2">
        <f>[2]Indicators!J334</f>
        <v>1845.037</v>
      </c>
      <c r="L452" s="2">
        <f>[2]Indicators!N334</f>
        <v>15.655000000000001</v>
      </c>
      <c r="M452" s="2">
        <f>[2]Indicators!AB334</f>
        <v>58.072100000000006</v>
      </c>
      <c r="N452" s="2">
        <f>[8]m!$C454</f>
        <v>6.58</v>
      </c>
      <c r="O452">
        <f>[9]Unemployment!$B334</f>
        <v>6.1000000000000005</v>
      </c>
      <c r="P452" s="2">
        <f>[2]Surveys_m!$B334</f>
        <v>105.80000000000001</v>
      </c>
      <c r="Q452">
        <f>[5]m!$B454</f>
        <v>113.8</v>
      </c>
      <c r="R452">
        <f>[5]m!$D454</f>
        <v>118.3</v>
      </c>
      <c r="S452">
        <f>[5]m!$Q454</f>
        <v>103.5</v>
      </c>
      <c r="T452">
        <f>[6]m!B454</f>
        <v>-22339</v>
      </c>
      <c r="U452" s="2">
        <f>[9]Unemployment!$F334</f>
        <v>14.200000000000001</v>
      </c>
      <c r="V452" s="2">
        <f>[9]Unemployment!$G334</f>
        <v>6.5</v>
      </c>
      <c r="W452">
        <f>[9]Unemployment!$E334</f>
        <v>7268</v>
      </c>
      <c r="X452">
        <f>[9]Unemployment!N334</f>
        <v>3217</v>
      </c>
      <c r="Y452">
        <f>[9]Unemployment!O334</f>
        <v>2146</v>
      </c>
      <c r="Z452">
        <f>[9]Unemployment!P334-[9]Unemployment!Q334</f>
        <v>938</v>
      </c>
      <c r="AA452">
        <f>[9]Unemployment!$Q334</f>
        <v>983</v>
      </c>
      <c r="AB452" s="2">
        <f>[8]m!$B454</f>
        <v>6.0600000000000005</v>
      </c>
      <c r="AC452" s="2">
        <f>[8]m!$F454</f>
        <v>8.4499999999999993</v>
      </c>
      <c r="AD452">
        <f>[9]Employment!$B334</f>
        <v>102218</v>
      </c>
      <c r="AE452" s="2">
        <f>[2]Indicators!$AB334</f>
        <v>58.072100000000006</v>
      </c>
      <c r="AF452" s="2">
        <f>[8]m!$AS454</f>
        <v>667.7</v>
      </c>
      <c r="AG452" s="2">
        <f>[8]m!$H454</f>
        <v>9.42</v>
      </c>
      <c r="AH452" s="2">
        <f>[8]m!$I454</f>
        <v>10.61</v>
      </c>
      <c r="AI452" s="2">
        <f>[7]m!C453</f>
        <v>29560</v>
      </c>
      <c r="AJ452" s="2">
        <f>[7]m!D453</f>
        <v>41618</v>
      </c>
      <c r="AK452" s="2">
        <f>[2]Surveys_m!$AB334</f>
        <v>57.5</v>
      </c>
      <c r="AL452" s="4">
        <f t="shared" si="6"/>
        <v>4942.9400386847183</v>
      </c>
      <c r="AN452" s="2">
        <v>100</v>
      </c>
      <c r="AQ452" s="3">
        <f>[9]LaborForce!$B333*[9]LaborForce!$C333/100</f>
        <v>119972.56000000001</v>
      </c>
      <c r="AR452">
        <f>[9]Unemployment!$AC334</f>
        <v>326</v>
      </c>
      <c r="AS452">
        <f>[2]Indicators!BC334</f>
        <v>61.800000000000004</v>
      </c>
      <c r="AT452">
        <f>[2]Indicators!BD334</f>
        <v>61.768700000000003</v>
      </c>
      <c r="AU452">
        <f>[2]Indicators!BE334</f>
        <v>102.00840000000001</v>
      </c>
      <c r="AV452">
        <f>[5]m!$O454</f>
        <v>67.540000000000006</v>
      </c>
    </row>
    <row r="453" spans="1:48" x14ac:dyDescent="0.25">
      <c r="A453" s="1">
        <v>31990</v>
      </c>
      <c r="B453" s="2">
        <f>[2]Indicators!G335</f>
        <v>3151.8690000000001</v>
      </c>
      <c r="C453" s="2">
        <f>[2]Indicators!H335</f>
        <v>468.892</v>
      </c>
      <c r="D453" s="2">
        <f>[2]Indicators!I335</f>
        <v>822.48099999999999</v>
      </c>
      <c r="E453" s="2">
        <f>[2]Indicators!J335</f>
        <v>1860.4970000000001</v>
      </c>
      <c r="L453" s="2">
        <f>[2]Indicators!N335</f>
        <v>17.091999999999999</v>
      </c>
      <c r="M453" s="2">
        <f>[2]Indicators!AB335</f>
        <v>58.497900000000001</v>
      </c>
      <c r="N453" s="2">
        <f>[8]m!$C455</f>
        <v>6.73</v>
      </c>
      <c r="O453">
        <f>[9]Unemployment!$B335</f>
        <v>6</v>
      </c>
      <c r="P453" s="2">
        <f>[2]Surveys_m!$B335</f>
        <v>110.7</v>
      </c>
      <c r="Q453">
        <f>[5]m!$B455</f>
        <v>114.3</v>
      </c>
      <c r="R453">
        <f>[5]m!$D455</f>
        <v>118.7</v>
      </c>
      <c r="S453">
        <f>[5]m!$Q455</f>
        <v>103.80000000000001</v>
      </c>
      <c r="T453">
        <f>[6]m!B455</f>
        <v>-21796</v>
      </c>
      <c r="U453" s="2">
        <f>[9]Unemployment!$F335</f>
        <v>14.4</v>
      </c>
      <c r="V453" s="2">
        <f>[9]Unemployment!$G335</f>
        <v>6.4</v>
      </c>
      <c r="W453">
        <f>[9]Unemployment!$E335</f>
        <v>7261</v>
      </c>
      <c r="X453">
        <f>[9]Unemployment!N335</f>
        <v>3191</v>
      </c>
      <c r="Y453">
        <f>[9]Unemployment!O335</f>
        <v>2155</v>
      </c>
      <c r="Z453">
        <f>[9]Unemployment!P335-[9]Unemployment!Q335</f>
        <v>833</v>
      </c>
      <c r="AA453">
        <f>[9]Unemployment!$Q335</f>
        <v>1045</v>
      </c>
      <c r="AB453" s="2">
        <f>[8]m!$B455</f>
        <v>6.48</v>
      </c>
      <c r="AC453" s="2">
        <f>[8]m!$F455</f>
        <v>8.76</v>
      </c>
      <c r="AD453">
        <f>[9]Employment!$B335</f>
        <v>102388</v>
      </c>
      <c r="AE453" s="2">
        <f>[2]Indicators!$AB335</f>
        <v>58.497900000000001</v>
      </c>
      <c r="AF453" s="2">
        <f>[8]m!$AS455</f>
        <v>672.2</v>
      </c>
      <c r="AG453" s="2">
        <f>[8]m!$H455</f>
        <v>9.67</v>
      </c>
      <c r="AH453" s="2">
        <f>[8]m!$I455</f>
        <v>10.8</v>
      </c>
      <c r="AI453" s="2">
        <f>[7]m!C454</f>
        <v>30727</v>
      </c>
      <c r="AJ453" s="2">
        <f>[7]m!D454</f>
        <v>42482</v>
      </c>
      <c r="AK453" s="2">
        <f>[2]Surveys_m!$AB335</f>
        <v>59.300000000000004</v>
      </c>
      <c r="AL453" s="4">
        <f t="shared" si="6"/>
        <v>5140.657640232107</v>
      </c>
      <c r="AN453" s="2">
        <v>104</v>
      </c>
      <c r="AQ453" s="3">
        <f>[9]LaborForce!$B334*[9]LaborForce!$C334/100</f>
        <v>120232.314</v>
      </c>
      <c r="AR453">
        <f>[9]Unemployment!$AC335</f>
        <v>348</v>
      </c>
      <c r="AS453">
        <f>[2]Indicators!BC335</f>
        <v>61.9</v>
      </c>
      <c r="AT453">
        <f>[2]Indicators!BD335</f>
        <v>61.8872</v>
      </c>
      <c r="AU453">
        <f>[2]Indicators!BE335</f>
        <v>101.95740000000001</v>
      </c>
      <c r="AV453">
        <f>[5]m!$O455</f>
        <v>68.25</v>
      </c>
    </row>
    <row r="454" spans="1:48" x14ac:dyDescent="0.25">
      <c r="A454" s="1">
        <v>32021</v>
      </c>
      <c r="B454" s="2">
        <f>[2]Indicators!G336</f>
        <v>3148.1860000000001</v>
      </c>
      <c r="C454" s="2">
        <f>[2]Indicators!H336</f>
        <v>460.33199999999999</v>
      </c>
      <c r="D454" s="2">
        <f>[2]Indicators!I336</f>
        <v>822.19200000000001</v>
      </c>
      <c r="E454" s="2">
        <f>[2]Indicators!J336</f>
        <v>1865.662</v>
      </c>
      <c r="L454" s="2">
        <f>[2]Indicators!N336</f>
        <v>16.119</v>
      </c>
      <c r="M454" s="2">
        <f>[2]Indicators!AB336</f>
        <v>58.665700000000001</v>
      </c>
      <c r="N454" s="2">
        <f>[8]m!$C456</f>
        <v>7.22</v>
      </c>
      <c r="O454">
        <f>[9]Unemployment!$B336</f>
        <v>5.9</v>
      </c>
      <c r="P454" s="2">
        <f>[2]Surveys_m!$B336</f>
        <v>115.7</v>
      </c>
      <c r="Q454">
        <f>[5]m!$B456</f>
        <v>114.7</v>
      </c>
      <c r="R454">
        <f>[5]m!$D456</f>
        <v>119.2</v>
      </c>
      <c r="S454">
        <f>[5]m!$Q456</f>
        <v>103.7</v>
      </c>
      <c r="T454">
        <f>[6]m!B456</f>
        <v>15204</v>
      </c>
      <c r="U454" s="2">
        <f>[9]Unemployment!$F336</f>
        <v>14.200000000000001</v>
      </c>
      <c r="V454" s="2">
        <f>[9]Unemployment!$G336</f>
        <v>6</v>
      </c>
      <c r="W454">
        <f>[9]Unemployment!$E336</f>
        <v>7102</v>
      </c>
      <c r="X454">
        <f>[9]Unemployment!N336</f>
        <v>3224</v>
      </c>
      <c r="Y454">
        <f>[9]Unemployment!O336</f>
        <v>2031</v>
      </c>
      <c r="Z454">
        <f>[9]Unemployment!P336-[9]Unemployment!Q336</f>
        <v>877</v>
      </c>
      <c r="AA454">
        <f>[9]Unemployment!$Q336</f>
        <v>989</v>
      </c>
      <c r="AB454" s="2">
        <f>[8]m!$B456</f>
        <v>6.8100000000000005</v>
      </c>
      <c r="AC454" s="2">
        <f>[8]m!$F456</f>
        <v>9.42</v>
      </c>
      <c r="AD454">
        <f>[9]Employment!$B336</f>
        <v>102617</v>
      </c>
      <c r="AE454" s="2">
        <f>[2]Indicators!$AB336</f>
        <v>58.665700000000001</v>
      </c>
      <c r="AF454" s="2">
        <f>[8]m!$AS456</f>
        <v>676.2</v>
      </c>
      <c r="AG454" s="2">
        <f>[8]m!$H456</f>
        <v>10.18</v>
      </c>
      <c r="AH454" s="2">
        <f>[8]m!$I456</f>
        <v>11.31</v>
      </c>
      <c r="AI454" s="2">
        <f>[7]m!C455</f>
        <v>29100</v>
      </c>
      <c r="AJ454" s="2">
        <f>[7]m!D455</f>
        <v>42061</v>
      </c>
      <c r="AK454" s="2">
        <f>[2]Surveys_m!$AB336</f>
        <v>60</v>
      </c>
      <c r="AL454" s="4">
        <f t="shared" si="6"/>
        <v>5091.2282398452598</v>
      </c>
      <c r="AN454" s="2">
        <v>103</v>
      </c>
      <c r="AQ454" s="3">
        <f>[9]LaborForce!$B335*[9]LaborForce!$C335/100</f>
        <v>119970.455</v>
      </c>
      <c r="AR454">
        <f>[9]Unemployment!$AC336</f>
        <v>322</v>
      </c>
      <c r="AS454">
        <f>[2]Indicators!BC336</f>
        <v>62.1</v>
      </c>
      <c r="AT454">
        <f>[2]Indicators!BD336</f>
        <v>61.8962</v>
      </c>
      <c r="AU454">
        <f>[2]Indicators!BE336</f>
        <v>101.7295</v>
      </c>
      <c r="AV454">
        <f>[5]m!$O456</f>
        <v>68.87</v>
      </c>
    </row>
    <row r="455" spans="1:48" x14ac:dyDescent="0.25">
      <c r="A455" s="1">
        <v>32051</v>
      </c>
      <c r="B455" s="2">
        <f>[2]Indicators!G337</f>
        <v>3156.5039999999999</v>
      </c>
      <c r="C455" s="2">
        <f>[2]Indicators!H337</f>
        <v>443.06900000000002</v>
      </c>
      <c r="D455" s="2">
        <f>[2]Indicators!I337</f>
        <v>824.15899999999999</v>
      </c>
      <c r="E455" s="2">
        <f>[2]Indicators!J337</f>
        <v>1889.277</v>
      </c>
      <c r="L455" s="2">
        <f>[2]Indicators!N337</f>
        <v>14.258000000000001</v>
      </c>
      <c r="M455" s="2">
        <f>[2]Indicators!AB337</f>
        <v>59.543300000000002</v>
      </c>
      <c r="N455" s="2">
        <f>[8]m!$C457</f>
        <v>7.29</v>
      </c>
      <c r="O455">
        <f>[9]Unemployment!$B337</f>
        <v>6</v>
      </c>
      <c r="P455" s="2">
        <f>[2]Surveys_m!$B337</f>
        <v>115.10000000000001</v>
      </c>
      <c r="Q455">
        <f>[5]m!$B457</f>
        <v>115</v>
      </c>
      <c r="R455">
        <f>[5]m!$D457</f>
        <v>119.8</v>
      </c>
      <c r="S455">
        <f>[5]m!$Q457</f>
        <v>104.10000000000001</v>
      </c>
      <c r="T455">
        <f>[6]m!B457</f>
        <v>-30810</v>
      </c>
      <c r="U455" s="2">
        <f>[9]Unemployment!$F337</f>
        <v>14</v>
      </c>
      <c r="V455" s="2">
        <f>[9]Unemployment!$G337</f>
        <v>6.3000000000000007</v>
      </c>
      <c r="W455">
        <f>[9]Unemployment!$E337</f>
        <v>7227</v>
      </c>
      <c r="X455">
        <f>[9]Unemployment!N337</f>
        <v>3241</v>
      </c>
      <c r="Y455">
        <f>[9]Unemployment!O337</f>
        <v>2162</v>
      </c>
      <c r="Z455">
        <f>[9]Unemployment!P337-[9]Unemployment!Q337</f>
        <v>838</v>
      </c>
      <c r="AA455">
        <f>[9]Unemployment!$Q337</f>
        <v>956</v>
      </c>
      <c r="AB455" s="2">
        <f>[8]m!$B457</f>
        <v>5.18</v>
      </c>
      <c r="AC455" s="2">
        <f>[8]m!$F457</f>
        <v>9.52</v>
      </c>
      <c r="AD455">
        <f>[9]Employment!$B337</f>
        <v>103109</v>
      </c>
      <c r="AE455" s="2">
        <f>[2]Indicators!$AB337</f>
        <v>59.543300000000002</v>
      </c>
      <c r="AF455" s="2">
        <f>[8]m!$AS457</f>
        <v>681.2</v>
      </c>
      <c r="AG455" s="2">
        <f>[8]m!$H457</f>
        <v>10.52</v>
      </c>
      <c r="AH455" s="2">
        <f>[8]m!$I457</f>
        <v>11.620000000000001</v>
      </c>
      <c r="AI455" s="2">
        <f>[7]m!C456</f>
        <v>29924</v>
      </c>
      <c r="AJ455" s="2">
        <f>[7]m!D456</f>
        <v>41570</v>
      </c>
      <c r="AK455" s="2">
        <f>[2]Surveys_m!$AB337</f>
        <v>60.7</v>
      </c>
      <c r="AL455" s="4">
        <f t="shared" si="6"/>
        <v>5140.6576402321061</v>
      </c>
      <c r="AN455" s="2">
        <v>104</v>
      </c>
      <c r="AQ455" s="3">
        <f>[9]LaborForce!$B336*[9]LaborForce!$C336/100</f>
        <v>120435.327</v>
      </c>
      <c r="AR455">
        <f>[9]Unemployment!$AC337</f>
        <v>317</v>
      </c>
      <c r="AS455">
        <f>[2]Indicators!BC337</f>
        <v>62.2</v>
      </c>
      <c r="AT455">
        <f>[2]Indicators!BD337</f>
        <v>61.8172</v>
      </c>
      <c r="AU455">
        <f>[2]Indicators!BE337</f>
        <v>101.36110000000001</v>
      </c>
      <c r="AV455">
        <f>[5]m!$O457</f>
        <v>69.42</v>
      </c>
    </row>
    <row r="456" spans="1:48" x14ac:dyDescent="0.25">
      <c r="A456" s="1">
        <v>32082</v>
      </c>
      <c r="B456" s="2">
        <f>[2]Indicators!G338</f>
        <v>3166.2870000000003</v>
      </c>
      <c r="C456" s="2">
        <f>[2]Indicators!H338</f>
        <v>447.35900000000004</v>
      </c>
      <c r="D456" s="2">
        <f>[2]Indicators!I338</f>
        <v>826.22699999999998</v>
      </c>
      <c r="E456" s="2">
        <f>[2]Indicators!J338</f>
        <v>1892.702</v>
      </c>
      <c r="L456" s="2">
        <f>[2]Indicators!N338</f>
        <v>14.543000000000001</v>
      </c>
      <c r="M456" s="2">
        <f>[2]Indicators!AB338</f>
        <v>59.858700000000006</v>
      </c>
      <c r="N456" s="2">
        <f>[8]m!$C458</f>
        <v>6.69</v>
      </c>
      <c r="O456">
        <f>[9]Unemployment!$B338</f>
        <v>5.8000000000000007</v>
      </c>
      <c r="P456" s="2">
        <f>[2]Surveys_m!$B338</f>
        <v>100.80000000000001</v>
      </c>
      <c r="Q456">
        <f>[5]m!$B458</f>
        <v>115.4</v>
      </c>
      <c r="R456">
        <f>[5]m!$D458</f>
        <v>120.10000000000001</v>
      </c>
      <c r="S456">
        <f>[5]m!$Q458</f>
        <v>104.2</v>
      </c>
      <c r="T456">
        <f>[6]m!B458</f>
        <v>-27022</v>
      </c>
      <c r="U456" s="2">
        <f>[9]Unemployment!$F338</f>
        <v>14</v>
      </c>
      <c r="V456" s="2">
        <f>[9]Unemployment!$G338</f>
        <v>6.2</v>
      </c>
      <c r="W456">
        <f>[9]Unemployment!$E338</f>
        <v>7035</v>
      </c>
      <c r="X456">
        <f>[9]Unemployment!N338</f>
        <v>3172</v>
      </c>
      <c r="Y456">
        <f>[9]Unemployment!O338</f>
        <v>2083</v>
      </c>
      <c r="Z456">
        <f>[9]Unemployment!P338-[9]Unemployment!Q338</f>
        <v>871</v>
      </c>
      <c r="AA456">
        <f>[9]Unemployment!$Q338</f>
        <v>926</v>
      </c>
      <c r="AB456" s="2">
        <f>[8]m!$B458</f>
        <v>5.39</v>
      </c>
      <c r="AC456" s="2">
        <f>[8]m!$F458</f>
        <v>8.86</v>
      </c>
      <c r="AD456">
        <f>[9]Employment!$B338</f>
        <v>103340</v>
      </c>
      <c r="AE456" s="2">
        <f>[2]Indicators!$AB338</f>
        <v>59.858700000000006</v>
      </c>
      <c r="AF456" s="2">
        <f>[8]m!$AS458</f>
        <v>684.7</v>
      </c>
      <c r="AG456" s="2">
        <f>[8]m!$H458</f>
        <v>10.01</v>
      </c>
      <c r="AH456" s="2">
        <f>[8]m!$I458</f>
        <v>11.23</v>
      </c>
      <c r="AI456" s="2">
        <f>[7]m!C457</f>
        <v>30509</v>
      </c>
      <c r="AJ456" s="2">
        <f>[7]m!D457</f>
        <v>44250</v>
      </c>
      <c r="AK456" s="2">
        <f>[2]Surveys_m!$AB338</f>
        <v>58.800000000000004</v>
      </c>
      <c r="AL456" s="4">
        <f t="shared" si="6"/>
        <v>5239.5164410058005</v>
      </c>
      <c r="AN456" s="2">
        <v>106</v>
      </c>
      <c r="AQ456" s="3">
        <f>[9]LaborForce!$B337*[9]LaborForce!$C337/100</f>
        <v>120539.79</v>
      </c>
      <c r="AR456">
        <f>[9]Unemployment!$AC338</f>
        <v>289</v>
      </c>
      <c r="AS456">
        <f>[2]Indicators!BC338</f>
        <v>61.9</v>
      </c>
      <c r="AT456">
        <f>[2]Indicators!BD338</f>
        <v>61.714800000000004</v>
      </c>
      <c r="AU456">
        <f>[2]Indicators!BE338</f>
        <v>100.959</v>
      </c>
      <c r="AV456">
        <f>[5]m!$O458</f>
        <v>69.760000000000005</v>
      </c>
    </row>
    <row r="457" spans="1:48" x14ac:dyDescent="0.25">
      <c r="A457" s="1">
        <v>32112</v>
      </c>
      <c r="B457" s="2">
        <f>[2]Indicators!G339</f>
        <v>3196.067</v>
      </c>
      <c r="C457" s="2">
        <f>[2]Indicators!H339</f>
        <v>459.42</v>
      </c>
      <c r="D457" s="2">
        <f>[2]Indicators!I339</f>
        <v>829.95900000000006</v>
      </c>
      <c r="E457" s="2">
        <f>[2]Indicators!J339</f>
        <v>1906.6890000000001</v>
      </c>
      <c r="L457" s="2">
        <f>[2]Indicators!N339</f>
        <v>15.645</v>
      </c>
      <c r="M457" s="2">
        <f>[2]Indicators!AB339</f>
        <v>60.135100000000001</v>
      </c>
      <c r="N457" s="2">
        <f>[8]m!$C459</f>
        <v>6.7700000000000005</v>
      </c>
      <c r="O457">
        <f>[9]Unemployment!$B339</f>
        <v>5.7</v>
      </c>
      <c r="P457" s="2">
        <f>[2]Surveys_m!$B339</f>
        <v>107.7</v>
      </c>
      <c r="Q457">
        <f>[5]m!$B459</f>
        <v>115.60000000000001</v>
      </c>
      <c r="R457">
        <f>[5]m!$D459</f>
        <v>120.4</v>
      </c>
      <c r="S457">
        <f>[5]m!$Q459</f>
        <v>104.2</v>
      </c>
      <c r="T457">
        <f>[6]m!B459</f>
        <v>-24363</v>
      </c>
      <c r="U457" s="2">
        <f>[9]Unemployment!$F339</f>
        <v>14.200000000000001</v>
      </c>
      <c r="V457" s="2">
        <f>[9]Unemployment!$G339</f>
        <v>6</v>
      </c>
      <c r="W457">
        <f>[9]Unemployment!$E339</f>
        <v>6936</v>
      </c>
      <c r="X457">
        <f>[9]Unemployment!N339</f>
        <v>3178</v>
      </c>
      <c r="Y457">
        <f>[9]Unemployment!O339</f>
        <v>1979</v>
      </c>
      <c r="Z457">
        <f>[9]Unemployment!P339-[9]Unemployment!Q339</f>
        <v>867</v>
      </c>
      <c r="AA457">
        <f>[9]Unemployment!$Q339</f>
        <v>900</v>
      </c>
      <c r="AB457" s="2">
        <f>[8]m!$B459</f>
        <v>5.8500000000000005</v>
      </c>
      <c r="AC457" s="2">
        <f>[8]m!$F459</f>
        <v>8.99</v>
      </c>
      <c r="AD457">
        <f>[9]Employment!$B339</f>
        <v>103634</v>
      </c>
      <c r="AE457" s="2">
        <f>[2]Indicators!$AB339</f>
        <v>60.135100000000001</v>
      </c>
      <c r="AF457" s="2">
        <f>[8]m!$AS459</f>
        <v>686.30000000000007</v>
      </c>
      <c r="AG457" s="2">
        <f>[8]m!$H459</f>
        <v>10.11</v>
      </c>
      <c r="AH457" s="2">
        <f>[8]m!$I459</f>
        <v>11.290000000000001</v>
      </c>
      <c r="AI457" s="2">
        <f>[7]m!C458</f>
        <v>31700</v>
      </c>
      <c r="AJ457" s="2">
        <f>[7]m!D458</f>
        <v>43216</v>
      </c>
      <c r="AK457" s="2">
        <f>[2]Surveys_m!$AB339</f>
        <v>61</v>
      </c>
      <c r="AL457" s="4">
        <f t="shared" si="6"/>
        <v>4992.3694390715646</v>
      </c>
      <c r="AN457" s="2">
        <v>101</v>
      </c>
      <c r="AQ457" s="3">
        <f>[9]LaborForce!$B338*[9]LaborForce!$C338/100</f>
        <v>120638.34</v>
      </c>
      <c r="AR457">
        <f>[9]Unemployment!$AC339</f>
        <v>306</v>
      </c>
      <c r="AS457">
        <f>[2]Indicators!BC339</f>
        <v>61.9</v>
      </c>
      <c r="AT457">
        <f>[2]Indicators!BD339</f>
        <v>61.666500000000006</v>
      </c>
      <c r="AU457">
        <f>[2]Indicators!BE339</f>
        <v>100.6498</v>
      </c>
      <c r="AV457">
        <f>[5]m!$O459</f>
        <v>70.22</v>
      </c>
    </row>
    <row r="458" spans="1:48" x14ac:dyDescent="0.25">
      <c r="A458" s="1">
        <v>32143</v>
      </c>
      <c r="B458" s="2">
        <f>[2]Indicators!G340</f>
        <v>3235.3920000000003</v>
      </c>
      <c r="C458" s="2">
        <f>[2]Indicators!H340</f>
        <v>470.25100000000003</v>
      </c>
      <c r="D458" s="2">
        <f>[2]Indicators!I340</f>
        <v>832.221</v>
      </c>
      <c r="E458" s="2">
        <f>[2]Indicators!J340</f>
        <v>1932.92</v>
      </c>
      <c r="L458" s="2">
        <f>[2]Indicators!N340</f>
        <v>16.083000000000002</v>
      </c>
      <c r="M458" s="2">
        <f>[2]Indicators!AB340</f>
        <v>60.166000000000004</v>
      </c>
      <c r="N458" s="2">
        <f>[8]m!$C460</f>
        <v>6.83</v>
      </c>
      <c r="O458">
        <f>[9]Unemployment!$B340</f>
        <v>5.7</v>
      </c>
      <c r="P458" s="2">
        <f>[2]Surveys_m!$B340</f>
        <v>109.9</v>
      </c>
      <c r="Q458">
        <f>[5]m!$B460</f>
        <v>116</v>
      </c>
      <c r="R458">
        <f>[5]m!$D460</f>
        <v>120.9</v>
      </c>
      <c r="S458">
        <f>[5]m!$Q460</f>
        <v>104.60000000000001</v>
      </c>
      <c r="T458">
        <f>[6]m!B460</f>
        <v>15896</v>
      </c>
      <c r="U458" s="2">
        <f>[9]Unemployment!$F340</f>
        <v>14.200000000000001</v>
      </c>
      <c r="V458" s="2">
        <f>[9]Unemployment!$G340</f>
        <v>6.2</v>
      </c>
      <c r="W458">
        <f>[9]Unemployment!$E340</f>
        <v>6953</v>
      </c>
      <c r="X458">
        <f>[9]Unemployment!N340</f>
        <v>3086</v>
      </c>
      <c r="Y458">
        <f>[9]Unemployment!O340</f>
        <v>2151</v>
      </c>
      <c r="Z458">
        <f>[9]Unemployment!P340-[9]Unemployment!Q340</f>
        <v>845</v>
      </c>
      <c r="AA458">
        <f>[9]Unemployment!$Q340</f>
        <v>869</v>
      </c>
      <c r="AB458" s="2">
        <f>[8]m!$B460</f>
        <v>5.8100000000000005</v>
      </c>
      <c r="AC458" s="2">
        <f>[8]m!$F460</f>
        <v>8.67</v>
      </c>
      <c r="AD458">
        <f>[9]Employment!$B340</f>
        <v>103728</v>
      </c>
      <c r="AE458" s="2">
        <f>[2]Indicators!$AB340</f>
        <v>60.166000000000004</v>
      </c>
      <c r="AF458" s="2">
        <f>[8]m!$AS460</f>
        <v>692.30000000000007</v>
      </c>
      <c r="AG458" s="2">
        <f>[8]m!$H460</f>
        <v>9.8800000000000008</v>
      </c>
      <c r="AH458" s="2">
        <f>[8]m!$I460</f>
        <v>11.07</v>
      </c>
      <c r="AI458" s="2">
        <f>[7]m!C459</f>
        <v>32560</v>
      </c>
      <c r="AJ458" s="2">
        <f>[7]m!D459</f>
        <v>43755</v>
      </c>
      <c r="AK458" s="2">
        <f>[2]Surveys_m!$AB340</f>
        <v>57.5</v>
      </c>
      <c r="AL458" s="4">
        <f t="shared" si="6"/>
        <v>5041.7988394584117</v>
      </c>
      <c r="AN458" s="2">
        <v>102</v>
      </c>
      <c r="AQ458" s="3">
        <f>[9]LaborForce!$B339*[9]LaborForce!$C339/100</f>
        <v>120954.87599999999</v>
      </c>
      <c r="AR458">
        <f>[9]Unemployment!$AC340</f>
        <v>315</v>
      </c>
      <c r="AS458">
        <f>[2]Indicators!BC340</f>
        <v>61.9</v>
      </c>
      <c r="AT458">
        <f>[2]Indicators!BD340</f>
        <v>61.708600000000004</v>
      </c>
      <c r="AU458">
        <f>[2]Indicators!BE340</f>
        <v>100.4923</v>
      </c>
      <c r="AV458">
        <f>[5]m!$O460</f>
        <v>70.45</v>
      </c>
    </row>
    <row r="459" spans="1:48" x14ac:dyDescent="0.25">
      <c r="A459" s="1">
        <v>32174</v>
      </c>
      <c r="B459" s="2">
        <f>[2]Indicators!G341</f>
        <v>3242.98</v>
      </c>
      <c r="C459" s="2">
        <f>[2]Indicators!H341</f>
        <v>468.67099999999999</v>
      </c>
      <c r="D459" s="2">
        <f>[2]Indicators!I341</f>
        <v>832.66899999999998</v>
      </c>
      <c r="E459" s="2">
        <f>[2]Indicators!J341</f>
        <v>1941.64</v>
      </c>
      <c r="L459" s="2">
        <f>[2]Indicators!N341</f>
        <v>16.513000000000002</v>
      </c>
      <c r="M459" s="2">
        <f>[2]Indicators!AB341</f>
        <v>60.407700000000006</v>
      </c>
      <c r="N459" s="2">
        <f>[8]m!$C461</f>
        <v>6.58</v>
      </c>
      <c r="O459">
        <f>[9]Unemployment!$B341</f>
        <v>5.7</v>
      </c>
      <c r="P459" s="2">
        <f>[2]Surveys_m!$B341</f>
        <v>114.9</v>
      </c>
      <c r="Q459">
        <f>[5]m!$B461</f>
        <v>116.2</v>
      </c>
      <c r="R459">
        <f>[5]m!$D461</f>
        <v>121.2</v>
      </c>
      <c r="S459">
        <f>[5]m!$Q461</f>
        <v>104.80000000000001</v>
      </c>
      <c r="T459">
        <f>[6]m!B461</f>
        <v>-24065</v>
      </c>
      <c r="U459" s="2">
        <f>[9]Unemployment!$F341</f>
        <v>14.4</v>
      </c>
      <c r="V459" s="2">
        <f>[9]Unemployment!$G341</f>
        <v>6.3000000000000007</v>
      </c>
      <c r="W459">
        <f>[9]Unemployment!$E341</f>
        <v>6929</v>
      </c>
      <c r="X459">
        <f>[9]Unemployment!N341</f>
        <v>3057</v>
      </c>
      <c r="Y459">
        <f>[9]Unemployment!O341</f>
        <v>2110</v>
      </c>
      <c r="Z459">
        <f>[9]Unemployment!P341-[9]Unemployment!Q341</f>
        <v>850</v>
      </c>
      <c r="AA459">
        <f>[9]Unemployment!$Q341</f>
        <v>888</v>
      </c>
      <c r="AB459" s="2">
        <f>[8]m!$B461</f>
        <v>5.78</v>
      </c>
      <c r="AC459" s="2">
        <f>[8]m!$F461</f>
        <v>8.2100000000000009</v>
      </c>
      <c r="AD459">
        <f>[9]Employment!$B341</f>
        <v>104180</v>
      </c>
      <c r="AE459" s="2">
        <f>[2]Indicators!$AB341</f>
        <v>60.407700000000006</v>
      </c>
      <c r="AF459" s="2">
        <f>[8]m!$AS461</f>
        <v>696.40000000000009</v>
      </c>
      <c r="AG459" s="2">
        <f>[8]m!$H461</f>
        <v>9.4</v>
      </c>
      <c r="AH459" s="2">
        <f>[8]m!$I461</f>
        <v>10.620000000000001</v>
      </c>
      <c r="AI459" s="2">
        <f>[7]m!C460</f>
        <v>32475</v>
      </c>
      <c r="AJ459" s="2">
        <f>[7]m!D460</f>
        <v>42296</v>
      </c>
      <c r="AK459" s="2">
        <f>[2]Surveys_m!$AB341</f>
        <v>56.2</v>
      </c>
      <c r="AL459" s="4">
        <f t="shared" si="6"/>
        <v>5041.7988394584117</v>
      </c>
      <c r="AN459" s="2">
        <v>102</v>
      </c>
      <c r="AQ459" s="3">
        <f>[9]LaborForce!$B340*[9]LaborForce!$C340/100</f>
        <v>121235.57100000001</v>
      </c>
      <c r="AR459">
        <f>[9]Unemployment!$AC341</f>
        <v>342</v>
      </c>
      <c r="AS459">
        <f>[2]Indicators!BC341</f>
        <v>62.6</v>
      </c>
      <c r="AT459">
        <f>[2]Indicators!BD341</f>
        <v>61.840900000000005</v>
      </c>
      <c r="AU459">
        <f>[2]Indicators!BE341</f>
        <v>100.48560000000001</v>
      </c>
      <c r="AV459">
        <f>[5]m!$O461</f>
        <v>70.77</v>
      </c>
    </row>
    <row r="460" spans="1:48" x14ac:dyDescent="0.25">
      <c r="A460" s="1">
        <v>32203</v>
      </c>
      <c r="B460" s="2">
        <f>[2]Indicators!G342</f>
        <v>3282.1370000000002</v>
      </c>
      <c r="C460" s="2">
        <f>[2]Indicators!H342</f>
        <v>472.39499999999998</v>
      </c>
      <c r="D460" s="2">
        <f>[2]Indicators!I342</f>
        <v>850.27200000000005</v>
      </c>
      <c r="E460" s="2">
        <f>[2]Indicators!J342</f>
        <v>1959.47</v>
      </c>
      <c r="L460" s="2">
        <f>[2]Indicators!N342</f>
        <v>16.181999999999999</v>
      </c>
      <c r="M460" s="2">
        <f>[2]Indicators!AB342</f>
        <v>60.5565</v>
      </c>
      <c r="N460" s="2">
        <f>[8]m!$C462</f>
        <v>6.58</v>
      </c>
      <c r="O460">
        <f>[9]Unemployment!$B342</f>
        <v>5.7</v>
      </c>
      <c r="P460" s="2">
        <f>[2]Surveys_m!$B342</f>
        <v>112.7</v>
      </c>
      <c r="Q460">
        <f>[5]m!$B462</f>
        <v>116.5</v>
      </c>
      <c r="R460">
        <f>[5]m!$D462</f>
        <v>121.7</v>
      </c>
      <c r="S460">
        <f>[5]m!$Q462</f>
        <v>104.9</v>
      </c>
      <c r="T460">
        <f>[6]m!B462</f>
        <v>-29283</v>
      </c>
      <c r="U460" s="2">
        <f>[9]Unemployment!$F342</f>
        <v>13.700000000000001</v>
      </c>
      <c r="V460" s="2">
        <f>[9]Unemployment!$G342</f>
        <v>6.4</v>
      </c>
      <c r="W460">
        <f>[9]Unemployment!$E342</f>
        <v>6876</v>
      </c>
      <c r="X460">
        <f>[9]Unemployment!N342</f>
        <v>3042</v>
      </c>
      <c r="Y460">
        <f>[9]Unemployment!O342</f>
        <v>2087</v>
      </c>
      <c r="Z460">
        <f>[9]Unemployment!P342-[9]Unemployment!Q342</f>
        <v>896</v>
      </c>
      <c r="AA460">
        <f>[9]Unemployment!$Q342</f>
        <v>848</v>
      </c>
      <c r="AB460" s="2">
        <f>[8]m!$B462</f>
        <v>5.89</v>
      </c>
      <c r="AC460" s="2">
        <f>[8]m!$F462</f>
        <v>8.370000000000001</v>
      </c>
      <c r="AD460">
        <f>[9]Employment!$B342</f>
        <v>104456</v>
      </c>
      <c r="AE460" s="2">
        <f>[2]Indicators!$AB342</f>
        <v>60.5565</v>
      </c>
      <c r="AF460" s="2">
        <f>[8]m!$AS462</f>
        <v>700.7</v>
      </c>
      <c r="AG460" s="2">
        <f>[8]m!$H462</f>
        <v>9.39</v>
      </c>
      <c r="AH460" s="2">
        <f>[8]m!$I462</f>
        <v>10.57</v>
      </c>
      <c r="AI460" s="2">
        <f>[7]m!C461</f>
        <v>33333</v>
      </c>
      <c r="AJ460" s="2">
        <f>[7]m!D461</f>
        <v>45214</v>
      </c>
      <c r="AK460" s="2">
        <f>[2]Surveys_m!$AB342</f>
        <v>54.6</v>
      </c>
      <c r="AL460" s="4">
        <f t="shared" si="6"/>
        <v>5140.6576402321061</v>
      </c>
      <c r="AN460" s="2">
        <v>104</v>
      </c>
      <c r="AQ460" s="3">
        <f>[9]LaborForce!$B341*[9]LaborForce!$C341/100</f>
        <v>120960.92700000001</v>
      </c>
      <c r="AR460">
        <f>[9]Unemployment!$AC342</f>
        <v>319</v>
      </c>
      <c r="AS460">
        <f>[2]Indicators!BC342</f>
        <v>62.800000000000004</v>
      </c>
      <c r="AT460">
        <f>[2]Indicators!BD342</f>
        <v>62.031200000000005</v>
      </c>
      <c r="AU460">
        <f>[2]Indicators!BE342</f>
        <v>100.57680000000001</v>
      </c>
      <c r="AV460">
        <f>[5]m!$O462</f>
        <v>71.12</v>
      </c>
    </row>
    <row r="461" spans="1:48" x14ac:dyDescent="0.25">
      <c r="A461" s="1">
        <v>32234</v>
      </c>
      <c r="B461" s="2">
        <f>[2]Indicators!G343</f>
        <v>3284.8070000000002</v>
      </c>
      <c r="C461" s="2">
        <f>[2]Indicators!H343</f>
        <v>467.75299999999999</v>
      </c>
      <c r="D461" s="2">
        <f>[2]Indicators!I343</f>
        <v>849.15800000000002</v>
      </c>
      <c r="E461" s="2">
        <f>[2]Indicators!J343</f>
        <v>1967.896</v>
      </c>
      <c r="L461" s="2">
        <f>[2]Indicators!N343</f>
        <v>15.545</v>
      </c>
      <c r="M461" s="2">
        <f>[2]Indicators!AB343</f>
        <v>60.869100000000003</v>
      </c>
      <c r="N461" s="2">
        <f>[8]m!$C463</f>
        <v>6.87</v>
      </c>
      <c r="O461">
        <f>[9]Unemployment!$B343</f>
        <v>5.4</v>
      </c>
      <c r="P461" s="2">
        <f>[2]Surveys_m!$B343</f>
        <v>115.7</v>
      </c>
      <c r="Q461">
        <f>[5]m!$B463</f>
        <v>117.2</v>
      </c>
      <c r="R461">
        <f>[5]m!$D463</f>
        <v>122.3</v>
      </c>
      <c r="S461">
        <f>[5]m!$Q463</f>
        <v>105.80000000000001</v>
      </c>
      <c r="T461">
        <f>[6]m!B463</f>
        <v>13769</v>
      </c>
      <c r="U461" s="2">
        <f>[9]Unemployment!$F343</f>
        <v>13.3</v>
      </c>
      <c r="V461" s="2">
        <f>[9]Unemployment!$G343</f>
        <v>5.9</v>
      </c>
      <c r="W461">
        <f>[9]Unemployment!$E343</f>
        <v>6601</v>
      </c>
      <c r="X461">
        <f>[9]Unemployment!N343</f>
        <v>3107</v>
      </c>
      <c r="Y461">
        <f>[9]Unemployment!O343</f>
        <v>1930</v>
      </c>
      <c r="Z461">
        <f>[9]Unemployment!P343-[9]Unemployment!Q343</f>
        <v>753</v>
      </c>
      <c r="AA461">
        <f>[9]Unemployment!$Q343</f>
        <v>810</v>
      </c>
      <c r="AB461" s="2">
        <f>[8]m!$B463</f>
        <v>6.17</v>
      </c>
      <c r="AC461" s="2">
        <f>[8]m!$F463</f>
        <v>8.7200000000000006</v>
      </c>
      <c r="AD461">
        <f>[9]Employment!$B343</f>
        <v>104701</v>
      </c>
      <c r="AE461" s="2">
        <f>[2]Indicators!$AB343</f>
        <v>60.869100000000003</v>
      </c>
      <c r="AF461" s="2">
        <f>[8]m!$AS463</f>
        <v>705.90000000000009</v>
      </c>
      <c r="AG461" s="2">
        <f>[8]m!$H463</f>
        <v>9.67</v>
      </c>
      <c r="AH461" s="2">
        <f>[8]m!$I463</f>
        <v>10.9</v>
      </c>
      <c r="AI461" s="2">
        <f>[7]m!C462</f>
        <v>36210</v>
      </c>
      <c r="AJ461" s="2">
        <f>[7]m!D462</f>
        <v>44836</v>
      </c>
      <c r="AK461" s="2">
        <f>[2]Surveys_m!$AB343</f>
        <v>55.800000000000004</v>
      </c>
      <c r="AL461" s="4">
        <f t="shared" si="6"/>
        <v>5041.7988394584117</v>
      </c>
      <c r="AN461" s="2">
        <v>102</v>
      </c>
      <c r="AQ461" s="3">
        <f>[9]LaborForce!$B342*[9]LaborForce!$C342/100</f>
        <v>121224.656</v>
      </c>
      <c r="AR461">
        <f>[9]Unemployment!$AC343</f>
        <v>309</v>
      </c>
      <c r="AS461">
        <f>[2]Indicators!BC343</f>
        <v>62.9</v>
      </c>
      <c r="AT461">
        <f>[2]Indicators!BD343</f>
        <v>62.2517</v>
      </c>
      <c r="AU461">
        <f>[2]Indicators!BE343</f>
        <v>100.72</v>
      </c>
      <c r="AV461">
        <f>[5]m!$O463</f>
        <v>71.650000000000006</v>
      </c>
    </row>
    <row r="462" spans="1:48" x14ac:dyDescent="0.25">
      <c r="A462" s="1">
        <v>32264</v>
      </c>
      <c r="B462" s="2">
        <f>[2]Indicators!G344</f>
        <v>3315.1410000000001</v>
      </c>
      <c r="C462" s="2">
        <f>[2]Indicators!H344</f>
        <v>474.66200000000003</v>
      </c>
      <c r="D462" s="2">
        <f>[2]Indicators!I344</f>
        <v>854.38099999999997</v>
      </c>
      <c r="E462" s="2">
        <f>[2]Indicators!J344</f>
        <v>1986.098</v>
      </c>
      <c r="L462" s="2">
        <f>[2]Indicators!N344</f>
        <v>15.941000000000001</v>
      </c>
      <c r="M462" s="2">
        <f>[2]Indicators!AB344</f>
        <v>60.825800000000001</v>
      </c>
      <c r="N462" s="2">
        <f>[8]m!$C464</f>
        <v>7.09</v>
      </c>
      <c r="O462">
        <f>[9]Unemployment!$B344</f>
        <v>5.6000000000000005</v>
      </c>
      <c r="P462" s="2">
        <f>[2]Surveys_m!$B344</f>
        <v>120.2</v>
      </c>
      <c r="Q462">
        <f>[5]m!$B464</f>
        <v>117.5</v>
      </c>
      <c r="R462">
        <f>[5]m!$D464</f>
        <v>122.7</v>
      </c>
      <c r="S462">
        <f>[5]m!$Q464</f>
        <v>106.5</v>
      </c>
      <c r="T462">
        <f>[6]m!B464</f>
        <v>-22583</v>
      </c>
      <c r="U462" s="2">
        <f>[9]Unemployment!$F344</f>
        <v>13.8</v>
      </c>
      <c r="V462" s="2">
        <f>[9]Unemployment!$G344</f>
        <v>5.9</v>
      </c>
      <c r="W462">
        <f>[9]Unemployment!$E344</f>
        <v>6779</v>
      </c>
      <c r="X462">
        <f>[9]Unemployment!N344</f>
        <v>3095</v>
      </c>
      <c r="Y462">
        <f>[9]Unemployment!O344</f>
        <v>2036</v>
      </c>
      <c r="Z462">
        <f>[9]Unemployment!P344-[9]Unemployment!Q344</f>
        <v>801</v>
      </c>
      <c r="AA462">
        <f>[9]Unemployment!$Q344</f>
        <v>846</v>
      </c>
      <c r="AB462" s="2">
        <f>[8]m!$B464</f>
        <v>6.62</v>
      </c>
      <c r="AC462" s="2">
        <f>[8]m!$F464</f>
        <v>9.09</v>
      </c>
      <c r="AD462">
        <f>[9]Employment!$B344</f>
        <v>104928</v>
      </c>
      <c r="AE462" s="2">
        <f>[2]Indicators!$AB344</f>
        <v>60.825800000000001</v>
      </c>
      <c r="AF462" s="2">
        <f>[8]m!$AS464</f>
        <v>710</v>
      </c>
      <c r="AG462" s="2">
        <f>[8]m!$H464</f>
        <v>9.9</v>
      </c>
      <c r="AH462" s="2">
        <f>[8]m!$I464</f>
        <v>11.040000000000001</v>
      </c>
      <c r="AI462" s="2">
        <f>[7]m!C463</f>
        <v>35382</v>
      </c>
      <c r="AJ462" s="2">
        <f>[7]m!D463</f>
        <v>43342</v>
      </c>
      <c r="AK462" s="2">
        <f>[2]Surveys_m!$AB344</f>
        <v>55.5</v>
      </c>
      <c r="AL462" s="4">
        <f t="shared" ref="AL462:AL525" si="7">AL463*AN462/AN463</f>
        <v>5190.0870406189533</v>
      </c>
      <c r="AN462" s="2">
        <v>105</v>
      </c>
      <c r="AQ462" s="3">
        <f>[9]LaborForce!$B343*[9]LaborForce!$C343/100</f>
        <v>121133.71800000001</v>
      </c>
      <c r="AR462">
        <f>[9]Unemployment!$AC344</f>
        <v>313</v>
      </c>
      <c r="AS462">
        <f>[2]Indicators!BC344</f>
        <v>63</v>
      </c>
      <c r="AT462">
        <f>[2]Indicators!BD344</f>
        <v>62.482100000000003</v>
      </c>
      <c r="AU462">
        <f>[2]Indicators!BE344</f>
        <v>100.88260000000001</v>
      </c>
      <c r="AV462">
        <f>[5]m!$O464</f>
        <v>72.48</v>
      </c>
    </row>
    <row r="463" spans="1:48" x14ac:dyDescent="0.25">
      <c r="A463" s="1">
        <v>32295</v>
      </c>
      <c r="B463" s="2">
        <f>[2]Indicators!G345</f>
        <v>3339.12</v>
      </c>
      <c r="C463" s="2">
        <f>[2]Indicators!H345</f>
        <v>477.25299999999999</v>
      </c>
      <c r="D463" s="2">
        <f>[2]Indicators!I345</f>
        <v>857.08100000000002</v>
      </c>
      <c r="E463" s="2">
        <f>[2]Indicators!J345</f>
        <v>2004.787</v>
      </c>
      <c r="L463" s="2">
        <f>[2]Indicators!N345</f>
        <v>15.854000000000001</v>
      </c>
      <c r="M463" s="2">
        <f>[2]Indicators!AB345</f>
        <v>60.972000000000001</v>
      </c>
      <c r="N463" s="2">
        <f>[8]m!$C465</f>
        <v>7.51</v>
      </c>
      <c r="O463">
        <f>[9]Unemployment!$B345</f>
        <v>5.4</v>
      </c>
      <c r="P463" s="2">
        <f>[2]Surveys_m!$B345</f>
        <v>115.7</v>
      </c>
      <c r="Q463">
        <f>[5]m!$B465</f>
        <v>118</v>
      </c>
      <c r="R463">
        <f>[5]m!$D465</f>
        <v>123.2</v>
      </c>
      <c r="S463">
        <f>[5]m!$Q465</f>
        <v>107.2</v>
      </c>
      <c r="T463">
        <f>[6]m!B465</f>
        <v>9134</v>
      </c>
      <c r="U463" s="2">
        <f>[9]Unemployment!$F345</f>
        <v>13.100000000000001</v>
      </c>
      <c r="V463" s="2">
        <f>[9]Unemployment!$G345</f>
        <v>5.8000000000000007</v>
      </c>
      <c r="W463">
        <f>[9]Unemployment!$E345</f>
        <v>6546</v>
      </c>
      <c r="X463">
        <f>[9]Unemployment!N345</f>
        <v>3101</v>
      </c>
      <c r="Y463">
        <f>[9]Unemployment!O345</f>
        <v>1924</v>
      </c>
      <c r="Z463">
        <f>[9]Unemployment!P345-[9]Unemployment!Q345</f>
        <v>726</v>
      </c>
      <c r="AA463">
        <f>[9]Unemployment!$Q345</f>
        <v>805</v>
      </c>
      <c r="AB463" s="2">
        <f>[8]m!$B465</f>
        <v>6.75</v>
      </c>
      <c r="AC463" s="2">
        <f>[8]m!$F465</f>
        <v>8.92</v>
      </c>
      <c r="AD463">
        <f>[9]Employment!$B345</f>
        <v>105291</v>
      </c>
      <c r="AE463" s="2">
        <f>[2]Indicators!$AB345</f>
        <v>60.972000000000001</v>
      </c>
      <c r="AF463" s="2">
        <f>[8]m!$AS465</f>
        <v>713.2</v>
      </c>
      <c r="AG463" s="2">
        <f>[8]m!$H465</f>
        <v>9.86</v>
      </c>
      <c r="AH463" s="2">
        <f>[8]m!$I465</f>
        <v>11</v>
      </c>
      <c r="AI463" s="2">
        <f>[7]m!C464</f>
        <v>36724</v>
      </c>
      <c r="AJ463" s="2">
        <f>[7]m!D464</f>
        <v>44069</v>
      </c>
      <c r="AK463" s="2">
        <f>[2]Surveys_m!$AB345</f>
        <v>59.300000000000004</v>
      </c>
      <c r="AL463" s="4">
        <f t="shared" si="7"/>
        <v>5041.7988394584117</v>
      </c>
      <c r="AN463" s="2">
        <v>102</v>
      </c>
      <c r="AQ463" s="3">
        <f>[9]LaborForce!$B344*[9]LaborForce!$C344/100</f>
        <v>121441.796</v>
      </c>
      <c r="AR463">
        <f>[9]Unemployment!$AC345</f>
        <v>313</v>
      </c>
      <c r="AS463">
        <f>[2]Indicators!BC345</f>
        <v>63.800000000000004</v>
      </c>
      <c r="AT463">
        <f>[2]Indicators!BD345</f>
        <v>62.705200000000005</v>
      </c>
      <c r="AU463">
        <f>[2]Indicators!BE345</f>
        <v>101.03710000000001</v>
      </c>
      <c r="AV463">
        <f>[5]m!$O465</f>
        <v>73.63</v>
      </c>
    </row>
    <row r="464" spans="1:48" x14ac:dyDescent="0.25">
      <c r="A464" s="1">
        <v>32325</v>
      </c>
      <c r="B464" s="2">
        <f>[2]Indicators!G346</f>
        <v>3361.8240000000001</v>
      </c>
      <c r="C464" s="2">
        <f>[2]Indicators!H346</f>
        <v>472.35200000000003</v>
      </c>
      <c r="D464" s="2">
        <f>[2]Indicators!I346</f>
        <v>864.678</v>
      </c>
      <c r="E464" s="2">
        <f>[2]Indicators!J346</f>
        <v>2024.7940000000001</v>
      </c>
      <c r="L464" s="2">
        <f>[2]Indicators!N346</f>
        <v>15.704000000000001</v>
      </c>
      <c r="M464" s="2">
        <f>[2]Indicators!AB346</f>
        <v>61.0473</v>
      </c>
      <c r="N464" s="2">
        <f>[8]m!$C466</f>
        <v>7.75</v>
      </c>
      <c r="O464">
        <f>[9]Unemployment!$B346</f>
        <v>5.4</v>
      </c>
      <c r="P464" s="2">
        <f>[2]Surveys_m!$B346</f>
        <v>113.5</v>
      </c>
      <c r="Q464">
        <f>[5]m!$B466</f>
        <v>118.5</v>
      </c>
      <c r="R464">
        <f>[5]m!$D466</f>
        <v>123.60000000000001</v>
      </c>
      <c r="S464">
        <f>[5]m!$Q466</f>
        <v>107.9</v>
      </c>
      <c r="T464">
        <f>[6]m!B466</f>
        <v>-22918</v>
      </c>
      <c r="U464" s="2">
        <f>[9]Unemployment!$F346</f>
        <v>13.4</v>
      </c>
      <c r="V464" s="2">
        <f>[9]Unemployment!$G346</f>
        <v>6.1000000000000005</v>
      </c>
      <c r="W464">
        <f>[9]Unemployment!$E346</f>
        <v>6605</v>
      </c>
      <c r="X464">
        <f>[9]Unemployment!N346</f>
        <v>2998</v>
      </c>
      <c r="Y464">
        <f>[9]Unemployment!O346</f>
        <v>2067</v>
      </c>
      <c r="Z464">
        <f>[9]Unemployment!P346-[9]Unemployment!Q346</f>
        <v>805</v>
      </c>
      <c r="AA464">
        <f>[9]Unemployment!$Q346</f>
        <v>796</v>
      </c>
      <c r="AB464" s="2">
        <f>[8]m!$B466</f>
        <v>7.17</v>
      </c>
      <c r="AC464" s="2">
        <f>[8]m!$F466</f>
        <v>9.06</v>
      </c>
      <c r="AD464">
        <f>[9]Employment!$B346</f>
        <v>105514</v>
      </c>
      <c r="AE464" s="2">
        <f>[2]Indicators!$AB346</f>
        <v>61.0473</v>
      </c>
      <c r="AF464" s="2">
        <f>[8]m!$AS466</f>
        <v>716.1</v>
      </c>
      <c r="AG464" s="2">
        <f>[8]m!$H466</f>
        <v>9.9600000000000009</v>
      </c>
      <c r="AH464" s="2">
        <f>[8]m!$I466</f>
        <v>11.11</v>
      </c>
      <c r="AI464" s="2">
        <f>[7]m!C465</f>
        <v>35773</v>
      </c>
      <c r="AJ464" s="2">
        <f>[7]m!D465</f>
        <v>45671</v>
      </c>
      <c r="AK464" s="2">
        <f>[2]Surveys_m!$AB346</f>
        <v>58.2</v>
      </c>
      <c r="AL464" s="4">
        <f t="shared" si="7"/>
        <v>5140.6576402321061</v>
      </c>
      <c r="AN464" s="2">
        <v>104</v>
      </c>
      <c r="AQ464" s="3">
        <f>[9]LaborForce!$B345*[9]LaborForce!$C345/100</f>
        <v>121736.41100000002</v>
      </c>
      <c r="AR464">
        <f>[9]Unemployment!$AC346</f>
        <v>305</v>
      </c>
      <c r="AS464">
        <f>[2]Indicators!BC346</f>
        <v>63.300000000000004</v>
      </c>
      <c r="AT464">
        <f>[2]Indicators!BD346</f>
        <v>62.895600000000002</v>
      </c>
      <c r="AU464">
        <f>[2]Indicators!BE346</f>
        <v>101.14240000000001</v>
      </c>
      <c r="AV464">
        <f>[5]m!$O466</f>
        <v>74.81</v>
      </c>
    </row>
    <row r="465" spans="1:48" x14ac:dyDescent="0.25">
      <c r="A465" s="1">
        <v>32356</v>
      </c>
      <c r="B465" s="2">
        <f>[2]Indicators!G347</f>
        <v>3386.2620000000002</v>
      </c>
      <c r="C465" s="2">
        <f>[2]Indicators!H347</f>
        <v>470.14300000000003</v>
      </c>
      <c r="D465" s="2">
        <f>[2]Indicators!I347</f>
        <v>871.62900000000002</v>
      </c>
      <c r="E465" s="2">
        <f>[2]Indicators!J347</f>
        <v>2044.49</v>
      </c>
      <c r="L465" s="2">
        <f>[2]Indicators!N347</f>
        <v>15.385</v>
      </c>
      <c r="M465" s="2">
        <f>[2]Indicators!AB347</f>
        <v>61.325800000000001</v>
      </c>
      <c r="N465" s="2">
        <f>[8]m!$C467</f>
        <v>8.01</v>
      </c>
      <c r="O465">
        <f>[9]Unemployment!$B347</f>
        <v>5.6000000000000005</v>
      </c>
      <c r="P465" s="2">
        <f>[2]Surveys_m!$B347</f>
        <v>119.7</v>
      </c>
      <c r="Q465">
        <f>[5]m!$B467</f>
        <v>119</v>
      </c>
      <c r="R465">
        <f>[5]m!$D467</f>
        <v>124</v>
      </c>
      <c r="S465">
        <f>[5]m!$Q467</f>
        <v>108</v>
      </c>
      <c r="T465">
        <f>[6]m!B467</f>
        <v>-23079</v>
      </c>
      <c r="U465" s="2">
        <f>[9]Unemployment!$F347</f>
        <v>13.600000000000001</v>
      </c>
      <c r="V465" s="2">
        <f>[9]Unemployment!$G347</f>
        <v>5.9</v>
      </c>
      <c r="W465">
        <f>[9]Unemployment!$E347</f>
        <v>6843</v>
      </c>
      <c r="X465">
        <f>[9]Unemployment!N347</f>
        <v>3172</v>
      </c>
      <c r="Y465">
        <f>[9]Unemployment!O347</f>
        <v>1973</v>
      </c>
      <c r="Z465">
        <f>[9]Unemployment!P347-[9]Unemployment!Q347</f>
        <v>844</v>
      </c>
      <c r="AA465">
        <f>[9]Unemployment!$Q347</f>
        <v>795</v>
      </c>
      <c r="AB465" s="2">
        <f>[8]m!$B467</f>
        <v>7.54</v>
      </c>
      <c r="AC465" s="2">
        <f>[8]m!$F467</f>
        <v>9.26</v>
      </c>
      <c r="AD465">
        <f>[9]Employment!$B347</f>
        <v>105635</v>
      </c>
      <c r="AE465" s="2">
        <f>[2]Indicators!$AB347</f>
        <v>61.325800000000001</v>
      </c>
      <c r="AF465" s="2">
        <f>[8]m!$AS467</f>
        <v>721.5</v>
      </c>
      <c r="AG465" s="2">
        <f>[8]m!$H467</f>
        <v>10.11</v>
      </c>
      <c r="AH465" s="2">
        <f>[8]m!$I467</f>
        <v>11.21</v>
      </c>
      <c r="AI465" s="2">
        <f>[7]m!C466</f>
        <v>35605</v>
      </c>
      <c r="AJ465" s="2">
        <f>[7]m!D466</f>
        <v>43198</v>
      </c>
      <c r="AK465" s="2">
        <f>[2]Surveys_m!$AB347</f>
        <v>56</v>
      </c>
      <c r="AL465" s="4">
        <f t="shared" si="7"/>
        <v>5140.6576402321061</v>
      </c>
      <c r="AN465" s="2">
        <v>104</v>
      </c>
      <c r="AQ465" s="3">
        <f>[9]LaborForce!$B346*[9]LaborForce!$C346/100</f>
        <v>122172.63000000002</v>
      </c>
      <c r="AR465">
        <f>[9]Unemployment!$AC347</f>
        <v>331</v>
      </c>
      <c r="AS465">
        <f>[2]Indicators!BC347</f>
        <v>63.4</v>
      </c>
      <c r="AT465">
        <f>[2]Indicators!BD347</f>
        <v>63.058</v>
      </c>
      <c r="AU465">
        <f>[2]Indicators!BE347</f>
        <v>101.2068</v>
      </c>
      <c r="AV465">
        <f>[5]m!$O467</f>
        <v>75.7</v>
      </c>
    </row>
    <row r="466" spans="1:48" x14ac:dyDescent="0.25">
      <c r="A466" s="1">
        <v>32387</v>
      </c>
      <c r="B466" s="2">
        <f>[2]Indicators!G348</f>
        <v>3393.0909999999999</v>
      </c>
      <c r="C466" s="2">
        <f>[2]Indicators!H348</f>
        <v>468.67099999999999</v>
      </c>
      <c r="D466" s="2">
        <f>[2]Indicators!I348</f>
        <v>876.02600000000007</v>
      </c>
      <c r="E466" s="2">
        <f>[2]Indicators!J348</f>
        <v>2048.3940000000002</v>
      </c>
      <c r="L466" s="2">
        <f>[2]Indicators!N348</f>
        <v>15.047000000000001</v>
      </c>
      <c r="M466" s="2">
        <f>[2]Indicators!AB348</f>
        <v>61.100900000000003</v>
      </c>
      <c r="N466" s="2">
        <f>[8]m!$C468</f>
        <v>8.19</v>
      </c>
      <c r="O466">
        <f>[9]Unemployment!$B348</f>
        <v>5.4</v>
      </c>
      <c r="P466" s="2">
        <f>[2]Surveys_m!$B348</f>
        <v>110.7</v>
      </c>
      <c r="Q466">
        <f>[5]m!$B468</f>
        <v>119.5</v>
      </c>
      <c r="R466">
        <f>[5]m!$D468</f>
        <v>124.7</v>
      </c>
      <c r="S466">
        <f>[5]m!$Q468</f>
        <v>108.10000000000001</v>
      </c>
      <c r="T466">
        <f>[6]m!B468</f>
        <v>10173</v>
      </c>
      <c r="U466" s="2">
        <f>[9]Unemployment!$F348</f>
        <v>13.600000000000001</v>
      </c>
      <c r="V466" s="2">
        <f>[9]Unemployment!$G348</f>
        <v>5.7</v>
      </c>
      <c r="W466">
        <f>[9]Unemployment!$E348</f>
        <v>6604</v>
      </c>
      <c r="X466">
        <f>[9]Unemployment!N348</f>
        <v>3152</v>
      </c>
      <c r="Y466">
        <f>[9]Unemployment!O348</f>
        <v>1880</v>
      </c>
      <c r="Z466">
        <f>[9]Unemployment!P348-[9]Unemployment!Q348</f>
        <v>756</v>
      </c>
      <c r="AA466">
        <f>[9]Unemployment!$Q348</f>
        <v>813</v>
      </c>
      <c r="AB466" s="2">
        <f>[8]m!$B468</f>
        <v>7.49</v>
      </c>
      <c r="AC466" s="2">
        <f>[8]m!$F468</f>
        <v>8.98</v>
      </c>
      <c r="AD466">
        <f>[9]Employment!$B348</f>
        <v>105975</v>
      </c>
      <c r="AE466" s="2">
        <f>[2]Indicators!$AB348</f>
        <v>61.100900000000003</v>
      </c>
      <c r="AF466" s="2">
        <f>[8]m!$AS468</f>
        <v>722.90000000000009</v>
      </c>
      <c r="AG466" s="2">
        <f>[8]m!$H468</f>
        <v>9.82</v>
      </c>
      <c r="AH466" s="2">
        <f>[8]m!$I468</f>
        <v>10.9</v>
      </c>
      <c r="AI466" s="2">
        <f>[7]m!C467</f>
        <v>36788</v>
      </c>
      <c r="AJ466" s="2">
        <f>[7]m!D467</f>
        <v>45886</v>
      </c>
      <c r="AK466" s="2">
        <f>[2]Surveys_m!$AB348</f>
        <v>54.5</v>
      </c>
      <c r="AL466" s="4">
        <f t="shared" si="7"/>
        <v>4942.9400386847174</v>
      </c>
      <c r="AN466" s="2">
        <v>100</v>
      </c>
      <c r="AQ466" s="3">
        <f>[9]LaborForce!$B347*[9]LaborForce!$C347/100</f>
        <v>121889.95800000001</v>
      </c>
      <c r="AR466">
        <f>[9]Unemployment!$AC348</f>
        <v>315</v>
      </c>
      <c r="AS466">
        <f>[2]Indicators!BC348</f>
        <v>63.4</v>
      </c>
      <c r="AT466">
        <f>[2]Indicators!BD348</f>
        <v>63.203400000000002</v>
      </c>
      <c r="AU466">
        <f>[2]Indicators!BE348</f>
        <v>101.248</v>
      </c>
      <c r="AV466">
        <f>[5]m!$O468</f>
        <v>76.400000000000006</v>
      </c>
    </row>
    <row r="467" spans="1:48" x14ac:dyDescent="0.25">
      <c r="A467" s="1">
        <v>32417</v>
      </c>
      <c r="B467" s="2">
        <f>[2]Indicators!G349</f>
        <v>3432.39</v>
      </c>
      <c r="C467" s="2">
        <f>[2]Indicators!H349</f>
        <v>477.85900000000004</v>
      </c>
      <c r="D467" s="2">
        <f>[2]Indicators!I349</f>
        <v>883.87099999999998</v>
      </c>
      <c r="E467" s="2">
        <f>[2]Indicators!J349</f>
        <v>2070.66</v>
      </c>
      <c r="L467" s="2">
        <f>[2]Indicators!N349</f>
        <v>15.162000000000001</v>
      </c>
      <c r="M467" s="2">
        <f>[2]Indicators!AB349</f>
        <v>61.423500000000004</v>
      </c>
      <c r="N467" s="2">
        <f>[8]m!$C469</f>
        <v>8.3000000000000007</v>
      </c>
      <c r="O467">
        <f>[9]Unemployment!$B349</f>
        <v>5.4</v>
      </c>
      <c r="P467" s="2">
        <f>[2]Surveys_m!$B349</f>
        <v>116.9</v>
      </c>
      <c r="Q467">
        <f>[5]m!$B469</f>
        <v>119.9</v>
      </c>
      <c r="R467">
        <f>[5]m!$D469</f>
        <v>125.2</v>
      </c>
      <c r="S467">
        <f>[5]m!$Q469</f>
        <v>108.2</v>
      </c>
      <c r="T467">
        <f>[6]m!B469</f>
        <v>-27005</v>
      </c>
      <c r="U467" s="2">
        <f>[9]Unemployment!$F349</f>
        <v>13.4</v>
      </c>
      <c r="V467" s="2">
        <f>[9]Unemployment!$G349</f>
        <v>5.6000000000000005</v>
      </c>
      <c r="W467">
        <f>[9]Unemployment!$E349</f>
        <v>6568</v>
      </c>
      <c r="X467">
        <f>[9]Unemployment!N349</f>
        <v>3106</v>
      </c>
      <c r="Y467">
        <f>[9]Unemployment!O349</f>
        <v>1864</v>
      </c>
      <c r="Z467">
        <f>[9]Unemployment!P349-[9]Unemployment!Q349</f>
        <v>794</v>
      </c>
      <c r="AA467">
        <f>[9]Unemployment!$Q349</f>
        <v>768</v>
      </c>
      <c r="AB467" s="2">
        <f>[8]m!$B469</f>
        <v>7.61</v>
      </c>
      <c r="AC467" s="2">
        <f>[8]m!$F469</f>
        <v>8.8000000000000007</v>
      </c>
      <c r="AD467">
        <f>[9]Employment!$B349</f>
        <v>106243</v>
      </c>
      <c r="AE467" s="2">
        <f>[2]Indicators!$AB349</f>
        <v>61.423500000000004</v>
      </c>
      <c r="AF467" s="2">
        <f>[8]m!$AS469</f>
        <v>726.1</v>
      </c>
      <c r="AG467" s="2">
        <f>[8]m!$H469</f>
        <v>9.51</v>
      </c>
      <c r="AH467" s="2">
        <f>[8]m!$I469</f>
        <v>10.41</v>
      </c>
      <c r="AI467" s="2">
        <f>[7]m!C468</f>
        <v>36898</v>
      </c>
      <c r="AJ467" s="2">
        <f>[7]m!D468</f>
        <v>44674</v>
      </c>
      <c r="AK467" s="2">
        <f>[2]Surveys_m!$AB349</f>
        <v>55.400000000000006</v>
      </c>
      <c r="AL467" s="4">
        <f t="shared" si="7"/>
        <v>5140.6576402321061</v>
      </c>
      <c r="AN467" s="2">
        <v>104</v>
      </c>
      <c r="AQ467" s="3">
        <f>[9]LaborForce!$B348*[9]LaborForce!$C348/100</f>
        <v>122175.24</v>
      </c>
      <c r="AR467">
        <f>[9]Unemployment!$AC349</f>
        <v>292</v>
      </c>
      <c r="AS467">
        <f>[2]Indicators!BC349</f>
        <v>63.6</v>
      </c>
      <c r="AT467">
        <f>[2]Indicators!BD349</f>
        <v>63.338100000000004</v>
      </c>
      <c r="AU467">
        <f>[2]Indicators!BE349</f>
        <v>101.2762</v>
      </c>
      <c r="AV467">
        <f>[5]m!$O469</f>
        <v>76.900000000000006</v>
      </c>
    </row>
    <row r="468" spans="1:48" x14ac:dyDescent="0.25">
      <c r="A468" s="1">
        <v>32448</v>
      </c>
      <c r="B468" s="2">
        <f>[2]Indicators!G350</f>
        <v>3449.107</v>
      </c>
      <c r="C468" s="2">
        <f>[2]Indicators!H350</f>
        <v>481.77600000000001</v>
      </c>
      <c r="D468" s="2">
        <f>[2]Indicators!I350</f>
        <v>888.03499999999997</v>
      </c>
      <c r="E468" s="2">
        <f>[2]Indicators!J350</f>
        <v>2079.2959999999998</v>
      </c>
      <c r="L468" s="2">
        <f>[2]Indicators!N350</f>
        <v>15.394</v>
      </c>
      <c r="M468" s="2">
        <f>[2]Indicators!AB350</f>
        <v>61.532200000000003</v>
      </c>
      <c r="N468" s="2">
        <f>[8]m!$C470</f>
        <v>8.35</v>
      </c>
      <c r="O468">
        <f>[9]Unemployment!$B350</f>
        <v>5.3000000000000007</v>
      </c>
      <c r="P468" s="2">
        <f>[2]Surveys_m!$B350</f>
        <v>112.9</v>
      </c>
      <c r="Q468">
        <f>[5]m!$B470</f>
        <v>120.3</v>
      </c>
      <c r="R468">
        <f>[5]m!$D470</f>
        <v>125.60000000000001</v>
      </c>
      <c r="S468">
        <f>[5]m!$Q470</f>
        <v>108.30000000000001</v>
      </c>
      <c r="T468">
        <f>[6]m!B470</f>
        <v>-29140</v>
      </c>
      <c r="U468" s="2">
        <f>[9]Unemployment!$F350</f>
        <v>12.600000000000001</v>
      </c>
      <c r="V468" s="2">
        <f>[9]Unemployment!$G350</f>
        <v>5.7</v>
      </c>
      <c r="W468">
        <f>[9]Unemployment!$E350</f>
        <v>6537</v>
      </c>
      <c r="X468">
        <f>[9]Unemployment!N350</f>
        <v>3097</v>
      </c>
      <c r="Y468">
        <f>[9]Unemployment!O350</f>
        <v>1967</v>
      </c>
      <c r="Z468">
        <f>[9]Unemployment!P350-[9]Unemployment!Q350</f>
        <v>765</v>
      </c>
      <c r="AA468">
        <f>[9]Unemployment!$Q350</f>
        <v>703</v>
      </c>
      <c r="AB468" s="2">
        <f>[8]m!$B470</f>
        <v>8.09</v>
      </c>
      <c r="AC468" s="2">
        <f>[8]m!$F470</f>
        <v>8.9600000000000009</v>
      </c>
      <c r="AD468">
        <f>[9]Employment!$B350</f>
        <v>106582</v>
      </c>
      <c r="AE468" s="2">
        <f>[2]Indicators!$AB350</f>
        <v>61.532200000000003</v>
      </c>
      <c r="AF468" s="2">
        <f>[8]m!$AS470</f>
        <v>729.7</v>
      </c>
      <c r="AG468" s="2">
        <f>[8]m!$H470</f>
        <v>9.4500000000000011</v>
      </c>
      <c r="AH468" s="2">
        <f>[8]m!$I470</f>
        <v>10.48</v>
      </c>
      <c r="AI468" s="2">
        <f>[7]m!C469</f>
        <v>37571</v>
      </c>
      <c r="AJ468" s="2">
        <f>[7]m!D469</f>
        <v>45223</v>
      </c>
      <c r="AK468" s="2">
        <f>[2]Surveys_m!$AB350</f>
        <v>55.6</v>
      </c>
      <c r="AL468" s="4">
        <f t="shared" si="7"/>
        <v>5041.7988394584117</v>
      </c>
      <c r="AN468" s="2">
        <v>102</v>
      </c>
      <c r="AQ468" s="3">
        <f>[9]LaborForce!$B349*[9]LaborForce!$C349/100</f>
        <v>122631.52800000001</v>
      </c>
      <c r="AR468">
        <f>[9]Unemployment!$AC350</f>
        <v>294</v>
      </c>
      <c r="AS468">
        <f>[2]Indicators!BC350</f>
        <v>63.5</v>
      </c>
      <c r="AT468">
        <f>[2]Indicators!BD350</f>
        <v>63.454000000000001</v>
      </c>
      <c r="AU468">
        <f>[2]Indicators!BE350</f>
        <v>101.2784</v>
      </c>
      <c r="AV468">
        <f>[5]m!$O470</f>
        <v>77.28</v>
      </c>
    </row>
    <row r="469" spans="1:48" x14ac:dyDescent="0.25">
      <c r="A469" s="1">
        <v>32478</v>
      </c>
      <c r="B469" s="2">
        <f>[2]Indicators!G351</f>
        <v>3478.4479999999999</v>
      </c>
      <c r="C469" s="2">
        <f>[2]Indicators!H351</f>
        <v>498.851</v>
      </c>
      <c r="D469" s="2">
        <f>[2]Indicators!I351</f>
        <v>887.05600000000004</v>
      </c>
      <c r="E469" s="2">
        <f>[2]Indicators!J351</f>
        <v>2092.5410000000002</v>
      </c>
      <c r="L469" s="2">
        <f>[2]Indicators!N351</f>
        <v>16.437000000000001</v>
      </c>
      <c r="M469" s="2">
        <f>[2]Indicators!AB351</f>
        <v>61.794900000000005</v>
      </c>
      <c r="N469" s="2">
        <f>[8]m!$C471</f>
        <v>8.76</v>
      </c>
      <c r="O469">
        <f>[9]Unemployment!$B351</f>
        <v>5.3000000000000007</v>
      </c>
      <c r="P469" s="2">
        <f>[2]Surveys_m!$B351</f>
        <v>119.4</v>
      </c>
      <c r="Q469">
        <f>[5]m!$B471</f>
        <v>120.7</v>
      </c>
      <c r="R469">
        <f>[5]m!$D471</f>
        <v>126</v>
      </c>
      <c r="S469">
        <f>[5]m!$Q471</f>
        <v>109</v>
      </c>
      <c r="T469">
        <f>[6]m!B471</f>
        <v>-12790</v>
      </c>
      <c r="U469" s="2">
        <f>[9]Unemployment!$F351</f>
        <v>12.9</v>
      </c>
      <c r="V469" s="2">
        <f>[9]Unemployment!$G351</f>
        <v>5.9</v>
      </c>
      <c r="W469">
        <f>[9]Unemployment!$E351</f>
        <v>6518</v>
      </c>
      <c r="X469">
        <f>[9]Unemployment!N351</f>
        <v>2972</v>
      </c>
      <c r="Y469">
        <f>[9]Unemployment!O351</f>
        <v>2023</v>
      </c>
      <c r="Z469">
        <f>[9]Unemployment!P351-[9]Unemployment!Q351</f>
        <v>751</v>
      </c>
      <c r="AA469">
        <f>[9]Unemployment!$Q351</f>
        <v>739</v>
      </c>
      <c r="AB469" s="2">
        <f>[8]m!$B471</f>
        <v>8.39</v>
      </c>
      <c r="AC469" s="2">
        <f>[8]m!$F471</f>
        <v>9.11</v>
      </c>
      <c r="AD469">
        <f>[9]Employment!$B351</f>
        <v>106871</v>
      </c>
      <c r="AE469" s="2">
        <f>[2]Indicators!$AB351</f>
        <v>61.794900000000005</v>
      </c>
      <c r="AF469" s="2">
        <f>[8]m!$AS471</f>
        <v>731.90000000000009</v>
      </c>
      <c r="AG469" s="2">
        <f>[8]m!$H471</f>
        <v>9.57</v>
      </c>
      <c r="AH469" s="2">
        <f>[8]m!$I471</f>
        <v>10.65</v>
      </c>
      <c r="AI469" s="2">
        <f>[7]m!C470</f>
        <v>37087</v>
      </c>
      <c r="AJ469" s="2">
        <f>[7]m!D470</f>
        <v>46214</v>
      </c>
      <c r="AK469" s="2">
        <f>[2]Surveys_m!$AB351</f>
        <v>56</v>
      </c>
      <c r="AL469" s="4">
        <f t="shared" si="7"/>
        <v>5140.6576402321061</v>
      </c>
      <c r="AN469" s="2">
        <v>104</v>
      </c>
      <c r="AQ469" s="3">
        <f>[9]LaborForce!$B350*[9]LaborForce!$C350/100</f>
        <v>122550.72200000001</v>
      </c>
      <c r="AR469">
        <f>[9]Unemployment!$AC351</f>
        <v>299</v>
      </c>
      <c r="AS469">
        <f>[2]Indicators!BC351</f>
        <v>63.800000000000004</v>
      </c>
      <c r="AT469">
        <f>[2]Indicators!BD351</f>
        <v>63.535500000000006</v>
      </c>
      <c r="AU469">
        <f>[2]Indicators!BE351</f>
        <v>101.22970000000001</v>
      </c>
      <c r="AV469">
        <f>[5]m!$O471</f>
        <v>77.58</v>
      </c>
    </row>
    <row r="470" spans="1:48" x14ac:dyDescent="0.25">
      <c r="A470" s="1">
        <v>32509</v>
      </c>
      <c r="B470" s="2">
        <f>[2]Indicators!G352</f>
        <v>3501.88</v>
      </c>
      <c r="C470" s="2">
        <f>[2]Indicators!H352</f>
        <v>496.18299999999999</v>
      </c>
      <c r="D470" s="2">
        <f>[2]Indicators!I352</f>
        <v>902.57799999999997</v>
      </c>
      <c r="E470" s="2">
        <f>[2]Indicators!J352</f>
        <v>2103.1179999999999</v>
      </c>
      <c r="L470" s="2">
        <f>[2]Indicators!N352</f>
        <v>15.372</v>
      </c>
      <c r="M470" s="2">
        <f>[2]Indicators!AB352</f>
        <v>61.970200000000006</v>
      </c>
      <c r="N470" s="2">
        <f>[8]m!$C472</f>
        <v>9.120000000000001</v>
      </c>
      <c r="O470">
        <f>[9]Unemployment!$B352</f>
        <v>5.4</v>
      </c>
      <c r="P470" s="2">
        <f>[2]Surveys_m!$B352</f>
        <v>115.80000000000001</v>
      </c>
      <c r="Q470">
        <f>[5]m!$B472</f>
        <v>121.2</v>
      </c>
      <c r="R470">
        <f>[5]m!$D472</f>
        <v>126.5</v>
      </c>
      <c r="S470">
        <f>[5]m!$Q472</f>
        <v>110.5</v>
      </c>
      <c r="T470">
        <f>[6]m!B472</f>
        <v>2797</v>
      </c>
      <c r="U470" s="2">
        <f>[9]Unemployment!$F352</f>
        <v>12.600000000000001</v>
      </c>
      <c r="V470" s="2">
        <f>[9]Unemployment!$G352</f>
        <v>5.6000000000000005</v>
      </c>
      <c r="W470">
        <f>[9]Unemployment!$E352</f>
        <v>6682</v>
      </c>
      <c r="X470">
        <f>[9]Unemployment!N352</f>
        <v>3146</v>
      </c>
      <c r="Y470">
        <f>[9]Unemployment!O352</f>
        <v>2010</v>
      </c>
      <c r="Z470">
        <f>[9]Unemployment!P352-[9]Unemployment!Q352</f>
        <v>748</v>
      </c>
      <c r="AA470">
        <f>[9]Unemployment!$Q352</f>
        <v>732</v>
      </c>
      <c r="AB470" s="2">
        <f>[8]m!$B472</f>
        <v>8.68</v>
      </c>
      <c r="AC470" s="2">
        <f>[8]m!$F472</f>
        <v>9.09</v>
      </c>
      <c r="AD470">
        <f>[9]Employment!$B352</f>
        <v>107133</v>
      </c>
      <c r="AE470" s="2">
        <f>[2]Indicators!$AB352</f>
        <v>61.970200000000006</v>
      </c>
      <c r="AF470" s="2">
        <f>[8]m!$AS472</f>
        <v>749</v>
      </c>
      <c r="AG470" s="2">
        <f>[8]m!$H472</f>
        <v>9.620000000000001</v>
      </c>
      <c r="AH470" s="2">
        <f>[8]m!$I472</f>
        <v>10.65</v>
      </c>
      <c r="AI470" s="2">
        <f>[7]m!C471</f>
        <v>38563</v>
      </c>
      <c r="AJ470" s="2">
        <f>[7]m!D471</f>
        <v>48187</v>
      </c>
      <c r="AK470" s="2">
        <f>[2]Surveys_m!$AB352</f>
        <v>54.7</v>
      </c>
      <c r="AL470" s="4">
        <f t="shared" si="7"/>
        <v>5140.6576402321052</v>
      </c>
      <c r="AN470" s="2">
        <v>104</v>
      </c>
      <c r="AQ470" s="3">
        <f>[9]LaborForce!$B351*[9]LaborForce!$C351/100</f>
        <v>123453.26</v>
      </c>
      <c r="AR470">
        <f>[9]Unemployment!$AC352</f>
        <v>304</v>
      </c>
      <c r="AS470">
        <f>[2]Indicators!BC352</f>
        <v>63.9</v>
      </c>
      <c r="AT470">
        <f>[2]Indicators!BD352</f>
        <v>63.552300000000002</v>
      </c>
      <c r="AU470">
        <f>[2]Indicators!BE352</f>
        <v>101.0818</v>
      </c>
      <c r="AV470">
        <f>[5]m!$O472</f>
        <v>77.989999999999995</v>
      </c>
    </row>
    <row r="471" spans="1:48" x14ac:dyDescent="0.25">
      <c r="A471" s="1">
        <v>32540</v>
      </c>
      <c r="B471" s="2">
        <f>[2]Indicators!G353</f>
        <v>3505.5790000000002</v>
      </c>
      <c r="C471" s="2">
        <f>[2]Indicators!H353</f>
        <v>481.27600000000001</v>
      </c>
      <c r="D471" s="2">
        <f>[2]Indicators!I353</f>
        <v>900.47800000000007</v>
      </c>
      <c r="E471" s="2">
        <f>[2]Indicators!J353</f>
        <v>2123.8249999999998</v>
      </c>
      <c r="L471" s="2">
        <f>[2]Indicators!N353</f>
        <v>14.991</v>
      </c>
      <c r="M471" s="2">
        <f>[2]Indicators!AB353</f>
        <v>61.699300000000001</v>
      </c>
      <c r="N471" s="2">
        <f>[8]m!$C473</f>
        <v>9.36</v>
      </c>
      <c r="O471">
        <f>[9]Unemployment!$B353</f>
        <v>5.2</v>
      </c>
      <c r="P471" s="2">
        <f>[2]Surveys_m!$B353</f>
        <v>120.7</v>
      </c>
      <c r="Q471">
        <f>[5]m!$B473</f>
        <v>121.60000000000001</v>
      </c>
      <c r="R471">
        <f>[5]m!$D473</f>
        <v>126.9</v>
      </c>
      <c r="S471">
        <f>[5]m!$Q473</f>
        <v>110.80000000000001</v>
      </c>
      <c r="T471">
        <f>[6]m!B473</f>
        <v>-27871</v>
      </c>
      <c r="U471" s="2">
        <f>[9]Unemployment!$F353</f>
        <v>12.4</v>
      </c>
      <c r="V471" s="2">
        <f>[9]Unemployment!$G353</f>
        <v>5.4</v>
      </c>
      <c r="W471">
        <f>[9]Unemployment!$E353</f>
        <v>6359</v>
      </c>
      <c r="X471">
        <f>[9]Unemployment!N353</f>
        <v>3194</v>
      </c>
      <c r="Y471">
        <f>[9]Unemployment!O353</f>
        <v>1877</v>
      </c>
      <c r="Z471">
        <f>[9]Unemployment!P353-[9]Unemployment!Q353</f>
        <v>669</v>
      </c>
      <c r="AA471">
        <f>[9]Unemployment!$Q353</f>
        <v>635</v>
      </c>
      <c r="AB471" s="2">
        <f>[8]m!$B473</f>
        <v>9.02</v>
      </c>
      <c r="AC471" s="2">
        <f>[8]m!$F473</f>
        <v>9.17</v>
      </c>
      <c r="AD471">
        <f>[9]Employment!$B353</f>
        <v>107391</v>
      </c>
      <c r="AE471" s="2">
        <f>[2]Indicators!$AB353</f>
        <v>61.699300000000001</v>
      </c>
      <c r="AF471" s="2">
        <f>[8]m!$AS473</f>
        <v>752.90000000000009</v>
      </c>
      <c r="AG471" s="2">
        <f>[8]m!$H473</f>
        <v>9.64</v>
      </c>
      <c r="AH471" s="2">
        <f>[8]m!$I473</f>
        <v>10.61</v>
      </c>
      <c r="AI471" s="2">
        <f>[7]m!C472</f>
        <v>38559</v>
      </c>
      <c r="AJ471" s="2">
        <f>[7]m!D472</f>
        <v>45846</v>
      </c>
      <c r="AK471" s="2">
        <f>[2]Surveys_m!$AB353</f>
        <v>54.1</v>
      </c>
      <c r="AL471" s="4">
        <f t="shared" si="7"/>
        <v>5091.2282398452589</v>
      </c>
      <c r="AN471" s="2">
        <v>103</v>
      </c>
      <c r="AQ471" s="3">
        <f>[9]LaborForce!$B352*[9]LaborForce!$C352/100</f>
        <v>123170.151</v>
      </c>
      <c r="AR471">
        <f>[9]Unemployment!$AC353</f>
        <v>295</v>
      </c>
      <c r="AS471">
        <f>[2]Indicators!BC353</f>
        <v>63.5</v>
      </c>
      <c r="AT471">
        <f>[2]Indicators!BD353</f>
        <v>63.482100000000003</v>
      </c>
      <c r="AU471">
        <f>[2]Indicators!BE353</f>
        <v>100.80030000000001</v>
      </c>
      <c r="AV471">
        <f>[5]m!$O473</f>
        <v>78.36</v>
      </c>
    </row>
    <row r="472" spans="1:48" x14ac:dyDescent="0.25">
      <c r="A472" s="1">
        <v>32568</v>
      </c>
      <c r="B472" s="2">
        <f>[2]Indicators!G354</f>
        <v>3515.7130000000002</v>
      </c>
      <c r="C472" s="2">
        <f>[2]Indicators!H354</f>
        <v>481.89499999999998</v>
      </c>
      <c r="D472" s="2">
        <f>[2]Indicators!I354</f>
        <v>904.52</v>
      </c>
      <c r="E472" s="2">
        <f>[2]Indicators!J354</f>
        <v>2129.297</v>
      </c>
      <c r="L472" s="2">
        <f>[2]Indicators!N354</f>
        <v>14.662000000000001</v>
      </c>
      <c r="M472" s="2">
        <f>[2]Indicators!AB354</f>
        <v>61.874200000000002</v>
      </c>
      <c r="N472" s="2">
        <f>[8]m!$C474</f>
        <v>9.85</v>
      </c>
      <c r="O472">
        <f>[9]Unemployment!$B354</f>
        <v>5</v>
      </c>
      <c r="P472" s="2">
        <f>[2]Surveys_m!$B354</f>
        <v>117.4</v>
      </c>
      <c r="Q472">
        <f>[5]m!$B474</f>
        <v>122.2</v>
      </c>
      <c r="R472">
        <f>[5]m!$D474</f>
        <v>127.4</v>
      </c>
      <c r="S472">
        <f>[5]m!$Q474</f>
        <v>111.5</v>
      </c>
      <c r="T472">
        <f>[6]m!B474</f>
        <v>-35784</v>
      </c>
      <c r="U472" s="2">
        <f>[9]Unemployment!$F354</f>
        <v>12.3</v>
      </c>
      <c r="V472" s="2">
        <f>[9]Unemployment!$G354</f>
        <v>5.4</v>
      </c>
      <c r="W472">
        <f>[9]Unemployment!$E354</f>
        <v>6205</v>
      </c>
      <c r="X472">
        <f>[9]Unemployment!N354</f>
        <v>3042</v>
      </c>
      <c r="Y472">
        <f>[9]Unemployment!O354</f>
        <v>1850</v>
      </c>
      <c r="Z472">
        <f>[9]Unemployment!P354-[9]Unemployment!Q354</f>
        <v>683</v>
      </c>
      <c r="AA472">
        <f>[9]Unemployment!$Q354</f>
        <v>670</v>
      </c>
      <c r="AB472" s="2">
        <f>[8]m!$B474</f>
        <v>9.2000000000000011</v>
      </c>
      <c r="AC472" s="2">
        <f>[8]m!$F474</f>
        <v>9.36</v>
      </c>
      <c r="AD472">
        <f>[9]Employment!$B354</f>
        <v>107583</v>
      </c>
      <c r="AE472" s="2">
        <f>[2]Indicators!$AB354</f>
        <v>61.874200000000002</v>
      </c>
      <c r="AF472" s="2">
        <f>[8]m!$AS474</f>
        <v>760</v>
      </c>
      <c r="AG472" s="2">
        <f>[8]m!$H474</f>
        <v>9.8000000000000007</v>
      </c>
      <c r="AH472" s="2">
        <f>[8]m!$I474</f>
        <v>10.67</v>
      </c>
      <c r="AI472" s="2">
        <f>[7]m!C473</f>
        <v>38672</v>
      </c>
      <c r="AJ472" s="2">
        <f>[7]m!D473</f>
        <v>46895</v>
      </c>
      <c r="AK472" s="2">
        <f>[2]Surveys_m!$AB354</f>
        <v>51.5</v>
      </c>
      <c r="AL472" s="4">
        <f t="shared" si="7"/>
        <v>4893.5106382978702</v>
      </c>
      <c r="AN472" s="2">
        <v>99</v>
      </c>
      <c r="AQ472" s="3">
        <f>[9]LaborForce!$B353*[9]LaborForce!$C353/100</f>
        <v>123249.711</v>
      </c>
      <c r="AR472">
        <f>[9]Unemployment!$AC354</f>
        <v>300</v>
      </c>
      <c r="AS472">
        <f>[2]Indicators!BC354</f>
        <v>62.9</v>
      </c>
      <c r="AT472">
        <f>[2]Indicators!BD354</f>
        <v>63.350500000000004</v>
      </c>
      <c r="AU472">
        <f>[2]Indicators!BE354</f>
        <v>100.4264</v>
      </c>
      <c r="AV472">
        <f>[5]m!$O474</f>
        <v>79.12</v>
      </c>
    </row>
    <row r="473" spans="1:48" x14ac:dyDescent="0.25">
      <c r="A473" s="1">
        <v>32599</v>
      </c>
      <c r="B473" s="2">
        <f>[2]Indicators!G355</f>
        <v>3559.4549999999999</v>
      </c>
      <c r="C473" s="2">
        <f>[2]Indicators!H355</f>
        <v>500.42700000000002</v>
      </c>
      <c r="D473" s="2">
        <f>[2]Indicators!I355</f>
        <v>920.572</v>
      </c>
      <c r="E473" s="2">
        <f>[2]Indicators!J355</f>
        <v>2138.4560000000001</v>
      </c>
      <c r="L473" s="2">
        <f>[2]Indicators!N355</f>
        <v>16.024000000000001</v>
      </c>
      <c r="M473" s="2">
        <f>[2]Indicators!AB355</f>
        <v>61.892700000000005</v>
      </c>
      <c r="N473" s="2">
        <f>[8]m!$C475</f>
        <v>9.84</v>
      </c>
      <c r="O473">
        <f>[9]Unemployment!$B355</f>
        <v>5.2</v>
      </c>
      <c r="P473" s="2">
        <f>[2]Surveys_m!$B355</f>
        <v>116.60000000000001</v>
      </c>
      <c r="Q473">
        <f>[5]m!$B475</f>
        <v>123.10000000000001</v>
      </c>
      <c r="R473">
        <f>[5]m!$D475</f>
        <v>127.8</v>
      </c>
      <c r="S473">
        <f>[5]m!$Q475</f>
        <v>112.30000000000001</v>
      </c>
      <c r="T473">
        <f>[6]m!B475</f>
        <v>40654</v>
      </c>
      <c r="U473" s="2">
        <f>[9]Unemployment!$F355</f>
        <v>12.5</v>
      </c>
      <c r="V473" s="2">
        <f>[9]Unemployment!$G355</f>
        <v>5.4</v>
      </c>
      <c r="W473">
        <f>[9]Unemployment!$E355</f>
        <v>6468</v>
      </c>
      <c r="X473">
        <f>[9]Unemployment!N355</f>
        <v>3110</v>
      </c>
      <c r="Y473">
        <f>[9]Unemployment!O355</f>
        <v>1984</v>
      </c>
      <c r="Z473">
        <f>[9]Unemployment!P355-[9]Unemployment!Q355</f>
        <v>680</v>
      </c>
      <c r="AA473">
        <f>[9]Unemployment!$Q355</f>
        <v>717</v>
      </c>
      <c r="AB473" s="2">
        <f>[8]m!$B475</f>
        <v>8.7000000000000011</v>
      </c>
      <c r="AC473" s="2">
        <f>[8]m!$F475</f>
        <v>9.18</v>
      </c>
      <c r="AD473">
        <f>[9]Employment!$B355</f>
        <v>107756</v>
      </c>
      <c r="AE473" s="2">
        <f>[2]Indicators!$AB355</f>
        <v>61.892700000000005</v>
      </c>
      <c r="AF473" s="2">
        <f>[8]m!$AS475</f>
        <v>764.7</v>
      </c>
      <c r="AG473" s="2">
        <f>[8]m!$H475</f>
        <v>9.7900000000000009</v>
      </c>
      <c r="AH473" s="2">
        <f>[8]m!$I475</f>
        <v>10.61</v>
      </c>
      <c r="AI473" s="2">
        <f>[7]m!C474</f>
        <v>40837</v>
      </c>
      <c r="AJ473" s="2">
        <f>[7]m!D474</f>
        <v>48058</v>
      </c>
      <c r="AK473" s="2">
        <f>[2]Surveys_m!$AB355</f>
        <v>52.2</v>
      </c>
      <c r="AL473" s="4">
        <f t="shared" si="7"/>
        <v>5091.2282398452589</v>
      </c>
      <c r="AN473" s="2">
        <v>103</v>
      </c>
      <c r="AQ473" s="3">
        <f>[9]LaborForce!$B354*[9]LaborForce!$C354/100</f>
        <v>123519.93600000002</v>
      </c>
      <c r="AR473">
        <f>[9]Unemployment!$AC355</f>
        <v>323</v>
      </c>
      <c r="AS473">
        <f>[2]Indicators!BC355</f>
        <v>63.2</v>
      </c>
      <c r="AT473">
        <f>[2]Indicators!BD355</f>
        <v>63.2</v>
      </c>
      <c r="AU473">
        <f>[2]Indicators!BE355</f>
        <v>100.02730000000001</v>
      </c>
      <c r="AV473">
        <f>[5]m!$O475</f>
        <v>79.83</v>
      </c>
    </row>
    <row r="474" spans="1:48" x14ac:dyDescent="0.25">
      <c r="A474" s="1">
        <v>32629</v>
      </c>
      <c r="B474" s="2">
        <f>[2]Indicators!G356</f>
        <v>3567.8389999999999</v>
      </c>
      <c r="C474" s="2">
        <f>[2]Indicators!H356</f>
        <v>487.63</v>
      </c>
      <c r="D474" s="2">
        <f>[2]Indicators!I356</f>
        <v>930.18700000000001</v>
      </c>
      <c r="E474" s="2">
        <f>[2]Indicators!J356</f>
        <v>2150.0219999999999</v>
      </c>
      <c r="L474" s="2">
        <f>[2]Indicators!N356</f>
        <v>15.266999999999999</v>
      </c>
      <c r="M474" s="2">
        <f>[2]Indicators!AB356</f>
        <v>61.4816</v>
      </c>
      <c r="N474" s="2">
        <f>[8]m!$C476</f>
        <v>9.81</v>
      </c>
      <c r="O474">
        <f>[9]Unemployment!$B356</f>
        <v>5.2</v>
      </c>
      <c r="P474" s="2">
        <f>[2]Surveys_m!$B356</f>
        <v>116.7</v>
      </c>
      <c r="Q474">
        <f>[5]m!$B476</f>
        <v>123.7</v>
      </c>
      <c r="R474">
        <f>[5]m!$D476</f>
        <v>128.30000000000001</v>
      </c>
      <c r="S474">
        <f>[5]m!$Q476</f>
        <v>113.2</v>
      </c>
      <c r="T474">
        <f>[6]m!B476</f>
        <v>-25433</v>
      </c>
      <c r="U474" s="2">
        <f>[9]Unemployment!$F356</f>
        <v>12</v>
      </c>
      <c r="V474" s="2">
        <f>[9]Unemployment!$G356</f>
        <v>5.3000000000000007</v>
      </c>
      <c r="W474">
        <f>[9]Unemployment!$E356</f>
        <v>6375</v>
      </c>
      <c r="X474">
        <f>[9]Unemployment!N356</f>
        <v>3052</v>
      </c>
      <c r="Y474">
        <f>[9]Unemployment!O356</f>
        <v>1987</v>
      </c>
      <c r="Z474">
        <f>[9]Unemployment!P356-[9]Unemployment!Q356</f>
        <v>714</v>
      </c>
      <c r="AA474">
        <f>[9]Unemployment!$Q356</f>
        <v>634</v>
      </c>
      <c r="AB474" s="2">
        <f>[8]m!$B476</f>
        <v>8.93</v>
      </c>
      <c r="AC474" s="2">
        <f>[8]m!$F476</f>
        <v>8.86</v>
      </c>
      <c r="AD474">
        <f>[9]Employment!$B356</f>
        <v>107874</v>
      </c>
      <c r="AE474" s="2">
        <f>[2]Indicators!$AB356</f>
        <v>61.4816</v>
      </c>
      <c r="AF474" s="2">
        <f>[8]m!$AS476</f>
        <v>769.30000000000007</v>
      </c>
      <c r="AG474" s="2">
        <f>[8]m!$H476</f>
        <v>9.57</v>
      </c>
      <c r="AH474" s="2">
        <f>[8]m!$I476</f>
        <v>10.46</v>
      </c>
      <c r="AI474" s="2">
        <f>[7]m!C475</f>
        <v>40911</v>
      </c>
      <c r="AJ474" s="2">
        <f>[7]m!D475</f>
        <v>47039</v>
      </c>
      <c r="AK474" s="2">
        <f>[2]Surveys_m!$AB356</f>
        <v>49.300000000000004</v>
      </c>
      <c r="AL474" s="4">
        <f t="shared" si="7"/>
        <v>4844.081237911023</v>
      </c>
      <c r="AN474" s="2">
        <v>98</v>
      </c>
      <c r="AQ474" s="3">
        <f>[9]LaborForce!$B355*[9]LaborForce!$C355/100</f>
        <v>123438.00299999998</v>
      </c>
      <c r="AR474">
        <f>[9]Unemployment!$AC356</f>
        <v>311</v>
      </c>
      <c r="AS474">
        <f>[2]Indicators!BC356</f>
        <v>62.6</v>
      </c>
      <c r="AT474">
        <f>[2]Indicators!BD356</f>
        <v>63.070100000000004</v>
      </c>
      <c r="AU474">
        <f>[2]Indicators!BE356</f>
        <v>99.665400000000005</v>
      </c>
      <c r="AV474">
        <f>[5]m!$O476</f>
        <v>80.52</v>
      </c>
    </row>
    <row r="475" spans="1:48" x14ac:dyDescent="0.25">
      <c r="A475" s="1">
        <v>32660</v>
      </c>
      <c r="B475" s="2">
        <f>[2]Indicators!G357</f>
        <v>3582.6770000000001</v>
      </c>
      <c r="C475" s="2">
        <f>[2]Indicators!H357</f>
        <v>491.97500000000002</v>
      </c>
      <c r="D475" s="2">
        <f>[2]Indicators!I357</f>
        <v>932.48699999999997</v>
      </c>
      <c r="E475" s="2">
        <f>[2]Indicators!J357</f>
        <v>2158.2150000000001</v>
      </c>
      <c r="L475" s="2">
        <f>[2]Indicators!N357</f>
        <v>14.384</v>
      </c>
      <c r="M475" s="2">
        <f>[2]Indicators!AB357</f>
        <v>61.522400000000005</v>
      </c>
      <c r="N475" s="2">
        <f>[8]m!$C477</f>
        <v>9.5299999999999994</v>
      </c>
      <c r="O475">
        <f>[9]Unemployment!$B357</f>
        <v>5.3000000000000007</v>
      </c>
      <c r="P475" s="2">
        <f>[2]Surveys_m!$B357</f>
        <v>117.2</v>
      </c>
      <c r="Q475">
        <f>[5]m!$B477</f>
        <v>124.10000000000001</v>
      </c>
      <c r="R475">
        <f>[5]m!$D477</f>
        <v>128.80000000000001</v>
      </c>
      <c r="S475">
        <f>[5]m!$Q477</f>
        <v>112.9</v>
      </c>
      <c r="T475">
        <f>[6]m!B477</f>
        <v>7785</v>
      </c>
      <c r="U475" s="2">
        <f>[9]Unemployment!$F357</f>
        <v>11.100000000000001</v>
      </c>
      <c r="V475" s="2">
        <f>[9]Unemployment!$G357</f>
        <v>5.4</v>
      </c>
      <c r="W475">
        <f>[9]Unemployment!$E357</f>
        <v>6577</v>
      </c>
      <c r="X475">
        <f>[9]Unemployment!N357</f>
        <v>3303</v>
      </c>
      <c r="Y475">
        <f>[9]Unemployment!O357</f>
        <v>2020</v>
      </c>
      <c r="Z475">
        <f>[9]Unemployment!P357-[9]Unemployment!Q357</f>
        <v>687</v>
      </c>
      <c r="AA475">
        <f>[9]Unemployment!$Q357</f>
        <v>613</v>
      </c>
      <c r="AB475" s="2">
        <f>[8]m!$B477</f>
        <v>8.26</v>
      </c>
      <c r="AC475" s="2">
        <f>[8]m!$F477</f>
        <v>8.2799999999999994</v>
      </c>
      <c r="AD475">
        <f>[9]Employment!$B357</f>
        <v>107991</v>
      </c>
      <c r="AE475" s="2">
        <f>[2]Indicators!$AB357</f>
        <v>61.522400000000005</v>
      </c>
      <c r="AF475" s="2">
        <f>[8]m!$AS477</f>
        <v>773.2</v>
      </c>
      <c r="AG475" s="2">
        <f>[8]m!$H477</f>
        <v>9.1</v>
      </c>
      <c r="AH475" s="2">
        <f>[8]m!$I477</f>
        <v>10.029999999999999</v>
      </c>
      <c r="AI475" s="2">
        <f>[7]m!C476</f>
        <v>41031</v>
      </c>
      <c r="AJ475" s="2">
        <f>[7]m!D476</f>
        <v>49284</v>
      </c>
      <c r="AK475" s="2">
        <f>[2]Surveys_m!$AB357</f>
        <v>47.300000000000004</v>
      </c>
      <c r="AL475" s="4">
        <f t="shared" si="7"/>
        <v>4745.2224371373286</v>
      </c>
      <c r="AN475" s="2">
        <v>96</v>
      </c>
      <c r="AQ475" s="3">
        <f>[9]LaborForce!$B356*[9]LaborForce!$C356/100</f>
        <v>123908.785</v>
      </c>
      <c r="AR475">
        <f>[9]Unemployment!$AC357</f>
        <v>325</v>
      </c>
      <c r="AS475">
        <f>[2]Indicators!BC357</f>
        <v>62.5</v>
      </c>
      <c r="AT475">
        <f>[2]Indicators!BD357</f>
        <v>63.001000000000005</v>
      </c>
      <c r="AU475">
        <f>[2]Indicators!BE357</f>
        <v>99.403800000000004</v>
      </c>
      <c r="AV475">
        <f>[5]m!$O477</f>
        <v>81.239999999999995</v>
      </c>
    </row>
    <row r="476" spans="1:48" x14ac:dyDescent="0.25">
      <c r="A476" s="1">
        <v>32690</v>
      </c>
      <c r="B476" s="2">
        <f>[2]Indicators!G358</f>
        <v>3602.2950000000001</v>
      </c>
      <c r="C476" s="2">
        <f>[2]Indicators!H358</f>
        <v>497.39600000000002</v>
      </c>
      <c r="D476" s="2">
        <f>[2]Indicators!I358</f>
        <v>932.59100000000001</v>
      </c>
      <c r="E476" s="2">
        <f>[2]Indicators!J358</f>
        <v>2172.308</v>
      </c>
      <c r="L476" s="2">
        <f>[2]Indicators!N358</f>
        <v>14.695</v>
      </c>
      <c r="M476" s="2">
        <f>[2]Indicators!AB358</f>
        <v>60.927800000000005</v>
      </c>
      <c r="N476" s="2">
        <f>[8]m!$C478</f>
        <v>9.24</v>
      </c>
      <c r="O476">
        <f>[9]Unemployment!$B358</f>
        <v>5.2</v>
      </c>
      <c r="P476" s="2">
        <f>[2]Surveys_m!$B358</f>
        <v>120.4</v>
      </c>
      <c r="Q476">
        <f>[5]m!$B478</f>
        <v>124.5</v>
      </c>
      <c r="R476">
        <f>[5]m!$D478</f>
        <v>129.19999999999999</v>
      </c>
      <c r="S476">
        <f>[5]m!$Q478</f>
        <v>112.80000000000001</v>
      </c>
      <c r="T476">
        <f>[6]m!B478</f>
        <v>-18237</v>
      </c>
      <c r="U476" s="2">
        <f>[9]Unemployment!$F358</f>
        <v>11.8</v>
      </c>
      <c r="V476" s="2">
        <f>[9]Unemployment!$G358</f>
        <v>5.6000000000000005</v>
      </c>
      <c r="W476">
        <f>[9]Unemployment!$E358</f>
        <v>6495</v>
      </c>
      <c r="X476">
        <f>[9]Unemployment!N358</f>
        <v>3173</v>
      </c>
      <c r="Y476">
        <f>[9]Unemployment!O358</f>
        <v>1961</v>
      </c>
      <c r="Z476">
        <f>[9]Unemployment!P358-[9]Unemployment!Q358</f>
        <v>814</v>
      </c>
      <c r="AA476">
        <f>[9]Unemployment!$Q358</f>
        <v>621</v>
      </c>
      <c r="AB476" s="2">
        <f>[8]m!$B478</f>
        <v>8.0500000000000007</v>
      </c>
      <c r="AC476" s="2">
        <f>[8]m!$F478</f>
        <v>8.02</v>
      </c>
      <c r="AD476">
        <f>[9]Employment!$B358</f>
        <v>108030</v>
      </c>
      <c r="AE476" s="2">
        <f>[2]Indicators!$AB358</f>
        <v>60.927800000000005</v>
      </c>
      <c r="AF476" s="2">
        <f>[8]m!$AS478</f>
        <v>776.30000000000007</v>
      </c>
      <c r="AG476" s="2">
        <f>[8]m!$H478</f>
        <v>8.93</v>
      </c>
      <c r="AH476" s="2">
        <f>[8]m!$I478</f>
        <v>9.870000000000001</v>
      </c>
      <c r="AI476" s="2">
        <f>[7]m!C477</f>
        <v>41637</v>
      </c>
      <c r="AJ476" s="2">
        <f>[7]m!D477</f>
        <v>48155</v>
      </c>
      <c r="AK476" s="2">
        <f>[2]Surveys_m!$AB358</f>
        <v>45.900000000000006</v>
      </c>
      <c r="AL476" s="4">
        <f t="shared" si="7"/>
        <v>4745.2224371373286</v>
      </c>
      <c r="AN476" s="2">
        <v>96</v>
      </c>
      <c r="AQ476" s="3">
        <f>[9]LaborForce!$B357*[9]LaborForce!$C357/100</f>
        <v>124011.19500000001</v>
      </c>
      <c r="AR476">
        <f>[9]Unemployment!$AC358</f>
        <v>349</v>
      </c>
      <c r="AS476">
        <f>[2]Indicators!BC358</f>
        <v>62.4</v>
      </c>
      <c r="AT476">
        <f>[2]Indicators!BD358</f>
        <v>63.001600000000003</v>
      </c>
      <c r="AU476">
        <f>[2]Indicators!BE358</f>
        <v>99.255499999999998</v>
      </c>
      <c r="AV476">
        <f>[5]m!$O478</f>
        <v>81.66</v>
      </c>
    </row>
    <row r="477" spans="1:48" x14ac:dyDescent="0.25">
      <c r="A477" s="1">
        <v>32721</v>
      </c>
      <c r="B477" s="2">
        <f>[2]Indicators!G359</f>
        <v>3637.8830000000003</v>
      </c>
      <c r="C477" s="2">
        <f>[2]Indicators!H359</f>
        <v>518.68299999999999</v>
      </c>
      <c r="D477" s="2">
        <f>[2]Indicators!I359</f>
        <v>935.04500000000007</v>
      </c>
      <c r="E477" s="2">
        <f>[2]Indicators!J359</f>
        <v>2184.1550000000002</v>
      </c>
      <c r="L477" s="2">
        <f>[2]Indicators!N359</f>
        <v>16.547000000000001</v>
      </c>
      <c r="M477" s="2">
        <f>[2]Indicators!AB359</f>
        <v>61.458000000000006</v>
      </c>
      <c r="N477" s="2">
        <f>[8]m!$C479</f>
        <v>8.99</v>
      </c>
      <c r="O477">
        <f>[9]Unemployment!$B359</f>
        <v>5.2</v>
      </c>
      <c r="P477" s="2">
        <f>[2]Surveys_m!$B359</f>
        <v>115.4</v>
      </c>
      <c r="Q477">
        <f>[5]m!$B479</f>
        <v>124.5</v>
      </c>
      <c r="R477">
        <f>[5]m!$D479</f>
        <v>129.5</v>
      </c>
      <c r="S477">
        <f>[5]m!$Q479</f>
        <v>112</v>
      </c>
      <c r="T477">
        <f>[6]m!B479</f>
        <v>-22150</v>
      </c>
      <c r="U477" s="2">
        <f>[9]Unemployment!$F359</f>
        <v>11.4</v>
      </c>
      <c r="V477" s="2">
        <f>[9]Unemployment!$G359</f>
        <v>5</v>
      </c>
      <c r="W477">
        <f>[9]Unemployment!$E359</f>
        <v>6511</v>
      </c>
      <c r="X477">
        <f>[9]Unemployment!N359</f>
        <v>3090</v>
      </c>
      <c r="Y477">
        <f>[9]Unemployment!O359</f>
        <v>2038</v>
      </c>
      <c r="Z477">
        <f>[9]Unemployment!P359-[9]Unemployment!Q359</f>
        <v>742</v>
      </c>
      <c r="AA477">
        <f>[9]Unemployment!$Q359</f>
        <v>560</v>
      </c>
      <c r="AB477" s="2">
        <f>[8]m!$B479</f>
        <v>8.17</v>
      </c>
      <c r="AC477" s="2">
        <f>[8]m!$F479</f>
        <v>8.11</v>
      </c>
      <c r="AD477">
        <f>[9]Employment!$B359</f>
        <v>108077</v>
      </c>
      <c r="AE477" s="2">
        <f>[2]Indicators!$AB359</f>
        <v>61.458000000000006</v>
      </c>
      <c r="AF477" s="2">
        <f>[8]m!$AS479</f>
        <v>778.90000000000009</v>
      </c>
      <c r="AG477" s="2">
        <f>[8]m!$H479</f>
        <v>8.9600000000000009</v>
      </c>
      <c r="AH477" s="2">
        <f>[8]m!$I479</f>
        <v>9.8800000000000008</v>
      </c>
      <c r="AI477" s="2">
        <f>[7]m!C478</f>
        <v>40690</v>
      </c>
      <c r="AJ477" s="2">
        <f>[7]m!D478</f>
        <v>47490</v>
      </c>
      <c r="AK477" s="2">
        <f>[2]Surveys_m!$AB359</f>
        <v>45.1</v>
      </c>
      <c r="AL477" s="4">
        <f t="shared" si="7"/>
        <v>4695.7930367504814</v>
      </c>
      <c r="AN477" s="2">
        <v>95</v>
      </c>
      <c r="AQ477" s="3">
        <f>[9]LaborForce!$B358*[9]LaborForce!$C358/100</f>
        <v>124087.67</v>
      </c>
      <c r="AR477">
        <f>[9]Unemployment!$AC359</f>
        <v>337</v>
      </c>
      <c r="AS477">
        <f>[2]Indicators!BC359</f>
        <v>62.5</v>
      </c>
      <c r="AT477">
        <f>[2]Indicators!BD359</f>
        <v>63.066000000000003</v>
      </c>
      <c r="AU477">
        <f>[2]Indicators!BE359</f>
        <v>99.210800000000006</v>
      </c>
      <c r="AV477">
        <f>[5]m!$O479</f>
        <v>82.08</v>
      </c>
    </row>
    <row r="478" spans="1:48" x14ac:dyDescent="0.25">
      <c r="A478" s="1">
        <v>32752</v>
      </c>
      <c r="B478" s="2">
        <f>[2]Indicators!G360</f>
        <v>3640.0610000000001</v>
      </c>
      <c r="C478" s="2">
        <f>[2]Indicators!H360</f>
        <v>500.834</v>
      </c>
      <c r="D478" s="2">
        <f>[2]Indicators!I360</f>
        <v>941.22699999999998</v>
      </c>
      <c r="E478" s="2">
        <f>[2]Indicators!J360</f>
        <v>2197.9990000000003</v>
      </c>
      <c r="L478" s="2">
        <f>[2]Indicators!N360</f>
        <v>15.66</v>
      </c>
      <c r="M478" s="2">
        <f>[2]Indicators!AB360</f>
        <v>61.291200000000003</v>
      </c>
      <c r="N478" s="2">
        <f>[8]m!$C480</f>
        <v>9.02</v>
      </c>
      <c r="O478">
        <f>[9]Unemployment!$B360</f>
        <v>5.3000000000000007</v>
      </c>
      <c r="P478" s="2">
        <f>[2]Surveys_m!$B360</f>
        <v>116.30000000000001</v>
      </c>
      <c r="Q478">
        <f>[5]m!$B480</f>
        <v>124.8</v>
      </c>
      <c r="R478">
        <f>[5]m!$D480</f>
        <v>129.9</v>
      </c>
      <c r="S478">
        <f>[5]m!$Q480</f>
        <v>112.4</v>
      </c>
      <c r="T478">
        <f>[6]m!B480</f>
        <v>-6146</v>
      </c>
      <c r="U478" s="2">
        <f>[9]Unemployment!$F360</f>
        <v>11.5</v>
      </c>
      <c r="V478" s="2">
        <f>[9]Unemployment!$G360</f>
        <v>4.9000000000000004</v>
      </c>
      <c r="W478">
        <f>[9]Unemployment!$E360</f>
        <v>6590</v>
      </c>
      <c r="X478">
        <f>[9]Unemployment!N360</f>
        <v>3214</v>
      </c>
      <c r="Y478">
        <f>[9]Unemployment!O360</f>
        <v>1981</v>
      </c>
      <c r="Z478">
        <f>[9]Unemployment!P360-[9]Unemployment!Q360</f>
        <v>761</v>
      </c>
      <c r="AA478">
        <f>[9]Unemployment!$Q360</f>
        <v>599</v>
      </c>
      <c r="AB478" s="2">
        <f>[8]m!$B480</f>
        <v>8.14</v>
      </c>
      <c r="AC478" s="2">
        <f>[8]m!$F480</f>
        <v>8.19</v>
      </c>
      <c r="AD478">
        <f>[9]Employment!$B360</f>
        <v>108326</v>
      </c>
      <c r="AE478" s="2">
        <f>[2]Indicators!$AB360</f>
        <v>61.291200000000003</v>
      </c>
      <c r="AF478" s="2">
        <f>[8]m!$AS480</f>
        <v>781.80000000000007</v>
      </c>
      <c r="AG478" s="2">
        <f>[8]m!$H480</f>
        <v>9.01</v>
      </c>
      <c r="AH478" s="2">
        <f>[8]m!$I480</f>
        <v>9.91</v>
      </c>
      <c r="AI478" s="2">
        <f>[7]m!C479</f>
        <v>40924</v>
      </c>
      <c r="AJ478" s="2">
        <f>[7]m!D479</f>
        <v>48656</v>
      </c>
      <c r="AK478" s="2">
        <f>[2]Surveys_m!$AB360</f>
        <v>46</v>
      </c>
      <c r="AL478" s="4">
        <f t="shared" si="7"/>
        <v>4695.7930367504814</v>
      </c>
      <c r="AN478" s="2">
        <v>95</v>
      </c>
      <c r="AQ478" s="3">
        <f>[9]LaborForce!$B359*[9]LaborForce!$C359/100</f>
        <v>123986.064</v>
      </c>
      <c r="AR478">
        <f>[9]Unemployment!$AC360</f>
        <v>329</v>
      </c>
      <c r="AS478">
        <f>[2]Indicators!BC360</f>
        <v>62.5</v>
      </c>
      <c r="AT478">
        <f>[2]Indicators!BD360</f>
        <v>63.1845</v>
      </c>
      <c r="AU478">
        <f>[2]Indicators!BE360</f>
        <v>99.253600000000006</v>
      </c>
      <c r="AV478">
        <f>[5]m!$O480</f>
        <v>82.25</v>
      </c>
    </row>
    <row r="479" spans="1:48" x14ac:dyDescent="0.25">
      <c r="A479" s="1">
        <v>32782</v>
      </c>
      <c r="B479" s="2">
        <f>[2]Indicators!G361</f>
        <v>3653.002</v>
      </c>
      <c r="C479" s="2">
        <f>[2]Indicators!H361</f>
        <v>493.92900000000003</v>
      </c>
      <c r="D479" s="2">
        <f>[2]Indicators!I361</f>
        <v>942.96199999999999</v>
      </c>
      <c r="E479" s="2">
        <f>[2]Indicators!J361</f>
        <v>2216.1109999999999</v>
      </c>
      <c r="L479" s="2">
        <f>[2]Indicators!N361</f>
        <v>13.581</v>
      </c>
      <c r="M479" s="2">
        <f>[2]Indicators!AB361</f>
        <v>61.226500000000001</v>
      </c>
      <c r="N479" s="2">
        <f>[8]m!$C481</f>
        <v>8.84</v>
      </c>
      <c r="O479">
        <f>[9]Unemployment!$B361</f>
        <v>5.3000000000000007</v>
      </c>
      <c r="P479" s="2">
        <f>[2]Surveys_m!$B361</f>
        <v>117</v>
      </c>
      <c r="Q479">
        <f>[5]m!$B481</f>
        <v>125.4</v>
      </c>
      <c r="R479">
        <f>[5]m!$D481</f>
        <v>130.6</v>
      </c>
      <c r="S479">
        <f>[5]m!$Q481</f>
        <v>112.80000000000001</v>
      </c>
      <c r="T479">
        <f>[6]m!B481</f>
        <v>-26084</v>
      </c>
      <c r="U479" s="2">
        <f>[9]Unemployment!$F361</f>
        <v>11.9</v>
      </c>
      <c r="V479" s="2">
        <f>[9]Unemployment!$G361</f>
        <v>4.9000000000000004</v>
      </c>
      <c r="W479">
        <f>[9]Unemployment!$E361</f>
        <v>6630</v>
      </c>
      <c r="X479">
        <f>[9]Unemployment!N361</f>
        <v>3218</v>
      </c>
      <c r="Y479">
        <f>[9]Unemployment!O361</f>
        <v>1992</v>
      </c>
      <c r="Z479">
        <f>[9]Unemployment!P361-[9]Unemployment!Q361</f>
        <v>746</v>
      </c>
      <c r="AA479">
        <f>[9]Unemployment!$Q361</f>
        <v>646</v>
      </c>
      <c r="AB479" s="2">
        <f>[8]m!$B481</f>
        <v>8.0400000000000009</v>
      </c>
      <c r="AC479" s="2">
        <f>[8]m!$F481</f>
        <v>8.01</v>
      </c>
      <c r="AD479">
        <f>[9]Employment!$B361</f>
        <v>108437</v>
      </c>
      <c r="AE479" s="2">
        <f>[2]Indicators!$AB361</f>
        <v>61.226500000000001</v>
      </c>
      <c r="AF479" s="2">
        <f>[8]m!$AS481</f>
        <v>785.5</v>
      </c>
      <c r="AG479" s="2">
        <f>[8]m!$H481</f>
        <v>8.92</v>
      </c>
      <c r="AH479" s="2">
        <f>[8]m!$I481</f>
        <v>9.81</v>
      </c>
      <c r="AI479" s="2">
        <f>[7]m!C480</f>
        <v>41172</v>
      </c>
      <c r="AJ479" s="2">
        <f>[7]m!D480</f>
        <v>47772</v>
      </c>
      <c r="AK479" s="2">
        <f>[2]Surveys_m!$AB361</f>
        <v>46.800000000000004</v>
      </c>
      <c r="AL479" s="4">
        <f t="shared" si="7"/>
        <v>4794.6518375241758</v>
      </c>
      <c r="AN479" s="2">
        <v>97</v>
      </c>
      <c r="AQ479" s="3">
        <f>[9]LaborForce!$B360*[9]LaborForce!$C360/100</f>
        <v>124269.215</v>
      </c>
      <c r="AR479">
        <f>[9]Unemployment!$AC361</f>
        <v>347</v>
      </c>
      <c r="AS479">
        <f>[2]Indicators!BC361</f>
        <v>62.300000000000004</v>
      </c>
      <c r="AT479">
        <f>[2]Indicators!BD361</f>
        <v>63.331400000000002</v>
      </c>
      <c r="AU479">
        <f>[2]Indicators!BE361</f>
        <v>99.343299999999999</v>
      </c>
      <c r="AV479">
        <f>[5]m!$O481</f>
        <v>82.44</v>
      </c>
    </row>
    <row r="480" spans="1:48" x14ac:dyDescent="0.25">
      <c r="A480" s="1">
        <v>32813</v>
      </c>
      <c r="B480" s="2">
        <f>[2]Indicators!G362</f>
        <v>3663.2939999999999</v>
      </c>
      <c r="C480" s="2">
        <f>[2]Indicators!H362</f>
        <v>490.096</v>
      </c>
      <c r="D480" s="2">
        <f>[2]Indicators!I362</f>
        <v>948.60800000000006</v>
      </c>
      <c r="E480" s="2">
        <f>[2]Indicators!J362</f>
        <v>2224.5889999999999</v>
      </c>
      <c r="L480" s="2">
        <f>[2]Indicators!N362</f>
        <v>13.370000000000001</v>
      </c>
      <c r="M480" s="2">
        <f>[2]Indicators!AB362</f>
        <v>61.403400000000005</v>
      </c>
      <c r="N480" s="2">
        <f>[8]m!$C482</f>
        <v>8.5500000000000007</v>
      </c>
      <c r="O480">
        <f>[9]Unemployment!$B362</f>
        <v>5.4</v>
      </c>
      <c r="P480" s="2">
        <f>[2]Surveys_m!$B362</f>
        <v>115.10000000000001</v>
      </c>
      <c r="Q480">
        <f>[5]m!$B482</f>
        <v>125.9</v>
      </c>
      <c r="R480">
        <f>[5]m!$D482</f>
        <v>131.1</v>
      </c>
      <c r="S480">
        <f>[5]m!$Q482</f>
        <v>112.7</v>
      </c>
      <c r="T480">
        <f>[6]m!B482</f>
        <v>-29732</v>
      </c>
      <c r="U480" s="2">
        <f>[9]Unemployment!$F362</f>
        <v>11.700000000000001</v>
      </c>
      <c r="V480" s="2">
        <f>[9]Unemployment!$G362</f>
        <v>4.8000000000000007</v>
      </c>
      <c r="W480">
        <f>[9]Unemployment!$E362</f>
        <v>6725</v>
      </c>
      <c r="X480">
        <f>[9]Unemployment!N362</f>
        <v>3247</v>
      </c>
      <c r="Y480">
        <f>[9]Unemployment!O362</f>
        <v>2035</v>
      </c>
      <c r="Z480">
        <f>[9]Unemployment!P362-[9]Unemployment!Q362</f>
        <v>763</v>
      </c>
      <c r="AA480">
        <f>[9]Unemployment!$Q362</f>
        <v>655</v>
      </c>
      <c r="AB480" s="2">
        <f>[8]m!$B482</f>
        <v>7.8500000000000005</v>
      </c>
      <c r="AC480" s="2">
        <f>[8]m!$F482</f>
        <v>7.87</v>
      </c>
      <c r="AD480">
        <f>[9]Employment!$B362</f>
        <v>108714</v>
      </c>
      <c r="AE480" s="2">
        <f>[2]Indicators!$AB362</f>
        <v>61.403400000000005</v>
      </c>
      <c r="AF480" s="2">
        <f>[8]m!$AS482</f>
        <v>790.30000000000007</v>
      </c>
      <c r="AG480" s="2">
        <f>[8]m!$H482</f>
        <v>8.89</v>
      </c>
      <c r="AH480" s="2">
        <f>[8]m!$I482</f>
        <v>9.81</v>
      </c>
      <c r="AI480" s="2">
        <f>[7]m!C481</f>
        <v>42162</v>
      </c>
      <c r="AJ480" s="2">
        <f>[7]m!D481</f>
        <v>49693</v>
      </c>
      <c r="AK480" s="2">
        <f>[2]Surveys_m!$AB362</f>
        <v>46.800000000000004</v>
      </c>
      <c r="AL480" s="4">
        <f t="shared" si="7"/>
        <v>4646.3636363636342</v>
      </c>
      <c r="AN480" s="2">
        <v>94</v>
      </c>
      <c r="AQ480" s="3">
        <f>[9]LaborForce!$B361*[9]LaborForce!$C361/100</f>
        <v>124553.32200000001</v>
      </c>
      <c r="AR480">
        <f>[9]Unemployment!$AC362</f>
        <v>354</v>
      </c>
      <c r="AS480">
        <f>[2]Indicators!BC362</f>
        <v>62.4</v>
      </c>
      <c r="AT480">
        <f>[2]Indicators!BD362</f>
        <v>63.494200000000006</v>
      </c>
      <c r="AU480">
        <f>[2]Indicators!BE362</f>
        <v>99.459699999999998</v>
      </c>
      <c r="AV480">
        <f>[5]m!$O482</f>
        <v>82.43</v>
      </c>
    </row>
    <row r="481" spans="1:48" x14ac:dyDescent="0.25">
      <c r="A481" s="1">
        <v>32843</v>
      </c>
      <c r="B481" s="2">
        <f>[2]Indicators!G363</f>
        <v>3704.223</v>
      </c>
      <c r="C481" s="2">
        <f>[2]Indicators!H363</f>
        <v>491.63100000000003</v>
      </c>
      <c r="D481" s="2">
        <f>[2]Indicators!I363</f>
        <v>962.44299999999998</v>
      </c>
      <c r="E481" s="2">
        <f>[2]Indicators!J363</f>
        <v>2250.1489999999999</v>
      </c>
      <c r="L481" s="2">
        <f>[2]Indicators!N363</f>
        <v>13.55</v>
      </c>
      <c r="M481" s="2">
        <f>[2]Indicators!AB363</f>
        <v>61.7667</v>
      </c>
      <c r="N481" s="2">
        <f>[8]m!$C483</f>
        <v>8.4499999999999993</v>
      </c>
      <c r="O481">
        <f>[9]Unemployment!$B363</f>
        <v>5.4</v>
      </c>
      <c r="P481" s="2">
        <f>[2]Surveys_m!$B363</f>
        <v>113</v>
      </c>
      <c r="Q481">
        <f>[5]m!$B483</f>
        <v>126.3</v>
      </c>
      <c r="R481">
        <f>[5]m!$D483</f>
        <v>131.6</v>
      </c>
      <c r="S481">
        <f>[5]m!$Q483</f>
        <v>113</v>
      </c>
      <c r="T481">
        <f>[6]m!B483</f>
        <v>-14772</v>
      </c>
      <c r="U481" s="2">
        <f>[9]Unemployment!$F363</f>
        <v>11.600000000000001</v>
      </c>
      <c r="V481" s="2">
        <f>[9]Unemployment!$G363</f>
        <v>4.9000000000000004</v>
      </c>
      <c r="W481">
        <f>[9]Unemployment!$E363</f>
        <v>6667</v>
      </c>
      <c r="X481">
        <f>[9]Unemployment!N363</f>
        <v>3275</v>
      </c>
      <c r="Y481">
        <f>[9]Unemployment!O363</f>
        <v>1987</v>
      </c>
      <c r="Z481">
        <f>[9]Unemployment!P363-[9]Unemployment!Q363</f>
        <v>740</v>
      </c>
      <c r="AA481">
        <f>[9]Unemployment!$Q363</f>
        <v>635</v>
      </c>
      <c r="AB481" s="2">
        <f>[8]m!$B483</f>
        <v>7.8500000000000005</v>
      </c>
      <c r="AC481" s="2">
        <f>[8]m!$F483</f>
        <v>7.84</v>
      </c>
      <c r="AD481">
        <f>[9]Employment!$B363</f>
        <v>108809</v>
      </c>
      <c r="AE481" s="2">
        <f>[2]Indicators!$AB363</f>
        <v>61.7667</v>
      </c>
      <c r="AF481" s="2">
        <f>[8]m!$AS483</f>
        <v>794.6</v>
      </c>
      <c r="AG481" s="2">
        <f>[8]m!$H483</f>
        <v>8.86</v>
      </c>
      <c r="AH481" s="2">
        <f>[8]m!$I483</f>
        <v>9.82</v>
      </c>
      <c r="AI481" s="2">
        <f>[7]m!C482</f>
        <v>41530</v>
      </c>
      <c r="AJ481" s="2">
        <f>[7]m!D482</f>
        <v>49161</v>
      </c>
      <c r="AK481" s="2">
        <f>[2]Surveys_m!$AB363</f>
        <v>47.400000000000006</v>
      </c>
      <c r="AL481" s="4">
        <f t="shared" si="7"/>
        <v>4745.2224371373286</v>
      </c>
      <c r="AN481" s="2">
        <v>96</v>
      </c>
      <c r="AQ481" s="3">
        <f>[9]LaborForce!$B362*[9]LaborForce!$C362/100</f>
        <v>124464.72500000001</v>
      </c>
      <c r="AR481">
        <f>[9]Unemployment!$AC363</f>
        <v>344</v>
      </c>
      <c r="AS481">
        <f>[2]Indicators!BC363</f>
        <v>62.7</v>
      </c>
      <c r="AT481">
        <f>[2]Indicators!BD363</f>
        <v>63.667300000000004</v>
      </c>
      <c r="AU481">
        <f>[2]Indicators!BE363</f>
        <v>99.593600000000009</v>
      </c>
      <c r="AV481">
        <f>[5]m!$O483</f>
        <v>82.350000000000009</v>
      </c>
    </row>
    <row r="482" spans="1:48" x14ac:dyDescent="0.25">
      <c r="A482" s="1">
        <v>32874</v>
      </c>
      <c r="B482" s="2">
        <f>[2]Indicators!G364</f>
        <v>3750.3789999999999</v>
      </c>
      <c r="C482" s="2">
        <f>[2]Indicators!H364</f>
        <v>536.41200000000003</v>
      </c>
      <c r="D482" s="2">
        <f>[2]Indicators!I364</f>
        <v>965.30600000000004</v>
      </c>
      <c r="E482" s="2">
        <f>[2]Indicators!J364</f>
        <v>2248.6620000000003</v>
      </c>
      <c r="L482" s="2">
        <f>[2]Indicators!N364</f>
        <v>16.308</v>
      </c>
      <c r="M482" s="2">
        <f>[2]Indicators!AB364</f>
        <v>61.420100000000005</v>
      </c>
      <c r="N482" s="2">
        <f>[8]m!$C484</f>
        <v>8.23</v>
      </c>
      <c r="O482">
        <f>[9]Unemployment!$B364</f>
        <v>5.4</v>
      </c>
      <c r="P482" s="2">
        <f>[2]Surveys_m!$B364</f>
        <v>106.5</v>
      </c>
      <c r="Q482">
        <f>[5]m!$B484</f>
        <v>127.5</v>
      </c>
      <c r="R482">
        <f>[5]m!$D484</f>
        <v>132.1</v>
      </c>
      <c r="S482">
        <f>[5]m!$Q484</f>
        <v>114.9</v>
      </c>
      <c r="T482">
        <f>[6]m!B484</f>
        <v>8282</v>
      </c>
      <c r="U482" s="2">
        <f>[9]Unemployment!$F364</f>
        <v>11.8</v>
      </c>
      <c r="V482" s="2">
        <f>[9]Unemployment!$G364</f>
        <v>5.1000000000000005</v>
      </c>
      <c r="W482">
        <f>[9]Unemployment!$E364</f>
        <v>6752</v>
      </c>
      <c r="X482">
        <f>[9]Unemployment!N364</f>
        <v>3189</v>
      </c>
      <c r="Y482">
        <f>[9]Unemployment!O364</f>
        <v>2091</v>
      </c>
      <c r="Z482">
        <f>[9]Unemployment!P364-[9]Unemployment!Q364</f>
        <v>766</v>
      </c>
      <c r="AA482">
        <f>[9]Unemployment!$Q364</f>
        <v>646</v>
      </c>
      <c r="AB482" s="2">
        <f>[8]m!$B484</f>
        <v>8</v>
      </c>
      <c r="AC482" s="2">
        <f>[8]m!$F484</f>
        <v>8.2100000000000009</v>
      </c>
      <c r="AD482">
        <f>[9]Employment!$B364</f>
        <v>109151</v>
      </c>
      <c r="AE482" s="2">
        <f>[2]Indicators!$AB364</f>
        <v>61.420100000000005</v>
      </c>
      <c r="AF482" s="2">
        <f>[8]m!$AS484</f>
        <v>797.7</v>
      </c>
      <c r="AG482" s="2">
        <f>[8]m!$H484</f>
        <v>8.99</v>
      </c>
      <c r="AH482" s="2">
        <f>[8]m!$I484</f>
        <v>9.94</v>
      </c>
      <c r="AI482" s="2">
        <f>[7]m!C483</f>
        <v>42525</v>
      </c>
      <c r="AJ482" s="2">
        <f>[7]m!D483</f>
        <v>47096</v>
      </c>
      <c r="AK482" s="2">
        <f>[2]Surveys_m!$AB364</f>
        <v>47.2</v>
      </c>
      <c r="AL482" s="4">
        <f t="shared" si="7"/>
        <v>4794.6518375241758</v>
      </c>
      <c r="AN482" s="2">
        <v>97</v>
      </c>
      <c r="AQ482" s="3">
        <f>[9]LaborForce!$B363*[9]LaborForce!$C363/100</f>
        <v>125859.88400000001</v>
      </c>
      <c r="AR482">
        <f>[9]Unemployment!$AC364</f>
        <v>358</v>
      </c>
      <c r="AS482">
        <f>[2]Indicators!BC364</f>
        <v>62.7</v>
      </c>
      <c r="AT482">
        <f>[2]Indicators!BD364</f>
        <v>63.841700000000003</v>
      </c>
      <c r="AU482">
        <f>[2]Indicators!BE364</f>
        <v>99.73060000000001</v>
      </c>
      <c r="AV482">
        <f>[5]m!$O484</f>
        <v>82.29</v>
      </c>
    </row>
    <row r="483" spans="1:48" x14ac:dyDescent="0.25">
      <c r="A483" s="1">
        <v>32905</v>
      </c>
      <c r="B483" s="2">
        <f>[2]Indicators!G365</f>
        <v>3748.5430000000001</v>
      </c>
      <c r="C483" s="2">
        <f>[2]Indicators!H365</f>
        <v>505.92200000000003</v>
      </c>
      <c r="D483" s="2">
        <f>[2]Indicators!I365</f>
        <v>975.73900000000003</v>
      </c>
      <c r="E483" s="2">
        <f>[2]Indicators!J365</f>
        <v>2266.8820000000001</v>
      </c>
      <c r="L483" s="2">
        <f>[2]Indicators!N365</f>
        <v>14.363</v>
      </c>
      <c r="M483" s="2">
        <f>[2]Indicators!AB365</f>
        <v>61.9786</v>
      </c>
      <c r="N483" s="2">
        <f>[8]m!$C485</f>
        <v>8.24</v>
      </c>
      <c r="O483">
        <f>[9]Unemployment!$B365</f>
        <v>5.3000000000000007</v>
      </c>
      <c r="P483" s="2">
        <f>[2]Surveys_m!$B365</f>
        <v>106.7</v>
      </c>
      <c r="Q483">
        <f>[5]m!$B485</f>
        <v>128</v>
      </c>
      <c r="R483">
        <f>[5]m!$D485</f>
        <v>132.69999999999999</v>
      </c>
      <c r="S483">
        <f>[5]m!$Q485</f>
        <v>114.4</v>
      </c>
      <c r="T483">
        <f>[6]m!B485</f>
        <v>-35207</v>
      </c>
      <c r="U483" s="2">
        <f>[9]Unemployment!$F365</f>
        <v>11.600000000000001</v>
      </c>
      <c r="V483" s="2">
        <f>[9]Unemployment!$G365</f>
        <v>5.3000000000000007</v>
      </c>
      <c r="W483">
        <f>[9]Unemployment!$E365</f>
        <v>6651</v>
      </c>
      <c r="X483">
        <f>[9]Unemployment!N365</f>
        <v>3223</v>
      </c>
      <c r="Y483">
        <f>[9]Unemployment!O365</f>
        <v>2066</v>
      </c>
      <c r="Z483">
        <f>[9]Unemployment!P365-[9]Unemployment!Q365</f>
        <v>726</v>
      </c>
      <c r="AA483">
        <f>[9]Unemployment!$Q365</f>
        <v>624</v>
      </c>
      <c r="AB483" s="2">
        <f>[8]m!$B485</f>
        <v>8.0500000000000007</v>
      </c>
      <c r="AC483" s="2">
        <f>[8]m!$F485</f>
        <v>8.4700000000000006</v>
      </c>
      <c r="AD483">
        <f>[9]Employment!$B365</f>
        <v>109396</v>
      </c>
      <c r="AE483" s="2">
        <f>[2]Indicators!$AB365</f>
        <v>61.9786</v>
      </c>
      <c r="AF483" s="2">
        <f>[8]m!$AS485</f>
        <v>798.80000000000007</v>
      </c>
      <c r="AG483" s="2">
        <f>[8]m!$H485</f>
        <v>9.2200000000000006</v>
      </c>
      <c r="AH483" s="2">
        <f>[8]m!$I485</f>
        <v>10.14</v>
      </c>
      <c r="AI483" s="2">
        <f>[7]m!C484</f>
        <v>43315</v>
      </c>
      <c r="AJ483" s="2">
        <f>[7]m!D484</f>
        <v>50769</v>
      </c>
      <c r="AK483" s="2">
        <f>[2]Surveys_m!$AB365</f>
        <v>49.1</v>
      </c>
      <c r="AL483" s="4">
        <f t="shared" si="7"/>
        <v>4547.5048355899398</v>
      </c>
      <c r="AN483" s="2">
        <v>92</v>
      </c>
      <c r="AQ483" s="3">
        <f>[9]LaborForce!$B364*[9]LaborForce!$C364/100</f>
        <v>125740.17200000001</v>
      </c>
      <c r="AR483">
        <f>[9]Unemployment!$AC365</f>
        <v>345</v>
      </c>
      <c r="AS483">
        <f>[2]Indicators!BC365</f>
        <v>62.1</v>
      </c>
      <c r="AT483">
        <f>[2]Indicators!BD365</f>
        <v>63.985700000000001</v>
      </c>
      <c r="AU483">
        <f>[2]Indicators!BE365</f>
        <v>99.821100000000001</v>
      </c>
      <c r="AV483">
        <f>[5]m!$O485</f>
        <v>82.15</v>
      </c>
    </row>
    <row r="484" spans="1:48" x14ac:dyDescent="0.25">
      <c r="A484" s="1">
        <v>32933</v>
      </c>
      <c r="B484" s="2">
        <f>[2]Indicators!G366</f>
        <v>3777.2280000000001</v>
      </c>
      <c r="C484" s="2">
        <f>[2]Indicators!H366</f>
        <v>503.84800000000001</v>
      </c>
      <c r="D484" s="2">
        <f>[2]Indicators!I366</f>
        <v>981.47300000000007</v>
      </c>
      <c r="E484" s="2">
        <f>[2]Indicators!J366</f>
        <v>2291.9059999999999</v>
      </c>
      <c r="L484" s="2">
        <f>[2]Indicators!N366</f>
        <v>14.486000000000001</v>
      </c>
      <c r="M484" s="2">
        <f>[2]Indicators!AB366</f>
        <v>62.298999999999999</v>
      </c>
      <c r="N484" s="2">
        <f>[8]m!$C486</f>
        <v>8.2799999999999994</v>
      </c>
      <c r="O484">
        <f>[9]Unemployment!$B366</f>
        <v>5.2</v>
      </c>
      <c r="P484" s="2">
        <f>[2]Surveys_m!$B366</f>
        <v>110.60000000000001</v>
      </c>
      <c r="Q484">
        <f>[5]m!$B486</f>
        <v>128.6</v>
      </c>
      <c r="R484">
        <f>[5]m!$D486</f>
        <v>133.5</v>
      </c>
      <c r="S484">
        <f>[5]m!$Q486</f>
        <v>114.2</v>
      </c>
      <c r="T484">
        <f>[6]m!B486</f>
        <v>-53324</v>
      </c>
      <c r="U484" s="2">
        <f>[9]Unemployment!$F366</f>
        <v>11.700000000000001</v>
      </c>
      <c r="V484" s="2">
        <f>[9]Unemployment!$G366</f>
        <v>5.1000000000000005</v>
      </c>
      <c r="W484">
        <f>[9]Unemployment!$E366</f>
        <v>6598</v>
      </c>
      <c r="X484">
        <f>[9]Unemployment!N366</f>
        <v>3206</v>
      </c>
      <c r="Y484">
        <f>[9]Unemployment!O366</f>
        <v>2101</v>
      </c>
      <c r="Z484">
        <f>[9]Unemployment!P366-[9]Unemployment!Q366</f>
        <v>694</v>
      </c>
      <c r="AA484">
        <f>[9]Unemployment!$Q366</f>
        <v>637</v>
      </c>
      <c r="AB484" s="2">
        <f>[8]m!$B486</f>
        <v>8.0500000000000007</v>
      </c>
      <c r="AC484" s="2">
        <f>[8]m!$F486</f>
        <v>8.59</v>
      </c>
      <c r="AD484">
        <f>[9]Employment!$B366</f>
        <v>109611</v>
      </c>
      <c r="AE484" s="2">
        <f>[2]Indicators!$AB366</f>
        <v>62.298999999999999</v>
      </c>
      <c r="AF484" s="2">
        <f>[8]m!$AS486</f>
        <v>798.7</v>
      </c>
      <c r="AG484" s="2">
        <f>[8]m!$H486</f>
        <v>9.370000000000001</v>
      </c>
      <c r="AH484" s="2">
        <f>[8]m!$I486</f>
        <v>10.210000000000001</v>
      </c>
      <c r="AI484" s="2">
        <f>[7]m!C485</f>
        <v>43412</v>
      </c>
      <c r="AJ484" s="2">
        <f>[7]m!D485</f>
        <v>48553</v>
      </c>
      <c r="AK484" s="2">
        <f>[2]Surveys_m!$AB366</f>
        <v>49.900000000000006</v>
      </c>
      <c r="AL484" s="4">
        <f t="shared" si="7"/>
        <v>4448.6460348162454</v>
      </c>
      <c r="AN484" s="2">
        <v>90</v>
      </c>
      <c r="AQ484" s="3">
        <f>[9]LaborForce!$B365*[9]LaborForce!$C365/100</f>
        <v>125816.21</v>
      </c>
      <c r="AR484">
        <f>[9]Unemployment!$AC366</f>
        <v>350</v>
      </c>
      <c r="AS484">
        <f>[2]Indicators!BC366</f>
        <v>62.5</v>
      </c>
      <c r="AT484">
        <f>[2]Indicators!BD366</f>
        <v>64.065399999999997</v>
      </c>
      <c r="AU484">
        <f>[2]Indicators!BE366</f>
        <v>99.812200000000004</v>
      </c>
      <c r="AV484">
        <f>[5]m!$O486</f>
        <v>82.02</v>
      </c>
    </row>
    <row r="485" spans="1:48" x14ac:dyDescent="0.25">
      <c r="A485" s="1">
        <v>32964</v>
      </c>
      <c r="B485" s="2">
        <f>[2]Indicators!G367</f>
        <v>3796.279</v>
      </c>
      <c r="C485" s="2">
        <f>[2]Indicators!H367</f>
        <v>505.67099999999999</v>
      </c>
      <c r="D485" s="2">
        <f>[2]Indicators!I367</f>
        <v>976.505</v>
      </c>
      <c r="E485" s="2">
        <f>[2]Indicators!J367</f>
        <v>2314.1019999999999</v>
      </c>
      <c r="L485" s="2">
        <f>[2]Indicators!N367</f>
        <v>14.281000000000001</v>
      </c>
      <c r="M485" s="2">
        <f>[2]Indicators!AB367</f>
        <v>62.220600000000005</v>
      </c>
      <c r="N485" s="2">
        <f>[8]m!$C487</f>
        <v>8.26</v>
      </c>
      <c r="O485">
        <f>[9]Unemployment!$B367</f>
        <v>5.4</v>
      </c>
      <c r="P485" s="2">
        <f>[2]Surveys_m!$B367</f>
        <v>107.30000000000001</v>
      </c>
      <c r="Q485">
        <f>[5]m!$B487</f>
        <v>128.9</v>
      </c>
      <c r="R485">
        <f>[5]m!$D487</f>
        <v>134</v>
      </c>
      <c r="S485">
        <f>[5]m!$Q487</f>
        <v>114.10000000000001</v>
      </c>
      <c r="T485">
        <f>[6]m!B487</f>
        <v>41829</v>
      </c>
      <c r="U485" s="2">
        <f>[9]Unemployment!$F367</f>
        <v>11.8</v>
      </c>
      <c r="V485" s="2">
        <f>[9]Unemployment!$G367</f>
        <v>4.8000000000000007</v>
      </c>
      <c r="W485">
        <f>[9]Unemployment!$E367</f>
        <v>6797</v>
      </c>
      <c r="X485">
        <f>[9]Unemployment!N367</f>
        <v>3269</v>
      </c>
      <c r="Y485">
        <f>[9]Unemployment!O367</f>
        <v>2171</v>
      </c>
      <c r="Z485">
        <f>[9]Unemployment!P367-[9]Unemployment!Q367</f>
        <v>727</v>
      </c>
      <c r="AA485">
        <f>[9]Unemployment!$Q367</f>
        <v>649</v>
      </c>
      <c r="AB485" s="2">
        <f>[8]m!$B487</f>
        <v>8.0500000000000007</v>
      </c>
      <c r="AC485" s="2">
        <f>[8]m!$F487</f>
        <v>8.7900000000000009</v>
      </c>
      <c r="AD485">
        <f>[9]Employment!$B367</f>
        <v>109651</v>
      </c>
      <c r="AE485" s="2">
        <f>[2]Indicators!$AB367</f>
        <v>62.220600000000005</v>
      </c>
      <c r="AF485" s="2">
        <f>[8]m!$AS487</f>
        <v>798.7</v>
      </c>
      <c r="AG485" s="2">
        <f>[8]m!$H487</f>
        <v>9.4600000000000009</v>
      </c>
      <c r="AH485" s="2">
        <f>[8]m!$I487</f>
        <v>10.3</v>
      </c>
      <c r="AI485" s="2">
        <f>[7]m!C486</f>
        <v>44889</v>
      </c>
      <c r="AJ485" s="2">
        <f>[7]m!D486</f>
        <v>51219</v>
      </c>
      <c r="AK485" s="2">
        <f>[2]Surveys_m!$AB367</f>
        <v>50</v>
      </c>
      <c r="AL485" s="4">
        <f t="shared" si="7"/>
        <v>4448.6460348162454</v>
      </c>
      <c r="AN485" s="2">
        <v>90</v>
      </c>
      <c r="AQ485" s="3">
        <f>[9]LaborForce!$B366*[9]LaborForce!$C366/100</f>
        <v>125726.148</v>
      </c>
      <c r="AR485">
        <f>[9]Unemployment!$AC367</f>
        <v>346</v>
      </c>
      <c r="AS485">
        <f>[2]Indicators!BC367</f>
        <v>62.1</v>
      </c>
      <c r="AT485">
        <f>[2]Indicators!BD367</f>
        <v>64.034400000000005</v>
      </c>
      <c r="AU485">
        <f>[2]Indicators!BE367</f>
        <v>99.632200000000012</v>
      </c>
      <c r="AV485">
        <f>[5]m!$O487</f>
        <v>82.05</v>
      </c>
    </row>
    <row r="486" spans="1:48" x14ac:dyDescent="0.25">
      <c r="A486" s="1">
        <v>32994</v>
      </c>
      <c r="B486" s="2">
        <f>[2]Indicators!G368</f>
        <v>3804.7290000000003</v>
      </c>
      <c r="C486" s="2">
        <f>[2]Indicators!H368</f>
        <v>495.28000000000003</v>
      </c>
      <c r="D486" s="2">
        <f>[2]Indicators!I368</f>
        <v>977.44299999999998</v>
      </c>
      <c r="E486" s="2">
        <f>[2]Indicators!J368</f>
        <v>2332.0050000000001</v>
      </c>
      <c r="L486" s="2">
        <f>[2]Indicators!N368</f>
        <v>14.022</v>
      </c>
      <c r="M486" s="2">
        <f>[2]Indicators!AB368</f>
        <v>62.3371</v>
      </c>
      <c r="N486" s="2">
        <f>[8]m!$C488</f>
        <v>8.18</v>
      </c>
      <c r="O486">
        <f>[9]Unemployment!$B368</f>
        <v>5.4</v>
      </c>
      <c r="P486" s="2">
        <f>[2]Surveys_m!$B368</f>
        <v>107.30000000000001</v>
      </c>
      <c r="Q486">
        <f>[5]m!$B488</f>
        <v>129.1</v>
      </c>
      <c r="R486">
        <f>[5]m!$D488</f>
        <v>134.4</v>
      </c>
      <c r="S486">
        <f>[5]m!$Q488</f>
        <v>114.60000000000001</v>
      </c>
      <c r="T486">
        <f>[6]m!B488</f>
        <v>-42482</v>
      </c>
      <c r="U486" s="2">
        <f>[9]Unemployment!$F368</f>
        <v>11.700000000000001</v>
      </c>
      <c r="V486" s="2">
        <f>[9]Unemployment!$G368</f>
        <v>5.2</v>
      </c>
      <c r="W486">
        <f>[9]Unemployment!$E368</f>
        <v>6742</v>
      </c>
      <c r="X486">
        <f>[9]Unemployment!N368</f>
        <v>3117</v>
      </c>
      <c r="Y486">
        <f>[9]Unemployment!O368</f>
        <v>2269</v>
      </c>
      <c r="Z486">
        <f>[9]Unemployment!P368-[9]Unemployment!Q368</f>
        <v>771</v>
      </c>
      <c r="AA486">
        <f>[9]Unemployment!$Q368</f>
        <v>644</v>
      </c>
      <c r="AB486" s="2">
        <f>[8]m!$B488</f>
        <v>8.01</v>
      </c>
      <c r="AC486" s="2">
        <f>[8]m!$F488</f>
        <v>8.76</v>
      </c>
      <c r="AD486">
        <f>[9]Employment!$B368</f>
        <v>109800</v>
      </c>
      <c r="AE486" s="2">
        <f>[2]Indicators!$AB368</f>
        <v>62.3371</v>
      </c>
      <c r="AF486" s="2">
        <f>[8]m!$AS488</f>
        <v>799.80000000000007</v>
      </c>
      <c r="AG486" s="2">
        <f>[8]m!$H488</f>
        <v>9.4700000000000006</v>
      </c>
      <c r="AH486" s="2">
        <f>[8]m!$I488</f>
        <v>10.41</v>
      </c>
      <c r="AI486" s="2">
        <f>[7]m!C487</f>
        <v>44092</v>
      </c>
      <c r="AJ486" s="2">
        <f>[7]m!D487</f>
        <v>49373</v>
      </c>
      <c r="AK486" s="2">
        <f>[2]Surveys_m!$AB368</f>
        <v>49.5</v>
      </c>
      <c r="AL486" s="4">
        <f t="shared" si="7"/>
        <v>4250.9284332688567</v>
      </c>
      <c r="AN486" s="2">
        <v>86</v>
      </c>
      <c r="AQ486" s="3">
        <f>[9]LaborForce!$B367*[9]LaborForce!$C367/100</f>
        <v>125816.058</v>
      </c>
      <c r="AR486">
        <f>[9]Unemployment!$AC368</f>
        <v>363</v>
      </c>
      <c r="AS486">
        <f>[2]Indicators!BC368</f>
        <v>62.1</v>
      </c>
      <c r="AT486">
        <f>[2]Indicators!BD368</f>
        <v>63.868500000000004</v>
      </c>
      <c r="AU486">
        <f>[2]Indicators!BE368</f>
        <v>99.244200000000006</v>
      </c>
      <c r="AV486">
        <f>[5]m!$O488</f>
        <v>82.01</v>
      </c>
    </row>
    <row r="487" spans="1:48" x14ac:dyDescent="0.25">
      <c r="A487" s="1">
        <v>33025</v>
      </c>
      <c r="B487" s="2">
        <f>[2]Indicators!G369</f>
        <v>3834.549</v>
      </c>
      <c r="C487" s="2">
        <f>[2]Indicators!H369</f>
        <v>494.27000000000004</v>
      </c>
      <c r="D487" s="2">
        <f>[2]Indicators!I369</f>
        <v>988.61099999999999</v>
      </c>
      <c r="E487" s="2">
        <f>[2]Indicators!J369</f>
        <v>2351.6680000000001</v>
      </c>
      <c r="L487" s="2">
        <f>[2]Indicators!N369</f>
        <v>14.149000000000001</v>
      </c>
      <c r="M487" s="2">
        <f>[2]Indicators!AB369</f>
        <v>62.5306</v>
      </c>
      <c r="N487" s="2">
        <f>[8]m!$C489</f>
        <v>8.2900000000000009</v>
      </c>
      <c r="O487">
        <f>[9]Unemployment!$B369</f>
        <v>5.2</v>
      </c>
      <c r="P487" s="2">
        <f>[2]Surveys_m!$B369</f>
        <v>102.4</v>
      </c>
      <c r="Q487">
        <f>[5]m!$B489</f>
        <v>129.9</v>
      </c>
      <c r="R487">
        <f>[5]m!$D489</f>
        <v>135.1</v>
      </c>
      <c r="S487">
        <f>[5]m!$Q489</f>
        <v>114.30000000000001</v>
      </c>
      <c r="T487">
        <f>[6]m!B489</f>
        <v>-11105</v>
      </c>
      <c r="U487" s="2">
        <f>[9]Unemployment!$F369</f>
        <v>11.600000000000001</v>
      </c>
      <c r="V487" s="2">
        <f>[9]Unemployment!$G369</f>
        <v>5.2</v>
      </c>
      <c r="W487">
        <f>[9]Unemployment!$E369</f>
        <v>6590</v>
      </c>
      <c r="X487">
        <f>[9]Unemployment!N369</f>
        <v>3151</v>
      </c>
      <c r="Y487">
        <f>[9]Unemployment!O369</f>
        <v>2118</v>
      </c>
      <c r="Z487">
        <f>[9]Unemployment!P369-[9]Unemployment!Q369</f>
        <v>796</v>
      </c>
      <c r="AA487">
        <f>[9]Unemployment!$Q369</f>
        <v>640</v>
      </c>
      <c r="AB487" s="2">
        <f>[8]m!$B489</f>
        <v>8</v>
      </c>
      <c r="AC487" s="2">
        <f>[8]m!$F489</f>
        <v>8.48</v>
      </c>
      <c r="AD487">
        <f>[9]Employment!$B369</f>
        <v>109817</v>
      </c>
      <c r="AE487" s="2">
        <f>[2]Indicators!$AB369</f>
        <v>62.5306</v>
      </c>
      <c r="AF487" s="2">
        <f>[8]m!$AS489</f>
        <v>802.90000000000009</v>
      </c>
      <c r="AG487" s="2">
        <f>[8]m!$H489</f>
        <v>9.26</v>
      </c>
      <c r="AH487" s="2">
        <f>[8]m!$I489</f>
        <v>10.220000000000001</v>
      </c>
      <c r="AI487" s="2">
        <f>[7]m!C488</f>
        <v>44559</v>
      </c>
      <c r="AJ487" s="2">
        <f>[7]m!D488</f>
        <v>50176</v>
      </c>
      <c r="AK487" s="2">
        <f>[2]Surveys_m!$AB369</f>
        <v>49.2</v>
      </c>
      <c r="AL487" s="4">
        <f t="shared" si="7"/>
        <v>4250.9284332688567</v>
      </c>
      <c r="AN487" s="2">
        <v>86</v>
      </c>
      <c r="AQ487" s="3">
        <f>[9]LaborForce!$B368*[9]LaborForce!$C368/100</f>
        <v>125534.51200000002</v>
      </c>
      <c r="AR487">
        <f>[9]Unemployment!$AC369</f>
        <v>368</v>
      </c>
      <c r="AS487">
        <f>[2]Indicators!BC369</f>
        <v>62.2</v>
      </c>
      <c r="AT487">
        <f>[2]Indicators!BD369</f>
        <v>63.549300000000002</v>
      </c>
      <c r="AU487">
        <f>[2]Indicators!BE369</f>
        <v>98.620100000000008</v>
      </c>
      <c r="AV487">
        <f>[5]m!$O489</f>
        <v>82.19</v>
      </c>
    </row>
    <row r="488" spans="1:48" x14ac:dyDescent="0.25">
      <c r="A488" s="1">
        <v>33055</v>
      </c>
      <c r="B488" s="2">
        <f>[2]Indicators!G370</f>
        <v>3850.9070000000002</v>
      </c>
      <c r="C488" s="2">
        <f>[2]Indicators!H370</f>
        <v>496.322</v>
      </c>
      <c r="D488" s="2">
        <f>[2]Indicators!I370</f>
        <v>991.08199999999999</v>
      </c>
      <c r="E488" s="2">
        <f>[2]Indicators!J370</f>
        <v>2363.5030000000002</v>
      </c>
      <c r="L488" s="2">
        <f>[2]Indicators!N370</f>
        <v>14.081</v>
      </c>
      <c r="M488" s="2">
        <f>[2]Indicators!AB370</f>
        <v>62.4758</v>
      </c>
      <c r="N488" s="2">
        <f>[8]m!$C490</f>
        <v>8.15</v>
      </c>
      <c r="O488">
        <f>[9]Unemployment!$B370</f>
        <v>5.5</v>
      </c>
      <c r="P488" s="2">
        <f>[2]Surveys_m!$B370</f>
        <v>101.7</v>
      </c>
      <c r="Q488">
        <f>[5]m!$B490</f>
        <v>130.5</v>
      </c>
      <c r="R488">
        <f>[5]m!$D490</f>
        <v>135.80000000000001</v>
      </c>
      <c r="S488">
        <f>[5]m!$Q490</f>
        <v>114.5</v>
      </c>
      <c r="T488">
        <f>[6]m!B490</f>
        <v>-25924</v>
      </c>
      <c r="U488" s="2">
        <f>[9]Unemployment!$F370</f>
        <v>11.9</v>
      </c>
      <c r="V488" s="2">
        <f>[9]Unemployment!$G370</f>
        <v>5.4</v>
      </c>
      <c r="W488">
        <f>[9]Unemployment!$E370</f>
        <v>6922</v>
      </c>
      <c r="X488">
        <f>[9]Unemployment!N370</f>
        <v>3221</v>
      </c>
      <c r="Y488">
        <f>[9]Unemployment!O370</f>
        <v>2240</v>
      </c>
      <c r="Z488">
        <f>[9]Unemployment!P370-[9]Unemployment!Q370</f>
        <v>846</v>
      </c>
      <c r="AA488">
        <f>[9]Unemployment!$Q370</f>
        <v>688</v>
      </c>
      <c r="AB488" s="2">
        <f>[8]m!$B490</f>
        <v>7.73</v>
      </c>
      <c r="AC488" s="2">
        <f>[8]m!$F490</f>
        <v>8.4700000000000006</v>
      </c>
      <c r="AD488">
        <f>[9]Employment!$B370</f>
        <v>109775</v>
      </c>
      <c r="AE488" s="2">
        <f>[2]Indicators!$AB370</f>
        <v>62.4758</v>
      </c>
      <c r="AF488" s="2">
        <f>[8]m!$AS490</f>
        <v>806.90000000000009</v>
      </c>
      <c r="AG488" s="2">
        <f>[8]m!$H490</f>
        <v>9.24</v>
      </c>
      <c r="AH488" s="2">
        <f>[8]m!$I490</f>
        <v>10.200000000000001</v>
      </c>
      <c r="AI488" s="2">
        <f>[7]m!C489</f>
        <v>45741</v>
      </c>
      <c r="AJ488" s="2">
        <f>[7]m!D489</f>
        <v>50263</v>
      </c>
      <c r="AK488" s="2">
        <f>[2]Surveys_m!$AB370</f>
        <v>46.6</v>
      </c>
      <c r="AL488" s="4">
        <f t="shared" si="7"/>
        <v>4201.4990328820095</v>
      </c>
      <c r="AN488" s="2">
        <v>85</v>
      </c>
      <c r="AQ488" s="3">
        <f>[9]LaborForce!$B369*[9]LaborForce!$C369/100</f>
        <v>125810.02</v>
      </c>
      <c r="AR488">
        <f>[9]Unemployment!$AC370</f>
        <v>364</v>
      </c>
      <c r="AS488">
        <f>[2]Indicators!BC370</f>
        <v>62.1</v>
      </c>
      <c r="AT488">
        <f>[2]Indicators!BD370</f>
        <v>63.082900000000002</v>
      </c>
      <c r="AU488">
        <f>[2]Indicators!BE370</f>
        <v>97.770200000000003</v>
      </c>
      <c r="AV488">
        <f>[5]m!$O490</f>
        <v>82.100000000000009</v>
      </c>
    </row>
    <row r="489" spans="1:48" x14ac:dyDescent="0.25">
      <c r="A489" s="1">
        <v>33086</v>
      </c>
      <c r="B489" s="2">
        <f>[2]Indicators!G371</f>
        <v>3876.8050000000003</v>
      </c>
      <c r="C489" s="2">
        <f>[2]Indicators!H371</f>
        <v>489.31299999999999</v>
      </c>
      <c r="D489" s="2">
        <f>[2]Indicators!I371</f>
        <v>1004.169</v>
      </c>
      <c r="E489" s="2">
        <f>[2]Indicators!J371</f>
        <v>2383.3229999999999</v>
      </c>
      <c r="L489" s="2">
        <f>[2]Indicators!N371</f>
        <v>13.859</v>
      </c>
      <c r="M489" s="2">
        <f>[2]Indicators!AB371</f>
        <v>62.624700000000004</v>
      </c>
      <c r="N489" s="2">
        <f>[8]m!$C491</f>
        <v>8.1300000000000008</v>
      </c>
      <c r="O489">
        <f>[9]Unemployment!$B371</f>
        <v>5.7</v>
      </c>
      <c r="P489" s="2">
        <f>[2]Surveys_m!$B371</f>
        <v>84.7</v>
      </c>
      <c r="Q489">
        <f>[5]m!$B491</f>
        <v>131.6</v>
      </c>
      <c r="R489">
        <f>[5]m!$D491</f>
        <v>136.6</v>
      </c>
      <c r="S489">
        <f>[5]m!$Q491</f>
        <v>116.5</v>
      </c>
      <c r="T489">
        <f>[6]m!B491</f>
        <v>-52719</v>
      </c>
      <c r="U489" s="2">
        <f>[9]Unemployment!$F371</f>
        <v>12.200000000000001</v>
      </c>
      <c r="V489" s="2">
        <f>[9]Unemployment!$G371</f>
        <v>5.4</v>
      </c>
      <c r="W489">
        <f>[9]Unemployment!$E371</f>
        <v>7188</v>
      </c>
      <c r="X489">
        <f>[9]Unemployment!N371</f>
        <v>3320</v>
      </c>
      <c r="Y489">
        <f>[9]Unemployment!O371</f>
        <v>2254</v>
      </c>
      <c r="Z489">
        <f>[9]Unemployment!P371-[9]Unemployment!Q371</f>
        <v>877</v>
      </c>
      <c r="AA489">
        <f>[9]Unemployment!$Q371</f>
        <v>730</v>
      </c>
      <c r="AB489" s="2">
        <f>[8]m!$B491</f>
        <v>7.62</v>
      </c>
      <c r="AC489" s="2">
        <f>[8]m!$F491</f>
        <v>8.75</v>
      </c>
      <c r="AD489">
        <f>[9]Employment!$B371</f>
        <v>109567</v>
      </c>
      <c r="AE489" s="2">
        <f>[2]Indicators!$AB371</f>
        <v>62.624700000000004</v>
      </c>
      <c r="AF489" s="2">
        <f>[8]m!$AS491</f>
        <v>808.80000000000007</v>
      </c>
      <c r="AG489" s="2">
        <f>[8]m!$H491</f>
        <v>9.41</v>
      </c>
      <c r="AH489" s="2">
        <f>[8]m!$I491</f>
        <v>10.41</v>
      </c>
      <c r="AI489" s="2">
        <f>[7]m!C490</f>
        <v>44811</v>
      </c>
      <c r="AJ489" s="2">
        <f>[7]m!D490</f>
        <v>51291</v>
      </c>
      <c r="AK489" s="2">
        <f>[2]Surveys_m!$AB371</f>
        <v>46.1</v>
      </c>
      <c r="AL489" s="4">
        <f t="shared" si="7"/>
        <v>4053.2108317214684</v>
      </c>
      <c r="AN489" s="2">
        <v>82</v>
      </c>
      <c r="AQ489" s="3">
        <f>[9]LaborForce!$B370*[9]LaborForce!$C370/100</f>
        <v>125912.43</v>
      </c>
      <c r="AR489">
        <f>[9]Unemployment!$AC371</f>
        <v>369</v>
      </c>
      <c r="AS489">
        <f>[2]Indicators!BC371</f>
        <v>61.5</v>
      </c>
      <c r="AT489">
        <f>[2]Indicators!BD371</f>
        <v>62.505800000000001</v>
      </c>
      <c r="AU489">
        <f>[2]Indicators!BE371</f>
        <v>96.751000000000005</v>
      </c>
      <c r="AV489">
        <f>[5]m!$O491</f>
        <v>81.86</v>
      </c>
    </row>
    <row r="490" spans="1:48" x14ac:dyDescent="0.25">
      <c r="A490" s="1">
        <v>33117</v>
      </c>
      <c r="B490" s="2">
        <f>[2]Indicators!G372</f>
        <v>3897.9160000000002</v>
      </c>
      <c r="C490" s="2">
        <f>[2]Indicators!H372</f>
        <v>495.07600000000002</v>
      </c>
      <c r="D490" s="2">
        <f>[2]Indicators!I372</f>
        <v>1014.067</v>
      </c>
      <c r="E490" s="2">
        <f>[2]Indicators!J372</f>
        <v>2388.7730000000001</v>
      </c>
      <c r="L490" s="2">
        <f>[2]Indicators!N372</f>
        <v>14.298</v>
      </c>
      <c r="M490" s="2">
        <f>[2]Indicators!AB372</f>
        <v>62.756400000000006</v>
      </c>
      <c r="N490" s="2">
        <f>[8]m!$C492</f>
        <v>8.1999999999999993</v>
      </c>
      <c r="O490">
        <f>[9]Unemployment!$B372</f>
        <v>5.9</v>
      </c>
      <c r="P490" s="2">
        <f>[2]Surveys_m!$B372</f>
        <v>85.600000000000009</v>
      </c>
      <c r="Q490">
        <f>[5]m!$B492</f>
        <v>132.5</v>
      </c>
      <c r="R490">
        <f>[5]m!$D492</f>
        <v>137.1</v>
      </c>
      <c r="S490">
        <f>[5]m!$Q492</f>
        <v>118.4</v>
      </c>
      <c r="T490">
        <f>[6]m!B492</f>
        <v>20768</v>
      </c>
      <c r="U490" s="2">
        <f>[9]Unemployment!$F372</f>
        <v>12.4</v>
      </c>
      <c r="V490" s="2">
        <f>[9]Unemployment!$G372</f>
        <v>5.6000000000000005</v>
      </c>
      <c r="W490">
        <f>[9]Unemployment!$E372</f>
        <v>7368</v>
      </c>
      <c r="X490">
        <f>[9]Unemployment!N372</f>
        <v>3280</v>
      </c>
      <c r="Y490">
        <f>[9]Unemployment!O372</f>
        <v>2374</v>
      </c>
      <c r="Z490">
        <f>[9]Unemployment!P372-[9]Unemployment!Q372</f>
        <v>914</v>
      </c>
      <c r="AA490">
        <f>[9]Unemployment!$Q372</f>
        <v>781</v>
      </c>
      <c r="AB490" s="2">
        <f>[8]m!$B492</f>
        <v>7.37</v>
      </c>
      <c r="AC490" s="2">
        <f>[8]m!$F492</f>
        <v>8.89</v>
      </c>
      <c r="AD490">
        <f>[9]Employment!$B372</f>
        <v>109485</v>
      </c>
      <c r="AE490" s="2">
        <f>[2]Indicators!$AB372</f>
        <v>62.756400000000006</v>
      </c>
      <c r="AF490" s="2">
        <f>[8]m!$AS492</f>
        <v>810.40000000000009</v>
      </c>
      <c r="AG490" s="2">
        <f>[8]m!$H492</f>
        <v>9.56</v>
      </c>
      <c r="AH490" s="2">
        <f>[8]m!$I492</f>
        <v>10.64</v>
      </c>
      <c r="AI490" s="2">
        <f>[7]m!C491</f>
        <v>45065</v>
      </c>
      <c r="AJ490" s="2">
        <f>[7]m!D491</f>
        <v>51771</v>
      </c>
      <c r="AK490" s="2">
        <f>[2]Surveys_m!$AB372</f>
        <v>44.5</v>
      </c>
      <c r="AL490" s="4">
        <f t="shared" si="7"/>
        <v>4003.7814313346216</v>
      </c>
      <c r="AN490" s="2">
        <v>81</v>
      </c>
      <c r="AQ490" s="3">
        <f>[9]LaborForce!$B371*[9]LaborForce!$C371/100</f>
        <v>125846.592</v>
      </c>
      <c r="AR490">
        <f>[9]Unemployment!$AC372</f>
        <v>392</v>
      </c>
      <c r="AS490">
        <f>[2]Indicators!BC372</f>
        <v>61.1</v>
      </c>
      <c r="AT490">
        <f>[2]Indicators!BD372</f>
        <v>61.913400000000003</v>
      </c>
      <c r="AU490">
        <f>[2]Indicators!BE372</f>
        <v>95.709699999999998</v>
      </c>
      <c r="AV490">
        <f>[5]m!$O492</f>
        <v>81.39</v>
      </c>
    </row>
    <row r="491" spans="1:48" x14ac:dyDescent="0.25">
      <c r="A491" s="1">
        <v>33147</v>
      </c>
      <c r="B491" s="2">
        <f>[2]Indicators!G373</f>
        <v>3897.4859999999999</v>
      </c>
      <c r="C491" s="2">
        <f>[2]Indicators!H373</f>
        <v>486.12400000000002</v>
      </c>
      <c r="D491" s="2">
        <f>[2]Indicators!I373</f>
        <v>1016.331</v>
      </c>
      <c r="E491" s="2">
        <f>[2]Indicators!J373</f>
        <v>2395.0320000000002</v>
      </c>
      <c r="L491" s="2">
        <f>[2]Indicators!N373</f>
        <v>13.749000000000001</v>
      </c>
      <c r="M491" s="2">
        <f>[2]Indicators!AB373</f>
        <v>62.273400000000002</v>
      </c>
      <c r="N491" s="2">
        <f>[8]m!$C493</f>
        <v>8.11</v>
      </c>
      <c r="O491">
        <f>[9]Unemployment!$B373</f>
        <v>5.9</v>
      </c>
      <c r="P491" s="2">
        <f>[2]Surveys_m!$B373</f>
        <v>62.6</v>
      </c>
      <c r="Q491">
        <f>[5]m!$B493</f>
        <v>133.4</v>
      </c>
      <c r="R491">
        <f>[5]m!$D493</f>
        <v>137.6</v>
      </c>
      <c r="S491">
        <f>[5]m!$Q493</f>
        <v>120.80000000000001</v>
      </c>
      <c r="T491">
        <f>[6]m!B493</f>
        <v>-31364</v>
      </c>
      <c r="U491" s="2">
        <f>[9]Unemployment!$F373</f>
        <v>12.200000000000001</v>
      </c>
      <c r="V491" s="2">
        <f>[9]Unemployment!$G373</f>
        <v>5.8000000000000007</v>
      </c>
      <c r="W491">
        <f>[9]Unemployment!$E373</f>
        <v>7459</v>
      </c>
      <c r="X491">
        <f>[9]Unemployment!N373</f>
        <v>3347</v>
      </c>
      <c r="Y491">
        <f>[9]Unemployment!O373</f>
        <v>2416</v>
      </c>
      <c r="Z491">
        <f>[9]Unemployment!P373-[9]Unemployment!Q373</f>
        <v>911</v>
      </c>
      <c r="AA491">
        <f>[9]Unemployment!$Q373</f>
        <v>778</v>
      </c>
      <c r="AB491" s="2">
        <f>[8]m!$B493</f>
        <v>7.36</v>
      </c>
      <c r="AC491" s="2">
        <f>[8]m!$F493</f>
        <v>8.7200000000000006</v>
      </c>
      <c r="AD491">
        <f>[9]Employment!$B373</f>
        <v>109324</v>
      </c>
      <c r="AE491" s="2">
        <f>[2]Indicators!$AB373</f>
        <v>62.273400000000002</v>
      </c>
      <c r="AF491" s="2">
        <f>[8]m!$AS493</f>
        <v>812.7</v>
      </c>
      <c r="AG491" s="2">
        <f>[8]m!$H493</f>
        <v>9.5299999999999994</v>
      </c>
      <c r="AH491" s="2">
        <f>[8]m!$I493</f>
        <v>10.74</v>
      </c>
      <c r="AI491" s="2">
        <f>[7]m!C492</f>
        <v>44819</v>
      </c>
      <c r="AJ491" s="2">
        <f>[7]m!D492</f>
        <v>51319</v>
      </c>
      <c r="AK491" s="2">
        <f>[2]Surveys_m!$AB373</f>
        <v>43.2</v>
      </c>
      <c r="AL491" s="4">
        <f t="shared" si="7"/>
        <v>3707.2050290135389</v>
      </c>
      <c r="AN491" s="2">
        <v>75</v>
      </c>
      <c r="AQ491" s="3">
        <f>[9]LaborForce!$B372*[9]LaborForce!$C372/100</f>
        <v>125967.44000000002</v>
      </c>
      <c r="AR491">
        <f>[9]Unemployment!$AC373</f>
        <v>404</v>
      </c>
      <c r="AS491">
        <f>[2]Indicators!BC373</f>
        <v>60.6</v>
      </c>
      <c r="AT491">
        <f>[2]Indicators!BD373</f>
        <v>61.395200000000003</v>
      </c>
      <c r="AU491">
        <f>[2]Indicators!BE373</f>
        <v>94.784199999999998</v>
      </c>
      <c r="AV491">
        <f>[5]m!$O493</f>
        <v>80.84</v>
      </c>
    </row>
    <row r="492" spans="1:48" x14ac:dyDescent="0.25">
      <c r="A492" s="1">
        <v>33178</v>
      </c>
      <c r="B492" s="2">
        <f>[2]Indicators!G374</f>
        <v>3899.498</v>
      </c>
      <c r="C492" s="2">
        <f>[2]Indicators!H374</f>
        <v>482.73500000000001</v>
      </c>
      <c r="D492" s="2">
        <f>[2]Indicators!I374</f>
        <v>1023.452</v>
      </c>
      <c r="E492" s="2">
        <f>[2]Indicators!J374</f>
        <v>2393.31</v>
      </c>
      <c r="L492" s="2">
        <f>[2]Indicators!N374</f>
        <v>13.134</v>
      </c>
      <c r="M492" s="2">
        <f>[2]Indicators!AB374</f>
        <v>61.527900000000002</v>
      </c>
      <c r="N492" s="2">
        <f>[8]m!$C494</f>
        <v>7.8100000000000005</v>
      </c>
      <c r="O492">
        <f>[9]Unemployment!$B374</f>
        <v>6.2</v>
      </c>
      <c r="P492" s="2">
        <f>[2]Surveys_m!$B374</f>
        <v>61.7</v>
      </c>
      <c r="Q492">
        <f>[5]m!$B494</f>
        <v>133.69999999999999</v>
      </c>
      <c r="R492">
        <f>[5]m!$D494</f>
        <v>138</v>
      </c>
      <c r="S492">
        <f>[5]m!$Q494</f>
        <v>120.10000000000001</v>
      </c>
      <c r="T492">
        <f>[6]m!B494</f>
        <v>-47723</v>
      </c>
      <c r="U492" s="2">
        <f>[9]Unemployment!$F374</f>
        <v>12.4</v>
      </c>
      <c r="V492" s="2">
        <f>[9]Unemployment!$G374</f>
        <v>5.7</v>
      </c>
      <c r="W492">
        <f>[9]Unemployment!$E374</f>
        <v>7764</v>
      </c>
      <c r="X492">
        <f>[9]Unemployment!N374</f>
        <v>3442</v>
      </c>
      <c r="Y492">
        <f>[9]Unemployment!O374</f>
        <v>2465</v>
      </c>
      <c r="Z492">
        <f>[9]Unemployment!P374-[9]Unemployment!Q374</f>
        <v>998</v>
      </c>
      <c r="AA492">
        <f>[9]Unemployment!$Q374</f>
        <v>833</v>
      </c>
      <c r="AB492" s="2">
        <f>[8]m!$B494</f>
        <v>7.25</v>
      </c>
      <c r="AC492" s="2">
        <f>[8]m!$F494</f>
        <v>8.39</v>
      </c>
      <c r="AD492">
        <f>[9]Employment!$B374</f>
        <v>109180</v>
      </c>
      <c r="AE492" s="2">
        <f>[2]Indicators!$AB374</f>
        <v>61.527900000000002</v>
      </c>
      <c r="AF492" s="2">
        <f>[8]m!$AS494</f>
        <v>813.7</v>
      </c>
      <c r="AG492" s="2">
        <f>[8]m!$H494</f>
        <v>9.3000000000000007</v>
      </c>
      <c r="AH492" s="2">
        <f>[8]m!$I494</f>
        <v>10.620000000000001</v>
      </c>
      <c r="AI492" s="2">
        <f>[7]m!C493</f>
        <v>47666</v>
      </c>
      <c r="AJ492" s="2">
        <f>[7]m!D493</f>
        <v>54152</v>
      </c>
      <c r="AK492" s="2">
        <f>[2]Surveys_m!$AB374</f>
        <v>41.300000000000004</v>
      </c>
      <c r="AL492" s="4">
        <f t="shared" si="7"/>
        <v>3509.4874274661502</v>
      </c>
      <c r="AN492" s="2">
        <v>71</v>
      </c>
      <c r="AQ492" s="3">
        <f>[9]LaborForce!$B373*[9]LaborForce!$C373/100</f>
        <v>126075.008</v>
      </c>
      <c r="AR492">
        <f>[9]Unemployment!$AC374</f>
        <v>440</v>
      </c>
      <c r="AS492">
        <f>[2]Indicators!BC374</f>
        <v>60.2</v>
      </c>
      <c r="AT492">
        <f>[2]Indicators!BD374</f>
        <v>61.045999999999999</v>
      </c>
      <c r="AU492">
        <f>[2]Indicators!BE374</f>
        <v>94.118900000000011</v>
      </c>
      <c r="AV492">
        <f>[5]m!$O494</f>
        <v>80.09</v>
      </c>
    </row>
    <row r="493" spans="1:48" x14ac:dyDescent="0.25">
      <c r="A493" s="1">
        <v>33208</v>
      </c>
      <c r="B493" s="2">
        <f>[2]Indicators!G375</f>
        <v>3891.0840000000003</v>
      </c>
      <c r="C493" s="2">
        <f>[2]Indicators!H375</f>
        <v>473.98200000000003</v>
      </c>
      <c r="D493" s="2">
        <f>[2]Indicators!I375</f>
        <v>1016.4830000000001</v>
      </c>
      <c r="E493" s="2">
        <f>[2]Indicators!J375</f>
        <v>2400.6190000000001</v>
      </c>
      <c r="L493" s="2">
        <f>[2]Indicators!N375</f>
        <v>12.958</v>
      </c>
      <c r="M493" s="2">
        <f>[2]Indicators!AB375</f>
        <v>61.088800000000006</v>
      </c>
      <c r="N493" s="2">
        <f>[8]m!$C495</f>
        <v>7.3100000000000005</v>
      </c>
      <c r="O493">
        <f>[9]Unemployment!$B375</f>
        <v>6.3000000000000007</v>
      </c>
      <c r="P493" s="2">
        <f>[2]Surveys_m!$B375</f>
        <v>61.2</v>
      </c>
      <c r="Q493">
        <f>[5]m!$B495</f>
        <v>134.19999999999999</v>
      </c>
      <c r="R493">
        <f>[5]m!$D495</f>
        <v>138.6</v>
      </c>
      <c r="S493">
        <f>[5]m!$Q495</f>
        <v>118.7</v>
      </c>
      <c r="T493">
        <f>[6]m!B495</f>
        <v>-7387</v>
      </c>
      <c r="U493" s="2">
        <f>[9]Unemployment!$F375</f>
        <v>12.5</v>
      </c>
      <c r="V493" s="2">
        <f>[9]Unemployment!$G375</f>
        <v>5.9</v>
      </c>
      <c r="W493">
        <f>[9]Unemployment!$E375</f>
        <v>7901</v>
      </c>
      <c r="X493">
        <f>[9]Unemployment!N375</f>
        <v>3462</v>
      </c>
      <c r="Y493">
        <f>[9]Unemployment!O375</f>
        <v>2565</v>
      </c>
      <c r="Z493">
        <f>[9]Unemployment!P375-[9]Unemployment!Q375</f>
        <v>973</v>
      </c>
      <c r="AA493">
        <f>[9]Unemployment!$Q375</f>
        <v>831</v>
      </c>
      <c r="AB493" s="2">
        <f>[8]m!$B495</f>
        <v>6.63</v>
      </c>
      <c r="AC493" s="2">
        <f>[8]m!$F495</f>
        <v>8.08</v>
      </c>
      <c r="AD493">
        <f>[9]Employment!$B375</f>
        <v>109120</v>
      </c>
      <c r="AE493" s="2">
        <f>[2]Indicators!$AB375</f>
        <v>61.088800000000006</v>
      </c>
      <c r="AF493" s="2">
        <f>[8]m!$AS495</f>
        <v>808.2</v>
      </c>
      <c r="AG493" s="2">
        <f>[8]m!$H495</f>
        <v>9.0500000000000007</v>
      </c>
      <c r="AH493" s="2">
        <f>[8]m!$I495</f>
        <v>10.43</v>
      </c>
      <c r="AI493" s="2">
        <f>[7]m!C494</f>
        <v>46755</v>
      </c>
      <c r="AJ493" s="2">
        <f>[7]m!D494</f>
        <v>53342</v>
      </c>
      <c r="AK493" s="2">
        <f>[2]Surveys_m!$AB375</f>
        <v>40.800000000000004</v>
      </c>
      <c r="AL493" s="4">
        <f t="shared" si="7"/>
        <v>3509.4874274661502</v>
      </c>
      <c r="AN493" s="2">
        <v>71</v>
      </c>
      <c r="AQ493" s="3">
        <f>[9]LaborForce!$B374*[9]LaborForce!$C374/100</f>
        <v>126171.288</v>
      </c>
      <c r="AR493">
        <f>[9]Unemployment!$AC375</f>
        <v>451</v>
      </c>
      <c r="AS493">
        <f>[2]Indicators!BC375</f>
        <v>60.300000000000004</v>
      </c>
      <c r="AT493">
        <f>[2]Indicators!BD375</f>
        <v>60.923900000000003</v>
      </c>
      <c r="AU493">
        <f>[2]Indicators!BE375</f>
        <v>93.802199999999999</v>
      </c>
      <c r="AV493">
        <f>[5]m!$O495</f>
        <v>79.38</v>
      </c>
    </row>
    <row r="494" spans="1:48" x14ac:dyDescent="0.25">
      <c r="A494" s="1">
        <v>33239</v>
      </c>
      <c r="B494" s="2">
        <f>[2]Indicators!G376</f>
        <v>3875.0280000000002</v>
      </c>
      <c r="C494" s="2">
        <f>[2]Indicators!H376</f>
        <v>452.70100000000002</v>
      </c>
      <c r="D494" s="2">
        <f>[2]Indicators!I376</f>
        <v>1012.961</v>
      </c>
      <c r="E494" s="2">
        <f>[2]Indicators!J376</f>
        <v>2409.3650000000002</v>
      </c>
      <c r="L494" s="2">
        <f>[2]Indicators!N376</f>
        <v>11.829000000000001</v>
      </c>
      <c r="M494" s="2">
        <f>[2]Indicators!AB376</f>
        <v>60.819700000000005</v>
      </c>
      <c r="N494" s="2">
        <f>[8]m!$C496</f>
        <v>6.91</v>
      </c>
      <c r="O494">
        <f>[9]Unemployment!$B376</f>
        <v>6.4</v>
      </c>
      <c r="P494" s="2">
        <f>[2]Surveys_m!$B376</f>
        <v>55.1</v>
      </c>
      <c r="Q494">
        <f>[5]m!$B496</f>
        <v>134.69999999999999</v>
      </c>
      <c r="R494">
        <f>[5]m!$D496</f>
        <v>139.5</v>
      </c>
      <c r="S494">
        <f>[5]m!$Q496</f>
        <v>119</v>
      </c>
      <c r="T494">
        <f>[6]m!B496</f>
        <v>1650</v>
      </c>
      <c r="U494" s="2">
        <f>[9]Unemployment!$F376</f>
        <v>12.200000000000001</v>
      </c>
      <c r="V494" s="2">
        <f>[9]Unemployment!$G376</f>
        <v>6</v>
      </c>
      <c r="W494">
        <f>[9]Unemployment!$E376</f>
        <v>8015</v>
      </c>
      <c r="X494">
        <f>[9]Unemployment!N376</f>
        <v>3470</v>
      </c>
      <c r="Y494">
        <f>[9]Unemployment!O376</f>
        <v>2630</v>
      </c>
      <c r="Z494">
        <f>[9]Unemployment!P376-[9]Unemployment!Q376</f>
        <v>998</v>
      </c>
      <c r="AA494">
        <f>[9]Unemployment!$Q376</f>
        <v>868</v>
      </c>
      <c r="AB494" s="2">
        <f>[8]m!$B496</f>
        <v>6.38</v>
      </c>
      <c r="AC494" s="2">
        <f>[8]m!$F496</f>
        <v>8.09</v>
      </c>
      <c r="AD494">
        <f>[9]Employment!$B376</f>
        <v>109001</v>
      </c>
      <c r="AE494" s="2">
        <f>[2]Indicators!$AB376</f>
        <v>60.819700000000005</v>
      </c>
      <c r="AF494" s="2">
        <f>[8]m!$AS496</f>
        <v>806.6</v>
      </c>
      <c r="AG494" s="2">
        <f>[8]m!$H496</f>
        <v>9.0400000000000009</v>
      </c>
      <c r="AH494" s="2">
        <f>[8]m!$I496</f>
        <v>10.450000000000001</v>
      </c>
      <c r="AI494" s="2">
        <f>[7]m!C495</f>
        <v>46974</v>
      </c>
      <c r="AJ494" s="2">
        <f>[7]m!D495</f>
        <v>50262</v>
      </c>
      <c r="AK494" s="2">
        <f>[2]Surveys_m!$AB376</f>
        <v>39.200000000000003</v>
      </c>
      <c r="AL494" s="4">
        <f t="shared" si="7"/>
        <v>3311.7698259187614</v>
      </c>
      <c r="AN494" s="2">
        <v>67</v>
      </c>
      <c r="AQ494" s="3">
        <f>[9]LaborForce!$B375*[9]LaborForce!$C375/100</f>
        <v>125887.906</v>
      </c>
      <c r="AR494">
        <f>[9]Unemployment!$AC376</f>
        <v>454</v>
      </c>
      <c r="AS494">
        <f>[2]Indicators!BC376</f>
        <v>59.9</v>
      </c>
      <c r="AT494">
        <f>[2]Indicators!BD376</f>
        <v>61.050600000000003</v>
      </c>
      <c r="AU494">
        <f>[2]Indicators!BE376</f>
        <v>93.865900000000011</v>
      </c>
      <c r="AV494">
        <f>[5]m!$O496</f>
        <v>78.53</v>
      </c>
    </row>
    <row r="495" spans="1:48" x14ac:dyDescent="0.25">
      <c r="A495" s="1">
        <v>33270</v>
      </c>
      <c r="B495" s="2">
        <f>[2]Indicators!G377</f>
        <v>3903.3890000000001</v>
      </c>
      <c r="C495" s="2">
        <f>[2]Indicators!H377</f>
        <v>466.97500000000002</v>
      </c>
      <c r="D495" s="2">
        <f>[2]Indicators!I377</f>
        <v>1010.869</v>
      </c>
      <c r="E495" s="2">
        <f>[2]Indicators!J377</f>
        <v>2425.5450000000001</v>
      </c>
      <c r="L495" s="2">
        <f>[2]Indicators!N377</f>
        <v>12.409000000000001</v>
      </c>
      <c r="M495" s="2">
        <f>[2]Indicators!AB377</f>
        <v>60.421300000000002</v>
      </c>
      <c r="N495" s="2">
        <f>[8]m!$C497</f>
        <v>6.25</v>
      </c>
      <c r="O495">
        <f>[9]Unemployment!$B377</f>
        <v>6.6000000000000005</v>
      </c>
      <c r="P495" s="2">
        <f>[2]Surveys_m!$B377</f>
        <v>59.400000000000006</v>
      </c>
      <c r="Q495">
        <f>[5]m!$B497</f>
        <v>134.80000000000001</v>
      </c>
      <c r="R495">
        <f>[5]m!$D497</f>
        <v>140.20000000000002</v>
      </c>
      <c r="S495">
        <f>[5]m!$Q497</f>
        <v>117.2</v>
      </c>
      <c r="T495">
        <f>[6]m!B497</f>
        <v>-26191</v>
      </c>
      <c r="U495" s="2">
        <f>[9]Unemployment!$F377</f>
        <v>12.700000000000001</v>
      </c>
      <c r="V495" s="2">
        <f>[9]Unemployment!$G377</f>
        <v>6.2</v>
      </c>
      <c r="W495">
        <f>[9]Unemployment!$E377</f>
        <v>8265</v>
      </c>
      <c r="X495">
        <f>[9]Unemployment!N377</f>
        <v>3585</v>
      </c>
      <c r="Y495">
        <f>[9]Unemployment!O377</f>
        <v>2729</v>
      </c>
      <c r="Z495">
        <f>[9]Unemployment!P377-[9]Unemployment!Q377</f>
        <v>1051</v>
      </c>
      <c r="AA495">
        <f>[9]Unemployment!$Q377</f>
        <v>904</v>
      </c>
      <c r="AB495" s="2">
        <f>[8]m!$B497</f>
        <v>6.2</v>
      </c>
      <c r="AC495" s="2">
        <f>[8]m!$F497</f>
        <v>7.8500000000000005</v>
      </c>
      <c r="AD495">
        <f>[9]Employment!$B377</f>
        <v>108695</v>
      </c>
      <c r="AE495" s="2">
        <f>[2]Indicators!$AB377</f>
        <v>60.421300000000002</v>
      </c>
      <c r="AF495" s="2">
        <f>[8]m!$AS497</f>
        <v>807</v>
      </c>
      <c r="AG495" s="2">
        <f>[8]m!$H497</f>
        <v>8.83</v>
      </c>
      <c r="AH495" s="2">
        <f>[8]m!$I497</f>
        <v>10.07</v>
      </c>
      <c r="AI495" s="2">
        <f>[7]m!C496</f>
        <v>46963</v>
      </c>
      <c r="AJ495" s="2">
        <f>[7]m!D496</f>
        <v>51179</v>
      </c>
      <c r="AK495" s="2">
        <f>[2]Surveys_m!$AB377</f>
        <v>39.400000000000006</v>
      </c>
      <c r="AL495" s="4">
        <f t="shared" si="7"/>
        <v>3163.4816247582198</v>
      </c>
      <c r="AN495" s="2">
        <v>64</v>
      </c>
      <c r="AQ495" s="3">
        <f>[9]LaborForce!$B376*[9]LaborForce!$C376/100</f>
        <v>125959.40200000002</v>
      </c>
      <c r="AR495">
        <f>[9]Unemployment!$AC377</f>
        <v>483</v>
      </c>
      <c r="AS495">
        <f>[2]Indicators!BC377</f>
        <v>60.4</v>
      </c>
      <c r="AT495">
        <f>[2]Indicators!BD377</f>
        <v>61.4283</v>
      </c>
      <c r="AU495">
        <f>[2]Indicators!BE377</f>
        <v>94.311700000000002</v>
      </c>
      <c r="AV495">
        <f>[5]m!$O497</f>
        <v>77.77</v>
      </c>
    </row>
    <row r="496" spans="1:48" x14ac:dyDescent="0.25">
      <c r="A496" s="1">
        <v>33298</v>
      </c>
      <c r="B496" s="2">
        <f>[2]Indicators!G378</f>
        <v>3950.8110000000001</v>
      </c>
      <c r="C496" s="2">
        <f>[2]Indicators!H378</f>
        <v>495.39600000000002</v>
      </c>
      <c r="D496" s="2">
        <f>[2]Indicators!I378</f>
        <v>1018.62</v>
      </c>
      <c r="E496" s="2">
        <f>[2]Indicators!J378</f>
        <v>2436.7950000000001</v>
      </c>
      <c r="L496" s="2">
        <f>[2]Indicators!N378</f>
        <v>12.848000000000001</v>
      </c>
      <c r="M496" s="2">
        <f>[2]Indicators!AB378</f>
        <v>60.105900000000005</v>
      </c>
      <c r="N496" s="2">
        <f>[8]m!$C498</f>
        <v>6.12</v>
      </c>
      <c r="O496">
        <f>[9]Unemployment!$B378</f>
        <v>6.8000000000000007</v>
      </c>
      <c r="P496" s="2">
        <f>[2]Surveys_m!$B378</f>
        <v>81.100000000000009</v>
      </c>
      <c r="Q496">
        <f>[5]m!$B498</f>
        <v>134.80000000000001</v>
      </c>
      <c r="R496">
        <f>[5]m!$D498</f>
        <v>140.5</v>
      </c>
      <c r="S496">
        <f>[5]m!$Q498</f>
        <v>116.2</v>
      </c>
      <c r="T496">
        <f>[6]m!B498</f>
        <v>-41173</v>
      </c>
      <c r="U496" s="2">
        <f>[9]Unemployment!$F378</f>
        <v>12.9</v>
      </c>
      <c r="V496" s="2">
        <f>[9]Unemployment!$G378</f>
        <v>6.7</v>
      </c>
      <c r="W496">
        <f>[9]Unemployment!$E378</f>
        <v>8586</v>
      </c>
      <c r="X496">
        <f>[9]Unemployment!N378</f>
        <v>3539</v>
      </c>
      <c r="Y496">
        <f>[9]Unemployment!O378</f>
        <v>2930</v>
      </c>
      <c r="Z496">
        <f>[9]Unemployment!P378-[9]Unemployment!Q378</f>
        <v>1186</v>
      </c>
      <c r="AA496">
        <f>[9]Unemployment!$Q378</f>
        <v>951</v>
      </c>
      <c r="AB496" s="2">
        <f>[8]m!$B498</f>
        <v>5.91</v>
      </c>
      <c r="AC496" s="2">
        <f>[8]m!$F498</f>
        <v>8.11</v>
      </c>
      <c r="AD496">
        <f>[9]Employment!$B378</f>
        <v>108535</v>
      </c>
      <c r="AE496" s="2">
        <f>[2]Indicators!$AB378</f>
        <v>60.105900000000005</v>
      </c>
      <c r="AF496" s="2">
        <f>[8]m!$AS498</f>
        <v>808.40000000000009</v>
      </c>
      <c r="AG496" s="2">
        <f>[8]m!$H498</f>
        <v>8.93</v>
      </c>
      <c r="AH496" s="2">
        <f>[8]m!$I498</f>
        <v>10.09</v>
      </c>
      <c r="AI496" s="2">
        <f>[7]m!C497</f>
        <v>46310</v>
      </c>
      <c r="AJ496" s="2">
        <f>[7]m!D497</f>
        <v>49309</v>
      </c>
      <c r="AK496" s="2">
        <f>[2]Surveys_m!$AB378</f>
        <v>40.700000000000003</v>
      </c>
      <c r="AL496" s="4">
        <f t="shared" si="7"/>
        <v>3114.0522243713726</v>
      </c>
      <c r="AN496" s="2">
        <v>63</v>
      </c>
      <c r="AQ496" s="3">
        <f>[9]LaborForce!$B377*[9]LaborForce!$C377/100</f>
        <v>126222.60299999999</v>
      </c>
      <c r="AR496">
        <f>[9]Unemployment!$AC378</f>
        <v>488</v>
      </c>
      <c r="AS496">
        <f>[2]Indicators!BC378</f>
        <v>60.800000000000004</v>
      </c>
      <c r="AT496">
        <f>[2]Indicators!BD378</f>
        <v>61.974500000000006</v>
      </c>
      <c r="AU496">
        <f>[2]Indicators!BE378</f>
        <v>95.011400000000009</v>
      </c>
      <c r="AV496">
        <f>[5]m!$O498</f>
        <v>77</v>
      </c>
    </row>
    <row r="497" spans="1:48" x14ac:dyDescent="0.25">
      <c r="A497" s="1">
        <v>33329</v>
      </c>
      <c r="B497" s="2">
        <f>[2]Indicators!G379</f>
        <v>3944.029</v>
      </c>
      <c r="C497" s="2">
        <f>[2]Indicators!H379</f>
        <v>474.416</v>
      </c>
      <c r="D497" s="2">
        <f>[2]Indicators!I379</f>
        <v>1017.234</v>
      </c>
      <c r="E497" s="2">
        <f>[2]Indicators!J379</f>
        <v>2452.3789999999999</v>
      </c>
      <c r="L497" s="2">
        <f>[2]Indicators!N379</f>
        <v>12.038</v>
      </c>
      <c r="M497" s="2">
        <f>[2]Indicators!AB379</f>
        <v>60.206100000000006</v>
      </c>
      <c r="N497" s="2">
        <f>[8]m!$C499</f>
        <v>5.91</v>
      </c>
      <c r="O497">
        <f>[9]Unemployment!$B379</f>
        <v>6.7</v>
      </c>
      <c r="P497" s="2">
        <f>[2]Surveys_m!$B379</f>
        <v>79.400000000000006</v>
      </c>
      <c r="Q497">
        <f>[5]m!$B499</f>
        <v>135.1</v>
      </c>
      <c r="R497">
        <f>[5]m!$D499</f>
        <v>140.9</v>
      </c>
      <c r="S497">
        <f>[5]m!$Q499</f>
        <v>116</v>
      </c>
      <c r="T497">
        <f>[6]m!B499</f>
        <v>30009</v>
      </c>
      <c r="U497" s="2">
        <f>[9]Unemployment!$F379</f>
        <v>13.5</v>
      </c>
      <c r="V497" s="2">
        <f>[9]Unemployment!$G379</f>
        <v>6.6000000000000005</v>
      </c>
      <c r="W497">
        <f>[9]Unemployment!$E379</f>
        <v>8439</v>
      </c>
      <c r="X497">
        <f>[9]Unemployment!N379</f>
        <v>3400</v>
      </c>
      <c r="Y497">
        <f>[9]Unemployment!O379</f>
        <v>2801</v>
      </c>
      <c r="Z497">
        <f>[9]Unemployment!P379-[9]Unemployment!Q379</f>
        <v>1227</v>
      </c>
      <c r="AA497">
        <f>[9]Unemployment!$Q379</f>
        <v>979</v>
      </c>
      <c r="AB497" s="2">
        <f>[8]m!$B499</f>
        <v>5.7</v>
      </c>
      <c r="AC497" s="2">
        <f>[8]m!$F499</f>
        <v>8.0400000000000009</v>
      </c>
      <c r="AD497">
        <f>[9]Employment!$B379</f>
        <v>108324</v>
      </c>
      <c r="AE497" s="2">
        <f>[2]Indicators!$AB379</f>
        <v>60.206100000000006</v>
      </c>
      <c r="AF497" s="2">
        <f>[8]m!$AS499</f>
        <v>807.80000000000007</v>
      </c>
      <c r="AG497" s="2">
        <f>[8]m!$H499</f>
        <v>8.86</v>
      </c>
      <c r="AH497" s="2">
        <f>[8]m!$I499</f>
        <v>9.94</v>
      </c>
      <c r="AI497" s="2">
        <f>[7]m!C498</f>
        <v>47084</v>
      </c>
      <c r="AJ497" s="2">
        <f>[7]m!D498</f>
        <v>48794</v>
      </c>
      <c r="AK497" s="2">
        <f>[2]Surveys_m!$AB379</f>
        <v>42.800000000000004</v>
      </c>
      <c r="AL497" s="4">
        <f t="shared" si="7"/>
        <v>3114.0522243713726</v>
      </c>
      <c r="AN497" s="2">
        <v>63</v>
      </c>
      <c r="AQ497" s="3">
        <f>[9]LaborForce!$B378*[9]LaborForce!$C378/100</f>
        <v>126503.288</v>
      </c>
      <c r="AR497">
        <f>[9]Unemployment!$AC379</f>
        <v>499</v>
      </c>
      <c r="AS497">
        <f>[2]Indicators!BC379</f>
        <v>61.2</v>
      </c>
      <c r="AT497">
        <f>[2]Indicators!BD379</f>
        <v>62.598500000000001</v>
      </c>
      <c r="AU497">
        <f>[2]Indicators!BE379</f>
        <v>95.825600000000009</v>
      </c>
      <c r="AV497">
        <f>[5]m!$O499</f>
        <v>76.86</v>
      </c>
    </row>
    <row r="498" spans="1:48" x14ac:dyDescent="0.25">
      <c r="A498" s="1">
        <v>33359</v>
      </c>
      <c r="B498" s="2">
        <f>[2]Indicators!G380</f>
        <v>3969.5830000000001</v>
      </c>
      <c r="C498" s="2">
        <f>[2]Indicators!H380</f>
        <v>473.54200000000003</v>
      </c>
      <c r="D498" s="2">
        <f>[2]Indicators!I380</f>
        <v>1026.7460000000001</v>
      </c>
      <c r="E498" s="2">
        <f>[2]Indicators!J380</f>
        <v>2469.2960000000003</v>
      </c>
      <c r="L498" s="2">
        <f>[2]Indicators!N380</f>
        <v>12.487</v>
      </c>
      <c r="M498" s="2">
        <f>[2]Indicators!AB380</f>
        <v>60.819500000000005</v>
      </c>
      <c r="N498" s="2">
        <f>[8]m!$C500</f>
        <v>5.78</v>
      </c>
      <c r="O498">
        <f>[9]Unemployment!$B380</f>
        <v>6.9</v>
      </c>
      <c r="P498" s="2">
        <f>[2]Surveys_m!$B380</f>
        <v>76.400000000000006</v>
      </c>
      <c r="Q498">
        <f>[5]m!$B500</f>
        <v>135.6</v>
      </c>
      <c r="R498">
        <f>[5]m!$D500</f>
        <v>141.30000000000001</v>
      </c>
      <c r="S498">
        <f>[5]m!$Q500</f>
        <v>116.5</v>
      </c>
      <c r="T498">
        <f>[6]m!B500</f>
        <v>-53367</v>
      </c>
      <c r="U498" s="2">
        <f>[9]Unemployment!$F380</f>
        <v>12.9</v>
      </c>
      <c r="V498" s="2">
        <f>[9]Unemployment!$G380</f>
        <v>6.4</v>
      </c>
      <c r="W498">
        <f>[9]Unemployment!$E380</f>
        <v>8736</v>
      </c>
      <c r="X498">
        <f>[9]Unemployment!N380</f>
        <v>3621</v>
      </c>
      <c r="Y498">
        <f>[9]Unemployment!O380</f>
        <v>2864</v>
      </c>
      <c r="Z498">
        <f>[9]Unemployment!P380-[9]Unemployment!Q380</f>
        <v>1208</v>
      </c>
      <c r="AA498">
        <f>[9]Unemployment!$Q380</f>
        <v>1044</v>
      </c>
      <c r="AB498" s="2">
        <f>[8]m!$B500</f>
        <v>5.68</v>
      </c>
      <c r="AC498" s="2">
        <f>[8]m!$F500</f>
        <v>8.07</v>
      </c>
      <c r="AD498">
        <f>[9]Employment!$B380</f>
        <v>108196</v>
      </c>
      <c r="AE498" s="2">
        <f>[2]Indicators!$AB380</f>
        <v>60.819500000000005</v>
      </c>
      <c r="AF498" s="2">
        <f>[8]m!$AS500</f>
        <v>807.80000000000007</v>
      </c>
      <c r="AG498" s="2">
        <f>[8]m!$H500</f>
        <v>8.86</v>
      </c>
      <c r="AH498" s="2">
        <f>[8]m!$I500</f>
        <v>9.86</v>
      </c>
      <c r="AI498" s="2">
        <f>[7]m!C499</f>
        <v>48887</v>
      </c>
      <c r="AJ498" s="2">
        <f>[7]m!D499</f>
        <v>49589</v>
      </c>
      <c r="AK498" s="2">
        <f>[2]Surveys_m!$AB380</f>
        <v>44.5</v>
      </c>
      <c r="AL498" s="4">
        <f t="shared" si="7"/>
        <v>3015.1934235976782</v>
      </c>
      <c r="AN498" s="2">
        <v>61</v>
      </c>
      <c r="AQ498" s="3">
        <f>[9]LaborForce!$B379*[9]LaborForce!$C379/100</f>
        <v>126210.3</v>
      </c>
      <c r="AR498">
        <f>[9]Unemployment!$AC380</f>
        <v>462</v>
      </c>
      <c r="AS498">
        <f>[2]Indicators!BC380</f>
        <v>61.6</v>
      </c>
      <c r="AT498">
        <f>[2]Indicators!BD380</f>
        <v>63.2303</v>
      </c>
      <c r="AU498">
        <f>[2]Indicators!BE380</f>
        <v>96.646200000000007</v>
      </c>
      <c r="AV498">
        <f>[5]m!$O500</f>
        <v>77.31</v>
      </c>
    </row>
    <row r="499" spans="1:48" x14ac:dyDescent="0.25">
      <c r="A499" s="1">
        <v>33390</v>
      </c>
      <c r="B499" s="2">
        <f>[2]Indicators!G381</f>
        <v>3976.2640000000001</v>
      </c>
      <c r="C499" s="2">
        <f>[2]Indicators!H381</f>
        <v>477.78700000000003</v>
      </c>
      <c r="D499" s="2">
        <f>[2]Indicators!I381</f>
        <v>1021.3150000000001</v>
      </c>
      <c r="E499" s="2">
        <f>[2]Indicators!J381</f>
        <v>2477.1620000000003</v>
      </c>
      <c r="L499" s="2">
        <f>[2]Indicators!N381</f>
        <v>12.718999999999999</v>
      </c>
      <c r="M499" s="2">
        <f>[2]Indicators!AB381</f>
        <v>61.426600000000001</v>
      </c>
      <c r="N499" s="2">
        <f>[8]m!$C501</f>
        <v>5.9</v>
      </c>
      <c r="O499">
        <f>[9]Unemployment!$B381</f>
        <v>6.9</v>
      </c>
      <c r="P499" s="2">
        <f>[2]Surveys_m!$B381</f>
        <v>78</v>
      </c>
      <c r="Q499">
        <f>[5]m!$B501</f>
        <v>136</v>
      </c>
      <c r="R499">
        <f>[5]m!$D501</f>
        <v>141.80000000000001</v>
      </c>
      <c r="S499">
        <f>[5]m!$Q501</f>
        <v>116.4</v>
      </c>
      <c r="T499">
        <f>[6]m!B501</f>
        <v>-2579</v>
      </c>
      <c r="U499" s="2">
        <f>[9]Unemployment!$F381</f>
        <v>13.700000000000001</v>
      </c>
      <c r="V499" s="2">
        <f>[9]Unemployment!$G381</f>
        <v>6.9</v>
      </c>
      <c r="W499">
        <f>[9]Unemployment!$E381</f>
        <v>8692</v>
      </c>
      <c r="X499">
        <f>[9]Unemployment!N381</f>
        <v>3428</v>
      </c>
      <c r="Y499">
        <f>[9]Unemployment!O381</f>
        <v>2862</v>
      </c>
      <c r="Z499">
        <f>[9]Unemployment!P381-[9]Unemployment!Q381</f>
        <v>1424</v>
      </c>
      <c r="AA499">
        <f>[9]Unemployment!$Q381</f>
        <v>1109</v>
      </c>
      <c r="AB499" s="2">
        <f>[8]m!$B501</f>
        <v>5.69</v>
      </c>
      <c r="AC499" s="2">
        <f>[8]m!$F501</f>
        <v>8.2799999999999994</v>
      </c>
      <c r="AD499">
        <f>[9]Employment!$B381</f>
        <v>108283</v>
      </c>
      <c r="AE499" s="2">
        <f>[2]Indicators!$AB381</f>
        <v>61.426600000000001</v>
      </c>
      <c r="AF499" s="2">
        <f>[8]m!$AS501</f>
        <v>806</v>
      </c>
      <c r="AG499" s="2">
        <f>[8]m!$H501</f>
        <v>9.01</v>
      </c>
      <c r="AH499" s="2">
        <f>[8]m!$I501</f>
        <v>9.9600000000000009</v>
      </c>
      <c r="AI499" s="2">
        <f>[7]m!C500</f>
        <v>48694</v>
      </c>
      <c r="AJ499" s="2">
        <f>[7]m!D500</f>
        <v>50076</v>
      </c>
      <c r="AK499" s="2">
        <f>[2]Surveys_m!$AB381</f>
        <v>50.300000000000004</v>
      </c>
      <c r="AL499" s="4">
        <f t="shared" si="7"/>
        <v>3163.4816247582198</v>
      </c>
      <c r="AN499" s="2">
        <v>64</v>
      </c>
      <c r="AQ499" s="3">
        <f>[9]LaborForce!$B380*[9]LaborForce!$C380/100</f>
        <v>126309.6</v>
      </c>
      <c r="AR499">
        <f>[9]Unemployment!$AC381</f>
        <v>432</v>
      </c>
      <c r="AS499">
        <f>[2]Indicators!BC381</f>
        <v>62</v>
      </c>
      <c r="AT499">
        <f>[2]Indicators!BD381</f>
        <v>63.817500000000003</v>
      </c>
      <c r="AU499">
        <f>[2]Indicators!BE381</f>
        <v>97.393000000000001</v>
      </c>
      <c r="AV499">
        <f>[5]m!$O501</f>
        <v>78.02</v>
      </c>
    </row>
    <row r="500" spans="1:48" x14ac:dyDescent="0.25">
      <c r="A500" s="1">
        <v>33420</v>
      </c>
      <c r="B500" s="2">
        <f>[2]Indicators!G382</f>
        <v>4001.1530000000002</v>
      </c>
      <c r="C500" s="2">
        <f>[2]Indicators!H382</f>
        <v>485.35500000000002</v>
      </c>
      <c r="D500" s="2">
        <f>[2]Indicators!I382</f>
        <v>1025.183</v>
      </c>
      <c r="E500" s="2">
        <f>[2]Indicators!J382</f>
        <v>2490.6150000000002</v>
      </c>
      <c r="L500" s="2">
        <f>[2]Indicators!N382</f>
        <v>12.972</v>
      </c>
      <c r="M500" s="2">
        <f>[2]Indicators!AB382</f>
        <v>61.411000000000001</v>
      </c>
      <c r="N500" s="2">
        <f>[8]m!$C502</f>
        <v>5.82</v>
      </c>
      <c r="O500">
        <f>[9]Unemployment!$B382</f>
        <v>6.8000000000000007</v>
      </c>
      <c r="P500" s="2">
        <f>[2]Surveys_m!$B382</f>
        <v>77.7</v>
      </c>
      <c r="Q500">
        <f>[5]m!$B502</f>
        <v>136.19999999999999</v>
      </c>
      <c r="R500">
        <f>[5]m!$D502</f>
        <v>142.30000000000001</v>
      </c>
      <c r="S500">
        <f>[5]m!$Q502</f>
        <v>116.10000000000001</v>
      </c>
      <c r="T500">
        <f>[6]m!B502</f>
        <v>-40831</v>
      </c>
      <c r="U500" s="2">
        <f>[9]Unemployment!$F382</f>
        <v>13.8</v>
      </c>
      <c r="V500" s="2">
        <f>[9]Unemployment!$G382</f>
        <v>7</v>
      </c>
      <c r="W500">
        <f>[9]Unemployment!$E382</f>
        <v>8586</v>
      </c>
      <c r="X500">
        <f>[9]Unemployment!N382</f>
        <v>3422</v>
      </c>
      <c r="Y500">
        <f>[9]Unemployment!O382</f>
        <v>2803</v>
      </c>
      <c r="Z500">
        <f>[9]Unemployment!P382-[9]Unemployment!Q382</f>
        <v>1280</v>
      </c>
      <c r="AA500">
        <f>[9]Unemployment!$Q382</f>
        <v>1108</v>
      </c>
      <c r="AB500" s="2">
        <f>[8]m!$B502</f>
        <v>5.69</v>
      </c>
      <c r="AC500" s="2">
        <f>[8]m!$F502</f>
        <v>8.27</v>
      </c>
      <c r="AD500">
        <f>[9]Employment!$B382</f>
        <v>108236</v>
      </c>
      <c r="AE500" s="2">
        <f>[2]Indicators!$AB382</f>
        <v>61.411000000000001</v>
      </c>
      <c r="AF500" s="2">
        <f>[8]m!$AS502</f>
        <v>804</v>
      </c>
      <c r="AG500" s="2">
        <f>[8]m!$H502</f>
        <v>9</v>
      </c>
      <c r="AH500" s="2">
        <f>[8]m!$I502</f>
        <v>9.89</v>
      </c>
      <c r="AI500" s="2">
        <f>[7]m!C501</f>
        <v>48511</v>
      </c>
      <c r="AJ500" s="2">
        <f>[7]m!D501</f>
        <v>49663</v>
      </c>
      <c r="AK500" s="2">
        <f>[2]Surveys_m!$AB382</f>
        <v>50.6</v>
      </c>
      <c r="AL500" s="4">
        <f t="shared" si="7"/>
        <v>3015.1934235976782</v>
      </c>
      <c r="AN500" s="2">
        <v>61</v>
      </c>
      <c r="AQ500" s="3">
        <f>[9]LaborForce!$B381*[9]LaborForce!$C381/100</f>
        <v>126215.30600000001</v>
      </c>
      <c r="AR500">
        <f>[9]Unemployment!$AC382</f>
        <v>418</v>
      </c>
      <c r="AS500">
        <f>[2]Indicators!BC382</f>
        <v>62.9</v>
      </c>
      <c r="AT500">
        <f>[2]Indicators!BD382</f>
        <v>64.288700000000006</v>
      </c>
      <c r="AU500">
        <f>[2]Indicators!BE382</f>
        <v>97.957000000000008</v>
      </c>
      <c r="AV500">
        <f>[5]m!$O502</f>
        <v>78.61</v>
      </c>
    </row>
    <row r="501" spans="1:48" x14ac:dyDescent="0.25">
      <c r="A501" s="1">
        <v>33451</v>
      </c>
      <c r="B501" s="2">
        <f>[2]Indicators!G383</f>
        <v>4004.2919999999999</v>
      </c>
      <c r="C501" s="2">
        <f>[2]Indicators!H383</f>
        <v>479.76400000000001</v>
      </c>
      <c r="D501" s="2">
        <f>[2]Indicators!I383</f>
        <v>1026.385</v>
      </c>
      <c r="E501" s="2">
        <f>[2]Indicators!J383</f>
        <v>2498.143</v>
      </c>
      <c r="L501" s="2">
        <f>[2]Indicators!N383</f>
        <v>12.565</v>
      </c>
      <c r="M501" s="2">
        <f>[2]Indicators!AB383</f>
        <v>61.484000000000002</v>
      </c>
      <c r="N501" s="2">
        <f>[8]m!$C503</f>
        <v>5.66</v>
      </c>
      <c r="O501">
        <f>[9]Unemployment!$B383</f>
        <v>6.9</v>
      </c>
      <c r="P501" s="2">
        <f>[2]Surveys_m!$B383</f>
        <v>76.100000000000009</v>
      </c>
      <c r="Q501">
        <f>[5]m!$B503</f>
        <v>136.6</v>
      </c>
      <c r="R501">
        <f>[5]m!$D503</f>
        <v>142.9</v>
      </c>
      <c r="S501">
        <f>[5]m!$Q503</f>
        <v>116.2</v>
      </c>
      <c r="T501">
        <f>[6]m!B503</f>
        <v>-43649</v>
      </c>
      <c r="U501" s="2">
        <f>[9]Unemployment!$F383</f>
        <v>13.9</v>
      </c>
      <c r="V501" s="2">
        <f>[9]Unemployment!$G383</f>
        <v>7.3000000000000007</v>
      </c>
      <c r="W501">
        <f>[9]Unemployment!$E383</f>
        <v>8666</v>
      </c>
      <c r="X501">
        <f>[9]Unemployment!N383</f>
        <v>3446</v>
      </c>
      <c r="Y501">
        <f>[9]Unemployment!O383</f>
        <v>2752</v>
      </c>
      <c r="Z501">
        <f>[9]Unemployment!P383-[9]Unemployment!Q383</f>
        <v>1292</v>
      </c>
      <c r="AA501">
        <f>[9]Unemployment!$Q383</f>
        <v>1168</v>
      </c>
      <c r="AB501" s="2">
        <f>[8]m!$B503</f>
        <v>5.48</v>
      </c>
      <c r="AC501" s="2">
        <f>[8]m!$F503</f>
        <v>7.9</v>
      </c>
      <c r="AD501">
        <f>[9]Employment!$B383</f>
        <v>108251</v>
      </c>
      <c r="AE501" s="2">
        <f>[2]Indicators!$AB383</f>
        <v>61.484000000000002</v>
      </c>
      <c r="AF501" s="2">
        <f>[8]m!$AS503</f>
        <v>802</v>
      </c>
      <c r="AG501" s="2">
        <f>[8]m!$H503</f>
        <v>8.75</v>
      </c>
      <c r="AH501" s="2">
        <f>[8]m!$I503</f>
        <v>9.65</v>
      </c>
      <c r="AI501" s="2">
        <f>[7]m!C502</f>
        <v>48818</v>
      </c>
      <c r="AJ501" s="2">
        <f>[7]m!D502</f>
        <v>50121</v>
      </c>
      <c r="AK501" s="2">
        <f>[2]Surveys_m!$AB383</f>
        <v>52.900000000000006</v>
      </c>
      <c r="AL501" s="4">
        <f t="shared" si="7"/>
        <v>2965.7640232108311</v>
      </c>
      <c r="AN501" s="2">
        <v>60</v>
      </c>
      <c r="AQ501" s="3">
        <f>[9]LaborForce!$B382*[9]LaborForce!$C382/100</f>
        <v>126136.56</v>
      </c>
      <c r="AR501">
        <f>[9]Unemployment!$AC383</f>
        <v>423</v>
      </c>
      <c r="AS501">
        <f>[2]Indicators!BC383</f>
        <v>62.6</v>
      </c>
      <c r="AT501">
        <f>[2]Indicators!BD383</f>
        <v>64.592799999999997</v>
      </c>
      <c r="AU501">
        <f>[2]Indicators!BE383</f>
        <v>98.261300000000006</v>
      </c>
      <c r="AV501">
        <f>[5]m!$O503</f>
        <v>78.930000000000007</v>
      </c>
    </row>
    <row r="502" spans="1:48" x14ac:dyDescent="0.25">
      <c r="A502" s="1">
        <v>33482</v>
      </c>
      <c r="B502" s="2">
        <f>[2]Indicators!G384</f>
        <v>4020.645</v>
      </c>
      <c r="C502" s="2">
        <f>[2]Indicators!H384</f>
        <v>487.88900000000001</v>
      </c>
      <c r="D502" s="2">
        <f>[2]Indicators!I384</f>
        <v>1021.6080000000001</v>
      </c>
      <c r="E502" s="2">
        <f>[2]Indicators!J384</f>
        <v>2511.1480000000001</v>
      </c>
      <c r="L502" s="2">
        <f>[2]Indicators!N384</f>
        <v>13.107000000000001</v>
      </c>
      <c r="M502" s="2">
        <f>[2]Indicators!AB384</f>
        <v>62.023300000000006</v>
      </c>
      <c r="N502" s="2">
        <f>[8]m!$C504</f>
        <v>5.45</v>
      </c>
      <c r="O502">
        <f>[9]Unemployment!$B384</f>
        <v>6.9</v>
      </c>
      <c r="P502" s="2">
        <f>[2]Surveys_m!$B384</f>
        <v>72.900000000000006</v>
      </c>
      <c r="Q502">
        <f>[5]m!$B504</f>
        <v>137</v>
      </c>
      <c r="R502">
        <f>[5]m!$D504</f>
        <v>143.4</v>
      </c>
      <c r="S502">
        <f>[5]m!$Q504</f>
        <v>116.10000000000001</v>
      </c>
      <c r="T502">
        <f>[6]m!B504</f>
        <v>-6887</v>
      </c>
      <c r="U502" s="2">
        <f>[9]Unemployment!$F384</f>
        <v>14</v>
      </c>
      <c r="V502" s="2">
        <f>[9]Unemployment!$G384</f>
        <v>6.8000000000000007</v>
      </c>
      <c r="W502">
        <f>[9]Unemployment!$E384</f>
        <v>8722</v>
      </c>
      <c r="X502">
        <f>[9]Unemployment!N384</f>
        <v>3478</v>
      </c>
      <c r="Y502">
        <f>[9]Unemployment!O384</f>
        <v>2734</v>
      </c>
      <c r="Z502">
        <f>[9]Unemployment!P384-[9]Unemployment!Q384</f>
        <v>1306</v>
      </c>
      <c r="AA502">
        <f>[9]Unemployment!$Q384</f>
        <v>1191</v>
      </c>
      <c r="AB502" s="2">
        <f>[8]m!$B504</f>
        <v>5.26</v>
      </c>
      <c r="AC502" s="2">
        <f>[8]m!$F504</f>
        <v>7.65</v>
      </c>
      <c r="AD502">
        <f>[9]Employment!$B384</f>
        <v>108286</v>
      </c>
      <c r="AE502" s="2">
        <f>[2]Indicators!$AB384</f>
        <v>62.023300000000006</v>
      </c>
      <c r="AF502" s="2">
        <f>[8]m!$AS504</f>
        <v>800.90000000000009</v>
      </c>
      <c r="AG502" s="2">
        <f>[8]m!$H504</f>
        <v>8.61</v>
      </c>
      <c r="AH502" s="2">
        <f>[8]m!$I504</f>
        <v>9.51</v>
      </c>
      <c r="AI502" s="2">
        <f>[7]m!C503</f>
        <v>48805</v>
      </c>
      <c r="AJ502" s="2">
        <f>[7]m!D503</f>
        <v>50610</v>
      </c>
      <c r="AK502" s="2">
        <f>[2]Surveys_m!$AB384</f>
        <v>54.900000000000006</v>
      </c>
      <c r="AL502" s="4">
        <f t="shared" si="7"/>
        <v>3064.6228239845254</v>
      </c>
      <c r="AN502" s="2">
        <v>62</v>
      </c>
      <c r="AQ502" s="3">
        <f>[9]LaborForce!$B383*[9]LaborForce!$C383/100</f>
        <v>126641.924</v>
      </c>
      <c r="AR502">
        <f>[9]Unemployment!$AC384</f>
        <v>425</v>
      </c>
      <c r="AS502">
        <f>[2]Indicators!BC384</f>
        <v>62.800000000000004</v>
      </c>
      <c r="AT502">
        <f>[2]Indicators!BD384</f>
        <v>64.746600000000001</v>
      </c>
      <c r="AU502">
        <f>[2]Indicators!BE384</f>
        <v>98.332100000000011</v>
      </c>
      <c r="AV502">
        <f>[5]m!$O504</f>
        <v>78.88</v>
      </c>
    </row>
    <row r="503" spans="1:48" x14ac:dyDescent="0.25">
      <c r="A503" s="1">
        <v>33512</v>
      </c>
      <c r="B503" s="2">
        <f>[2]Indicators!G385</f>
        <v>4013.4970000000003</v>
      </c>
      <c r="C503" s="2">
        <f>[2]Indicators!H385</f>
        <v>474.13499999999999</v>
      </c>
      <c r="D503" s="2">
        <f>[2]Indicators!I385</f>
        <v>1018.4490000000001</v>
      </c>
      <c r="E503" s="2">
        <f>[2]Indicators!J385</f>
        <v>2520.913</v>
      </c>
      <c r="L503" s="2">
        <f>[2]Indicators!N385</f>
        <v>12.217000000000001</v>
      </c>
      <c r="M503" s="2">
        <f>[2]Indicators!AB385</f>
        <v>61.889000000000003</v>
      </c>
      <c r="N503" s="2">
        <f>[8]m!$C505</f>
        <v>5.21</v>
      </c>
      <c r="O503">
        <f>[9]Unemployment!$B385</f>
        <v>7</v>
      </c>
      <c r="P503" s="2">
        <f>[2]Surveys_m!$B385</f>
        <v>60.1</v>
      </c>
      <c r="Q503">
        <f>[5]m!$B505</f>
        <v>137.20000000000002</v>
      </c>
      <c r="R503">
        <f>[5]m!$D505</f>
        <v>143.70000000000002</v>
      </c>
      <c r="S503">
        <f>[5]m!$Q505</f>
        <v>116.4</v>
      </c>
      <c r="T503">
        <f>[6]m!B505</f>
        <v>-36594</v>
      </c>
      <c r="U503" s="2">
        <f>[9]Unemployment!$F385</f>
        <v>14.4</v>
      </c>
      <c r="V503" s="2">
        <f>[9]Unemployment!$G385</f>
        <v>7.2</v>
      </c>
      <c r="W503">
        <f>[9]Unemployment!$E385</f>
        <v>8842</v>
      </c>
      <c r="X503">
        <f>[9]Unemployment!N385</f>
        <v>3473</v>
      </c>
      <c r="Y503">
        <f>[9]Unemployment!O385</f>
        <v>2779</v>
      </c>
      <c r="Z503">
        <f>[9]Unemployment!P385-[9]Unemployment!Q385</f>
        <v>1403</v>
      </c>
      <c r="AA503">
        <f>[9]Unemployment!$Q385</f>
        <v>1235</v>
      </c>
      <c r="AB503" s="2">
        <f>[8]m!$B505</f>
        <v>4.95</v>
      </c>
      <c r="AC503" s="2">
        <f>[8]m!$F505</f>
        <v>7.53</v>
      </c>
      <c r="AD503">
        <f>[9]Employment!$B385</f>
        <v>108298</v>
      </c>
      <c r="AE503" s="2">
        <f>[2]Indicators!$AB385</f>
        <v>61.889000000000003</v>
      </c>
      <c r="AF503" s="2">
        <f>[8]m!$AS505</f>
        <v>798.6</v>
      </c>
      <c r="AG503" s="2">
        <f>[8]m!$H505</f>
        <v>8.5500000000000007</v>
      </c>
      <c r="AH503" s="2">
        <f>[8]m!$I505</f>
        <v>9.49</v>
      </c>
      <c r="AI503" s="2">
        <f>[7]m!C504</f>
        <v>49106</v>
      </c>
      <c r="AJ503" s="2">
        <f>[7]m!D504</f>
        <v>51196</v>
      </c>
      <c r="AK503" s="2">
        <f>[2]Surveys_m!$AB385</f>
        <v>53.1</v>
      </c>
      <c r="AL503" s="4">
        <f t="shared" si="7"/>
        <v>2916.3346228239839</v>
      </c>
      <c r="AN503" s="2">
        <v>59</v>
      </c>
      <c r="AQ503" s="3">
        <f>[9]LaborForce!$B384*[9]LaborForce!$C384/100</f>
        <v>126579.51700000001</v>
      </c>
      <c r="AR503">
        <f>[9]Unemployment!$AC385</f>
        <v>437</v>
      </c>
      <c r="AS503">
        <f>[2]Indicators!BC385</f>
        <v>62.9</v>
      </c>
      <c r="AT503">
        <f>[2]Indicators!BD385</f>
        <v>64.803899999999999</v>
      </c>
      <c r="AU503">
        <f>[2]Indicators!BE385</f>
        <v>98.251900000000006</v>
      </c>
      <c r="AV503">
        <f>[5]m!$O505</f>
        <v>78.680000000000007</v>
      </c>
    </row>
    <row r="504" spans="1:48" x14ac:dyDescent="0.25">
      <c r="A504" s="1">
        <v>33543</v>
      </c>
      <c r="B504" s="2">
        <f>[2]Indicators!G386</f>
        <v>4042.239</v>
      </c>
      <c r="C504" s="2">
        <f>[2]Indicators!H386</f>
        <v>477.33600000000001</v>
      </c>
      <c r="D504" s="2">
        <f>[2]Indicators!I386</f>
        <v>1022.624</v>
      </c>
      <c r="E504" s="2">
        <f>[2]Indicators!J386</f>
        <v>2542.2800000000002</v>
      </c>
      <c r="L504" s="2">
        <f>[2]Indicators!N386</f>
        <v>12.576000000000001</v>
      </c>
      <c r="M504" s="2">
        <f>[2]Indicators!AB386</f>
        <v>61.807400000000001</v>
      </c>
      <c r="N504" s="2">
        <f>[8]m!$C506</f>
        <v>4.8100000000000005</v>
      </c>
      <c r="O504">
        <f>[9]Unemployment!$B386</f>
        <v>7</v>
      </c>
      <c r="P504" s="2">
        <f>[2]Surveys_m!$B386</f>
        <v>52.7</v>
      </c>
      <c r="Q504">
        <f>[5]m!$B506</f>
        <v>137.80000000000001</v>
      </c>
      <c r="R504">
        <f>[5]m!$D506</f>
        <v>144.20000000000002</v>
      </c>
      <c r="S504">
        <f>[5]m!$Q506</f>
        <v>116.4</v>
      </c>
      <c r="T504">
        <f>[6]m!B506</f>
        <v>-44684</v>
      </c>
      <c r="U504" s="2">
        <f>[9]Unemployment!$F386</f>
        <v>14.8</v>
      </c>
      <c r="V504" s="2">
        <f>[9]Unemployment!$G386</f>
        <v>7.5</v>
      </c>
      <c r="W504">
        <f>[9]Unemployment!$E386</f>
        <v>8931</v>
      </c>
      <c r="X504">
        <f>[9]Unemployment!N386</f>
        <v>3460</v>
      </c>
      <c r="Y504">
        <f>[9]Unemployment!O386</f>
        <v>2781</v>
      </c>
      <c r="Z504">
        <f>[9]Unemployment!P386-[9]Unemployment!Q386</f>
        <v>1342</v>
      </c>
      <c r="AA504">
        <f>[9]Unemployment!$Q386</f>
        <v>1376</v>
      </c>
      <c r="AB504" s="2">
        <f>[8]m!$B506</f>
        <v>4.47</v>
      </c>
      <c r="AC504" s="2">
        <f>[8]m!$F506</f>
        <v>7.42</v>
      </c>
      <c r="AD504">
        <f>[9]Employment!$B386</f>
        <v>108240</v>
      </c>
      <c r="AE504" s="2">
        <f>[2]Indicators!$AB386</f>
        <v>61.807400000000001</v>
      </c>
      <c r="AF504" s="2">
        <f>[8]m!$AS506</f>
        <v>798.30000000000007</v>
      </c>
      <c r="AG504" s="2">
        <f>[8]m!$H506</f>
        <v>8.48</v>
      </c>
      <c r="AH504" s="2">
        <f>[8]m!$I506</f>
        <v>9.4500000000000011</v>
      </c>
      <c r="AI504" s="2">
        <f>[7]m!C505</f>
        <v>51193</v>
      </c>
      <c r="AJ504" s="2">
        <f>[7]m!D505</f>
        <v>52496</v>
      </c>
      <c r="AK504" s="2">
        <f>[2]Surveys_m!$AB386</f>
        <v>49.5</v>
      </c>
      <c r="AL504" s="4">
        <f t="shared" si="7"/>
        <v>2965.7640232108311</v>
      </c>
      <c r="AN504" s="2">
        <v>60</v>
      </c>
      <c r="AQ504" s="3">
        <f>[9]LaborForce!$B385*[9]LaborForce!$C385/100</f>
        <v>126685.27700000002</v>
      </c>
      <c r="AR504">
        <f>[9]Unemployment!$AC386</f>
        <v>447</v>
      </c>
      <c r="AS504">
        <f>[2]Indicators!BC386</f>
        <v>62.9</v>
      </c>
      <c r="AT504">
        <f>[2]Indicators!BD386</f>
        <v>64.840800000000002</v>
      </c>
      <c r="AU504">
        <f>[2]Indicators!BE386</f>
        <v>98.135900000000007</v>
      </c>
      <c r="AV504">
        <f>[5]m!$O506</f>
        <v>78.31</v>
      </c>
    </row>
    <row r="505" spans="1:48" x14ac:dyDescent="0.25">
      <c r="A505" s="1">
        <v>33573</v>
      </c>
      <c r="B505" s="2">
        <f>[2]Indicators!G387</f>
        <v>4059.9900000000002</v>
      </c>
      <c r="C505" s="2">
        <f>[2]Indicators!H387</f>
        <v>480.89600000000002</v>
      </c>
      <c r="D505" s="2">
        <f>[2]Indicators!I387</f>
        <v>1021.024</v>
      </c>
      <c r="E505" s="2">
        <f>[2]Indicators!J387</f>
        <v>2558.0700000000002</v>
      </c>
      <c r="L505" s="2">
        <f>[2]Indicators!N387</f>
        <v>12.657999999999999</v>
      </c>
      <c r="M505" s="2">
        <f>[2]Indicators!AB387</f>
        <v>61.597700000000003</v>
      </c>
      <c r="N505" s="2">
        <f>[8]m!$C507</f>
        <v>4.43</v>
      </c>
      <c r="O505">
        <f>[9]Unemployment!$B387</f>
        <v>7.3000000000000007</v>
      </c>
      <c r="P505" s="2">
        <f>[2]Surveys_m!$B387</f>
        <v>52.5</v>
      </c>
      <c r="Q505">
        <f>[5]m!$B507</f>
        <v>138.20000000000002</v>
      </c>
      <c r="R505">
        <f>[5]m!$D507</f>
        <v>144.70000000000002</v>
      </c>
      <c r="S505">
        <f>[5]m!$Q507</f>
        <v>115.9</v>
      </c>
      <c r="T505">
        <f>[6]m!B507</f>
        <v>-2534</v>
      </c>
      <c r="U505" s="2">
        <f>[9]Unemployment!$F387</f>
        <v>15.4</v>
      </c>
      <c r="V505" s="2">
        <f>[9]Unemployment!$G387</f>
        <v>7.8000000000000007</v>
      </c>
      <c r="W505">
        <f>[9]Unemployment!$E387</f>
        <v>9198</v>
      </c>
      <c r="X505">
        <f>[9]Unemployment!N387</f>
        <v>3473</v>
      </c>
      <c r="Y505">
        <f>[9]Unemployment!O387</f>
        <v>2813</v>
      </c>
      <c r="Z505">
        <f>[9]Unemployment!P387-[9]Unemployment!Q387</f>
        <v>1388</v>
      </c>
      <c r="AA505">
        <f>[9]Unemployment!$Q387</f>
        <v>1504</v>
      </c>
      <c r="AB505" s="2">
        <f>[8]m!$B507</f>
        <v>3.95</v>
      </c>
      <c r="AC505" s="2">
        <f>[8]m!$F507</f>
        <v>7.09</v>
      </c>
      <c r="AD505">
        <f>[9]Employment!$B387</f>
        <v>108263</v>
      </c>
      <c r="AE505" s="2">
        <f>[2]Indicators!$AB387</f>
        <v>61.597700000000003</v>
      </c>
      <c r="AF505" s="2">
        <f>[8]m!$AS507</f>
        <v>798</v>
      </c>
      <c r="AG505" s="2">
        <f>[8]m!$H507</f>
        <v>8.31</v>
      </c>
      <c r="AH505" s="2">
        <f>[8]m!$I507</f>
        <v>9.26</v>
      </c>
      <c r="AI505" s="2">
        <f>[7]m!C506</f>
        <v>51624</v>
      </c>
      <c r="AJ505" s="2">
        <f>[7]m!D506</f>
        <v>51687</v>
      </c>
      <c r="AK505" s="2">
        <f>[2]Surveys_m!$AB387</f>
        <v>46.800000000000004</v>
      </c>
      <c r="AL505" s="4">
        <f t="shared" si="7"/>
        <v>2965.7640232108311</v>
      </c>
      <c r="AN505" s="2">
        <v>60</v>
      </c>
      <c r="AQ505" s="3">
        <f>[9]LaborForce!$B386*[9]LaborForce!$C386/100</f>
        <v>126586.68</v>
      </c>
      <c r="AR505">
        <f>[9]Unemployment!$AC387</f>
        <v>444</v>
      </c>
      <c r="AS505">
        <f>[2]Indicators!BC387</f>
        <v>62.7</v>
      </c>
      <c r="AT505">
        <f>[2]Indicators!BD387</f>
        <v>64.944600000000008</v>
      </c>
      <c r="AU505">
        <f>[2]Indicators!BE387</f>
        <v>98.115600000000001</v>
      </c>
      <c r="AV505">
        <f>[5]m!$O507</f>
        <v>77.989999999999995</v>
      </c>
    </row>
    <row r="506" spans="1:48" x14ac:dyDescent="0.25">
      <c r="A506" s="1">
        <v>33604</v>
      </c>
      <c r="B506" s="2">
        <f>[2]Indicators!G388</f>
        <v>4124.7240000000002</v>
      </c>
      <c r="C506" s="2">
        <f>[2]Indicators!H388</f>
        <v>495.58100000000002</v>
      </c>
      <c r="D506" s="2">
        <f>[2]Indicators!I388</f>
        <v>1039.98</v>
      </c>
      <c r="E506" s="2">
        <f>[2]Indicators!J388</f>
        <v>2589.163</v>
      </c>
      <c r="J506" s="2">
        <f>[2]Indicators!L388</f>
        <v>147140</v>
      </c>
      <c r="K506" s="2">
        <f>[2]Indicators!M388</f>
        <v>118784</v>
      </c>
      <c r="L506" s="2">
        <f>[2]Indicators!N388</f>
        <v>12.591000000000001</v>
      </c>
      <c r="M506" s="2">
        <f>[2]Indicators!AB388</f>
        <v>61.212800000000001</v>
      </c>
      <c r="N506" s="2">
        <f>[8]m!$C508</f>
        <v>4.03</v>
      </c>
      <c r="O506">
        <f>[9]Unemployment!$B388</f>
        <v>7.3000000000000007</v>
      </c>
      <c r="P506" s="2">
        <f>[2]Surveys_m!$B388</f>
        <v>50.2</v>
      </c>
      <c r="Q506">
        <f>[5]m!$B508</f>
        <v>138.30000000000001</v>
      </c>
      <c r="R506">
        <f>[5]m!$D508</f>
        <v>145.1</v>
      </c>
      <c r="S506">
        <f>[5]m!$Q508</f>
        <v>115.60000000000001</v>
      </c>
      <c r="T506">
        <f>[6]m!B508</f>
        <v>-15668</v>
      </c>
      <c r="U506" s="2">
        <f>[9]Unemployment!$F388</f>
        <v>16.100000000000001</v>
      </c>
      <c r="V506" s="2">
        <f>[9]Unemployment!$G388</f>
        <v>8.1</v>
      </c>
      <c r="W506">
        <f>[9]Unemployment!$E388</f>
        <v>9283</v>
      </c>
      <c r="X506">
        <f>[9]Unemployment!N388</f>
        <v>3398</v>
      </c>
      <c r="Y506">
        <f>[9]Unemployment!O388</f>
        <v>2826</v>
      </c>
      <c r="Z506">
        <f>[9]Unemployment!P388-[9]Unemployment!Q388</f>
        <v>1437</v>
      </c>
      <c r="AA506">
        <f>[9]Unemployment!$Q388</f>
        <v>1623</v>
      </c>
      <c r="AB506" s="2">
        <f>[8]m!$B508</f>
        <v>3.94</v>
      </c>
      <c r="AC506" s="2">
        <f>[8]m!$F508</f>
        <v>7.03</v>
      </c>
      <c r="AD506">
        <f>[9]Employment!$B388</f>
        <v>108312</v>
      </c>
      <c r="AE506" s="2">
        <f>[2]Indicators!$AB388</f>
        <v>61.212800000000001</v>
      </c>
      <c r="AF506" s="2">
        <f>[8]m!$AS508</f>
        <v>799</v>
      </c>
      <c r="AG506" s="2">
        <f>[8]m!$H508</f>
        <v>8.1999999999999993</v>
      </c>
      <c r="AH506" s="2">
        <f>[8]m!$I508</f>
        <v>9.1300000000000008</v>
      </c>
      <c r="AI506" s="2">
        <f>[7]m!C507</f>
        <v>50158</v>
      </c>
      <c r="AJ506" s="2">
        <f>[7]m!D507</f>
        <v>51829</v>
      </c>
      <c r="AK506" s="2">
        <f>[2]Surveys_m!$AB388</f>
        <v>47.300000000000004</v>
      </c>
      <c r="AL506" s="4">
        <f t="shared" si="7"/>
        <v>2916.3346228239839</v>
      </c>
      <c r="AN506" s="2">
        <v>59</v>
      </c>
      <c r="AQ506" s="3">
        <f>[9]LaborForce!$B387*[9]LaborForce!$C387/100</f>
        <v>127264.83900000001</v>
      </c>
      <c r="AR506">
        <f>[9]Unemployment!$AC388</f>
        <v>441</v>
      </c>
      <c r="AS506">
        <f>[2]Indicators!BC388</f>
        <v>63.300000000000004</v>
      </c>
      <c r="AT506">
        <f>[2]Indicators!BD388</f>
        <v>65.1708</v>
      </c>
      <c r="AU506">
        <f>[2]Indicators!BE388</f>
        <v>98.273800000000008</v>
      </c>
      <c r="AV506">
        <f>[5]m!$O508</f>
        <v>77.739999999999995</v>
      </c>
    </row>
    <row r="507" spans="1:48" x14ac:dyDescent="0.25">
      <c r="A507" s="1">
        <v>33635</v>
      </c>
      <c r="B507" s="2">
        <f>[2]Indicators!G389</f>
        <v>4139.4539999999997</v>
      </c>
      <c r="C507" s="2">
        <f>[2]Indicators!H389</f>
        <v>501.26</v>
      </c>
      <c r="D507" s="2">
        <f>[2]Indicators!I389</f>
        <v>1038.6179999999999</v>
      </c>
      <c r="E507" s="2">
        <f>[2]Indicators!J389</f>
        <v>2599.5750000000003</v>
      </c>
      <c r="J507" s="2">
        <f>[2]Indicators!L389</f>
        <v>147808</v>
      </c>
      <c r="K507" s="2">
        <f>[2]Indicators!M389</f>
        <v>118949</v>
      </c>
      <c r="L507" s="2">
        <f>[2]Indicators!N389</f>
        <v>12.927</v>
      </c>
      <c r="M507" s="2">
        <f>[2]Indicators!AB389</f>
        <v>61.691000000000003</v>
      </c>
      <c r="N507" s="2">
        <f>[8]m!$C509</f>
        <v>4.0600000000000005</v>
      </c>
      <c r="O507">
        <f>[9]Unemployment!$B389</f>
        <v>7.4</v>
      </c>
      <c r="P507" s="2">
        <f>[2]Surveys_m!$B389</f>
        <v>47.300000000000004</v>
      </c>
      <c r="Q507">
        <f>[5]m!$B509</f>
        <v>138.6</v>
      </c>
      <c r="R507">
        <f>[5]m!$D509</f>
        <v>145.4</v>
      </c>
      <c r="S507">
        <f>[5]m!$Q509</f>
        <v>116</v>
      </c>
      <c r="T507">
        <f>[6]m!B509</f>
        <v>-49180</v>
      </c>
      <c r="U507" s="2">
        <f>[9]Unemployment!$F389</f>
        <v>16.7</v>
      </c>
      <c r="V507" s="2">
        <f>[9]Unemployment!$G389</f>
        <v>8.2000000000000011</v>
      </c>
      <c r="W507">
        <f>[9]Unemployment!$E389</f>
        <v>9454</v>
      </c>
      <c r="X507">
        <f>[9]Unemployment!N389</f>
        <v>3277</v>
      </c>
      <c r="Y507">
        <f>[9]Unemployment!O389</f>
        <v>2953</v>
      </c>
      <c r="Z507">
        <f>[9]Unemployment!P389-[9]Unemployment!Q389</f>
        <v>1478</v>
      </c>
      <c r="AA507">
        <f>[9]Unemployment!$Q389</f>
        <v>1704</v>
      </c>
      <c r="AB507" s="2">
        <f>[8]m!$B509</f>
        <v>4.0200000000000005</v>
      </c>
      <c r="AC507" s="2">
        <f>[8]m!$F509</f>
        <v>7.34</v>
      </c>
      <c r="AD507">
        <f>[9]Employment!$B389</f>
        <v>108246</v>
      </c>
      <c r="AE507" s="2">
        <f>[2]Indicators!$AB389</f>
        <v>61.691000000000003</v>
      </c>
      <c r="AF507" s="2">
        <f>[8]m!$AS509</f>
        <v>799.6</v>
      </c>
      <c r="AG507" s="2">
        <f>[8]m!$H509</f>
        <v>8.2900000000000009</v>
      </c>
      <c r="AH507" s="2">
        <f>[8]m!$I509</f>
        <v>9.23</v>
      </c>
      <c r="AI507" s="2">
        <f>[7]m!C508</f>
        <v>50251</v>
      </c>
      <c r="AJ507" s="2">
        <f>[7]m!D508</f>
        <v>52277</v>
      </c>
      <c r="AK507" s="2">
        <f>[2]Surveys_m!$AB389</f>
        <v>52.7</v>
      </c>
      <c r="AL507" s="4">
        <f t="shared" si="7"/>
        <v>3015.1934235976782</v>
      </c>
      <c r="AM507">
        <f>[2]Indicators!$BB389</f>
        <v>106770</v>
      </c>
      <c r="AN507" s="2">
        <v>61</v>
      </c>
      <c r="AQ507" s="3">
        <f>[9]LaborForce!$B388*[9]LaborForce!$C388/100</f>
        <v>127148.35400000001</v>
      </c>
      <c r="AR507">
        <f>[9]Unemployment!$AC389</f>
        <v>440</v>
      </c>
      <c r="AS507">
        <f>[2]Indicators!BC389</f>
        <v>63.7</v>
      </c>
      <c r="AT507">
        <f>[2]Indicators!BD389</f>
        <v>65.493200000000002</v>
      </c>
      <c r="AU507">
        <f>[2]Indicators!BE389</f>
        <v>98.569500000000005</v>
      </c>
      <c r="AV507">
        <f>[5]m!$O509</f>
        <v>77.510000000000005</v>
      </c>
    </row>
    <row r="508" spans="1:48" x14ac:dyDescent="0.25">
      <c r="A508" s="1">
        <v>33664</v>
      </c>
      <c r="B508" s="2">
        <f>[2]Indicators!G390</f>
        <v>4156.2809999999999</v>
      </c>
      <c r="C508" s="2">
        <f>[2]Indicators!H390</f>
        <v>491.69900000000001</v>
      </c>
      <c r="D508" s="2">
        <f>[2]Indicators!I390</f>
        <v>1034.405</v>
      </c>
      <c r="E508" s="2">
        <f>[2]Indicators!J390</f>
        <v>2630.1779999999999</v>
      </c>
      <c r="J508" s="2">
        <f>[2]Indicators!L390</f>
        <v>147327</v>
      </c>
      <c r="K508" s="2">
        <f>[2]Indicators!M390</f>
        <v>118060</v>
      </c>
      <c r="L508" s="2">
        <f>[2]Indicators!N390</f>
        <v>12.824</v>
      </c>
      <c r="M508" s="2">
        <f>[2]Indicators!AB390</f>
        <v>62.194400000000002</v>
      </c>
      <c r="N508" s="2">
        <f>[8]m!$C510</f>
        <v>3.98</v>
      </c>
      <c r="O508">
        <f>[9]Unemployment!$B390</f>
        <v>7.4</v>
      </c>
      <c r="P508" s="2">
        <f>[2]Surveys_m!$B390</f>
        <v>56.5</v>
      </c>
      <c r="Q508">
        <f>[5]m!$B510</f>
        <v>139.1</v>
      </c>
      <c r="R508">
        <f>[5]m!$D510</f>
        <v>145.9</v>
      </c>
      <c r="S508">
        <f>[5]m!$Q510</f>
        <v>116.10000000000001</v>
      </c>
      <c r="T508">
        <f>[6]m!B510</f>
        <v>-50712</v>
      </c>
      <c r="U508" s="2">
        <f>[9]Unemployment!$F390</f>
        <v>17.100000000000001</v>
      </c>
      <c r="V508" s="2">
        <f>[9]Unemployment!$G390</f>
        <v>8.3000000000000007</v>
      </c>
      <c r="W508">
        <f>[9]Unemployment!$E390</f>
        <v>9460</v>
      </c>
      <c r="X508">
        <f>[9]Unemployment!N390</f>
        <v>3412</v>
      </c>
      <c r="Y508">
        <f>[9]Unemployment!O390</f>
        <v>2801</v>
      </c>
      <c r="Z508">
        <f>[9]Unemployment!P390-[9]Unemployment!Q390</f>
        <v>1425</v>
      </c>
      <c r="AA508">
        <f>[9]Unemployment!$Q390</f>
        <v>1771</v>
      </c>
      <c r="AB508" s="2">
        <f>[8]m!$B510</f>
        <v>4.1500000000000004</v>
      </c>
      <c r="AC508" s="2">
        <f>[8]m!$F510</f>
        <v>7.54</v>
      </c>
      <c r="AD508">
        <f>[9]Employment!$B390</f>
        <v>108296</v>
      </c>
      <c r="AE508" s="2">
        <f>[2]Indicators!$AB390</f>
        <v>62.194400000000002</v>
      </c>
      <c r="AF508" s="2">
        <f>[8]m!$AS510</f>
        <v>799.40000000000009</v>
      </c>
      <c r="AG508" s="2">
        <f>[8]m!$H510</f>
        <v>8.35</v>
      </c>
      <c r="AH508" s="2">
        <f>[8]m!$I510</f>
        <v>9.25</v>
      </c>
      <c r="AI508" s="2">
        <f>[7]m!C509</f>
        <v>51682</v>
      </c>
      <c r="AJ508" s="2">
        <f>[7]m!D509</f>
        <v>52513</v>
      </c>
      <c r="AK508" s="2">
        <f>[2]Surveys_m!$AB390</f>
        <v>54.6</v>
      </c>
      <c r="AL508" s="4">
        <f t="shared" si="7"/>
        <v>3163.4816247582198</v>
      </c>
      <c r="AM508">
        <f>[2]Indicators!$BB390</f>
        <v>112796</v>
      </c>
      <c r="AN508" s="2">
        <v>64</v>
      </c>
      <c r="AQ508" s="3">
        <f>[9]LaborForce!$B389*[9]LaborForce!$C389/100</f>
        <v>127623.45600000002</v>
      </c>
      <c r="AR508">
        <f>[9]Unemployment!$AC390</f>
        <v>444</v>
      </c>
      <c r="AS508">
        <f>[2]Indicators!BC390</f>
        <v>64.400000000000006</v>
      </c>
      <c r="AT508">
        <f>[2]Indicators!BD390</f>
        <v>65.852100000000007</v>
      </c>
      <c r="AU508">
        <f>[2]Indicators!BE390</f>
        <v>98.912599999999998</v>
      </c>
      <c r="AV508">
        <f>[5]m!$O510</f>
        <v>77.31</v>
      </c>
    </row>
    <row r="509" spans="1:48" x14ac:dyDescent="0.25">
      <c r="A509" s="1">
        <v>33695</v>
      </c>
      <c r="B509" s="2">
        <f>[2]Indicators!G391</f>
        <v>4169.3469999999998</v>
      </c>
      <c r="C509" s="2">
        <f>[2]Indicators!H391</f>
        <v>490.00600000000003</v>
      </c>
      <c r="D509" s="2">
        <f>[2]Indicators!I391</f>
        <v>1043.306</v>
      </c>
      <c r="E509" s="2">
        <f>[2]Indicators!J391</f>
        <v>2636.0349999999999</v>
      </c>
      <c r="J509" s="2">
        <f>[2]Indicators!L391</f>
        <v>148412</v>
      </c>
      <c r="K509" s="2">
        <f>[2]Indicators!M391</f>
        <v>118425</v>
      </c>
      <c r="L509" s="2">
        <f>[2]Indicators!N391</f>
        <v>12.55</v>
      </c>
      <c r="M509" s="2">
        <f>[2]Indicators!AB391</f>
        <v>62.643300000000004</v>
      </c>
      <c r="N509" s="2">
        <f>[8]m!$C511</f>
        <v>3.73</v>
      </c>
      <c r="O509">
        <f>[9]Unemployment!$B391</f>
        <v>7.4</v>
      </c>
      <c r="P509" s="2">
        <f>[2]Surveys_m!$B391</f>
        <v>65.100000000000009</v>
      </c>
      <c r="Q509">
        <f>[5]m!$B511</f>
        <v>139.4</v>
      </c>
      <c r="R509">
        <f>[5]m!$D511</f>
        <v>146.30000000000001</v>
      </c>
      <c r="S509">
        <f>[5]m!$Q511</f>
        <v>116.30000000000001</v>
      </c>
      <c r="T509">
        <f>[6]m!B511</f>
        <v>14603</v>
      </c>
      <c r="U509" s="2">
        <f>[9]Unemployment!$F391</f>
        <v>17.400000000000002</v>
      </c>
      <c r="V509" s="2">
        <f>[9]Unemployment!$G391</f>
        <v>8.5</v>
      </c>
      <c r="W509">
        <f>[9]Unemployment!$E391</f>
        <v>9415</v>
      </c>
      <c r="X509">
        <f>[9]Unemployment!N391</f>
        <v>3296</v>
      </c>
      <c r="Y509">
        <f>[9]Unemployment!O391</f>
        <v>2821</v>
      </c>
      <c r="Z509">
        <f>[9]Unemployment!P391-[9]Unemployment!Q391</f>
        <v>1380</v>
      </c>
      <c r="AA509">
        <f>[9]Unemployment!$Q391</f>
        <v>1750</v>
      </c>
      <c r="AB509" s="2">
        <f>[8]m!$B511</f>
        <v>3.79</v>
      </c>
      <c r="AC509" s="2">
        <f>[8]m!$F511</f>
        <v>7.48</v>
      </c>
      <c r="AD509">
        <f>[9]Employment!$B391</f>
        <v>108454</v>
      </c>
      <c r="AE509" s="2">
        <f>[2]Indicators!$AB391</f>
        <v>62.643300000000004</v>
      </c>
      <c r="AF509" s="2">
        <f>[8]m!$AS511</f>
        <v>797.7</v>
      </c>
      <c r="AG509" s="2">
        <f>[8]m!$H511</f>
        <v>8.33</v>
      </c>
      <c r="AH509" s="2">
        <f>[8]m!$I511</f>
        <v>9.2100000000000009</v>
      </c>
      <c r="AI509" s="2">
        <f>[7]m!C510</f>
        <v>50294</v>
      </c>
      <c r="AJ509" s="2">
        <f>[7]m!D510</f>
        <v>52935</v>
      </c>
      <c r="AK509" s="2">
        <f>[2]Surveys_m!$AB391</f>
        <v>52.6</v>
      </c>
      <c r="AL509" s="4">
        <f t="shared" si="7"/>
        <v>3015.1934235976782</v>
      </c>
      <c r="AM509">
        <f>[2]Indicators!$BB391</f>
        <v>116527</v>
      </c>
      <c r="AN509" s="2">
        <v>61</v>
      </c>
      <c r="AQ509" s="3">
        <f>[9]LaborForce!$B390*[9]LaborForce!$C390/100</f>
        <v>127915.41</v>
      </c>
      <c r="AR509">
        <f>[9]Unemployment!$AC391</f>
        <v>420</v>
      </c>
      <c r="AS509">
        <f>[2]Indicators!BC391</f>
        <v>64.7</v>
      </c>
      <c r="AT509">
        <f>[2]Indicators!BD391</f>
        <v>66.171300000000002</v>
      </c>
      <c r="AU509">
        <f>[2]Indicators!BE391</f>
        <v>99.188500000000005</v>
      </c>
      <c r="AV509">
        <f>[5]m!$O511</f>
        <v>77.36</v>
      </c>
    </row>
    <row r="510" spans="1:48" x14ac:dyDescent="0.25">
      <c r="A510" s="1">
        <v>33725</v>
      </c>
      <c r="B510" s="2">
        <f>[2]Indicators!G392</f>
        <v>4195.93</v>
      </c>
      <c r="C510" s="2">
        <f>[2]Indicators!H392</f>
        <v>501.94</v>
      </c>
      <c r="D510" s="2">
        <f>[2]Indicators!I392</f>
        <v>1048.4159999999999</v>
      </c>
      <c r="E510" s="2">
        <f>[2]Indicators!J392</f>
        <v>2645.5740000000001</v>
      </c>
      <c r="J510" s="2">
        <f>[2]Indicators!L392</f>
        <v>149259</v>
      </c>
      <c r="K510" s="2">
        <f>[2]Indicators!M392</f>
        <v>118769</v>
      </c>
      <c r="L510" s="2">
        <f>[2]Indicators!N392</f>
        <v>13.098000000000001</v>
      </c>
      <c r="M510" s="2">
        <f>[2]Indicators!AB392</f>
        <v>62.851500000000001</v>
      </c>
      <c r="N510" s="2">
        <f>[8]m!$C512</f>
        <v>3.8200000000000003</v>
      </c>
      <c r="O510">
        <f>[9]Unemployment!$B392</f>
        <v>7.6000000000000005</v>
      </c>
      <c r="P510" s="2">
        <f>[2]Surveys_m!$B392</f>
        <v>71.900000000000006</v>
      </c>
      <c r="Q510">
        <f>[5]m!$B512</f>
        <v>139.70000000000002</v>
      </c>
      <c r="R510">
        <f>[5]m!$D512</f>
        <v>146.80000000000001</v>
      </c>
      <c r="S510">
        <f>[5]m!$Q512</f>
        <v>117.2</v>
      </c>
      <c r="T510">
        <f>[6]m!B512</f>
        <v>-46773</v>
      </c>
      <c r="U510" s="2">
        <f>[9]Unemployment!$F392</f>
        <v>17.8</v>
      </c>
      <c r="V510" s="2">
        <f>[9]Unemployment!$G392</f>
        <v>8.8000000000000007</v>
      </c>
      <c r="W510">
        <f>[9]Unemployment!$E392</f>
        <v>9744</v>
      </c>
      <c r="X510">
        <f>[9]Unemployment!N392</f>
        <v>3417</v>
      </c>
      <c r="Y510">
        <f>[9]Unemployment!O392</f>
        <v>2788</v>
      </c>
      <c r="Z510">
        <f>[9]Unemployment!P392-[9]Unemployment!Q392</f>
        <v>1460</v>
      </c>
      <c r="AA510">
        <f>[9]Unemployment!$Q392</f>
        <v>1984</v>
      </c>
      <c r="AB510" s="2">
        <f>[8]m!$B512</f>
        <v>3.8000000000000003</v>
      </c>
      <c r="AC510" s="2">
        <f>[8]m!$F512</f>
        <v>7.3900000000000006</v>
      </c>
      <c r="AD510">
        <f>[9]Employment!$B392</f>
        <v>108580</v>
      </c>
      <c r="AE510" s="2">
        <f>[2]Indicators!$AB392</f>
        <v>62.851500000000001</v>
      </c>
      <c r="AF510" s="2">
        <f>[8]m!$AS512</f>
        <v>797.7</v>
      </c>
      <c r="AG510" s="2">
        <f>[8]m!$H512</f>
        <v>8.2799999999999994</v>
      </c>
      <c r="AH510" s="2">
        <f>[8]m!$I512</f>
        <v>9.1300000000000008</v>
      </c>
      <c r="AI510" s="2">
        <f>[7]m!C511</f>
        <v>50302</v>
      </c>
      <c r="AJ510" s="2">
        <f>[7]m!D511</f>
        <v>53411</v>
      </c>
      <c r="AK510" s="2">
        <f>[2]Surveys_m!$AB392</f>
        <v>55.7</v>
      </c>
      <c r="AL510" s="4">
        <f t="shared" si="7"/>
        <v>3114.0522243713726</v>
      </c>
      <c r="AM510">
        <f>[2]Indicators!$BB392</f>
        <v>117451</v>
      </c>
      <c r="AN510" s="2">
        <v>63</v>
      </c>
      <c r="AQ510" s="3">
        <f>[9]LaborForce!$B391*[9]LaborForce!$C391/100</f>
        <v>128206.99800000001</v>
      </c>
      <c r="AR510">
        <f>[9]Unemployment!$AC392</f>
        <v>431</v>
      </c>
      <c r="AS510">
        <f>[2]Indicators!BC392</f>
        <v>65.099999999999994</v>
      </c>
      <c r="AT510">
        <f>[2]Indicators!BD392</f>
        <v>66.412300000000002</v>
      </c>
      <c r="AU510">
        <f>[2]Indicators!BE392</f>
        <v>99.340400000000002</v>
      </c>
      <c r="AV510">
        <f>[5]m!$O512</f>
        <v>77.62</v>
      </c>
    </row>
    <row r="511" spans="1:48" x14ac:dyDescent="0.25">
      <c r="A511" s="1">
        <v>33756</v>
      </c>
      <c r="B511" s="2">
        <f>[2]Indicators!G393</f>
        <v>4215.2700000000004</v>
      </c>
      <c r="C511" s="2">
        <f>[2]Indicators!H393</f>
        <v>511.02100000000002</v>
      </c>
      <c r="D511" s="2">
        <f>[2]Indicators!I393</f>
        <v>1049.932</v>
      </c>
      <c r="E511" s="2">
        <f>[2]Indicators!J393</f>
        <v>2654.317</v>
      </c>
      <c r="J511" s="2">
        <f>[2]Indicators!L393</f>
        <v>150172</v>
      </c>
      <c r="K511" s="2">
        <f>[2]Indicators!M393</f>
        <v>118875</v>
      </c>
      <c r="L511" s="2">
        <f>[2]Indicators!N393</f>
        <v>13.543000000000001</v>
      </c>
      <c r="M511" s="2">
        <f>[2]Indicators!AB393</f>
        <v>62.859900000000003</v>
      </c>
      <c r="N511" s="2">
        <f>[8]m!$C513</f>
        <v>3.7600000000000002</v>
      </c>
      <c r="O511">
        <f>[9]Unemployment!$B393</f>
        <v>7.8000000000000007</v>
      </c>
      <c r="P511" s="2">
        <f>[2]Surveys_m!$B393</f>
        <v>72.600000000000009</v>
      </c>
      <c r="Q511">
        <f>[5]m!$B513</f>
        <v>140.1</v>
      </c>
      <c r="R511">
        <f>[5]m!$D513</f>
        <v>147.1</v>
      </c>
      <c r="S511">
        <f>[5]m!$Q513</f>
        <v>118</v>
      </c>
      <c r="T511">
        <f>[6]m!B513</f>
        <v>3782</v>
      </c>
      <c r="U511" s="2">
        <f>[9]Unemployment!$F393</f>
        <v>18.2</v>
      </c>
      <c r="V511" s="2">
        <f>[9]Unemployment!$G393</f>
        <v>8.7000000000000011</v>
      </c>
      <c r="W511">
        <f>[9]Unemployment!$E393</f>
        <v>10040</v>
      </c>
      <c r="X511">
        <f>[9]Unemployment!N393</f>
        <v>3518</v>
      </c>
      <c r="Y511">
        <f>[9]Unemployment!O393</f>
        <v>2809</v>
      </c>
      <c r="Z511">
        <f>[9]Unemployment!P393-[9]Unemployment!Q393</f>
        <v>1608</v>
      </c>
      <c r="AA511">
        <f>[9]Unemployment!$Q393</f>
        <v>2150</v>
      </c>
      <c r="AB511" s="2">
        <f>[8]m!$B513</f>
        <v>3.65</v>
      </c>
      <c r="AC511" s="2">
        <f>[8]m!$F513</f>
        <v>7.26</v>
      </c>
      <c r="AD511">
        <f>[9]Employment!$B393</f>
        <v>108640</v>
      </c>
      <c r="AE511" s="2">
        <f>[2]Indicators!$AB393</f>
        <v>62.859900000000003</v>
      </c>
      <c r="AF511" s="2">
        <f>[8]m!$AS513</f>
        <v>797.30000000000007</v>
      </c>
      <c r="AG511" s="2">
        <f>[8]m!$H513</f>
        <v>8.2200000000000006</v>
      </c>
      <c r="AH511" s="2">
        <f>[8]m!$I513</f>
        <v>9.0500000000000007</v>
      </c>
      <c r="AI511" s="2">
        <f>[7]m!C512</f>
        <v>50044</v>
      </c>
      <c r="AJ511" s="2">
        <f>[7]m!D512</f>
        <v>53963</v>
      </c>
      <c r="AK511" s="2">
        <f>[2]Surveys_m!$AB393</f>
        <v>53.6</v>
      </c>
      <c r="AL511" s="4">
        <f t="shared" si="7"/>
        <v>3114.0522243713726</v>
      </c>
      <c r="AM511">
        <f>[2]Indicators!$BB393</f>
        <v>115986</v>
      </c>
      <c r="AN511" s="2">
        <v>63</v>
      </c>
      <c r="AQ511" s="3">
        <f>[9]LaborForce!$B392*[9]LaborForce!$C392/100</f>
        <v>128506.22099999999</v>
      </c>
      <c r="AR511">
        <f>[9]Unemployment!$AC393</f>
        <v>411</v>
      </c>
      <c r="AS511">
        <f>[2]Indicators!BC393</f>
        <v>65.2</v>
      </c>
      <c r="AT511">
        <f>[2]Indicators!BD393</f>
        <v>66.5655</v>
      </c>
      <c r="AU511">
        <f>[2]Indicators!BE393</f>
        <v>99.354300000000009</v>
      </c>
      <c r="AV511">
        <f>[5]m!$O513</f>
        <v>77.94</v>
      </c>
    </row>
    <row r="512" spans="1:48" x14ac:dyDescent="0.25">
      <c r="A512" s="1">
        <v>33786</v>
      </c>
      <c r="B512" s="2">
        <f>[2]Indicators!G394</f>
        <v>4244.9049999999997</v>
      </c>
      <c r="C512" s="2">
        <f>[2]Indicators!H394</f>
        <v>507.24799999999999</v>
      </c>
      <c r="D512" s="2">
        <f>[2]Indicators!I394</f>
        <v>1056.2149999999999</v>
      </c>
      <c r="E512" s="2">
        <f>[2]Indicators!J394</f>
        <v>2681.442</v>
      </c>
      <c r="J512" s="2">
        <f>[2]Indicators!L394</f>
        <v>150773</v>
      </c>
      <c r="K512" s="2">
        <f>[2]Indicators!M394</f>
        <v>119063</v>
      </c>
      <c r="L512" s="2">
        <f>[2]Indicators!N394</f>
        <v>12.853</v>
      </c>
      <c r="M512" s="2">
        <f>[2]Indicators!AB394</f>
        <v>63.397000000000006</v>
      </c>
      <c r="N512" s="2">
        <f>[8]m!$C514</f>
        <v>3.25</v>
      </c>
      <c r="O512">
        <f>[9]Unemployment!$B394</f>
        <v>7.7</v>
      </c>
      <c r="P512" s="2">
        <f>[2]Surveys_m!$B394</f>
        <v>61.2</v>
      </c>
      <c r="Q512">
        <f>[5]m!$B514</f>
        <v>140.5</v>
      </c>
      <c r="R512">
        <f>[5]m!$D514</f>
        <v>147.6</v>
      </c>
      <c r="S512">
        <f>[5]m!$Q514</f>
        <v>117.9</v>
      </c>
      <c r="T512">
        <f>[6]m!B514</f>
        <v>-43147</v>
      </c>
      <c r="U512" s="2">
        <f>[9]Unemployment!$F394</f>
        <v>18.100000000000001</v>
      </c>
      <c r="V512" s="2">
        <f>[9]Unemployment!$G394</f>
        <v>8.6</v>
      </c>
      <c r="W512">
        <f>[9]Unemployment!$E394</f>
        <v>9850</v>
      </c>
      <c r="X512">
        <f>[9]Unemployment!N394</f>
        <v>3438</v>
      </c>
      <c r="Y512">
        <f>[9]Unemployment!O394</f>
        <v>2832</v>
      </c>
      <c r="Z512">
        <f>[9]Unemployment!P394-[9]Unemployment!Q394</f>
        <v>1490</v>
      </c>
      <c r="AA512">
        <f>[9]Unemployment!$Q394</f>
        <v>2124</v>
      </c>
      <c r="AB512" s="2">
        <f>[8]m!$B514</f>
        <v>3.25</v>
      </c>
      <c r="AC512" s="2">
        <f>[8]m!$F514</f>
        <v>6.84</v>
      </c>
      <c r="AD512">
        <f>[9]Employment!$B394</f>
        <v>108711</v>
      </c>
      <c r="AE512" s="2">
        <f>[2]Indicators!$AB394</f>
        <v>63.397000000000006</v>
      </c>
      <c r="AF512" s="2">
        <f>[8]m!$AS514</f>
        <v>798.1</v>
      </c>
      <c r="AG512" s="2">
        <f>[8]m!$H514</f>
        <v>8.07</v>
      </c>
      <c r="AH512" s="2">
        <f>[8]m!$I514</f>
        <v>8.84</v>
      </c>
      <c r="AI512" s="2">
        <f>[7]m!C513</f>
        <v>51727</v>
      </c>
      <c r="AJ512" s="2">
        <f>[7]m!D513</f>
        <v>54551</v>
      </c>
      <c r="AK512" s="2">
        <f>[2]Surveys_m!$AB394</f>
        <v>53.900000000000006</v>
      </c>
      <c r="AL512" s="4">
        <f t="shared" si="7"/>
        <v>3015.1934235976782</v>
      </c>
      <c r="AM512">
        <f>[2]Indicators!$BB394</f>
        <v>116574</v>
      </c>
      <c r="AN512" s="2">
        <v>61</v>
      </c>
      <c r="AQ512" s="3">
        <f>[9]LaborForce!$B393*[9]LaborForce!$C393/100</f>
        <v>128614.94200000001</v>
      </c>
      <c r="AR512">
        <f>[9]Unemployment!$AC394</f>
        <v>420</v>
      </c>
      <c r="AS512">
        <f>[2]Indicators!BC394</f>
        <v>65.3</v>
      </c>
      <c r="AT512">
        <f>[2]Indicators!BD394</f>
        <v>66.680400000000006</v>
      </c>
      <c r="AU512">
        <f>[2]Indicators!BE394</f>
        <v>99.30510000000001</v>
      </c>
      <c r="AV512">
        <f>[5]m!$O514</f>
        <v>77.95</v>
      </c>
    </row>
    <row r="513" spans="1:48" x14ac:dyDescent="0.25">
      <c r="A513" s="1">
        <v>33817</v>
      </c>
      <c r="B513" s="2">
        <f>[2]Indicators!G395</f>
        <v>4261.8180000000002</v>
      </c>
      <c r="C513" s="2">
        <f>[2]Indicators!H395</f>
        <v>511.88900000000001</v>
      </c>
      <c r="D513" s="2">
        <f>[2]Indicators!I395</f>
        <v>1061.2909999999999</v>
      </c>
      <c r="E513" s="2">
        <f>[2]Indicators!J395</f>
        <v>2688.6379999999999</v>
      </c>
      <c r="J513" s="2">
        <f>[2]Indicators!L395</f>
        <v>151409</v>
      </c>
      <c r="K513" s="2">
        <f>[2]Indicators!M395</f>
        <v>119449</v>
      </c>
      <c r="L513" s="2">
        <f>[2]Indicators!N395</f>
        <v>12.873000000000001</v>
      </c>
      <c r="M513" s="2">
        <f>[2]Indicators!AB395</f>
        <v>63.089100000000002</v>
      </c>
      <c r="N513" s="2">
        <f>[8]m!$C515</f>
        <v>3.3000000000000003</v>
      </c>
      <c r="O513">
        <f>[9]Unemployment!$B395</f>
        <v>7.6000000000000005</v>
      </c>
      <c r="P513" s="2">
        <f>[2]Surveys_m!$B395</f>
        <v>59</v>
      </c>
      <c r="Q513">
        <f>[5]m!$B515</f>
        <v>140.80000000000001</v>
      </c>
      <c r="R513">
        <f>[5]m!$D515</f>
        <v>147.9</v>
      </c>
      <c r="S513">
        <f>[5]m!$Q515</f>
        <v>117.7</v>
      </c>
      <c r="T513">
        <f>[6]m!B515</f>
        <v>-24742</v>
      </c>
      <c r="U513" s="2">
        <f>[9]Unemployment!$F395</f>
        <v>18</v>
      </c>
      <c r="V513" s="2">
        <f>[9]Unemployment!$G395</f>
        <v>8.8000000000000007</v>
      </c>
      <c r="W513">
        <f>[9]Unemployment!$E395</f>
        <v>9787</v>
      </c>
      <c r="X513">
        <f>[9]Unemployment!N395</f>
        <v>3436</v>
      </c>
      <c r="Y513">
        <f>[9]Unemployment!O395</f>
        <v>2840</v>
      </c>
      <c r="Z513">
        <f>[9]Unemployment!P395-[9]Unemployment!Q395</f>
        <v>1506</v>
      </c>
      <c r="AA513">
        <f>[9]Unemployment!$Q395</f>
        <v>2073</v>
      </c>
      <c r="AB513" s="2">
        <f>[8]m!$B515</f>
        <v>3.23</v>
      </c>
      <c r="AC513" s="2">
        <f>[8]m!$F515</f>
        <v>6.59</v>
      </c>
      <c r="AD513">
        <f>[9]Employment!$B395</f>
        <v>108852</v>
      </c>
      <c r="AE513" s="2">
        <f>[2]Indicators!$AB395</f>
        <v>63.089100000000002</v>
      </c>
      <c r="AF513" s="2">
        <f>[8]m!$AS515</f>
        <v>799.80000000000007</v>
      </c>
      <c r="AG513" s="2">
        <f>[8]m!$H515</f>
        <v>7.95</v>
      </c>
      <c r="AH513" s="2">
        <f>[8]m!$I515</f>
        <v>8.65</v>
      </c>
      <c r="AI513" s="2">
        <f>[7]m!C514</f>
        <v>52533</v>
      </c>
      <c r="AJ513" s="2">
        <f>[7]m!D514</f>
        <v>55313</v>
      </c>
      <c r="AK513" s="2">
        <f>[2]Surveys_m!$AB395</f>
        <v>53.400000000000006</v>
      </c>
      <c r="AL513" s="4">
        <f t="shared" si="7"/>
        <v>3114.0522243713726</v>
      </c>
      <c r="AM513">
        <f>[2]Indicators!$BB395</f>
        <v>114429</v>
      </c>
      <c r="AN513" s="2">
        <v>63</v>
      </c>
      <c r="AQ513" s="3">
        <f>[9]LaborForce!$B394*[9]LaborForce!$C394/100</f>
        <v>128549.98800000001</v>
      </c>
      <c r="AR513">
        <f>[9]Unemployment!$AC395</f>
        <v>423</v>
      </c>
      <c r="AS513">
        <f>[2]Indicators!BC395</f>
        <v>65.5</v>
      </c>
      <c r="AT513">
        <f>[2]Indicators!BD395</f>
        <v>66.8142</v>
      </c>
      <c r="AU513">
        <f>[2]Indicators!BE395</f>
        <v>99.2774</v>
      </c>
      <c r="AV513">
        <f>[5]m!$O515</f>
        <v>77.989999999999995</v>
      </c>
    </row>
    <row r="514" spans="1:48" x14ac:dyDescent="0.25">
      <c r="A514" s="1">
        <v>33848</v>
      </c>
      <c r="B514" s="2">
        <f>[2]Indicators!G396</f>
        <v>4296.2309999999998</v>
      </c>
      <c r="C514" s="2">
        <f>[2]Indicators!H396</f>
        <v>517.14</v>
      </c>
      <c r="D514" s="2">
        <f>[2]Indicators!I396</f>
        <v>1065.6410000000001</v>
      </c>
      <c r="E514" s="2">
        <f>[2]Indicators!J396</f>
        <v>2713.451</v>
      </c>
      <c r="J514" s="2">
        <f>[2]Indicators!L396</f>
        <v>153282</v>
      </c>
      <c r="K514" s="2">
        <f>[2]Indicators!M396</f>
        <v>120594</v>
      </c>
      <c r="L514" s="2">
        <f>[2]Indicators!N396</f>
        <v>13.378</v>
      </c>
      <c r="M514" s="2">
        <f>[2]Indicators!AB396</f>
        <v>63.219300000000004</v>
      </c>
      <c r="N514" s="2">
        <f>[8]m!$C516</f>
        <v>3.22</v>
      </c>
      <c r="O514">
        <f>[9]Unemployment!$B396</f>
        <v>7.6000000000000005</v>
      </c>
      <c r="P514" s="2">
        <f>[2]Surveys_m!$B396</f>
        <v>57.300000000000004</v>
      </c>
      <c r="Q514">
        <f>[5]m!$B516</f>
        <v>141.1</v>
      </c>
      <c r="R514">
        <f>[5]m!$D516</f>
        <v>148.1</v>
      </c>
      <c r="S514">
        <f>[5]m!$Q516</f>
        <v>118</v>
      </c>
      <c r="T514">
        <f>[6]m!B516</f>
        <v>5310</v>
      </c>
      <c r="U514" s="2">
        <f>[9]Unemployment!$F396</f>
        <v>18.100000000000001</v>
      </c>
      <c r="V514" s="2">
        <f>[9]Unemployment!$G396</f>
        <v>8.6</v>
      </c>
      <c r="W514">
        <f>[9]Unemployment!$E396</f>
        <v>9781</v>
      </c>
      <c r="X514">
        <f>[9]Unemployment!N396</f>
        <v>3428</v>
      </c>
      <c r="Y514">
        <f>[9]Unemployment!O396</f>
        <v>2882</v>
      </c>
      <c r="Z514">
        <f>[9]Unemployment!P396-[9]Unemployment!Q396</f>
        <v>1393</v>
      </c>
      <c r="AA514">
        <f>[9]Unemployment!$Q396</f>
        <v>2111</v>
      </c>
      <c r="AB514" s="2">
        <f>[8]m!$B516</f>
        <v>2.74</v>
      </c>
      <c r="AC514" s="2">
        <f>[8]m!$F516</f>
        <v>6.42</v>
      </c>
      <c r="AD514">
        <f>[9]Employment!$B396</f>
        <v>108887</v>
      </c>
      <c r="AE514" s="2">
        <f>[2]Indicators!$AB396</f>
        <v>63.219300000000004</v>
      </c>
      <c r="AF514" s="2">
        <f>[8]m!$AS516</f>
        <v>800.2</v>
      </c>
      <c r="AG514" s="2">
        <f>[8]m!$H516</f>
        <v>7.92</v>
      </c>
      <c r="AH514" s="2">
        <f>[8]m!$I516</f>
        <v>8.620000000000001</v>
      </c>
      <c r="AI514" s="2">
        <f>[7]m!C515</f>
        <v>50940</v>
      </c>
      <c r="AJ514" s="2">
        <f>[7]m!D515</f>
        <v>55395</v>
      </c>
      <c r="AK514" s="2">
        <f>[2]Surveys_m!$AB396</f>
        <v>49.7</v>
      </c>
      <c r="AL514" s="4">
        <f t="shared" si="7"/>
        <v>3064.6228239845254</v>
      </c>
      <c r="AM514">
        <f>[2]Indicators!$BB396</f>
        <v>113919</v>
      </c>
      <c r="AN514" s="2">
        <v>62</v>
      </c>
      <c r="AQ514" s="3">
        <f>[9]LaborForce!$B395*[9]LaborForce!$C395/100</f>
        <v>128497.285</v>
      </c>
      <c r="AR514">
        <f>[9]Unemployment!$AC396</f>
        <v>408</v>
      </c>
      <c r="AS514">
        <f>[2]Indicators!BC396</f>
        <v>65.8</v>
      </c>
      <c r="AT514">
        <f>[2]Indicators!BD396</f>
        <v>67.013500000000008</v>
      </c>
      <c r="AU514">
        <f>[2]Indicators!BE396</f>
        <v>99.340100000000007</v>
      </c>
      <c r="AV514">
        <f>[5]m!$O516</f>
        <v>77.760000000000005</v>
      </c>
    </row>
    <row r="515" spans="1:48" x14ac:dyDescent="0.25">
      <c r="A515" s="1">
        <v>33878</v>
      </c>
      <c r="B515" s="2">
        <f>[2]Indicators!G397</f>
        <v>4324.8119999999999</v>
      </c>
      <c r="C515" s="2">
        <f>[2]Indicators!H397</f>
        <v>522.69600000000003</v>
      </c>
      <c r="D515" s="2">
        <f>[2]Indicators!I397</f>
        <v>1073.9080000000001</v>
      </c>
      <c r="E515" s="2">
        <f>[2]Indicators!J397</f>
        <v>2728.2080000000001</v>
      </c>
      <c r="J515" s="2">
        <f>[2]Indicators!L397</f>
        <v>153741</v>
      </c>
      <c r="K515" s="2">
        <f>[2]Indicators!M397</f>
        <v>120578</v>
      </c>
      <c r="L515" s="2">
        <f>[2]Indicators!N397</f>
        <v>13.655000000000001</v>
      </c>
      <c r="M515" s="2">
        <f>[2]Indicators!AB397</f>
        <v>63.688400000000001</v>
      </c>
      <c r="N515" s="2">
        <f>[8]m!$C517</f>
        <v>3.1</v>
      </c>
      <c r="O515">
        <f>[9]Unemployment!$B397</f>
        <v>7.3000000000000007</v>
      </c>
      <c r="P515" s="2">
        <f>[2]Surveys_m!$B397</f>
        <v>54.6</v>
      </c>
      <c r="Q515">
        <f>[5]m!$B517</f>
        <v>141.70000000000002</v>
      </c>
      <c r="R515">
        <f>[5]m!$D517</f>
        <v>148.80000000000001</v>
      </c>
      <c r="S515">
        <f>[5]m!$Q517</f>
        <v>118.10000000000001</v>
      </c>
      <c r="T515">
        <f>[6]m!B517</f>
        <v>-48792</v>
      </c>
      <c r="U515" s="2">
        <f>[9]Unemployment!$F397</f>
        <v>18.900000000000002</v>
      </c>
      <c r="V515" s="2">
        <f>[9]Unemployment!$G397</f>
        <v>9</v>
      </c>
      <c r="W515">
        <f>[9]Unemployment!$E397</f>
        <v>9398</v>
      </c>
      <c r="X515">
        <f>[9]Unemployment!N397</f>
        <v>3356</v>
      </c>
      <c r="Y515">
        <f>[9]Unemployment!O397</f>
        <v>2630</v>
      </c>
      <c r="Z515">
        <f>[9]Unemployment!P397-[9]Unemployment!Q397</f>
        <v>1311</v>
      </c>
      <c r="AA515">
        <f>[9]Unemployment!$Q397</f>
        <v>2194</v>
      </c>
      <c r="AB515" s="2">
        <f>[8]m!$B517</f>
        <v>3.02</v>
      </c>
      <c r="AC515" s="2">
        <f>[8]m!$F517</f>
        <v>6.59</v>
      </c>
      <c r="AD515">
        <f>[9]Employment!$B397</f>
        <v>109064</v>
      </c>
      <c r="AE515" s="2">
        <f>[2]Indicators!$AB397</f>
        <v>63.688400000000001</v>
      </c>
      <c r="AF515" s="2">
        <f>[8]m!$AS517</f>
        <v>799.6</v>
      </c>
      <c r="AG515" s="2">
        <f>[8]m!$H517</f>
        <v>7.99</v>
      </c>
      <c r="AH515" s="2">
        <f>[8]m!$I517</f>
        <v>8.84</v>
      </c>
      <c r="AI515" s="2">
        <f>[7]m!C516</f>
        <v>51984</v>
      </c>
      <c r="AJ515" s="2">
        <f>[7]m!D516</f>
        <v>55515</v>
      </c>
      <c r="AK515" s="2">
        <f>[2]Surveys_m!$AB397</f>
        <v>50.300000000000004</v>
      </c>
      <c r="AL515" s="4">
        <f t="shared" si="7"/>
        <v>3064.6228239845254</v>
      </c>
      <c r="AM515">
        <f>[2]Indicators!$BB397</f>
        <v>116069</v>
      </c>
      <c r="AN515" s="2">
        <v>62</v>
      </c>
      <c r="AQ515" s="3">
        <f>[9]LaborForce!$B396*[9]LaborForce!$C396/100</f>
        <v>128058.60400000001</v>
      </c>
      <c r="AR515">
        <f>[9]Unemployment!$AC397</f>
        <v>409</v>
      </c>
      <c r="AS515">
        <f>[2]Indicators!BC397</f>
        <v>66.099999999999994</v>
      </c>
      <c r="AT515">
        <f>[2]Indicators!BD397</f>
        <v>67.305000000000007</v>
      </c>
      <c r="AU515">
        <f>[2]Indicators!BE397</f>
        <v>99.531600000000012</v>
      </c>
      <c r="AV515">
        <f>[5]m!$O517</f>
        <v>77.45</v>
      </c>
    </row>
    <row r="516" spans="1:48" x14ac:dyDescent="0.25">
      <c r="A516" s="1">
        <v>33909</v>
      </c>
      <c r="B516" s="2">
        <f>[2]Indicators!G398</f>
        <v>4339.5770000000002</v>
      </c>
      <c r="C516" s="2">
        <f>[2]Indicators!H398</f>
        <v>514.08900000000006</v>
      </c>
      <c r="D516" s="2">
        <f>[2]Indicators!I398</f>
        <v>1071.499</v>
      </c>
      <c r="E516" s="2">
        <f>[2]Indicators!J398</f>
        <v>2753.9880000000003</v>
      </c>
      <c r="J516" s="2">
        <f>[2]Indicators!L398</f>
        <v>153957</v>
      </c>
      <c r="K516" s="2">
        <f>[2]Indicators!M398</f>
        <v>120711</v>
      </c>
      <c r="L516" s="2">
        <f>[2]Indicators!N398</f>
        <v>13.218</v>
      </c>
      <c r="M516" s="2">
        <f>[2]Indicators!AB398</f>
        <v>63.947200000000002</v>
      </c>
      <c r="N516" s="2">
        <f>[8]m!$C518</f>
        <v>3.09</v>
      </c>
      <c r="O516">
        <f>[9]Unemployment!$B398</f>
        <v>7.4</v>
      </c>
      <c r="P516" s="2">
        <f>[2]Surveys_m!$B398</f>
        <v>65.600000000000009</v>
      </c>
      <c r="Q516">
        <f>[5]m!$B518</f>
        <v>142.1</v>
      </c>
      <c r="R516">
        <f>[5]m!$D518</f>
        <v>149.20000000000002</v>
      </c>
      <c r="S516">
        <f>[5]m!$Q518</f>
        <v>117.80000000000001</v>
      </c>
      <c r="T516">
        <f>[6]m!B518</f>
        <v>-32726</v>
      </c>
      <c r="U516" s="2">
        <f>[9]Unemployment!$F398</f>
        <v>17.900000000000002</v>
      </c>
      <c r="V516" s="2">
        <f>[9]Unemployment!$G398</f>
        <v>9</v>
      </c>
      <c r="W516">
        <f>[9]Unemployment!$E398</f>
        <v>9565</v>
      </c>
      <c r="X516">
        <f>[9]Unemployment!N398</f>
        <v>3317</v>
      </c>
      <c r="Y516">
        <f>[9]Unemployment!O398</f>
        <v>2923</v>
      </c>
      <c r="Z516">
        <f>[9]Unemployment!P398-[9]Unemployment!Q398</f>
        <v>1405</v>
      </c>
      <c r="AA516">
        <f>[9]Unemployment!$Q398</f>
        <v>1992</v>
      </c>
      <c r="AB516" s="2">
        <f>[8]m!$B518</f>
        <v>3.34</v>
      </c>
      <c r="AC516" s="2">
        <f>[8]m!$F518</f>
        <v>6.87</v>
      </c>
      <c r="AD516">
        <f>[9]Employment!$B398</f>
        <v>109204</v>
      </c>
      <c r="AE516" s="2">
        <f>[2]Indicators!$AB398</f>
        <v>63.947200000000002</v>
      </c>
      <c r="AF516" s="2">
        <f>[8]m!$AS518</f>
        <v>802.7</v>
      </c>
      <c r="AG516" s="2">
        <f>[8]m!$H518</f>
        <v>8.1</v>
      </c>
      <c r="AH516" s="2">
        <f>[8]m!$I518</f>
        <v>8.9600000000000009</v>
      </c>
      <c r="AI516" s="2">
        <f>[7]m!C517</f>
        <v>53035</v>
      </c>
      <c r="AJ516" s="2">
        <f>[7]m!D517</f>
        <v>56556</v>
      </c>
      <c r="AK516" s="2">
        <f>[2]Surveys_m!$AB398</f>
        <v>53.6</v>
      </c>
      <c r="AL516" s="4">
        <f t="shared" si="7"/>
        <v>3262.3404255319142</v>
      </c>
      <c r="AM516">
        <f>[2]Indicators!$BB398</f>
        <v>114482</v>
      </c>
      <c r="AN516" s="2">
        <v>66</v>
      </c>
      <c r="AQ516" s="3">
        <f>[9]LaborForce!$B397*[9]LaborForce!$C397/100</f>
        <v>128370.72299999998</v>
      </c>
      <c r="AR516">
        <f>[9]Unemployment!$AC398</f>
        <v>365</v>
      </c>
      <c r="AS516">
        <f>[2]Indicators!BC398</f>
        <v>66.900000000000006</v>
      </c>
      <c r="AT516">
        <f>[2]Indicators!BD398</f>
        <v>67.653700000000001</v>
      </c>
      <c r="AU516">
        <f>[2]Indicators!BE398</f>
        <v>99.799199999999999</v>
      </c>
      <c r="AV516">
        <f>[5]m!$O518</f>
        <v>77.09</v>
      </c>
    </row>
    <row r="517" spans="1:48" x14ac:dyDescent="0.25">
      <c r="A517" s="1">
        <v>33939</v>
      </c>
      <c r="B517" s="2">
        <f>[2]Indicators!G399</f>
        <v>4374.3540000000003</v>
      </c>
      <c r="C517" s="2">
        <f>[2]Indicators!H399</f>
        <v>532.40800000000002</v>
      </c>
      <c r="D517" s="2">
        <f>[2]Indicators!I399</f>
        <v>1079.021</v>
      </c>
      <c r="E517" s="2">
        <f>[2]Indicators!J399</f>
        <v>2762.924</v>
      </c>
      <c r="J517" s="2">
        <f>[2]Indicators!L399</f>
        <v>156094</v>
      </c>
      <c r="K517" s="2">
        <f>[2]Indicators!M399</f>
        <v>121994</v>
      </c>
      <c r="L517" s="2">
        <f>[2]Indicators!N399</f>
        <v>13.784000000000001</v>
      </c>
      <c r="M517" s="2">
        <f>[2]Indicators!AB399</f>
        <v>63.965000000000003</v>
      </c>
      <c r="N517" s="2">
        <f>[8]m!$C519</f>
        <v>2.92</v>
      </c>
      <c r="O517">
        <f>[9]Unemployment!$B399</f>
        <v>7.4</v>
      </c>
      <c r="P517" s="2">
        <f>[2]Surveys_m!$B399</f>
        <v>78.100000000000009</v>
      </c>
      <c r="Q517">
        <f>[5]m!$B519</f>
        <v>142.30000000000001</v>
      </c>
      <c r="R517">
        <f>[5]m!$D519</f>
        <v>149.6</v>
      </c>
      <c r="S517">
        <f>[5]m!$Q519</f>
        <v>117.60000000000001</v>
      </c>
      <c r="T517">
        <f>[6]m!B519</f>
        <v>-38947</v>
      </c>
      <c r="U517" s="2">
        <f>[9]Unemployment!$F399</f>
        <v>19</v>
      </c>
      <c r="V517" s="2">
        <f>[9]Unemployment!$G399</f>
        <v>9.3000000000000007</v>
      </c>
      <c r="W517">
        <f>[9]Unemployment!$E399</f>
        <v>9557</v>
      </c>
      <c r="X517">
        <f>[9]Unemployment!N399</f>
        <v>3189</v>
      </c>
      <c r="Y517">
        <f>[9]Unemployment!O399</f>
        <v>2759</v>
      </c>
      <c r="Z517">
        <f>[9]Unemployment!P399-[9]Unemployment!Q399</f>
        <v>1595</v>
      </c>
      <c r="AA517">
        <f>[9]Unemployment!$Q399</f>
        <v>2056</v>
      </c>
      <c r="AB517" s="2">
        <f>[8]m!$B519</f>
        <v>3.15</v>
      </c>
      <c r="AC517" s="2">
        <f>[8]m!$F519</f>
        <v>6.7700000000000005</v>
      </c>
      <c r="AD517">
        <f>[9]Employment!$B399</f>
        <v>109415</v>
      </c>
      <c r="AE517" s="2">
        <f>[2]Indicators!$AB399</f>
        <v>63.965000000000003</v>
      </c>
      <c r="AF517" s="2">
        <f>[8]m!$AS519</f>
        <v>806.1</v>
      </c>
      <c r="AG517" s="2">
        <f>[8]m!$H519</f>
        <v>7.98</v>
      </c>
      <c r="AH517" s="2">
        <f>[8]m!$I519</f>
        <v>8.81</v>
      </c>
      <c r="AI517" s="2">
        <f>[7]m!C518</f>
        <v>52246</v>
      </c>
      <c r="AJ517" s="2">
        <f>[7]m!D518</f>
        <v>56214</v>
      </c>
      <c r="AK517" s="2">
        <f>[2]Surveys_m!$AB399</f>
        <v>54.2</v>
      </c>
      <c r="AL517" s="4">
        <f t="shared" si="7"/>
        <v>3212.911025145067</v>
      </c>
      <c r="AM517">
        <f>[2]Indicators!$BB399</f>
        <v>117464</v>
      </c>
      <c r="AN517" s="2">
        <v>65</v>
      </c>
      <c r="AQ517" s="3">
        <f>[9]LaborForce!$B398*[9]LaborForce!$C398/100</f>
        <v>128478.79199999999</v>
      </c>
      <c r="AR517">
        <f>[9]Unemployment!$AC399</f>
        <v>341</v>
      </c>
      <c r="AS517">
        <f>[2]Indicators!BC399</f>
        <v>67.8</v>
      </c>
      <c r="AT517">
        <f>[2]Indicators!BD399</f>
        <v>67.978700000000003</v>
      </c>
      <c r="AU517">
        <f>[2]Indicators!BE399</f>
        <v>100.024</v>
      </c>
      <c r="AV517">
        <f>[5]m!$O519</f>
        <v>76.680000000000007</v>
      </c>
    </row>
    <row r="518" spans="1:48" x14ac:dyDescent="0.25">
      <c r="A518" s="1">
        <v>33970</v>
      </c>
      <c r="B518" s="2">
        <f>[2]Indicators!G400</f>
        <v>4376.9849999999997</v>
      </c>
      <c r="C518" s="2">
        <f>[2]Indicators!H400</f>
        <v>538.13499999999999</v>
      </c>
      <c r="D518" s="2">
        <f>[2]Indicators!I400</f>
        <v>1078.499</v>
      </c>
      <c r="E518" s="2">
        <f>[2]Indicators!J400</f>
        <v>2760.3510000000001</v>
      </c>
      <c r="J518" s="2">
        <f>[2]Indicators!L400</f>
        <v>158085</v>
      </c>
      <c r="K518" s="2">
        <f>[2]Indicators!M400</f>
        <v>123027</v>
      </c>
      <c r="L518" s="2">
        <f>[2]Indicators!N400</f>
        <v>13.457000000000001</v>
      </c>
      <c r="M518" s="2">
        <f>[2]Indicators!AB400</f>
        <v>64.279300000000006</v>
      </c>
      <c r="N518" s="2">
        <f>[8]m!$C520</f>
        <v>3.02</v>
      </c>
      <c r="O518">
        <f>[9]Unemployment!$B400</f>
        <v>7.3000000000000007</v>
      </c>
      <c r="P518" s="2">
        <f>[2]Surveys_m!$B400</f>
        <v>76.7</v>
      </c>
      <c r="Q518">
        <f>[5]m!$B520</f>
        <v>142.80000000000001</v>
      </c>
      <c r="R518">
        <f>[5]m!$D520</f>
        <v>150.1</v>
      </c>
      <c r="S518">
        <f>[5]m!$Q520</f>
        <v>118</v>
      </c>
      <c r="T518">
        <f>[6]m!B520</f>
        <v>29817</v>
      </c>
      <c r="U518" s="2">
        <f>[9]Unemployment!$F400</f>
        <v>18.3</v>
      </c>
      <c r="V518" s="2">
        <f>[9]Unemployment!$G400</f>
        <v>8.6</v>
      </c>
      <c r="W518">
        <f>[9]Unemployment!$E400</f>
        <v>9325</v>
      </c>
      <c r="X518">
        <f>[9]Unemployment!N400</f>
        <v>3299</v>
      </c>
      <c r="Y518">
        <f>[9]Unemployment!O400</f>
        <v>2649</v>
      </c>
      <c r="Z518">
        <f>[9]Unemployment!P400-[9]Unemployment!Q400</f>
        <v>1380</v>
      </c>
      <c r="AA518">
        <f>[9]Unemployment!$Q400</f>
        <v>1966</v>
      </c>
      <c r="AB518" s="2">
        <f>[8]m!$B520</f>
        <v>2.97</v>
      </c>
      <c r="AC518" s="2">
        <f>[8]m!$F520</f>
        <v>6.6000000000000005</v>
      </c>
      <c r="AD518">
        <f>[9]Employment!$B400</f>
        <v>109725</v>
      </c>
      <c r="AE518" s="2">
        <f>[2]Indicators!$AB400</f>
        <v>64.279300000000006</v>
      </c>
      <c r="AF518" s="2">
        <f>[8]m!$AS520</f>
        <v>809.30000000000007</v>
      </c>
      <c r="AG518" s="2">
        <f>[8]m!$H520</f>
        <v>7.91</v>
      </c>
      <c r="AH518" s="2">
        <f>[8]m!$I520</f>
        <v>8.67</v>
      </c>
      <c r="AI518" s="2">
        <f>[7]m!C519</f>
        <v>51843</v>
      </c>
      <c r="AJ518" s="2">
        <f>[7]m!D519</f>
        <v>57446</v>
      </c>
      <c r="AK518" s="2">
        <f>[2]Surveys_m!$AB400</f>
        <v>55.800000000000004</v>
      </c>
      <c r="AL518" s="4">
        <f t="shared" si="7"/>
        <v>3262.3404255319142</v>
      </c>
      <c r="AM518">
        <f>[2]Indicators!$BB400</f>
        <v>115323</v>
      </c>
      <c r="AN518" s="2">
        <v>66</v>
      </c>
      <c r="AQ518" s="3">
        <f>[9]LaborForce!$B399*[9]LaborForce!$C399/100</f>
        <v>128402.844</v>
      </c>
      <c r="AR518">
        <f>[9]Unemployment!$AC400</f>
        <v>341</v>
      </c>
      <c r="AS518">
        <f>[2]Indicators!BC400</f>
        <v>67.7</v>
      </c>
      <c r="AT518">
        <f>[2]Indicators!BD400</f>
        <v>68.213700000000003</v>
      </c>
      <c r="AU518">
        <f>[2]Indicators!BE400</f>
        <v>100.1091</v>
      </c>
      <c r="AV518">
        <f>[5]m!$O520</f>
        <v>76.56</v>
      </c>
    </row>
    <row r="519" spans="1:48" x14ac:dyDescent="0.25">
      <c r="A519" s="1">
        <v>34001</v>
      </c>
      <c r="B519" s="2">
        <f>[2]Indicators!G401</f>
        <v>4390.6050000000005</v>
      </c>
      <c r="C519" s="2">
        <f>[2]Indicators!H401</f>
        <v>524.197</v>
      </c>
      <c r="D519" s="2">
        <f>[2]Indicators!I401</f>
        <v>1081.422</v>
      </c>
      <c r="E519" s="2">
        <f>[2]Indicators!J401</f>
        <v>2784.9859999999999</v>
      </c>
      <c r="J519" s="2">
        <f>[2]Indicators!L401</f>
        <v>156595</v>
      </c>
      <c r="K519" s="2">
        <f>[2]Indicators!M401</f>
        <v>121678</v>
      </c>
      <c r="L519" s="2">
        <f>[2]Indicators!N401</f>
        <v>12.968999999999999</v>
      </c>
      <c r="M519" s="2">
        <f>[2]Indicators!AB401</f>
        <v>64.510900000000007</v>
      </c>
      <c r="N519" s="2">
        <f>[8]m!$C521</f>
        <v>3.0300000000000002</v>
      </c>
      <c r="O519">
        <f>[9]Unemployment!$B401</f>
        <v>7.1000000000000005</v>
      </c>
      <c r="P519" s="2">
        <f>[2]Surveys_m!$B401</f>
        <v>68.5</v>
      </c>
      <c r="Q519">
        <f>[5]m!$B521</f>
        <v>143.1</v>
      </c>
      <c r="R519">
        <f>[5]m!$D521</f>
        <v>150.6</v>
      </c>
      <c r="S519">
        <f>[5]m!$Q521</f>
        <v>118.4</v>
      </c>
      <c r="T519">
        <f>[6]m!B521</f>
        <v>-48498</v>
      </c>
      <c r="U519" s="2">
        <f>[9]Unemployment!$F401</f>
        <v>18.2</v>
      </c>
      <c r="V519" s="2">
        <f>[9]Unemployment!$G401</f>
        <v>8.5</v>
      </c>
      <c r="W519">
        <f>[9]Unemployment!$E401</f>
        <v>9183</v>
      </c>
      <c r="X519">
        <f>[9]Unemployment!N401</f>
        <v>3461</v>
      </c>
      <c r="Y519">
        <f>[9]Unemployment!O401</f>
        <v>2580</v>
      </c>
      <c r="Z519">
        <f>[9]Unemployment!P401-[9]Unemployment!Q401</f>
        <v>1283</v>
      </c>
      <c r="AA519">
        <f>[9]Unemployment!$Q401</f>
        <v>1907</v>
      </c>
      <c r="AB519" s="2">
        <f>[8]m!$B521</f>
        <v>3</v>
      </c>
      <c r="AC519" s="2">
        <f>[8]m!$F521</f>
        <v>6.26</v>
      </c>
      <c r="AD519">
        <f>[9]Employment!$B401</f>
        <v>109967</v>
      </c>
      <c r="AE519" s="2">
        <f>[2]Indicators!$AB401</f>
        <v>64.510900000000007</v>
      </c>
      <c r="AF519" s="2">
        <f>[8]m!$AS521</f>
        <v>814.1</v>
      </c>
      <c r="AG519" s="2">
        <f>[8]m!$H521</f>
        <v>7.71</v>
      </c>
      <c r="AH519" s="2">
        <f>[8]m!$I521</f>
        <v>8.39</v>
      </c>
      <c r="AI519" s="2">
        <f>[7]m!C520</f>
        <v>52568</v>
      </c>
      <c r="AJ519" s="2">
        <f>[7]m!D520</f>
        <v>56439</v>
      </c>
      <c r="AK519" s="2">
        <f>[2]Surveys_m!$AB401</f>
        <v>55.2</v>
      </c>
      <c r="AL519" s="4">
        <f t="shared" si="7"/>
        <v>3311.7698259187614</v>
      </c>
      <c r="AM519">
        <f>[2]Indicators!$BB401</f>
        <v>121805</v>
      </c>
      <c r="AN519" s="2">
        <v>67</v>
      </c>
      <c r="AQ519" s="3">
        <f>[9]LaborForce!$B400*[9]LaborForce!$C400/100</f>
        <v>128499.496</v>
      </c>
      <c r="AR519">
        <f>[9]Unemployment!$AC401</f>
        <v>340</v>
      </c>
      <c r="AS519">
        <f>[2]Indicators!BC401</f>
        <v>68.099999999999994</v>
      </c>
      <c r="AT519">
        <f>[2]Indicators!BD401</f>
        <v>68.346400000000003</v>
      </c>
      <c r="AU519">
        <f>[2]Indicators!BE401</f>
        <v>100.03750000000001</v>
      </c>
      <c r="AV519">
        <f>[5]m!$O521</f>
        <v>76.28</v>
      </c>
    </row>
    <row r="520" spans="1:48" x14ac:dyDescent="0.25">
      <c r="A520" s="1">
        <v>34029</v>
      </c>
      <c r="B520" s="2">
        <f>[2]Indicators!G402</f>
        <v>4387.143</v>
      </c>
      <c r="C520" s="2">
        <f>[2]Indicators!H402</f>
        <v>521.22500000000002</v>
      </c>
      <c r="D520" s="2">
        <f>[2]Indicators!I402</f>
        <v>1077.4649999999999</v>
      </c>
      <c r="E520" s="2">
        <f>[2]Indicators!J402</f>
        <v>2788.453</v>
      </c>
      <c r="J520" s="2">
        <f>[2]Indicators!L402</f>
        <v>155331</v>
      </c>
      <c r="K520" s="2">
        <f>[2]Indicators!M402</f>
        <v>120606</v>
      </c>
      <c r="L520" s="2">
        <f>[2]Indicators!N402</f>
        <v>13.326000000000001</v>
      </c>
      <c r="M520" s="2">
        <f>[2]Indicators!AB402</f>
        <v>64.495699999999999</v>
      </c>
      <c r="N520" s="2">
        <f>[8]m!$C522</f>
        <v>3.0700000000000003</v>
      </c>
      <c r="O520">
        <f>[9]Unemployment!$B402</f>
        <v>7</v>
      </c>
      <c r="P520" s="2">
        <f>[2]Surveys_m!$B402</f>
        <v>63.2</v>
      </c>
      <c r="Q520">
        <f>[5]m!$B522</f>
        <v>143.30000000000001</v>
      </c>
      <c r="R520">
        <f>[5]m!$D522</f>
        <v>150.80000000000001</v>
      </c>
      <c r="S520">
        <f>[5]m!$Q522</f>
        <v>118.7</v>
      </c>
      <c r="T520">
        <f>[6]m!B522</f>
        <v>-43974</v>
      </c>
      <c r="U520" s="2">
        <f>[9]Unemployment!$F402</f>
        <v>17.600000000000001</v>
      </c>
      <c r="V520" s="2">
        <f>[9]Unemployment!$G402</f>
        <v>8.5</v>
      </c>
      <c r="W520">
        <f>[9]Unemployment!$E402</f>
        <v>9056</v>
      </c>
      <c r="X520">
        <f>[9]Unemployment!N402</f>
        <v>3260</v>
      </c>
      <c r="Y520">
        <f>[9]Unemployment!O402</f>
        <v>2666</v>
      </c>
      <c r="Z520">
        <f>[9]Unemployment!P402-[9]Unemployment!Q402</f>
        <v>1309</v>
      </c>
      <c r="AA520">
        <f>[9]Unemployment!$Q402</f>
        <v>1806</v>
      </c>
      <c r="AB520" s="2">
        <f>[8]m!$B522</f>
        <v>2.96</v>
      </c>
      <c r="AC520" s="2">
        <f>[8]m!$F522</f>
        <v>5.98</v>
      </c>
      <c r="AD520">
        <f>[9]Employment!$B402</f>
        <v>109916</v>
      </c>
      <c r="AE520" s="2">
        <f>[2]Indicators!$AB402</f>
        <v>64.495699999999999</v>
      </c>
      <c r="AF520" s="2">
        <f>[8]m!$AS522</f>
        <v>813.7</v>
      </c>
      <c r="AG520" s="2">
        <f>[8]m!$H522</f>
        <v>7.58</v>
      </c>
      <c r="AH520" s="2">
        <f>[8]m!$I522</f>
        <v>8.15</v>
      </c>
      <c r="AI520" s="2">
        <f>[7]m!C521</f>
        <v>52480</v>
      </c>
      <c r="AJ520" s="2">
        <f>[7]m!D521</f>
        <v>56076</v>
      </c>
      <c r="AK520" s="2">
        <f>[2]Surveys_m!$AB402</f>
        <v>53.5</v>
      </c>
      <c r="AL520" s="4">
        <f t="shared" si="7"/>
        <v>3262.3404255319142</v>
      </c>
      <c r="AM520">
        <f>[2]Indicators!$BB402</f>
        <v>118465</v>
      </c>
      <c r="AN520" s="2">
        <v>66</v>
      </c>
      <c r="AQ520" s="3">
        <f>[9]LaborForce!$B401*[9]LaborForce!$C401/100</f>
        <v>128592.17599999999</v>
      </c>
      <c r="AR520">
        <f>[9]Unemployment!$AC402</f>
        <v>362</v>
      </c>
      <c r="AS520">
        <f>[2]Indicators!BC402</f>
        <v>67.7</v>
      </c>
      <c r="AT520">
        <f>[2]Indicators!BD402</f>
        <v>68.394000000000005</v>
      </c>
      <c r="AU520">
        <f>[2]Indicators!BE402</f>
        <v>99.835800000000006</v>
      </c>
      <c r="AV520">
        <f>[5]m!$O522</f>
        <v>75.91</v>
      </c>
    </row>
    <row r="521" spans="1:48" x14ac:dyDescent="0.25">
      <c r="A521" s="1">
        <v>34060</v>
      </c>
      <c r="B521" s="2">
        <f>[2]Indicators!G403</f>
        <v>4428.0280000000002</v>
      </c>
      <c r="C521" s="2">
        <f>[2]Indicators!H403</f>
        <v>542.97800000000007</v>
      </c>
      <c r="D521" s="2">
        <f>[2]Indicators!I403</f>
        <v>1082.4459999999999</v>
      </c>
      <c r="E521" s="2">
        <f>[2]Indicators!J403</f>
        <v>2802.6040000000003</v>
      </c>
      <c r="J521" s="2">
        <f>[2]Indicators!L403</f>
        <v>158910</v>
      </c>
      <c r="K521" s="2">
        <f>[2]Indicators!M403</f>
        <v>122886</v>
      </c>
      <c r="L521" s="2">
        <f>[2]Indicators!N403</f>
        <v>14.527000000000001</v>
      </c>
      <c r="M521" s="2">
        <f>[2]Indicators!AB403</f>
        <v>64.698000000000008</v>
      </c>
      <c r="N521" s="2">
        <f>[8]m!$C523</f>
        <v>2.96</v>
      </c>
      <c r="O521">
        <f>[9]Unemployment!$B403</f>
        <v>7.1000000000000005</v>
      </c>
      <c r="P521" s="2">
        <f>[2]Surveys_m!$B403</f>
        <v>67.600000000000009</v>
      </c>
      <c r="Q521">
        <f>[5]m!$B523</f>
        <v>143.80000000000001</v>
      </c>
      <c r="R521">
        <f>[5]m!$D523</f>
        <v>151.4</v>
      </c>
      <c r="S521">
        <f>[5]m!$Q523</f>
        <v>119.30000000000001</v>
      </c>
      <c r="T521">
        <f>[6]m!B523</f>
        <v>7817</v>
      </c>
      <c r="U521" s="2">
        <f>[9]Unemployment!$F403</f>
        <v>17.600000000000001</v>
      </c>
      <c r="V521" s="2">
        <f>[9]Unemployment!$G403</f>
        <v>8.4</v>
      </c>
      <c r="W521">
        <f>[9]Unemployment!$E403</f>
        <v>9110</v>
      </c>
      <c r="X521">
        <f>[9]Unemployment!N403</f>
        <v>3350</v>
      </c>
      <c r="Y521">
        <f>[9]Unemployment!O403</f>
        <v>2620</v>
      </c>
      <c r="Z521">
        <f>[9]Unemployment!P403-[9]Unemployment!Q403</f>
        <v>1381</v>
      </c>
      <c r="AA521">
        <f>[9]Unemployment!$Q403</f>
        <v>1633</v>
      </c>
      <c r="AB521" s="2">
        <f>[8]m!$B523</f>
        <v>2.95</v>
      </c>
      <c r="AC521" s="2">
        <f>[8]m!$F523</f>
        <v>5.97</v>
      </c>
      <c r="AD521">
        <f>[9]Employment!$B403</f>
        <v>110225</v>
      </c>
      <c r="AE521" s="2">
        <f>[2]Indicators!$AB403</f>
        <v>64.698000000000008</v>
      </c>
      <c r="AF521" s="2">
        <f>[8]m!$AS523</f>
        <v>819.80000000000007</v>
      </c>
      <c r="AG521" s="2">
        <f>[8]m!$H523</f>
        <v>7.46</v>
      </c>
      <c r="AH521" s="2">
        <f>[8]m!$I523</f>
        <v>8.14</v>
      </c>
      <c r="AI521" s="2">
        <f>[7]m!C522</f>
        <v>53035</v>
      </c>
      <c r="AJ521" s="2">
        <f>[7]m!D522</f>
        <v>59813</v>
      </c>
      <c r="AK521" s="2">
        <f>[2]Surveys_m!$AB403</f>
        <v>50.2</v>
      </c>
      <c r="AL521" s="4">
        <f t="shared" si="7"/>
        <v>3212.911025145067</v>
      </c>
      <c r="AM521">
        <f>[2]Indicators!$BB403</f>
        <v>120416</v>
      </c>
      <c r="AN521" s="2">
        <v>65</v>
      </c>
      <c r="AQ521" s="3">
        <f>[9]LaborForce!$B402*[9]LaborForce!$C402/100</f>
        <v>128497.07800000001</v>
      </c>
      <c r="AR521">
        <f>[9]Unemployment!$AC403</f>
        <v>366</v>
      </c>
      <c r="AS521">
        <f>[2]Indicators!BC403</f>
        <v>68.3</v>
      </c>
      <c r="AT521">
        <f>[2]Indicators!BD403</f>
        <v>68.410600000000002</v>
      </c>
      <c r="AU521">
        <f>[2]Indicators!BE403</f>
        <v>99.583300000000008</v>
      </c>
      <c r="AV521">
        <f>[5]m!$O523</f>
        <v>75.83</v>
      </c>
    </row>
    <row r="522" spans="1:48" x14ac:dyDescent="0.25">
      <c r="A522" s="1">
        <v>34090</v>
      </c>
      <c r="B522" s="2">
        <f>[2]Indicators!G404</f>
        <v>4456.1090000000004</v>
      </c>
      <c r="C522" s="2">
        <f>[2]Indicators!H404</f>
        <v>551.98900000000003</v>
      </c>
      <c r="D522" s="2">
        <f>[2]Indicators!I404</f>
        <v>1091.6610000000001</v>
      </c>
      <c r="E522" s="2">
        <f>[2]Indicators!J404</f>
        <v>2812.4589999999998</v>
      </c>
      <c r="J522" s="2">
        <f>[2]Indicators!L404</f>
        <v>161115</v>
      </c>
      <c r="K522" s="2">
        <f>[2]Indicators!M404</f>
        <v>124132</v>
      </c>
      <c r="L522" s="2">
        <f>[2]Indicators!N404</f>
        <v>14.519</v>
      </c>
      <c r="M522" s="2">
        <f>[2]Indicators!AB404</f>
        <v>64.464300000000009</v>
      </c>
      <c r="N522" s="2">
        <f>[8]m!$C524</f>
        <v>3</v>
      </c>
      <c r="O522">
        <f>[9]Unemployment!$B404</f>
        <v>7.1000000000000005</v>
      </c>
      <c r="P522" s="2">
        <f>[2]Surveys_m!$B404</f>
        <v>61.900000000000006</v>
      </c>
      <c r="Q522">
        <f>[5]m!$B524</f>
        <v>144.20000000000002</v>
      </c>
      <c r="R522">
        <f>[5]m!$D524</f>
        <v>151.80000000000001</v>
      </c>
      <c r="S522">
        <f>[5]m!$Q524</f>
        <v>119.7</v>
      </c>
      <c r="T522">
        <f>[6]m!B524</f>
        <v>-36963</v>
      </c>
      <c r="U522" s="2">
        <f>[9]Unemployment!$F404</f>
        <v>17.5</v>
      </c>
      <c r="V522" s="2">
        <f>[9]Unemployment!$G404</f>
        <v>8.1</v>
      </c>
      <c r="W522">
        <f>[9]Unemployment!$E404</f>
        <v>9149</v>
      </c>
      <c r="X522">
        <f>[9]Unemployment!N404</f>
        <v>3363</v>
      </c>
      <c r="Y522">
        <f>[9]Unemployment!O404</f>
        <v>2617</v>
      </c>
      <c r="Z522">
        <f>[9]Unemployment!P404-[9]Unemployment!Q404</f>
        <v>1325</v>
      </c>
      <c r="AA522">
        <f>[9]Unemployment!$Q404</f>
        <v>1776</v>
      </c>
      <c r="AB522" s="2">
        <f>[8]m!$B524</f>
        <v>3.13</v>
      </c>
      <c r="AC522" s="2">
        <f>[8]m!$F524</f>
        <v>6.04</v>
      </c>
      <c r="AD522">
        <f>[9]Employment!$B404</f>
        <v>110490</v>
      </c>
      <c r="AE522" s="2">
        <f>[2]Indicators!$AB404</f>
        <v>64.464300000000009</v>
      </c>
      <c r="AF522" s="2">
        <f>[8]m!$AS524</f>
        <v>819.80000000000007</v>
      </c>
      <c r="AG522" s="2">
        <f>[8]m!$H524</f>
        <v>7.43</v>
      </c>
      <c r="AH522" s="2">
        <f>[8]m!$I524</f>
        <v>8.2100000000000009</v>
      </c>
      <c r="AI522" s="2">
        <f>[7]m!C523</f>
        <v>53139</v>
      </c>
      <c r="AJ522" s="2">
        <f>[7]m!D523</f>
        <v>59584</v>
      </c>
      <c r="AK522" s="2">
        <f>[2]Surveys_m!$AB404</f>
        <v>51.2</v>
      </c>
      <c r="AL522" s="4">
        <f t="shared" si="7"/>
        <v>3361.1992263056086</v>
      </c>
      <c r="AM522">
        <f>[2]Indicators!$BB404</f>
        <v>120046</v>
      </c>
      <c r="AN522" s="2">
        <v>68</v>
      </c>
      <c r="AQ522" s="3">
        <f>[9]LaborForce!$B403*[9]LaborForce!$C403/100</f>
        <v>129180.53600000002</v>
      </c>
      <c r="AR522">
        <f>[9]Unemployment!$AC404</f>
        <v>343</v>
      </c>
      <c r="AS522">
        <f>[2]Indicators!BC404</f>
        <v>68.3</v>
      </c>
      <c r="AT522">
        <f>[2]Indicators!BD404</f>
        <v>68.409100000000009</v>
      </c>
      <c r="AU522">
        <f>[2]Indicators!BE404</f>
        <v>99.29910000000001</v>
      </c>
      <c r="AV522">
        <f>[5]m!$O524</f>
        <v>76.040000000000006</v>
      </c>
    </row>
    <row r="523" spans="1:48" x14ac:dyDescent="0.25">
      <c r="A523" s="1">
        <v>34121</v>
      </c>
      <c r="B523" s="2">
        <f>[2]Indicators!G405</f>
        <v>4472.2030000000004</v>
      </c>
      <c r="C523" s="2">
        <f>[2]Indicators!H405</f>
        <v>548.56000000000006</v>
      </c>
      <c r="D523" s="2">
        <f>[2]Indicators!I405</f>
        <v>1084.873</v>
      </c>
      <c r="E523" s="2">
        <f>[2]Indicators!J405</f>
        <v>2838.77</v>
      </c>
      <c r="J523" s="2">
        <f>[2]Indicators!L405</f>
        <v>160677</v>
      </c>
      <c r="K523" s="2">
        <f>[2]Indicators!M405</f>
        <v>123889</v>
      </c>
      <c r="L523" s="2">
        <f>[2]Indicators!N405</f>
        <v>14.49</v>
      </c>
      <c r="M523" s="2">
        <f>[2]Indicators!AB405</f>
        <v>64.616500000000002</v>
      </c>
      <c r="N523" s="2">
        <f>[8]m!$C525</f>
        <v>3.04</v>
      </c>
      <c r="O523">
        <f>[9]Unemployment!$B405</f>
        <v>7</v>
      </c>
      <c r="P523" s="2">
        <f>[2]Surveys_m!$B405</f>
        <v>58.6</v>
      </c>
      <c r="Q523">
        <f>[5]m!$B525</f>
        <v>144.30000000000001</v>
      </c>
      <c r="R523">
        <f>[5]m!$D525</f>
        <v>152.1</v>
      </c>
      <c r="S523">
        <f>[5]m!$Q525</f>
        <v>119.5</v>
      </c>
      <c r="T523">
        <f>[6]m!B525</f>
        <v>11099</v>
      </c>
      <c r="U523" s="2">
        <f>[9]Unemployment!$F405</f>
        <v>17.8</v>
      </c>
      <c r="V523" s="2">
        <f>[9]Unemployment!$G405</f>
        <v>8.3000000000000007</v>
      </c>
      <c r="W523">
        <f>[9]Unemployment!$E405</f>
        <v>9121</v>
      </c>
      <c r="X523">
        <f>[9]Unemployment!N405</f>
        <v>3218</v>
      </c>
      <c r="Y523">
        <f>[9]Unemployment!O405</f>
        <v>2778</v>
      </c>
      <c r="Z523">
        <f>[9]Unemployment!P405-[9]Unemployment!Q405</f>
        <v>1355</v>
      </c>
      <c r="AA523">
        <f>[9]Unemployment!$Q405</f>
        <v>1786</v>
      </c>
      <c r="AB523" s="2">
        <f>[8]m!$B525</f>
        <v>3.1</v>
      </c>
      <c r="AC523" s="2">
        <f>[8]m!$F525</f>
        <v>5.96</v>
      </c>
      <c r="AD523">
        <f>[9]Employment!$B405</f>
        <v>110663</v>
      </c>
      <c r="AE523" s="2">
        <f>[2]Indicators!$AB405</f>
        <v>64.616500000000002</v>
      </c>
      <c r="AF523" s="2">
        <f>[8]m!$AS525</f>
        <v>823.80000000000007</v>
      </c>
      <c r="AG523" s="2">
        <f>[8]m!$H525</f>
        <v>7.33</v>
      </c>
      <c r="AH523" s="2">
        <f>[8]m!$I525</f>
        <v>8.07</v>
      </c>
      <c r="AI523" s="2">
        <f>[7]m!C524</f>
        <v>54229</v>
      </c>
      <c r="AJ523" s="2">
        <f>[7]m!D524</f>
        <v>58598</v>
      </c>
      <c r="AK523" s="2">
        <f>[2]Surveys_m!$AB405</f>
        <v>49.6</v>
      </c>
      <c r="AL523" s="4">
        <f t="shared" si="7"/>
        <v>3311.7698259187614</v>
      </c>
      <c r="AM523">
        <f>[2]Indicators!$BB405</f>
        <v>123800</v>
      </c>
      <c r="AN523" s="2">
        <v>67</v>
      </c>
      <c r="AQ523" s="3">
        <f>[9]LaborForce!$B404*[9]LaborForce!$C404/100</f>
        <v>129488.13499999999</v>
      </c>
      <c r="AR523">
        <f>[9]Unemployment!$AC405</f>
        <v>349</v>
      </c>
      <c r="AS523">
        <f>[2]Indicators!BC405</f>
        <v>68.600000000000009</v>
      </c>
      <c r="AT523">
        <f>[2]Indicators!BD405</f>
        <v>68.445800000000006</v>
      </c>
      <c r="AU523">
        <f>[2]Indicators!BE405</f>
        <v>99.064700000000002</v>
      </c>
      <c r="AV523">
        <f>[5]m!$O525</f>
        <v>76.510000000000005</v>
      </c>
    </row>
    <row r="524" spans="1:48" x14ac:dyDescent="0.25">
      <c r="A524" s="1">
        <v>34151</v>
      </c>
      <c r="B524" s="2">
        <f>[2]Indicators!G406</f>
        <v>4499.1379999999999</v>
      </c>
      <c r="C524" s="2">
        <f>[2]Indicators!H406</f>
        <v>558.58900000000006</v>
      </c>
      <c r="D524" s="2">
        <f>[2]Indicators!I406</f>
        <v>1091.8679999999999</v>
      </c>
      <c r="E524" s="2">
        <f>[2]Indicators!J406</f>
        <v>2848.681</v>
      </c>
      <c r="J524" s="2">
        <f>[2]Indicators!L406</f>
        <v>162993</v>
      </c>
      <c r="K524" s="2">
        <f>[2]Indicators!M406</f>
        <v>125251</v>
      </c>
      <c r="L524" s="2">
        <f>[2]Indicators!N406</f>
        <v>14.451000000000001</v>
      </c>
      <c r="M524" s="2">
        <f>[2]Indicators!AB406</f>
        <v>64.820099999999996</v>
      </c>
      <c r="N524" s="2">
        <f>[8]m!$C526</f>
        <v>3.06</v>
      </c>
      <c r="O524">
        <f>[9]Unemployment!$B406</f>
        <v>6.9</v>
      </c>
      <c r="P524" s="2">
        <f>[2]Surveys_m!$B406</f>
        <v>59.2</v>
      </c>
      <c r="Q524">
        <f>[5]m!$B526</f>
        <v>144.5</v>
      </c>
      <c r="R524">
        <f>[5]m!$D526</f>
        <v>152.30000000000001</v>
      </c>
      <c r="S524">
        <f>[5]m!$Q526</f>
        <v>119.2</v>
      </c>
      <c r="T524">
        <f>[6]m!B526</f>
        <v>-39577</v>
      </c>
      <c r="U524" s="2">
        <f>[9]Unemployment!$F406</f>
        <v>17.7</v>
      </c>
      <c r="V524" s="2">
        <f>[9]Unemployment!$G406</f>
        <v>8.2000000000000011</v>
      </c>
      <c r="W524">
        <f>[9]Unemployment!$E406</f>
        <v>8930</v>
      </c>
      <c r="X524">
        <f>[9]Unemployment!N406</f>
        <v>3292</v>
      </c>
      <c r="Y524">
        <f>[9]Unemployment!O406</f>
        <v>2586</v>
      </c>
      <c r="Z524">
        <f>[9]Unemployment!P406-[9]Unemployment!Q406</f>
        <v>1276</v>
      </c>
      <c r="AA524">
        <f>[9]Unemployment!$Q406</f>
        <v>1770</v>
      </c>
      <c r="AB524" s="2">
        <f>[8]m!$B526</f>
        <v>3.11</v>
      </c>
      <c r="AC524" s="2">
        <f>[8]m!$F526</f>
        <v>5.8100000000000005</v>
      </c>
      <c r="AD524">
        <f>[9]Employment!$B406</f>
        <v>110958</v>
      </c>
      <c r="AE524" s="2">
        <f>[2]Indicators!$AB406</f>
        <v>64.820099999999996</v>
      </c>
      <c r="AF524" s="2">
        <f>[8]m!$AS526</f>
        <v>829.5</v>
      </c>
      <c r="AG524" s="2">
        <f>[8]m!$H526</f>
        <v>7.17</v>
      </c>
      <c r="AH524" s="2">
        <f>[8]m!$I526</f>
        <v>7.9300000000000006</v>
      </c>
      <c r="AI524" s="2">
        <f>[7]m!C525</f>
        <v>52346</v>
      </c>
      <c r="AJ524" s="2">
        <f>[7]m!D525</f>
        <v>59275</v>
      </c>
      <c r="AK524" s="2">
        <f>[2]Surveys_m!$AB406</f>
        <v>50.2</v>
      </c>
      <c r="AL524" s="4">
        <f t="shared" si="7"/>
        <v>3361.1992263056086</v>
      </c>
      <c r="AM524">
        <f>[2]Indicators!$BB406</f>
        <v>119520</v>
      </c>
      <c r="AN524" s="2">
        <v>68</v>
      </c>
      <c r="AQ524" s="3">
        <f>[9]LaborForce!$B405*[9]LaborForce!$C405/100</f>
        <v>129401.648</v>
      </c>
      <c r="AR524">
        <f>[9]Unemployment!$AC406</f>
        <v>340</v>
      </c>
      <c r="AS524">
        <f>[2]Indicators!BC406</f>
        <v>68.600000000000009</v>
      </c>
      <c r="AT524">
        <f>[2]Indicators!BD406</f>
        <v>68.56880000000001</v>
      </c>
      <c r="AU524">
        <f>[2]Indicators!BE406</f>
        <v>98.948700000000002</v>
      </c>
      <c r="AV524">
        <f>[5]m!$O526</f>
        <v>76.61</v>
      </c>
    </row>
    <row r="525" spans="1:48" x14ac:dyDescent="0.25">
      <c r="A525" s="1">
        <v>34182</v>
      </c>
      <c r="B525" s="2">
        <f>[2]Indicators!G407</f>
        <v>4509.9660000000003</v>
      </c>
      <c r="C525" s="2">
        <f>[2]Indicators!H407</f>
        <v>551.50599999999997</v>
      </c>
      <c r="D525" s="2">
        <f>[2]Indicators!I407</f>
        <v>1090.423</v>
      </c>
      <c r="E525" s="2">
        <f>[2]Indicators!J407</f>
        <v>2868.0360000000001</v>
      </c>
      <c r="J525" s="2">
        <f>[2]Indicators!L407</f>
        <v>162731</v>
      </c>
      <c r="K525" s="2">
        <f>[2]Indicators!M407</f>
        <v>124997</v>
      </c>
      <c r="L525" s="2">
        <f>[2]Indicators!N407</f>
        <v>13.584</v>
      </c>
      <c r="M525" s="2">
        <f>[2]Indicators!AB407</f>
        <v>64.801600000000008</v>
      </c>
      <c r="N525" s="2">
        <f>[8]m!$C527</f>
        <v>3.0300000000000002</v>
      </c>
      <c r="O525">
        <f>[9]Unemployment!$B407</f>
        <v>6.8000000000000007</v>
      </c>
      <c r="P525" s="2">
        <f>[2]Surveys_m!$B407</f>
        <v>59.300000000000004</v>
      </c>
      <c r="Q525">
        <f>[5]m!$B527</f>
        <v>144.80000000000001</v>
      </c>
      <c r="R525">
        <f>[5]m!$D527</f>
        <v>152.80000000000001</v>
      </c>
      <c r="S525">
        <f>[5]m!$Q527</f>
        <v>118.7</v>
      </c>
      <c r="T525">
        <f>[6]m!B527</f>
        <v>-23078</v>
      </c>
      <c r="U525" s="2">
        <f>[9]Unemployment!$F407</f>
        <v>18</v>
      </c>
      <c r="V525" s="2">
        <f>[9]Unemployment!$G407</f>
        <v>8.2000000000000011</v>
      </c>
      <c r="W525">
        <f>[9]Unemployment!$E407</f>
        <v>8763</v>
      </c>
      <c r="X525">
        <f>[9]Unemployment!N407</f>
        <v>3176</v>
      </c>
      <c r="Y525">
        <f>[9]Unemployment!O407</f>
        <v>2595</v>
      </c>
      <c r="Z525">
        <f>[9]Unemployment!P407-[9]Unemployment!Q407</f>
        <v>1256</v>
      </c>
      <c r="AA525">
        <f>[9]Unemployment!$Q407</f>
        <v>1770</v>
      </c>
      <c r="AB525" s="2">
        <f>[8]m!$B527</f>
        <v>3.08</v>
      </c>
      <c r="AC525" s="2">
        <f>[8]m!$F527</f>
        <v>5.68</v>
      </c>
      <c r="AD525">
        <f>[9]Employment!$B407</f>
        <v>111119</v>
      </c>
      <c r="AE525" s="2">
        <f>[2]Indicators!$AB407</f>
        <v>64.801600000000008</v>
      </c>
      <c r="AF525" s="2">
        <f>[8]m!$AS527</f>
        <v>834.2</v>
      </c>
      <c r="AG525" s="2">
        <f>[8]m!$H527</f>
        <v>6.8500000000000005</v>
      </c>
      <c r="AH525" s="2">
        <f>[8]m!$I527</f>
        <v>7.6000000000000005</v>
      </c>
      <c r="AI525" s="2">
        <f>[7]m!C526</f>
        <v>52818</v>
      </c>
      <c r="AJ525" s="2">
        <f>[7]m!D526</f>
        <v>59200</v>
      </c>
      <c r="AK525" s="2">
        <f>[2]Surveys_m!$AB407</f>
        <v>50.7</v>
      </c>
      <c r="AL525" s="4">
        <f t="shared" si="7"/>
        <v>3509.4874274661502</v>
      </c>
      <c r="AM525">
        <f>[2]Indicators!$BB407</f>
        <v>121268</v>
      </c>
      <c r="AN525" s="2">
        <v>71</v>
      </c>
      <c r="AQ525" s="3">
        <f>[9]LaborForce!$B406*[9]LaborForce!$C406/100</f>
        <v>129521.83200000001</v>
      </c>
      <c r="AR525">
        <f>[9]Unemployment!$AC407</f>
        <v>356</v>
      </c>
      <c r="AS525">
        <f>[2]Indicators!BC407</f>
        <v>69.100000000000009</v>
      </c>
      <c r="AT525">
        <f>[2]Indicators!BD407</f>
        <v>68.813400000000001</v>
      </c>
      <c r="AU525">
        <f>[2]Indicators!BE407</f>
        <v>99.000700000000009</v>
      </c>
      <c r="AV525">
        <f>[5]m!$O527</f>
        <v>76.59</v>
      </c>
    </row>
    <row r="526" spans="1:48" x14ac:dyDescent="0.25">
      <c r="A526" s="1">
        <v>34213</v>
      </c>
      <c r="B526" s="2">
        <f>[2]Indicators!G408</f>
        <v>4539.7269999999999</v>
      </c>
      <c r="C526" s="2">
        <f>[2]Indicators!H408</f>
        <v>559.81899999999996</v>
      </c>
      <c r="D526" s="2">
        <f>[2]Indicators!I408</f>
        <v>1095.2919999999999</v>
      </c>
      <c r="E526" s="2">
        <f>[2]Indicators!J408</f>
        <v>2884.616</v>
      </c>
      <c r="J526" s="2">
        <f>[2]Indicators!L408</f>
        <v>163698</v>
      </c>
      <c r="K526" s="2">
        <f>[2]Indicators!M408</f>
        <v>125674</v>
      </c>
      <c r="L526" s="2">
        <f>[2]Indicators!N408</f>
        <v>13.99</v>
      </c>
      <c r="M526" s="2">
        <f>[2]Indicators!AB408</f>
        <v>65.108699999999999</v>
      </c>
      <c r="N526" s="2">
        <f>[8]m!$C528</f>
        <v>3.09</v>
      </c>
      <c r="O526">
        <f>[9]Unemployment!$B408</f>
        <v>6.7</v>
      </c>
      <c r="P526" s="2">
        <f>[2]Surveys_m!$B408</f>
        <v>63.800000000000004</v>
      </c>
      <c r="Q526">
        <f>[5]m!$B528</f>
        <v>145</v>
      </c>
      <c r="R526">
        <f>[5]m!$D528</f>
        <v>152.9</v>
      </c>
      <c r="S526">
        <f>[5]m!$Q528</f>
        <v>118.7</v>
      </c>
      <c r="T526">
        <f>[6]m!B528</f>
        <v>8517</v>
      </c>
      <c r="U526" s="2">
        <f>[9]Unemployment!$F408</f>
        <v>18.100000000000001</v>
      </c>
      <c r="V526" s="2">
        <f>[9]Unemployment!$G408</f>
        <v>8.3000000000000007</v>
      </c>
      <c r="W526">
        <f>[9]Unemployment!$E408</f>
        <v>8714</v>
      </c>
      <c r="X526">
        <f>[9]Unemployment!N408</f>
        <v>3127</v>
      </c>
      <c r="Y526">
        <f>[9]Unemployment!O408</f>
        <v>2516</v>
      </c>
      <c r="Z526">
        <f>[9]Unemployment!P408-[9]Unemployment!Q408</f>
        <v>1286</v>
      </c>
      <c r="AA526">
        <f>[9]Unemployment!$Q408</f>
        <v>1756</v>
      </c>
      <c r="AB526" s="2">
        <f>[8]m!$B528</f>
        <v>2.98</v>
      </c>
      <c r="AC526" s="2">
        <f>[8]m!$F528</f>
        <v>5.36</v>
      </c>
      <c r="AD526">
        <f>[9]Employment!$B408</f>
        <v>111360</v>
      </c>
      <c r="AE526" s="2">
        <f>[2]Indicators!$AB408</f>
        <v>65.108699999999999</v>
      </c>
      <c r="AF526" s="2">
        <f>[8]m!$AS528</f>
        <v>840.6</v>
      </c>
      <c r="AG526" s="2">
        <f>[8]m!$H528</f>
        <v>6.66</v>
      </c>
      <c r="AH526" s="2">
        <f>[8]m!$I528</f>
        <v>7.34</v>
      </c>
      <c r="AI526" s="2">
        <f>[7]m!C527</f>
        <v>53224</v>
      </c>
      <c r="AJ526" s="2">
        <f>[7]m!D527</f>
        <v>58805</v>
      </c>
      <c r="AK526" s="2">
        <f>[2]Surveys_m!$AB408</f>
        <v>50.800000000000004</v>
      </c>
      <c r="AL526" s="4">
        <f t="shared" ref="AL526:AL589" si="8">AL527*AN526/AN527</f>
        <v>3509.4874274661502</v>
      </c>
      <c r="AM526">
        <f>[2]Indicators!$BB408</f>
        <v>120854</v>
      </c>
      <c r="AN526" s="2">
        <v>71</v>
      </c>
      <c r="AQ526" s="3">
        <f>[9]LaborForce!$B407*[9]LaborForce!$C407/100</f>
        <v>129261.45800000001</v>
      </c>
      <c r="AR526">
        <f>[9]Unemployment!$AC408</f>
        <v>337</v>
      </c>
      <c r="AS526">
        <f>[2]Indicators!BC408</f>
        <v>69.400000000000006</v>
      </c>
      <c r="AT526">
        <f>[2]Indicators!BD408</f>
        <v>69.182000000000002</v>
      </c>
      <c r="AU526">
        <f>[2]Indicators!BE408</f>
        <v>99.222400000000007</v>
      </c>
      <c r="AV526">
        <f>[5]m!$O528</f>
        <v>76.47</v>
      </c>
    </row>
    <row r="527" spans="1:48" x14ac:dyDescent="0.25">
      <c r="A527" s="1">
        <v>34243</v>
      </c>
      <c r="B527" s="2">
        <f>[2]Indicators!G409</f>
        <v>4560.8389999999999</v>
      </c>
      <c r="C527" s="2">
        <f>[2]Indicators!H409</f>
        <v>568.851</v>
      </c>
      <c r="D527" s="2">
        <f>[2]Indicators!I409</f>
        <v>1100.173</v>
      </c>
      <c r="E527" s="2">
        <f>[2]Indicators!J409</f>
        <v>2891.8139999999999</v>
      </c>
      <c r="J527" s="2">
        <f>[2]Indicators!L409</f>
        <v>164951</v>
      </c>
      <c r="K527" s="2">
        <f>[2]Indicators!M409</f>
        <v>125847</v>
      </c>
      <c r="L527" s="2">
        <f>[2]Indicators!N409</f>
        <v>14.911</v>
      </c>
      <c r="M527" s="2">
        <f>[2]Indicators!AB409</f>
        <v>65.582400000000007</v>
      </c>
      <c r="N527" s="2">
        <f>[8]m!$C529</f>
        <v>2.99</v>
      </c>
      <c r="O527">
        <f>[9]Unemployment!$B409</f>
        <v>6.8000000000000007</v>
      </c>
      <c r="P527" s="2">
        <f>[2]Surveys_m!$B409</f>
        <v>60.5</v>
      </c>
      <c r="Q527">
        <f>[5]m!$B529</f>
        <v>145.6</v>
      </c>
      <c r="R527">
        <f>[5]m!$D529</f>
        <v>153.4</v>
      </c>
      <c r="S527">
        <f>[5]m!$Q529</f>
        <v>119.10000000000001</v>
      </c>
      <c r="T527">
        <f>[6]m!B529</f>
        <v>-45422</v>
      </c>
      <c r="U527" s="2">
        <f>[9]Unemployment!$F409</f>
        <v>18.100000000000001</v>
      </c>
      <c r="V527" s="2">
        <f>[9]Unemployment!$G409</f>
        <v>8</v>
      </c>
      <c r="W527">
        <f>[9]Unemployment!$E409</f>
        <v>8750</v>
      </c>
      <c r="X527">
        <f>[9]Unemployment!N409</f>
        <v>3336</v>
      </c>
      <c r="Y527">
        <f>[9]Unemployment!O409</f>
        <v>2514</v>
      </c>
      <c r="Z527">
        <f>[9]Unemployment!P409-[9]Unemployment!Q409</f>
        <v>1220</v>
      </c>
      <c r="AA527">
        <f>[9]Unemployment!$Q409</f>
        <v>1809</v>
      </c>
      <c r="AB527" s="2">
        <f>[8]m!$B529</f>
        <v>3.09</v>
      </c>
      <c r="AC527" s="2">
        <f>[8]m!$F529</f>
        <v>5.33</v>
      </c>
      <c r="AD527">
        <f>[9]Employment!$B409</f>
        <v>111637</v>
      </c>
      <c r="AE527" s="2">
        <f>[2]Indicators!$AB409</f>
        <v>65.582400000000007</v>
      </c>
      <c r="AF527" s="2">
        <f>[8]m!$AS529</f>
        <v>847.6</v>
      </c>
      <c r="AG527" s="2">
        <f>[8]m!$H529</f>
        <v>6.67</v>
      </c>
      <c r="AH527" s="2">
        <f>[8]m!$I529</f>
        <v>7.3100000000000005</v>
      </c>
      <c r="AI527" s="2">
        <f>[7]m!C528</f>
        <v>53648</v>
      </c>
      <c r="AJ527" s="2">
        <f>[7]m!D528</f>
        <v>60679</v>
      </c>
      <c r="AK527" s="2">
        <f>[2]Surveys_m!$AB409</f>
        <v>53.400000000000006</v>
      </c>
      <c r="AL527" s="4">
        <f t="shared" si="8"/>
        <v>3657.7756286266917</v>
      </c>
      <c r="AM527">
        <f>[2]Indicators!$BB409</f>
        <v>125851</v>
      </c>
      <c r="AN527" s="2">
        <v>74</v>
      </c>
      <c r="AQ527" s="3">
        <f>[9]LaborForce!$B408*[9]LaborForce!$C408/100</f>
        <v>129579.37199999999</v>
      </c>
      <c r="AR527">
        <f>[9]Unemployment!$AC409</f>
        <v>333</v>
      </c>
      <c r="AS527">
        <f>[2]Indicators!BC409</f>
        <v>69.8</v>
      </c>
      <c r="AT527">
        <f>[2]Indicators!BD409</f>
        <v>69.659800000000004</v>
      </c>
      <c r="AU527">
        <f>[2]Indicators!BE409</f>
        <v>99.591200000000001</v>
      </c>
      <c r="AV527">
        <f>[5]m!$O529</f>
        <v>76.22</v>
      </c>
    </row>
    <row r="528" spans="1:48" x14ac:dyDescent="0.25">
      <c r="A528" s="1">
        <v>34274</v>
      </c>
      <c r="B528" s="2">
        <f>[2]Indicators!G410</f>
        <v>4582.3469999999998</v>
      </c>
      <c r="C528" s="2">
        <f>[2]Indicators!H410</f>
        <v>574.18899999999996</v>
      </c>
      <c r="D528" s="2">
        <f>[2]Indicators!I410</f>
        <v>1107.1859999999999</v>
      </c>
      <c r="E528" s="2">
        <f>[2]Indicators!J410</f>
        <v>2900.9720000000002</v>
      </c>
      <c r="J528" s="2">
        <f>[2]Indicators!L410</f>
        <v>166986</v>
      </c>
      <c r="K528" s="2">
        <f>[2]Indicators!M410</f>
        <v>126895</v>
      </c>
      <c r="L528" s="2">
        <f>[2]Indicators!N410</f>
        <v>14.882</v>
      </c>
      <c r="M528" s="2">
        <f>[2]Indicators!AB410</f>
        <v>65.849800000000002</v>
      </c>
      <c r="N528" s="2">
        <f>[8]m!$C530</f>
        <v>3.02</v>
      </c>
      <c r="O528">
        <f>[9]Unemployment!$B410</f>
        <v>6.6000000000000005</v>
      </c>
      <c r="P528" s="2">
        <f>[2]Surveys_m!$B410</f>
        <v>71.900000000000006</v>
      </c>
      <c r="Q528">
        <f>[5]m!$B530</f>
        <v>146</v>
      </c>
      <c r="R528">
        <f>[5]m!$D530</f>
        <v>153.9</v>
      </c>
      <c r="S528">
        <f>[5]m!$Q530</f>
        <v>119</v>
      </c>
      <c r="T528">
        <f>[6]m!B530</f>
        <v>-38381</v>
      </c>
      <c r="U528" s="2">
        <f>[9]Unemployment!$F410</f>
        <v>18.600000000000001</v>
      </c>
      <c r="V528" s="2">
        <f>[9]Unemployment!$G410</f>
        <v>8.3000000000000007</v>
      </c>
      <c r="W528">
        <f>[9]Unemployment!$E410</f>
        <v>8542</v>
      </c>
      <c r="X528">
        <f>[9]Unemployment!N410</f>
        <v>3087</v>
      </c>
      <c r="Y528">
        <f>[9]Unemployment!O410</f>
        <v>2518</v>
      </c>
      <c r="Z528">
        <f>[9]Unemployment!P410-[9]Unemployment!Q410</f>
        <v>1186</v>
      </c>
      <c r="AA528">
        <f>[9]Unemployment!$Q410</f>
        <v>1800</v>
      </c>
      <c r="AB528" s="2">
        <f>[8]m!$B530</f>
        <v>3.14</v>
      </c>
      <c r="AC528" s="2">
        <f>[8]m!$F530</f>
        <v>5.72</v>
      </c>
      <c r="AD528">
        <f>[9]Employment!$B410</f>
        <v>111898</v>
      </c>
      <c r="AE528" s="2">
        <f>[2]Indicators!$AB410</f>
        <v>65.849800000000002</v>
      </c>
      <c r="AF528" s="2">
        <f>[8]m!$AS530</f>
        <v>856.5</v>
      </c>
      <c r="AG528" s="2">
        <f>[8]m!$H530</f>
        <v>6.93</v>
      </c>
      <c r="AH528" s="2">
        <f>[8]m!$I530</f>
        <v>7.66</v>
      </c>
      <c r="AI528" s="2">
        <f>[7]m!C529</f>
        <v>55476</v>
      </c>
      <c r="AJ528" s="2">
        <f>[7]m!D529</f>
        <v>62069</v>
      </c>
      <c r="AK528" s="2">
        <f>[2]Surveys_m!$AB410</f>
        <v>53.800000000000004</v>
      </c>
      <c r="AL528" s="4">
        <f t="shared" si="8"/>
        <v>3657.7756286266917</v>
      </c>
      <c r="AM528">
        <f>[2]Indicators!$BB410</f>
        <v>124986</v>
      </c>
      <c r="AN528" s="2">
        <v>74</v>
      </c>
      <c r="AQ528" s="3">
        <f>[9]LaborForce!$B409*[9]LaborForce!$C409/100</f>
        <v>129699.375</v>
      </c>
      <c r="AR528">
        <f>[9]Unemployment!$AC410</f>
        <v>348</v>
      </c>
      <c r="AS528">
        <f>[2]Indicators!BC410</f>
        <v>70.100000000000009</v>
      </c>
      <c r="AT528">
        <f>[2]Indicators!BD410</f>
        <v>70.199600000000004</v>
      </c>
      <c r="AU528">
        <f>[2]Indicators!BE410</f>
        <v>100.0385</v>
      </c>
      <c r="AV528">
        <f>[5]m!$O530</f>
        <v>76.02</v>
      </c>
    </row>
    <row r="529" spans="1:48" x14ac:dyDescent="0.25">
      <c r="A529" s="1">
        <v>34304</v>
      </c>
      <c r="B529" s="2">
        <f>[2]Indicators!G411</f>
        <v>4599.9840000000004</v>
      </c>
      <c r="C529" s="2">
        <f>[2]Indicators!H411</f>
        <v>578.34900000000005</v>
      </c>
      <c r="D529" s="2">
        <f>[2]Indicators!I411</f>
        <v>1108.4670000000001</v>
      </c>
      <c r="E529" s="2">
        <f>[2]Indicators!J411</f>
        <v>2913.1680000000001</v>
      </c>
      <c r="J529" s="2">
        <f>[2]Indicators!L411</f>
        <v>168283</v>
      </c>
      <c r="K529" s="2">
        <f>[2]Indicators!M411</f>
        <v>127504</v>
      </c>
      <c r="L529" s="2">
        <f>[2]Indicators!N411</f>
        <v>15.004</v>
      </c>
      <c r="M529" s="2">
        <f>[2]Indicators!AB411</f>
        <v>66.190600000000003</v>
      </c>
      <c r="N529" s="2">
        <f>[8]m!$C531</f>
        <v>2.96</v>
      </c>
      <c r="O529">
        <f>[9]Unemployment!$B411</f>
        <v>6.5</v>
      </c>
      <c r="P529" s="2">
        <f>[2]Surveys_m!$B411</f>
        <v>79.800000000000011</v>
      </c>
      <c r="Q529">
        <f>[5]m!$B531</f>
        <v>146.30000000000001</v>
      </c>
      <c r="R529">
        <f>[5]m!$D531</f>
        <v>154.30000000000001</v>
      </c>
      <c r="S529">
        <f>[5]m!$Q531</f>
        <v>118.60000000000001</v>
      </c>
      <c r="T529">
        <f>[6]m!B531</f>
        <v>-7705</v>
      </c>
      <c r="U529" s="2">
        <f>[9]Unemployment!$F411</f>
        <v>18.3</v>
      </c>
      <c r="V529" s="2">
        <f>[9]Unemployment!$G411</f>
        <v>8.3000000000000007</v>
      </c>
      <c r="W529">
        <f>[9]Unemployment!$E411</f>
        <v>8477</v>
      </c>
      <c r="X529">
        <f>[9]Unemployment!N411</f>
        <v>3246</v>
      </c>
      <c r="Y529">
        <f>[9]Unemployment!O411</f>
        <v>2362</v>
      </c>
      <c r="Z529">
        <f>[9]Unemployment!P411-[9]Unemployment!Q411</f>
        <v>1186</v>
      </c>
      <c r="AA529">
        <f>[9]Unemployment!$Q411</f>
        <v>1782</v>
      </c>
      <c r="AB529" s="2">
        <f>[8]m!$B531</f>
        <v>3.0100000000000002</v>
      </c>
      <c r="AC529" s="2">
        <f>[8]m!$F531</f>
        <v>5.7700000000000005</v>
      </c>
      <c r="AD529">
        <f>[9]Employment!$B411</f>
        <v>112206</v>
      </c>
      <c r="AE529" s="2">
        <f>[2]Indicators!$AB411</f>
        <v>66.190600000000003</v>
      </c>
      <c r="AF529" s="2">
        <f>[8]m!$AS531</f>
        <v>865.7</v>
      </c>
      <c r="AG529" s="2">
        <f>[8]m!$H531</f>
        <v>6.93</v>
      </c>
      <c r="AH529" s="2">
        <f>[8]m!$I531</f>
        <v>7.69</v>
      </c>
      <c r="AI529" s="2">
        <f>[7]m!C530</f>
        <v>54345</v>
      </c>
      <c r="AJ529" s="2">
        <f>[7]m!D530</f>
        <v>61361</v>
      </c>
      <c r="AK529" s="2">
        <f>[2]Surveys_m!$AB411</f>
        <v>55.6</v>
      </c>
      <c r="AL529" s="4">
        <f t="shared" si="8"/>
        <v>3707.2050290135389</v>
      </c>
      <c r="AM529">
        <f>[2]Indicators!$BB411</f>
        <v>127176</v>
      </c>
      <c r="AN529" s="2">
        <v>75</v>
      </c>
      <c r="AQ529" s="3">
        <f>[9]LaborForce!$B410*[9]LaborForce!$C410/100</f>
        <v>130007.21600000001</v>
      </c>
      <c r="AR529">
        <f>[9]Unemployment!$AC411</f>
        <v>337</v>
      </c>
      <c r="AS529">
        <f>[2]Indicators!BC411</f>
        <v>70.900000000000006</v>
      </c>
      <c r="AT529">
        <f>[2]Indicators!BD411</f>
        <v>70.771299999999997</v>
      </c>
      <c r="AU529">
        <f>[2]Indicators!BE411</f>
        <v>100.52090000000001</v>
      </c>
      <c r="AV529">
        <f>[5]m!$O531</f>
        <v>75.710000000000008</v>
      </c>
    </row>
    <row r="530" spans="1:48" x14ac:dyDescent="0.25">
      <c r="A530" s="1">
        <v>34335</v>
      </c>
      <c r="B530" s="2">
        <f>[2]Indicators!G412</f>
        <v>4614.9359999999997</v>
      </c>
      <c r="C530" s="2">
        <f>[2]Indicators!H412</f>
        <v>579.64200000000005</v>
      </c>
      <c r="D530" s="2">
        <f>[2]Indicators!I412</f>
        <v>1109.9259999999999</v>
      </c>
      <c r="E530" s="2">
        <f>[2]Indicators!J412</f>
        <v>2925.3679999999999</v>
      </c>
      <c r="J530" s="2">
        <f>[2]Indicators!L412</f>
        <v>168277</v>
      </c>
      <c r="K530" s="2">
        <f>[2]Indicators!M412</f>
        <v>127100</v>
      </c>
      <c r="L530" s="2">
        <f>[2]Indicators!N412</f>
        <v>15.379</v>
      </c>
      <c r="M530" s="2">
        <f>[2]Indicators!AB412</f>
        <v>66.465299999999999</v>
      </c>
      <c r="N530" s="2">
        <f>[8]m!$C532</f>
        <v>3.0500000000000003</v>
      </c>
      <c r="O530">
        <f>[9]Unemployment!$B412</f>
        <v>6.6000000000000005</v>
      </c>
      <c r="P530" s="2">
        <f>[2]Surveys_m!$B412</f>
        <v>82.600000000000009</v>
      </c>
      <c r="Q530">
        <f>[5]m!$B532</f>
        <v>146.30000000000001</v>
      </c>
      <c r="R530">
        <f>[5]m!$D532</f>
        <v>154.5</v>
      </c>
      <c r="S530">
        <f>[5]m!$Q532</f>
        <v>119.10000000000001</v>
      </c>
      <c r="T530">
        <f>[6]m!B532</f>
        <v>15248</v>
      </c>
      <c r="U530" s="2">
        <f>[9]Unemployment!$F412</f>
        <v>18.600000000000001</v>
      </c>
      <c r="V530" s="2">
        <f>[9]Unemployment!$G412</f>
        <v>8.6</v>
      </c>
      <c r="W530">
        <f>[9]Unemployment!$E412</f>
        <v>8630</v>
      </c>
      <c r="X530">
        <f>[9]Unemployment!N412</f>
        <v>3184</v>
      </c>
      <c r="Y530">
        <f>[9]Unemployment!O412</f>
        <v>2384</v>
      </c>
      <c r="Z530">
        <f>[9]Unemployment!P412-[9]Unemployment!Q412</f>
        <v>1327</v>
      </c>
      <c r="AA530">
        <f>[9]Unemployment!$Q412</f>
        <v>1733</v>
      </c>
      <c r="AB530" s="2">
        <f>[8]m!$B532</f>
        <v>3.0300000000000002</v>
      </c>
      <c r="AC530" s="2">
        <f>[8]m!$F532</f>
        <v>5.75</v>
      </c>
      <c r="AD530">
        <f>[9]Employment!$B412</f>
        <v>112474</v>
      </c>
      <c r="AE530" s="2">
        <f>[2]Indicators!$AB412</f>
        <v>66.465299999999999</v>
      </c>
      <c r="AF530" s="2">
        <f>[8]m!$AS532</f>
        <v>872</v>
      </c>
      <c r="AG530" s="2">
        <f>[8]m!$H532</f>
        <v>6.92</v>
      </c>
      <c r="AH530" s="2">
        <f>[8]m!$I532</f>
        <v>7.65</v>
      </c>
      <c r="AI530" s="2">
        <f>[7]m!C531</f>
        <v>55552</v>
      </c>
      <c r="AJ530" s="2">
        <f>[7]m!D531</f>
        <v>61271</v>
      </c>
      <c r="AK530" s="2">
        <f>[2]Surveys_m!$AB412</f>
        <v>56</v>
      </c>
      <c r="AL530" s="4">
        <f t="shared" si="8"/>
        <v>3756.6344294003861</v>
      </c>
      <c r="AM530">
        <f>[2]Indicators!$BB412</f>
        <v>130348</v>
      </c>
      <c r="AN530" s="2">
        <v>76</v>
      </c>
      <c r="AO530">
        <f>[9]Unemployment!H412</f>
        <v>600</v>
      </c>
      <c r="AP530">
        <f>[9]Unemployment!I412</f>
        <v>1521</v>
      </c>
      <c r="AQ530" s="3">
        <f>[9]LaborForce!$B411*[9]LaborForce!$C411/100</f>
        <v>130504.698</v>
      </c>
      <c r="AR530">
        <f>[9]Unemployment!$AC412</f>
        <v>341</v>
      </c>
      <c r="AS530">
        <f>[2]Indicators!BC412</f>
        <v>71.100000000000009</v>
      </c>
      <c r="AT530">
        <f>[2]Indicators!BD412</f>
        <v>71.322400000000002</v>
      </c>
      <c r="AU530">
        <f>[2]Indicators!BE412</f>
        <v>100.9641</v>
      </c>
      <c r="AV530">
        <f>[5]m!$O532</f>
        <v>75.710000000000008</v>
      </c>
    </row>
    <row r="531" spans="1:48" x14ac:dyDescent="0.25">
      <c r="A531" s="1">
        <v>34366</v>
      </c>
      <c r="B531" s="2">
        <f>[2]Indicators!G413</f>
        <v>4662.1580000000004</v>
      </c>
      <c r="C531" s="2">
        <f>[2]Indicators!H413</f>
        <v>593.26700000000005</v>
      </c>
      <c r="D531" s="2">
        <f>[2]Indicators!I413</f>
        <v>1117.796</v>
      </c>
      <c r="E531" s="2">
        <f>[2]Indicators!J413</f>
        <v>2951.096</v>
      </c>
      <c r="J531" s="2">
        <f>[2]Indicators!L413</f>
        <v>170063</v>
      </c>
      <c r="K531" s="2">
        <f>[2]Indicators!M413</f>
        <v>128536</v>
      </c>
      <c r="L531" s="2">
        <f>[2]Indicators!N413</f>
        <v>15.52</v>
      </c>
      <c r="M531" s="2">
        <f>[2]Indicators!AB413</f>
        <v>66.495100000000008</v>
      </c>
      <c r="N531" s="2">
        <f>[8]m!$C533</f>
        <v>3.25</v>
      </c>
      <c r="O531">
        <f>[9]Unemployment!$B413</f>
        <v>6.6000000000000005</v>
      </c>
      <c r="P531" s="2">
        <f>[2]Surveys_m!$B413</f>
        <v>79.900000000000006</v>
      </c>
      <c r="Q531">
        <f>[5]m!$B533</f>
        <v>146.70000000000002</v>
      </c>
      <c r="R531">
        <f>[5]m!$D533</f>
        <v>154.80000000000001</v>
      </c>
      <c r="S531">
        <f>[5]m!$Q533</f>
        <v>119.30000000000001</v>
      </c>
      <c r="T531">
        <f>[6]m!B533</f>
        <v>-41566</v>
      </c>
      <c r="U531" s="2">
        <f>[9]Unemployment!$F413</f>
        <v>19</v>
      </c>
      <c r="V531" s="2">
        <f>[9]Unemployment!$G413</f>
        <v>9.2000000000000011</v>
      </c>
      <c r="W531">
        <f>[9]Unemployment!$E413</f>
        <v>8583</v>
      </c>
      <c r="X531">
        <f>[9]Unemployment!N413</f>
        <v>2652</v>
      </c>
      <c r="Y531">
        <f>[9]Unemployment!O413</f>
        <v>2714</v>
      </c>
      <c r="Z531">
        <f>[9]Unemployment!P413-[9]Unemployment!Q413</f>
        <v>1359</v>
      </c>
      <c r="AA531">
        <f>[9]Unemployment!$Q413</f>
        <v>1759</v>
      </c>
      <c r="AB531" s="2">
        <f>[8]m!$B533</f>
        <v>3.44</v>
      </c>
      <c r="AC531" s="2">
        <f>[8]m!$F533</f>
        <v>5.97</v>
      </c>
      <c r="AD531">
        <f>[9]Employment!$B413</f>
        <v>112675</v>
      </c>
      <c r="AE531" s="2">
        <f>[2]Indicators!$AB413</f>
        <v>66.495100000000008</v>
      </c>
      <c r="AF531" s="2">
        <f>[8]m!$AS533</f>
        <v>880.40000000000009</v>
      </c>
      <c r="AG531" s="2">
        <f>[8]m!$H533</f>
        <v>7.08</v>
      </c>
      <c r="AH531" s="2">
        <f>[8]m!$I533</f>
        <v>7.76</v>
      </c>
      <c r="AI531" s="2">
        <f>[7]m!C532</f>
        <v>55159</v>
      </c>
      <c r="AJ531" s="2">
        <f>[7]m!D532</f>
        <v>61365</v>
      </c>
      <c r="AK531" s="2">
        <f>[2]Surveys_m!$AB413</f>
        <v>56.5</v>
      </c>
      <c r="AL531" s="4">
        <f t="shared" si="8"/>
        <v>3904.9226305609272</v>
      </c>
      <c r="AM531">
        <f>[2]Indicators!$BB413</f>
        <v>131639</v>
      </c>
      <c r="AN531" s="2">
        <v>79</v>
      </c>
      <c r="AO531">
        <f>[9]Unemployment!H413</f>
        <v>489</v>
      </c>
      <c r="AP531">
        <f>[9]Unemployment!I413</f>
        <v>1462</v>
      </c>
      <c r="AQ531" s="3">
        <f>[9]LaborForce!$B412*[9]LaborForce!$C412/100</f>
        <v>130595.94000000002</v>
      </c>
      <c r="AR531">
        <f>[9]Unemployment!$AC413</f>
        <v>406</v>
      </c>
      <c r="AS531">
        <f>[2]Indicators!BC413</f>
        <v>71.100000000000009</v>
      </c>
      <c r="AT531">
        <f>[2]Indicators!BD413</f>
        <v>71.839399999999998</v>
      </c>
      <c r="AU531">
        <f>[2]Indicators!BE413</f>
        <v>101.34960000000001</v>
      </c>
      <c r="AV531">
        <f>[5]m!$O533</f>
        <v>75.63</v>
      </c>
    </row>
    <row r="532" spans="1:48" x14ac:dyDescent="0.25">
      <c r="A532" s="1">
        <v>34394</v>
      </c>
      <c r="B532" s="2">
        <f>[2]Indicators!G414</f>
        <v>4674.1009999999997</v>
      </c>
      <c r="C532" s="2">
        <f>[2]Indicators!H414</f>
        <v>593.56299999999999</v>
      </c>
      <c r="D532" s="2">
        <f>[2]Indicators!I414</f>
        <v>1122.8120000000001</v>
      </c>
      <c r="E532" s="2">
        <f>[2]Indicators!J414</f>
        <v>2957.7249999999999</v>
      </c>
      <c r="J532" s="2">
        <f>[2]Indicators!L414</f>
        <v>173020</v>
      </c>
      <c r="K532" s="2">
        <f>[2]Indicators!M414</f>
        <v>130358</v>
      </c>
      <c r="L532" s="2">
        <f>[2]Indicators!N414</f>
        <v>15.301</v>
      </c>
      <c r="M532" s="2">
        <f>[2]Indicators!AB414</f>
        <v>67.1892</v>
      </c>
      <c r="N532" s="2">
        <f>[8]m!$C534</f>
        <v>3.34</v>
      </c>
      <c r="O532">
        <f>[9]Unemployment!$B414</f>
        <v>6.5</v>
      </c>
      <c r="P532" s="2">
        <f>[2]Surveys_m!$B414</f>
        <v>86.7</v>
      </c>
      <c r="Q532">
        <f>[5]m!$B534</f>
        <v>147.1</v>
      </c>
      <c r="R532">
        <f>[5]m!$D534</f>
        <v>155.30000000000001</v>
      </c>
      <c r="S532">
        <f>[5]m!$Q534</f>
        <v>119.7</v>
      </c>
      <c r="T532">
        <f>[6]m!B534</f>
        <v>-32315</v>
      </c>
      <c r="U532" s="2">
        <f>[9]Unemployment!$F414</f>
        <v>19</v>
      </c>
      <c r="V532" s="2">
        <f>[9]Unemployment!$G414</f>
        <v>9.3000000000000007</v>
      </c>
      <c r="W532">
        <f>[9]Unemployment!$E414</f>
        <v>8470</v>
      </c>
      <c r="X532">
        <f>[9]Unemployment!N414</f>
        <v>2789</v>
      </c>
      <c r="Y532">
        <f>[9]Unemployment!O414</f>
        <v>2543</v>
      </c>
      <c r="Z532">
        <f>[9]Unemployment!P414-[9]Unemployment!Q414</f>
        <v>1275</v>
      </c>
      <c r="AA532">
        <f>[9]Unemployment!$Q414</f>
        <v>1780</v>
      </c>
      <c r="AB532" s="2">
        <f>[8]m!$B534</f>
        <v>3.5700000000000003</v>
      </c>
      <c r="AC532" s="2">
        <f>[8]m!$F534</f>
        <v>6.48</v>
      </c>
      <c r="AD532">
        <f>[9]Employment!$B414</f>
        <v>113137</v>
      </c>
      <c r="AE532" s="2">
        <f>[2]Indicators!$AB414</f>
        <v>67.1892</v>
      </c>
      <c r="AF532" s="2">
        <f>[8]m!$AS534</f>
        <v>891.30000000000007</v>
      </c>
      <c r="AG532" s="2">
        <f>[8]m!$H534</f>
        <v>7.48</v>
      </c>
      <c r="AH532" s="2">
        <f>[8]m!$I534</f>
        <v>8.1300000000000008</v>
      </c>
      <c r="AI532" s="2">
        <f>[7]m!C533</f>
        <v>53729</v>
      </c>
      <c r="AJ532" s="2">
        <f>[7]m!D533</f>
        <v>62974</v>
      </c>
      <c r="AK532" s="2">
        <f>[2]Surveys_m!$AB414</f>
        <v>56.900000000000006</v>
      </c>
      <c r="AL532" s="4">
        <f t="shared" si="8"/>
        <v>3954.3520309477744</v>
      </c>
      <c r="AM532">
        <f>[2]Indicators!$BB414</f>
        <v>131093</v>
      </c>
      <c r="AN532" s="2">
        <v>80</v>
      </c>
      <c r="AO532">
        <f>[9]Unemployment!H414</f>
        <v>533</v>
      </c>
      <c r="AP532">
        <f>[9]Unemployment!I414</f>
        <v>1299</v>
      </c>
      <c r="AQ532" s="3">
        <f>[9]LaborForce!$B413*[9]LaborForce!$C413/100</f>
        <v>130481.645</v>
      </c>
      <c r="AR532">
        <f>[9]Unemployment!$AC414</f>
        <v>327</v>
      </c>
      <c r="AS532">
        <f>[2]Indicators!BC414</f>
        <v>71.8</v>
      </c>
      <c r="AT532">
        <f>[2]Indicators!BD414</f>
        <v>72.329700000000003</v>
      </c>
      <c r="AU532">
        <f>[2]Indicators!BE414</f>
        <v>101.6883</v>
      </c>
      <c r="AV532">
        <f>[5]m!$O534</f>
        <v>75.73</v>
      </c>
    </row>
    <row r="533" spans="1:48" x14ac:dyDescent="0.25">
      <c r="A533" s="1">
        <v>34425</v>
      </c>
      <c r="B533" s="2">
        <f>[2]Indicators!G415</f>
        <v>4697.2300000000005</v>
      </c>
      <c r="C533" s="2">
        <f>[2]Indicators!H415</f>
        <v>606.98900000000003</v>
      </c>
      <c r="D533" s="2">
        <f>[2]Indicators!I415</f>
        <v>1126.1079999999999</v>
      </c>
      <c r="E533" s="2">
        <f>[2]Indicators!J415</f>
        <v>2964.134</v>
      </c>
      <c r="J533" s="2">
        <f>[2]Indicators!L415</f>
        <v>173650</v>
      </c>
      <c r="K533" s="2">
        <f>[2]Indicators!M415</f>
        <v>130622</v>
      </c>
      <c r="L533" s="2">
        <f>[2]Indicators!N415</f>
        <v>16.013000000000002</v>
      </c>
      <c r="M533" s="2">
        <f>[2]Indicators!AB415</f>
        <v>67.519599999999997</v>
      </c>
      <c r="N533" s="2">
        <f>[8]m!$C535</f>
        <v>3.56</v>
      </c>
      <c r="O533">
        <f>[9]Unemployment!$B415</f>
        <v>6.4</v>
      </c>
      <c r="P533" s="2">
        <f>[2]Surveys_m!$B415</f>
        <v>92.100000000000009</v>
      </c>
      <c r="Q533">
        <f>[5]m!$B535</f>
        <v>147.20000000000002</v>
      </c>
      <c r="R533">
        <f>[5]m!$D535</f>
        <v>155.5</v>
      </c>
      <c r="S533">
        <f>[5]m!$Q535</f>
        <v>119.7</v>
      </c>
      <c r="T533">
        <f>[6]m!B535</f>
        <v>17454</v>
      </c>
      <c r="U533" s="2">
        <f>[9]Unemployment!$F415</f>
        <v>19</v>
      </c>
      <c r="V533" s="2">
        <f>[9]Unemployment!$G415</f>
        <v>9.1</v>
      </c>
      <c r="W533">
        <f>[9]Unemployment!$E415</f>
        <v>8331</v>
      </c>
      <c r="X533">
        <f>[9]Unemployment!N415</f>
        <v>2842</v>
      </c>
      <c r="Y533">
        <f>[9]Unemployment!O415</f>
        <v>2430</v>
      </c>
      <c r="Z533">
        <f>[9]Unemployment!P415-[9]Unemployment!Q415</f>
        <v>1175</v>
      </c>
      <c r="AA533">
        <f>[9]Unemployment!$Q415</f>
        <v>1746</v>
      </c>
      <c r="AB533" s="2">
        <f>[8]m!$B535</f>
        <v>3.96</v>
      </c>
      <c r="AC533" s="2">
        <f>[8]m!$F535</f>
        <v>6.97</v>
      </c>
      <c r="AD533">
        <f>[9]Employment!$B415</f>
        <v>113490</v>
      </c>
      <c r="AE533" s="2">
        <f>[2]Indicators!$AB415</f>
        <v>67.519599999999997</v>
      </c>
      <c r="AF533" s="2">
        <f>[8]m!$AS535</f>
        <v>901</v>
      </c>
      <c r="AG533" s="2">
        <f>[8]m!$H535</f>
        <v>7.88</v>
      </c>
      <c r="AH533" s="2">
        <f>[8]m!$I535</f>
        <v>8.52</v>
      </c>
      <c r="AI533" s="2">
        <f>[7]m!C534</f>
        <v>58307</v>
      </c>
      <c r="AJ533" s="2">
        <f>[7]m!D534</f>
        <v>64772</v>
      </c>
      <c r="AK533" s="2">
        <f>[2]Surveys_m!$AB415</f>
        <v>57.400000000000006</v>
      </c>
      <c r="AL533" s="4">
        <f t="shared" si="8"/>
        <v>3954.3520309477749</v>
      </c>
      <c r="AM533">
        <f>[2]Indicators!$BB415</f>
        <v>134303</v>
      </c>
      <c r="AN533" s="2">
        <v>80</v>
      </c>
      <c r="AO533">
        <f>[9]Unemployment!H415</f>
        <v>502</v>
      </c>
      <c r="AP533">
        <f>[9]Unemployment!I415</f>
        <v>1267</v>
      </c>
      <c r="AQ533" s="3">
        <f>[9]LaborForce!$B414*[9]LaborForce!$C414/100</f>
        <v>130581.395</v>
      </c>
      <c r="AR533">
        <f>[9]Unemployment!$AC415</f>
        <v>342</v>
      </c>
      <c r="AS533">
        <f>[2]Indicators!BC415</f>
        <v>72</v>
      </c>
      <c r="AT533">
        <f>[2]Indicators!BD415</f>
        <v>72.753399999999999</v>
      </c>
      <c r="AU533">
        <f>[2]Indicators!BE415</f>
        <v>101.92500000000001</v>
      </c>
      <c r="AV533">
        <f>[5]m!$O535</f>
        <v>76.03</v>
      </c>
    </row>
    <row r="534" spans="1:48" x14ac:dyDescent="0.25">
      <c r="A534" s="1">
        <v>34455</v>
      </c>
      <c r="B534" s="2">
        <f>[2]Indicators!G416</f>
        <v>4695.5200000000004</v>
      </c>
      <c r="C534" s="2">
        <f>[2]Indicators!H416</f>
        <v>588.86199999999997</v>
      </c>
      <c r="D534" s="2">
        <f>[2]Indicators!I416</f>
        <v>1123.9580000000001</v>
      </c>
      <c r="E534" s="2">
        <f>[2]Indicators!J416</f>
        <v>2982.7000000000003</v>
      </c>
      <c r="J534" s="2">
        <f>[2]Indicators!L416</f>
        <v>172608</v>
      </c>
      <c r="K534" s="2">
        <f>[2]Indicators!M416</f>
        <v>129695</v>
      </c>
      <c r="L534" s="2">
        <f>[2]Indicators!N416</f>
        <v>14.577</v>
      </c>
      <c r="M534" s="2">
        <f>[2]Indicators!AB416</f>
        <v>67.879900000000006</v>
      </c>
      <c r="N534" s="2">
        <f>[8]m!$C536</f>
        <v>4.01</v>
      </c>
      <c r="O534">
        <f>[9]Unemployment!$B416</f>
        <v>6.1000000000000005</v>
      </c>
      <c r="P534" s="2">
        <f>[2]Surveys_m!$B416</f>
        <v>88.9</v>
      </c>
      <c r="Q534">
        <f>[5]m!$B536</f>
        <v>147.5</v>
      </c>
      <c r="R534">
        <f>[5]m!$D536</f>
        <v>155.9</v>
      </c>
      <c r="S534">
        <f>[5]m!$Q536</f>
        <v>119.9</v>
      </c>
      <c r="T534">
        <f>[6]m!B536</f>
        <v>-32057</v>
      </c>
      <c r="U534" s="2">
        <f>[9]Unemployment!$F416</f>
        <v>19.5</v>
      </c>
      <c r="V534" s="2">
        <f>[9]Unemployment!$G416</f>
        <v>9.2000000000000011</v>
      </c>
      <c r="W534">
        <f>[9]Unemployment!$E416</f>
        <v>7915</v>
      </c>
      <c r="X534">
        <f>[9]Unemployment!N416</f>
        <v>2652</v>
      </c>
      <c r="Y534">
        <f>[9]Unemployment!O416</f>
        <v>2462</v>
      </c>
      <c r="Z534">
        <f>[9]Unemployment!P416-[9]Unemployment!Q416</f>
        <v>1140</v>
      </c>
      <c r="AA534">
        <f>[9]Unemployment!$Q416</f>
        <v>1696</v>
      </c>
      <c r="AB534" s="2">
        <f>[8]m!$B536</f>
        <v>4.28</v>
      </c>
      <c r="AC534" s="2">
        <f>[8]m!$F536</f>
        <v>7.18</v>
      </c>
      <c r="AD534">
        <f>[9]Employment!$B416</f>
        <v>113821</v>
      </c>
      <c r="AE534" s="2">
        <f>[2]Indicators!$AB416</f>
        <v>67.879900000000006</v>
      </c>
      <c r="AF534" s="2">
        <f>[8]m!$AS536</f>
        <v>912.90000000000009</v>
      </c>
      <c r="AG534" s="2">
        <f>[8]m!$H536</f>
        <v>7.99</v>
      </c>
      <c r="AH534" s="2">
        <f>[8]m!$I536</f>
        <v>8.620000000000001</v>
      </c>
      <c r="AI534" s="2">
        <f>[7]m!C535</f>
        <v>56436</v>
      </c>
      <c r="AJ534" s="2">
        <f>[7]m!D535</f>
        <v>64323</v>
      </c>
      <c r="AK534" s="2">
        <f>[2]Surveys_m!$AB416</f>
        <v>58.2</v>
      </c>
      <c r="AL534" s="4">
        <f t="shared" si="8"/>
        <v>4102.6402321083169</v>
      </c>
      <c r="AM534">
        <f>[2]Indicators!$BB416</f>
        <v>135526</v>
      </c>
      <c r="AN534" s="2">
        <v>83</v>
      </c>
      <c r="AO534">
        <f>[9]Unemployment!H416</f>
        <v>436</v>
      </c>
      <c r="AP534">
        <f>[9]Unemployment!I416</f>
        <v>1222</v>
      </c>
      <c r="AQ534" s="3">
        <f>[9]LaborForce!$B415*[9]LaborForce!$C415/100</f>
        <v>130875.66000000002</v>
      </c>
      <c r="AR534">
        <f>[9]Unemployment!$AC416</f>
        <v>344</v>
      </c>
      <c r="AS534">
        <f>[2]Indicators!BC416</f>
        <v>72.5</v>
      </c>
      <c r="AT534">
        <f>[2]Indicators!BD416</f>
        <v>73.101399999999998</v>
      </c>
      <c r="AU534">
        <f>[2]Indicators!BE416</f>
        <v>102.048</v>
      </c>
      <c r="AV534">
        <f>[5]m!$O536</f>
        <v>76.489999999999995</v>
      </c>
    </row>
    <row r="535" spans="1:48" x14ac:dyDescent="0.25">
      <c r="A535" s="1">
        <v>34486</v>
      </c>
      <c r="B535" s="2">
        <f>[2]Indicators!G417</f>
        <v>4736.7809999999999</v>
      </c>
      <c r="C535" s="2">
        <f>[2]Indicators!H417</f>
        <v>600.31100000000004</v>
      </c>
      <c r="D535" s="2">
        <f>[2]Indicators!I417</f>
        <v>1134.2160000000001</v>
      </c>
      <c r="E535" s="2">
        <f>[2]Indicators!J417</f>
        <v>3002.2530000000002</v>
      </c>
      <c r="J535" s="2">
        <f>[2]Indicators!L417</f>
        <v>174681</v>
      </c>
      <c r="K535" s="2">
        <f>[2]Indicators!M417</f>
        <v>130903</v>
      </c>
      <c r="L535" s="2">
        <f>[2]Indicators!N417</f>
        <v>15.109</v>
      </c>
      <c r="M535" s="2">
        <f>[2]Indicators!AB417</f>
        <v>68.338099999999997</v>
      </c>
      <c r="N535" s="2">
        <f>[8]m!$C537</f>
        <v>4.25</v>
      </c>
      <c r="O535">
        <f>[9]Unemployment!$B417</f>
        <v>6.1000000000000005</v>
      </c>
      <c r="P535" s="2">
        <f>[2]Surveys_m!$B417</f>
        <v>92.5</v>
      </c>
      <c r="Q535">
        <f>[5]m!$B537</f>
        <v>147.9</v>
      </c>
      <c r="R535">
        <f>[5]m!$D537</f>
        <v>156.4</v>
      </c>
      <c r="S535">
        <f>[5]m!$Q537</f>
        <v>120.5</v>
      </c>
      <c r="T535">
        <f>[6]m!B537</f>
        <v>14850</v>
      </c>
      <c r="U535" s="2">
        <f>[9]Unemployment!$F417</f>
        <v>18.8</v>
      </c>
      <c r="V535" s="2">
        <f>[9]Unemployment!$G417</f>
        <v>9.3000000000000007</v>
      </c>
      <c r="W535">
        <f>[9]Unemployment!$E417</f>
        <v>7927</v>
      </c>
      <c r="X535">
        <f>[9]Unemployment!N417</f>
        <v>2757</v>
      </c>
      <c r="Y535">
        <f>[9]Unemployment!O417</f>
        <v>2449</v>
      </c>
      <c r="Z535">
        <f>[9]Unemployment!P417-[9]Unemployment!Q417</f>
        <v>1155</v>
      </c>
      <c r="AA535">
        <f>[9]Unemployment!$Q417</f>
        <v>1580</v>
      </c>
      <c r="AB535" s="2">
        <f>[8]m!$B537</f>
        <v>4.2300000000000004</v>
      </c>
      <c r="AC535" s="2">
        <f>[8]m!$F537</f>
        <v>7.1000000000000005</v>
      </c>
      <c r="AD535">
        <f>[9]Employment!$B417</f>
        <v>114136</v>
      </c>
      <c r="AE535" s="2">
        <f>[2]Indicators!$AB417</f>
        <v>68.338099999999997</v>
      </c>
      <c r="AF535" s="2">
        <f>[8]m!$AS537</f>
        <v>924.2</v>
      </c>
      <c r="AG535" s="2">
        <f>[8]m!$H537</f>
        <v>7.97</v>
      </c>
      <c r="AH535" s="2">
        <f>[8]m!$I537</f>
        <v>8.65</v>
      </c>
      <c r="AI535" s="2">
        <f>[7]m!C536</f>
        <v>57342</v>
      </c>
      <c r="AJ535" s="2">
        <f>[7]m!D536</f>
        <v>65070</v>
      </c>
      <c r="AK535" s="2">
        <f>[2]Surveys_m!$AB417</f>
        <v>58.800000000000004</v>
      </c>
      <c r="AL535" s="4">
        <f t="shared" si="8"/>
        <v>4003.7814313346225</v>
      </c>
      <c r="AM535">
        <f>[2]Indicators!$BB417</f>
        <v>138076</v>
      </c>
      <c r="AN535" s="2">
        <v>81</v>
      </c>
      <c r="AO535">
        <f>[9]Unemployment!H417</f>
        <v>532</v>
      </c>
      <c r="AP535">
        <f>[9]Unemployment!I417</f>
        <v>1244</v>
      </c>
      <c r="AQ535" s="3">
        <f>[9]LaborForce!$B416*[9]LaborForce!$C416/100</f>
        <v>130604.15200000002</v>
      </c>
      <c r="AR535">
        <f>[9]Unemployment!$AC417</f>
        <v>348</v>
      </c>
      <c r="AS535">
        <f>[2]Indicators!BC417</f>
        <v>72.7</v>
      </c>
      <c r="AT535">
        <f>[2]Indicators!BD417</f>
        <v>73.37700000000001</v>
      </c>
      <c r="AU535">
        <f>[2]Indicators!BE417</f>
        <v>102.06320000000001</v>
      </c>
      <c r="AV535">
        <f>[5]m!$O537</f>
        <v>77.040000000000006</v>
      </c>
    </row>
    <row r="536" spans="1:48" x14ac:dyDescent="0.25">
      <c r="A536" s="1">
        <v>34516</v>
      </c>
      <c r="B536" s="2">
        <f>[2]Indicators!G418</f>
        <v>4752.741</v>
      </c>
      <c r="C536" s="2">
        <f>[2]Indicators!H418</f>
        <v>602.08699999999999</v>
      </c>
      <c r="D536" s="2">
        <f>[2]Indicators!I418</f>
        <v>1139.2760000000001</v>
      </c>
      <c r="E536" s="2">
        <f>[2]Indicators!J418</f>
        <v>3011.3780000000002</v>
      </c>
      <c r="J536" s="2">
        <f>[2]Indicators!L418</f>
        <v>175159</v>
      </c>
      <c r="K536" s="2">
        <f>[2]Indicators!M418</f>
        <v>130882</v>
      </c>
      <c r="L536" s="2">
        <f>[2]Indicators!N418</f>
        <v>14.875</v>
      </c>
      <c r="M536" s="2">
        <f>[2]Indicators!AB418</f>
        <v>68.459800000000001</v>
      </c>
      <c r="N536" s="2">
        <f>[8]m!$C538</f>
        <v>4.26</v>
      </c>
      <c r="O536">
        <f>[9]Unemployment!$B418</f>
        <v>6.1000000000000005</v>
      </c>
      <c r="P536" s="2">
        <f>[2]Surveys_m!$B418</f>
        <v>91.300000000000011</v>
      </c>
      <c r="Q536">
        <f>[5]m!$B538</f>
        <v>148.4</v>
      </c>
      <c r="R536">
        <f>[5]m!$D538</f>
        <v>156.70000000000002</v>
      </c>
      <c r="S536">
        <f>[5]m!$Q538</f>
        <v>120.7</v>
      </c>
      <c r="T536">
        <f>[6]m!B538</f>
        <v>-33198</v>
      </c>
      <c r="U536" s="2">
        <f>[9]Unemployment!$F418</f>
        <v>19</v>
      </c>
      <c r="V536" s="2">
        <f>[9]Unemployment!$G418</f>
        <v>9</v>
      </c>
      <c r="W536">
        <f>[9]Unemployment!$E418</f>
        <v>7946</v>
      </c>
      <c r="X536">
        <f>[9]Unemployment!N418</f>
        <v>2820</v>
      </c>
      <c r="Y536">
        <f>[9]Unemployment!O418</f>
        <v>2316</v>
      </c>
      <c r="Z536">
        <f>[9]Unemployment!P418-[9]Unemployment!Q418</f>
        <v>1260</v>
      </c>
      <c r="AA536">
        <f>[9]Unemployment!$Q418</f>
        <v>1562</v>
      </c>
      <c r="AB536" s="2">
        <f>[8]m!$B538</f>
        <v>4.37</v>
      </c>
      <c r="AC536" s="2">
        <f>[8]m!$F538</f>
        <v>7.3</v>
      </c>
      <c r="AD536">
        <f>[9]Employment!$B418</f>
        <v>114499</v>
      </c>
      <c r="AE536" s="2">
        <f>[2]Indicators!$AB418</f>
        <v>68.459800000000001</v>
      </c>
      <c r="AF536" s="2">
        <f>[8]m!$AS538</f>
        <v>931.1</v>
      </c>
      <c r="AG536" s="2">
        <f>[8]m!$H538</f>
        <v>8.11</v>
      </c>
      <c r="AH536" s="2">
        <f>[8]m!$I538</f>
        <v>8.8000000000000007</v>
      </c>
      <c r="AI536" s="2">
        <f>[7]m!C537</f>
        <v>58451</v>
      </c>
      <c r="AJ536" s="2">
        <f>[7]m!D537</f>
        <v>66831</v>
      </c>
      <c r="AK536" s="2">
        <f>[2]Surveys_m!$AB418</f>
        <v>58.5</v>
      </c>
      <c r="AL536" s="4">
        <f t="shared" si="8"/>
        <v>4201.4990328820113</v>
      </c>
      <c r="AM536">
        <f>[2]Indicators!$BB418</f>
        <v>138160</v>
      </c>
      <c r="AN536" s="2">
        <v>85</v>
      </c>
      <c r="AO536">
        <f>[9]Unemployment!H418</f>
        <v>542</v>
      </c>
      <c r="AP536">
        <f>[9]Unemployment!I418</f>
        <v>1302</v>
      </c>
      <c r="AQ536" s="3">
        <f>[9]LaborForce!$B417*[9]LaborForce!$C417/100</f>
        <v>130714.37600000002</v>
      </c>
      <c r="AR536">
        <f>[9]Unemployment!$AC418</f>
        <v>334</v>
      </c>
      <c r="AS536">
        <f>[2]Indicators!BC418</f>
        <v>72.600000000000009</v>
      </c>
      <c r="AT536">
        <f>[2]Indicators!BD418</f>
        <v>73.60990000000001</v>
      </c>
      <c r="AU536">
        <f>[2]Indicators!BE418</f>
        <v>102.01260000000001</v>
      </c>
      <c r="AV536">
        <f>[5]m!$O538</f>
        <v>77.400000000000006</v>
      </c>
    </row>
    <row r="537" spans="1:48" x14ac:dyDescent="0.25">
      <c r="A537" s="1">
        <v>34547</v>
      </c>
      <c r="B537" s="2">
        <f>[2]Indicators!G419</f>
        <v>4796.9390000000003</v>
      </c>
      <c r="C537" s="2">
        <f>[2]Indicators!H419</f>
        <v>612.00800000000004</v>
      </c>
      <c r="D537" s="2">
        <f>[2]Indicators!I419</f>
        <v>1154.96</v>
      </c>
      <c r="E537" s="2">
        <f>[2]Indicators!J419</f>
        <v>3029.971</v>
      </c>
      <c r="J537" s="2">
        <f>[2]Indicators!L419</f>
        <v>177667</v>
      </c>
      <c r="K537" s="2">
        <f>[2]Indicators!M419</f>
        <v>131925</v>
      </c>
      <c r="L537" s="2">
        <f>[2]Indicators!N419</f>
        <v>15.359</v>
      </c>
      <c r="M537" s="2">
        <f>[2]Indicators!AB419</f>
        <v>68.838000000000008</v>
      </c>
      <c r="N537" s="2">
        <f>[8]m!$C539</f>
        <v>4.47</v>
      </c>
      <c r="O537">
        <f>[9]Unemployment!$B419</f>
        <v>6</v>
      </c>
      <c r="P537" s="2">
        <f>[2]Surveys_m!$B419</f>
        <v>90.4</v>
      </c>
      <c r="Q537">
        <f>[5]m!$B539</f>
        <v>149</v>
      </c>
      <c r="R537">
        <f>[5]m!$D539</f>
        <v>157.1</v>
      </c>
      <c r="S537">
        <f>[5]m!$Q539</f>
        <v>121.2</v>
      </c>
      <c r="T537">
        <f>[6]m!B539</f>
        <v>-24275</v>
      </c>
      <c r="U537" s="2">
        <f>[9]Unemployment!$F419</f>
        <v>18.8</v>
      </c>
      <c r="V537" s="2">
        <f>[9]Unemployment!$G419</f>
        <v>8.9</v>
      </c>
      <c r="W537">
        <f>[9]Unemployment!$E419</f>
        <v>7933</v>
      </c>
      <c r="X537">
        <f>[9]Unemployment!N419</f>
        <v>2671</v>
      </c>
      <c r="Y537">
        <f>[9]Unemployment!O419</f>
        <v>2569</v>
      </c>
      <c r="Z537">
        <f>[9]Unemployment!P419-[9]Unemployment!Q419</f>
        <v>1181</v>
      </c>
      <c r="AA537">
        <f>[9]Unemployment!$Q419</f>
        <v>1569</v>
      </c>
      <c r="AB537" s="2">
        <f>[8]m!$B539</f>
        <v>4.68</v>
      </c>
      <c r="AC537" s="2">
        <f>[8]m!$F539</f>
        <v>7.24</v>
      </c>
      <c r="AD537">
        <f>[9]Employment!$B419</f>
        <v>114799</v>
      </c>
      <c r="AE537" s="2">
        <f>[2]Indicators!$AB419</f>
        <v>68.838000000000008</v>
      </c>
      <c r="AF537" s="2">
        <f>[8]m!$AS539</f>
        <v>944.80000000000007</v>
      </c>
      <c r="AG537" s="2">
        <f>[8]m!$H539</f>
        <v>8.07</v>
      </c>
      <c r="AH537" s="2">
        <f>[8]m!$I539</f>
        <v>8.74</v>
      </c>
      <c r="AI537" s="2">
        <f>[7]m!C538</f>
        <v>58492</v>
      </c>
      <c r="AJ537" s="2">
        <f>[7]m!D538</f>
        <v>67230</v>
      </c>
      <c r="AK537" s="2">
        <f>[2]Surveys_m!$AB419</f>
        <v>58</v>
      </c>
      <c r="AL537" s="4">
        <f t="shared" si="8"/>
        <v>4053.2108317214697</v>
      </c>
      <c r="AM537">
        <f>[2]Indicators!$BB419</f>
        <v>138999</v>
      </c>
      <c r="AN537" s="2">
        <v>82</v>
      </c>
      <c r="AO537">
        <f>[9]Unemployment!H419</f>
        <v>489</v>
      </c>
      <c r="AP537">
        <f>[9]Unemployment!I419</f>
        <v>1237</v>
      </c>
      <c r="AQ537" s="3">
        <f>[9]LaborForce!$B418*[9]LaborForce!$C418/100</f>
        <v>131230.63800000004</v>
      </c>
      <c r="AR537">
        <f>[9]Unemployment!$AC419</f>
        <v>332</v>
      </c>
      <c r="AS537">
        <f>[2]Indicators!BC419</f>
        <v>73.2</v>
      </c>
      <c r="AT537">
        <f>[2]Indicators!BD419</f>
        <v>73.820700000000002</v>
      </c>
      <c r="AU537">
        <f>[2]Indicators!BE419</f>
        <v>101.92570000000001</v>
      </c>
      <c r="AV537">
        <f>[5]m!$O539</f>
        <v>77.64</v>
      </c>
    </row>
    <row r="538" spans="1:48" x14ac:dyDescent="0.25">
      <c r="A538" s="1">
        <v>34578</v>
      </c>
      <c r="B538" s="2">
        <f>[2]Indicators!G420</f>
        <v>4809.2619999999997</v>
      </c>
      <c r="C538" s="2">
        <f>[2]Indicators!H420</f>
        <v>613.83600000000001</v>
      </c>
      <c r="D538" s="2">
        <f>[2]Indicators!I420</f>
        <v>1154.5070000000001</v>
      </c>
      <c r="E538" s="2">
        <f>[2]Indicators!J420</f>
        <v>3040.9189999999999</v>
      </c>
      <c r="J538" s="2">
        <f>[2]Indicators!L420</f>
        <v>178867</v>
      </c>
      <c r="K538" s="2">
        <f>[2]Indicators!M420</f>
        <v>132536</v>
      </c>
      <c r="L538" s="2">
        <f>[2]Indicators!N420</f>
        <v>15.274000000000001</v>
      </c>
      <c r="M538" s="2">
        <f>[2]Indicators!AB420</f>
        <v>68.999000000000009</v>
      </c>
      <c r="N538" s="2">
        <f>[8]m!$C540</f>
        <v>4.7300000000000004</v>
      </c>
      <c r="O538">
        <f>[9]Unemployment!$B420</f>
        <v>5.9</v>
      </c>
      <c r="P538" s="2">
        <f>[2]Surveys_m!$B420</f>
        <v>89.5</v>
      </c>
      <c r="Q538">
        <f>[5]m!$B540</f>
        <v>149.30000000000001</v>
      </c>
      <c r="R538">
        <f>[5]m!$D540</f>
        <v>157.5</v>
      </c>
      <c r="S538">
        <f>[5]m!$Q540</f>
        <v>121</v>
      </c>
      <c r="T538">
        <f>[6]m!B540</f>
        <v>4266</v>
      </c>
      <c r="U538" s="2">
        <f>[9]Unemployment!$F420</f>
        <v>18.7</v>
      </c>
      <c r="V538" s="2">
        <f>[9]Unemployment!$G420</f>
        <v>9.2000000000000011</v>
      </c>
      <c r="W538">
        <f>[9]Unemployment!$E420</f>
        <v>7734</v>
      </c>
      <c r="X538">
        <f>[9]Unemployment!N420</f>
        <v>2671</v>
      </c>
      <c r="Y538">
        <f>[9]Unemployment!O420</f>
        <v>2317</v>
      </c>
      <c r="Z538">
        <f>[9]Unemployment!P420-[9]Unemployment!Q420</f>
        <v>1203</v>
      </c>
      <c r="AA538">
        <f>[9]Unemployment!$Q420</f>
        <v>1543</v>
      </c>
      <c r="AB538" s="2">
        <f>[8]m!$B540</f>
        <v>4.79</v>
      </c>
      <c r="AC538" s="2">
        <f>[8]m!$F540</f>
        <v>7.46</v>
      </c>
      <c r="AD538">
        <f>[9]Employment!$B420</f>
        <v>115153</v>
      </c>
      <c r="AE538" s="2">
        <f>[2]Indicators!$AB420</f>
        <v>68.999000000000009</v>
      </c>
      <c r="AF538" s="2">
        <f>[8]m!$AS540</f>
        <v>957.40000000000009</v>
      </c>
      <c r="AG538" s="2">
        <f>[8]m!$H540</f>
        <v>8.34</v>
      </c>
      <c r="AH538" s="2">
        <f>[8]m!$I540</f>
        <v>8.98</v>
      </c>
      <c r="AI538" s="2">
        <f>[7]m!C539</f>
        <v>60407</v>
      </c>
      <c r="AJ538" s="2">
        <f>[7]m!D539</f>
        <v>68710</v>
      </c>
      <c r="AK538" s="2">
        <f>[2]Surveys_m!$AB420</f>
        <v>59</v>
      </c>
      <c r="AL538" s="4">
        <f t="shared" si="8"/>
        <v>4102.6402321083169</v>
      </c>
      <c r="AM538">
        <f>[2]Indicators!$BB420</f>
        <v>139195</v>
      </c>
      <c r="AN538" s="2">
        <v>83</v>
      </c>
      <c r="AO538">
        <f>[9]Unemployment!H420</f>
        <v>521</v>
      </c>
      <c r="AP538">
        <f>[9]Unemployment!I420</f>
        <v>1337</v>
      </c>
      <c r="AQ538" s="3">
        <f>[9]LaborForce!$B419*[9]LaborForce!$C419/100</f>
        <v>131367.16800000003</v>
      </c>
      <c r="AR538">
        <f>[9]Unemployment!$AC420</f>
        <v>341</v>
      </c>
      <c r="AS538">
        <f>[2]Indicators!BC420</f>
        <v>73.5</v>
      </c>
      <c r="AT538">
        <f>[2]Indicators!BD420</f>
        <v>74.009500000000003</v>
      </c>
      <c r="AU538">
        <f>[2]Indicators!BE420</f>
        <v>101.80300000000001</v>
      </c>
      <c r="AV538">
        <f>[5]m!$O540</f>
        <v>77.570000000000007</v>
      </c>
    </row>
    <row r="539" spans="1:48" x14ac:dyDescent="0.25">
      <c r="A539" s="1">
        <v>34608</v>
      </c>
      <c r="B539" s="2">
        <f>[2]Indicators!G421</f>
        <v>4844.558</v>
      </c>
      <c r="C539" s="2">
        <f>[2]Indicators!H421</f>
        <v>629.63900000000001</v>
      </c>
      <c r="D539" s="2">
        <f>[2]Indicators!I421</f>
        <v>1161.097</v>
      </c>
      <c r="E539" s="2">
        <f>[2]Indicators!J421</f>
        <v>3053.8220000000001</v>
      </c>
      <c r="J539" s="2">
        <f>[2]Indicators!L421</f>
        <v>181199</v>
      </c>
      <c r="K539" s="2">
        <f>[2]Indicators!M421</f>
        <v>134057</v>
      </c>
      <c r="L539" s="2">
        <f>[2]Indicators!N421</f>
        <v>15.894</v>
      </c>
      <c r="M539" s="2">
        <f>[2]Indicators!AB421</f>
        <v>69.583200000000005</v>
      </c>
      <c r="N539" s="2">
        <f>[8]m!$C541</f>
        <v>4.76</v>
      </c>
      <c r="O539">
        <f>[9]Unemployment!$B421</f>
        <v>5.8000000000000007</v>
      </c>
      <c r="P539" s="2">
        <f>[2]Surveys_m!$B421</f>
        <v>89.100000000000009</v>
      </c>
      <c r="Q539">
        <f>[5]m!$B541</f>
        <v>149.4</v>
      </c>
      <c r="R539">
        <f>[5]m!$D541</f>
        <v>157.80000000000001</v>
      </c>
      <c r="S539">
        <f>[5]m!$Q541</f>
        <v>120.9</v>
      </c>
      <c r="T539">
        <f>[6]m!B541</f>
        <v>-31343</v>
      </c>
      <c r="U539" s="2">
        <f>[9]Unemployment!$F421</f>
        <v>19.3</v>
      </c>
      <c r="V539" s="2">
        <f>[9]Unemployment!$G421</f>
        <v>10</v>
      </c>
      <c r="W539">
        <f>[9]Unemployment!$E421</f>
        <v>7632</v>
      </c>
      <c r="X539">
        <f>[9]Unemployment!N421</f>
        <v>2424</v>
      </c>
      <c r="Y539">
        <f>[9]Unemployment!O421</f>
        <v>2283</v>
      </c>
      <c r="Z539">
        <f>[9]Unemployment!P421-[9]Unemployment!Q421</f>
        <v>1364</v>
      </c>
      <c r="AA539">
        <f>[9]Unemployment!$Q421</f>
        <v>1591</v>
      </c>
      <c r="AB539" s="2">
        <f>[8]m!$B541</f>
        <v>5.16</v>
      </c>
      <c r="AC539" s="2">
        <f>[8]m!$F541</f>
        <v>7.74</v>
      </c>
      <c r="AD539">
        <f>[9]Employment!$B421</f>
        <v>115360</v>
      </c>
      <c r="AE539" s="2">
        <f>[2]Indicators!$AB421</f>
        <v>69.583200000000005</v>
      </c>
      <c r="AF539" s="2">
        <f>[8]m!$AS541</f>
        <v>968.5</v>
      </c>
      <c r="AG539" s="2">
        <f>[8]m!$H541</f>
        <v>8.57</v>
      </c>
      <c r="AH539" s="2">
        <f>[8]m!$I541</f>
        <v>9.2000000000000011</v>
      </c>
      <c r="AI539" s="2">
        <f>[7]m!C540</f>
        <v>60715</v>
      </c>
      <c r="AJ539" s="2">
        <f>[7]m!D540</f>
        <v>69026</v>
      </c>
      <c r="AK539" s="2">
        <f>[2]Surveys_m!$AB421</f>
        <v>59.400000000000006</v>
      </c>
      <c r="AL539" s="4">
        <f t="shared" si="8"/>
        <v>4349.7872340425529</v>
      </c>
      <c r="AM539">
        <f>[2]Indicators!$BB421</f>
        <v>141429</v>
      </c>
      <c r="AN539" s="2">
        <v>88</v>
      </c>
      <c r="AO539">
        <f>[9]Unemployment!H421</f>
        <v>460</v>
      </c>
      <c r="AP539">
        <f>[9]Unemployment!I421</f>
        <v>1202</v>
      </c>
      <c r="AQ539" s="3">
        <f>[9]LaborForce!$B420*[9]LaborForce!$C420/100</f>
        <v>131685.81</v>
      </c>
      <c r="AR539">
        <f>[9]Unemployment!$AC421</f>
        <v>330</v>
      </c>
      <c r="AS539">
        <f>[2]Indicators!BC421</f>
        <v>73.900000000000006</v>
      </c>
      <c r="AT539">
        <f>[2]Indicators!BD421</f>
        <v>74.158500000000004</v>
      </c>
      <c r="AU539">
        <f>[2]Indicators!BE421</f>
        <v>101.6207</v>
      </c>
      <c r="AV539">
        <f>[5]m!$O541</f>
        <v>77.5</v>
      </c>
    </row>
    <row r="540" spans="1:48" x14ac:dyDescent="0.25">
      <c r="A540" s="1">
        <v>34639</v>
      </c>
      <c r="B540" s="2">
        <f>[2]Indicators!G422</f>
        <v>4855.3689999999997</v>
      </c>
      <c r="C540" s="2">
        <f>[2]Indicators!H422</f>
        <v>635.14499999999998</v>
      </c>
      <c r="D540" s="2">
        <f>[2]Indicators!I422</f>
        <v>1159.0920000000001</v>
      </c>
      <c r="E540" s="2">
        <f>[2]Indicators!J422</f>
        <v>3061.1320000000001</v>
      </c>
      <c r="J540" s="2">
        <f>[2]Indicators!L422</f>
        <v>181184</v>
      </c>
      <c r="K540" s="2">
        <f>[2]Indicators!M422</f>
        <v>133712</v>
      </c>
      <c r="L540" s="2">
        <f>[2]Indicators!N422</f>
        <v>15.89</v>
      </c>
      <c r="M540" s="2">
        <f>[2]Indicators!AB422</f>
        <v>70.017300000000006</v>
      </c>
      <c r="N540" s="2">
        <f>[8]m!$C542</f>
        <v>5.29</v>
      </c>
      <c r="O540">
        <f>[9]Unemployment!$B422</f>
        <v>5.6000000000000005</v>
      </c>
      <c r="P540" s="2">
        <f>[2]Surveys_m!$B422</f>
        <v>100.4</v>
      </c>
      <c r="Q540">
        <f>[5]m!$B542</f>
        <v>149.80000000000001</v>
      </c>
      <c r="R540">
        <f>[5]m!$D542</f>
        <v>158.20000000000002</v>
      </c>
      <c r="S540">
        <f>[5]m!$Q542</f>
        <v>121.5</v>
      </c>
      <c r="T540">
        <f>[6]m!B542</f>
        <v>-37243</v>
      </c>
      <c r="U540" s="2">
        <f>[9]Unemployment!$F422</f>
        <v>18</v>
      </c>
      <c r="V540" s="2">
        <f>[9]Unemployment!$G422</f>
        <v>9</v>
      </c>
      <c r="W540">
        <f>[9]Unemployment!$E422</f>
        <v>7375</v>
      </c>
      <c r="X540">
        <f>[9]Unemployment!N422</f>
        <v>2619</v>
      </c>
      <c r="Y540">
        <f>[9]Unemployment!O422</f>
        <v>2164</v>
      </c>
      <c r="Z540">
        <f>[9]Unemployment!P422-[9]Unemployment!Q422</f>
        <v>1196</v>
      </c>
      <c r="AA540">
        <f>[9]Unemployment!$Q422</f>
        <v>1470</v>
      </c>
      <c r="AB540" s="2">
        <f>[8]m!$B542</f>
        <v>5.74</v>
      </c>
      <c r="AC540" s="2">
        <f>[8]m!$F542</f>
        <v>7.96</v>
      </c>
      <c r="AD540">
        <f>[9]Employment!$B422</f>
        <v>115783</v>
      </c>
      <c r="AE540" s="2">
        <f>[2]Indicators!$AB422</f>
        <v>70.017300000000006</v>
      </c>
      <c r="AF540" s="2">
        <f>[8]m!$AS542</f>
        <v>981.40000000000009</v>
      </c>
      <c r="AG540" s="2">
        <f>[8]m!$H542</f>
        <v>8.68</v>
      </c>
      <c r="AH540" s="2">
        <f>[8]m!$I542</f>
        <v>9.32</v>
      </c>
      <c r="AI540" s="2">
        <f>[7]m!C541</f>
        <v>59861</v>
      </c>
      <c r="AJ540" s="2">
        <f>[7]m!D541</f>
        <v>69019</v>
      </c>
      <c r="AK540" s="2">
        <f>[2]Surveys_m!$AB422</f>
        <v>59.2</v>
      </c>
      <c r="AL540" s="4">
        <f t="shared" si="8"/>
        <v>4300.3578336557057</v>
      </c>
      <c r="AM540">
        <f>[2]Indicators!$BB422</f>
        <v>143754</v>
      </c>
      <c r="AN540" s="2">
        <v>87</v>
      </c>
      <c r="AO540">
        <f>[9]Unemployment!H422</f>
        <v>447</v>
      </c>
      <c r="AP540">
        <f>[9]Unemployment!I422</f>
        <v>1226</v>
      </c>
      <c r="AQ540" s="3">
        <f>[9]LaborForce!$B421*[9]LaborForce!$C421/100</f>
        <v>131803.86900000001</v>
      </c>
      <c r="AR540">
        <f>[9]Unemployment!$AC422</f>
        <v>331</v>
      </c>
      <c r="AS540">
        <f>[2]Indicators!BC422</f>
        <v>74.100000000000009</v>
      </c>
      <c r="AT540">
        <f>[2]Indicators!BD422</f>
        <v>74.227400000000003</v>
      </c>
      <c r="AU540">
        <f>[2]Indicators!BE422</f>
        <v>101.32470000000001</v>
      </c>
      <c r="AV540">
        <f>[5]m!$O542</f>
        <v>77.23</v>
      </c>
    </row>
    <row r="541" spans="1:48" x14ac:dyDescent="0.25">
      <c r="A541" s="1">
        <v>34669</v>
      </c>
      <c r="B541" s="2">
        <f>[2]Indicators!G423</f>
        <v>4870.0640000000003</v>
      </c>
      <c r="C541" s="2">
        <f>[2]Indicators!H423</f>
        <v>630.70600000000002</v>
      </c>
      <c r="D541" s="2">
        <f>[2]Indicators!I423</f>
        <v>1168.8410000000001</v>
      </c>
      <c r="E541" s="2">
        <f>[2]Indicators!J423</f>
        <v>3070.5160000000001</v>
      </c>
      <c r="J541" s="2">
        <f>[2]Indicators!L423</f>
        <v>181891</v>
      </c>
      <c r="K541" s="2">
        <f>[2]Indicators!M423</f>
        <v>134003</v>
      </c>
      <c r="L541" s="2">
        <f>[2]Indicators!N423</f>
        <v>15.584</v>
      </c>
      <c r="M541" s="2">
        <f>[2]Indicators!AB423</f>
        <v>70.792699999999996</v>
      </c>
      <c r="N541" s="2">
        <f>[8]m!$C543</f>
        <v>5.45</v>
      </c>
      <c r="O541">
        <f>[9]Unemployment!$B423</f>
        <v>5.5</v>
      </c>
      <c r="P541" s="2">
        <f>[2]Surveys_m!$B423</f>
        <v>103.4</v>
      </c>
      <c r="Q541">
        <f>[5]m!$B543</f>
        <v>150.1</v>
      </c>
      <c r="R541">
        <f>[5]m!$D543</f>
        <v>158.30000000000001</v>
      </c>
      <c r="S541">
        <f>[5]m!$Q543</f>
        <v>121.9</v>
      </c>
      <c r="T541">
        <f>[6]m!B543</f>
        <v>-4803</v>
      </c>
      <c r="U541" s="2">
        <f>[9]Unemployment!$F423</f>
        <v>17.8</v>
      </c>
      <c r="V541" s="2">
        <f>[9]Unemployment!$G423</f>
        <v>8.7000000000000011</v>
      </c>
      <c r="W541">
        <f>[9]Unemployment!$E423</f>
        <v>7230</v>
      </c>
      <c r="X541">
        <f>[9]Unemployment!N423</f>
        <v>2581</v>
      </c>
      <c r="Y541">
        <f>[9]Unemployment!O423</f>
        <v>2146</v>
      </c>
      <c r="Z541">
        <f>[9]Unemployment!P423-[9]Unemployment!Q423</f>
        <v>1121</v>
      </c>
      <c r="AA541">
        <f>[9]Unemployment!$Q423</f>
        <v>1367</v>
      </c>
      <c r="AB541" s="2">
        <f>[8]m!$B543</f>
        <v>5.7</v>
      </c>
      <c r="AC541" s="2">
        <f>[8]m!$F543</f>
        <v>7.8100000000000005</v>
      </c>
      <c r="AD541">
        <f>[9]Employment!$B423</f>
        <v>116057</v>
      </c>
      <c r="AE541" s="2">
        <f>[2]Indicators!$AB423</f>
        <v>70.792699999999996</v>
      </c>
      <c r="AF541" s="2">
        <f>[8]m!$AS543</f>
        <v>997.30000000000007</v>
      </c>
      <c r="AG541" s="2">
        <f>[8]m!$H543</f>
        <v>8.4600000000000009</v>
      </c>
      <c r="AH541" s="2">
        <f>[8]m!$I543</f>
        <v>9.1</v>
      </c>
      <c r="AI541" s="2">
        <f>[7]m!C542</f>
        <v>61532</v>
      </c>
      <c r="AJ541" s="2">
        <f>[7]m!D542</f>
        <v>71147</v>
      </c>
      <c r="AK541" s="2">
        <f>[2]Surveys_m!$AB423</f>
        <v>56.1</v>
      </c>
      <c r="AL541" s="4">
        <f t="shared" si="8"/>
        <v>4448.6460348162473</v>
      </c>
      <c r="AM541">
        <f>[2]Indicators!$BB423</f>
        <v>144549</v>
      </c>
      <c r="AN541" s="2">
        <v>90</v>
      </c>
      <c r="AO541">
        <f>[9]Unemployment!H423</f>
        <v>445</v>
      </c>
      <c r="AP541">
        <f>[9]Unemployment!I423</f>
        <v>1366</v>
      </c>
      <c r="AQ541" s="3">
        <f>[9]LaborForce!$B422*[9]LaborForce!$C422/100</f>
        <v>131909.255</v>
      </c>
      <c r="AR541">
        <f>[9]Unemployment!$AC423</f>
        <v>329</v>
      </c>
      <c r="AS541">
        <f>[2]Indicators!BC423</f>
        <v>74.400000000000006</v>
      </c>
      <c r="AT541">
        <f>[2]Indicators!BD423</f>
        <v>74.197400000000002</v>
      </c>
      <c r="AU541">
        <f>[2]Indicators!BE423</f>
        <v>100.8909</v>
      </c>
      <c r="AV541">
        <f>[5]m!$O543</f>
        <v>76.989999999999995</v>
      </c>
    </row>
    <row r="542" spans="1:48" x14ac:dyDescent="0.25">
      <c r="A542" s="1">
        <v>34700</v>
      </c>
      <c r="B542" s="2">
        <f>[2]Indicators!G424</f>
        <v>4878.3680000000004</v>
      </c>
      <c r="C542" s="2">
        <f>[2]Indicators!H424</f>
        <v>623.55799999999999</v>
      </c>
      <c r="D542" s="2">
        <f>[2]Indicators!I424</f>
        <v>1172.952</v>
      </c>
      <c r="E542" s="2">
        <f>[2]Indicators!J424</f>
        <v>3081.8580000000002</v>
      </c>
      <c r="F542" s="2">
        <f>[2]Indicators!B424</f>
        <v>6000.3879999999999</v>
      </c>
      <c r="G542" s="2">
        <f>[2]Indicators!C424</f>
        <v>499.49200000000002</v>
      </c>
      <c r="H542" s="2">
        <f>[2]Indicators!D424</f>
        <v>1435.232</v>
      </c>
      <c r="I542" s="2">
        <f>[2]Indicators!E424</f>
        <v>4146.5</v>
      </c>
      <c r="J542" s="2">
        <f>[2]Indicators!L424</f>
        <v>182946</v>
      </c>
      <c r="K542" s="2">
        <f>[2]Indicators!M424</f>
        <v>134338</v>
      </c>
      <c r="L542" s="2">
        <f>[2]Indicators!N424</f>
        <v>14.8</v>
      </c>
      <c r="M542" s="2">
        <f>[2]Indicators!AB424</f>
        <v>70.988600000000005</v>
      </c>
      <c r="N542" s="2">
        <f>[8]m!$C544</f>
        <v>5.53</v>
      </c>
      <c r="O542">
        <f>[9]Unemployment!$B424</f>
        <v>5.6000000000000005</v>
      </c>
      <c r="P542" s="2">
        <f>[2]Surveys_m!$B424</f>
        <v>101.4</v>
      </c>
      <c r="Q542">
        <f>[5]m!$B544</f>
        <v>150.5</v>
      </c>
      <c r="R542">
        <f>[5]m!$D544</f>
        <v>159</v>
      </c>
      <c r="S542">
        <f>[5]m!$Q544</f>
        <v>122.9</v>
      </c>
      <c r="T542">
        <f>[6]m!B544</f>
        <v>15634</v>
      </c>
      <c r="U542" s="2">
        <f>[9]Unemployment!$F424</f>
        <v>17.100000000000001</v>
      </c>
      <c r="V542" s="2">
        <f>[9]Unemployment!$G424</f>
        <v>8</v>
      </c>
      <c r="W542">
        <f>[9]Unemployment!$E424</f>
        <v>7375</v>
      </c>
      <c r="X542">
        <f>[9]Unemployment!N424</f>
        <v>2764</v>
      </c>
      <c r="Y542">
        <f>[9]Unemployment!O424</f>
        <v>2164</v>
      </c>
      <c r="Z542">
        <f>[9]Unemployment!P424-[9]Unemployment!Q424</f>
        <v>1056</v>
      </c>
      <c r="AA542">
        <f>[9]Unemployment!$Q424</f>
        <v>1340</v>
      </c>
      <c r="AB542" s="2">
        <f>[8]m!$B544</f>
        <v>6</v>
      </c>
      <c r="AC542" s="2">
        <f>[8]m!$F544</f>
        <v>7.78</v>
      </c>
      <c r="AD542">
        <f>[9]Employment!$B424</f>
        <v>116378</v>
      </c>
      <c r="AE542" s="2">
        <f>[2]Indicators!$AB424</f>
        <v>70.988600000000005</v>
      </c>
      <c r="AF542" s="2">
        <f>[8]m!$AS544</f>
        <v>1010.4000000000001</v>
      </c>
      <c r="AG542" s="2">
        <f>[8]m!$H544</f>
        <v>8.4600000000000009</v>
      </c>
      <c r="AH542" s="2">
        <f>[8]m!$I544</f>
        <v>9.08</v>
      </c>
      <c r="AI542" s="2">
        <f>[7]m!C543</f>
        <v>62825</v>
      </c>
      <c r="AJ542" s="2">
        <f>[7]m!D543</f>
        <v>71281</v>
      </c>
      <c r="AK542" s="2">
        <f>[2]Surveys_m!$AB424</f>
        <v>57.400000000000006</v>
      </c>
      <c r="AL542" s="4">
        <f t="shared" si="8"/>
        <v>4300.3578336557057</v>
      </c>
      <c r="AM542">
        <f>[2]Indicators!$BB424</f>
        <v>145999</v>
      </c>
      <c r="AN542" s="2">
        <v>87</v>
      </c>
      <c r="AO542">
        <f>[9]Unemployment!H424</f>
        <v>440</v>
      </c>
      <c r="AP542">
        <f>[9]Unemployment!I424</f>
        <v>1343</v>
      </c>
      <c r="AQ542" s="3">
        <f>[9]LaborForce!$B423*[9]LaborForce!$C423/100</f>
        <v>132099.00399999999</v>
      </c>
      <c r="AR542">
        <f>[9]Unemployment!$AC424</f>
        <v>319</v>
      </c>
      <c r="AS542">
        <f>[2]Indicators!BC424</f>
        <v>74.3</v>
      </c>
      <c r="AT542">
        <f>[2]Indicators!BD424</f>
        <v>74.067900000000009</v>
      </c>
      <c r="AU542">
        <f>[2]Indicators!BE424</f>
        <v>100.32050000000001</v>
      </c>
      <c r="AV542">
        <f>[5]m!$O544</f>
        <v>76.820000000000007</v>
      </c>
    </row>
    <row r="543" spans="1:48" x14ac:dyDescent="0.25">
      <c r="A543" s="1">
        <v>34731</v>
      </c>
      <c r="B543" s="2">
        <f>[2]Indicators!G425</f>
        <v>4876.9939999999997</v>
      </c>
      <c r="C543" s="2">
        <f>[2]Indicators!H425</f>
        <v>613.00400000000002</v>
      </c>
      <c r="D543" s="2">
        <f>[2]Indicators!I425</f>
        <v>1161.027</v>
      </c>
      <c r="E543" s="2">
        <f>[2]Indicators!J425</f>
        <v>3102.9639999999999</v>
      </c>
      <c r="F543" s="2">
        <f>[2]Indicators!B425</f>
        <v>5987.14</v>
      </c>
      <c r="G543" s="2">
        <f>[2]Indicators!C425</f>
        <v>491.077</v>
      </c>
      <c r="H543" s="2">
        <f>[2]Indicators!D425</f>
        <v>1420.394</v>
      </c>
      <c r="I543" s="2">
        <f>[2]Indicators!E425</f>
        <v>4162.4250000000002</v>
      </c>
      <c r="J543" s="2">
        <f>[2]Indicators!L425</f>
        <v>179897</v>
      </c>
      <c r="K543" s="2">
        <f>[2]Indicators!M425</f>
        <v>131765</v>
      </c>
      <c r="L543" s="2">
        <f>[2]Indicators!N425</f>
        <v>14.877000000000001</v>
      </c>
      <c r="M543" s="2">
        <f>[2]Indicators!AB425</f>
        <v>70.968800000000002</v>
      </c>
      <c r="N543" s="2">
        <f>[8]m!$C545</f>
        <v>5.92</v>
      </c>
      <c r="O543">
        <f>[9]Unemployment!$B425</f>
        <v>5.4</v>
      </c>
      <c r="P543" s="2">
        <f>[2]Surveys_m!$B425</f>
        <v>99.4</v>
      </c>
      <c r="Q543">
        <f>[5]m!$B545</f>
        <v>150.9</v>
      </c>
      <c r="R543">
        <f>[5]m!$D545</f>
        <v>159.4</v>
      </c>
      <c r="S543">
        <f>[5]m!$Q545</f>
        <v>123.5</v>
      </c>
      <c r="T543">
        <f>[6]m!B545</f>
        <v>-38357</v>
      </c>
      <c r="U543" s="2">
        <f>[9]Unemployment!$F425</f>
        <v>17</v>
      </c>
      <c r="V543" s="2">
        <f>[9]Unemployment!$G425</f>
        <v>8.1</v>
      </c>
      <c r="W543">
        <f>[9]Unemployment!$E425</f>
        <v>7187</v>
      </c>
      <c r="X543">
        <f>[9]Unemployment!N425</f>
        <v>2578</v>
      </c>
      <c r="Y543">
        <f>[9]Unemployment!O425</f>
        <v>2197</v>
      </c>
      <c r="Z543">
        <f>[9]Unemployment!P425-[9]Unemployment!Q425</f>
        <v>1119</v>
      </c>
      <c r="AA543">
        <f>[9]Unemployment!$Q425</f>
        <v>1226</v>
      </c>
      <c r="AB543" s="2">
        <f>[8]m!$B545</f>
        <v>5.94</v>
      </c>
      <c r="AC543" s="2">
        <f>[8]m!$F545</f>
        <v>7.47</v>
      </c>
      <c r="AD543">
        <f>[9]Employment!$B425</f>
        <v>116587</v>
      </c>
      <c r="AE543" s="2">
        <f>[2]Indicators!$AB425</f>
        <v>70.968800000000002</v>
      </c>
      <c r="AF543" s="2">
        <f>[8]m!$AS545</f>
        <v>1018.6</v>
      </c>
      <c r="AG543" s="2">
        <f>[8]m!$H545</f>
        <v>8.26</v>
      </c>
      <c r="AH543" s="2">
        <f>[8]m!$I545</f>
        <v>8.85</v>
      </c>
      <c r="AI543" s="2">
        <f>[7]m!C544</f>
        <v>63118</v>
      </c>
      <c r="AJ543" s="2">
        <f>[7]m!D544</f>
        <v>72442</v>
      </c>
      <c r="AK543" s="2">
        <f>[2]Surveys_m!$AB425</f>
        <v>55.1</v>
      </c>
      <c r="AL543" s="4">
        <f t="shared" si="8"/>
        <v>4310.2437137330753</v>
      </c>
      <c r="AM543">
        <f>[2]Indicators!$BB425</f>
        <v>146957</v>
      </c>
      <c r="AN543" s="2">
        <v>87.2</v>
      </c>
      <c r="AO543">
        <f>[9]Unemployment!H425</f>
        <v>439</v>
      </c>
      <c r="AP543">
        <f>[9]Unemployment!I425</f>
        <v>1282</v>
      </c>
      <c r="AQ543" s="3">
        <f>[9]LaborForce!$B424*[9]LaborForce!$C424/100</f>
        <v>132187.848</v>
      </c>
      <c r="AR543">
        <f>[9]Unemployment!$AC425</f>
        <v>324</v>
      </c>
      <c r="AS543">
        <f>[2]Indicators!BC425</f>
        <v>74.100000000000009</v>
      </c>
      <c r="AT543">
        <f>[2]Indicators!BD425</f>
        <v>73.853400000000008</v>
      </c>
      <c r="AU543">
        <f>[2]Indicators!BE425</f>
        <v>99.635000000000005</v>
      </c>
      <c r="AV543">
        <f>[5]m!$O545</f>
        <v>76.64</v>
      </c>
    </row>
    <row r="544" spans="1:48" x14ac:dyDescent="0.25">
      <c r="A544" s="1">
        <v>34759</v>
      </c>
      <c r="B544" s="2">
        <f>[2]Indicators!G426</f>
        <v>4910.59</v>
      </c>
      <c r="C544" s="2">
        <f>[2]Indicators!H426</f>
        <v>627.178</v>
      </c>
      <c r="D544" s="2">
        <f>[2]Indicators!I426</f>
        <v>1166.5830000000001</v>
      </c>
      <c r="E544" s="2">
        <f>[2]Indicators!J426</f>
        <v>3116.8290000000002</v>
      </c>
      <c r="F544" s="2">
        <f>[2]Indicators!B426</f>
        <v>6017.1500000000005</v>
      </c>
      <c r="G544" s="2">
        <f>[2]Indicators!C426</f>
        <v>501.40800000000002</v>
      </c>
      <c r="H544" s="2">
        <f>[2]Indicators!D426</f>
        <v>1428.3440000000001</v>
      </c>
      <c r="I544" s="2">
        <f>[2]Indicators!E426</f>
        <v>4169.1790000000001</v>
      </c>
      <c r="J544" s="2">
        <f>[2]Indicators!L426</f>
        <v>181266</v>
      </c>
      <c r="K544" s="2">
        <f>[2]Indicators!M426</f>
        <v>132638</v>
      </c>
      <c r="L544" s="2">
        <f>[2]Indicators!N426</f>
        <v>15.256</v>
      </c>
      <c r="M544" s="2">
        <f>[2]Indicators!AB426</f>
        <v>71.09020000000001</v>
      </c>
      <c r="N544" s="2">
        <f>[8]m!$C546</f>
        <v>5.98</v>
      </c>
      <c r="O544">
        <f>[9]Unemployment!$B426</f>
        <v>5.4</v>
      </c>
      <c r="P544" s="2">
        <f>[2]Surveys_m!$B426</f>
        <v>100.2</v>
      </c>
      <c r="Q544">
        <f>[5]m!$B546</f>
        <v>151.20000000000002</v>
      </c>
      <c r="R544">
        <f>[5]m!$D546</f>
        <v>159.9</v>
      </c>
      <c r="S544">
        <f>[5]m!$Q546</f>
        <v>123.9</v>
      </c>
      <c r="T544">
        <f>[6]m!B546</f>
        <v>-50544</v>
      </c>
      <c r="U544" s="2">
        <f>[9]Unemployment!$F426</f>
        <v>17.3</v>
      </c>
      <c r="V544" s="2">
        <f>[9]Unemployment!$G426</f>
        <v>8.3000000000000007</v>
      </c>
      <c r="W544">
        <f>[9]Unemployment!$E426</f>
        <v>7153</v>
      </c>
      <c r="X544">
        <f>[9]Unemployment!N426</f>
        <v>2572</v>
      </c>
      <c r="Y544">
        <f>[9]Unemployment!O426</f>
        <v>2276</v>
      </c>
      <c r="Z544">
        <f>[9]Unemployment!P426-[9]Unemployment!Q426</f>
        <v>949</v>
      </c>
      <c r="AA544">
        <f>[9]Unemployment!$Q426</f>
        <v>1338</v>
      </c>
      <c r="AB544" s="2">
        <f>[8]m!$B546</f>
        <v>5.88</v>
      </c>
      <c r="AC544" s="2">
        <f>[8]m!$F546</f>
        <v>7.2</v>
      </c>
      <c r="AD544">
        <f>[9]Employment!$B426</f>
        <v>116809</v>
      </c>
      <c r="AE544" s="2">
        <f>[2]Indicators!$AB426</f>
        <v>71.09020000000001</v>
      </c>
      <c r="AF544" s="2">
        <f>[8]m!$AS546</f>
        <v>1033.6000000000001</v>
      </c>
      <c r="AG544" s="2">
        <f>[8]m!$H546</f>
        <v>8.120000000000001</v>
      </c>
      <c r="AH544" s="2">
        <f>[8]m!$I546</f>
        <v>8.7000000000000011</v>
      </c>
      <c r="AI544" s="2">
        <f>[7]m!C545</f>
        <v>63077</v>
      </c>
      <c r="AJ544" s="2">
        <f>[7]m!D545</f>
        <v>71894</v>
      </c>
      <c r="AK544" s="2">
        <f>[2]Surveys_m!$AB426</f>
        <v>52.1</v>
      </c>
      <c r="AL544" s="4">
        <f t="shared" si="8"/>
        <v>4221.2707930367505</v>
      </c>
      <c r="AM544">
        <f>[2]Indicators!$BB426</f>
        <v>145407</v>
      </c>
      <c r="AN544" s="2">
        <v>85.4</v>
      </c>
      <c r="AO544">
        <f>[9]Unemployment!H426</f>
        <v>454</v>
      </c>
      <c r="AP544">
        <f>[9]Unemployment!I426</f>
        <v>1278</v>
      </c>
      <c r="AQ544" s="3">
        <f>[9]LaborForce!$B425*[9]LaborForce!$C425/100</f>
        <v>132070.66899999999</v>
      </c>
      <c r="AR544">
        <f>[9]Unemployment!$AC426</f>
        <v>336</v>
      </c>
      <c r="AS544">
        <f>[2]Indicators!BC426</f>
        <v>73.600000000000009</v>
      </c>
      <c r="AT544">
        <f>[2]Indicators!BD426</f>
        <v>73.614699999999999</v>
      </c>
      <c r="AU544">
        <f>[2]Indicators!BE426</f>
        <v>98.917700000000011</v>
      </c>
      <c r="AV544">
        <f>[5]m!$O546</f>
        <v>76.38</v>
      </c>
    </row>
    <row r="545" spans="1:48" x14ac:dyDescent="0.25">
      <c r="A545" s="1">
        <v>34790</v>
      </c>
      <c r="B545" s="2">
        <f>[2]Indicators!G427</f>
        <v>4914.4840000000004</v>
      </c>
      <c r="C545" s="2">
        <f>[2]Indicators!H427</f>
        <v>613.16300000000001</v>
      </c>
      <c r="D545" s="2">
        <f>[2]Indicators!I427</f>
        <v>1168.354</v>
      </c>
      <c r="E545" s="2">
        <f>[2]Indicators!J427</f>
        <v>3132.9679999999998</v>
      </c>
      <c r="F545" s="2">
        <f>[2]Indicators!B427</f>
        <v>6006.3360000000002</v>
      </c>
      <c r="G545" s="2">
        <f>[2]Indicators!C427</f>
        <v>489.97399999999999</v>
      </c>
      <c r="H545" s="2">
        <f>[2]Indicators!D427</f>
        <v>1425.5550000000001</v>
      </c>
      <c r="I545" s="2">
        <f>[2]Indicators!E427</f>
        <v>4179.4759999999997</v>
      </c>
      <c r="J545" s="2">
        <f>[2]Indicators!L427</f>
        <v>182295</v>
      </c>
      <c r="K545" s="2">
        <f>[2]Indicators!M427</f>
        <v>132867</v>
      </c>
      <c r="L545" s="2">
        <f>[2]Indicators!N427</f>
        <v>14.375</v>
      </c>
      <c r="M545" s="2">
        <f>[2]Indicators!AB427</f>
        <v>71.033600000000007</v>
      </c>
      <c r="N545" s="2">
        <f>[8]m!$C547</f>
        <v>6.05</v>
      </c>
      <c r="O545">
        <f>[9]Unemployment!$B427</f>
        <v>5.8000000000000007</v>
      </c>
      <c r="P545" s="2">
        <f>[2]Surveys_m!$B427</f>
        <v>104.60000000000001</v>
      </c>
      <c r="Q545">
        <f>[5]m!$B547</f>
        <v>151.80000000000001</v>
      </c>
      <c r="R545">
        <f>[5]m!$D547</f>
        <v>160.4</v>
      </c>
      <c r="S545">
        <f>[5]m!$Q547</f>
        <v>124.60000000000001</v>
      </c>
      <c r="T545">
        <f>[6]m!B547</f>
        <v>49722</v>
      </c>
      <c r="U545" s="2">
        <f>[9]Unemployment!$F427</f>
        <v>17.600000000000001</v>
      </c>
      <c r="V545" s="2">
        <f>[9]Unemployment!$G427</f>
        <v>8.3000000000000007</v>
      </c>
      <c r="W545">
        <f>[9]Unemployment!$E427</f>
        <v>7645</v>
      </c>
      <c r="X545">
        <f>[9]Unemployment!N427</f>
        <v>2730</v>
      </c>
      <c r="Y545">
        <f>[9]Unemployment!O427</f>
        <v>2370</v>
      </c>
      <c r="Z545">
        <f>[9]Unemployment!P427-[9]Unemployment!Q427</f>
        <v>1060</v>
      </c>
      <c r="AA545">
        <f>[9]Unemployment!$Q427</f>
        <v>1413</v>
      </c>
      <c r="AB545" s="2">
        <f>[8]m!$B547</f>
        <v>5.88</v>
      </c>
      <c r="AC545" s="2">
        <f>[8]m!$F547</f>
        <v>7.0600000000000005</v>
      </c>
      <c r="AD545">
        <f>[9]Employment!$B427</f>
        <v>116971</v>
      </c>
      <c r="AE545" s="2">
        <f>[2]Indicators!$AB427</f>
        <v>71.033600000000007</v>
      </c>
      <c r="AF545" s="2">
        <f>[8]m!$AS547</f>
        <v>1043.7</v>
      </c>
      <c r="AG545" s="2">
        <f>[8]m!$H547</f>
        <v>8.0299999999999994</v>
      </c>
      <c r="AH545" s="2">
        <f>[8]m!$I547</f>
        <v>8.6</v>
      </c>
      <c r="AI545" s="2">
        <f>[7]m!C546</f>
        <v>64349</v>
      </c>
      <c r="AJ545" s="2">
        <f>[7]m!D546</f>
        <v>74057</v>
      </c>
      <c r="AK545" s="2">
        <f>[2]Surveys_m!$AB427</f>
        <v>51.5</v>
      </c>
      <c r="AL545" s="4">
        <f t="shared" si="8"/>
        <v>4280.5860735009664</v>
      </c>
      <c r="AM545">
        <f>[2]Indicators!$BB427</f>
        <v>145316</v>
      </c>
      <c r="AN545" s="2">
        <v>86.6</v>
      </c>
      <c r="AO545">
        <f>[9]Unemployment!H427</f>
        <v>385</v>
      </c>
      <c r="AP545">
        <f>[9]Unemployment!I427</f>
        <v>1006</v>
      </c>
      <c r="AQ545" s="3">
        <f>[9]LaborForce!$B426*[9]LaborForce!$C426/100</f>
        <v>132561.01200000002</v>
      </c>
      <c r="AR545">
        <f>[9]Unemployment!$AC427</f>
        <v>335</v>
      </c>
      <c r="AS545">
        <f>[2]Indicators!BC427</f>
        <v>73.7</v>
      </c>
      <c r="AT545">
        <f>[2]Indicators!BD427</f>
        <v>73.438200000000009</v>
      </c>
      <c r="AU545">
        <f>[2]Indicators!BE427</f>
        <v>98.284500000000008</v>
      </c>
      <c r="AV545">
        <f>[5]m!$O547</f>
        <v>76.36</v>
      </c>
    </row>
    <row r="546" spans="1:48" x14ac:dyDescent="0.25">
      <c r="A546" s="1">
        <v>34820</v>
      </c>
      <c r="B546" s="2">
        <f>[2]Indicators!G428</f>
        <v>4956.8060000000005</v>
      </c>
      <c r="C546" s="2">
        <f>[2]Indicators!H428</f>
        <v>624.80399999999997</v>
      </c>
      <c r="D546" s="2">
        <f>[2]Indicators!I428</f>
        <v>1178.4680000000001</v>
      </c>
      <c r="E546" s="2">
        <f>[2]Indicators!J428</f>
        <v>3153.5340000000001</v>
      </c>
      <c r="F546" s="2">
        <f>[2]Indicators!B428</f>
        <v>6048.991</v>
      </c>
      <c r="G546" s="2">
        <f>[2]Indicators!C428</f>
        <v>500.89699999999999</v>
      </c>
      <c r="H546" s="2">
        <f>[2]Indicators!D428</f>
        <v>1436.2090000000001</v>
      </c>
      <c r="I546" s="2">
        <f>[2]Indicators!E428</f>
        <v>4196.1559999999999</v>
      </c>
      <c r="J546" s="2">
        <f>[2]Indicators!L428</f>
        <v>183825</v>
      </c>
      <c r="K546" s="2">
        <f>[2]Indicators!M428</f>
        <v>133679</v>
      </c>
      <c r="L546" s="2">
        <f>[2]Indicators!N428</f>
        <v>14.804</v>
      </c>
      <c r="M546" s="2">
        <f>[2]Indicators!AB428</f>
        <v>71.19380000000001</v>
      </c>
      <c r="N546" s="2">
        <f>[8]m!$C548</f>
        <v>6.01</v>
      </c>
      <c r="O546">
        <f>[9]Unemployment!$B428</f>
        <v>5.6000000000000005</v>
      </c>
      <c r="P546" s="2">
        <f>[2]Surveys_m!$B428</f>
        <v>102</v>
      </c>
      <c r="Q546">
        <f>[5]m!$B548</f>
        <v>152.1</v>
      </c>
      <c r="R546">
        <f>[5]m!$D548</f>
        <v>160.70000000000002</v>
      </c>
      <c r="S546">
        <f>[5]m!$Q548</f>
        <v>124.9</v>
      </c>
      <c r="T546">
        <f>[6]m!B548</f>
        <v>-39555</v>
      </c>
      <c r="U546" s="2">
        <f>[9]Unemployment!$F428</f>
        <v>17</v>
      </c>
      <c r="V546" s="2">
        <f>[9]Unemployment!$G428</f>
        <v>9.1</v>
      </c>
      <c r="W546">
        <f>[9]Unemployment!$E428</f>
        <v>7430</v>
      </c>
      <c r="X546">
        <f>[9]Unemployment!N428</f>
        <v>2603</v>
      </c>
      <c r="Y546">
        <f>[9]Unemployment!O428</f>
        <v>2332</v>
      </c>
      <c r="Z546">
        <f>[9]Unemployment!P428-[9]Unemployment!Q428</f>
        <v>1261</v>
      </c>
      <c r="AA546">
        <f>[9]Unemployment!$Q428</f>
        <v>1316</v>
      </c>
      <c r="AB546" s="2">
        <f>[8]m!$B548</f>
        <v>5.83</v>
      </c>
      <c r="AC546" s="2">
        <f>[8]m!$F548</f>
        <v>6.63</v>
      </c>
      <c r="AD546">
        <f>[9]Employment!$B428</f>
        <v>116955</v>
      </c>
      <c r="AE546" s="2">
        <f>[2]Indicators!$AB428</f>
        <v>71.19380000000001</v>
      </c>
      <c r="AF546" s="2">
        <f>[8]m!$AS548</f>
        <v>1057.5</v>
      </c>
      <c r="AG546" s="2">
        <f>[8]m!$H548</f>
        <v>7.65</v>
      </c>
      <c r="AH546" s="2">
        <f>[8]m!$I548</f>
        <v>8.1999999999999993</v>
      </c>
      <c r="AI546" s="2">
        <f>[7]m!C547</f>
        <v>65074</v>
      </c>
      <c r="AJ546" s="2">
        <f>[7]m!D547</f>
        <v>74682</v>
      </c>
      <c r="AK546" s="2">
        <f>[2]Surveys_m!$AB428</f>
        <v>46.7</v>
      </c>
      <c r="AL546" s="4">
        <f t="shared" si="8"/>
        <v>3988.9526112185686</v>
      </c>
      <c r="AM546">
        <f>[2]Indicators!$BB428</f>
        <v>146665</v>
      </c>
      <c r="AN546" s="2">
        <v>80.7</v>
      </c>
      <c r="AO546">
        <f>[9]Unemployment!H428</f>
        <v>398</v>
      </c>
      <c r="AP546">
        <f>[9]Unemployment!I428</f>
        <v>1106</v>
      </c>
      <c r="AQ546" s="3">
        <f>[9]LaborForce!$B427*[9]LaborForce!$C427/100</f>
        <v>131860.19</v>
      </c>
      <c r="AR546">
        <f>[9]Unemployment!$AC428</f>
        <v>365</v>
      </c>
      <c r="AS546">
        <f>[2]Indicators!BC428</f>
        <v>73.600000000000009</v>
      </c>
      <c r="AT546">
        <f>[2]Indicators!BD428</f>
        <v>73.374700000000004</v>
      </c>
      <c r="AU546">
        <f>[2]Indicators!BE428</f>
        <v>97.80210000000001</v>
      </c>
      <c r="AV546">
        <f>[5]m!$O548</f>
        <v>76.600000000000009</v>
      </c>
    </row>
    <row r="547" spans="1:48" x14ac:dyDescent="0.25">
      <c r="A547" s="1">
        <v>34851</v>
      </c>
      <c r="B547" s="2">
        <f>[2]Indicators!G429</f>
        <v>5001.18</v>
      </c>
      <c r="C547" s="2">
        <f>[2]Indicators!H429</f>
        <v>642.74900000000002</v>
      </c>
      <c r="D547" s="2">
        <f>[2]Indicators!I429</f>
        <v>1184.1300000000001</v>
      </c>
      <c r="E547" s="2">
        <f>[2]Indicators!J429</f>
        <v>3174.3009999999999</v>
      </c>
      <c r="F547" s="2">
        <f>[2]Indicators!B429</f>
        <v>6096.99</v>
      </c>
      <c r="G547" s="2">
        <f>[2]Indicators!C429</f>
        <v>516.279</v>
      </c>
      <c r="H547" s="2">
        <f>[2]Indicators!D429</f>
        <v>1443.2670000000001</v>
      </c>
      <c r="I547" s="2">
        <f>[2]Indicators!E429</f>
        <v>4215.2839999999997</v>
      </c>
      <c r="J547" s="2">
        <f>[2]Indicators!L429</f>
        <v>186342</v>
      </c>
      <c r="K547" s="2">
        <f>[2]Indicators!M429</f>
        <v>135048</v>
      </c>
      <c r="L547" s="2">
        <f>[2]Indicators!N429</f>
        <v>15.411</v>
      </c>
      <c r="M547" s="2">
        <f>[2]Indicators!AB429</f>
        <v>71.438200000000009</v>
      </c>
      <c r="N547" s="2">
        <f>[8]m!$C549</f>
        <v>6</v>
      </c>
      <c r="O547">
        <f>[9]Unemployment!$B429</f>
        <v>5.6000000000000005</v>
      </c>
      <c r="P547" s="2">
        <f>[2]Surveys_m!$B429</f>
        <v>94.600000000000009</v>
      </c>
      <c r="Q547">
        <f>[5]m!$B549</f>
        <v>152.4</v>
      </c>
      <c r="R547">
        <f>[5]m!$D549</f>
        <v>161.1</v>
      </c>
      <c r="S547">
        <f>[5]m!$Q549</f>
        <v>125.30000000000001</v>
      </c>
      <c r="T547">
        <f>[6]m!B549</f>
        <v>12813</v>
      </c>
      <c r="U547" s="2">
        <f>[9]Unemployment!$F429</f>
        <v>15.9</v>
      </c>
      <c r="V547" s="2">
        <f>[9]Unemployment!$G429</f>
        <v>7.9</v>
      </c>
      <c r="W547">
        <f>[9]Unemployment!$E429</f>
        <v>7427</v>
      </c>
      <c r="X547">
        <f>[9]Unemployment!N429</f>
        <v>2744</v>
      </c>
      <c r="Y547">
        <f>[9]Unemployment!O429</f>
        <v>2354</v>
      </c>
      <c r="Z547">
        <f>[9]Unemployment!P429-[9]Unemployment!Q429</f>
        <v>1031</v>
      </c>
      <c r="AA547">
        <f>[9]Unemployment!$Q429</f>
        <v>1235</v>
      </c>
      <c r="AB547" s="2">
        <f>[8]m!$B549</f>
        <v>5.66</v>
      </c>
      <c r="AC547" s="2">
        <f>[8]m!$F549</f>
        <v>6.17</v>
      </c>
      <c r="AD547">
        <f>[9]Employment!$B429</f>
        <v>117186</v>
      </c>
      <c r="AE547" s="2">
        <f>[2]Indicators!$AB429</f>
        <v>71.438200000000009</v>
      </c>
      <c r="AF547" s="2">
        <f>[8]m!$AS549</f>
        <v>1069.4000000000001</v>
      </c>
      <c r="AG547" s="2">
        <f>[8]m!$H549</f>
        <v>7.3</v>
      </c>
      <c r="AH547" s="2">
        <f>[8]m!$I549</f>
        <v>7.9</v>
      </c>
      <c r="AI547" s="2">
        <f>[7]m!C548</f>
        <v>65755</v>
      </c>
      <c r="AJ547" s="2">
        <f>[7]m!D548</f>
        <v>74845</v>
      </c>
      <c r="AK547" s="2">
        <f>[2]Surveys_m!$AB429</f>
        <v>45.900000000000006</v>
      </c>
      <c r="AL547" s="4">
        <f t="shared" si="8"/>
        <v>4048.2678916827849</v>
      </c>
      <c r="AM547">
        <f>[2]Indicators!$BB429</f>
        <v>143352</v>
      </c>
      <c r="AN547" s="2">
        <v>81.900000000000006</v>
      </c>
      <c r="AO547">
        <f>[9]Unemployment!H429</f>
        <v>364</v>
      </c>
      <c r="AP547">
        <f>[9]Unemployment!I429</f>
        <v>1209</v>
      </c>
      <c r="AQ547" s="3">
        <f>[9]LaborForce!$B428*[9]LaborForce!$C428/100</f>
        <v>131970.57999999999</v>
      </c>
      <c r="AR547">
        <f>[9]Unemployment!$AC429</f>
        <v>374</v>
      </c>
      <c r="AS547">
        <f>[2]Indicators!BC429</f>
        <v>73.8</v>
      </c>
      <c r="AT547">
        <f>[2]Indicators!BD429</f>
        <v>73.447299999999998</v>
      </c>
      <c r="AU547">
        <f>[2]Indicators!BE429</f>
        <v>97.499600000000001</v>
      </c>
      <c r="AV547">
        <f>[5]m!$O549</f>
        <v>76.94</v>
      </c>
    </row>
    <row r="548" spans="1:48" x14ac:dyDescent="0.25">
      <c r="A548" s="1">
        <v>34881</v>
      </c>
      <c r="B548" s="2">
        <f>[2]Indicators!G430</f>
        <v>4994.1819999999998</v>
      </c>
      <c r="C548" s="2">
        <f>[2]Indicators!H430</f>
        <v>630.96699999999998</v>
      </c>
      <c r="D548" s="2">
        <f>[2]Indicators!I430</f>
        <v>1182.923</v>
      </c>
      <c r="E548" s="2">
        <f>[2]Indicators!J430</f>
        <v>3180.2910000000002</v>
      </c>
      <c r="F548" s="2">
        <f>[2]Indicators!B430</f>
        <v>6080.2619999999997</v>
      </c>
      <c r="G548" s="2">
        <f>[2]Indicators!C430</f>
        <v>507.214</v>
      </c>
      <c r="H548" s="2">
        <f>[2]Indicators!D430</f>
        <v>1440.249</v>
      </c>
      <c r="I548" s="2">
        <f>[2]Indicators!E430</f>
        <v>4215.348</v>
      </c>
      <c r="J548" s="2">
        <f>[2]Indicators!L430</f>
        <v>186058</v>
      </c>
      <c r="K548" s="2">
        <f>[2]Indicators!M430</f>
        <v>134730</v>
      </c>
      <c r="L548" s="2">
        <f>[2]Indicators!N430</f>
        <v>14.706</v>
      </c>
      <c r="M548" s="2">
        <f>[2]Indicators!AB430</f>
        <v>71.156599999999997</v>
      </c>
      <c r="N548" s="2">
        <f>[8]m!$C550</f>
        <v>5.8500000000000005</v>
      </c>
      <c r="O548">
        <f>[9]Unemployment!$B430</f>
        <v>5.7</v>
      </c>
      <c r="P548" s="2">
        <f>[2]Surveys_m!$B430</f>
        <v>101.4</v>
      </c>
      <c r="Q548">
        <f>[5]m!$B550</f>
        <v>152.6</v>
      </c>
      <c r="R548">
        <f>[5]m!$D550</f>
        <v>161.4</v>
      </c>
      <c r="S548">
        <f>[5]m!$Q550</f>
        <v>125.30000000000001</v>
      </c>
      <c r="T548">
        <f>[6]m!B550</f>
        <v>-13582</v>
      </c>
      <c r="U548" s="2">
        <f>[9]Unemployment!$F430</f>
        <v>16.5</v>
      </c>
      <c r="V548" s="2">
        <f>[9]Unemployment!$G430</f>
        <v>8.5</v>
      </c>
      <c r="W548">
        <f>[9]Unemployment!$E430</f>
        <v>7527</v>
      </c>
      <c r="X548">
        <f>[9]Unemployment!N430</f>
        <v>2627</v>
      </c>
      <c r="Y548">
        <f>[9]Unemployment!O430</f>
        <v>2565</v>
      </c>
      <c r="Z548">
        <f>[9]Unemployment!P430-[9]Unemployment!Q430</f>
        <v>1061</v>
      </c>
      <c r="AA548">
        <f>[9]Unemployment!$Q430</f>
        <v>1250</v>
      </c>
      <c r="AB548" s="2">
        <f>[8]m!$B550</f>
        <v>5.58</v>
      </c>
      <c r="AC548" s="2">
        <f>[8]m!$F550</f>
        <v>6.28</v>
      </c>
      <c r="AD548">
        <f>[9]Employment!$B430</f>
        <v>117265</v>
      </c>
      <c r="AE548" s="2">
        <f>[2]Indicators!$AB430</f>
        <v>71.156599999999997</v>
      </c>
      <c r="AF548" s="2">
        <f>[8]m!$AS550</f>
        <v>1077.7</v>
      </c>
      <c r="AG548" s="2">
        <f>[8]m!$H550</f>
        <v>7.41</v>
      </c>
      <c r="AH548" s="2">
        <f>[8]m!$I550</f>
        <v>8.0400000000000009</v>
      </c>
      <c r="AI548" s="2">
        <f>[7]m!C549</f>
        <v>64855</v>
      </c>
      <c r="AJ548" s="2">
        <f>[7]m!D549</f>
        <v>75478</v>
      </c>
      <c r="AK548" s="2">
        <f>[2]Surveys_m!$AB430</f>
        <v>50.7</v>
      </c>
      <c r="AL548" s="4">
        <f t="shared" si="8"/>
        <v>4255.8713733075429</v>
      </c>
      <c r="AM548">
        <f>[2]Indicators!$BB430</f>
        <v>143198</v>
      </c>
      <c r="AN548" s="2">
        <v>86.1</v>
      </c>
      <c r="AO548">
        <f>[9]Unemployment!H430</f>
        <v>456</v>
      </c>
      <c r="AP548">
        <f>[9]Unemployment!I430</f>
        <v>1112</v>
      </c>
      <c r="AQ548" s="3">
        <f>[9]LaborForce!$B429*[9]LaborForce!$C429/100</f>
        <v>132277.59000000003</v>
      </c>
      <c r="AR548">
        <f>[9]Unemployment!$AC430</f>
        <v>355</v>
      </c>
      <c r="AS548">
        <f>[2]Indicators!BC430</f>
        <v>74</v>
      </c>
      <c r="AT548">
        <f>[2]Indicators!BD430</f>
        <v>73.635800000000003</v>
      </c>
      <c r="AU548">
        <f>[2]Indicators!BE430</f>
        <v>97.347999999999999</v>
      </c>
      <c r="AV548">
        <f>[5]m!$O550</f>
        <v>77.260000000000005</v>
      </c>
    </row>
    <row r="549" spans="1:48" x14ac:dyDescent="0.25">
      <c r="A549" s="1">
        <v>34912</v>
      </c>
      <c r="B549" s="2">
        <f>[2]Indicators!G431</f>
        <v>5029.6019999999999</v>
      </c>
      <c r="C549" s="2">
        <f>[2]Indicators!H431</f>
        <v>645.33299999999997</v>
      </c>
      <c r="D549" s="2">
        <f>[2]Indicators!I431</f>
        <v>1178.6000000000001</v>
      </c>
      <c r="E549" s="2">
        <f>[2]Indicators!J431</f>
        <v>3205.6689999999999</v>
      </c>
      <c r="F549" s="2">
        <f>[2]Indicators!B431</f>
        <v>6109.9290000000001</v>
      </c>
      <c r="G549" s="2">
        <f>[2]Indicators!C431</f>
        <v>518.34400000000005</v>
      </c>
      <c r="H549" s="2">
        <f>[2]Indicators!D431</f>
        <v>1433.626</v>
      </c>
      <c r="I549" s="2">
        <f>[2]Indicators!E431</f>
        <v>4236.5150000000003</v>
      </c>
      <c r="J549" s="2">
        <f>[2]Indicators!L431</f>
        <v>187129</v>
      </c>
      <c r="K549" s="2">
        <f>[2]Indicators!M431</f>
        <v>135315</v>
      </c>
      <c r="L549" s="2">
        <f>[2]Indicators!N431</f>
        <v>15.371</v>
      </c>
      <c r="M549" s="2">
        <f>[2]Indicators!AB431</f>
        <v>72.093100000000007</v>
      </c>
      <c r="N549" s="2">
        <f>[8]m!$C551</f>
        <v>5.74</v>
      </c>
      <c r="O549">
        <f>[9]Unemployment!$B431</f>
        <v>5.7</v>
      </c>
      <c r="P549" s="2">
        <f>[2]Surveys_m!$B431</f>
        <v>102.4</v>
      </c>
      <c r="Q549">
        <f>[5]m!$B551</f>
        <v>152.9</v>
      </c>
      <c r="R549">
        <f>[5]m!$D551</f>
        <v>161.80000000000001</v>
      </c>
      <c r="S549">
        <f>[5]m!$Q551</f>
        <v>125.10000000000001</v>
      </c>
      <c r="T549">
        <f>[6]m!B551</f>
        <v>-33849</v>
      </c>
      <c r="U549" s="2">
        <f>[9]Unemployment!$F431</f>
        <v>16.2</v>
      </c>
      <c r="V549" s="2">
        <f>[9]Unemployment!$G431</f>
        <v>8.3000000000000007</v>
      </c>
      <c r="W549">
        <f>[9]Unemployment!$E431</f>
        <v>7484</v>
      </c>
      <c r="X549">
        <f>[9]Unemployment!N431</f>
        <v>2732</v>
      </c>
      <c r="Y549">
        <f>[9]Unemployment!O431</f>
        <v>2434</v>
      </c>
      <c r="Z549">
        <f>[9]Unemployment!P431-[9]Unemployment!Q431</f>
        <v>1156</v>
      </c>
      <c r="AA549">
        <f>[9]Unemployment!$Q431</f>
        <v>1235</v>
      </c>
      <c r="AB549" s="2">
        <f>[8]m!$B551</f>
        <v>5.45</v>
      </c>
      <c r="AC549" s="2">
        <f>[8]m!$F551</f>
        <v>6.49</v>
      </c>
      <c r="AD549">
        <f>[9]Employment!$B431</f>
        <v>117536</v>
      </c>
      <c r="AE549" s="2">
        <f>[2]Indicators!$AB431</f>
        <v>72.093100000000007</v>
      </c>
      <c r="AF549" s="2">
        <f>[8]m!$AS551</f>
        <v>1089.6000000000001</v>
      </c>
      <c r="AG549" s="2">
        <f>[8]m!$H551</f>
        <v>7.57</v>
      </c>
      <c r="AH549" s="2">
        <f>[8]m!$I551</f>
        <v>8.19</v>
      </c>
      <c r="AI549" s="2">
        <f>[7]m!C550</f>
        <v>66560</v>
      </c>
      <c r="AJ549" s="2">
        <f>[7]m!D550</f>
        <v>74247</v>
      </c>
      <c r="AK549" s="2">
        <f>[2]Surveys_m!$AB431</f>
        <v>47.1</v>
      </c>
      <c r="AL549" s="4">
        <f t="shared" si="8"/>
        <v>4216.3278529980653</v>
      </c>
      <c r="AM549">
        <f>[2]Indicators!$BB431</f>
        <v>146898</v>
      </c>
      <c r="AN549" s="2">
        <v>85.3</v>
      </c>
      <c r="AO549">
        <f>[9]Unemployment!H431</f>
        <v>410</v>
      </c>
      <c r="AP549">
        <f>[9]Unemployment!I431</f>
        <v>1101</v>
      </c>
      <c r="AQ549" s="3">
        <f>[9]LaborForce!$B430*[9]LaborForce!$C430/100</f>
        <v>132401.46600000001</v>
      </c>
      <c r="AR549">
        <f>[9]Unemployment!$AC431</f>
        <v>351</v>
      </c>
      <c r="AS549">
        <f>[2]Indicators!BC431</f>
        <v>74.3</v>
      </c>
      <c r="AT549">
        <f>[2]Indicators!BD431</f>
        <v>73.871899999999997</v>
      </c>
      <c r="AU549">
        <f>[2]Indicators!BE431</f>
        <v>97.255900000000011</v>
      </c>
      <c r="AV549">
        <f>[5]m!$O551</f>
        <v>77.47</v>
      </c>
    </row>
    <row r="550" spans="1:48" x14ac:dyDescent="0.25">
      <c r="A550" s="1">
        <v>34943</v>
      </c>
      <c r="B550" s="2">
        <f>[2]Indicators!G432</f>
        <v>5044.8720000000003</v>
      </c>
      <c r="C550" s="2">
        <f>[2]Indicators!H432</f>
        <v>651.32900000000006</v>
      </c>
      <c r="D550" s="2">
        <f>[2]Indicators!I432</f>
        <v>1189.549</v>
      </c>
      <c r="E550" s="2">
        <f>[2]Indicators!J432</f>
        <v>3203.9940000000001</v>
      </c>
      <c r="F550" s="2">
        <f>[2]Indicators!B432</f>
        <v>6124.3739999999998</v>
      </c>
      <c r="G550" s="2">
        <f>[2]Indicators!C432</f>
        <v>524.13599999999997</v>
      </c>
      <c r="H550" s="2">
        <f>[2]Indicators!D432</f>
        <v>1446.443</v>
      </c>
      <c r="I550" s="2">
        <f>[2]Indicators!E432</f>
        <v>4228.7870000000003</v>
      </c>
      <c r="J550" s="2">
        <f>[2]Indicators!L432</f>
        <v>187839</v>
      </c>
      <c r="K550" s="2">
        <f>[2]Indicators!M432</f>
        <v>135541</v>
      </c>
      <c r="L550" s="2">
        <f>[2]Indicators!N432</f>
        <v>15.344000000000001</v>
      </c>
      <c r="M550" s="2">
        <f>[2]Indicators!AB432</f>
        <v>72.344800000000006</v>
      </c>
      <c r="N550" s="2">
        <f>[8]m!$C552</f>
        <v>5.8</v>
      </c>
      <c r="O550">
        <f>[9]Unemployment!$B432</f>
        <v>5.6000000000000005</v>
      </c>
      <c r="P550" s="2">
        <f>[2]Surveys_m!$B432</f>
        <v>97.300000000000011</v>
      </c>
      <c r="Q550">
        <f>[5]m!$B552</f>
        <v>153.1</v>
      </c>
      <c r="R550">
        <f>[5]m!$D552</f>
        <v>162.20000000000002</v>
      </c>
      <c r="S550">
        <f>[5]m!$Q552</f>
        <v>125.2</v>
      </c>
      <c r="T550">
        <f>[6]m!B552</f>
        <v>7191</v>
      </c>
      <c r="U550" s="2">
        <f>[9]Unemployment!$F432</f>
        <v>16.2</v>
      </c>
      <c r="V550" s="2">
        <f>[9]Unemployment!$G432</f>
        <v>7.9</v>
      </c>
      <c r="W550">
        <f>[9]Unemployment!$E432</f>
        <v>7478</v>
      </c>
      <c r="X550">
        <f>[9]Unemployment!N432</f>
        <v>2857</v>
      </c>
      <c r="Y550">
        <f>[9]Unemployment!O432</f>
        <v>2296</v>
      </c>
      <c r="Z550">
        <f>[9]Unemployment!P432-[9]Unemployment!Q432</f>
        <v>1045</v>
      </c>
      <c r="AA550">
        <f>[9]Unemployment!$Q432</f>
        <v>1261</v>
      </c>
      <c r="AB550" s="2">
        <f>[8]m!$B552</f>
        <v>5.42</v>
      </c>
      <c r="AC550" s="2">
        <f>[8]m!$F552</f>
        <v>6.2</v>
      </c>
      <c r="AD550">
        <f>[9]Employment!$B432</f>
        <v>117781</v>
      </c>
      <c r="AE550" s="2">
        <f>[2]Indicators!$AB432</f>
        <v>72.344800000000006</v>
      </c>
      <c r="AF550" s="2">
        <f>[8]m!$AS552</f>
        <v>1106.6000000000001</v>
      </c>
      <c r="AG550" s="2">
        <f>[8]m!$H552</f>
        <v>7.32</v>
      </c>
      <c r="AH550" s="2">
        <f>[8]m!$I552</f>
        <v>7.9300000000000006</v>
      </c>
      <c r="AI550" s="2">
        <f>[7]m!C551</f>
        <v>67469</v>
      </c>
      <c r="AJ550" s="2">
        <f>[7]m!D551</f>
        <v>74173</v>
      </c>
      <c r="AK550" s="2">
        <f>[2]Surveys_m!$AB432</f>
        <v>48.1</v>
      </c>
      <c r="AL550" s="4">
        <f t="shared" si="8"/>
        <v>4226.2137330754349</v>
      </c>
      <c r="AM550">
        <f>[2]Indicators!$BB432</f>
        <v>153769</v>
      </c>
      <c r="AN550" s="2">
        <v>85.5</v>
      </c>
      <c r="AO550">
        <f>[9]Unemployment!H432</f>
        <v>341</v>
      </c>
      <c r="AP550">
        <f>[9]Unemployment!I432</f>
        <v>1242</v>
      </c>
      <c r="AQ550" s="3">
        <f>[9]LaborForce!$B431*[9]LaborForce!$C431/100</f>
        <v>132537.33000000002</v>
      </c>
      <c r="AR550">
        <f>[9]Unemployment!$AC432</f>
        <v>355</v>
      </c>
      <c r="AS550">
        <f>[2]Indicators!BC432</f>
        <v>74.600000000000009</v>
      </c>
      <c r="AT550">
        <f>[2]Indicators!BD432</f>
        <v>74.116500000000002</v>
      </c>
      <c r="AU550">
        <f>[2]Indicators!BE432</f>
        <v>97.171700000000001</v>
      </c>
      <c r="AV550">
        <f>[5]m!$O552</f>
        <v>77.430000000000007</v>
      </c>
    </row>
    <row r="551" spans="1:48" x14ac:dyDescent="0.25">
      <c r="A551" s="1">
        <v>34973</v>
      </c>
      <c r="B551" s="2">
        <f>[2]Indicators!G433</f>
        <v>5038.0929999999998</v>
      </c>
      <c r="C551" s="2">
        <f>[2]Indicators!H433</f>
        <v>638.07900000000006</v>
      </c>
      <c r="D551" s="2">
        <f>[2]Indicators!I433</f>
        <v>1181.537</v>
      </c>
      <c r="E551" s="2">
        <f>[2]Indicators!J433</f>
        <v>3218.4769999999999</v>
      </c>
      <c r="F551" s="2">
        <f>[2]Indicators!B433</f>
        <v>6101.076</v>
      </c>
      <c r="G551" s="2">
        <f>[2]Indicators!C433</f>
        <v>513.63</v>
      </c>
      <c r="H551" s="2">
        <f>[2]Indicators!D433</f>
        <v>1434.049</v>
      </c>
      <c r="I551" s="2">
        <f>[2]Indicators!E433</f>
        <v>4234.0940000000001</v>
      </c>
      <c r="J551" s="2">
        <f>[2]Indicators!L433</f>
        <v>187001</v>
      </c>
      <c r="K551" s="2">
        <f>[2]Indicators!M433</f>
        <v>134636</v>
      </c>
      <c r="L551" s="2">
        <f>[2]Indicators!N433</f>
        <v>14.866</v>
      </c>
      <c r="M551" s="2">
        <f>[2]Indicators!AB433</f>
        <v>72.197299999999998</v>
      </c>
      <c r="N551" s="2">
        <f>[8]m!$C553</f>
        <v>5.76</v>
      </c>
      <c r="O551">
        <f>[9]Unemployment!$B433</f>
        <v>5.5</v>
      </c>
      <c r="P551" s="2">
        <f>[2]Surveys_m!$B433</f>
        <v>96.300000000000011</v>
      </c>
      <c r="Q551">
        <f>[5]m!$B553</f>
        <v>153.5</v>
      </c>
      <c r="R551">
        <f>[5]m!$D553</f>
        <v>162.70000000000002</v>
      </c>
      <c r="S551">
        <f>[5]m!$Q553</f>
        <v>125.30000000000001</v>
      </c>
      <c r="T551">
        <f>[6]m!B553</f>
        <v>-22758</v>
      </c>
      <c r="U551" s="2">
        <f>[9]Unemployment!$F433</f>
        <v>16</v>
      </c>
      <c r="V551" s="2">
        <f>[9]Unemployment!$G433</f>
        <v>8.2000000000000011</v>
      </c>
      <c r="W551">
        <f>[9]Unemployment!$E433</f>
        <v>7328</v>
      </c>
      <c r="X551">
        <f>[9]Unemployment!N433</f>
        <v>2725</v>
      </c>
      <c r="Y551">
        <f>[9]Unemployment!O433</f>
        <v>2380</v>
      </c>
      <c r="Z551">
        <f>[9]Unemployment!P433-[9]Unemployment!Q433</f>
        <v>1052</v>
      </c>
      <c r="AA551">
        <f>[9]Unemployment!$Q433</f>
        <v>1220</v>
      </c>
      <c r="AB551" s="2">
        <f>[8]m!$B553</f>
        <v>5.51</v>
      </c>
      <c r="AC551" s="2">
        <f>[8]m!$F553</f>
        <v>6.04</v>
      </c>
      <c r="AD551">
        <f>[9]Employment!$B433</f>
        <v>117928</v>
      </c>
      <c r="AE551" s="2">
        <f>[2]Indicators!$AB433</f>
        <v>72.197299999999998</v>
      </c>
      <c r="AF551" s="2">
        <f>[8]m!$AS553</f>
        <v>1113.5</v>
      </c>
      <c r="AG551" s="2">
        <f>[8]m!$H553</f>
        <v>7.12</v>
      </c>
      <c r="AH551" s="2">
        <f>[8]m!$I553</f>
        <v>7.75</v>
      </c>
      <c r="AI551" s="2">
        <f>[7]m!C552</f>
        <v>68943</v>
      </c>
      <c r="AJ551" s="2">
        <f>[7]m!D552</f>
        <v>74867</v>
      </c>
      <c r="AK551" s="2">
        <f>[2]Surveys_m!$AB433</f>
        <v>46.7</v>
      </c>
      <c r="AL551" s="4">
        <f t="shared" si="8"/>
        <v>4285.5290135396517</v>
      </c>
      <c r="AM551">
        <f>[2]Indicators!$BB433</f>
        <v>149315</v>
      </c>
      <c r="AN551" s="2">
        <v>86.7</v>
      </c>
      <c r="AO551">
        <f>[9]Unemployment!H433</f>
        <v>412</v>
      </c>
      <c r="AP551">
        <f>[9]Unemployment!I433</f>
        <v>1175</v>
      </c>
      <c r="AQ551" s="3">
        <f>[9]LaborForce!$B432*[9]LaborForce!$C432/100</f>
        <v>132661.872</v>
      </c>
      <c r="AR551">
        <f>[9]Unemployment!$AC433</f>
        <v>355</v>
      </c>
      <c r="AS551">
        <f>[2]Indicators!BC433</f>
        <v>74.400000000000006</v>
      </c>
      <c r="AT551">
        <f>[2]Indicators!BD433</f>
        <v>74.376500000000007</v>
      </c>
      <c r="AU551">
        <f>[2]Indicators!BE433</f>
        <v>97.103999999999999</v>
      </c>
      <c r="AV551">
        <f>[5]m!$O553</f>
        <v>77.260000000000005</v>
      </c>
    </row>
    <row r="552" spans="1:48" x14ac:dyDescent="0.25">
      <c r="A552" s="1">
        <v>35004</v>
      </c>
      <c r="B552" s="2">
        <f>[2]Indicators!G434</f>
        <v>5079.93</v>
      </c>
      <c r="C552" s="2">
        <f>[2]Indicators!H434</f>
        <v>650.63300000000004</v>
      </c>
      <c r="D552" s="2">
        <f>[2]Indicators!I434</f>
        <v>1191.5119999999999</v>
      </c>
      <c r="E552" s="2">
        <f>[2]Indicators!J434</f>
        <v>3237.7849999999999</v>
      </c>
      <c r="F552" s="2">
        <f>[2]Indicators!B434</f>
        <v>6151.76</v>
      </c>
      <c r="G552" s="2">
        <f>[2]Indicators!C434</f>
        <v>524.98300000000006</v>
      </c>
      <c r="H552" s="2">
        <f>[2]Indicators!D434</f>
        <v>1449.5430000000001</v>
      </c>
      <c r="I552" s="2">
        <f>[2]Indicators!E434</f>
        <v>4253.8150000000005</v>
      </c>
      <c r="J552" s="2">
        <f>[2]Indicators!L434</f>
        <v>189291</v>
      </c>
      <c r="K552" s="2">
        <f>[2]Indicators!M434</f>
        <v>135962</v>
      </c>
      <c r="L552" s="2">
        <f>[2]Indicators!N434</f>
        <v>15.389000000000001</v>
      </c>
      <c r="M552" s="2">
        <f>[2]Indicators!AB434</f>
        <v>72.367800000000003</v>
      </c>
      <c r="N552" s="2">
        <f>[8]m!$C554</f>
        <v>5.8</v>
      </c>
      <c r="O552">
        <f>[9]Unemployment!$B434</f>
        <v>5.6000000000000005</v>
      </c>
      <c r="P552" s="2">
        <f>[2]Surveys_m!$B434</f>
        <v>101.60000000000001</v>
      </c>
      <c r="Q552">
        <f>[5]m!$B554</f>
        <v>153.70000000000002</v>
      </c>
      <c r="R552">
        <f>[5]m!$D554</f>
        <v>163</v>
      </c>
      <c r="S552">
        <f>[5]m!$Q554</f>
        <v>125.4</v>
      </c>
      <c r="T552">
        <f>[6]m!B554</f>
        <v>-38452</v>
      </c>
      <c r="U552" s="2">
        <f>[9]Unemployment!$F434</f>
        <v>16.400000000000002</v>
      </c>
      <c r="V552" s="2">
        <f>[9]Unemployment!$G434</f>
        <v>8</v>
      </c>
      <c r="W552">
        <f>[9]Unemployment!$E434</f>
        <v>7426</v>
      </c>
      <c r="X552">
        <f>[9]Unemployment!N434</f>
        <v>2812</v>
      </c>
      <c r="Y552">
        <f>[9]Unemployment!O434</f>
        <v>2353</v>
      </c>
      <c r="Z552">
        <f>[9]Unemployment!P434-[9]Unemployment!Q434</f>
        <v>1085</v>
      </c>
      <c r="AA552">
        <f>[9]Unemployment!$Q434</f>
        <v>1254</v>
      </c>
      <c r="AB552" s="2">
        <f>[8]m!$B554</f>
        <v>5.53</v>
      </c>
      <c r="AC552" s="2">
        <f>[8]m!$F554</f>
        <v>5.93</v>
      </c>
      <c r="AD552">
        <f>[9]Employment!$B434</f>
        <v>118076</v>
      </c>
      <c r="AE552" s="2">
        <f>[2]Indicators!$AB434</f>
        <v>72.367800000000003</v>
      </c>
      <c r="AF552" s="2">
        <f>[8]m!$AS554</f>
        <v>1132.2</v>
      </c>
      <c r="AG552" s="2">
        <f>[8]m!$H554</f>
        <v>7.0200000000000005</v>
      </c>
      <c r="AH552" s="2">
        <f>[8]m!$I554</f>
        <v>7.68</v>
      </c>
      <c r="AI552" s="2">
        <f>[7]m!C553</f>
        <v>68105</v>
      </c>
      <c r="AJ552" s="2">
        <f>[7]m!D553</f>
        <v>74219</v>
      </c>
      <c r="AK552" s="2">
        <f>[2]Surveys_m!$AB434</f>
        <v>45.900000000000006</v>
      </c>
      <c r="AL552" s="4">
        <f t="shared" si="8"/>
        <v>4147.1266924564798</v>
      </c>
      <c r="AM552">
        <f>[2]Indicators!$BB434</f>
        <v>151425</v>
      </c>
      <c r="AN552" s="2">
        <v>83.9</v>
      </c>
      <c r="AO552">
        <f>[9]Unemployment!H434</f>
        <v>401</v>
      </c>
      <c r="AP552">
        <f>[9]Unemployment!I434</f>
        <v>1141</v>
      </c>
      <c r="AQ552" s="3">
        <f>[9]LaborForce!$B433*[9]LaborForce!$C433/100</f>
        <v>132571.07500000001</v>
      </c>
      <c r="AR552">
        <f>[9]Unemployment!$AC434</f>
        <v>377</v>
      </c>
      <c r="AS552">
        <f>[2]Indicators!BC434</f>
        <v>74.400000000000006</v>
      </c>
      <c r="AT552">
        <f>[2]Indicators!BD434</f>
        <v>74.678600000000003</v>
      </c>
      <c r="AU552">
        <f>[2]Indicators!BE434</f>
        <v>97.087500000000006</v>
      </c>
      <c r="AV552">
        <f>[5]m!$O554</f>
        <v>76.95</v>
      </c>
    </row>
    <row r="553" spans="1:48" x14ac:dyDescent="0.25">
      <c r="A553" s="1">
        <v>35034</v>
      </c>
      <c r="B553" s="2">
        <f>[2]Indicators!G435</f>
        <v>5122.2359999999999</v>
      </c>
      <c r="C553" s="2">
        <f>[2]Indicators!H435</f>
        <v>668.06000000000006</v>
      </c>
      <c r="D553" s="2">
        <f>[2]Indicators!I435</f>
        <v>1201.905</v>
      </c>
      <c r="E553" s="2">
        <f>[2]Indicators!J435</f>
        <v>3252.2710000000002</v>
      </c>
      <c r="F553" s="2">
        <f>[2]Indicators!B435</f>
        <v>6190.5</v>
      </c>
      <c r="G553" s="2">
        <f>[2]Indicators!C435</f>
        <v>538</v>
      </c>
      <c r="H553" s="2">
        <f>[2]Indicators!D435</f>
        <v>1459.01</v>
      </c>
      <c r="I553" s="2">
        <f>[2]Indicators!E435</f>
        <v>4264.4059999999999</v>
      </c>
      <c r="J553" s="2">
        <f>[2]Indicators!L435</f>
        <v>191358</v>
      </c>
      <c r="K553" s="2">
        <f>[2]Indicators!M435</f>
        <v>137123</v>
      </c>
      <c r="L553" s="2">
        <f>[2]Indicators!N435</f>
        <v>16.269000000000002</v>
      </c>
      <c r="M553" s="2">
        <f>[2]Indicators!AB435</f>
        <v>72.646000000000001</v>
      </c>
      <c r="N553" s="2">
        <f>[8]m!$C555</f>
        <v>5.6000000000000005</v>
      </c>
      <c r="O553">
        <f>[9]Unemployment!$B435</f>
        <v>5.6000000000000005</v>
      </c>
      <c r="P553" s="2">
        <f>[2]Surveys_m!$B435</f>
        <v>99.2</v>
      </c>
      <c r="Q553">
        <f>[5]m!$B555</f>
        <v>153.9</v>
      </c>
      <c r="R553">
        <f>[5]m!$D555</f>
        <v>163.1</v>
      </c>
      <c r="S553">
        <f>[5]m!$Q555</f>
        <v>125.7</v>
      </c>
      <c r="T553">
        <f>[6]m!B555</f>
        <v>5283</v>
      </c>
      <c r="U553" s="2">
        <f>[9]Unemployment!$F435</f>
        <v>16.3</v>
      </c>
      <c r="V553" s="2">
        <f>[9]Unemployment!$G435</f>
        <v>8.3000000000000007</v>
      </c>
      <c r="W553">
        <f>[9]Unemployment!$E435</f>
        <v>7423</v>
      </c>
      <c r="X553">
        <f>[9]Unemployment!N435</f>
        <v>2662</v>
      </c>
      <c r="Y553">
        <f>[9]Unemployment!O435</f>
        <v>2414</v>
      </c>
      <c r="Z553">
        <f>[9]Unemployment!P435-[9]Unemployment!Q435</f>
        <v>1117</v>
      </c>
      <c r="AA553">
        <f>[9]Unemployment!$Q435</f>
        <v>1214</v>
      </c>
      <c r="AB553" s="2">
        <f>[8]m!$B555</f>
        <v>5.08</v>
      </c>
      <c r="AC553" s="2">
        <f>[8]m!$F555</f>
        <v>5.71</v>
      </c>
      <c r="AD553">
        <f>[9]Employment!$B435</f>
        <v>118207</v>
      </c>
      <c r="AE553" s="2">
        <f>[2]Indicators!$AB435</f>
        <v>72.646000000000001</v>
      </c>
      <c r="AF553" s="2">
        <f>[8]m!$AS555</f>
        <v>1140.7</v>
      </c>
      <c r="AG553" s="2">
        <f>[8]m!$H555</f>
        <v>6.82</v>
      </c>
      <c r="AH553" s="2">
        <f>[8]m!$I555</f>
        <v>7.49</v>
      </c>
      <c r="AI553" s="2">
        <f>[7]m!C554</f>
        <v>68009</v>
      </c>
      <c r="AJ553" s="2">
        <f>[7]m!D554</f>
        <v>74523</v>
      </c>
      <c r="AK553" s="2">
        <f>[2]Surveys_m!$AB435</f>
        <v>46.2</v>
      </c>
      <c r="AL553" s="4">
        <f t="shared" si="8"/>
        <v>4507.9613152804641</v>
      </c>
      <c r="AM553">
        <f>[2]Indicators!$BB435</f>
        <v>156419</v>
      </c>
      <c r="AN553" s="2">
        <v>91.2</v>
      </c>
      <c r="AO553">
        <f>[9]Unemployment!H435</f>
        <v>425</v>
      </c>
      <c r="AP553">
        <f>[9]Unemployment!I435</f>
        <v>1194</v>
      </c>
      <c r="AQ553" s="3">
        <f>[9]LaborForce!$B434*[9]LaborForce!$C434/100</f>
        <v>132473.31200000001</v>
      </c>
      <c r="AR553">
        <f>[9]Unemployment!$AC435</f>
        <v>373</v>
      </c>
      <c r="AS553">
        <f>[2]Indicators!BC435</f>
        <v>74.8</v>
      </c>
      <c r="AT553">
        <f>[2]Indicators!BD435</f>
        <v>75.042000000000002</v>
      </c>
      <c r="AU553">
        <f>[2]Indicators!BE435</f>
        <v>97.146500000000003</v>
      </c>
      <c r="AV553">
        <f>[5]m!$O555</f>
        <v>76.680000000000007</v>
      </c>
    </row>
    <row r="554" spans="1:48" x14ac:dyDescent="0.25">
      <c r="A554" s="1">
        <v>35065</v>
      </c>
      <c r="B554" s="2">
        <f>[2]Indicators!G436</f>
        <v>5111.1450000000004</v>
      </c>
      <c r="C554" s="2">
        <f>[2]Indicators!H436</f>
        <v>645.81700000000001</v>
      </c>
      <c r="D554" s="2">
        <f>[2]Indicators!I436</f>
        <v>1200.1290000000001</v>
      </c>
      <c r="E554" s="2">
        <f>[2]Indicators!J436</f>
        <v>3265.1990000000001</v>
      </c>
      <c r="F554" s="2">
        <f>[2]Indicators!B436</f>
        <v>6162.1859999999997</v>
      </c>
      <c r="G554" s="2">
        <f>[2]Indicators!C436</f>
        <v>519.74099999999999</v>
      </c>
      <c r="H554" s="2">
        <f>[2]Indicators!D436</f>
        <v>1448.7950000000001</v>
      </c>
      <c r="I554" s="2">
        <f>[2]Indicators!E436</f>
        <v>4274.4250000000002</v>
      </c>
      <c r="J554" s="2">
        <f>[2]Indicators!L436</f>
        <v>189489</v>
      </c>
      <c r="K554" s="2">
        <f>[2]Indicators!M436</f>
        <v>135154</v>
      </c>
      <c r="L554" s="2">
        <f>[2]Indicators!N436</f>
        <v>14.8</v>
      </c>
      <c r="M554" s="2">
        <f>[2]Indicators!AB436</f>
        <v>72.198800000000006</v>
      </c>
      <c r="N554" s="2">
        <f>[8]m!$C556</f>
        <v>5.5600000000000005</v>
      </c>
      <c r="O554">
        <f>[9]Unemployment!$B436</f>
        <v>5.6000000000000005</v>
      </c>
      <c r="P554" s="2">
        <f>[2]Surveys_m!$B436</f>
        <v>88.4</v>
      </c>
      <c r="Q554">
        <f>[5]m!$B556</f>
        <v>154.70000000000002</v>
      </c>
      <c r="R554">
        <f>[5]m!$D556</f>
        <v>163.70000000000002</v>
      </c>
      <c r="S554">
        <f>[5]m!$Q556</f>
        <v>126.30000000000001</v>
      </c>
      <c r="T554">
        <f>[6]m!B556</f>
        <v>19456</v>
      </c>
      <c r="U554" s="2">
        <f>[9]Unemployment!$F436</f>
        <v>16.100000000000001</v>
      </c>
      <c r="V554" s="2">
        <f>[9]Unemployment!$G436</f>
        <v>8.3000000000000007</v>
      </c>
      <c r="W554">
        <f>[9]Unemployment!$E436</f>
        <v>7491</v>
      </c>
      <c r="X554">
        <f>[9]Unemployment!N436</f>
        <v>2725</v>
      </c>
      <c r="Y554">
        <f>[9]Unemployment!O436</f>
        <v>2387</v>
      </c>
      <c r="Z554">
        <f>[9]Unemployment!P436-[9]Unemployment!Q436</f>
        <v>1162</v>
      </c>
      <c r="AA554">
        <f>[9]Unemployment!$Q436</f>
        <v>1209</v>
      </c>
      <c r="AB554" s="2">
        <f>[8]m!$B556</f>
        <v>5.05</v>
      </c>
      <c r="AC554" s="2">
        <f>[8]m!$F556</f>
        <v>5.65</v>
      </c>
      <c r="AD554">
        <f>[9]Employment!$B436</f>
        <v>118188</v>
      </c>
      <c r="AE554" s="2">
        <f>[2]Indicators!$AB436</f>
        <v>72.198800000000006</v>
      </c>
      <c r="AF554" s="2">
        <f>[8]m!$AS556</f>
        <v>1153.3</v>
      </c>
      <c r="AG554" s="2">
        <f>[8]m!$H556</f>
        <v>6.8100000000000005</v>
      </c>
      <c r="AH554" s="2">
        <f>[8]m!$I556</f>
        <v>7.47</v>
      </c>
      <c r="AI554" s="2">
        <f>[7]m!C555</f>
        <v>69071</v>
      </c>
      <c r="AJ554" s="2">
        <f>[7]m!D555</f>
        <v>75342</v>
      </c>
      <c r="AK554" s="2">
        <f>[2]Surveys_m!$AB436</f>
        <v>45.5</v>
      </c>
      <c r="AL554" s="4">
        <f t="shared" si="8"/>
        <v>4265.7572533849125</v>
      </c>
      <c r="AM554">
        <f>[2]Indicators!$BB436</f>
        <v>149161</v>
      </c>
      <c r="AN554" s="2">
        <v>86.3</v>
      </c>
      <c r="AO554">
        <f>[9]Unemployment!H436</f>
        <v>409</v>
      </c>
      <c r="AP554">
        <f>[9]Unemployment!I436</f>
        <v>1328</v>
      </c>
      <c r="AQ554" s="3">
        <f>[9]LaborForce!$B435*[9]LaborForce!$C435/100</f>
        <v>132556.97600000002</v>
      </c>
      <c r="AR554">
        <f>[9]Unemployment!$AC436</f>
        <v>359</v>
      </c>
      <c r="AS554">
        <f>[2]Indicators!BC436</f>
        <v>73.7</v>
      </c>
      <c r="AT554">
        <f>[2]Indicators!BD436</f>
        <v>75.484700000000004</v>
      </c>
      <c r="AU554">
        <f>[2]Indicators!BE436</f>
        <v>97.303200000000004</v>
      </c>
      <c r="AV554">
        <f>[5]m!$O556</f>
        <v>76.56</v>
      </c>
    </row>
    <row r="555" spans="1:48" x14ac:dyDescent="0.25">
      <c r="A555" s="1">
        <v>35096</v>
      </c>
      <c r="B555" s="2">
        <f>[2]Indicators!G437</f>
        <v>5158.7439999999997</v>
      </c>
      <c r="C555" s="2">
        <f>[2]Indicators!H437</f>
        <v>663.24099999999999</v>
      </c>
      <c r="D555" s="2">
        <f>[2]Indicators!I437</f>
        <v>1209.33</v>
      </c>
      <c r="E555" s="2">
        <f>[2]Indicators!J437</f>
        <v>3286.1730000000002</v>
      </c>
      <c r="F555" s="2">
        <f>[2]Indicators!B437</f>
        <v>6209.41</v>
      </c>
      <c r="G555" s="2">
        <f>[2]Indicators!C437</f>
        <v>534.34299999999996</v>
      </c>
      <c r="H555" s="2">
        <f>[2]Indicators!D437</f>
        <v>1456.586</v>
      </c>
      <c r="I555" s="2">
        <f>[2]Indicators!E437</f>
        <v>4293.5320000000002</v>
      </c>
      <c r="J555" s="2">
        <f>[2]Indicators!L437</f>
        <v>192860</v>
      </c>
      <c r="K555" s="2">
        <f>[2]Indicators!M437</f>
        <v>137199</v>
      </c>
      <c r="L555" s="2">
        <f>[2]Indicators!N437</f>
        <v>15.574</v>
      </c>
      <c r="M555" s="2">
        <f>[2]Indicators!AB437</f>
        <v>73.360300000000009</v>
      </c>
      <c r="N555" s="2">
        <f>[8]m!$C557</f>
        <v>5.22</v>
      </c>
      <c r="O555">
        <f>[9]Unemployment!$B437</f>
        <v>5.5</v>
      </c>
      <c r="P555" s="2">
        <f>[2]Surveys_m!$B437</f>
        <v>98</v>
      </c>
      <c r="Q555">
        <f>[5]m!$B557</f>
        <v>155</v>
      </c>
      <c r="R555">
        <f>[5]m!$D557</f>
        <v>164</v>
      </c>
      <c r="S555">
        <f>[5]m!$Q557</f>
        <v>126.2</v>
      </c>
      <c r="T555">
        <f>[6]m!B557</f>
        <v>-44346</v>
      </c>
      <c r="U555" s="2">
        <f>[9]Unemployment!$F437</f>
        <v>16.400000000000002</v>
      </c>
      <c r="V555" s="2">
        <f>[9]Unemployment!$G437</f>
        <v>7.8000000000000007</v>
      </c>
      <c r="W555">
        <f>[9]Unemployment!$E437</f>
        <v>7313</v>
      </c>
      <c r="X555">
        <f>[9]Unemployment!N437</f>
        <v>2713</v>
      </c>
      <c r="Y555">
        <f>[9]Unemployment!O437</f>
        <v>2266</v>
      </c>
      <c r="Z555">
        <f>[9]Unemployment!P437-[9]Unemployment!Q437</f>
        <v>1106</v>
      </c>
      <c r="AA555">
        <f>[9]Unemployment!$Q437</f>
        <v>1201</v>
      </c>
      <c r="AB555" s="2">
        <f>[8]m!$B557</f>
        <v>5.01</v>
      </c>
      <c r="AC555" s="2">
        <f>[8]m!$F557</f>
        <v>5.8100000000000005</v>
      </c>
      <c r="AD555">
        <f>[9]Employment!$B437</f>
        <v>118622</v>
      </c>
      <c r="AE555" s="2">
        <f>[2]Indicators!$AB437</f>
        <v>73.360300000000009</v>
      </c>
      <c r="AF555" s="2">
        <f>[8]m!$AS557</f>
        <v>1163.1000000000001</v>
      </c>
      <c r="AG555" s="2">
        <f>[8]m!$H557</f>
        <v>6.99</v>
      </c>
      <c r="AH555" s="2">
        <f>[8]m!$I557</f>
        <v>7.63</v>
      </c>
      <c r="AI555" s="2">
        <f>[7]m!C556</f>
        <v>68299</v>
      </c>
      <c r="AJ555" s="2">
        <f>[7]m!D556</f>
        <v>76764</v>
      </c>
      <c r="AK555" s="2">
        <f>[2]Surveys_m!$AB437</f>
        <v>45.900000000000006</v>
      </c>
      <c r="AL555" s="4">
        <f t="shared" si="8"/>
        <v>4176.7843326885877</v>
      </c>
      <c r="AM555">
        <f>[2]Indicators!$BB437</f>
        <v>145549</v>
      </c>
      <c r="AN555" s="2">
        <v>84.5</v>
      </c>
      <c r="AO555">
        <f>[9]Unemployment!H437</f>
        <v>455</v>
      </c>
      <c r="AP555">
        <f>[9]Unemployment!I437</f>
        <v>1383</v>
      </c>
      <c r="AQ555" s="3">
        <f>[9]LaborForce!$B436*[9]LaborForce!$C436/100</f>
        <v>133048.152</v>
      </c>
      <c r="AR555">
        <f>[9]Unemployment!$AC437</f>
        <v>387</v>
      </c>
      <c r="AS555">
        <f>[2]Indicators!BC437</f>
        <v>74.7</v>
      </c>
      <c r="AT555">
        <f>[2]Indicators!BD437</f>
        <v>76.016400000000004</v>
      </c>
      <c r="AU555">
        <f>[2]Indicators!BE437</f>
        <v>97.569100000000006</v>
      </c>
      <c r="AV555">
        <f>[5]m!$O557</f>
        <v>76.44</v>
      </c>
    </row>
    <row r="556" spans="1:48" x14ac:dyDescent="0.25">
      <c r="A556" s="1">
        <v>35125</v>
      </c>
      <c r="B556" s="2">
        <f>[2]Indicators!G438</f>
        <v>5199.74</v>
      </c>
      <c r="C556" s="2">
        <f>[2]Indicators!H438</f>
        <v>670.45400000000006</v>
      </c>
      <c r="D556" s="2">
        <f>[2]Indicators!I438</f>
        <v>1224.059</v>
      </c>
      <c r="E556" s="2">
        <f>[2]Indicators!J438</f>
        <v>3305.2269999999999</v>
      </c>
      <c r="F556" s="2">
        <f>[2]Indicators!B438</f>
        <v>6240.4949999999999</v>
      </c>
      <c r="G556" s="2">
        <f>[2]Indicators!C438</f>
        <v>539.64800000000002</v>
      </c>
      <c r="H556" s="2">
        <f>[2]Indicators!D438</f>
        <v>1465.337</v>
      </c>
      <c r="I556" s="2">
        <f>[2]Indicators!E438</f>
        <v>4309.2089999999998</v>
      </c>
      <c r="J556" s="2">
        <f>[2]Indicators!L438</f>
        <v>194585</v>
      </c>
      <c r="K556" s="2">
        <f>[2]Indicators!M438</f>
        <v>137931</v>
      </c>
      <c r="L556" s="2">
        <f>[2]Indicators!N438</f>
        <v>16.03</v>
      </c>
      <c r="M556" s="2">
        <f>[2]Indicators!AB438</f>
        <v>73.274299999999997</v>
      </c>
      <c r="N556" s="2">
        <f>[8]m!$C558</f>
        <v>5.3100000000000005</v>
      </c>
      <c r="O556">
        <f>[9]Unemployment!$B438</f>
        <v>5.5</v>
      </c>
      <c r="P556" s="2">
        <f>[2]Surveys_m!$B438</f>
        <v>98.4</v>
      </c>
      <c r="Q556">
        <f>[5]m!$B558</f>
        <v>155.5</v>
      </c>
      <c r="R556">
        <f>[5]m!$D558</f>
        <v>164.4</v>
      </c>
      <c r="S556">
        <f>[5]m!$Q558</f>
        <v>126.4</v>
      </c>
      <c r="T556">
        <f>[6]m!B558</f>
        <v>-47071</v>
      </c>
      <c r="U556" s="2">
        <f>[9]Unemployment!$F438</f>
        <v>17.3</v>
      </c>
      <c r="V556" s="2">
        <f>[9]Unemployment!$G438</f>
        <v>8.3000000000000007</v>
      </c>
      <c r="W556">
        <f>[9]Unemployment!$E438</f>
        <v>7318</v>
      </c>
      <c r="X556">
        <f>[9]Unemployment!N438</f>
        <v>2594</v>
      </c>
      <c r="Y556">
        <f>[9]Unemployment!O438</f>
        <v>2259</v>
      </c>
      <c r="Z556">
        <f>[9]Unemployment!P438-[9]Unemployment!Q438</f>
        <v>1124</v>
      </c>
      <c r="AA556">
        <f>[9]Unemployment!$Q438</f>
        <v>1330</v>
      </c>
      <c r="AB556" s="2">
        <f>[8]m!$B558</f>
        <v>5.15</v>
      </c>
      <c r="AC556" s="2">
        <f>[8]m!$F558</f>
        <v>6.2700000000000005</v>
      </c>
      <c r="AD556">
        <f>[9]Employment!$B438</f>
        <v>118885</v>
      </c>
      <c r="AE556" s="2">
        <f>[2]Indicators!$AB438</f>
        <v>73.274299999999997</v>
      </c>
      <c r="AF556" s="2">
        <f>[8]m!$AS558</f>
        <v>1171.7</v>
      </c>
      <c r="AG556" s="2">
        <f>[8]m!$H558</f>
        <v>7.3500000000000005</v>
      </c>
      <c r="AH556" s="2">
        <f>[8]m!$I558</f>
        <v>8.0299999999999994</v>
      </c>
      <c r="AI556" s="2">
        <f>[7]m!C557</f>
        <v>69899</v>
      </c>
      <c r="AJ556" s="2">
        <f>[7]m!D557</f>
        <v>77217</v>
      </c>
      <c r="AK556" s="2">
        <f>[2]Surveys_m!$AB438</f>
        <v>46.900000000000006</v>
      </c>
      <c r="AL556" s="4">
        <f t="shared" si="8"/>
        <v>4290.4719535783361</v>
      </c>
      <c r="AM556">
        <f>[2]Indicators!$BB438</f>
        <v>151958</v>
      </c>
      <c r="AN556" s="2">
        <v>86.8</v>
      </c>
      <c r="AO556">
        <f>[9]Unemployment!H438</f>
        <v>451</v>
      </c>
      <c r="AP556">
        <f>[9]Unemployment!I438</f>
        <v>1132</v>
      </c>
      <c r="AQ556" s="3">
        <f>[9]LaborForce!$B437*[9]LaborForce!$C437/100</f>
        <v>133147.38600000003</v>
      </c>
      <c r="AR556">
        <f>[9]Unemployment!$AC438</f>
        <v>368</v>
      </c>
      <c r="AS556">
        <f>[2]Indicators!BC438</f>
        <v>75.2</v>
      </c>
      <c r="AT556">
        <f>[2]Indicators!BD438</f>
        <v>76.610600000000005</v>
      </c>
      <c r="AU556">
        <f>[2]Indicators!BE438</f>
        <v>97.909100000000009</v>
      </c>
      <c r="AV556">
        <f>[5]m!$O558</f>
        <v>76.489999999999995</v>
      </c>
    </row>
    <row r="557" spans="1:48" x14ac:dyDescent="0.25">
      <c r="A557" s="1">
        <v>35156</v>
      </c>
      <c r="B557" s="2">
        <f>[2]Indicators!G439</f>
        <v>5235.5879999999997</v>
      </c>
      <c r="C557" s="2">
        <f>[2]Indicators!H439</f>
        <v>679.50200000000007</v>
      </c>
      <c r="D557" s="2">
        <f>[2]Indicators!I439</f>
        <v>1237.5140000000001</v>
      </c>
      <c r="E557" s="2">
        <f>[2]Indicators!J439</f>
        <v>3318.5720000000001</v>
      </c>
      <c r="F557" s="2">
        <f>[2]Indicators!B439</f>
        <v>6265.5259999999998</v>
      </c>
      <c r="G557" s="2">
        <f>[2]Indicators!C439</f>
        <v>548.92200000000003</v>
      </c>
      <c r="H557" s="2">
        <f>[2]Indicators!D439</f>
        <v>1472.0930000000001</v>
      </c>
      <c r="I557" s="2">
        <f>[2]Indicators!E439</f>
        <v>4314.116</v>
      </c>
      <c r="J557" s="2">
        <f>[2]Indicators!L439</f>
        <v>195097</v>
      </c>
      <c r="K557" s="2">
        <f>[2]Indicators!M439</f>
        <v>137787</v>
      </c>
      <c r="L557" s="2">
        <f>[2]Indicators!N439</f>
        <v>15.453000000000001</v>
      </c>
      <c r="M557" s="2">
        <f>[2]Indicators!AB439</f>
        <v>73.894900000000007</v>
      </c>
      <c r="N557" s="2">
        <f>[8]m!$C559</f>
        <v>5.22</v>
      </c>
      <c r="O557">
        <f>[9]Unemployment!$B439</f>
        <v>5.6000000000000005</v>
      </c>
      <c r="P557" s="2">
        <f>[2]Surveys_m!$B439</f>
        <v>104.80000000000001</v>
      </c>
      <c r="Q557">
        <f>[5]m!$B559</f>
        <v>156.1</v>
      </c>
      <c r="R557">
        <f>[5]m!$D559</f>
        <v>164.6</v>
      </c>
      <c r="S557">
        <f>[5]m!$Q559</f>
        <v>127.4</v>
      </c>
      <c r="T557">
        <f>[6]m!B559</f>
        <v>72404</v>
      </c>
      <c r="U557" s="2">
        <f>[9]Unemployment!$F439</f>
        <v>17.600000000000001</v>
      </c>
      <c r="V557" s="2">
        <f>[9]Unemployment!$G439</f>
        <v>8.6</v>
      </c>
      <c r="W557">
        <f>[9]Unemployment!$E439</f>
        <v>7415</v>
      </c>
      <c r="X557">
        <f>[9]Unemployment!N439</f>
        <v>2530</v>
      </c>
      <c r="Y557">
        <f>[9]Unemployment!O439</f>
        <v>2358</v>
      </c>
      <c r="Z557">
        <f>[9]Unemployment!P439-[9]Unemployment!Q439</f>
        <v>1108</v>
      </c>
      <c r="AA557">
        <f>[9]Unemployment!$Q439</f>
        <v>1347</v>
      </c>
      <c r="AB557" s="2">
        <f>[8]m!$B559</f>
        <v>5.15</v>
      </c>
      <c r="AC557" s="2">
        <f>[8]m!$F559</f>
        <v>6.51</v>
      </c>
      <c r="AD557">
        <f>[9]Employment!$B439</f>
        <v>119046</v>
      </c>
      <c r="AE557" s="2">
        <f>[2]Indicators!$AB439</f>
        <v>73.894900000000007</v>
      </c>
      <c r="AF557" s="2">
        <f>[8]m!$AS559</f>
        <v>1180.9000000000001</v>
      </c>
      <c r="AG557" s="2">
        <f>[8]m!$H559</f>
        <v>7.5</v>
      </c>
      <c r="AH557" s="2">
        <f>[8]m!$I559</f>
        <v>8.19</v>
      </c>
      <c r="AI557" s="2">
        <f>[7]m!C558</f>
        <v>69797</v>
      </c>
      <c r="AJ557" s="2">
        <f>[7]m!D558</f>
        <v>77553</v>
      </c>
      <c r="AK557" s="2">
        <f>[2]Surveys_m!$AB439</f>
        <v>49.300000000000004</v>
      </c>
      <c r="AL557" s="4">
        <f t="shared" si="8"/>
        <v>4196.556092843327</v>
      </c>
      <c r="AM557">
        <f>[2]Indicators!$BB439</f>
        <v>150418</v>
      </c>
      <c r="AN557" s="2">
        <v>84.9</v>
      </c>
      <c r="AO557">
        <f>[9]Unemployment!H439</f>
        <v>403</v>
      </c>
      <c r="AP557">
        <f>[9]Unemployment!I439</f>
        <v>1113</v>
      </c>
      <c r="AQ557" s="3">
        <f>[9]LaborForce!$B438*[9]LaborForce!$C438/100</f>
        <v>133467.367</v>
      </c>
      <c r="AR557">
        <f>[9]Unemployment!$AC439</f>
        <v>393</v>
      </c>
      <c r="AS557">
        <f>[2]Indicators!BC439</f>
        <v>75.400000000000006</v>
      </c>
      <c r="AT557">
        <f>[2]Indicators!BD439</f>
        <v>77.218900000000005</v>
      </c>
      <c r="AU557">
        <f>[2]Indicators!BE439</f>
        <v>98.26100000000001</v>
      </c>
      <c r="AV557">
        <f>[5]m!$O559</f>
        <v>76.84</v>
      </c>
    </row>
    <row r="558" spans="1:48" x14ac:dyDescent="0.25">
      <c r="A558" s="1">
        <v>35186</v>
      </c>
      <c r="B558" s="2">
        <f>[2]Indicators!G440</f>
        <v>5251.88</v>
      </c>
      <c r="C558" s="2">
        <f>[2]Indicators!H440</f>
        <v>680.13800000000003</v>
      </c>
      <c r="D558" s="2">
        <f>[2]Indicators!I440</f>
        <v>1238.011</v>
      </c>
      <c r="E558" s="2">
        <f>[2]Indicators!J440</f>
        <v>3333.7310000000002</v>
      </c>
      <c r="F558" s="2">
        <f>[2]Indicators!B440</f>
        <v>6274.5870000000004</v>
      </c>
      <c r="G558" s="2">
        <f>[2]Indicators!C440</f>
        <v>551.83000000000004</v>
      </c>
      <c r="H558" s="2">
        <f>[2]Indicators!D440</f>
        <v>1471.373</v>
      </c>
      <c r="I558" s="2">
        <f>[2]Indicators!E440</f>
        <v>4320.1040000000003</v>
      </c>
      <c r="J558" s="2">
        <f>[2]Indicators!L440</f>
        <v>196547</v>
      </c>
      <c r="K558" s="2">
        <f>[2]Indicators!M440</f>
        <v>138554</v>
      </c>
      <c r="L558" s="2">
        <f>[2]Indicators!N440</f>
        <v>15.978</v>
      </c>
      <c r="M558" s="2">
        <f>[2]Indicators!AB440</f>
        <v>74.389899999999997</v>
      </c>
      <c r="N558" s="2">
        <f>[8]m!$C560</f>
        <v>5.24</v>
      </c>
      <c r="O558">
        <f>[9]Unemployment!$B440</f>
        <v>5.6000000000000005</v>
      </c>
      <c r="P558" s="2">
        <f>[2]Surveys_m!$B440</f>
        <v>103.5</v>
      </c>
      <c r="Q558">
        <f>[5]m!$B560</f>
        <v>156.4</v>
      </c>
      <c r="R558">
        <f>[5]m!$D560</f>
        <v>165</v>
      </c>
      <c r="S558">
        <f>[5]m!$Q560</f>
        <v>128.1</v>
      </c>
      <c r="T558">
        <f>[6]m!B560</f>
        <v>-53051</v>
      </c>
      <c r="U558" s="2">
        <f>[9]Unemployment!$F440</f>
        <v>17</v>
      </c>
      <c r="V558" s="2">
        <f>[9]Unemployment!$G440</f>
        <v>8.6</v>
      </c>
      <c r="W558">
        <f>[9]Unemployment!$E440</f>
        <v>7423</v>
      </c>
      <c r="X558">
        <f>[9]Unemployment!N440</f>
        <v>2765</v>
      </c>
      <c r="Y558">
        <f>[9]Unemployment!O440</f>
        <v>2349</v>
      </c>
      <c r="Z558">
        <f>[9]Unemployment!P440-[9]Unemployment!Q440</f>
        <v>1044</v>
      </c>
      <c r="AA558">
        <f>[9]Unemployment!$Q440</f>
        <v>1359</v>
      </c>
      <c r="AB558" s="2">
        <f>[8]m!$B560</f>
        <v>5.17</v>
      </c>
      <c r="AC558" s="2">
        <f>[8]m!$F560</f>
        <v>6.74</v>
      </c>
      <c r="AD558">
        <f>[9]Employment!$B440</f>
        <v>119369</v>
      </c>
      <c r="AE558" s="2">
        <f>[2]Indicators!$AB440</f>
        <v>74.389899999999997</v>
      </c>
      <c r="AF558" s="2">
        <f>[8]m!$AS560</f>
        <v>1191.1000000000001</v>
      </c>
      <c r="AG558" s="2">
        <f>[8]m!$H560</f>
        <v>7.62</v>
      </c>
      <c r="AH558" s="2">
        <f>[8]m!$I560</f>
        <v>8.3000000000000007</v>
      </c>
      <c r="AI558" s="2">
        <f>[7]m!C559</f>
        <v>70126</v>
      </c>
      <c r="AJ558" s="2">
        <f>[7]m!D559</f>
        <v>78870</v>
      </c>
      <c r="AK558" s="2">
        <f>[2]Surveys_m!$AB440</f>
        <v>49.1</v>
      </c>
      <c r="AL558" s="4">
        <f t="shared" si="8"/>
        <v>4053.2108317214697</v>
      </c>
      <c r="AM558">
        <f>[2]Indicators!$BB440</f>
        <v>156461</v>
      </c>
      <c r="AN558" s="2">
        <v>82</v>
      </c>
      <c r="AO558">
        <f>[9]Unemployment!H440</f>
        <v>352</v>
      </c>
      <c r="AP558">
        <f>[9]Unemployment!I440</f>
        <v>1123</v>
      </c>
      <c r="AQ558" s="3">
        <f>[9]LaborForce!$B439*[9]LaborForce!$C439/100</f>
        <v>133585.42600000001</v>
      </c>
      <c r="AR558">
        <f>[9]Unemployment!$AC440</f>
        <v>343</v>
      </c>
      <c r="AS558">
        <f>[2]Indicators!BC440</f>
        <v>75.900000000000006</v>
      </c>
      <c r="AT558">
        <f>[2]Indicators!BD440</f>
        <v>77.8078</v>
      </c>
      <c r="AU558">
        <f>[2]Indicators!BE440</f>
        <v>98.582599999999999</v>
      </c>
      <c r="AV558">
        <f>[5]m!$O560</f>
        <v>77.33</v>
      </c>
    </row>
    <row r="559" spans="1:48" x14ac:dyDescent="0.25">
      <c r="A559" s="1">
        <v>35217</v>
      </c>
      <c r="B559" s="2">
        <f>[2]Indicators!G441</f>
        <v>5258.8789999999999</v>
      </c>
      <c r="C559" s="2">
        <f>[2]Indicators!H441</f>
        <v>669.38900000000001</v>
      </c>
      <c r="D559" s="2">
        <f>[2]Indicators!I441</f>
        <v>1243.096</v>
      </c>
      <c r="E559" s="2">
        <f>[2]Indicators!J441</f>
        <v>3346.3940000000002</v>
      </c>
      <c r="F559" s="2">
        <f>[2]Indicators!B441</f>
        <v>6282.509</v>
      </c>
      <c r="G559" s="2">
        <f>[2]Indicators!C441</f>
        <v>543.68399999999997</v>
      </c>
      <c r="H559" s="2">
        <f>[2]Indicators!D441</f>
        <v>1483.415</v>
      </c>
      <c r="I559" s="2">
        <f>[2]Indicators!E441</f>
        <v>4328.5889999999999</v>
      </c>
      <c r="J559" s="2">
        <f>[2]Indicators!L441</f>
        <v>196697</v>
      </c>
      <c r="K559" s="2">
        <f>[2]Indicators!M441</f>
        <v>138278</v>
      </c>
      <c r="L559" s="2">
        <f>[2]Indicators!N441</f>
        <v>15.241</v>
      </c>
      <c r="M559" s="2">
        <f>[2]Indicators!AB441</f>
        <v>75.059899999999999</v>
      </c>
      <c r="N559" s="2">
        <f>[8]m!$C561</f>
        <v>5.2700000000000005</v>
      </c>
      <c r="O559">
        <f>[9]Unemployment!$B441</f>
        <v>5.3000000000000007</v>
      </c>
      <c r="P559" s="2">
        <f>[2]Surveys_m!$B441</f>
        <v>100.10000000000001</v>
      </c>
      <c r="Q559">
        <f>[5]m!$B561</f>
        <v>156.70000000000002</v>
      </c>
      <c r="R559">
        <f>[5]m!$D561</f>
        <v>165.4</v>
      </c>
      <c r="S559">
        <f>[5]m!$Q561</f>
        <v>128</v>
      </c>
      <c r="T559">
        <f>[6]m!B561</f>
        <v>34340</v>
      </c>
      <c r="U559" s="2">
        <f>[9]Unemployment!$F441</f>
        <v>17.600000000000001</v>
      </c>
      <c r="V559" s="2">
        <f>[9]Unemployment!$G441</f>
        <v>8.3000000000000007</v>
      </c>
      <c r="W559">
        <f>[9]Unemployment!$E441</f>
        <v>7095</v>
      </c>
      <c r="X559">
        <f>[9]Unemployment!N441</f>
        <v>2552</v>
      </c>
      <c r="Y559">
        <f>[9]Unemployment!O441</f>
        <v>2162</v>
      </c>
      <c r="Z559">
        <f>[9]Unemployment!P441-[9]Unemployment!Q441</f>
        <v>985</v>
      </c>
      <c r="AA559">
        <f>[9]Unemployment!$Q441</f>
        <v>1370</v>
      </c>
      <c r="AB559" s="2">
        <f>[8]m!$B561</f>
        <v>5.16</v>
      </c>
      <c r="AC559" s="2">
        <f>[8]m!$F561</f>
        <v>6.91</v>
      </c>
      <c r="AD559">
        <f>[9]Employment!$B441</f>
        <v>119647</v>
      </c>
      <c r="AE559" s="2">
        <f>[2]Indicators!$AB441</f>
        <v>75.059899999999999</v>
      </c>
      <c r="AF559" s="2">
        <f>[8]m!$AS561</f>
        <v>1201</v>
      </c>
      <c r="AG559" s="2">
        <f>[8]m!$H561</f>
        <v>7.71</v>
      </c>
      <c r="AH559" s="2">
        <f>[8]m!$I561</f>
        <v>8.4</v>
      </c>
      <c r="AI559" s="2">
        <f>[7]m!C560</f>
        <v>71029</v>
      </c>
      <c r="AJ559" s="2">
        <f>[7]m!D560</f>
        <v>80288</v>
      </c>
      <c r="AK559" s="2">
        <f>[2]Surveys_m!$AB441</f>
        <v>53.6</v>
      </c>
      <c r="AL559" s="4">
        <f t="shared" si="8"/>
        <v>4428.874274661508</v>
      </c>
      <c r="AM559">
        <f>[2]Indicators!$BB441</f>
        <v>156926</v>
      </c>
      <c r="AN559" s="2">
        <v>89.6</v>
      </c>
      <c r="AO559">
        <f>[9]Unemployment!H441</f>
        <v>414</v>
      </c>
      <c r="AP559">
        <f>[9]Unemployment!I441</f>
        <v>1270</v>
      </c>
      <c r="AQ559" s="3">
        <f>[9]LaborForce!$B440*[9]LaborForce!$C440/100</f>
        <v>133706.15300000002</v>
      </c>
      <c r="AR559">
        <f>[9]Unemployment!$AC441</f>
        <v>340</v>
      </c>
      <c r="AS559">
        <f>[2]Indicators!BC441</f>
        <v>76.5</v>
      </c>
      <c r="AT559">
        <f>[2]Indicators!BD441</f>
        <v>78.347300000000004</v>
      </c>
      <c r="AU559">
        <f>[2]Indicators!BE441</f>
        <v>98.836600000000004</v>
      </c>
      <c r="AV559">
        <f>[5]m!$O561</f>
        <v>77.78</v>
      </c>
    </row>
    <row r="560" spans="1:48" x14ac:dyDescent="0.25">
      <c r="A560" s="1">
        <v>35247</v>
      </c>
      <c r="B560" s="2">
        <f>[2]Indicators!G442</f>
        <v>5281.3689999999997</v>
      </c>
      <c r="C560" s="2">
        <f>[2]Indicators!H442</f>
        <v>672.85599999999999</v>
      </c>
      <c r="D560" s="2">
        <f>[2]Indicators!I442</f>
        <v>1244.3330000000001</v>
      </c>
      <c r="E560" s="2">
        <f>[2]Indicators!J442</f>
        <v>3364.1790000000001</v>
      </c>
      <c r="F560" s="2">
        <f>[2]Indicators!B442</f>
        <v>6294.7780000000002</v>
      </c>
      <c r="G560" s="2">
        <f>[2]Indicators!C442</f>
        <v>546.53700000000003</v>
      </c>
      <c r="H560" s="2">
        <f>[2]Indicators!D442</f>
        <v>1483.623</v>
      </c>
      <c r="I560" s="2">
        <f>[2]Indicators!E442</f>
        <v>4337.0720000000001</v>
      </c>
      <c r="J560" s="2">
        <f>[2]Indicators!L442</f>
        <v>196599</v>
      </c>
      <c r="K560" s="2">
        <f>[2]Indicators!M442</f>
        <v>138087</v>
      </c>
      <c r="L560" s="2">
        <f>[2]Indicators!N442</f>
        <v>15.063000000000001</v>
      </c>
      <c r="M560" s="2">
        <f>[2]Indicators!AB442</f>
        <v>74.970399999999998</v>
      </c>
      <c r="N560" s="2">
        <f>[8]m!$C562</f>
        <v>5.4</v>
      </c>
      <c r="O560">
        <f>[9]Unemployment!$B442</f>
        <v>5.5</v>
      </c>
      <c r="P560" s="2">
        <f>[2]Surveys_m!$B442</f>
        <v>107</v>
      </c>
      <c r="Q560">
        <f>[5]m!$B562</f>
        <v>157</v>
      </c>
      <c r="R560">
        <f>[5]m!$D562</f>
        <v>165.70000000000002</v>
      </c>
      <c r="S560">
        <f>[5]m!$Q562</f>
        <v>128</v>
      </c>
      <c r="T560">
        <f>[6]m!B562</f>
        <v>-26856</v>
      </c>
      <c r="U560" s="2">
        <f>[9]Unemployment!$F442</f>
        <v>16.7</v>
      </c>
      <c r="V560" s="2">
        <f>[9]Unemployment!$G442</f>
        <v>8.3000000000000007</v>
      </c>
      <c r="W560">
        <f>[9]Unemployment!$E442</f>
        <v>7337</v>
      </c>
      <c r="X560">
        <f>[9]Unemployment!N442</f>
        <v>2672</v>
      </c>
      <c r="Y560">
        <f>[9]Unemployment!O442</f>
        <v>2332</v>
      </c>
      <c r="Z560">
        <f>[9]Unemployment!P442-[9]Unemployment!Q442</f>
        <v>961</v>
      </c>
      <c r="AA560">
        <f>[9]Unemployment!$Q442</f>
        <v>1336</v>
      </c>
      <c r="AB560" s="2">
        <f>[8]m!$B562</f>
        <v>5.32</v>
      </c>
      <c r="AC560" s="2">
        <f>[8]m!$F562</f>
        <v>6.87</v>
      </c>
      <c r="AD560">
        <f>[9]Employment!$B442</f>
        <v>119879</v>
      </c>
      <c r="AE560" s="2">
        <f>[2]Indicators!$AB442</f>
        <v>74.970399999999998</v>
      </c>
      <c r="AF560" s="2">
        <f>[8]m!$AS562</f>
        <v>1211.9000000000001</v>
      </c>
      <c r="AG560" s="2">
        <f>[8]m!$H562</f>
        <v>7.65</v>
      </c>
      <c r="AH560" s="2">
        <f>[8]m!$I562</f>
        <v>8.35</v>
      </c>
      <c r="AI560" s="2">
        <f>[7]m!C561</f>
        <v>71056</v>
      </c>
      <c r="AJ560" s="2">
        <f>[7]m!D561</f>
        <v>78516</v>
      </c>
      <c r="AK560" s="2">
        <f>[2]Surveys_m!$AB442</f>
        <v>49.7</v>
      </c>
      <c r="AL560" s="4">
        <f t="shared" si="8"/>
        <v>4181.7272727272721</v>
      </c>
      <c r="AM560">
        <f>[2]Indicators!$BB442</f>
        <v>157627</v>
      </c>
      <c r="AN560" s="2">
        <v>84.6</v>
      </c>
      <c r="AO560">
        <f>[9]Unemployment!H442</f>
        <v>423</v>
      </c>
      <c r="AP560">
        <f>[9]Unemployment!I442</f>
        <v>1068</v>
      </c>
      <c r="AQ560" s="3">
        <f>[9]LaborForce!$B441*[9]LaborForce!$C441/100</f>
        <v>134228.829</v>
      </c>
      <c r="AR560">
        <f>[9]Unemployment!$AC442</f>
        <v>337</v>
      </c>
      <c r="AS560">
        <f>[2]Indicators!BC442</f>
        <v>76.600000000000009</v>
      </c>
      <c r="AT560">
        <f>[2]Indicators!BD442</f>
        <v>78.821399999999997</v>
      </c>
      <c r="AU560">
        <f>[2]Indicators!BE442</f>
        <v>99.004000000000005</v>
      </c>
      <c r="AV560">
        <f>[5]m!$O562</f>
        <v>78.100000000000009</v>
      </c>
    </row>
    <row r="561" spans="1:48" x14ac:dyDescent="0.25">
      <c r="A561" s="1">
        <v>35278</v>
      </c>
      <c r="B561" s="2">
        <f>[2]Indicators!G443</f>
        <v>5305.06</v>
      </c>
      <c r="C561" s="2">
        <f>[2]Indicators!H443</f>
        <v>681.61</v>
      </c>
      <c r="D561" s="2">
        <f>[2]Indicators!I443</f>
        <v>1246.2270000000001</v>
      </c>
      <c r="E561" s="2">
        <f>[2]Indicators!J443</f>
        <v>3377.223</v>
      </c>
      <c r="F561" s="2">
        <f>[2]Indicators!B443</f>
        <v>6316.1019999999999</v>
      </c>
      <c r="G561" s="2">
        <f>[2]Indicators!C443</f>
        <v>553.82900000000006</v>
      </c>
      <c r="H561" s="2">
        <f>[2]Indicators!D443</f>
        <v>1488.444</v>
      </c>
      <c r="I561" s="2">
        <f>[2]Indicators!E443</f>
        <v>4343.3509999999997</v>
      </c>
      <c r="J561" s="2">
        <f>[2]Indicators!L443</f>
        <v>196667</v>
      </c>
      <c r="K561" s="2">
        <f>[2]Indicators!M443</f>
        <v>137951</v>
      </c>
      <c r="L561" s="2">
        <f>[2]Indicators!N443</f>
        <v>15.472</v>
      </c>
      <c r="M561" s="2">
        <f>[2]Indicators!AB443</f>
        <v>75.451900000000009</v>
      </c>
      <c r="N561" s="2">
        <f>[8]m!$C563</f>
        <v>5.22</v>
      </c>
      <c r="O561">
        <f>[9]Unemployment!$B443</f>
        <v>5.1000000000000005</v>
      </c>
      <c r="P561" s="2">
        <f>[2]Surveys_m!$B443</f>
        <v>112</v>
      </c>
      <c r="Q561">
        <f>[5]m!$B563</f>
        <v>157.20000000000002</v>
      </c>
      <c r="R561">
        <f>[5]m!$D563</f>
        <v>166</v>
      </c>
      <c r="S561">
        <f>[5]m!$Q563</f>
        <v>128.30000000000001</v>
      </c>
      <c r="T561">
        <f>[6]m!B563</f>
        <v>-41831</v>
      </c>
      <c r="U561" s="2">
        <f>[9]Unemployment!$F443</f>
        <v>17.3</v>
      </c>
      <c r="V561" s="2">
        <f>[9]Unemployment!$G443</f>
        <v>8.4</v>
      </c>
      <c r="W561">
        <f>[9]Unemployment!$E443</f>
        <v>6882</v>
      </c>
      <c r="X561">
        <f>[9]Unemployment!N443</f>
        <v>2496</v>
      </c>
      <c r="Y561">
        <f>[9]Unemployment!O443</f>
        <v>2187</v>
      </c>
      <c r="Z561">
        <f>[9]Unemployment!P443-[9]Unemployment!Q443</f>
        <v>1002</v>
      </c>
      <c r="AA561">
        <f>[9]Unemployment!$Q443</f>
        <v>1265</v>
      </c>
      <c r="AB561" s="2">
        <f>[8]m!$B563</f>
        <v>5.29</v>
      </c>
      <c r="AC561" s="2">
        <f>[8]m!$F563</f>
        <v>6.6400000000000006</v>
      </c>
      <c r="AD561">
        <f>[9]Employment!$B443</f>
        <v>120075</v>
      </c>
      <c r="AE561" s="2">
        <f>[2]Indicators!$AB443</f>
        <v>75.451900000000009</v>
      </c>
      <c r="AF561" s="2">
        <f>[8]m!$AS563</f>
        <v>1220.5</v>
      </c>
      <c r="AG561" s="2">
        <f>[8]m!$H563</f>
        <v>7.46</v>
      </c>
      <c r="AH561" s="2">
        <f>[8]m!$I563</f>
        <v>8.18</v>
      </c>
      <c r="AI561" s="2">
        <f>[7]m!C562</f>
        <v>69404</v>
      </c>
      <c r="AJ561" s="2">
        <f>[7]m!D562</f>
        <v>79536</v>
      </c>
      <c r="AK561" s="2">
        <f>[2]Surveys_m!$AB443</f>
        <v>51.6</v>
      </c>
      <c r="AL561" s="4">
        <f t="shared" si="8"/>
        <v>4191.6131528046417</v>
      </c>
      <c r="AM561">
        <f>[2]Indicators!$BB443</f>
        <v>151873</v>
      </c>
      <c r="AN561" s="2">
        <v>84.8</v>
      </c>
      <c r="AO561">
        <f>[9]Unemployment!H443</f>
        <v>415</v>
      </c>
      <c r="AP561">
        <f>[9]Unemployment!I443</f>
        <v>1021</v>
      </c>
      <c r="AQ561" s="3">
        <f>[9]LaborForce!$B442*[9]LaborForce!$C442/100</f>
        <v>133964.94899999999</v>
      </c>
      <c r="AR561">
        <f>[9]Unemployment!$AC443</f>
        <v>327</v>
      </c>
      <c r="AS561">
        <f>[2]Indicators!BC443</f>
        <v>76.7</v>
      </c>
      <c r="AT561">
        <f>[2]Indicators!BD443</f>
        <v>79.263800000000003</v>
      </c>
      <c r="AU561">
        <f>[2]Indicators!BE443</f>
        <v>99.128399999999999</v>
      </c>
      <c r="AV561">
        <f>[5]m!$O563</f>
        <v>78.36</v>
      </c>
    </row>
    <row r="562" spans="1:48" x14ac:dyDescent="0.25">
      <c r="A562" s="1">
        <v>35309</v>
      </c>
      <c r="B562" s="2">
        <f>[2]Indicators!G444</f>
        <v>5326.7939999999999</v>
      </c>
      <c r="C562" s="2">
        <f>[2]Indicators!H444</f>
        <v>683.61900000000003</v>
      </c>
      <c r="D562" s="2">
        <f>[2]Indicators!I444</f>
        <v>1248.954</v>
      </c>
      <c r="E562" s="2">
        <f>[2]Indicators!J444</f>
        <v>3394.221</v>
      </c>
      <c r="F562" s="2">
        <f>[2]Indicators!B444</f>
        <v>6324.4290000000001</v>
      </c>
      <c r="G562" s="2">
        <f>[2]Indicators!C444</f>
        <v>555.71100000000001</v>
      </c>
      <c r="H562" s="2">
        <f>[2]Indicators!D444</f>
        <v>1486.308</v>
      </c>
      <c r="I562" s="2">
        <f>[2]Indicators!E444</f>
        <v>4351.6760000000004</v>
      </c>
      <c r="J562" s="2">
        <f>[2]Indicators!L444</f>
        <v>199369</v>
      </c>
      <c r="K562" s="2">
        <f>[2]Indicators!M444</f>
        <v>139392</v>
      </c>
      <c r="L562" s="2">
        <f>[2]Indicators!N444</f>
        <v>15.518000000000001</v>
      </c>
      <c r="M562" s="2">
        <f>[2]Indicators!AB444</f>
        <v>75.854900000000001</v>
      </c>
      <c r="N562" s="2">
        <f>[8]m!$C564</f>
        <v>5.3</v>
      </c>
      <c r="O562">
        <f>[9]Unemployment!$B444</f>
        <v>5.2</v>
      </c>
      <c r="P562" s="2">
        <f>[2]Surveys_m!$B444</f>
        <v>111.80000000000001</v>
      </c>
      <c r="Q562">
        <f>[5]m!$B564</f>
        <v>157.70000000000002</v>
      </c>
      <c r="R562">
        <f>[5]m!$D564</f>
        <v>166.5</v>
      </c>
      <c r="S562">
        <f>[5]m!$Q564</f>
        <v>128.20000000000002</v>
      </c>
      <c r="T562">
        <f>[6]m!B564</f>
        <v>35257</v>
      </c>
      <c r="U562" s="2">
        <f>[9]Unemployment!$F444</f>
        <v>16.8</v>
      </c>
      <c r="V562" s="2">
        <f>[9]Unemployment!$G444</f>
        <v>8.5</v>
      </c>
      <c r="W562">
        <f>[9]Unemployment!$E444</f>
        <v>6979</v>
      </c>
      <c r="X562">
        <f>[9]Unemployment!N444</f>
        <v>2525</v>
      </c>
      <c r="Y562">
        <f>[9]Unemployment!O444</f>
        <v>2214</v>
      </c>
      <c r="Z562">
        <f>[9]Unemployment!P444-[9]Unemployment!Q444</f>
        <v>1006</v>
      </c>
      <c r="AA562">
        <f>[9]Unemployment!$Q444</f>
        <v>1214</v>
      </c>
      <c r="AB562" s="2">
        <f>[8]m!$B564</f>
        <v>5.04</v>
      </c>
      <c r="AC562" s="2">
        <f>[8]m!$F564</f>
        <v>6.83</v>
      </c>
      <c r="AD562">
        <f>[9]Employment!$B444</f>
        <v>120295</v>
      </c>
      <c r="AE562" s="2">
        <f>[2]Indicators!$AB444</f>
        <v>75.854900000000001</v>
      </c>
      <c r="AF562" s="2">
        <f>[8]m!$AS564</f>
        <v>1225.3</v>
      </c>
      <c r="AG562" s="2">
        <f>[8]m!$H564</f>
        <v>7.66</v>
      </c>
      <c r="AH562" s="2">
        <f>[8]m!$I564</f>
        <v>8.35</v>
      </c>
      <c r="AI562" s="2">
        <f>[7]m!C563</f>
        <v>70563</v>
      </c>
      <c r="AJ562" s="2">
        <f>[7]m!D563</f>
        <v>80919</v>
      </c>
      <c r="AK562" s="2">
        <f>[2]Surveys_m!$AB444</f>
        <v>51.1</v>
      </c>
      <c r="AL562" s="4">
        <f t="shared" si="8"/>
        <v>4414.045454545454</v>
      </c>
      <c r="AM562">
        <f>[2]Indicators!$BB444</f>
        <v>159414</v>
      </c>
      <c r="AN562" s="2">
        <v>89.3</v>
      </c>
      <c r="AO562">
        <f>[9]Unemployment!H444</f>
        <v>391</v>
      </c>
      <c r="AP562">
        <f>[9]Unemployment!I444</f>
        <v>1127</v>
      </c>
      <c r="AQ562" s="3">
        <f>[9]LaborForce!$B443*[9]LaborForce!$C443/100</f>
        <v>134509.14000000001</v>
      </c>
      <c r="AR562">
        <f>[9]Unemployment!$AC444</f>
        <v>329</v>
      </c>
      <c r="AS562">
        <f>[2]Indicators!BC444</f>
        <v>77</v>
      </c>
      <c r="AT562">
        <f>[2]Indicators!BD444</f>
        <v>79.693399999999997</v>
      </c>
      <c r="AU562">
        <f>[2]Indicators!BE444</f>
        <v>99.234200000000001</v>
      </c>
      <c r="AV562">
        <f>[5]m!$O564</f>
        <v>78.37</v>
      </c>
    </row>
    <row r="563" spans="1:48" x14ac:dyDescent="0.25">
      <c r="A563" s="1">
        <v>35339</v>
      </c>
      <c r="B563" s="2">
        <f>[2]Indicators!G445</f>
        <v>5359.1810000000005</v>
      </c>
      <c r="C563" s="2">
        <f>[2]Indicators!H445</f>
        <v>688.81799999999998</v>
      </c>
      <c r="D563" s="2">
        <f>[2]Indicators!I445</f>
        <v>1263.1690000000001</v>
      </c>
      <c r="E563" s="2">
        <f>[2]Indicators!J445</f>
        <v>3407.1950000000002</v>
      </c>
      <c r="F563" s="2">
        <f>[2]Indicators!B445</f>
        <v>6344.1949999999997</v>
      </c>
      <c r="G563" s="2">
        <f>[2]Indicators!C445</f>
        <v>560.09</v>
      </c>
      <c r="H563" s="2">
        <f>[2]Indicators!D445</f>
        <v>1497.1020000000001</v>
      </c>
      <c r="I563" s="2">
        <f>[2]Indicators!E445</f>
        <v>4354.5169999999998</v>
      </c>
      <c r="J563" s="2">
        <f>[2]Indicators!L445</f>
        <v>200835</v>
      </c>
      <c r="K563" s="2">
        <f>[2]Indicators!M445</f>
        <v>139976</v>
      </c>
      <c r="L563" s="2">
        <f>[2]Indicators!N445</f>
        <v>15.296000000000001</v>
      </c>
      <c r="M563" s="2">
        <f>[2]Indicators!AB445</f>
        <v>75.842500000000001</v>
      </c>
      <c r="N563" s="2">
        <f>[8]m!$C565</f>
        <v>5.24</v>
      </c>
      <c r="O563">
        <f>[9]Unemployment!$B445</f>
        <v>5.2</v>
      </c>
      <c r="P563" s="2">
        <f>[2]Surveys_m!$B445</f>
        <v>107.30000000000001</v>
      </c>
      <c r="Q563">
        <f>[5]m!$B565</f>
        <v>158.20000000000002</v>
      </c>
      <c r="R563">
        <f>[5]m!$D565</f>
        <v>166.8</v>
      </c>
      <c r="S563">
        <f>[5]m!$Q565</f>
        <v>128</v>
      </c>
      <c r="T563">
        <f>[6]m!B565</f>
        <v>-39805</v>
      </c>
      <c r="U563" s="2">
        <f>[9]Unemployment!$F445</f>
        <v>16.3</v>
      </c>
      <c r="V563" s="2">
        <f>[9]Unemployment!$G445</f>
        <v>8.3000000000000007</v>
      </c>
      <c r="W563">
        <f>[9]Unemployment!$E445</f>
        <v>7031</v>
      </c>
      <c r="X563">
        <f>[9]Unemployment!N445</f>
        <v>2477</v>
      </c>
      <c r="Y563">
        <f>[9]Unemployment!O445</f>
        <v>2334</v>
      </c>
      <c r="Z563">
        <f>[9]Unemployment!P445-[9]Unemployment!Q445</f>
        <v>1084</v>
      </c>
      <c r="AA563">
        <f>[9]Unemployment!$Q445</f>
        <v>1184</v>
      </c>
      <c r="AB563" s="2">
        <f>[8]m!$B565</f>
        <v>5.15</v>
      </c>
      <c r="AC563" s="2">
        <f>[8]m!$F565</f>
        <v>6.53</v>
      </c>
      <c r="AD563">
        <f>[9]Employment!$B445</f>
        <v>120538</v>
      </c>
      <c r="AE563" s="2">
        <f>[2]Indicators!$AB445</f>
        <v>75.842500000000001</v>
      </c>
      <c r="AF563" s="2">
        <f>[8]m!$AS565</f>
        <v>1231.3000000000002</v>
      </c>
      <c r="AG563" s="2">
        <f>[8]m!$H565</f>
        <v>7.3900000000000006</v>
      </c>
      <c r="AH563" s="2">
        <f>[8]m!$I565</f>
        <v>8.07</v>
      </c>
      <c r="AI563" s="2">
        <f>[7]m!C564</f>
        <v>70553</v>
      </c>
      <c r="AJ563" s="2">
        <f>[7]m!D564</f>
        <v>80748</v>
      </c>
      <c r="AK563" s="2">
        <f>[2]Surveys_m!$AB445</f>
        <v>50.5</v>
      </c>
      <c r="AL563" s="4">
        <f t="shared" si="8"/>
        <v>4216.3278529980653</v>
      </c>
      <c r="AM563">
        <f>[2]Indicators!$BB445</f>
        <v>158332</v>
      </c>
      <c r="AN563" s="2">
        <v>85.3</v>
      </c>
      <c r="AO563">
        <f>[9]Unemployment!H445</f>
        <v>374</v>
      </c>
      <c r="AP563">
        <f>[9]Unemployment!I445</f>
        <v>1073</v>
      </c>
      <c r="AQ563" s="3">
        <f>[9]LaborForce!$B444*[9]LaborForce!$C444/100</f>
        <v>134852.91</v>
      </c>
      <c r="AR563">
        <f>[9]Unemployment!$AC445</f>
        <v>348</v>
      </c>
      <c r="AS563">
        <f>[2]Indicators!BC445</f>
        <v>77.100000000000009</v>
      </c>
      <c r="AT563">
        <f>[2]Indicators!BD445</f>
        <v>80.124700000000004</v>
      </c>
      <c r="AU563">
        <f>[2]Indicators!BE445</f>
        <v>99.339600000000004</v>
      </c>
      <c r="AV563">
        <f>[5]m!$O565</f>
        <v>78.36</v>
      </c>
    </row>
    <row r="564" spans="1:48" x14ac:dyDescent="0.25">
      <c r="A564" s="1">
        <v>35370</v>
      </c>
      <c r="B564" s="2">
        <f>[2]Indicators!G446</f>
        <v>5383.6239999999998</v>
      </c>
      <c r="C564" s="2">
        <f>[2]Indicators!H446</f>
        <v>692.20100000000002</v>
      </c>
      <c r="D564" s="2">
        <f>[2]Indicators!I446</f>
        <v>1266.4850000000001</v>
      </c>
      <c r="E564" s="2">
        <f>[2]Indicators!J446</f>
        <v>3424.9380000000001</v>
      </c>
      <c r="F564" s="2">
        <f>[2]Indicators!B446</f>
        <v>6360.8060000000005</v>
      </c>
      <c r="G564" s="2">
        <f>[2]Indicators!C446</f>
        <v>564.52</v>
      </c>
      <c r="H564" s="2">
        <f>[2]Indicators!D446</f>
        <v>1496.018</v>
      </c>
      <c r="I564" s="2">
        <f>[2]Indicators!E446</f>
        <v>4366.6729999999998</v>
      </c>
      <c r="J564" s="2">
        <f>[2]Indicators!L446</f>
        <v>200519</v>
      </c>
      <c r="K564" s="2">
        <f>[2]Indicators!M446</f>
        <v>139471</v>
      </c>
      <c r="L564" s="2">
        <f>[2]Indicators!N446</f>
        <v>15.704000000000001</v>
      </c>
      <c r="M564" s="2">
        <f>[2]Indicators!AB446</f>
        <v>76.47</v>
      </c>
      <c r="N564" s="2">
        <f>[8]m!$C566</f>
        <v>5.3100000000000005</v>
      </c>
      <c r="O564">
        <f>[9]Unemployment!$B446</f>
        <v>5.4</v>
      </c>
      <c r="P564" s="2">
        <f>[2]Surveys_m!$B446</f>
        <v>109.5</v>
      </c>
      <c r="Q564">
        <f>[5]m!$B566</f>
        <v>158.70000000000002</v>
      </c>
      <c r="R564">
        <f>[5]m!$D566</f>
        <v>167.20000000000002</v>
      </c>
      <c r="S564">
        <f>[5]m!$Q566</f>
        <v>128.20000000000002</v>
      </c>
      <c r="T564">
        <f>[6]m!B566</f>
        <v>-37878</v>
      </c>
      <c r="U564" s="2">
        <f>[9]Unemployment!$F446</f>
        <v>15.9</v>
      </c>
      <c r="V564" s="2">
        <f>[9]Unemployment!$G446</f>
        <v>7.7</v>
      </c>
      <c r="W564">
        <f>[9]Unemployment!$E446</f>
        <v>7236</v>
      </c>
      <c r="X564">
        <f>[9]Unemployment!N446</f>
        <v>2920</v>
      </c>
      <c r="Y564">
        <f>[9]Unemployment!O446</f>
        <v>2207</v>
      </c>
      <c r="Z564">
        <f>[9]Unemployment!P446-[9]Unemployment!Q446</f>
        <v>1013</v>
      </c>
      <c r="AA564">
        <f>[9]Unemployment!$Q446</f>
        <v>1146</v>
      </c>
      <c r="AB564" s="2">
        <f>[8]m!$B566</f>
        <v>5.13</v>
      </c>
      <c r="AC564" s="2">
        <f>[8]m!$F566</f>
        <v>6.2</v>
      </c>
      <c r="AD564">
        <f>[9]Employment!$B446</f>
        <v>120834</v>
      </c>
      <c r="AE564" s="2">
        <f>[2]Indicators!$AB446</f>
        <v>76.47</v>
      </c>
      <c r="AF564" s="2">
        <f>[8]m!$AS566</f>
        <v>1242.4000000000001</v>
      </c>
      <c r="AG564" s="2">
        <f>[8]m!$H566</f>
        <v>7.1000000000000005</v>
      </c>
      <c r="AH564" s="2">
        <f>[8]m!$I566</f>
        <v>7.79</v>
      </c>
      <c r="AI564" s="2">
        <f>[7]m!C565</f>
        <v>73769</v>
      </c>
      <c r="AJ564" s="2">
        <f>[7]m!D565</f>
        <v>80404</v>
      </c>
      <c r="AK564" s="2">
        <f>[2]Surveys_m!$AB446</f>
        <v>53</v>
      </c>
      <c r="AL564" s="4">
        <f t="shared" si="8"/>
        <v>4542.5618955512573</v>
      </c>
      <c r="AM564">
        <f>[2]Indicators!$BB446</f>
        <v>156985</v>
      </c>
      <c r="AN564" s="2">
        <v>91.9</v>
      </c>
      <c r="AO564">
        <f>[9]Unemployment!H446</f>
        <v>346</v>
      </c>
      <c r="AP564">
        <f>[9]Unemployment!I446</f>
        <v>1157</v>
      </c>
      <c r="AQ564" s="3">
        <f>[9]LaborForce!$B445*[9]LaborForce!$C445/100</f>
        <v>134980.21</v>
      </c>
      <c r="AR564">
        <f>[9]Unemployment!$AC446</f>
        <v>334</v>
      </c>
      <c r="AS564">
        <f>[2]Indicators!BC446</f>
        <v>77.600000000000009</v>
      </c>
      <c r="AT564">
        <f>[2]Indicators!BD446</f>
        <v>80.5822</v>
      </c>
      <c r="AU564">
        <f>[2]Indicators!BE446</f>
        <v>99.475500000000011</v>
      </c>
      <c r="AV564">
        <f>[5]m!$O566</f>
        <v>78.23</v>
      </c>
    </row>
    <row r="565" spans="1:48" x14ac:dyDescent="0.25">
      <c r="A565" s="1">
        <v>35400</v>
      </c>
      <c r="B565" s="2">
        <f>[2]Indicators!G447</f>
        <v>5411.2579999999998</v>
      </c>
      <c r="C565" s="2">
        <f>[2]Indicators!H447</f>
        <v>687.89700000000005</v>
      </c>
      <c r="D565" s="2">
        <f>[2]Indicators!I447</f>
        <v>1275.2</v>
      </c>
      <c r="E565" s="2">
        <f>[2]Indicators!J447</f>
        <v>3448.1610000000001</v>
      </c>
      <c r="F565" s="2">
        <f>[2]Indicators!B447</f>
        <v>6384.5119999999997</v>
      </c>
      <c r="G565" s="2">
        <f>[2]Indicators!C447</f>
        <v>563.81000000000006</v>
      </c>
      <c r="H565" s="2">
        <f>[2]Indicators!D447</f>
        <v>1501.3600000000001</v>
      </c>
      <c r="I565" s="2">
        <f>[2]Indicators!E447</f>
        <v>4387.5590000000002</v>
      </c>
      <c r="J565" s="2">
        <f>[2]Indicators!L447</f>
        <v>201474</v>
      </c>
      <c r="K565" s="2">
        <f>[2]Indicators!M447</f>
        <v>139695</v>
      </c>
      <c r="L565" s="2">
        <f>[2]Indicators!N447</f>
        <v>15.159000000000001</v>
      </c>
      <c r="M565" s="2">
        <f>[2]Indicators!AB447</f>
        <v>76.9589</v>
      </c>
      <c r="N565" s="2">
        <f>[8]m!$C567</f>
        <v>5.29</v>
      </c>
      <c r="O565">
        <f>[9]Unemployment!$B447</f>
        <v>5.4</v>
      </c>
      <c r="P565" s="2">
        <f>[2]Surveys_m!$B447</f>
        <v>114.2</v>
      </c>
      <c r="Q565">
        <f>[5]m!$B567</f>
        <v>159.1</v>
      </c>
      <c r="R565">
        <f>[5]m!$D567</f>
        <v>167.4</v>
      </c>
      <c r="S565">
        <f>[5]m!$Q567</f>
        <v>129.1</v>
      </c>
      <c r="T565">
        <f>[6]m!B567</f>
        <v>18490</v>
      </c>
      <c r="U565" s="2">
        <f>[9]Unemployment!$F447</f>
        <v>15.600000000000001</v>
      </c>
      <c r="V565" s="2">
        <f>[9]Unemployment!$G447</f>
        <v>7.8000000000000007</v>
      </c>
      <c r="W565">
        <f>[9]Unemployment!$E447</f>
        <v>7253</v>
      </c>
      <c r="X565">
        <f>[9]Unemployment!N447</f>
        <v>2621</v>
      </c>
      <c r="Y565">
        <f>[9]Unemployment!O447</f>
        <v>2417</v>
      </c>
      <c r="Z565">
        <f>[9]Unemployment!P447-[9]Unemployment!Q447</f>
        <v>970</v>
      </c>
      <c r="AA565">
        <f>[9]Unemployment!$Q447</f>
        <v>1154</v>
      </c>
      <c r="AB565" s="2">
        <f>[8]m!$B567</f>
        <v>5.15</v>
      </c>
      <c r="AC565" s="2">
        <f>[8]m!$F567</f>
        <v>6.3</v>
      </c>
      <c r="AD565">
        <f>[9]Employment!$B447</f>
        <v>121001</v>
      </c>
      <c r="AE565" s="2">
        <f>[2]Indicators!$AB447</f>
        <v>76.9589</v>
      </c>
      <c r="AF565" s="2">
        <f>[8]m!$AS567</f>
        <v>1253.4000000000001</v>
      </c>
      <c r="AG565" s="2">
        <f>[8]m!$H567</f>
        <v>7.2</v>
      </c>
      <c r="AH565" s="2">
        <f>[8]m!$I567</f>
        <v>7.8900000000000006</v>
      </c>
      <c r="AI565" s="2">
        <f>[7]m!C566</f>
        <v>74263</v>
      </c>
      <c r="AJ565" s="2">
        <f>[7]m!D566</f>
        <v>81531</v>
      </c>
      <c r="AK565" s="2">
        <f>[2]Surveys_m!$AB447</f>
        <v>55.2</v>
      </c>
      <c r="AL565" s="4">
        <f t="shared" si="8"/>
        <v>4503.0183752417788</v>
      </c>
      <c r="AM565">
        <f>[2]Indicators!$BB447</f>
        <v>151565</v>
      </c>
      <c r="AN565" s="2">
        <v>91.1</v>
      </c>
      <c r="AO565">
        <f>[9]Unemployment!H447</f>
        <v>334</v>
      </c>
      <c r="AP565">
        <f>[9]Unemployment!I447</f>
        <v>1128</v>
      </c>
      <c r="AQ565" s="3">
        <f>[9]LaborForce!$B446*[9]LaborForce!$C446/100</f>
        <v>135096.12</v>
      </c>
      <c r="AR565">
        <f>[9]Unemployment!$AC447</f>
        <v>332</v>
      </c>
      <c r="AS565">
        <f>[2]Indicators!BC447</f>
        <v>77.600000000000009</v>
      </c>
      <c r="AT565">
        <f>[2]Indicators!BD447</f>
        <v>81.058199999999999</v>
      </c>
      <c r="AU565">
        <f>[2]Indicators!BE447</f>
        <v>99.632200000000012</v>
      </c>
      <c r="AV565">
        <f>[5]m!$O567</f>
        <v>78.12</v>
      </c>
    </row>
    <row r="566" spans="1:48" x14ac:dyDescent="0.25">
      <c r="A566" s="1">
        <v>35431</v>
      </c>
      <c r="B566" s="2">
        <f>[2]Indicators!G448</f>
        <v>5445.2039999999997</v>
      </c>
      <c r="C566" s="2">
        <f>[2]Indicators!H448</f>
        <v>703.34199999999998</v>
      </c>
      <c r="D566" s="2">
        <f>[2]Indicators!I448</f>
        <v>1272.153</v>
      </c>
      <c r="E566" s="2">
        <f>[2]Indicators!J448</f>
        <v>3469.7090000000003</v>
      </c>
      <c r="F566" s="2">
        <f>[2]Indicators!B448</f>
        <v>6413.9740000000002</v>
      </c>
      <c r="G566" s="2">
        <f>[2]Indicators!C448</f>
        <v>576.70600000000002</v>
      </c>
      <c r="H566" s="2">
        <f>[2]Indicators!D448</f>
        <v>1496.192</v>
      </c>
      <c r="I566" s="2">
        <f>[2]Indicators!E448</f>
        <v>4404.8620000000001</v>
      </c>
      <c r="J566" s="2">
        <f>[2]Indicators!L448</f>
        <v>202576</v>
      </c>
      <c r="K566" s="2">
        <f>[2]Indicators!M448</f>
        <v>140364</v>
      </c>
      <c r="L566" s="2">
        <f>[2]Indicators!N448</f>
        <v>15.689</v>
      </c>
      <c r="M566" s="2">
        <f>[2]Indicators!AB448</f>
        <v>77.0441</v>
      </c>
      <c r="N566" s="2">
        <f>[8]m!$C568</f>
        <v>5.25</v>
      </c>
      <c r="O566">
        <f>[9]Unemployment!$B448</f>
        <v>5.3000000000000007</v>
      </c>
      <c r="P566" s="2">
        <f>[2]Surveys_m!$B448</f>
        <v>118.7</v>
      </c>
      <c r="Q566">
        <f>[5]m!$B568</f>
        <v>159.4</v>
      </c>
      <c r="R566">
        <f>[5]m!$D568</f>
        <v>167.8</v>
      </c>
      <c r="S566">
        <f>[5]m!$Q568</f>
        <v>129.70000000000002</v>
      </c>
      <c r="T566">
        <f>[6]m!B568</f>
        <v>13364</v>
      </c>
      <c r="U566" s="2">
        <f>[9]Unemployment!$F448</f>
        <v>16</v>
      </c>
      <c r="V566" s="2">
        <f>[9]Unemployment!$G448</f>
        <v>7.8000000000000007</v>
      </c>
      <c r="W566">
        <f>[9]Unemployment!$E448</f>
        <v>7158</v>
      </c>
      <c r="X566">
        <f>[9]Unemployment!N448</f>
        <v>2758</v>
      </c>
      <c r="Y566">
        <f>[9]Unemployment!O448</f>
        <v>2219</v>
      </c>
      <c r="Z566">
        <f>[9]Unemployment!P448-[9]Unemployment!Q448</f>
        <v>1012</v>
      </c>
      <c r="AA566">
        <f>[9]Unemployment!$Q448</f>
        <v>1150</v>
      </c>
      <c r="AB566" s="2">
        <f>[8]m!$B568</f>
        <v>5.15</v>
      </c>
      <c r="AC566" s="2">
        <f>[8]m!$F568</f>
        <v>6.58</v>
      </c>
      <c r="AD566">
        <f>[9]Employment!$B448</f>
        <v>121231</v>
      </c>
      <c r="AE566" s="2">
        <f>[2]Indicators!$AB448</f>
        <v>77.0441</v>
      </c>
      <c r="AF566" s="2">
        <f>[8]m!$AS568</f>
        <v>1258.4000000000001</v>
      </c>
      <c r="AG566" s="2">
        <f>[8]m!$H568</f>
        <v>7.42</v>
      </c>
      <c r="AH566" s="2">
        <f>[8]m!$I568</f>
        <v>8.09</v>
      </c>
      <c r="AI566" s="2">
        <f>[7]m!C567</f>
        <v>72842</v>
      </c>
      <c r="AJ566" s="2">
        <f>[7]m!D567</f>
        <v>83317</v>
      </c>
      <c r="AK566" s="2">
        <f>[2]Surveys_m!$AB448</f>
        <v>53.800000000000004</v>
      </c>
      <c r="AL566" s="4">
        <f t="shared" si="8"/>
        <v>4463.4748549323012</v>
      </c>
      <c r="AM566">
        <f>[2]Indicators!$BB448</f>
        <v>156795</v>
      </c>
      <c r="AN566" s="2">
        <v>90.3</v>
      </c>
      <c r="AO566">
        <f>[9]Unemployment!H448</f>
        <v>397</v>
      </c>
      <c r="AP566">
        <f>[9]Unemployment!I448</f>
        <v>1218</v>
      </c>
      <c r="AQ566" s="3">
        <f>[9]LaborForce!$B447*[9]LaborForce!$C447/100</f>
        <v>135530.95000000001</v>
      </c>
      <c r="AR566">
        <f>[9]Unemployment!$AC448</f>
        <v>357</v>
      </c>
      <c r="AS566">
        <f>[2]Indicators!BC448</f>
        <v>77.8</v>
      </c>
      <c r="AT566">
        <f>[2]Indicators!BD448</f>
        <v>81.578600000000009</v>
      </c>
      <c r="AU566">
        <f>[2]Indicators!BE448</f>
        <v>99.841500000000011</v>
      </c>
      <c r="AV566">
        <f>[5]m!$O568</f>
        <v>78.08</v>
      </c>
    </row>
    <row r="567" spans="1:48" x14ac:dyDescent="0.25">
      <c r="A567" s="1">
        <v>35462</v>
      </c>
      <c r="B567" s="2">
        <f>[2]Indicators!G449</f>
        <v>5468.2740000000003</v>
      </c>
      <c r="C567" s="2">
        <f>[2]Indicators!H449</f>
        <v>701.99599999999998</v>
      </c>
      <c r="D567" s="2">
        <f>[2]Indicators!I449</f>
        <v>1283.183</v>
      </c>
      <c r="E567" s="2">
        <f>[2]Indicators!J449</f>
        <v>3483.0940000000001</v>
      </c>
      <c r="F567" s="2">
        <f>[2]Indicators!B449</f>
        <v>6426.1590000000006</v>
      </c>
      <c r="G567" s="2">
        <f>[2]Indicators!C449</f>
        <v>574.88599999999997</v>
      </c>
      <c r="H567" s="2">
        <f>[2]Indicators!D449</f>
        <v>1507.9110000000001</v>
      </c>
      <c r="I567" s="2">
        <f>[2]Indicators!E449</f>
        <v>4408.1390000000001</v>
      </c>
      <c r="J567" s="2">
        <f>[2]Indicators!L449</f>
        <v>204677</v>
      </c>
      <c r="K567" s="2">
        <f>[2]Indicators!M449</f>
        <v>141418</v>
      </c>
      <c r="L567" s="2">
        <f>[2]Indicators!N449</f>
        <v>15.275</v>
      </c>
      <c r="M567" s="2">
        <f>[2]Indicators!AB449</f>
        <v>77.966200000000001</v>
      </c>
      <c r="N567" s="2">
        <f>[8]m!$C569</f>
        <v>5.19</v>
      </c>
      <c r="O567">
        <f>[9]Unemployment!$B449</f>
        <v>5.2</v>
      </c>
      <c r="P567" s="2">
        <f>[2]Surveys_m!$B449</f>
        <v>118.9</v>
      </c>
      <c r="Q567">
        <f>[5]m!$B569</f>
        <v>159.70000000000002</v>
      </c>
      <c r="R567">
        <f>[5]m!$D569</f>
        <v>168.1</v>
      </c>
      <c r="S567">
        <f>[5]m!$Q569</f>
        <v>128.5</v>
      </c>
      <c r="T567">
        <f>[6]m!B569</f>
        <v>-44010</v>
      </c>
      <c r="U567" s="2">
        <f>[9]Unemployment!$F449</f>
        <v>15.8</v>
      </c>
      <c r="V567" s="2">
        <f>[9]Unemployment!$G449</f>
        <v>8.1</v>
      </c>
      <c r="W567">
        <f>[9]Unemployment!$E449</f>
        <v>7102</v>
      </c>
      <c r="X567">
        <f>[9]Unemployment!N449</f>
        <v>2549</v>
      </c>
      <c r="Y567">
        <f>[9]Unemployment!O449</f>
        <v>2357</v>
      </c>
      <c r="Z567">
        <f>[9]Unemployment!P449-[9]Unemployment!Q449</f>
        <v>1031</v>
      </c>
      <c r="AA567">
        <f>[9]Unemployment!$Q449</f>
        <v>1109</v>
      </c>
      <c r="AB567" s="2">
        <f>[8]m!$B569</f>
        <v>5.22</v>
      </c>
      <c r="AC567" s="2">
        <f>[8]m!$F569</f>
        <v>6.42</v>
      </c>
      <c r="AD567">
        <f>[9]Employment!$B449</f>
        <v>121532</v>
      </c>
      <c r="AE567" s="2">
        <f>[2]Indicators!$AB449</f>
        <v>77.966200000000001</v>
      </c>
      <c r="AF567" s="2">
        <f>[8]m!$AS569</f>
        <v>1261.9000000000001</v>
      </c>
      <c r="AG567" s="2">
        <f>[8]m!$H569</f>
        <v>7.3100000000000005</v>
      </c>
      <c r="AH567" s="2">
        <f>[8]m!$I569</f>
        <v>7.94</v>
      </c>
      <c r="AI567" s="2">
        <f>[7]m!C568</f>
        <v>72910</v>
      </c>
      <c r="AJ567" s="2">
        <f>[7]m!D568</f>
        <v>84179</v>
      </c>
      <c r="AK567" s="2">
        <f>[2]Surveys_m!$AB449</f>
        <v>53.1</v>
      </c>
      <c r="AL567" s="4">
        <f t="shared" si="8"/>
        <v>4636.4777562862664</v>
      </c>
      <c r="AM567">
        <f>[2]Indicators!$BB449</f>
        <v>164040</v>
      </c>
      <c r="AN567" s="2">
        <v>93.8</v>
      </c>
      <c r="AO567">
        <f>[9]Unemployment!H449</f>
        <v>364</v>
      </c>
      <c r="AP567">
        <f>[9]Unemployment!I449</f>
        <v>1182</v>
      </c>
      <c r="AQ567" s="3">
        <f>[9]LaborForce!$B448*[9]LaborForce!$C448/100</f>
        <v>135397.57200000001</v>
      </c>
      <c r="AR567">
        <f>[9]Unemployment!$AC449</f>
        <v>333</v>
      </c>
      <c r="AS567">
        <f>[2]Indicators!BC449</f>
        <v>78.8</v>
      </c>
      <c r="AT567">
        <f>[2]Indicators!BD449</f>
        <v>82.156199999999998</v>
      </c>
      <c r="AU567">
        <f>[2]Indicators!BE449</f>
        <v>100.11850000000001</v>
      </c>
      <c r="AV567">
        <f>[5]m!$O569</f>
        <v>77.98</v>
      </c>
    </row>
    <row r="568" spans="1:48" x14ac:dyDescent="0.25">
      <c r="A568" s="1">
        <v>35490</v>
      </c>
      <c r="B568" s="2">
        <f>[2]Indicators!G450</f>
        <v>5487.6909999999998</v>
      </c>
      <c r="C568" s="2">
        <f>[2]Indicators!H450</f>
        <v>711.47500000000002</v>
      </c>
      <c r="D568" s="2">
        <f>[2]Indicators!I450</f>
        <v>1287.972</v>
      </c>
      <c r="E568" s="2">
        <f>[2]Indicators!J450</f>
        <v>3488.2440000000001</v>
      </c>
      <c r="F568" s="2">
        <f>[2]Indicators!B450</f>
        <v>6441.634</v>
      </c>
      <c r="G568" s="2">
        <f>[2]Indicators!C450</f>
        <v>582.57299999999998</v>
      </c>
      <c r="H568" s="2">
        <f>[2]Indicators!D450</f>
        <v>1517.703</v>
      </c>
      <c r="I568" s="2">
        <f>[2]Indicators!E450</f>
        <v>4402.3919999999998</v>
      </c>
      <c r="J568" s="2">
        <f>[2]Indicators!L450</f>
        <v>205588</v>
      </c>
      <c r="K568" s="2">
        <f>[2]Indicators!M450</f>
        <v>141934</v>
      </c>
      <c r="L568" s="2">
        <f>[2]Indicators!N450</f>
        <v>15.814</v>
      </c>
      <c r="M568" s="2">
        <f>[2]Indicators!AB450</f>
        <v>78.592700000000008</v>
      </c>
      <c r="N568" s="2">
        <f>[8]m!$C570</f>
        <v>5.39</v>
      </c>
      <c r="O568">
        <f>[9]Unemployment!$B450</f>
        <v>5.2</v>
      </c>
      <c r="P568" s="2">
        <f>[2]Surveys_m!$B450</f>
        <v>118.5</v>
      </c>
      <c r="Q568">
        <f>[5]m!$B570</f>
        <v>159.80000000000001</v>
      </c>
      <c r="R568">
        <f>[5]m!$D570</f>
        <v>168.4</v>
      </c>
      <c r="S568">
        <f>[5]m!$Q570</f>
        <v>127.30000000000001</v>
      </c>
      <c r="T568">
        <f>[6]m!B570</f>
        <v>-21323</v>
      </c>
      <c r="U568" s="2">
        <f>[9]Unemployment!$F450</f>
        <v>15.5</v>
      </c>
      <c r="V568" s="2">
        <f>[9]Unemployment!$G450</f>
        <v>7.9</v>
      </c>
      <c r="W568">
        <f>[9]Unemployment!$E450</f>
        <v>7000</v>
      </c>
      <c r="X568">
        <f>[9]Unemployment!N450</f>
        <v>2602</v>
      </c>
      <c r="Y568">
        <f>[9]Unemployment!O450</f>
        <v>2323</v>
      </c>
      <c r="Z568">
        <f>[9]Unemployment!P450-[9]Unemployment!Q450</f>
        <v>1012</v>
      </c>
      <c r="AA568">
        <f>[9]Unemployment!$Q450</f>
        <v>1098</v>
      </c>
      <c r="AB568" s="2">
        <f>[8]m!$B570</f>
        <v>5.34</v>
      </c>
      <c r="AC568" s="2">
        <f>[8]m!$F570</f>
        <v>6.69</v>
      </c>
      <c r="AD568">
        <f>[9]Employment!$B450</f>
        <v>121844</v>
      </c>
      <c r="AE568" s="2">
        <f>[2]Indicators!$AB450</f>
        <v>78.592700000000008</v>
      </c>
      <c r="AF568" s="2">
        <f>[8]m!$AS570</f>
        <v>1264.1000000000001</v>
      </c>
      <c r="AG568" s="2">
        <f>[8]m!$H570</f>
        <v>7.55</v>
      </c>
      <c r="AH568" s="2">
        <f>[8]m!$I570</f>
        <v>8.18</v>
      </c>
      <c r="AI568" s="2">
        <f>[7]m!C569</f>
        <v>75225</v>
      </c>
      <c r="AJ568" s="2">
        <f>[7]m!D569</f>
        <v>85001</v>
      </c>
      <c r="AK568" s="2">
        <f>[2]Surveys_m!$AB450</f>
        <v>53.800000000000004</v>
      </c>
      <c r="AL568" s="4">
        <f t="shared" si="8"/>
        <v>4596.9342359767888</v>
      </c>
      <c r="AM568">
        <f>[2]Indicators!$BB450</f>
        <v>162450</v>
      </c>
      <c r="AN568" s="2">
        <v>93</v>
      </c>
      <c r="AO568">
        <f>[9]Unemployment!H450</f>
        <v>356</v>
      </c>
      <c r="AP568">
        <f>[9]Unemployment!I450</f>
        <v>1115</v>
      </c>
      <c r="AQ568" s="3">
        <f>[9]LaborForce!$B449*[9]LaborForce!$C449/100</f>
        <v>135886.22300000003</v>
      </c>
      <c r="AR568">
        <f>[9]Unemployment!$AC450</f>
        <v>321</v>
      </c>
      <c r="AS568">
        <f>[2]Indicators!BC450</f>
        <v>79.100000000000009</v>
      </c>
      <c r="AT568">
        <f>[2]Indicators!BD450</f>
        <v>82.750799999999998</v>
      </c>
      <c r="AU568">
        <f>[2]Indicators!BE450</f>
        <v>100.414</v>
      </c>
      <c r="AV568">
        <f>[5]m!$O570</f>
        <v>78.290000000000006</v>
      </c>
    </row>
    <row r="569" spans="1:48" x14ac:dyDescent="0.25">
      <c r="A569" s="1">
        <v>35521</v>
      </c>
      <c r="B569" s="2">
        <f>[2]Indicators!G451</f>
        <v>5491.9269999999997</v>
      </c>
      <c r="C569" s="2">
        <f>[2]Indicators!H451</f>
        <v>697.44799999999998</v>
      </c>
      <c r="D569" s="2">
        <f>[2]Indicators!I451</f>
        <v>1278.7360000000001</v>
      </c>
      <c r="E569" s="2">
        <f>[2]Indicators!J451</f>
        <v>3515.7429999999999</v>
      </c>
      <c r="F569" s="2">
        <f>[2]Indicators!B451</f>
        <v>6440.3959999999997</v>
      </c>
      <c r="G569" s="2">
        <f>[2]Indicators!C451</f>
        <v>575.428</v>
      </c>
      <c r="H569" s="2">
        <f>[2]Indicators!D451</f>
        <v>1504.479</v>
      </c>
      <c r="I569" s="2">
        <f>[2]Indicators!E451</f>
        <v>4426.1769999999997</v>
      </c>
      <c r="J569" s="2">
        <f>[2]Indicators!L451</f>
        <v>203662</v>
      </c>
      <c r="K569" s="2">
        <f>[2]Indicators!M451</f>
        <v>140669</v>
      </c>
      <c r="L569" s="2">
        <f>[2]Indicators!N451</f>
        <v>15.058</v>
      </c>
      <c r="M569" s="2">
        <f>[2]Indicators!AB451</f>
        <v>78.616799999999998</v>
      </c>
      <c r="N569" s="2">
        <f>[8]m!$C571</f>
        <v>5.51</v>
      </c>
      <c r="O569">
        <f>[9]Unemployment!$B451</f>
        <v>5.1000000000000005</v>
      </c>
      <c r="P569" s="2">
        <f>[2]Surveys_m!$B451</f>
        <v>118.5</v>
      </c>
      <c r="Q569">
        <f>[5]m!$B571</f>
        <v>159.9</v>
      </c>
      <c r="R569">
        <f>[5]m!$D571</f>
        <v>168.9</v>
      </c>
      <c r="S569">
        <f>[5]m!$Q571</f>
        <v>127</v>
      </c>
      <c r="T569">
        <f>[6]m!B571</f>
        <v>93939</v>
      </c>
      <c r="U569" s="2">
        <f>[9]Unemployment!$F451</f>
        <v>15.600000000000001</v>
      </c>
      <c r="V569" s="2">
        <f>[9]Unemployment!$G451</f>
        <v>8.3000000000000007</v>
      </c>
      <c r="W569">
        <f>[9]Unemployment!$E451</f>
        <v>6873</v>
      </c>
      <c r="X569">
        <f>[9]Unemployment!N451</f>
        <v>2439</v>
      </c>
      <c r="Y569">
        <f>[9]Unemployment!O451</f>
        <v>2190</v>
      </c>
      <c r="Z569">
        <f>[9]Unemployment!P451-[9]Unemployment!Q451</f>
        <v>1071</v>
      </c>
      <c r="AA569">
        <f>[9]Unemployment!$Q451</f>
        <v>1105</v>
      </c>
      <c r="AB569" s="2">
        <f>[8]m!$B571</f>
        <v>5.24</v>
      </c>
      <c r="AC569" s="2">
        <f>[8]m!$F571</f>
        <v>6.8900000000000006</v>
      </c>
      <c r="AD569">
        <f>[9]Employment!$B451</f>
        <v>122135</v>
      </c>
      <c r="AE569" s="2">
        <f>[2]Indicators!$AB451</f>
        <v>78.616799999999998</v>
      </c>
      <c r="AF569" s="2">
        <f>[8]m!$AS571</f>
        <v>1274.1000000000001</v>
      </c>
      <c r="AG569" s="2">
        <f>[8]m!$H571</f>
        <v>7.73</v>
      </c>
      <c r="AH569" s="2">
        <f>[8]m!$I571</f>
        <v>8.34</v>
      </c>
      <c r="AI569" s="2">
        <f>[7]m!C570</f>
        <v>77050</v>
      </c>
      <c r="AJ569" s="2">
        <f>[7]m!D570</f>
        <v>85433</v>
      </c>
      <c r="AK569" s="2">
        <f>[2]Surveys_m!$AB451</f>
        <v>53.7</v>
      </c>
      <c r="AL569" s="4">
        <f t="shared" si="8"/>
        <v>4562.3336557059956</v>
      </c>
      <c r="AM569">
        <f>[2]Indicators!$BB451</f>
        <v>166214</v>
      </c>
      <c r="AN569" s="2">
        <v>92.3</v>
      </c>
      <c r="AO569">
        <f>[9]Unemployment!H451</f>
        <v>379</v>
      </c>
      <c r="AP569">
        <f>[9]Unemployment!I451</f>
        <v>1101</v>
      </c>
      <c r="AQ569" s="3">
        <f>[9]LaborForce!$B450*[9]LaborForce!$C450/100</f>
        <v>135994.25400000002</v>
      </c>
      <c r="AR569">
        <f>[9]Unemployment!$AC451</f>
        <v>325</v>
      </c>
      <c r="AS569">
        <f>[2]Indicators!BC451</f>
        <v>79</v>
      </c>
      <c r="AT569">
        <f>[2]Indicators!BD451</f>
        <v>83.344400000000007</v>
      </c>
      <c r="AU569">
        <f>[2]Indicators!BE451</f>
        <v>100.7063</v>
      </c>
      <c r="AV569">
        <f>[5]m!$O571</f>
        <v>78.760000000000005</v>
      </c>
    </row>
    <row r="570" spans="1:48" x14ac:dyDescent="0.25">
      <c r="A570" s="1">
        <v>35551</v>
      </c>
      <c r="B570" s="2">
        <f>[2]Indicators!G452</f>
        <v>5493.0209999999997</v>
      </c>
      <c r="C570" s="2">
        <f>[2]Indicators!H452</f>
        <v>690.24099999999999</v>
      </c>
      <c r="D570" s="2">
        <f>[2]Indicators!I452</f>
        <v>1273.2380000000001</v>
      </c>
      <c r="E570" s="2">
        <f>[2]Indicators!J452</f>
        <v>3529.5419999999999</v>
      </c>
      <c r="F570" s="2">
        <f>[2]Indicators!B452</f>
        <v>6444.0479999999998</v>
      </c>
      <c r="G570" s="2">
        <f>[2]Indicators!C452</f>
        <v>571.09</v>
      </c>
      <c r="H570" s="2">
        <f>[2]Indicators!D452</f>
        <v>1502.5989999999999</v>
      </c>
      <c r="I570" s="2">
        <f>[2]Indicators!E452</f>
        <v>4438.6970000000001</v>
      </c>
      <c r="J570" s="2">
        <f>[2]Indicators!L452</f>
        <v>202028</v>
      </c>
      <c r="K570" s="2">
        <f>[2]Indicators!M452</f>
        <v>139653</v>
      </c>
      <c r="L570" s="2">
        <f>[2]Indicators!N452</f>
        <v>15.093</v>
      </c>
      <c r="M570" s="2">
        <f>[2]Indicators!AB452</f>
        <v>79.162300000000002</v>
      </c>
      <c r="N570" s="2">
        <f>[8]m!$C572</f>
        <v>5.5</v>
      </c>
      <c r="O570">
        <f>[9]Unemployment!$B452</f>
        <v>4.9000000000000004</v>
      </c>
      <c r="P570" s="2">
        <f>[2]Surveys_m!$B452</f>
        <v>127.9</v>
      </c>
      <c r="Q570">
        <f>[5]m!$B572</f>
        <v>159.9</v>
      </c>
      <c r="R570">
        <f>[5]m!$D572</f>
        <v>169.20000000000002</v>
      </c>
      <c r="S570">
        <f>[5]m!$Q572</f>
        <v>127.4</v>
      </c>
      <c r="T570">
        <f>[6]m!B572</f>
        <v>-48494</v>
      </c>
      <c r="U570" s="2">
        <f>[9]Unemployment!$F452</f>
        <v>15.4</v>
      </c>
      <c r="V570" s="2">
        <f>[9]Unemployment!$G452</f>
        <v>8</v>
      </c>
      <c r="W570">
        <f>[9]Unemployment!$E452</f>
        <v>6655</v>
      </c>
      <c r="X570">
        <f>[9]Unemployment!N452</f>
        <v>2527</v>
      </c>
      <c r="Y570">
        <f>[9]Unemployment!O452</f>
        <v>2061</v>
      </c>
      <c r="Z570">
        <f>[9]Unemployment!P452-[9]Unemployment!Q452</f>
        <v>1070</v>
      </c>
      <c r="AA570">
        <f>[9]Unemployment!$Q452</f>
        <v>1051</v>
      </c>
      <c r="AB570" s="2">
        <f>[8]m!$B572</f>
        <v>4.95</v>
      </c>
      <c r="AC570" s="2">
        <f>[8]m!$F572</f>
        <v>6.71</v>
      </c>
      <c r="AD570">
        <f>[9]Employment!$B452</f>
        <v>122391</v>
      </c>
      <c r="AE570" s="2">
        <f>[2]Indicators!$AB452</f>
        <v>79.162300000000002</v>
      </c>
      <c r="AF570" s="2">
        <f>[8]m!$AS572</f>
        <v>1278.7</v>
      </c>
      <c r="AG570" s="2">
        <f>[8]m!$H572</f>
        <v>7.58</v>
      </c>
      <c r="AH570" s="2">
        <f>[8]m!$I572</f>
        <v>8.1999999999999993</v>
      </c>
      <c r="AI570" s="2">
        <f>[7]m!C571</f>
        <v>77769</v>
      </c>
      <c r="AJ570" s="2">
        <f>[7]m!D571</f>
        <v>85855</v>
      </c>
      <c r="AK570" s="2">
        <f>[2]Surveys_m!$AB452</f>
        <v>56.1</v>
      </c>
      <c r="AL570" s="4">
        <f t="shared" si="8"/>
        <v>4310.2437137330753</v>
      </c>
      <c r="AM570">
        <f>[2]Indicators!$BB452</f>
        <v>162994</v>
      </c>
      <c r="AN570" s="2">
        <v>87.2</v>
      </c>
      <c r="AO570">
        <f>[9]Unemployment!H452</f>
        <v>338</v>
      </c>
      <c r="AP570">
        <f>[9]Unemployment!I452</f>
        <v>1093</v>
      </c>
      <c r="AQ570" s="3">
        <f>[9]LaborForce!$B451*[9]LaborForce!$C451/100</f>
        <v>136100.272</v>
      </c>
      <c r="AR570">
        <f>[9]Unemployment!$AC452</f>
        <v>337</v>
      </c>
      <c r="AS570">
        <f>[2]Indicators!BC452</f>
        <v>79.600000000000009</v>
      </c>
      <c r="AT570">
        <f>[2]Indicators!BD452</f>
        <v>83.927900000000008</v>
      </c>
      <c r="AU570">
        <f>[2]Indicators!BE452</f>
        <v>100.985</v>
      </c>
      <c r="AV570">
        <f>[5]m!$O572</f>
        <v>79.42</v>
      </c>
    </row>
    <row r="571" spans="1:48" x14ac:dyDescent="0.25">
      <c r="A571" s="1">
        <v>35582</v>
      </c>
      <c r="B571" s="2">
        <f>[2]Indicators!G453</f>
        <v>5526.9960000000001</v>
      </c>
      <c r="C571" s="2">
        <f>[2]Indicators!H453</f>
        <v>702.03399999999999</v>
      </c>
      <c r="D571" s="2">
        <f>[2]Indicators!I453</f>
        <v>1281.847</v>
      </c>
      <c r="E571" s="2">
        <f>[2]Indicators!J453</f>
        <v>3543.116</v>
      </c>
      <c r="F571" s="2">
        <f>[2]Indicators!B453</f>
        <v>6475.4830000000002</v>
      </c>
      <c r="G571" s="2">
        <f>[2]Indicators!C453</f>
        <v>582.05200000000002</v>
      </c>
      <c r="H571" s="2">
        <f>[2]Indicators!D453</f>
        <v>1517.2149999999999</v>
      </c>
      <c r="I571" s="2">
        <f>[2]Indicators!E453</f>
        <v>4440.1949999999997</v>
      </c>
      <c r="J571" s="2">
        <f>[2]Indicators!L453</f>
        <v>204946</v>
      </c>
      <c r="K571" s="2">
        <f>[2]Indicators!M453</f>
        <v>141309</v>
      </c>
      <c r="L571" s="2">
        <f>[2]Indicators!N453</f>
        <v>14.523</v>
      </c>
      <c r="M571" s="2">
        <f>[2]Indicators!AB453</f>
        <v>79.525700000000001</v>
      </c>
      <c r="N571" s="2">
        <f>[8]m!$C573</f>
        <v>5.5600000000000005</v>
      </c>
      <c r="O571">
        <f>[9]Unemployment!$B453</f>
        <v>5</v>
      </c>
      <c r="P571" s="2">
        <f>[2]Surveys_m!$B453</f>
        <v>129.9</v>
      </c>
      <c r="Q571">
        <f>[5]m!$B573</f>
        <v>160.20000000000002</v>
      </c>
      <c r="R571">
        <f>[5]m!$D573</f>
        <v>169.4</v>
      </c>
      <c r="S571">
        <f>[5]m!$Q573</f>
        <v>127.2</v>
      </c>
      <c r="T571">
        <f>[6]m!B573</f>
        <v>54635</v>
      </c>
      <c r="U571" s="2">
        <f>[9]Unemployment!$F453</f>
        <v>15.5</v>
      </c>
      <c r="V571" s="2">
        <f>[9]Unemployment!$G453</f>
        <v>8</v>
      </c>
      <c r="W571">
        <f>[9]Unemployment!$E453</f>
        <v>6799</v>
      </c>
      <c r="X571">
        <f>[9]Unemployment!N453</f>
        <v>2562</v>
      </c>
      <c r="Y571">
        <f>[9]Unemployment!O453</f>
        <v>2175</v>
      </c>
      <c r="Z571">
        <f>[9]Unemployment!P453-[9]Unemployment!Q453</f>
        <v>1009</v>
      </c>
      <c r="AA571">
        <f>[9]Unemployment!$Q453</f>
        <v>1076</v>
      </c>
      <c r="AB571" s="2">
        <f>[8]m!$B573</f>
        <v>5.17</v>
      </c>
      <c r="AC571" s="2">
        <f>[8]m!$F573</f>
        <v>6.49</v>
      </c>
      <c r="AD571">
        <f>[9]Employment!$B453</f>
        <v>122644</v>
      </c>
      <c r="AE571" s="2">
        <f>[2]Indicators!$AB453</f>
        <v>79.525700000000001</v>
      </c>
      <c r="AF571" s="2">
        <f>[8]m!$AS573</f>
        <v>1282.9000000000001</v>
      </c>
      <c r="AG571" s="2">
        <f>[8]m!$H573</f>
        <v>7.41</v>
      </c>
      <c r="AH571" s="2">
        <f>[8]m!$I573</f>
        <v>8.02</v>
      </c>
      <c r="AI571" s="2">
        <f>[7]m!C572</f>
        <v>77883</v>
      </c>
      <c r="AJ571" s="2">
        <f>[7]m!D572</f>
        <v>86277</v>
      </c>
      <c r="AK571" s="2">
        <f>[2]Surveys_m!$AB453</f>
        <v>54.900000000000006</v>
      </c>
      <c r="AL571" s="4">
        <f t="shared" si="8"/>
        <v>4695.7930367504832</v>
      </c>
      <c r="AM571">
        <f>[2]Indicators!$BB453</f>
        <v>168373</v>
      </c>
      <c r="AN571" s="2">
        <v>95</v>
      </c>
      <c r="AO571">
        <f>[9]Unemployment!H453</f>
        <v>353</v>
      </c>
      <c r="AP571">
        <f>[9]Unemployment!I453</f>
        <v>1075</v>
      </c>
      <c r="AQ571" s="3">
        <f>[9]LaborForce!$B452*[9]LaborForce!$C452/100</f>
        <v>136213.00000000003</v>
      </c>
      <c r="AR571">
        <f>[9]Unemployment!$AC453</f>
        <v>321</v>
      </c>
      <c r="AS571">
        <f>[2]Indicators!BC453</f>
        <v>80</v>
      </c>
      <c r="AT571">
        <f>[2]Indicators!BD453</f>
        <v>84.493600000000001</v>
      </c>
      <c r="AU571">
        <f>[2]Indicators!BE453</f>
        <v>101.2415</v>
      </c>
      <c r="AV571">
        <f>[5]m!$O573</f>
        <v>80.25</v>
      </c>
    </row>
    <row r="572" spans="1:48" x14ac:dyDescent="0.25">
      <c r="A572" s="1">
        <v>35612</v>
      </c>
      <c r="B572" s="2">
        <f>[2]Indicators!G454</f>
        <v>5582.5309999999999</v>
      </c>
      <c r="C572" s="2">
        <f>[2]Indicators!H454</f>
        <v>715.75300000000004</v>
      </c>
      <c r="D572" s="2">
        <f>[2]Indicators!I454</f>
        <v>1291.4270000000001</v>
      </c>
      <c r="E572" s="2">
        <f>[2]Indicators!J454</f>
        <v>3575.35</v>
      </c>
      <c r="F572" s="2">
        <f>[2]Indicators!B454</f>
        <v>6536.3620000000001</v>
      </c>
      <c r="G572" s="2">
        <f>[2]Indicators!C454</f>
        <v>594.74599999999998</v>
      </c>
      <c r="H572" s="2">
        <f>[2]Indicators!D454</f>
        <v>1529.07</v>
      </c>
      <c r="I572" s="2">
        <f>[2]Indicators!E454</f>
        <v>4473.5650000000005</v>
      </c>
      <c r="J572" s="2">
        <f>[2]Indicators!L454</f>
        <v>207443</v>
      </c>
      <c r="K572" s="2">
        <f>[2]Indicators!M454</f>
        <v>142885</v>
      </c>
      <c r="L572" s="2">
        <f>[2]Indicators!N454</f>
        <v>15.574</v>
      </c>
      <c r="M572" s="2">
        <f>[2]Indicators!AB454</f>
        <v>79.986800000000002</v>
      </c>
      <c r="N572" s="2">
        <f>[8]m!$C574</f>
        <v>5.5200000000000005</v>
      </c>
      <c r="O572">
        <f>[9]Unemployment!$B454</f>
        <v>4.9000000000000004</v>
      </c>
      <c r="P572" s="2">
        <f>[2]Surveys_m!$B454</f>
        <v>126.30000000000001</v>
      </c>
      <c r="Q572">
        <f>[5]m!$B574</f>
        <v>160.4</v>
      </c>
      <c r="R572">
        <f>[5]m!$D574</f>
        <v>169.70000000000002</v>
      </c>
      <c r="S572">
        <f>[5]m!$Q574</f>
        <v>126.9</v>
      </c>
      <c r="T572">
        <f>[6]m!B574</f>
        <v>-25624</v>
      </c>
      <c r="U572" s="2">
        <f>[9]Unemployment!$F454</f>
        <v>16.400000000000002</v>
      </c>
      <c r="V572" s="2">
        <f>[9]Unemployment!$G454</f>
        <v>8.3000000000000007</v>
      </c>
      <c r="W572">
        <f>[9]Unemployment!$E454</f>
        <v>6655</v>
      </c>
      <c r="X572">
        <f>[9]Unemployment!N454</f>
        <v>2402</v>
      </c>
      <c r="Y572">
        <f>[9]Unemployment!O454</f>
        <v>2094</v>
      </c>
      <c r="Z572">
        <f>[9]Unemployment!P454-[9]Unemployment!Q454</f>
        <v>1041</v>
      </c>
      <c r="AA572">
        <f>[9]Unemployment!$Q454</f>
        <v>1078</v>
      </c>
      <c r="AB572" s="2">
        <f>[8]m!$B574</f>
        <v>5.24</v>
      </c>
      <c r="AC572" s="2">
        <f>[8]m!$F574</f>
        <v>6.22</v>
      </c>
      <c r="AD572">
        <f>[9]Employment!$B454</f>
        <v>122927</v>
      </c>
      <c r="AE572" s="2">
        <f>[2]Indicators!$AB454</f>
        <v>79.986800000000002</v>
      </c>
      <c r="AF572" s="2">
        <f>[8]m!$AS574</f>
        <v>1288.8000000000002</v>
      </c>
      <c r="AG572" s="2">
        <f>[8]m!$H574</f>
        <v>7.1400000000000006</v>
      </c>
      <c r="AH572" s="2">
        <f>[8]m!$I574</f>
        <v>7.75</v>
      </c>
      <c r="AI572" s="2">
        <f>[7]m!C573</f>
        <v>78889</v>
      </c>
      <c r="AJ572" s="2">
        <f>[7]m!D573</f>
        <v>86043</v>
      </c>
      <c r="AK572" s="2">
        <f>[2]Surveys_m!$AB454</f>
        <v>57.7</v>
      </c>
      <c r="AL572" s="4">
        <f t="shared" si="8"/>
        <v>4552.447775628626</v>
      </c>
      <c r="AM572">
        <f>[2]Indicators!$BB454</f>
        <v>172435</v>
      </c>
      <c r="AN572" s="2">
        <v>92.1</v>
      </c>
      <c r="AO572">
        <f>[9]Unemployment!H454</f>
        <v>311</v>
      </c>
      <c r="AP572">
        <f>[9]Unemployment!I454</f>
        <v>971</v>
      </c>
      <c r="AQ572" s="3">
        <f>[9]LaborForce!$B453*[9]LaborForce!$C453/100</f>
        <v>136527.55200000003</v>
      </c>
      <c r="AR572">
        <f>[9]Unemployment!$AC454</f>
        <v>322</v>
      </c>
      <c r="AS572">
        <f>[2]Indicators!BC454</f>
        <v>80.7</v>
      </c>
      <c r="AT572">
        <f>[2]Indicators!BD454</f>
        <v>85.025800000000004</v>
      </c>
      <c r="AU572">
        <f>[2]Indicators!BE454</f>
        <v>101.4577</v>
      </c>
      <c r="AV572">
        <f>[5]m!$O574</f>
        <v>80.86</v>
      </c>
    </row>
    <row r="573" spans="1:48" x14ac:dyDescent="0.25">
      <c r="A573" s="1">
        <v>35643</v>
      </c>
      <c r="B573" s="2">
        <f>[2]Indicators!G455</f>
        <v>5621.7430000000004</v>
      </c>
      <c r="C573" s="2">
        <f>[2]Indicators!H455</f>
        <v>732.61099999999999</v>
      </c>
      <c r="D573" s="2">
        <f>[2]Indicators!I455</f>
        <v>1298.0820000000001</v>
      </c>
      <c r="E573" s="2">
        <f>[2]Indicators!J455</f>
        <v>3591.0509999999999</v>
      </c>
      <c r="F573" s="2">
        <f>[2]Indicators!B455</f>
        <v>6576.1729999999998</v>
      </c>
      <c r="G573" s="2">
        <f>[2]Indicators!C455</f>
        <v>610.37700000000007</v>
      </c>
      <c r="H573" s="2">
        <f>[2]Indicators!D455</f>
        <v>1532.7730000000001</v>
      </c>
      <c r="I573" s="2">
        <f>[2]Indicators!E455</f>
        <v>4488.6459999999997</v>
      </c>
      <c r="J573" s="2">
        <f>[2]Indicators!L455</f>
        <v>208425</v>
      </c>
      <c r="K573" s="2">
        <f>[2]Indicators!M455</f>
        <v>143131</v>
      </c>
      <c r="L573" s="2">
        <f>[2]Indicators!N455</f>
        <v>16.147000000000002</v>
      </c>
      <c r="M573" s="2">
        <f>[2]Indicators!AB455</f>
        <v>81.060699999999997</v>
      </c>
      <c r="N573" s="2">
        <f>[8]m!$C575</f>
        <v>5.54</v>
      </c>
      <c r="O573">
        <f>[9]Unemployment!$B455</f>
        <v>4.8000000000000007</v>
      </c>
      <c r="P573" s="2">
        <f>[2]Surveys_m!$B455</f>
        <v>127.60000000000001</v>
      </c>
      <c r="Q573">
        <f>[5]m!$B575</f>
        <v>160.80000000000001</v>
      </c>
      <c r="R573">
        <f>[5]m!$D575</f>
        <v>169.8</v>
      </c>
      <c r="S573">
        <f>[5]m!$Q575</f>
        <v>127.2</v>
      </c>
      <c r="T573">
        <f>[6]m!B575</f>
        <v>-35189</v>
      </c>
      <c r="U573" s="2">
        <f>[9]Unemployment!$F455</f>
        <v>16</v>
      </c>
      <c r="V573" s="2">
        <f>[9]Unemployment!$G455</f>
        <v>7.8000000000000007</v>
      </c>
      <c r="W573">
        <f>[9]Unemployment!$E455</f>
        <v>6608</v>
      </c>
      <c r="X573">
        <f>[9]Unemployment!N455</f>
        <v>2525</v>
      </c>
      <c r="Y573">
        <f>[9]Unemployment!O455</f>
        <v>2120</v>
      </c>
      <c r="Z573">
        <f>[9]Unemployment!P455-[9]Unemployment!Q455</f>
        <v>929</v>
      </c>
      <c r="AA573">
        <f>[9]Unemployment!$Q455</f>
        <v>1075</v>
      </c>
      <c r="AB573" s="2">
        <f>[8]m!$B575</f>
        <v>5.23</v>
      </c>
      <c r="AC573" s="2">
        <f>[8]m!$F575</f>
        <v>6.3</v>
      </c>
      <c r="AD573">
        <f>[9]Employment!$B455</f>
        <v>122909</v>
      </c>
      <c r="AE573" s="2">
        <f>[2]Indicators!$AB455</f>
        <v>81.060699999999997</v>
      </c>
      <c r="AF573" s="2">
        <f>[8]m!$AS575</f>
        <v>1294.2</v>
      </c>
      <c r="AG573" s="2">
        <f>[8]m!$H575</f>
        <v>7.22</v>
      </c>
      <c r="AH573" s="2">
        <f>[8]m!$I575</f>
        <v>7.82</v>
      </c>
      <c r="AI573" s="2">
        <f>[7]m!C574</f>
        <v>80099</v>
      </c>
      <c r="AJ573" s="2">
        <f>[7]m!D574</f>
        <v>87132</v>
      </c>
      <c r="AK573" s="2">
        <f>[2]Surveys_m!$AB455</f>
        <v>56.300000000000004</v>
      </c>
      <c r="AL573" s="4">
        <f t="shared" si="8"/>
        <v>4621.6489361702124</v>
      </c>
      <c r="AM573">
        <f>[2]Indicators!$BB455</f>
        <v>170049</v>
      </c>
      <c r="AN573" s="2">
        <v>93.5</v>
      </c>
      <c r="AO573">
        <f>[9]Unemployment!H455</f>
        <v>311</v>
      </c>
      <c r="AP573">
        <f>[9]Unemployment!I455</f>
        <v>987</v>
      </c>
      <c r="AQ573" s="3">
        <f>[9]LaborForce!$B454*[9]LaborForce!$C454/100</f>
        <v>136660.60800000001</v>
      </c>
      <c r="AR573">
        <f>[9]Unemployment!$AC455</f>
        <v>320</v>
      </c>
      <c r="AS573">
        <f>[2]Indicators!BC455</f>
        <v>80.7</v>
      </c>
      <c r="AT573">
        <f>[2]Indicators!BD455</f>
        <v>85.511700000000005</v>
      </c>
      <c r="AU573">
        <f>[2]Indicators!BE455</f>
        <v>101.61920000000001</v>
      </c>
      <c r="AV573">
        <f>[5]m!$O575</f>
        <v>81.41</v>
      </c>
    </row>
    <row r="574" spans="1:48" x14ac:dyDescent="0.25">
      <c r="A574" s="1">
        <v>35674</v>
      </c>
      <c r="B574" s="2">
        <f>[2]Indicators!G456</f>
        <v>5635.7510000000002</v>
      </c>
      <c r="C574" s="2">
        <f>[2]Indicators!H456</f>
        <v>720.01200000000006</v>
      </c>
      <c r="D574" s="2">
        <f>[2]Indicators!I456</f>
        <v>1303.5620000000001</v>
      </c>
      <c r="E574" s="2">
        <f>[2]Indicators!J456</f>
        <v>3612.1779999999999</v>
      </c>
      <c r="F574" s="2">
        <f>[2]Indicators!B456</f>
        <v>6576.53</v>
      </c>
      <c r="G574" s="2">
        <f>[2]Indicators!C456</f>
        <v>600.52</v>
      </c>
      <c r="H574" s="2">
        <f>[2]Indicators!D456</f>
        <v>1535.28</v>
      </c>
      <c r="I574" s="2">
        <f>[2]Indicators!E456</f>
        <v>4501.0630000000001</v>
      </c>
      <c r="J574" s="2">
        <f>[2]Indicators!L456</f>
        <v>208674</v>
      </c>
      <c r="K574" s="2">
        <f>[2]Indicators!M456</f>
        <v>143124</v>
      </c>
      <c r="L574" s="2">
        <f>[2]Indicators!N456</f>
        <v>15.096</v>
      </c>
      <c r="M574" s="2">
        <f>[2]Indicators!AB456</f>
        <v>81.771799999999999</v>
      </c>
      <c r="N574" s="2">
        <f>[8]m!$C576</f>
        <v>5.54</v>
      </c>
      <c r="O574">
        <f>[9]Unemployment!$B456</f>
        <v>4.9000000000000004</v>
      </c>
      <c r="P574" s="2">
        <f>[2]Surveys_m!$B456</f>
        <v>130.20000000000002</v>
      </c>
      <c r="Q574">
        <f>[5]m!$B576</f>
        <v>161.20000000000002</v>
      </c>
      <c r="R574">
        <f>[5]m!$D576</f>
        <v>170.20000000000002</v>
      </c>
      <c r="S574">
        <f>[5]m!$Q576</f>
        <v>127.5</v>
      </c>
      <c r="T574">
        <f>[6]m!B576</f>
        <v>49940</v>
      </c>
      <c r="U574" s="2">
        <f>[9]Unemployment!$F456</f>
        <v>15.9</v>
      </c>
      <c r="V574" s="2">
        <f>[9]Unemployment!$G456</f>
        <v>8.2000000000000011</v>
      </c>
      <c r="W574">
        <f>[9]Unemployment!$E456</f>
        <v>6656</v>
      </c>
      <c r="X574">
        <f>[9]Unemployment!N456</f>
        <v>2474</v>
      </c>
      <c r="Y574">
        <f>[9]Unemployment!O456</f>
        <v>2102</v>
      </c>
      <c r="Z574">
        <f>[9]Unemployment!P456-[9]Unemployment!Q456</f>
        <v>1000</v>
      </c>
      <c r="AA574">
        <f>[9]Unemployment!$Q456</f>
        <v>1074</v>
      </c>
      <c r="AB574" s="2">
        <f>[8]m!$B576</f>
        <v>5.1100000000000003</v>
      </c>
      <c r="AC574" s="2">
        <f>[8]m!$F576</f>
        <v>6.21</v>
      </c>
      <c r="AD574">
        <f>[9]Employment!$B456</f>
        <v>123417</v>
      </c>
      <c r="AE574" s="2">
        <f>[2]Indicators!$AB456</f>
        <v>81.771799999999999</v>
      </c>
      <c r="AF574" s="2">
        <f>[8]m!$AS576</f>
        <v>1301.6000000000001</v>
      </c>
      <c r="AG574" s="2">
        <f>[8]m!$H576</f>
        <v>7.15</v>
      </c>
      <c r="AH574" s="2">
        <f>[8]m!$I576</f>
        <v>7.7</v>
      </c>
      <c r="AI574" s="2">
        <f>[7]m!C575</f>
        <v>78622</v>
      </c>
      <c r="AJ574" s="2">
        <f>[7]m!D575</f>
        <v>87365</v>
      </c>
      <c r="AK574" s="2">
        <f>[2]Surveys_m!$AB456</f>
        <v>53.900000000000006</v>
      </c>
      <c r="AL574" s="4">
        <f t="shared" si="8"/>
        <v>4853.9671179883944</v>
      </c>
      <c r="AM574">
        <f>[2]Indicators!$BB456</f>
        <v>172654</v>
      </c>
      <c r="AN574" s="2">
        <v>98.2</v>
      </c>
      <c r="AO574">
        <f>[9]Unemployment!H456</f>
        <v>328</v>
      </c>
      <c r="AP574">
        <f>[9]Unemployment!I456</f>
        <v>1035</v>
      </c>
      <c r="AQ574" s="3">
        <f>[9]LaborForce!$B455*[9]LaborForce!$C455/100</f>
        <v>136595.47000000003</v>
      </c>
      <c r="AR574">
        <f>[9]Unemployment!$AC456</f>
        <v>332</v>
      </c>
      <c r="AS574">
        <f>[2]Indicators!BC456</f>
        <v>81.100000000000009</v>
      </c>
      <c r="AT574">
        <f>[2]Indicators!BD456</f>
        <v>85.969099999999997</v>
      </c>
      <c r="AU574">
        <f>[2]Indicators!BE456</f>
        <v>101.7483</v>
      </c>
      <c r="AV574">
        <f>[5]m!$O576</f>
        <v>81.570000000000007</v>
      </c>
    </row>
    <row r="575" spans="1:48" x14ac:dyDescent="0.25">
      <c r="A575" s="1">
        <v>35704</v>
      </c>
      <c r="B575" s="2">
        <f>[2]Indicators!G457</f>
        <v>5671.4920000000002</v>
      </c>
      <c r="C575" s="2">
        <f>[2]Indicators!H457</f>
        <v>724.64700000000005</v>
      </c>
      <c r="D575" s="2">
        <f>[2]Indicators!I457</f>
        <v>1304.308</v>
      </c>
      <c r="E575" s="2">
        <f>[2]Indicators!J457</f>
        <v>3642.5370000000003</v>
      </c>
      <c r="F575" s="2">
        <f>[2]Indicators!B457</f>
        <v>6608.652</v>
      </c>
      <c r="G575" s="2">
        <f>[2]Indicators!C457</f>
        <v>604.50700000000006</v>
      </c>
      <c r="H575" s="2">
        <f>[2]Indicators!D457</f>
        <v>1536.192</v>
      </c>
      <c r="I575" s="2">
        <f>[2]Indicators!E457</f>
        <v>4528.3500000000004</v>
      </c>
      <c r="J575" s="2">
        <f>[2]Indicators!L457</f>
        <v>208420</v>
      </c>
      <c r="K575" s="2">
        <f>[2]Indicators!M457</f>
        <v>142566</v>
      </c>
      <c r="L575" s="2">
        <f>[2]Indicators!N457</f>
        <v>15.434000000000001</v>
      </c>
      <c r="M575" s="2">
        <f>[2]Indicators!AB457</f>
        <v>82.317300000000003</v>
      </c>
      <c r="N575" s="2">
        <f>[8]m!$C577</f>
        <v>5.5</v>
      </c>
      <c r="O575">
        <f>[9]Unemployment!$B457</f>
        <v>4.7</v>
      </c>
      <c r="P575" s="2">
        <f>[2]Surveys_m!$B457</f>
        <v>123.4</v>
      </c>
      <c r="Q575">
        <f>[5]m!$B577</f>
        <v>161.5</v>
      </c>
      <c r="R575">
        <f>[5]m!$D577</f>
        <v>170.6</v>
      </c>
      <c r="S575">
        <f>[5]m!$Q577</f>
        <v>127.80000000000001</v>
      </c>
      <c r="T575">
        <f>[6]m!B577</f>
        <v>-35968</v>
      </c>
      <c r="U575" s="2">
        <f>[9]Unemployment!$F457</f>
        <v>16.100000000000001</v>
      </c>
      <c r="V575" s="2">
        <f>[9]Unemployment!$G457</f>
        <v>7.7</v>
      </c>
      <c r="W575">
        <f>[9]Unemployment!$E457</f>
        <v>6454</v>
      </c>
      <c r="X575">
        <f>[9]Unemployment!N457</f>
        <v>2566</v>
      </c>
      <c r="Y575">
        <f>[9]Unemployment!O457</f>
        <v>1966</v>
      </c>
      <c r="Z575">
        <f>[9]Unemployment!P457-[9]Unemployment!Q457</f>
        <v>916</v>
      </c>
      <c r="AA575">
        <f>[9]Unemployment!$Q457</f>
        <v>1034</v>
      </c>
      <c r="AB575" s="2">
        <f>[8]m!$B577</f>
        <v>5.2</v>
      </c>
      <c r="AC575" s="2">
        <f>[8]m!$F577</f>
        <v>6.03</v>
      </c>
      <c r="AD575">
        <f>[9]Employment!$B457</f>
        <v>123756</v>
      </c>
      <c r="AE575" s="2">
        <f>[2]Indicators!$AB457</f>
        <v>82.317300000000003</v>
      </c>
      <c r="AF575" s="2">
        <f>[8]m!$AS577</f>
        <v>1309.4000000000001</v>
      </c>
      <c r="AG575" s="2">
        <f>[8]m!$H577</f>
        <v>7</v>
      </c>
      <c r="AH575" s="2">
        <f>[8]m!$I577</f>
        <v>7.57</v>
      </c>
      <c r="AI575" s="2">
        <f>[7]m!C576</f>
        <v>79287</v>
      </c>
      <c r="AJ575" s="2">
        <f>[7]m!D576</f>
        <v>88556</v>
      </c>
      <c r="AK575" s="2">
        <f>[2]Surveys_m!$AB457</f>
        <v>56.400000000000006</v>
      </c>
      <c r="AL575" s="4">
        <f t="shared" si="8"/>
        <v>4760.0512572533844</v>
      </c>
      <c r="AM575">
        <f>[2]Indicators!$BB457</f>
        <v>172890</v>
      </c>
      <c r="AN575" s="2">
        <v>96.3</v>
      </c>
      <c r="AO575">
        <f>[9]Unemployment!H457</f>
        <v>302</v>
      </c>
      <c r="AP575">
        <f>[9]Unemployment!I457</f>
        <v>982</v>
      </c>
      <c r="AQ575" s="3">
        <f>[9]LaborForce!$B456*[9]LaborForce!$C456/100</f>
        <v>136727.65700000001</v>
      </c>
      <c r="AR575">
        <f>[9]Unemployment!$AC457</f>
        <v>317</v>
      </c>
      <c r="AS575">
        <f>[2]Indicators!BC457</f>
        <v>81.5</v>
      </c>
      <c r="AT575">
        <f>[2]Indicators!BD457</f>
        <v>86.3874</v>
      </c>
      <c r="AU575">
        <f>[2]Indicators!BE457</f>
        <v>101.833</v>
      </c>
      <c r="AV575">
        <f>[5]m!$O577</f>
        <v>81.83</v>
      </c>
    </row>
    <row r="576" spans="1:48" x14ac:dyDescent="0.25">
      <c r="A576" s="1">
        <v>35735</v>
      </c>
      <c r="B576" s="2">
        <f>[2]Indicators!G458</f>
        <v>5695.67</v>
      </c>
      <c r="C576" s="2">
        <f>[2]Indicators!H458</f>
        <v>740.71500000000003</v>
      </c>
      <c r="D576" s="2">
        <f>[2]Indicators!I458</f>
        <v>1313.1020000000001</v>
      </c>
      <c r="E576" s="2">
        <f>[2]Indicators!J458</f>
        <v>3641.8530000000001</v>
      </c>
      <c r="F576" s="2">
        <f>[2]Indicators!B458</f>
        <v>6634.549</v>
      </c>
      <c r="G576" s="2">
        <f>[2]Indicators!C458</f>
        <v>620.673</v>
      </c>
      <c r="H576" s="2">
        <f>[2]Indicators!D458</f>
        <v>1549.079</v>
      </c>
      <c r="I576" s="2">
        <f>[2]Indicators!E458</f>
        <v>4518.2910000000002</v>
      </c>
      <c r="J576" s="2">
        <f>[2]Indicators!L458</f>
        <v>209738</v>
      </c>
      <c r="K576" s="2">
        <f>[2]Indicators!M458</f>
        <v>143035</v>
      </c>
      <c r="L576" s="2">
        <f>[2]Indicators!N458</f>
        <v>15.833</v>
      </c>
      <c r="M576" s="2">
        <f>[2]Indicators!AB458</f>
        <v>83.044700000000006</v>
      </c>
      <c r="N576" s="2">
        <f>[8]m!$C578</f>
        <v>5.5200000000000005</v>
      </c>
      <c r="O576">
        <f>[9]Unemployment!$B458</f>
        <v>4.6000000000000005</v>
      </c>
      <c r="P576" s="2">
        <f>[2]Surveys_m!$B458</f>
        <v>128.1</v>
      </c>
      <c r="Q576">
        <f>[5]m!$B578</f>
        <v>161.70000000000002</v>
      </c>
      <c r="R576">
        <f>[5]m!$D578</f>
        <v>170.8</v>
      </c>
      <c r="S576">
        <f>[5]m!$Q578</f>
        <v>127.9</v>
      </c>
      <c r="T576">
        <f>[6]m!B578</f>
        <v>-17349</v>
      </c>
      <c r="U576" s="2">
        <f>[9]Unemployment!$F458</f>
        <v>15.4</v>
      </c>
      <c r="V576" s="2">
        <f>[9]Unemployment!$G458</f>
        <v>7.6000000000000005</v>
      </c>
      <c r="W576">
        <f>[9]Unemployment!$E458</f>
        <v>6308</v>
      </c>
      <c r="X576">
        <f>[9]Unemployment!N458</f>
        <v>2479</v>
      </c>
      <c r="Y576">
        <f>[9]Unemployment!O458</f>
        <v>2027</v>
      </c>
      <c r="Z576">
        <f>[9]Unemployment!P458-[9]Unemployment!Q458</f>
        <v>879</v>
      </c>
      <c r="AA576">
        <f>[9]Unemployment!$Q458</f>
        <v>938</v>
      </c>
      <c r="AB576" s="2">
        <f>[8]m!$B578</f>
        <v>5.23</v>
      </c>
      <c r="AC576" s="2">
        <f>[8]m!$F578</f>
        <v>5.88</v>
      </c>
      <c r="AD576">
        <f>[9]Employment!$B458</f>
        <v>124059</v>
      </c>
      <c r="AE576" s="2">
        <f>[2]Indicators!$AB458</f>
        <v>83.044700000000006</v>
      </c>
      <c r="AF576" s="2">
        <f>[8]m!$AS578</f>
        <v>1312.5</v>
      </c>
      <c r="AG576" s="2">
        <f>[8]m!$H578</f>
        <v>6.87</v>
      </c>
      <c r="AH576" s="2">
        <f>[8]m!$I578</f>
        <v>7.42</v>
      </c>
      <c r="AI576" s="2">
        <f>[7]m!C577</f>
        <v>79383</v>
      </c>
      <c r="AJ576" s="2">
        <f>[7]m!D577</f>
        <v>88472</v>
      </c>
      <c r="AK576" s="2">
        <f>[2]Surveys_m!$AB458</f>
        <v>55.7</v>
      </c>
      <c r="AL576" s="4">
        <f t="shared" si="8"/>
        <v>5051.6847195357832</v>
      </c>
      <c r="AM576">
        <f>[2]Indicators!$BB458</f>
        <v>184295</v>
      </c>
      <c r="AN576" s="2">
        <v>102.2</v>
      </c>
      <c r="AO576">
        <f>[9]Unemployment!H458</f>
        <v>331</v>
      </c>
      <c r="AP576">
        <f>[9]Unemployment!I458</f>
        <v>1006</v>
      </c>
      <c r="AQ576" s="3">
        <f>[9]LaborForce!$B457*[9]LaborForce!$C457/100</f>
        <v>137048.35200000001</v>
      </c>
      <c r="AR576">
        <f>[9]Unemployment!$AC458</f>
        <v>313</v>
      </c>
      <c r="AS576">
        <f>[2]Indicators!BC458</f>
        <v>81.8</v>
      </c>
      <c r="AT576">
        <f>[2]Indicators!BD458</f>
        <v>86.745699999999999</v>
      </c>
      <c r="AU576">
        <f>[2]Indicators!BE458</f>
        <v>101.8498</v>
      </c>
      <c r="AV576">
        <f>[5]m!$O578</f>
        <v>81.98</v>
      </c>
    </row>
    <row r="577" spans="1:48" x14ac:dyDescent="0.25">
      <c r="A577" s="1">
        <v>35765</v>
      </c>
      <c r="B577" s="2">
        <f>[2]Indicators!G459</f>
        <v>5727.1779999999999</v>
      </c>
      <c r="C577" s="2">
        <f>[2]Indicators!H459</f>
        <v>746.08199999999999</v>
      </c>
      <c r="D577" s="2">
        <f>[2]Indicators!I459</f>
        <v>1307.213</v>
      </c>
      <c r="E577" s="2">
        <f>[2]Indicators!J459</f>
        <v>3673.8830000000003</v>
      </c>
      <c r="F577" s="2">
        <f>[2]Indicators!B459</f>
        <v>6671.1540000000005</v>
      </c>
      <c r="G577" s="2">
        <f>[2]Indicators!C459</f>
        <v>626.53700000000003</v>
      </c>
      <c r="H577" s="2">
        <f>[2]Indicators!D459</f>
        <v>1544.1759999999999</v>
      </c>
      <c r="I577" s="2">
        <f>[2]Indicators!E459</f>
        <v>4553.6810000000005</v>
      </c>
      <c r="J577" s="2">
        <f>[2]Indicators!L459</f>
        <v>209832</v>
      </c>
      <c r="K577" s="2">
        <f>[2]Indicators!M459</f>
        <v>143227</v>
      </c>
      <c r="L577" s="2">
        <f>[2]Indicators!N459</f>
        <v>16.483000000000001</v>
      </c>
      <c r="M577" s="2">
        <f>[2]Indicators!AB459</f>
        <v>83.349800000000002</v>
      </c>
      <c r="N577" s="2">
        <f>[8]m!$C579</f>
        <v>5.5</v>
      </c>
      <c r="O577">
        <f>[9]Unemployment!$B459</f>
        <v>4.7</v>
      </c>
      <c r="P577" s="2">
        <f>[2]Surveys_m!$B459</f>
        <v>136.20000000000002</v>
      </c>
      <c r="Q577">
        <f>[5]m!$B579</f>
        <v>161.80000000000001</v>
      </c>
      <c r="R577">
        <f>[5]m!$D579</f>
        <v>171.20000000000002</v>
      </c>
      <c r="S577">
        <f>[5]m!$Q579</f>
        <v>126.80000000000001</v>
      </c>
      <c r="T577">
        <f>[6]m!B579</f>
        <v>13639</v>
      </c>
      <c r="U577" s="2">
        <f>[9]Unemployment!$F459</f>
        <v>15.9</v>
      </c>
      <c r="V577" s="2">
        <f>[9]Unemployment!$G459</f>
        <v>7.5</v>
      </c>
      <c r="W577">
        <f>[9]Unemployment!$E459</f>
        <v>6476</v>
      </c>
      <c r="X577">
        <f>[9]Unemployment!N459</f>
        <v>2534</v>
      </c>
      <c r="Y577">
        <f>[9]Unemployment!O459</f>
        <v>1937</v>
      </c>
      <c r="Z577">
        <f>[9]Unemployment!P459-[9]Unemployment!Q459</f>
        <v>917</v>
      </c>
      <c r="AA577">
        <f>[9]Unemployment!$Q459</f>
        <v>984</v>
      </c>
      <c r="AB577" s="2">
        <f>[8]m!$B579</f>
        <v>5.3500000000000005</v>
      </c>
      <c r="AC577" s="2">
        <f>[8]m!$F579</f>
        <v>5.8100000000000005</v>
      </c>
      <c r="AD577">
        <f>[9]Employment!$B459</f>
        <v>124358</v>
      </c>
      <c r="AE577" s="2">
        <f>[2]Indicators!$AB459</f>
        <v>83.349800000000002</v>
      </c>
      <c r="AF577" s="2">
        <f>[8]m!$AS579</f>
        <v>1324.8000000000002</v>
      </c>
      <c r="AG577" s="2">
        <f>[8]m!$H579</f>
        <v>6.76</v>
      </c>
      <c r="AH577" s="2">
        <f>[8]m!$I579</f>
        <v>7.32</v>
      </c>
      <c r="AI577" s="2">
        <f>[7]m!C578</f>
        <v>78300</v>
      </c>
      <c r="AJ577" s="2">
        <f>[7]m!D578</f>
        <v>88086</v>
      </c>
      <c r="AK577" s="2">
        <f>[2]Surveys_m!$AB459</f>
        <v>54.5</v>
      </c>
      <c r="AL577" s="4">
        <f t="shared" si="8"/>
        <v>4740.2794970986461</v>
      </c>
      <c r="AM577">
        <f>[2]Indicators!$BB459</f>
        <v>169165</v>
      </c>
      <c r="AN577" s="2">
        <v>95.9</v>
      </c>
      <c r="AO577">
        <f>[9]Unemployment!H459</f>
        <v>345</v>
      </c>
      <c r="AP577">
        <f>[9]Unemployment!I459</f>
        <v>1108</v>
      </c>
      <c r="AQ577" s="3">
        <f>[9]LaborForce!$B458*[9]LaborForce!$C458/100</f>
        <v>137153.85600000003</v>
      </c>
      <c r="AR577">
        <f>[9]Unemployment!$AC459</f>
        <v>318</v>
      </c>
      <c r="AS577">
        <f>[2]Indicators!BC459</f>
        <v>81.600000000000009</v>
      </c>
      <c r="AT577">
        <f>[2]Indicators!BD459</f>
        <v>87.035700000000006</v>
      </c>
      <c r="AU577">
        <f>[2]Indicators!BE459</f>
        <v>101.79</v>
      </c>
      <c r="AV577">
        <f>[5]m!$O579</f>
        <v>82.31</v>
      </c>
    </row>
    <row r="578" spans="1:48" x14ac:dyDescent="0.25">
      <c r="A578" s="1">
        <v>35796</v>
      </c>
      <c r="B578" s="2">
        <f>[2]Indicators!G460</f>
        <v>5725.64</v>
      </c>
      <c r="C578" s="2">
        <f>[2]Indicators!H460</f>
        <v>733.12200000000007</v>
      </c>
      <c r="D578" s="2">
        <f>[2]Indicators!I460</f>
        <v>1309.9649999999999</v>
      </c>
      <c r="E578" s="2">
        <f>[2]Indicators!J460</f>
        <v>3682.5529999999999</v>
      </c>
      <c r="F578" s="2">
        <f>[2]Indicators!B460</f>
        <v>6665.63</v>
      </c>
      <c r="G578" s="2">
        <f>[2]Indicators!C460</f>
        <v>616.87300000000005</v>
      </c>
      <c r="H578" s="2">
        <f>[2]Indicators!D460</f>
        <v>1550.5509999999999</v>
      </c>
      <c r="I578" s="2">
        <f>[2]Indicators!E460</f>
        <v>4555.317</v>
      </c>
      <c r="J578" s="2">
        <f>[2]Indicators!L460</f>
        <v>210277</v>
      </c>
      <c r="K578" s="2">
        <f>[2]Indicators!M460</f>
        <v>143363</v>
      </c>
      <c r="L578" s="2">
        <f>[2]Indicators!N460</f>
        <v>14.759</v>
      </c>
      <c r="M578" s="2">
        <f>[2]Indicators!AB460</f>
        <v>83.748100000000008</v>
      </c>
      <c r="N578" s="2">
        <f>[8]m!$C580</f>
        <v>5.5600000000000005</v>
      </c>
      <c r="O578">
        <f>[9]Unemployment!$B460</f>
        <v>4.6000000000000005</v>
      </c>
      <c r="P578" s="2">
        <f>[2]Surveys_m!$B460</f>
        <v>128.30000000000001</v>
      </c>
      <c r="Q578">
        <f>[5]m!$B580</f>
        <v>162</v>
      </c>
      <c r="R578">
        <f>[5]m!$D580</f>
        <v>171.6</v>
      </c>
      <c r="S578">
        <f>[5]m!$Q580</f>
        <v>125.4</v>
      </c>
      <c r="T578">
        <f>[6]m!B580</f>
        <v>25379</v>
      </c>
      <c r="U578" s="2">
        <f>[9]Unemployment!$F460</f>
        <v>15.600000000000001</v>
      </c>
      <c r="V578" s="2">
        <f>[9]Unemployment!$G460</f>
        <v>7.4</v>
      </c>
      <c r="W578">
        <f>[9]Unemployment!$E460</f>
        <v>6368</v>
      </c>
      <c r="X578">
        <f>[9]Unemployment!N460</f>
        <v>2587</v>
      </c>
      <c r="Y578">
        <f>[9]Unemployment!O460</f>
        <v>1929</v>
      </c>
      <c r="Z578">
        <f>[9]Unemployment!P460-[9]Unemployment!Q460</f>
        <v>838</v>
      </c>
      <c r="AA578">
        <f>[9]Unemployment!$Q460</f>
        <v>995</v>
      </c>
      <c r="AB578" s="2">
        <f>[8]m!$B580</f>
        <v>5.18</v>
      </c>
      <c r="AC578" s="2">
        <f>[8]m!$F580</f>
        <v>5.54</v>
      </c>
      <c r="AD578">
        <f>[9]Employment!$B460</f>
        <v>124628</v>
      </c>
      <c r="AE578" s="2">
        <f>[2]Indicators!$AB460</f>
        <v>83.748100000000008</v>
      </c>
      <c r="AF578" s="2">
        <f>[8]m!$AS580</f>
        <v>1320</v>
      </c>
      <c r="AG578" s="2">
        <f>[8]m!$H580</f>
        <v>6.61</v>
      </c>
      <c r="AH578" s="2">
        <f>[8]m!$I580</f>
        <v>7.19</v>
      </c>
      <c r="AI578" s="2">
        <f>[7]m!C579</f>
        <v>79038</v>
      </c>
      <c r="AJ578" s="2">
        <f>[7]m!D579</f>
        <v>90327</v>
      </c>
      <c r="AK578" s="2">
        <f>[2]Surveys_m!$AB460</f>
        <v>53.800000000000004</v>
      </c>
      <c r="AL578" s="4">
        <f t="shared" si="8"/>
        <v>4923.1682785299799</v>
      </c>
      <c r="AM578">
        <f>[2]Indicators!$BB460</f>
        <v>168192</v>
      </c>
      <c r="AN578" s="2">
        <v>99.6</v>
      </c>
      <c r="AO578">
        <f>[9]Unemployment!H460</f>
        <v>374</v>
      </c>
      <c r="AP578">
        <f>[9]Unemployment!I460</f>
        <v>1105</v>
      </c>
      <c r="AQ578" s="3">
        <f>[9]LaborForce!$B459*[9]LaborForce!$C459/100</f>
        <v>137043.69800000003</v>
      </c>
      <c r="AR578">
        <f>[9]Unemployment!$AC460</f>
        <v>303</v>
      </c>
      <c r="AS578">
        <f>[2]Indicators!BC460</f>
        <v>81.7</v>
      </c>
      <c r="AT578">
        <f>[2]Indicators!BD460</f>
        <v>87.286100000000005</v>
      </c>
      <c r="AU578">
        <f>[2]Indicators!BE460</f>
        <v>101.6883</v>
      </c>
      <c r="AV578">
        <f>[5]m!$O580</f>
        <v>82.7</v>
      </c>
    </row>
    <row r="579" spans="1:48" x14ac:dyDescent="0.25">
      <c r="A579" s="1">
        <v>35827</v>
      </c>
      <c r="B579" s="2">
        <f>[2]Indicators!G461</f>
        <v>5760.0309999999999</v>
      </c>
      <c r="C579" s="2">
        <f>[2]Indicators!H461</f>
        <v>739.62900000000002</v>
      </c>
      <c r="D579" s="2">
        <f>[2]Indicators!I461</f>
        <v>1307.1100000000001</v>
      </c>
      <c r="E579" s="2">
        <f>[2]Indicators!J461</f>
        <v>3713.2919999999999</v>
      </c>
      <c r="F579" s="2">
        <f>[2]Indicators!B461</f>
        <v>6708.6660000000002</v>
      </c>
      <c r="G579" s="2">
        <f>[2]Indicators!C461</f>
        <v>624.30500000000006</v>
      </c>
      <c r="H579" s="2">
        <f>[2]Indicators!D461</f>
        <v>1553.172</v>
      </c>
      <c r="I579" s="2">
        <f>[2]Indicators!E461</f>
        <v>4587.3230000000003</v>
      </c>
      <c r="J579" s="2">
        <f>[2]Indicators!L461</f>
        <v>210218</v>
      </c>
      <c r="K579" s="2">
        <f>[2]Indicators!M461</f>
        <v>143459</v>
      </c>
      <c r="L579" s="2">
        <f>[2]Indicators!N461</f>
        <v>15.194000000000001</v>
      </c>
      <c r="M579" s="2">
        <f>[2]Indicators!AB461</f>
        <v>83.804200000000009</v>
      </c>
      <c r="N579" s="2">
        <f>[8]m!$C581</f>
        <v>5.51</v>
      </c>
      <c r="O579">
        <f>[9]Unemployment!$B461</f>
        <v>4.6000000000000005</v>
      </c>
      <c r="P579" s="2">
        <f>[2]Surveys_m!$B461</f>
        <v>137.4</v>
      </c>
      <c r="Q579">
        <f>[5]m!$B581</f>
        <v>162</v>
      </c>
      <c r="R579">
        <f>[5]m!$D581</f>
        <v>171.9</v>
      </c>
      <c r="S579">
        <f>[5]m!$Q581</f>
        <v>125</v>
      </c>
      <c r="T579">
        <f>[6]m!B581</f>
        <v>-41750</v>
      </c>
      <c r="U579" s="2">
        <f>[9]Unemployment!$F461</f>
        <v>15.4</v>
      </c>
      <c r="V579" s="2">
        <f>[9]Unemployment!$G461</f>
        <v>7</v>
      </c>
      <c r="W579">
        <f>[9]Unemployment!$E461</f>
        <v>6306</v>
      </c>
      <c r="X579">
        <f>[9]Unemployment!N461</f>
        <v>2572</v>
      </c>
      <c r="Y579">
        <f>[9]Unemployment!O461</f>
        <v>1918</v>
      </c>
      <c r="Z579">
        <f>[9]Unemployment!P461-[9]Unemployment!Q461</f>
        <v>852</v>
      </c>
      <c r="AA579">
        <f>[9]Unemployment!$Q461</f>
        <v>957</v>
      </c>
      <c r="AB579" s="2">
        <f>[8]m!$B581</f>
        <v>5.33</v>
      </c>
      <c r="AC579" s="2">
        <f>[8]m!$F581</f>
        <v>5.57</v>
      </c>
      <c r="AD579">
        <f>[9]Employment!$B461</f>
        <v>124817</v>
      </c>
      <c r="AE579" s="2">
        <f>[2]Indicators!$AB461</f>
        <v>83.804200000000009</v>
      </c>
      <c r="AF579" s="2">
        <f>[8]m!$AS581</f>
        <v>1324.3000000000002</v>
      </c>
      <c r="AG579" s="2">
        <f>[8]m!$H581</f>
        <v>6.67</v>
      </c>
      <c r="AH579" s="2">
        <f>[8]m!$I581</f>
        <v>7.25</v>
      </c>
      <c r="AI579" s="2">
        <f>[7]m!C580</f>
        <v>79008</v>
      </c>
      <c r="AJ579" s="2">
        <f>[7]m!D580</f>
        <v>89784</v>
      </c>
      <c r="AK579" s="2">
        <f>[2]Surveys_m!$AB461</f>
        <v>52.900000000000006</v>
      </c>
      <c r="AL579" s="4">
        <f t="shared" si="8"/>
        <v>5051.6847195357832</v>
      </c>
      <c r="AM579">
        <f>[2]Indicators!$BB461</f>
        <v>175142</v>
      </c>
      <c r="AN579" s="2">
        <v>102.2</v>
      </c>
      <c r="AO579">
        <f>[9]Unemployment!H461</f>
        <v>361</v>
      </c>
      <c r="AP579">
        <f>[9]Unemployment!I461</f>
        <v>1117</v>
      </c>
      <c r="AQ579" s="3">
        <f>[9]LaborForce!$B460*[9]LaborForce!$C460/100</f>
        <v>137152.40000000002</v>
      </c>
      <c r="AR579">
        <f>[9]Unemployment!$AC461</f>
        <v>315</v>
      </c>
      <c r="AS579">
        <f>[2]Indicators!BC461</f>
        <v>82.5</v>
      </c>
      <c r="AT579">
        <f>[2]Indicators!BD461</f>
        <v>87.499200000000002</v>
      </c>
      <c r="AU579">
        <f>[2]Indicators!BE461</f>
        <v>101.5484</v>
      </c>
      <c r="AV579">
        <f>[5]m!$O581</f>
        <v>83.13</v>
      </c>
    </row>
    <row r="580" spans="1:48" x14ac:dyDescent="0.25">
      <c r="A580" s="1">
        <v>35855</v>
      </c>
      <c r="B580" s="2">
        <f>[2]Indicators!G462</f>
        <v>5786.88</v>
      </c>
      <c r="C580" s="2">
        <f>[2]Indicators!H462</f>
        <v>741.01599999999996</v>
      </c>
      <c r="D580" s="2">
        <f>[2]Indicators!I462</f>
        <v>1304.8140000000001</v>
      </c>
      <c r="E580" s="2">
        <f>[2]Indicators!J462</f>
        <v>3741.05</v>
      </c>
      <c r="F580" s="2">
        <f>[2]Indicators!B462</f>
        <v>6738.13</v>
      </c>
      <c r="G580" s="2">
        <f>[2]Indicators!C462</f>
        <v>626.05399999999997</v>
      </c>
      <c r="H580" s="2">
        <f>[2]Indicators!D462</f>
        <v>1559.93</v>
      </c>
      <c r="I580" s="2">
        <f>[2]Indicators!E462</f>
        <v>4608.9430000000002</v>
      </c>
      <c r="J580" s="2">
        <f>[2]Indicators!L462</f>
        <v>211566</v>
      </c>
      <c r="K580" s="2">
        <f>[2]Indicators!M462</f>
        <v>144381</v>
      </c>
      <c r="L580" s="2">
        <f>[2]Indicators!N462</f>
        <v>15.368</v>
      </c>
      <c r="M580" s="2">
        <f>[2]Indicators!AB462</f>
        <v>83.864100000000008</v>
      </c>
      <c r="N580" s="2">
        <f>[8]m!$C582</f>
        <v>5.49</v>
      </c>
      <c r="O580">
        <f>[9]Unemployment!$B462</f>
        <v>4.7</v>
      </c>
      <c r="P580" s="2">
        <f>[2]Surveys_m!$B462</f>
        <v>133.80000000000001</v>
      </c>
      <c r="Q580">
        <f>[5]m!$B582</f>
        <v>162</v>
      </c>
      <c r="R580">
        <f>[5]m!$D582</f>
        <v>172.20000000000002</v>
      </c>
      <c r="S580">
        <f>[5]m!$Q582</f>
        <v>124.7</v>
      </c>
      <c r="T580">
        <f>[6]m!B582</f>
        <v>-13813</v>
      </c>
      <c r="U580" s="2">
        <f>[9]Unemployment!$F462</f>
        <v>14.5</v>
      </c>
      <c r="V580" s="2">
        <f>[9]Unemployment!$G462</f>
        <v>6.8000000000000007</v>
      </c>
      <c r="W580">
        <f>[9]Unemployment!$E462</f>
        <v>6422</v>
      </c>
      <c r="X580">
        <f>[9]Unemployment!N462</f>
        <v>2789</v>
      </c>
      <c r="Y580">
        <f>[9]Unemployment!O462</f>
        <v>1972</v>
      </c>
      <c r="Z580">
        <f>[9]Unemployment!P462-[9]Unemployment!Q462</f>
        <v>854</v>
      </c>
      <c r="AA580">
        <f>[9]Unemployment!$Q462</f>
        <v>918</v>
      </c>
      <c r="AB580" s="2">
        <f>[8]m!$B582</f>
        <v>5.16</v>
      </c>
      <c r="AC580" s="2">
        <f>[8]m!$F582</f>
        <v>5.65</v>
      </c>
      <c r="AD580">
        <f>[9]Employment!$B462</f>
        <v>124961</v>
      </c>
      <c r="AE580" s="2">
        <f>[2]Indicators!$AB462</f>
        <v>83.864100000000008</v>
      </c>
      <c r="AF580" s="2">
        <f>[8]m!$AS582</f>
        <v>1332.9</v>
      </c>
      <c r="AG580" s="2">
        <f>[8]m!$H582</f>
        <v>6.72</v>
      </c>
      <c r="AH580" s="2">
        <f>[8]m!$I582</f>
        <v>7.32</v>
      </c>
      <c r="AI580" s="2">
        <f>[7]m!C581</f>
        <v>77931</v>
      </c>
      <c r="AJ580" s="2">
        <f>[7]m!D581</f>
        <v>89495</v>
      </c>
      <c r="AK580" s="2">
        <f>[2]Surveys_m!$AB462</f>
        <v>52.900000000000006</v>
      </c>
      <c r="AL580" s="4">
        <f t="shared" si="8"/>
        <v>5017.08413926499</v>
      </c>
      <c r="AM580">
        <f>[2]Indicators!$BB462</f>
        <v>172020</v>
      </c>
      <c r="AN580" s="2">
        <v>101.5</v>
      </c>
      <c r="AO580">
        <f>[9]Unemployment!H462</f>
        <v>343</v>
      </c>
      <c r="AP580">
        <f>[9]Unemployment!I462</f>
        <v>1083</v>
      </c>
      <c r="AQ580" s="3">
        <f>[9]LaborForce!$B461*[9]LaborForce!$C461/100</f>
        <v>137250.36600000001</v>
      </c>
      <c r="AR580">
        <f>[9]Unemployment!$AC462</f>
        <v>317</v>
      </c>
      <c r="AS580">
        <f>[2]Indicators!BC462</f>
        <v>82.5</v>
      </c>
      <c r="AT580">
        <f>[2]Indicators!BD462</f>
        <v>87.644900000000007</v>
      </c>
      <c r="AU580">
        <f>[2]Indicators!BE462</f>
        <v>101.3361</v>
      </c>
      <c r="AV580">
        <f>[5]m!$O582</f>
        <v>83.87</v>
      </c>
    </row>
    <row r="581" spans="1:48" x14ac:dyDescent="0.25">
      <c r="A581" s="1">
        <v>35886</v>
      </c>
      <c r="B581" s="2">
        <f>[2]Indicators!G463</f>
        <v>5825.0550000000003</v>
      </c>
      <c r="C581" s="2">
        <f>[2]Indicators!H463</f>
        <v>758.56299999999999</v>
      </c>
      <c r="D581" s="2">
        <f>[2]Indicators!I463</f>
        <v>1314.3810000000001</v>
      </c>
      <c r="E581" s="2">
        <f>[2]Indicators!J463</f>
        <v>3752.11</v>
      </c>
      <c r="F581" s="2">
        <f>[2]Indicators!B463</f>
        <v>6772.4279999999999</v>
      </c>
      <c r="G581" s="2">
        <f>[2]Indicators!C463</f>
        <v>640.53</v>
      </c>
      <c r="H581" s="2">
        <f>[2]Indicators!D463</f>
        <v>1570.8109999999999</v>
      </c>
      <c r="I581" s="2">
        <f>[2]Indicators!E463</f>
        <v>4612.8860000000004</v>
      </c>
      <c r="J581" s="2">
        <f>[2]Indicators!L463</f>
        <v>214043</v>
      </c>
      <c r="K581" s="2">
        <f>[2]Indicators!M463</f>
        <v>145792</v>
      </c>
      <c r="L581" s="2">
        <f>[2]Indicators!N463</f>
        <v>15.884</v>
      </c>
      <c r="M581" s="2">
        <f>[2]Indicators!AB463</f>
        <v>84.183300000000003</v>
      </c>
      <c r="N581" s="2">
        <f>[8]m!$C583</f>
        <v>5.45</v>
      </c>
      <c r="O581">
        <f>[9]Unemployment!$B463</f>
        <v>4.3</v>
      </c>
      <c r="P581" s="2">
        <f>[2]Surveys_m!$B463</f>
        <v>137.20000000000002</v>
      </c>
      <c r="Q581">
        <f>[5]m!$B583</f>
        <v>162.20000000000002</v>
      </c>
      <c r="R581">
        <f>[5]m!$D583</f>
        <v>172.5</v>
      </c>
      <c r="S581">
        <f>[5]m!$Q583</f>
        <v>124.9</v>
      </c>
      <c r="T581">
        <f>[6]m!B583</f>
        <v>124603</v>
      </c>
      <c r="U581" s="2">
        <f>[9]Unemployment!$F463</f>
        <v>14.700000000000001</v>
      </c>
      <c r="V581" s="2">
        <f>[9]Unemployment!$G463</f>
        <v>6.7</v>
      </c>
      <c r="W581">
        <f>[9]Unemployment!$E463</f>
        <v>5941</v>
      </c>
      <c r="X581">
        <f>[9]Unemployment!N463</f>
        <v>2628</v>
      </c>
      <c r="Y581">
        <f>[9]Unemployment!O463</f>
        <v>1918</v>
      </c>
      <c r="Z581">
        <f>[9]Unemployment!P463-[9]Unemployment!Q463</f>
        <v>593</v>
      </c>
      <c r="AA581">
        <f>[9]Unemployment!$Q463</f>
        <v>883</v>
      </c>
      <c r="AB581" s="2">
        <f>[8]m!$B583</f>
        <v>4.9800000000000004</v>
      </c>
      <c r="AC581" s="2">
        <f>[8]m!$F583</f>
        <v>5.64</v>
      </c>
      <c r="AD581">
        <f>[9]Employment!$B463</f>
        <v>125238</v>
      </c>
      <c r="AE581" s="2">
        <f>[2]Indicators!$AB463</f>
        <v>84.183300000000003</v>
      </c>
      <c r="AF581" s="2">
        <f>[8]m!$AS583</f>
        <v>1360.5</v>
      </c>
      <c r="AG581" s="2">
        <f>[8]m!$H583</f>
        <v>6.69</v>
      </c>
      <c r="AH581" s="2">
        <f>[8]m!$I583</f>
        <v>7.33</v>
      </c>
      <c r="AI581" s="2">
        <f>[7]m!C582</f>
        <v>78812</v>
      </c>
      <c r="AJ581" s="2">
        <f>[7]m!D582</f>
        <v>91692</v>
      </c>
      <c r="AK581" s="2">
        <f>[2]Surveys_m!$AB463</f>
        <v>52.2</v>
      </c>
      <c r="AL581" s="4">
        <f t="shared" si="8"/>
        <v>5036.8558994197292</v>
      </c>
      <c r="AM581">
        <f>[2]Indicators!$BB463</f>
        <v>173301</v>
      </c>
      <c r="AN581" s="2">
        <v>101.9</v>
      </c>
      <c r="AO581">
        <f>[9]Unemployment!H463</f>
        <v>344</v>
      </c>
      <c r="AP581">
        <f>[9]Unemployment!I463</f>
        <v>934</v>
      </c>
      <c r="AQ581" s="3">
        <f>[9]LaborForce!$B462*[9]LaborForce!$C462/100</f>
        <v>137169.76999999999</v>
      </c>
      <c r="AR581">
        <f>[9]Unemployment!$AC463</f>
        <v>312</v>
      </c>
      <c r="AS581">
        <f>[2]Indicators!BC463</f>
        <v>82.600000000000009</v>
      </c>
      <c r="AT581">
        <f>[2]Indicators!BD463</f>
        <v>87.721800000000002</v>
      </c>
      <c r="AU581">
        <f>[2]Indicators!BE463</f>
        <v>101.05110000000001</v>
      </c>
      <c r="AV581">
        <f>[5]m!$O583</f>
        <v>84.69</v>
      </c>
    </row>
    <row r="582" spans="1:48" x14ac:dyDescent="0.25">
      <c r="A582" s="1">
        <v>35916</v>
      </c>
      <c r="B582" s="2">
        <f>[2]Indicators!G464</f>
        <v>5875.6580000000004</v>
      </c>
      <c r="C582" s="2">
        <f>[2]Indicators!H464</f>
        <v>778.83799999999997</v>
      </c>
      <c r="D582" s="2">
        <f>[2]Indicators!I464</f>
        <v>1318.578</v>
      </c>
      <c r="E582" s="2">
        <f>[2]Indicators!J464</f>
        <v>3778.2420000000002</v>
      </c>
      <c r="F582" s="2">
        <f>[2]Indicators!B464</f>
        <v>6820.6810000000005</v>
      </c>
      <c r="G582" s="2">
        <f>[2]Indicators!C464</f>
        <v>662.57500000000005</v>
      </c>
      <c r="H582" s="2">
        <f>[2]Indicators!D464</f>
        <v>1568.9929999999999</v>
      </c>
      <c r="I582" s="2">
        <f>[2]Indicators!E464</f>
        <v>4633.7780000000002</v>
      </c>
      <c r="J582" s="2">
        <f>[2]Indicators!L464</f>
        <v>215264</v>
      </c>
      <c r="K582" s="2">
        <f>[2]Indicators!M464</f>
        <v>146237</v>
      </c>
      <c r="L582" s="2">
        <f>[2]Indicators!N464</f>
        <v>17.019000000000002</v>
      </c>
      <c r="M582" s="2">
        <f>[2]Indicators!AB464</f>
        <v>84.760600000000011</v>
      </c>
      <c r="N582" s="2">
        <f>[8]m!$C584</f>
        <v>5.49</v>
      </c>
      <c r="O582">
        <f>[9]Unemployment!$B464</f>
        <v>4.4000000000000004</v>
      </c>
      <c r="P582" s="2">
        <f>[2]Surveys_m!$B464</f>
        <v>136.30000000000001</v>
      </c>
      <c r="Q582">
        <f>[5]m!$B584</f>
        <v>162.6</v>
      </c>
      <c r="R582">
        <f>[5]m!$D584</f>
        <v>172.9</v>
      </c>
      <c r="S582">
        <f>[5]m!$Q584</f>
        <v>125.10000000000001</v>
      </c>
      <c r="T582">
        <f>[6]m!B584</f>
        <v>-38779</v>
      </c>
      <c r="U582" s="2">
        <f>[9]Unemployment!$F464</f>
        <v>14.700000000000001</v>
      </c>
      <c r="V582" s="2">
        <f>[9]Unemployment!$G464</f>
        <v>6</v>
      </c>
      <c r="W582">
        <f>[9]Unemployment!$E464</f>
        <v>6047</v>
      </c>
      <c r="X582">
        <f>[9]Unemployment!N464</f>
        <v>2641</v>
      </c>
      <c r="Y582">
        <f>[9]Unemployment!O464</f>
        <v>1950</v>
      </c>
      <c r="Z582">
        <f>[9]Unemployment!P464-[9]Unemployment!Q464</f>
        <v>651</v>
      </c>
      <c r="AA582">
        <f>[9]Unemployment!$Q464</f>
        <v>839</v>
      </c>
      <c r="AB582" s="2">
        <f>[8]m!$B584</f>
        <v>5.0200000000000005</v>
      </c>
      <c r="AC582" s="2">
        <f>[8]m!$F584</f>
        <v>5.65</v>
      </c>
      <c r="AD582">
        <f>[9]Employment!$B464</f>
        <v>125639</v>
      </c>
      <c r="AE582" s="2">
        <f>[2]Indicators!$AB464</f>
        <v>84.760600000000011</v>
      </c>
      <c r="AF582" s="2">
        <f>[8]m!$AS584</f>
        <v>1363.1000000000001</v>
      </c>
      <c r="AG582" s="2">
        <f>[8]m!$H584</f>
        <v>6.69</v>
      </c>
      <c r="AH582" s="2">
        <f>[8]m!$I584</f>
        <v>7.3</v>
      </c>
      <c r="AI582" s="2">
        <f>[7]m!C583</f>
        <v>77626</v>
      </c>
      <c r="AJ582" s="2">
        <f>[7]m!D583</f>
        <v>91566</v>
      </c>
      <c r="AK582" s="2">
        <f>[2]Surveys_m!$AB464</f>
        <v>50.900000000000006</v>
      </c>
      <c r="AL582" s="4">
        <f t="shared" si="8"/>
        <v>5056.6276595744675</v>
      </c>
      <c r="AM582">
        <f>[2]Indicators!$BB464</f>
        <v>174522</v>
      </c>
      <c r="AN582" s="2">
        <v>102.3</v>
      </c>
      <c r="AO582">
        <f>[9]Unemployment!H464</f>
        <v>268</v>
      </c>
      <c r="AP582">
        <f>[9]Unemployment!I464</f>
        <v>946</v>
      </c>
      <c r="AQ582" s="3">
        <f>[9]LaborForce!$B463*[9]LaborForce!$C463/100</f>
        <v>137282.32999999999</v>
      </c>
      <c r="AR582">
        <f>[9]Unemployment!$AC464</f>
        <v>304</v>
      </c>
      <c r="AS582">
        <f>[2]Indicators!BC464</f>
        <v>82.7</v>
      </c>
      <c r="AT582">
        <f>[2]Indicators!BD464</f>
        <v>87.737099999999998</v>
      </c>
      <c r="AU582">
        <f>[2]Indicators!BE464</f>
        <v>100.70270000000001</v>
      </c>
      <c r="AV582">
        <f>[5]m!$O584</f>
        <v>85.77</v>
      </c>
    </row>
    <row r="583" spans="1:48" x14ac:dyDescent="0.25">
      <c r="A583" s="1">
        <v>35947</v>
      </c>
      <c r="B583" s="2">
        <f>[2]Indicators!G465</f>
        <v>5909.9310000000005</v>
      </c>
      <c r="C583" s="2">
        <f>[2]Indicators!H465</f>
        <v>771.97900000000004</v>
      </c>
      <c r="D583" s="2">
        <f>[2]Indicators!I465</f>
        <v>1329.373</v>
      </c>
      <c r="E583" s="2">
        <f>[2]Indicators!J465</f>
        <v>3808.5790000000002</v>
      </c>
      <c r="F583" s="2">
        <f>[2]Indicators!B465</f>
        <v>6865.24</v>
      </c>
      <c r="G583" s="2">
        <f>[2]Indicators!C465</f>
        <v>659.33699999999999</v>
      </c>
      <c r="H583" s="2">
        <f>[2]Indicators!D465</f>
        <v>1581.4590000000001</v>
      </c>
      <c r="I583" s="2">
        <f>[2]Indicators!E465</f>
        <v>4672.607</v>
      </c>
      <c r="J583" s="2">
        <f>[2]Indicators!L465</f>
        <v>216403</v>
      </c>
      <c r="K583" s="2">
        <f>[2]Indicators!M465</f>
        <v>146868</v>
      </c>
      <c r="L583" s="2">
        <f>[2]Indicators!N465</f>
        <v>16.737000000000002</v>
      </c>
      <c r="M583" s="2">
        <f>[2]Indicators!AB465</f>
        <v>84.280900000000003</v>
      </c>
      <c r="N583" s="2">
        <f>[8]m!$C585</f>
        <v>5.5600000000000005</v>
      </c>
      <c r="O583">
        <f>[9]Unemployment!$B465</f>
        <v>4.5</v>
      </c>
      <c r="P583" s="2">
        <f>[2]Surveys_m!$B465</f>
        <v>138.20000000000002</v>
      </c>
      <c r="Q583">
        <f>[5]m!$B585</f>
        <v>162.80000000000001</v>
      </c>
      <c r="R583">
        <f>[5]m!$D585</f>
        <v>173.20000000000002</v>
      </c>
      <c r="S583">
        <f>[5]m!$Q585</f>
        <v>124.80000000000001</v>
      </c>
      <c r="T583">
        <f>[6]m!B585</f>
        <v>51106</v>
      </c>
      <c r="U583" s="2">
        <f>[9]Unemployment!$F465</f>
        <v>14.100000000000001</v>
      </c>
      <c r="V583" s="2">
        <f>[9]Unemployment!$G465</f>
        <v>6.9</v>
      </c>
      <c r="W583">
        <f>[9]Unemployment!$E465</f>
        <v>6212</v>
      </c>
      <c r="X583">
        <f>[9]Unemployment!N465</f>
        <v>2546</v>
      </c>
      <c r="Y583">
        <f>[9]Unemployment!O465</f>
        <v>2079</v>
      </c>
      <c r="Z583">
        <f>[9]Unemployment!P465-[9]Unemployment!Q465</f>
        <v>824</v>
      </c>
      <c r="AA583">
        <f>[9]Unemployment!$Q465</f>
        <v>789</v>
      </c>
      <c r="AB583" s="2">
        <f>[8]m!$B585</f>
        <v>5.1000000000000005</v>
      </c>
      <c r="AC583" s="2">
        <f>[8]m!$F585</f>
        <v>5.5</v>
      </c>
      <c r="AD583">
        <f>[9]Employment!$B465</f>
        <v>125851</v>
      </c>
      <c r="AE583" s="2">
        <f>[2]Indicators!$AB465</f>
        <v>84.280900000000003</v>
      </c>
      <c r="AF583" s="2">
        <f>[8]m!$AS585</f>
        <v>1373.9</v>
      </c>
      <c r="AG583" s="2">
        <f>[8]m!$H585</f>
        <v>6.53</v>
      </c>
      <c r="AH583" s="2">
        <f>[8]m!$I585</f>
        <v>7.13</v>
      </c>
      <c r="AI583" s="2">
        <f>[7]m!C584</f>
        <v>77147</v>
      </c>
      <c r="AJ583" s="2">
        <f>[7]m!D584</f>
        <v>91349</v>
      </c>
      <c r="AK583" s="2">
        <f>[2]Surveys_m!$AB465</f>
        <v>48.900000000000006</v>
      </c>
      <c r="AL583" s="4">
        <f t="shared" si="8"/>
        <v>4967.6547388781428</v>
      </c>
      <c r="AM583">
        <f>[2]Indicators!$BB465</f>
        <v>167959</v>
      </c>
      <c r="AN583" s="2">
        <v>100.5</v>
      </c>
      <c r="AO583">
        <f>[9]Unemployment!H465</f>
        <v>311</v>
      </c>
      <c r="AP583">
        <f>[9]Unemployment!I465</f>
        <v>902</v>
      </c>
      <c r="AQ583" s="3">
        <f>[9]LaborForce!$B464*[9]LaborForce!$C464/100</f>
        <v>137406.95000000001</v>
      </c>
      <c r="AR583">
        <f>[9]Unemployment!$AC465</f>
        <v>322</v>
      </c>
      <c r="AS583">
        <f>[2]Indicators!BC465</f>
        <v>82.3</v>
      </c>
      <c r="AT583">
        <f>[2]Indicators!BD465</f>
        <v>87.714200000000005</v>
      </c>
      <c r="AU583">
        <f>[2]Indicators!BE465</f>
        <v>100.3185</v>
      </c>
      <c r="AV583">
        <f>[5]m!$O585</f>
        <v>87.03</v>
      </c>
    </row>
    <row r="584" spans="1:48" x14ac:dyDescent="0.25">
      <c r="A584" s="1">
        <v>35977</v>
      </c>
      <c r="B584" s="2">
        <f>[2]Indicators!G466</f>
        <v>5928.87</v>
      </c>
      <c r="C584" s="2">
        <f>[2]Indicators!H466</f>
        <v>770.15499999999997</v>
      </c>
      <c r="D584" s="2">
        <f>[2]Indicators!I466</f>
        <v>1335.107</v>
      </c>
      <c r="E584" s="2">
        <f>[2]Indicators!J466</f>
        <v>3823.6080000000002</v>
      </c>
      <c r="F584" s="2">
        <f>[2]Indicators!B466</f>
        <v>6870.2640000000001</v>
      </c>
      <c r="G584" s="2">
        <f>[2]Indicators!C466</f>
        <v>657.35</v>
      </c>
      <c r="H584" s="2">
        <f>[2]Indicators!D466</f>
        <v>1584.982</v>
      </c>
      <c r="I584" s="2">
        <f>[2]Indicators!E466</f>
        <v>4677.0820000000003</v>
      </c>
      <c r="J584" s="2">
        <f>[2]Indicators!L466</f>
        <v>215065</v>
      </c>
      <c r="K584" s="2">
        <f>[2]Indicators!M466</f>
        <v>145662</v>
      </c>
      <c r="L584" s="2">
        <f>[2]Indicators!N466</f>
        <v>14.628</v>
      </c>
      <c r="M584" s="2">
        <f>[2]Indicators!AB466</f>
        <v>83.902900000000002</v>
      </c>
      <c r="N584" s="2">
        <f>[8]m!$C586</f>
        <v>5.54</v>
      </c>
      <c r="O584">
        <f>[9]Unemployment!$B466</f>
        <v>4.5</v>
      </c>
      <c r="P584" s="2">
        <f>[2]Surveys_m!$B466</f>
        <v>137.20000000000002</v>
      </c>
      <c r="Q584">
        <f>[5]m!$B586</f>
        <v>163.20000000000002</v>
      </c>
      <c r="R584">
        <f>[5]m!$D586</f>
        <v>173.5</v>
      </c>
      <c r="S584">
        <f>[5]m!$Q586</f>
        <v>124.9</v>
      </c>
      <c r="T584">
        <f>[6]m!B586</f>
        <v>-24084</v>
      </c>
      <c r="U584" s="2">
        <f>[9]Unemployment!$F466</f>
        <v>14.100000000000001</v>
      </c>
      <c r="V584" s="2">
        <f>[9]Unemployment!$G466</f>
        <v>6.7</v>
      </c>
      <c r="W584">
        <f>[9]Unemployment!$E466</f>
        <v>6259</v>
      </c>
      <c r="X584">
        <f>[9]Unemployment!N466</f>
        <v>2593</v>
      </c>
      <c r="Y584">
        <f>[9]Unemployment!O466</f>
        <v>2005</v>
      </c>
      <c r="Z584">
        <f>[9]Unemployment!P466-[9]Unemployment!Q466</f>
        <v>756</v>
      </c>
      <c r="AA584">
        <f>[9]Unemployment!$Q466</f>
        <v>821</v>
      </c>
      <c r="AB584" s="2">
        <f>[8]m!$B586</f>
        <v>5.08</v>
      </c>
      <c r="AC584" s="2">
        <f>[8]m!$F586</f>
        <v>5.46</v>
      </c>
      <c r="AD584">
        <f>[9]Employment!$B466</f>
        <v>125970</v>
      </c>
      <c r="AE584" s="2">
        <f>[2]Indicators!$AB466</f>
        <v>83.902900000000002</v>
      </c>
      <c r="AF584" s="2">
        <f>[8]m!$AS586</f>
        <v>1380.7</v>
      </c>
      <c r="AG584" s="2">
        <f>[8]m!$H586</f>
        <v>6.55</v>
      </c>
      <c r="AH584" s="2">
        <f>[8]m!$I586</f>
        <v>7.15</v>
      </c>
      <c r="AI584" s="2">
        <f>[7]m!C585</f>
        <v>76961</v>
      </c>
      <c r="AJ584" s="2">
        <f>[7]m!D585</f>
        <v>90208</v>
      </c>
      <c r="AK584" s="2">
        <f>[2]Surveys_m!$AB466</f>
        <v>49.2</v>
      </c>
      <c r="AL584" s="4">
        <f t="shared" si="8"/>
        <v>4987.426499032882</v>
      </c>
      <c r="AM584">
        <f>[2]Indicators!$BB466</f>
        <v>163958</v>
      </c>
      <c r="AN584" s="2">
        <v>100.9</v>
      </c>
      <c r="AO584">
        <f>[9]Unemployment!H466</f>
        <v>374</v>
      </c>
      <c r="AP584">
        <f>[9]Unemployment!I466</f>
        <v>953</v>
      </c>
      <c r="AQ584" s="3">
        <f>[9]LaborForce!$B465*[9]LaborForce!$C465/100</f>
        <v>137530.9</v>
      </c>
      <c r="AR584">
        <f>[9]Unemployment!$AC466</f>
        <v>376</v>
      </c>
      <c r="AS584">
        <f>[2]Indicators!BC466</f>
        <v>82.4</v>
      </c>
      <c r="AT584">
        <f>[2]Indicators!BD466</f>
        <v>87.699100000000001</v>
      </c>
      <c r="AU584">
        <f>[2]Indicators!BE466</f>
        <v>99.9512</v>
      </c>
      <c r="AV584">
        <f>[5]m!$O586</f>
        <v>88.14</v>
      </c>
    </row>
    <row r="585" spans="1:48" x14ac:dyDescent="0.25">
      <c r="A585" s="1">
        <v>36008</v>
      </c>
      <c r="B585" s="2">
        <f>[2]Indicators!G467</f>
        <v>5965.86</v>
      </c>
      <c r="C585" s="2">
        <f>[2]Indicators!H467</f>
        <v>785.80600000000004</v>
      </c>
      <c r="D585" s="2">
        <f>[2]Indicators!I467</f>
        <v>1334.183</v>
      </c>
      <c r="E585" s="2">
        <f>[2]Indicators!J467</f>
        <v>3845.8710000000001</v>
      </c>
      <c r="F585" s="2">
        <f>[2]Indicators!B467</f>
        <v>6903.0060000000003</v>
      </c>
      <c r="G585" s="2">
        <f>[2]Indicators!C467</f>
        <v>672.99599999999998</v>
      </c>
      <c r="H585" s="2">
        <f>[2]Indicators!D467</f>
        <v>1581.4950000000001</v>
      </c>
      <c r="I585" s="2">
        <f>[2]Indicators!E467</f>
        <v>4692.8310000000001</v>
      </c>
      <c r="J585" s="2">
        <f>[2]Indicators!L467</f>
        <v>214044</v>
      </c>
      <c r="K585" s="2">
        <f>[2]Indicators!M467</f>
        <v>144953</v>
      </c>
      <c r="L585" s="2">
        <f>[2]Indicators!N467</f>
        <v>14.754</v>
      </c>
      <c r="M585" s="2">
        <f>[2]Indicators!AB467</f>
        <v>85.722500000000011</v>
      </c>
      <c r="N585" s="2">
        <f>[8]m!$C587</f>
        <v>5.55</v>
      </c>
      <c r="O585">
        <f>[9]Unemployment!$B467</f>
        <v>4.5</v>
      </c>
      <c r="P585" s="2">
        <f>[2]Surveys_m!$B467</f>
        <v>133.1</v>
      </c>
      <c r="Q585">
        <f>[5]m!$B587</f>
        <v>163.4</v>
      </c>
      <c r="R585">
        <f>[5]m!$D587</f>
        <v>174</v>
      </c>
      <c r="S585">
        <f>[5]m!$Q587</f>
        <v>124.2</v>
      </c>
      <c r="T585">
        <f>[6]m!B587</f>
        <v>-11166</v>
      </c>
      <c r="U585" s="2">
        <f>[9]Unemployment!$F467</f>
        <v>13.700000000000001</v>
      </c>
      <c r="V585" s="2">
        <f>[9]Unemployment!$G467</f>
        <v>6.8000000000000007</v>
      </c>
      <c r="W585">
        <f>[9]Unemployment!$E467</f>
        <v>6179</v>
      </c>
      <c r="X585">
        <f>[9]Unemployment!N467</f>
        <v>2597</v>
      </c>
      <c r="Y585">
        <f>[9]Unemployment!O467</f>
        <v>1963</v>
      </c>
      <c r="Z585">
        <f>[9]Unemployment!P467-[9]Unemployment!Q467</f>
        <v>808</v>
      </c>
      <c r="AA585">
        <f>[9]Unemployment!$Q467</f>
        <v>818</v>
      </c>
      <c r="AB585" s="2">
        <f>[8]m!$B587</f>
        <v>4.8899999999999997</v>
      </c>
      <c r="AC585" s="2">
        <f>[8]m!$F587</f>
        <v>5.34</v>
      </c>
      <c r="AD585">
        <f>[9]Employment!$B467</f>
        <v>126322</v>
      </c>
      <c r="AE585" s="2">
        <f>[2]Indicators!$AB467</f>
        <v>85.722500000000011</v>
      </c>
      <c r="AF585" s="2">
        <f>[8]m!$AS587</f>
        <v>1386.7</v>
      </c>
      <c r="AG585" s="2">
        <f>[8]m!$H587</f>
        <v>6.5200000000000005</v>
      </c>
      <c r="AH585" s="2">
        <f>[8]m!$I587</f>
        <v>7.1400000000000006</v>
      </c>
      <c r="AI585" s="2">
        <f>[7]m!C586</f>
        <v>76149</v>
      </c>
      <c r="AJ585" s="2">
        <f>[7]m!D586</f>
        <v>90098</v>
      </c>
      <c r="AK585" s="2">
        <f>[2]Surveys_m!$AB467</f>
        <v>49.300000000000004</v>
      </c>
      <c r="AL585" s="4">
        <f t="shared" si="8"/>
        <v>5061.5705996131528</v>
      </c>
      <c r="AM585">
        <f>[2]Indicators!$BB467</f>
        <v>173997</v>
      </c>
      <c r="AN585" s="2">
        <v>102.4</v>
      </c>
      <c r="AO585">
        <f>[9]Unemployment!H467</f>
        <v>280</v>
      </c>
      <c r="AP585">
        <f>[9]Unemployment!I467</f>
        <v>971</v>
      </c>
      <c r="AQ585" s="3">
        <f>[9]LaborForce!$B466*[9]LaborForce!$C466/100</f>
        <v>137670.93</v>
      </c>
      <c r="AR585">
        <f>[9]Unemployment!$AC467</f>
        <v>327</v>
      </c>
      <c r="AS585">
        <f>[2]Indicators!BC467</f>
        <v>82.7</v>
      </c>
      <c r="AT585">
        <f>[2]Indicators!BD467</f>
        <v>87.73190000000001</v>
      </c>
      <c r="AU585">
        <f>[2]Indicators!BE467</f>
        <v>99.646500000000003</v>
      </c>
      <c r="AV585">
        <f>[5]m!$O587</f>
        <v>89.01</v>
      </c>
    </row>
    <row r="586" spans="1:48" x14ac:dyDescent="0.25">
      <c r="A586" s="1">
        <v>36039</v>
      </c>
      <c r="B586" s="2">
        <f>[2]Indicators!G468</f>
        <v>6009.2539999999999</v>
      </c>
      <c r="C586" s="2">
        <f>[2]Indicators!H468</f>
        <v>801.89499999999998</v>
      </c>
      <c r="D586" s="2">
        <f>[2]Indicators!I468</f>
        <v>1338.202</v>
      </c>
      <c r="E586" s="2">
        <f>[2]Indicators!J468</f>
        <v>3869.1570000000002</v>
      </c>
      <c r="F586" s="2">
        <f>[2]Indicators!B468</f>
        <v>6956.5309999999999</v>
      </c>
      <c r="G586" s="2">
        <f>[2]Indicators!C468</f>
        <v>688.75300000000004</v>
      </c>
      <c r="H586" s="2">
        <f>[2]Indicators!D468</f>
        <v>1589.596</v>
      </c>
      <c r="I586" s="2">
        <f>[2]Indicators!E468</f>
        <v>4718.4939999999997</v>
      </c>
      <c r="J586" s="2">
        <f>[2]Indicators!L468</f>
        <v>216289</v>
      </c>
      <c r="K586" s="2">
        <f>[2]Indicators!M468</f>
        <v>146302</v>
      </c>
      <c r="L586" s="2">
        <f>[2]Indicators!N468</f>
        <v>16.274999999999999</v>
      </c>
      <c r="M586" s="2">
        <f>[2]Indicators!AB468</f>
        <v>85.462000000000003</v>
      </c>
      <c r="N586" s="2">
        <f>[8]m!$C588</f>
        <v>5.51</v>
      </c>
      <c r="O586">
        <f>[9]Unemployment!$B468</f>
        <v>4.6000000000000005</v>
      </c>
      <c r="P586" s="2">
        <f>[2]Surveys_m!$B468</f>
        <v>126.4</v>
      </c>
      <c r="Q586">
        <f>[5]m!$B588</f>
        <v>163.5</v>
      </c>
      <c r="R586">
        <f>[5]m!$D588</f>
        <v>174.20000000000002</v>
      </c>
      <c r="S586">
        <f>[5]m!$Q588</f>
        <v>123.80000000000001</v>
      </c>
      <c r="T586">
        <f>[6]m!B588</f>
        <v>37425</v>
      </c>
      <c r="U586" s="2">
        <f>[9]Unemployment!$F468</f>
        <v>14.4</v>
      </c>
      <c r="V586" s="2">
        <f>[9]Unemployment!$G468</f>
        <v>6.7</v>
      </c>
      <c r="W586">
        <f>[9]Unemployment!$E468</f>
        <v>6300</v>
      </c>
      <c r="X586">
        <f>[9]Unemployment!N468</f>
        <v>2624</v>
      </c>
      <c r="Y586">
        <f>[9]Unemployment!O468</f>
        <v>1985</v>
      </c>
      <c r="Z586">
        <f>[9]Unemployment!P468-[9]Unemployment!Q468</f>
        <v>772</v>
      </c>
      <c r="AA586">
        <f>[9]Unemployment!$Q468</f>
        <v>916</v>
      </c>
      <c r="AB586" s="2">
        <f>[8]m!$B588</f>
        <v>4.3600000000000003</v>
      </c>
      <c r="AC586" s="2">
        <f>[8]m!$F588</f>
        <v>4.8100000000000005</v>
      </c>
      <c r="AD586">
        <f>[9]Employment!$B468</f>
        <v>126540</v>
      </c>
      <c r="AE586" s="2">
        <f>[2]Indicators!$AB468</f>
        <v>85.462000000000003</v>
      </c>
      <c r="AF586" s="2">
        <f>[8]m!$AS588</f>
        <v>1397.3000000000002</v>
      </c>
      <c r="AG586" s="2">
        <f>[8]m!$H588</f>
        <v>6.4</v>
      </c>
      <c r="AH586" s="2">
        <f>[8]m!$I588</f>
        <v>7.09</v>
      </c>
      <c r="AI586" s="2">
        <f>[7]m!C587</f>
        <v>75512</v>
      </c>
      <c r="AJ586" s="2">
        <f>[7]m!D587</f>
        <v>91540</v>
      </c>
      <c r="AK586" s="2">
        <f>[2]Surveys_m!$AB468</f>
        <v>48.7</v>
      </c>
      <c r="AL586" s="4">
        <f t="shared" si="8"/>
        <v>4858.9100580270788</v>
      </c>
      <c r="AM586">
        <f>[2]Indicators!$BB468</f>
        <v>173189</v>
      </c>
      <c r="AN586" s="2">
        <v>98.3</v>
      </c>
      <c r="AO586">
        <f>[9]Unemployment!H468</f>
        <v>317</v>
      </c>
      <c r="AP586">
        <f>[9]Unemployment!I468</f>
        <v>1060</v>
      </c>
      <c r="AQ586" s="3">
        <f>[9]LaborForce!$B467*[9]LaborForce!$C467/100</f>
        <v>138229.728</v>
      </c>
      <c r="AR586">
        <f>[9]Unemployment!$AC468</f>
        <v>310</v>
      </c>
      <c r="AS586">
        <f>[2]Indicators!BC468</f>
        <v>82.600000000000009</v>
      </c>
      <c r="AT586">
        <f>[2]Indicators!BD468</f>
        <v>87.871499999999997</v>
      </c>
      <c r="AU586">
        <f>[2]Indicators!BE468</f>
        <v>99.470300000000009</v>
      </c>
      <c r="AV586">
        <f>[5]m!$O588</f>
        <v>89.58</v>
      </c>
    </row>
    <row r="587" spans="1:48" x14ac:dyDescent="0.25">
      <c r="A587" s="1">
        <v>36069</v>
      </c>
      <c r="B587" s="2">
        <f>[2]Indicators!G469</f>
        <v>6046.8640000000005</v>
      </c>
      <c r="C587" s="2">
        <f>[2]Indicators!H469</f>
        <v>820.49700000000007</v>
      </c>
      <c r="D587" s="2">
        <f>[2]Indicators!I469</f>
        <v>1345.8990000000001</v>
      </c>
      <c r="E587" s="2">
        <f>[2]Indicators!J469</f>
        <v>3880.4680000000003</v>
      </c>
      <c r="F587" s="2">
        <f>[2]Indicators!B469</f>
        <v>6983.817</v>
      </c>
      <c r="G587" s="2">
        <f>[2]Indicators!C469</f>
        <v>705.79600000000005</v>
      </c>
      <c r="H587" s="2">
        <f>[2]Indicators!D469</f>
        <v>1595.0029999999999</v>
      </c>
      <c r="I587" s="2">
        <f>[2]Indicators!E469</f>
        <v>4717.5420000000004</v>
      </c>
      <c r="J587" s="2">
        <f>[2]Indicators!L469</f>
        <v>219772</v>
      </c>
      <c r="K587" s="2">
        <f>[2]Indicators!M469</f>
        <v>148204</v>
      </c>
      <c r="L587" s="2">
        <f>[2]Indicators!N469</f>
        <v>17.077999999999999</v>
      </c>
      <c r="M587" s="2">
        <f>[2]Indicators!AB469</f>
        <v>86.160200000000003</v>
      </c>
      <c r="N587" s="2">
        <f>[8]m!$C589</f>
        <v>5.07</v>
      </c>
      <c r="O587">
        <f>[9]Unemployment!$B469</f>
        <v>4.5</v>
      </c>
      <c r="P587" s="2">
        <f>[2]Surveys_m!$B469</f>
        <v>119.30000000000001</v>
      </c>
      <c r="Q587">
        <f>[5]m!$B589</f>
        <v>163.9</v>
      </c>
      <c r="R587">
        <f>[5]m!$D589</f>
        <v>174.4</v>
      </c>
      <c r="S587">
        <f>[5]m!$Q589</f>
        <v>124</v>
      </c>
      <c r="T587">
        <f>[6]m!B589</f>
        <v>-32440</v>
      </c>
      <c r="U587" s="2">
        <f>[9]Unemployment!$F469</f>
        <v>14.100000000000001</v>
      </c>
      <c r="V587" s="2">
        <f>[9]Unemployment!$G469</f>
        <v>5.8000000000000007</v>
      </c>
      <c r="W587">
        <f>[9]Unemployment!$E469</f>
        <v>6280</v>
      </c>
      <c r="X587">
        <f>[9]Unemployment!N469</f>
        <v>2823</v>
      </c>
      <c r="Y587">
        <f>[9]Unemployment!O469</f>
        <v>1909</v>
      </c>
      <c r="Z587">
        <f>[9]Unemployment!P469-[9]Unemployment!Q469</f>
        <v>724</v>
      </c>
      <c r="AA587">
        <f>[9]Unemployment!$Q469</f>
        <v>858</v>
      </c>
      <c r="AB587" s="2">
        <f>[8]m!$B589</f>
        <v>4.33</v>
      </c>
      <c r="AC587" s="2">
        <f>[8]m!$F589</f>
        <v>4.53</v>
      </c>
      <c r="AD587">
        <f>[9]Employment!$B469</f>
        <v>126733</v>
      </c>
      <c r="AE587" s="2">
        <f>[2]Indicators!$AB469</f>
        <v>86.160200000000003</v>
      </c>
      <c r="AF587" s="2">
        <f>[8]m!$AS589</f>
        <v>1405.4</v>
      </c>
      <c r="AG587" s="2">
        <f>[8]m!$H589</f>
        <v>6.37</v>
      </c>
      <c r="AH587" s="2">
        <f>[8]m!$I589</f>
        <v>7.18</v>
      </c>
      <c r="AI587" s="2">
        <f>[7]m!C588</f>
        <v>77179</v>
      </c>
      <c r="AJ587" s="2">
        <f>[7]m!D588</f>
        <v>91999</v>
      </c>
      <c r="AK587" s="2">
        <f>[2]Surveys_m!$AB469</f>
        <v>48.7</v>
      </c>
      <c r="AL587" s="4">
        <f t="shared" si="8"/>
        <v>4824.3094777562856</v>
      </c>
      <c r="AM587">
        <f>[2]Indicators!$BB469</f>
        <v>173479</v>
      </c>
      <c r="AN587" s="2">
        <v>97.6</v>
      </c>
      <c r="AO587">
        <f>[9]Unemployment!H469</f>
        <v>333</v>
      </c>
      <c r="AP587">
        <f>[9]Unemployment!I469</f>
        <v>910</v>
      </c>
      <c r="AQ587" s="3">
        <f>[9]LaborForce!$B468*[9]LaborForce!$C468/100</f>
        <v>138377.568</v>
      </c>
      <c r="AR587">
        <f>[9]Unemployment!$AC469</f>
        <v>294</v>
      </c>
      <c r="AS587">
        <f>[2]Indicators!BC469</f>
        <v>82.7</v>
      </c>
      <c r="AT587">
        <f>[2]Indicators!BD469</f>
        <v>88.184600000000003</v>
      </c>
      <c r="AU587">
        <f>[2]Indicators!BE469</f>
        <v>99.496600000000001</v>
      </c>
      <c r="AV587">
        <f>[5]m!$O589</f>
        <v>89.8</v>
      </c>
    </row>
    <row r="588" spans="1:48" x14ac:dyDescent="0.25">
      <c r="A588" s="1">
        <v>36100</v>
      </c>
      <c r="B588" s="2">
        <f>[2]Indicators!G470</f>
        <v>6065.9210000000003</v>
      </c>
      <c r="C588" s="2">
        <f>[2]Indicators!H470</f>
        <v>819.01099999999997</v>
      </c>
      <c r="D588" s="2">
        <f>[2]Indicators!I470</f>
        <v>1355.0170000000001</v>
      </c>
      <c r="E588" s="2">
        <f>[2]Indicators!J470</f>
        <v>3891.893</v>
      </c>
      <c r="F588" s="2">
        <f>[2]Indicators!B470</f>
        <v>7004.1369999999997</v>
      </c>
      <c r="G588" s="2">
        <f>[2]Indicators!C470</f>
        <v>706.26200000000006</v>
      </c>
      <c r="H588" s="2">
        <f>[2]Indicators!D470</f>
        <v>1607.8810000000001</v>
      </c>
      <c r="I588" s="2">
        <f>[2]Indicators!E470</f>
        <v>4725.0839999999998</v>
      </c>
      <c r="J588" s="2">
        <f>[2]Indicators!L470</f>
        <v>221504</v>
      </c>
      <c r="K588" s="2">
        <f>[2]Indicators!M470</f>
        <v>149146</v>
      </c>
      <c r="L588" s="2">
        <f>[2]Indicators!N470</f>
        <v>16.079000000000001</v>
      </c>
      <c r="M588" s="2">
        <f>[2]Indicators!AB470</f>
        <v>86.100200000000001</v>
      </c>
      <c r="N588" s="2">
        <f>[8]m!$C590</f>
        <v>4.83</v>
      </c>
      <c r="O588">
        <f>[9]Unemployment!$B470</f>
        <v>4.4000000000000004</v>
      </c>
      <c r="P588" s="2">
        <f>[2]Surveys_m!$B470</f>
        <v>126.4</v>
      </c>
      <c r="Q588">
        <f>[5]m!$B590</f>
        <v>164.1</v>
      </c>
      <c r="R588">
        <f>[5]m!$D590</f>
        <v>174.8</v>
      </c>
      <c r="S588">
        <f>[5]m!$Q590</f>
        <v>123.60000000000001</v>
      </c>
      <c r="T588">
        <f>[6]m!B590</f>
        <v>-16937</v>
      </c>
      <c r="U588" s="2">
        <f>[9]Unemployment!$F470</f>
        <v>14.5</v>
      </c>
      <c r="V588" s="2">
        <f>[9]Unemployment!$G470</f>
        <v>6.6000000000000005</v>
      </c>
      <c r="W588">
        <f>[9]Unemployment!$E470</f>
        <v>6100</v>
      </c>
      <c r="X588">
        <f>[9]Unemployment!N470</f>
        <v>2510</v>
      </c>
      <c r="Y588">
        <f>[9]Unemployment!O470</f>
        <v>1998</v>
      </c>
      <c r="Z588">
        <f>[9]Unemployment!P470-[9]Unemployment!Q470</f>
        <v>715</v>
      </c>
      <c r="AA588">
        <f>[9]Unemployment!$Q470</f>
        <v>875</v>
      </c>
      <c r="AB588" s="2">
        <f>[8]m!$B590</f>
        <v>4.54</v>
      </c>
      <c r="AC588" s="2">
        <f>[8]m!$F590</f>
        <v>4.83</v>
      </c>
      <c r="AD588">
        <f>[9]Employment!$B470</f>
        <v>127017</v>
      </c>
      <c r="AE588" s="2">
        <f>[2]Indicators!$AB470</f>
        <v>86.100200000000001</v>
      </c>
      <c r="AF588" s="2">
        <f>[8]m!$AS590</f>
        <v>1408.4</v>
      </c>
      <c r="AG588" s="2">
        <f>[8]m!$H590</f>
        <v>6.41</v>
      </c>
      <c r="AH588" s="2">
        <f>[8]m!$I590</f>
        <v>7.34</v>
      </c>
      <c r="AI588" s="2">
        <f>[7]m!C589</f>
        <v>79351</v>
      </c>
      <c r="AJ588" s="2">
        <f>[7]m!D589</f>
        <v>94166</v>
      </c>
      <c r="AK588" s="2">
        <f>[2]Surveys_m!$AB470</f>
        <v>48.2</v>
      </c>
      <c r="AL588" s="4">
        <f t="shared" si="8"/>
        <v>5071.4564796905215</v>
      </c>
      <c r="AM588">
        <f>[2]Indicators!$BB470</f>
        <v>175232</v>
      </c>
      <c r="AN588" s="2">
        <v>102.6</v>
      </c>
      <c r="AO588">
        <f>[9]Unemployment!H470</f>
        <v>310</v>
      </c>
      <c r="AP588">
        <f>[9]Unemployment!I470</f>
        <v>930</v>
      </c>
      <c r="AQ588" s="3">
        <f>[9]LaborForce!$B469*[9]LaborForce!$C469/100</f>
        <v>138295.78400000001</v>
      </c>
      <c r="AR588">
        <f>[9]Unemployment!$AC470</f>
        <v>308</v>
      </c>
      <c r="AS588">
        <f>[2]Indicators!BC470</f>
        <v>83.4</v>
      </c>
      <c r="AT588">
        <f>[2]Indicators!BD470</f>
        <v>88.665599999999998</v>
      </c>
      <c r="AU588">
        <f>[2]Indicators!BE470</f>
        <v>99.717300000000009</v>
      </c>
      <c r="AV588">
        <f>[5]m!$O590</f>
        <v>89.76</v>
      </c>
    </row>
    <row r="589" spans="1:48" x14ac:dyDescent="0.25">
      <c r="A589" s="1">
        <v>36130</v>
      </c>
      <c r="B589" s="2">
        <f>[2]Indicators!G471</f>
        <v>6121.8530000000001</v>
      </c>
      <c r="C589" s="2">
        <f>[2]Indicators!H471</f>
        <v>839.55600000000004</v>
      </c>
      <c r="D589" s="2">
        <f>[2]Indicators!I471</f>
        <v>1367.5530000000001</v>
      </c>
      <c r="E589" s="2">
        <f>[2]Indicators!J471</f>
        <v>3914.7440000000001</v>
      </c>
      <c r="F589" s="2">
        <f>[2]Indicators!B471</f>
        <v>7059.6410000000005</v>
      </c>
      <c r="G589" s="2">
        <f>[2]Indicators!C471</f>
        <v>726.89</v>
      </c>
      <c r="H589" s="2">
        <f>[2]Indicators!D471</f>
        <v>1618.2440000000001</v>
      </c>
      <c r="I589" s="2">
        <f>[2]Indicators!E471</f>
        <v>4743.8869999999997</v>
      </c>
      <c r="J589" s="2">
        <f>[2]Indicators!L471</f>
        <v>223447</v>
      </c>
      <c r="K589" s="2">
        <f>[2]Indicators!M471</f>
        <v>150203</v>
      </c>
      <c r="L589" s="2">
        <f>[2]Indicators!N471</f>
        <v>17.397000000000002</v>
      </c>
      <c r="M589" s="2">
        <f>[2]Indicators!AB471</f>
        <v>86.374400000000009</v>
      </c>
      <c r="N589" s="2">
        <f>[8]m!$C591</f>
        <v>4.68</v>
      </c>
      <c r="O589">
        <f>[9]Unemployment!$B471</f>
        <v>4.4000000000000004</v>
      </c>
      <c r="P589" s="2">
        <f>[2]Surveys_m!$B471</f>
        <v>126.7</v>
      </c>
      <c r="Q589">
        <f>[5]m!$B591</f>
        <v>164.4</v>
      </c>
      <c r="R589">
        <f>[5]m!$D591</f>
        <v>175.4</v>
      </c>
      <c r="S589">
        <f>[5]m!$Q591</f>
        <v>122.80000000000001</v>
      </c>
      <c r="T589">
        <f>[6]m!B591</f>
        <v>-5156</v>
      </c>
      <c r="U589" s="2">
        <f>[9]Unemployment!$F471</f>
        <v>14</v>
      </c>
      <c r="V589" s="2">
        <f>[9]Unemployment!$G471</f>
        <v>6.8000000000000007</v>
      </c>
      <c r="W589">
        <f>[9]Unemployment!$E471</f>
        <v>6032</v>
      </c>
      <c r="X589">
        <f>[9]Unemployment!N471</f>
        <v>2587</v>
      </c>
      <c r="Y589">
        <f>[9]Unemployment!O471</f>
        <v>1806</v>
      </c>
      <c r="Z589">
        <f>[9]Unemployment!P471-[9]Unemployment!Q471</f>
        <v>756</v>
      </c>
      <c r="AA589">
        <f>[9]Unemployment!$Q471</f>
        <v>803</v>
      </c>
      <c r="AB589" s="2">
        <f>[8]m!$B591</f>
        <v>4.47</v>
      </c>
      <c r="AC589" s="2">
        <f>[8]m!$F591</f>
        <v>4.6500000000000004</v>
      </c>
      <c r="AD589">
        <f>[9]Employment!$B471</f>
        <v>127359</v>
      </c>
      <c r="AE589" s="2">
        <f>[2]Indicators!$AB471</f>
        <v>86.374400000000009</v>
      </c>
      <c r="AF589" s="2">
        <f>[8]m!$AS591</f>
        <v>1421</v>
      </c>
      <c r="AG589" s="2">
        <f>[8]m!$H591</f>
        <v>6.22</v>
      </c>
      <c r="AH589" s="2">
        <f>[8]m!$I591</f>
        <v>7.23</v>
      </c>
      <c r="AI589" s="2">
        <f>[7]m!C590</f>
        <v>79117</v>
      </c>
      <c r="AJ589" s="2">
        <f>[7]m!D590</f>
        <v>94290</v>
      </c>
      <c r="AK589" s="2">
        <f>[2]Surveys_m!$AB471</f>
        <v>46.800000000000004</v>
      </c>
      <c r="AL589" s="4">
        <f t="shared" si="8"/>
        <v>4982.4835589941968</v>
      </c>
      <c r="AM589">
        <f>[2]Indicators!$BB471</f>
        <v>172469</v>
      </c>
      <c r="AN589" s="2">
        <v>100.8</v>
      </c>
      <c r="AO589">
        <f>[9]Unemployment!H471</f>
        <v>358</v>
      </c>
      <c r="AP589">
        <f>[9]Unemployment!I471</f>
        <v>838</v>
      </c>
      <c r="AQ589" s="3">
        <f>[9]LaborForce!$B470*[9]LaborForce!$C470/100</f>
        <v>138613.44</v>
      </c>
      <c r="AR589">
        <f>[9]Unemployment!$AC471</f>
        <v>310</v>
      </c>
      <c r="AS589">
        <f>[2]Indicators!BC471</f>
        <v>83.600000000000009</v>
      </c>
      <c r="AT589">
        <f>[2]Indicators!BD471</f>
        <v>89.246000000000009</v>
      </c>
      <c r="AU589">
        <f>[2]Indicators!BE471</f>
        <v>100.05380000000001</v>
      </c>
      <c r="AV589">
        <f>[5]m!$O591</f>
        <v>89.820000000000007</v>
      </c>
    </row>
    <row r="590" spans="1:48" x14ac:dyDescent="0.25">
      <c r="A590" s="1">
        <v>36161</v>
      </c>
      <c r="B590" s="2">
        <f>[2]Indicators!G472</f>
        <v>6125.5430000000006</v>
      </c>
      <c r="C590" s="2">
        <f>[2]Indicators!H472</f>
        <v>809.62900000000002</v>
      </c>
      <c r="D590" s="2">
        <f>[2]Indicators!I472</f>
        <v>1380.8779999999999</v>
      </c>
      <c r="E590" s="2">
        <f>[2]Indicators!J472</f>
        <v>3935.0360000000001</v>
      </c>
      <c r="F590" s="2">
        <f>[2]Indicators!B472</f>
        <v>7049.9980000000005</v>
      </c>
      <c r="G590" s="2">
        <f>[2]Indicators!C472</f>
        <v>701.86699999999996</v>
      </c>
      <c r="H590" s="2">
        <f>[2]Indicators!D472</f>
        <v>1627.501</v>
      </c>
      <c r="I590" s="2">
        <f>[2]Indicators!E472</f>
        <v>4759.268</v>
      </c>
      <c r="J590" s="2">
        <f>[2]Indicators!L472</f>
        <v>224544</v>
      </c>
      <c r="K590" s="2">
        <f>[2]Indicators!M472</f>
        <v>150275</v>
      </c>
      <c r="L590" s="2">
        <f>[2]Indicators!N472</f>
        <v>16.577999999999999</v>
      </c>
      <c r="M590" s="2">
        <f>[2]Indicators!AB472</f>
        <v>86.736400000000003</v>
      </c>
      <c r="N590" s="2">
        <f>[8]m!$C592</f>
        <v>4.63</v>
      </c>
      <c r="O590">
        <f>[9]Unemployment!$B472</f>
        <v>4.3</v>
      </c>
      <c r="P590" s="2">
        <f>[2]Surveys_m!$B472</f>
        <v>128.9</v>
      </c>
      <c r="Q590">
        <f>[5]m!$B592</f>
        <v>164.70000000000002</v>
      </c>
      <c r="R590">
        <f>[5]m!$D592</f>
        <v>175.6</v>
      </c>
      <c r="S590">
        <f>[5]m!$Q592</f>
        <v>122.9</v>
      </c>
      <c r="T590">
        <f>[6]m!B592</f>
        <v>70505</v>
      </c>
      <c r="U590" s="2">
        <f>[9]Unemployment!$F472</f>
        <v>13.4</v>
      </c>
      <c r="V590" s="2">
        <f>[9]Unemployment!$G472</f>
        <v>6.9</v>
      </c>
      <c r="W590">
        <f>[9]Unemployment!$E472</f>
        <v>5976</v>
      </c>
      <c r="X590">
        <f>[9]Unemployment!N472</f>
        <v>2462</v>
      </c>
      <c r="Y590">
        <f>[9]Unemployment!O472</f>
        <v>1993</v>
      </c>
      <c r="Z590">
        <f>[9]Unemployment!P472-[9]Unemployment!Q472</f>
        <v>776</v>
      </c>
      <c r="AA590">
        <f>[9]Unemployment!$Q472</f>
        <v>714</v>
      </c>
      <c r="AB590" s="2">
        <f>[8]m!$B592</f>
        <v>4.47</v>
      </c>
      <c r="AC590" s="2">
        <f>[8]m!$F592</f>
        <v>4.72</v>
      </c>
      <c r="AD590">
        <f>[9]Employment!$B472</f>
        <v>127480</v>
      </c>
      <c r="AE590" s="2">
        <f>[2]Indicators!$AB472</f>
        <v>86.736400000000003</v>
      </c>
      <c r="AF590" s="2">
        <f>[8]m!$AS592</f>
        <v>1431.2</v>
      </c>
      <c r="AG590" s="2">
        <f>[8]m!$H592</f>
        <v>6.24</v>
      </c>
      <c r="AH590" s="2">
        <f>[8]m!$I592</f>
        <v>7.29</v>
      </c>
      <c r="AI590" s="2">
        <f>[7]m!C591</f>
        <v>78382</v>
      </c>
      <c r="AJ590" s="2">
        <f>[7]m!D591</f>
        <v>93127</v>
      </c>
      <c r="AK590" s="2">
        <f>[2]Surveys_m!$AB472</f>
        <v>50.6</v>
      </c>
      <c r="AL590" s="4">
        <f t="shared" ref="AL590:AL612" si="9">AL591*AN590/AN591</f>
        <v>5293.8887814313339</v>
      </c>
      <c r="AM590">
        <f>[2]Indicators!$BB472</f>
        <v>177792</v>
      </c>
      <c r="AN590" s="2">
        <v>107.1</v>
      </c>
      <c r="AO590">
        <f>[9]Unemployment!H472</f>
        <v>339</v>
      </c>
      <c r="AP590">
        <f>[9]Unemployment!I472</f>
        <v>1019</v>
      </c>
      <c r="AQ590" s="3">
        <f>[9]LaborForce!$B471*[9]LaborForce!$C471/100</f>
        <v>138915.16800000001</v>
      </c>
      <c r="AR590">
        <f>[9]Unemployment!$AC472</f>
        <v>331</v>
      </c>
      <c r="AS590">
        <f>[2]Indicators!BC472</f>
        <v>84</v>
      </c>
      <c r="AT590">
        <f>[2]Indicators!BD472</f>
        <v>89.870200000000011</v>
      </c>
      <c r="AU590">
        <f>[2]Indicators!BE472</f>
        <v>100.4436</v>
      </c>
      <c r="AV590">
        <f>[5]m!$O592</f>
        <v>90.06</v>
      </c>
    </row>
    <row r="591" spans="1:48" x14ac:dyDescent="0.25">
      <c r="A591" s="1">
        <v>36192</v>
      </c>
      <c r="B591" s="2">
        <f>[2]Indicators!G473</f>
        <v>6155.59</v>
      </c>
      <c r="C591" s="2">
        <f>[2]Indicators!H473</f>
        <v>825.50800000000004</v>
      </c>
      <c r="D591" s="2">
        <f>[2]Indicators!I473</f>
        <v>1385.5830000000001</v>
      </c>
      <c r="E591" s="2">
        <f>[2]Indicators!J473</f>
        <v>3944.4990000000003</v>
      </c>
      <c r="F591" s="2">
        <f>[2]Indicators!B473</f>
        <v>7085.13</v>
      </c>
      <c r="G591" s="2">
        <f>[2]Indicators!C473</f>
        <v>718.37</v>
      </c>
      <c r="H591" s="2">
        <f>[2]Indicators!D473</f>
        <v>1638.2860000000001</v>
      </c>
      <c r="I591" s="2">
        <f>[2]Indicators!E473</f>
        <v>4762.1819999999998</v>
      </c>
      <c r="J591" s="2">
        <f>[2]Indicators!L473</f>
        <v>226761</v>
      </c>
      <c r="K591" s="2">
        <f>[2]Indicators!M473</f>
        <v>151864</v>
      </c>
      <c r="L591" s="2">
        <f>[2]Indicators!N473</f>
        <v>17.085000000000001</v>
      </c>
      <c r="M591" s="2">
        <f>[2]Indicators!AB473</f>
        <v>87.076000000000008</v>
      </c>
      <c r="N591" s="2">
        <f>[8]m!$C593</f>
        <v>4.76</v>
      </c>
      <c r="O591">
        <f>[9]Unemployment!$B473</f>
        <v>4.4000000000000004</v>
      </c>
      <c r="P591" s="2">
        <f>[2]Surveys_m!$B473</f>
        <v>133.1</v>
      </c>
      <c r="Q591">
        <f>[5]m!$B593</f>
        <v>164.70000000000002</v>
      </c>
      <c r="R591">
        <f>[5]m!$D593</f>
        <v>175.6</v>
      </c>
      <c r="S591">
        <f>[5]m!$Q593</f>
        <v>122.30000000000001</v>
      </c>
      <c r="T591">
        <f>[6]m!B593</f>
        <v>-42337</v>
      </c>
      <c r="U591" s="2">
        <f>[9]Unemployment!$F473</f>
        <v>13.8</v>
      </c>
      <c r="V591" s="2">
        <f>[9]Unemployment!$G473</f>
        <v>6.8000000000000007</v>
      </c>
      <c r="W591">
        <f>[9]Unemployment!$E473</f>
        <v>6111</v>
      </c>
      <c r="X591">
        <f>[9]Unemployment!N473</f>
        <v>2566</v>
      </c>
      <c r="Y591">
        <f>[9]Unemployment!O473</f>
        <v>1946</v>
      </c>
      <c r="Z591">
        <f>[9]Unemployment!P473-[9]Unemployment!Q473</f>
        <v>750</v>
      </c>
      <c r="AA591">
        <f>[9]Unemployment!$Q473</f>
        <v>801</v>
      </c>
      <c r="AB591" s="2">
        <f>[8]m!$B593</f>
        <v>4.7</v>
      </c>
      <c r="AC591" s="2">
        <f>[8]m!$F593</f>
        <v>5</v>
      </c>
      <c r="AD591">
        <f>[9]Employment!$B473</f>
        <v>127890</v>
      </c>
      <c r="AE591" s="2">
        <f>[2]Indicators!$AB473</f>
        <v>87.076000000000008</v>
      </c>
      <c r="AF591" s="2">
        <f>[8]m!$AS593</f>
        <v>1441.3000000000002</v>
      </c>
      <c r="AG591" s="2">
        <f>[8]m!$H593</f>
        <v>6.4</v>
      </c>
      <c r="AH591" s="2">
        <f>[8]m!$I593</f>
        <v>7.3900000000000006</v>
      </c>
      <c r="AI591" s="2">
        <f>[7]m!C592</f>
        <v>77835</v>
      </c>
      <c r="AJ591" s="2">
        <f>[7]m!D592</f>
        <v>93916</v>
      </c>
      <c r="AK591" s="2">
        <f>[2]Surveys_m!$AB473</f>
        <v>51.7</v>
      </c>
      <c r="AL591" s="4">
        <f t="shared" si="9"/>
        <v>5372.9758220502899</v>
      </c>
      <c r="AM591">
        <f>[2]Indicators!$BB473</f>
        <v>178783</v>
      </c>
      <c r="AN591" s="2">
        <v>108.7</v>
      </c>
      <c r="AO591">
        <f>[9]Unemployment!H473</f>
        <v>271</v>
      </c>
      <c r="AP591">
        <f>[9]Unemployment!I473</f>
        <v>1008</v>
      </c>
      <c r="AQ591" s="3">
        <f>[9]LaborForce!$B472*[9]LaborForce!$C472/100</f>
        <v>139018.65600000002</v>
      </c>
      <c r="AR591">
        <f>[9]Unemployment!$AC473</f>
        <v>305</v>
      </c>
      <c r="AS591">
        <f>[2]Indicators!BC473</f>
        <v>84.7</v>
      </c>
      <c r="AT591">
        <f>[2]Indicators!BD473</f>
        <v>90.47890000000001</v>
      </c>
      <c r="AU591">
        <f>[2]Indicators!BE473</f>
        <v>100.8203</v>
      </c>
      <c r="AV591">
        <f>[5]m!$O593</f>
        <v>90.48</v>
      </c>
    </row>
    <row r="592" spans="1:48" x14ac:dyDescent="0.25">
      <c r="A592" s="1">
        <v>36220</v>
      </c>
      <c r="B592" s="2">
        <f>[2]Indicators!G474</f>
        <v>6191.2120000000004</v>
      </c>
      <c r="C592" s="2">
        <f>[2]Indicators!H474</f>
        <v>828.83299999999997</v>
      </c>
      <c r="D592" s="2">
        <f>[2]Indicators!I474</f>
        <v>1390.8890000000001</v>
      </c>
      <c r="E592" s="2">
        <f>[2]Indicators!J474</f>
        <v>3971.491</v>
      </c>
      <c r="F592" s="2">
        <f>[2]Indicators!B474</f>
        <v>7120.1779999999999</v>
      </c>
      <c r="G592" s="2">
        <f>[2]Indicators!C474</f>
        <v>724</v>
      </c>
      <c r="H592" s="2">
        <f>[2]Indicators!D474</f>
        <v>1644.3990000000001</v>
      </c>
      <c r="I592" s="2">
        <f>[2]Indicators!E474</f>
        <v>4784.9210000000003</v>
      </c>
      <c r="J592" s="2">
        <f>[2]Indicators!L474</f>
        <v>227830</v>
      </c>
      <c r="K592" s="2">
        <f>[2]Indicators!M474</f>
        <v>152410</v>
      </c>
      <c r="L592" s="2">
        <f>[2]Indicators!N474</f>
        <v>16.821999999999999</v>
      </c>
      <c r="M592" s="2">
        <f>[2]Indicators!AB474</f>
        <v>87.251100000000008</v>
      </c>
      <c r="N592" s="2">
        <f>[8]m!$C594</f>
        <v>4.8100000000000005</v>
      </c>
      <c r="O592">
        <f>[9]Unemployment!$B474</f>
        <v>4.2</v>
      </c>
      <c r="P592" s="2">
        <f>[2]Surveys_m!$B474</f>
        <v>134</v>
      </c>
      <c r="Q592">
        <f>[5]m!$B594</f>
        <v>164.8</v>
      </c>
      <c r="R592">
        <f>[5]m!$D594</f>
        <v>175.70000000000002</v>
      </c>
      <c r="S592">
        <f>[5]m!$Q594</f>
        <v>122.60000000000001</v>
      </c>
      <c r="T592">
        <f>[6]m!B594</f>
        <v>-22409</v>
      </c>
      <c r="U592" s="2">
        <f>[9]Unemployment!$F474</f>
        <v>13.4</v>
      </c>
      <c r="V592" s="2">
        <f>[9]Unemployment!$G474</f>
        <v>6.8000000000000007</v>
      </c>
      <c r="W592">
        <f>[9]Unemployment!$E474</f>
        <v>5783</v>
      </c>
      <c r="X592">
        <f>[9]Unemployment!N474</f>
        <v>2473</v>
      </c>
      <c r="Y592">
        <f>[9]Unemployment!O474</f>
        <v>1905</v>
      </c>
      <c r="Z592">
        <f>[9]Unemployment!P474-[9]Unemployment!Q474</f>
        <v>758</v>
      </c>
      <c r="AA592">
        <f>[9]Unemployment!$Q474</f>
        <v>714</v>
      </c>
      <c r="AB592" s="2">
        <f>[8]m!$B594</f>
        <v>4.5</v>
      </c>
      <c r="AC592" s="2">
        <f>[8]m!$F594</f>
        <v>5.23</v>
      </c>
      <c r="AD592">
        <f>[9]Employment!$B474</f>
        <v>127996</v>
      </c>
      <c r="AE592" s="2">
        <f>[2]Indicators!$AB474</f>
        <v>87.251100000000008</v>
      </c>
      <c r="AF592" s="2">
        <f>[8]m!$AS594</f>
        <v>1450.9</v>
      </c>
      <c r="AG592" s="2">
        <f>[8]m!$H594</f>
        <v>6.62</v>
      </c>
      <c r="AH592" s="2">
        <f>[8]m!$I594</f>
        <v>7.53</v>
      </c>
      <c r="AI592" s="2">
        <f>[7]m!C593</f>
        <v>77436</v>
      </c>
      <c r="AJ592" s="2">
        <f>[7]m!D593</f>
        <v>96292</v>
      </c>
      <c r="AK592" s="2">
        <f>[2]Surveys_m!$AB474</f>
        <v>52.400000000000006</v>
      </c>
      <c r="AL592" s="4">
        <f t="shared" si="9"/>
        <v>5170.3152804642159</v>
      </c>
      <c r="AM592">
        <f>[2]Indicators!$BB474</f>
        <v>177397</v>
      </c>
      <c r="AN592" s="2">
        <v>104.6</v>
      </c>
      <c r="AO592">
        <f>[9]Unemployment!H474</f>
        <v>295</v>
      </c>
      <c r="AP592">
        <f>[9]Unemployment!I474</f>
        <v>949</v>
      </c>
      <c r="AQ592" s="3">
        <f>[9]LaborForce!$B473*[9]LaborForce!$C473/100</f>
        <v>138714.12</v>
      </c>
      <c r="AR592">
        <f>[9]Unemployment!$AC474</f>
        <v>301</v>
      </c>
      <c r="AS592">
        <f>[2]Indicators!BC474</f>
        <v>84.600000000000009</v>
      </c>
      <c r="AT592">
        <f>[2]Indicators!BD474</f>
        <v>91.040800000000004</v>
      </c>
      <c r="AU592">
        <f>[2]Indicators!BE474</f>
        <v>101.14970000000001</v>
      </c>
      <c r="AV592">
        <f>[5]m!$O594</f>
        <v>91.31</v>
      </c>
    </row>
    <row r="593" spans="1:48" x14ac:dyDescent="0.25">
      <c r="A593" s="1">
        <v>36251</v>
      </c>
      <c r="B593" s="2">
        <f>[2]Indicators!G475</f>
        <v>6258.01</v>
      </c>
      <c r="C593" s="2">
        <f>[2]Indicators!H475</f>
        <v>842.86199999999997</v>
      </c>
      <c r="D593" s="2">
        <f>[2]Indicators!I475</f>
        <v>1415.25</v>
      </c>
      <c r="E593" s="2">
        <f>[2]Indicators!J475</f>
        <v>3999.8980000000001</v>
      </c>
      <c r="F593" s="2">
        <f>[2]Indicators!B475</f>
        <v>7163.0029999999997</v>
      </c>
      <c r="G593" s="2">
        <f>[2]Indicators!C475</f>
        <v>735.36099999999999</v>
      </c>
      <c r="H593" s="2">
        <f>[2]Indicators!D475</f>
        <v>1646.39</v>
      </c>
      <c r="I593" s="2">
        <f>[2]Indicators!E475</f>
        <v>4812.1630000000005</v>
      </c>
      <c r="J593" s="2">
        <f>[2]Indicators!L475</f>
        <v>229200</v>
      </c>
      <c r="K593" s="2">
        <f>[2]Indicators!M475</f>
        <v>152338</v>
      </c>
      <c r="L593" s="2">
        <f>[2]Indicators!N475</f>
        <v>16.917000000000002</v>
      </c>
      <c r="M593" s="2">
        <f>[2]Indicators!AB475</f>
        <v>87.458800000000011</v>
      </c>
      <c r="N593" s="2">
        <f>[8]m!$C595</f>
        <v>4.74</v>
      </c>
      <c r="O593">
        <f>[9]Unemployment!$B475</f>
        <v>4.3</v>
      </c>
      <c r="P593" s="2">
        <f>[2]Surveys_m!$B475</f>
        <v>135.5</v>
      </c>
      <c r="Q593">
        <f>[5]m!$B595</f>
        <v>165.9</v>
      </c>
      <c r="R593">
        <f>[5]m!$D595</f>
        <v>176.3</v>
      </c>
      <c r="S593">
        <f>[5]m!$Q595</f>
        <v>123.60000000000001</v>
      </c>
      <c r="T593">
        <f>[6]m!B595</f>
        <v>113459</v>
      </c>
      <c r="U593" s="2">
        <f>[9]Unemployment!$F475</f>
        <v>13.3</v>
      </c>
      <c r="V593" s="2">
        <f>[9]Unemployment!$G475</f>
        <v>6.2</v>
      </c>
      <c r="W593">
        <f>[9]Unemployment!$E475</f>
        <v>6004</v>
      </c>
      <c r="X593">
        <f>[9]Unemployment!N475</f>
        <v>2781</v>
      </c>
      <c r="Y593">
        <f>[9]Unemployment!O475</f>
        <v>1848</v>
      </c>
      <c r="Z593">
        <f>[9]Unemployment!P475-[9]Unemployment!Q475</f>
        <v>782</v>
      </c>
      <c r="AA593">
        <f>[9]Unemployment!$Q475</f>
        <v>698</v>
      </c>
      <c r="AB593" s="2">
        <f>[8]m!$B595</f>
        <v>4.55</v>
      </c>
      <c r="AC593" s="2">
        <f>[8]m!$F595</f>
        <v>5.18</v>
      </c>
      <c r="AD593">
        <f>[9]Employment!$B475</f>
        <v>128372</v>
      </c>
      <c r="AE593" s="2">
        <f>[2]Indicators!$AB475</f>
        <v>87.458800000000011</v>
      </c>
      <c r="AF593" s="2">
        <f>[8]m!$AS595</f>
        <v>1457.7</v>
      </c>
      <c r="AG593" s="2">
        <f>[8]m!$H595</f>
        <v>6.6400000000000006</v>
      </c>
      <c r="AH593" s="2">
        <f>[8]m!$I595</f>
        <v>7.48</v>
      </c>
      <c r="AI593" s="2">
        <f>[7]m!C594</f>
        <v>78243</v>
      </c>
      <c r="AJ593" s="2">
        <f>[7]m!D594</f>
        <v>96462</v>
      </c>
      <c r="AK593" s="2">
        <f>[2]Surveys_m!$AB475</f>
        <v>52.300000000000004</v>
      </c>
      <c r="AL593" s="4">
        <f t="shared" si="9"/>
        <v>5135.7147001934236</v>
      </c>
      <c r="AM593">
        <f>[2]Indicators!$BB475</f>
        <v>176913</v>
      </c>
      <c r="AN593" s="2">
        <v>103.9</v>
      </c>
      <c r="AO593">
        <f>[9]Unemployment!H475</f>
        <v>245</v>
      </c>
      <c r="AP593">
        <f>[9]Unemployment!I475</f>
        <v>1012</v>
      </c>
      <c r="AQ593" s="3">
        <f>[9]LaborForce!$B474*[9]LaborForce!$C474/100</f>
        <v>139055.35600000003</v>
      </c>
      <c r="AR593">
        <f>[9]Unemployment!$AC475</f>
        <v>298</v>
      </c>
      <c r="AS593">
        <f>[2]Indicators!BC475</f>
        <v>84.4</v>
      </c>
      <c r="AT593">
        <f>[2]Indicators!BD475</f>
        <v>91.560299999999998</v>
      </c>
      <c r="AU593">
        <f>[2]Indicators!BE475</f>
        <v>101.43770000000001</v>
      </c>
      <c r="AV593">
        <f>[5]m!$O595</f>
        <v>92.55</v>
      </c>
    </row>
    <row r="594" spans="1:48" x14ac:dyDescent="0.25">
      <c r="A594" s="1">
        <v>36281</v>
      </c>
      <c r="B594" s="2">
        <f>[2]Indicators!G476</f>
        <v>6290.84</v>
      </c>
      <c r="C594" s="2">
        <f>[2]Indicators!H476</f>
        <v>856.98300000000006</v>
      </c>
      <c r="D594" s="2">
        <f>[2]Indicators!I476</f>
        <v>1421.644</v>
      </c>
      <c r="E594" s="2">
        <f>[2]Indicators!J476</f>
        <v>4012.212</v>
      </c>
      <c r="F594" s="2">
        <f>[2]Indicators!B476</f>
        <v>7197.0439999999999</v>
      </c>
      <c r="G594" s="2">
        <f>[2]Indicators!C476</f>
        <v>749.58</v>
      </c>
      <c r="H594" s="2">
        <f>[2]Indicators!D476</f>
        <v>1655.9090000000001</v>
      </c>
      <c r="I594" s="2">
        <f>[2]Indicators!E476</f>
        <v>4818.576</v>
      </c>
      <c r="J594" s="2">
        <f>[2]Indicators!L476</f>
        <v>231932</v>
      </c>
      <c r="K594" s="2">
        <f>[2]Indicators!M476</f>
        <v>153928</v>
      </c>
      <c r="L594" s="2">
        <f>[2]Indicators!N476</f>
        <v>17.556000000000001</v>
      </c>
      <c r="M594" s="2">
        <f>[2]Indicators!AB476</f>
        <v>88.120500000000007</v>
      </c>
      <c r="N594" s="2">
        <f>[8]m!$C596</f>
        <v>4.74</v>
      </c>
      <c r="O594">
        <f>[9]Unemployment!$B476</f>
        <v>4.2</v>
      </c>
      <c r="P594" s="2">
        <f>[2]Surveys_m!$B476</f>
        <v>137.70000000000002</v>
      </c>
      <c r="Q594">
        <f>[5]m!$B596</f>
        <v>166</v>
      </c>
      <c r="R594">
        <f>[5]m!$D596</f>
        <v>176.5</v>
      </c>
      <c r="S594">
        <f>[5]m!$Q596</f>
        <v>124.7</v>
      </c>
      <c r="T594">
        <f>[6]m!B596</f>
        <v>-23969</v>
      </c>
      <c r="U594" s="2">
        <f>[9]Unemployment!$F476</f>
        <v>13.4</v>
      </c>
      <c r="V594" s="2">
        <f>[9]Unemployment!$G476</f>
        <v>6.5</v>
      </c>
      <c r="W594">
        <f>[9]Unemployment!$E476</f>
        <v>5796</v>
      </c>
      <c r="X594">
        <f>[9]Unemployment!N476</f>
        <v>2511</v>
      </c>
      <c r="Y594">
        <f>[9]Unemployment!O476</f>
        <v>1789</v>
      </c>
      <c r="Z594">
        <f>[9]Unemployment!P476-[9]Unemployment!Q476</f>
        <v>787</v>
      </c>
      <c r="AA594">
        <f>[9]Unemployment!$Q476</f>
        <v>718</v>
      </c>
      <c r="AB594" s="2">
        <f>[8]m!$B596</f>
        <v>4.66</v>
      </c>
      <c r="AC594" s="2">
        <f>[8]m!$F596</f>
        <v>5.54</v>
      </c>
      <c r="AD594">
        <f>[9]Employment!$B476</f>
        <v>128585</v>
      </c>
      <c r="AE594" s="2">
        <f>[2]Indicators!$AB476</f>
        <v>88.120500000000007</v>
      </c>
      <c r="AF594" s="2">
        <f>[8]m!$AS596</f>
        <v>1468.1000000000001</v>
      </c>
      <c r="AG594" s="2">
        <f>[8]m!$H596</f>
        <v>6.93</v>
      </c>
      <c r="AH594" s="2">
        <f>[8]m!$I596</f>
        <v>7.72</v>
      </c>
      <c r="AI594" s="2">
        <f>[7]m!C595</f>
        <v>78716</v>
      </c>
      <c r="AJ594" s="2">
        <f>[7]m!D595</f>
        <v>97346</v>
      </c>
      <c r="AK594" s="2">
        <f>[2]Surveys_m!$AB476</f>
        <v>54.300000000000004</v>
      </c>
      <c r="AL594" s="4">
        <f t="shared" si="9"/>
        <v>5219.7446808510631</v>
      </c>
      <c r="AM594">
        <f>[2]Indicators!$BB476</f>
        <v>179685</v>
      </c>
      <c r="AN594" s="2">
        <v>105.6</v>
      </c>
      <c r="AO594">
        <f>[9]Unemployment!H476</f>
        <v>256</v>
      </c>
      <c r="AP594">
        <f>[9]Unemployment!I476</f>
        <v>892</v>
      </c>
      <c r="AQ594" s="3">
        <f>[9]LaborForce!$B475*[9]LaborForce!$C475/100</f>
        <v>139183.51700000002</v>
      </c>
      <c r="AR594">
        <f>[9]Unemployment!$AC476</f>
        <v>296</v>
      </c>
      <c r="AS594">
        <f>[2]Indicators!BC476</f>
        <v>84.9</v>
      </c>
      <c r="AT594">
        <f>[2]Indicators!BD476</f>
        <v>92.055199999999999</v>
      </c>
      <c r="AU594">
        <f>[2]Indicators!BE476</f>
        <v>101.70440000000001</v>
      </c>
      <c r="AV594">
        <f>[5]m!$O596</f>
        <v>93.69</v>
      </c>
    </row>
    <row r="595" spans="1:48" x14ac:dyDescent="0.25">
      <c r="A595" s="1">
        <v>36312</v>
      </c>
      <c r="B595" s="2">
        <f>[2]Indicators!G477</f>
        <v>6321.0460000000003</v>
      </c>
      <c r="C595" s="2">
        <f>[2]Indicators!H477</f>
        <v>869.45400000000006</v>
      </c>
      <c r="D595" s="2">
        <f>[2]Indicators!I477</f>
        <v>1420.6759999999999</v>
      </c>
      <c r="E595" s="2">
        <f>[2]Indicators!J477</f>
        <v>4030.915</v>
      </c>
      <c r="F595" s="2">
        <f>[2]Indicators!B477</f>
        <v>7229.7179999999998</v>
      </c>
      <c r="G595" s="2">
        <f>[2]Indicators!C477</f>
        <v>762.41899999999998</v>
      </c>
      <c r="H595" s="2">
        <f>[2]Indicators!D477</f>
        <v>1653.9860000000001</v>
      </c>
      <c r="I595" s="2">
        <f>[2]Indicators!E477</f>
        <v>4837.3339999999998</v>
      </c>
      <c r="J595" s="2">
        <f>[2]Indicators!L477</f>
        <v>232063</v>
      </c>
      <c r="K595" s="2">
        <f>[2]Indicators!M477</f>
        <v>154036</v>
      </c>
      <c r="L595" s="2">
        <f>[2]Indicators!N477</f>
        <v>17.349</v>
      </c>
      <c r="M595" s="2">
        <f>[2]Indicators!AB477</f>
        <v>87.995800000000003</v>
      </c>
      <c r="N595" s="2">
        <f>[8]m!$C597</f>
        <v>4.76</v>
      </c>
      <c r="O595">
        <f>[9]Unemployment!$B477</f>
        <v>4.3</v>
      </c>
      <c r="P595" s="2">
        <f>[2]Surveys_m!$B477</f>
        <v>139</v>
      </c>
      <c r="Q595">
        <f>[5]m!$B597</f>
        <v>166</v>
      </c>
      <c r="R595">
        <f>[5]m!$D597</f>
        <v>176.6</v>
      </c>
      <c r="S595">
        <f>[5]m!$Q597</f>
        <v>125.2</v>
      </c>
      <c r="T595">
        <f>[6]m!B597</f>
        <v>53568</v>
      </c>
      <c r="U595" s="2">
        <f>[9]Unemployment!$F477</f>
        <v>14.3</v>
      </c>
      <c r="V595" s="2">
        <f>[9]Unemployment!$G477</f>
        <v>6.3000000000000007</v>
      </c>
      <c r="W595">
        <f>[9]Unemployment!$E477</f>
        <v>5951</v>
      </c>
      <c r="X595">
        <f>[9]Unemployment!N477</f>
        <v>2521</v>
      </c>
      <c r="Y595">
        <f>[9]Unemployment!O477</f>
        <v>1773</v>
      </c>
      <c r="Z595">
        <f>[9]Unemployment!P477-[9]Unemployment!Q477</f>
        <v>812</v>
      </c>
      <c r="AA595">
        <f>[9]Unemployment!$Q477</f>
        <v>812</v>
      </c>
      <c r="AB595" s="2">
        <f>[8]m!$B597</f>
        <v>4.78</v>
      </c>
      <c r="AC595" s="2">
        <f>[8]m!$F597</f>
        <v>5.9</v>
      </c>
      <c r="AD595">
        <f>[9]Employment!$B477</f>
        <v>128851</v>
      </c>
      <c r="AE595" s="2">
        <f>[2]Indicators!$AB477</f>
        <v>87.995800000000003</v>
      </c>
      <c r="AF595" s="2">
        <f>[8]m!$AS597</f>
        <v>1479.3000000000002</v>
      </c>
      <c r="AG595" s="2">
        <f>[8]m!$H597</f>
        <v>7.23</v>
      </c>
      <c r="AH595" s="2">
        <f>[8]m!$I597</f>
        <v>8.02</v>
      </c>
      <c r="AI595" s="2">
        <f>[7]m!C596</f>
        <v>78782</v>
      </c>
      <c r="AJ595" s="2">
        <f>[7]m!D596</f>
        <v>99475</v>
      </c>
      <c r="AK595" s="2">
        <f>[2]Surveys_m!$AB477</f>
        <v>55.800000000000004</v>
      </c>
      <c r="AL595" s="4">
        <f t="shared" si="9"/>
        <v>5007.1982591876204</v>
      </c>
      <c r="AM595">
        <f>[2]Indicators!$BB477</f>
        <v>177527</v>
      </c>
      <c r="AN595" s="2">
        <v>101.3</v>
      </c>
      <c r="AO595">
        <f>[9]Unemployment!H477</f>
        <v>220</v>
      </c>
      <c r="AP595">
        <f>[9]Unemployment!I477</f>
        <v>1008</v>
      </c>
      <c r="AQ595" s="3">
        <f>[9]LaborForce!$B476*[9]LaborForce!$C476/100</f>
        <v>139321.07200000001</v>
      </c>
      <c r="AR595">
        <f>[9]Unemployment!$AC477</f>
        <v>303</v>
      </c>
      <c r="AS595">
        <f>[2]Indicators!BC477</f>
        <v>85.3</v>
      </c>
      <c r="AT595">
        <f>[2]Indicators!BD477</f>
        <v>92.50500000000001</v>
      </c>
      <c r="AU595">
        <f>[2]Indicators!BE477</f>
        <v>101.9277</v>
      </c>
      <c r="AV595">
        <f>[5]m!$O597</f>
        <v>95.100000000000009</v>
      </c>
    </row>
    <row r="596" spans="1:48" x14ac:dyDescent="0.25">
      <c r="A596" s="1">
        <v>36342</v>
      </c>
      <c r="B596" s="2">
        <f>[2]Indicators!G478</f>
        <v>6351.7629999999999</v>
      </c>
      <c r="C596" s="2">
        <f>[2]Indicators!H478</f>
        <v>867.05700000000002</v>
      </c>
      <c r="D596" s="2">
        <f>[2]Indicators!I478</f>
        <v>1422.9780000000001</v>
      </c>
      <c r="E596" s="2">
        <f>[2]Indicators!J478</f>
        <v>4061.7280000000001</v>
      </c>
      <c r="F596" s="2">
        <f>[2]Indicators!B478</f>
        <v>7245.5889999999999</v>
      </c>
      <c r="G596" s="2">
        <f>[2]Indicators!C478</f>
        <v>760.81700000000001</v>
      </c>
      <c r="H596" s="2">
        <f>[2]Indicators!D478</f>
        <v>1648.0350000000001</v>
      </c>
      <c r="I596" s="2">
        <f>[2]Indicators!E478</f>
        <v>4862.4380000000001</v>
      </c>
      <c r="J596" s="2">
        <f>[2]Indicators!L478</f>
        <v>234261</v>
      </c>
      <c r="K596" s="2">
        <f>[2]Indicators!M478</f>
        <v>154669</v>
      </c>
      <c r="L596" s="2">
        <f>[2]Indicators!N478</f>
        <v>17.687000000000001</v>
      </c>
      <c r="M596" s="2">
        <f>[2]Indicators!AB478</f>
        <v>88.570900000000009</v>
      </c>
      <c r="N596" s="2">
        <f>[8]m!$C598</f>
        <v>4.99</v>
      </c>
      <c r="O596">
        <f>[9]Unemployment!$B478</f>
        <v>4.3</v>
      </c>
      <c r="P596" s="2">
        <f>[2]Surveys_m!$B478</f>
        <v>136.20000000000002</v>
      </c>
      <c r="Q596">
        <f>[5]m!$B598</f>
        <v>166.70000000000002</v>
      </c>
      <c r="R596">
        <f>[5]m!$D598</f>
        <v>177.1</v>
      </c>
      <c r="S596">
        <f>[5]m!$Q598</f>
        <v>125.7</v>
      </c>
      <c r="T596">
        <f>[6]m!B598</f>
        <v>-25164</v>
      </c>
      <c r="U596" s="2">
        <f>[9]Unemployment!$F478</f>
        <v>13.600000000000001</v>
      </c>
      <c r="V596" s="2">
        <f>[9]Unemployment!$G478</f>
        <v>5.8000000000000007</v>
      </c>
      <c r="W596">
        <f>[9]Unemployment!$E478</f>
        <v>6025</v>
      </c>
      <c r="X596">
        <f>[9]Unemployment!N478</f>
        <v>2643</v>
      </c>
      <c r="Y596">
        <f>[9]Unemployment!O478</f>
        <v>1783</v>
      </c>
      <c r="Z596">
        <f>[9]Unemployment!P478-[9]Unemployment!Q478</f>
        <v>781</v>
      </c>
      <c r="AA596">
        <f>[9]Unemployment!$Q478</f>
        <v>732</v>
      </c>
      <c r="AB596" s="2">
        <f>[8]m!$B598</f>
        <v>4.75</v>
      </c>
      <c r="AC596" s="2">
        <f>[8]m!$F598</f>
        <v>5.79</v>
      </c>
      <c r="AD596">
        <f>[9]Employment!$B478</f>
        <v>129142</v>
      </c>
      <c r="AE596" s="2">
        <f>[2]Indicators!$AB478</f>
        <v>88.570900000000009</v>
      </c>
      <c r="AF596" s="2">
        <f>[8]m!$AS598</f>
        <v>1492.4</v>
      </c>
      <c r="AG596" s="2">
        <f>[8]m!$H598</f>
        <v>7.19</v>
      </c>
      <c r="AH596" s="2">
        <f>[8]m!$I598</f>
        <v>7.95</v>
      </c>
      <c r="AI596" s="2">
        <f>[7]m!C597</f>
        <v>79070</v>
      </c>
      <c r="AJ596" s="2">
        <f>[7]m!D597</f>
        <v>102692</v>
      </c>
      <c r="AK596" s="2">
        <f>[2]Surveys_m!$AB478</f>
        <v>53.6</v>
      </c>
      <c r="AL596" s="4">
        <f t="shared" si="9"/>
        <v>5096.1711798839451</v>
      </c>
      <c r="AM596">
        <f>[2]Indicators!$BB478</f>
        <v>181113</v>
      </c>
      <c r="AN596" s="2">
        <v>103.1</v>
      </c>
      <c r="AO596">
        <f>[9]Unemployment!H478</f>
        <v>290</v>
      </c>
      <c r="AP596">
        <f>[9]Unemployment!I478</f>
        <v>843</v>
      </c>
      <c r="AQ596" s="3">
        <f>[9]LaborForce!$B477*[9]LaborForce!$C477/100</f>
        <v>139452.58800000002</v>
      </c>
      <c r="AR596">
        <f>[9]Unemployment!$AC478</f>
        <v>291</v>
      </c>
      <c r="AS596">
        <f>[2]Indicators!BC478</f>
        <v>85.7</v>
      </c>
      <c r="AT596">
        <f>[2]Indicators!BD478</f>
        <v>92.916200000000003</v>
      </c>
      <c r="AU596">
        <f>[2]Indicators!BE478</f>
        <v>102.1151</v>
      </c>
      <c r="AV596">
        <f>[5]m!$O598</f>
        <v>96.28</v>
      </c>
    </row>
    <row r="597" spans="1:48" x14ac:dyDescent="0.25">
      <c r="A597" s="1">
        <v>36373</v>
      </c>
      <c r="B597" s="2">
        <f>[2]Indicators!G479</f>
        <v>6396.9090000000006</v>
      </c>
      <c r="C597" s="2">
        <f>[2]Indicators!H479</f>
        <v>873.86199999999997</v>
      </c>
      <c r="D597" s="2">
        <f>[2]Indicators!I479</f>
        <v>1440.547</v>
      </c>
      <c r="E597" s="2">
        <f>[2]Indicators!J479</f>
        <v>4082.5</v>
      </c>
      <c r="F597" s="2">
        <f>[2]Indicators!B479</f>
        <v>7284.8450000000003</v>
      </c>
      <c r="G597" s="2">
        <f>[2]Indicators!C479</f>
        <v>768.07799999999997</v>
      </c>
      <c r="H597" s="2">
        <f>[2]Indicators!D479</f>
        <v>1661.0720000000001</v>
      </c>
      <c r="I597" s="2">
        <f>[2]Indicators!E479</f>
        <v>4880.3429999999998</v>
      </c>
      <c r="J597" s="2">
        <f>[2]Indicators!L479</f>
        <v>237054</v>
      </c>
      <c r="K597" s="2">
        <f>[2]Indicators!M479</f>
        <v>156079</v>
      </c>
      <c r="L597" s="2">
        <f>[2]Indicators!N479</f>
        <v>17.635999999999999</v>
      </c>
      <c r="M597" s="2">
        <f>[2]Indicators!AB479</f>
        <v>88.969200000000001</v>
      </c>
      <c r="N597" s="2">
        <f>[8]m!$C599</f>
        <v>5.07</v>
      </c>
      <c r="O597">
        <f>[9]Unemployment!$B479</f>
        <v>4.2</v>
      </c>
      <c r="P597" s="2">
        <f>[2]Surveys_m!$B479</f>
        <v>136</v>
      </c>
      <c r="Q597">
        <f>[5]m!$B599</f>
        <v>167.1</v>
      </c>
      <c r="R597">
        <f>[5]m!$D599</f>
        <v>177.3</v>
      </c>
      <c r="S597">
        <f>[5]m!$Q599</f>
        <v>126.9</v>
      </c>
      <c r="T597">
        <f>[6]m!B599</f>
        <v>-2803</v>
      </c>
      <c r="U597" s="2">
        <f>[9]Unemployment!$F479</f>
        <v>13.100000000000001</v>
      </c>
      <c r="V597" s="2">
        <f>[9]Unemployment!$G479</f>
        <v>6.5</v>
      </c>
      <c r="W597">
        <f>[9]Unemployment!$E479</f>
        <v>5838</v>
      </c>
      <c r="X597">
        <f>[9]Unemployment!N479</f>
        <v>2546</v>
      </c>
      <c r="Y597">
        <f>[9]Unemployment!O479</f>
        <v>1824</v>
      </c>
      <c r="Z597">
        <f>[9]Unemployment!P479-[9]Unemployment!Q479</f>
        <v>749</v>
      </c>
      <c r="AA597">
        <f>[9]Unemployment!$Q479</f>
        <v>706</v>
      </c>
      <c r="AB597" s="2">
        <f>[8]m!$B599</f>
        <v>4.93</v>
      </c>
      <c r="AC597" s="2">
        <f>[8]m!$F599</f>
        <v>5.94</v>
      </c>
      <c r="AD597">
        <f>[9]Employment!$B479</f>
        <v>129334</v>
      </c>
      <c r="AE597" s="2">
        <f>[2]Indicators!$AB479</f>
        <v>88.969200000000001</v>
      </c>
      <c r="AF597" s="2">
        <f>[8]m!$AS599</f>
        <v>1503.2</v>
      </c>
      <c r="AG597" s="2">
        <f>[8]m!$H599</f>
        <v>7.4</v>
      </c>
      <c r="AH597" s="2">
        <f>[8]m!$I599</f>
        <v>8.15</v>
      </c>
      <c r="AI597" s="2">
        <f>[7]m!C598</f>
        <v>80019</v>
      </c>
      <c r="AJ597" s="2">
        <f>[7]m!D598</f>
        <v>104117</v>
      </c>
      <c r="AK597" s="2">
        <f>[2]Surveys_m!$AB479</f>
        <v>54.800000000000004</v>
      </c>
      <c r="AL597" s="4">
        <f t="shared" si="9"/>
        <v>5120.8858800773687</v>
      </c>
      <c r="AM597">
        <f>[2]Indicators!$BB479</f>
        <v>184520</v>
      </c>
      <c r="AN597" s="2">
        <v>103.6</v>
      </c>
      <c r="AO597">
        <f>[9]Unemployment!H479</f>
        <v>265</v>
      </c>
      <c r="AP597">
        <f>[9]Unemployment!I479</f>
        <v>869</v>
      </c>
      <c r="AQ597" s="3">
        <f>[9]LaborForce!$B478*[9]LaborForce!$C478/100</f>
        <v>139385.46</v>
      </c>
      <c r="AR597">
        <f>[9]Unemployment!$AC479</f>
        <v>300</v>
      </c>
      <c r="AS597">
        <f>[2]Indicators!BC479</f>
        <v>85.8</v>
      </c>
      <c r="AT597">
        <f>[2]Indicators!BD479</f>
        <v>93.294300000000007</v>
      </c>
      <c r="AU597">
        <f>[2]Indicators!BE479</f>
        <v>102.2731</v>
      </c>
      <c r="AV597">
        <f>[5]m!$O599</f>
        <v>97.31</v>
      </c>
    </row>
    <row r="598" spans="1:48" x14ac:dyDescent="0.25">
      <c r="A598" s="1">
        <v>36404</v>
      </c>
      <c r="B598" s="2">
        <f>[2]Indicators!G480</f>
        <v>6447.942</v>
      </c>
      <c r="C598" s="2">
        <f>[2]Indicators!H480</f>
        <v>878.39600000000007</v>
      </c>
      <c r="D598" s="2">
        <f>[2]Indicators!I480</f>
        <v>1460.4549999999999</v>
      </c>
      <c r="E598" s="2">
        <f>[2]Indicators!J480</f>
        <v>4109.0919999999996</v>
      </c>
      <c r="F598" s="2">
        <f>[2]Indicators!B480</f>
        <v>7318.8020000000006</v>
      </c>
      <c r="G598" s="2">
        <f>[2]Indicators!C480</f>
        <v>773.18899999999996</v>
      </c>
      <c r="H598" s="2">
        <f>[2]Indicators!D480</f>
        <v>1670.7570000000001</v>
      </c>
      <c r="I598" s="2">
        <f>[2]Indicators!E480</f>
        <v>4899.0560000000005</v>
      </c>
      <c r="J598" s="2">
        <f>[2]Indicators!L480</f>
        <v>238082</v>
      </c>
      <c r="K598" s="2">
        <f>[2]Indicators!M480</f>
        <v>156141</v>
      </c>
      <c r="L598" s="2">
        <f>[2]Indicators!N480</f>
        <v>17.649000000000001</v>
      </c>
      <c r="M598" s="2">
        <f>[2]Indicators!AB480</f>
        <v>88.712100000000007</v>
      </c>
      <c r="N598" s="2">
        <f>[8]m!$C600</f>
        <v>5.22</v>
      </c>
      <c r="O598">
        <f>[9]Unemployment!$B480</f>
        <v>4.2</v>
      </c>
      <c r="P598" s="2">
        <f>[2]Surveys_m!$B480</f>
        <v>134.20000000000002</v>
      </c>
      <c r="Q598">
        <f>[5]m!$B600</f>
        <v>167.8</v>
      </c>
      <c r="R598">
        <f>[5]m!$D600</f>
        <v>177.8</v>
      </c>
      <c r="S598">
        <f>[5]m!$Q600</f>
        <v>128</v>
      </c>
      <c r="T598">
        <f>[6]m!B600</f>
        <v>58042</v>
      </c>
      <c r="U598" s="2">
        <f>[9]Unemployment!$F480</f>
        <v>13.100000000000001</v>
      </c>
      <c r="V598" s="2">
        <f>[9]Unemployment!$G480</f>
        <v>6</v>
      </c>
      <c r="W598">
        <f>[9]Unemployment!$E480</f>
        <v>5915</v>
      </c>
      <c r="X598">
        <f>[9]Unemployment!N480</f>
        <v>2611</v>
      </c>
      <c r="Y598">
        <f>[9]Unemployment!O480</f>
        <v>1835</v>
      </c>
      <c r="Z598">
        <f>[9]Unemployment!P480-[9]Unemployment!Q480</f>
        <v>740</v>
      </c>
      <c r="AA598">
        <f>[9]Unemployment!$Q480</f>
        <v>709</v>
      </c>
      <c r="AB598" s="2">
        <f>[8]m!$B600</f>
        <v>4.8600000000000003</v>
      </c>
      <c r="AC598" s="2">
        <f>[8]m!$F600</f>
        <v>5.92</v>
      </c>
      <c r="AD598">
        <f>[9]Employment!$B480</f>
        <v>129536</v>
      </c>
      <c r="AE598" s="2">
        <f>[2]Indicators!$AB480</f>
        <v>88.712100000000007</v>
      </c>
      <c r="AF598" s="2">
        <f>[8]m!$AS600</f>
        <v>1511.1000000000001</v>
      </c>
      <c r="AG598" s="2">
        <f>[8]m!$H600</f>
        <v>7.3900000000000006</v>
      </c>
      <c r="AH598" s="2">
        <f>[8]m!$I600</f>
        <v>8.1999999999999993</v>
      </c>
      <c r="AI598" s="2">
        <f>[7]m!C599</f>
        <v>81508</v>
      </c>
      <c r="AJ598" s="2">
        <f>[7]m!D599</f>
        <v>105125</v>
      </c>
      <c r="AK598" s="2">
        <f>[2]Surveys_m!$AB480</f>
        <v>57</v>
      </c>
      <c r="AL598" s="4">
        <f t="shared" si="9"/>
        <v>4967.6547388781428</v>
      </c>
      <c r="AM598">
        <f>[2]Indicators!$BB480</f>
        <v>184560</v>
      </c>
      <c r="AN598" s="2">
        <v>100.5</v>
      </c>
      <c r="AO598">
        <f>[9]Unemployment!H480</f>
        <v>289</v>
      </c>
      <c r="AP598">
        <f>[9]Unemployment!I480</f>
        <v>883</v>
      </c>
      <c r="AQ598" s="3">
        <f>[9]LaborForce!$B479*[9]LaborForce!$C479/100</f>
        <v>139537.54999999999</v>
      </c>
      <c r="AR598">
        <f>[9]Unemployment!$AC480</f>
        <v>290</v>
      </c>
      <c r="AS598">
        <f>[2]Indicators!BC480</f>
        <v>85.9</v>
      </c>
      <c r="AT598">
        <f>[2]Indicators!BD480</f>
        <v>93.656700000000001</v>
      </c>
      <c r="AU598">
        <f>[2]Indicators!BE480</f>
        <v>102.42100000000001</v>
      </c>
      <c r="AV598">
        <f>[5]m!$O600</f>
        <v>97.990000000000009</v>
      </c>
    </row>
    <row r="599" spans="1:48" x14ac:dyDescent="0.25">
      <c r="A599" s="1">
        <v>36434</v>
      </c>
      <c r="B599" s="2">
        <f>[2]Indicators!G481</f>
        <v>6467.7390000000005</v>
      </c>
      <c r="C599" s="2">
        <f>[2]Indicators!H481</f>
        <v>870.11099999999999</v>
      </c>
      <c r="D599" s="2">
        <f>[2]Indicators!I481</f>
        <v>1463.7090000000001</v>
      </c>
      <c r="E599" s="2">
        <f>[2]Indicators!J481</f>
        <v>4133.92</v>
      </c>
      <c r="F599" s="2">
        <f>[2]Indicators!B481</f>
        <v>7331.5340000000006</v>
      </c>
      <c r="G599" s="2">
        <f>[2]Indicators!C481</f>
        <v>767.32799999999997</v>
      </c>
      <c r="H599" s="2">
        <f>[2]Indicators!D481</f>
        <v>1672.731</v>
      </c>
      <c r="I599" s="2">
        <f>[2]Indicators!E481</f>
        <v>4918.3240000000005</v>
      </c>
      <c r="J599" s="2">
        <f>[2]Indicators!L481</f>
        <v>238157</v>
      </c>
      <c r="K599" s="2">
        <f>[2]Indicators!M481</f>
        <v>156164</v>
      </c>
      <c r="L599" s="2">
        <f>[2]Indicators!N481</f>
        <v>17.683</v>
      </c>
      <c r="M599" s="2">
        <f>[2]Indicators!AB481</f>
        <v>89.848200000000006</v>
      </c>
      <c r="N599" s="2">
        <f>[8]m!$C601</f>
        <v>5.2</v>
      </c>
      <c r="O599">
        <f>[9]Unemployment!$B481</f>
        <v>4.1000000000000005</v>
      </c>
      <c r="P599" s="2">
        <f>[2]Surveys_m!$B481</f>
        <v>130.5</v>
      </c>
      <c r="Q599">
        <f>[5]m!$B601</f>
        <v>168.1</v>
      </c>
      <c r="R599">
        <f>[5]m!$D601</f>
        <v>178.1</v>
      </c>
      <c r="S599">
        <f>[5]m!$Q601</f>
        <v>127.7</v>
      </c>
      <c r="T599">
        <f>[6]m!B601</f>
        <v>-26326</v>
      </c>
      <c r="U599" s="2">
        <f>[9]Unemployment!$F481</f>
        <v>13.3</v>
      </c>
      <c r="V599" s="2">
        <f>[9]Unemployment!$G481</f>
        <v>6.1000000000000005</v>
      </c>
      <c r="W599">
        <f>[9]Unemployment!$E481</f>
        <v>5778</v>
      </c>
      <c r="X599">
        <f>[9]Unemployment!N481</f>
        <v>2536</v>
      </c>
      <c r="Y599">
        <f>[9]Unemployment!O481</f>
        <v>1847</v>
      </c>
      <c r="Z599">
        <f>[9]Unemployment!P481-[9]Unemployment!Q481</f>
        <v>714</v>
      </c>
      <c r="AA599">
        <f>[9]Unemployment!$Q481</f>
        <v>724</v>
      </c>
      <c r="AB599" s="2">
        <f>[8]m!$B601</f>
        <v>5.13</v>
      </c>
      <c r="AC599" s="2">
        <f>[8]m!$F601</f>
        <v>6.11</v>
      </c>
      <c r="AD599">
        <f>[9]Employment!$B481</f>
        <v>129944</v>
      </c>
      <c r="AE599" s="2">
        <f>[2]Indicators!$AB481</f>
        <v>89.848200000000006</v>
      </c>
      <c r="AF599" s="2">
        <f>[8]m!$AS601</f>
        <v>1517.3000000000002</v>
      </c>
      <c r="AG599" s="2">
        <f>[8]m!$H601</f>
        <v>7.55</v>
      </c>
      <c r="AH599" s="2">
        <f>[8]m!$I601</f>
        <v>8.3800000000000008</v>
      </c>
      <c r="AI599" s="2">
        <f>[7]m!C600</f>
        <v>82718</v>
      </c>
      <c r="AJ599" s="2">
        <f>[7]m!D600</f>
        <v>106172</v>
      </c>
      <c r="AK599" s="2">
        <f>[2]Surveys_m!$AB481</f>
        <v>57.2</v>
      </c>
      <c r="AL599" s="4">
        <f t="shared" si="9"/>
        <v>5175.2582205029012</v>
      </c>
      <c r="AM599">
        <f>[2]Indicators!$BB481</f>
        <v>185753</v>
      </c>
      <c r="AN599" s="2">
        <v>104.7</v>
      </c>
      <c r="AO599">
        <f>[9]Unemployment!H481</f>
        <v>271</v>
      </c>
      <c r="AP599">
        <f>[9]Unemployment!I481</f>
        <v>913</v>
      </c>
      <c r="AQ599" s="3">
        <f>[9]LaborForce!$B480*[9]LaborForce!$C480/100</f>
        <v>139683.60999999999</v>
      </c>
      <c r="AR599">
        <f>[9]Unemployment!$AC481</f>
        <v>309</v>
      </c>
      <c r="AS599">
        <f>[2]Indicators!BC481</f>
        <v>86.100000000000009</v>
      </c>
      <c r="AT599">
        <f>[2]Indicators!BD481</f>
        <v>94.014200000000002</v>
      </c>
      <c r="AU599">
        <f>[2]Indicators!BE481</f>
        <v>102.57050000000001</v>
      </c>
      <c r="AV599">
        <f>[5]m!$O601</f>
        <v>98.48</v>
      </c>
    </row>
    <row r="600" spans="1:48" x14ac:dyDescent="0.25">
      <c r="A600" s="1">
        <v>36465</v>
      </c>
      <c r="B600" s="2">
        <f>[2]Indicators!G482</f>
        <v>6503.7300000000005</v>
      </c>
      <c r="C600" s="2">
        <f>[2]Indicators!H482</f>
        <v>873.43000000000006</v>
      </c>
      <c r="D600" s="2">
        <f>[2]Indicators!I482</f>
        <v>1469.251</v>
      </c>
      <c r="E600" s="2">
        <f>[2]Indicators!J482</f>
        <v>4161.049</v>
      </c>
      <c r="F600" s="2">
        <f>[2]Indicators!B482</f>
        <v>7366.3940000000002</v>
      </c>
      <c r="G600" s="2">
        <f>[2]Indicators!C482</f>
        <v>772.04500000000007</v>
      </c>
      <c r="H600" s="2">
        <f>[2]Indicators!D482</f>
        <v>1681.3710000000001</v>
      </c>
      <c r="I600" s="2">
        <f>[2]Indicators!E482</f>
        <v>4939.6360000000004</v>
      </c>
      <c r="J600" s="2">
        <f>[2]Indicators!L482</f>
        <v>240878</v>
      </c>
      <c r="K600" s="2">
        <f>[2]Indicators!M482</f>
        <v>157591</v>
      </c>
      <c r="L600" s="2">
        <f>[2]Indicators!N482</f>
        <v>17.625</v>
      </c>
      <c r="M600" s="2">
        <f>[2]Indicators!AB482</f>
        <v>90.284700000000001</v>
      </c>
      <c r="N600" s="2">
        <f>[8]m!$C602</f>
        <v>5.42</v>
      </c>
      <c r="O600">
        <f>[9]Unemployment!$B482</f>
        <v>4.1000000000000005</v>
      </c>
      <c r="P600" s="2">
        <f>[2]Surveys_m!$B482</f>
        <v>137</v>
      </c>
      <c r="Q600">
        <f>[5]m!$B602</f>
        <v>168.4</v>
      </c>
      <c r="R600">
        <f>[5]m!$D602</f>
        <v>178.4</v>
      </c>
      <c r="S600">
        <f>[5]m!$Q602</f>
        <v>128.30000000000001</v>
      </c>
      <c r="T600">
        <f>[6]m!B602</f>
        <v>-27031</v>
      </c>
      <c r="U600" s="2">
        <f>[9]Unemployment!$F482</f>
        <v>12.9</v>
      </c>
      <c r="V600" s="2">
        <f>[9]Unemployment!$G482</f>
        <v>6.2</v>
      </c>
      <c r="W600">
        <f>[9]Unemployment!$E482</f>
        <v>5716</v>
      </c>
      <c r="X600">
        <f>[9]Unemployment!N482</f>
        <v>2562</v>
      </c>
      <c r="Y600">
        <f>[9]Unemployment!O482</f>
        <v>1775</v>
      </c>
      <c r="Z600">
        <f>[9]Unemployment!P482-[9]Unemployment!Q482</f>
        <v>696</v>
      </c>
      <c r="AA600">
        <f>[9]Unemployment!$Q482</f>
        <v>682</v>
      </c>
      <c r="AB600" s="2">
        <f>[8]m!$B602</f>
        <v>5.32</v>
      </c>
      <c r="AC600" s="2">
        <f>[8]m!$F602</f>
        <v>6.03</v>
      </c>
      <c r="AD600">
        <f>[9]Employment!$B482</f>
        <v>130238</v>
      </c>
      <c r="AE600" s="2">
        <f>[2]Indicators!$AB482</f>
        <v>90.284700000000001</v>
      </c>
      <c r="AF600" s="2">
        <f>[8]m!$AS602</f>
        <v>1525.3000000000002</v>
      </c>
      <c r="AG600" s="2">
        <f>[8]m!$H602</f>
        <v>7.36</v>
      </c>
      <c r="AH600" s="2">
        <f>[8]m!$I602</f>
        <v>8.15</v>
      </c>
      <c r="AI600" s="2">
        <f>[7]m!C601</f>
        <v>83410</v>
      </c>
      <c r="AJ600" s="2">
        <f>[7]m!D601</f>
        <v>107225</v>
      </c>
      <c r="AK600" s="2">
        <f>[2]Surveys_m!$AB482</f>
        <v>58.1</v>
      </c>
      <c r="AL600" s="4">
        <f t="shared" si="9"/>
        <v>5140.657640232108</v>
      </c>
      <c r="AM600">
        <f>[2]Indicators!$BB482</f>
        <v>182068</v>
      </c>
      <c r="AN600" s="2">
        <v>104</v>
      </c>
      <c r="AO600">
        <f>[9]Unemployment!H482</f>
        <v>272</v>
      </c>
      <c r="AP600">
        <f>[9]Unemployment!I482</f>
        <v>857</v>
      </c>
      <c r="AQ600" s="3">
        <f>[9]LaborForce!$B481*[9]LaborForce!$C481/100</f>
        <v>140014.88600000003</v>
      </c>
      <c r="AR600">
        <f>[9]Unemployment!$AC482</f>
        <v>285</v>
      </c>
      <c r="AS600">
        <f>[2]Indicators!BC482</f>
        <v>86.600000000000009</v>
      </c>
      <c r="AT600">
        <f>[2]Indicators!BD482</f>
        <v>94.373100000000008</v>
      </c>
      <c r="AU600">
        <f>[2]Indicators!BE482</f>
        <v>102.72850000000001</v>
      </c>
      <c r="AV600">
        <f>[5]m!$O602</f>
        <v>98.94</v>
      </c>
    </row>
    <row r="601" spans="1:48" x14ac:dyDescent="0.25">
      <c r="A601" s="1">
        <v>36495</v>
      </c>
      <c r="B601" s="2">
        <f>[2]Indicators!G483</f>
        <v>6603.1100000000006</v>
      </c>
      <c r="C601" s="2">
        <f>[2]Indicators!H483</f>
        <v>892.14400000000001</v>
      </c>
      <c r="D601" s="2">
        <f>[2]Indicators!I483</f>
        <v>1519.787</v>
      </c>
      <c r="E601" s="2">
        <f>[2]Indicators!J483</f>
        <v>4191.18</v>
      </c>
      <c r="F601" s="2">
        <f>[2]Indicators!B483</f>
        <v>7459.5349999999999</v>
      </c>
      <c r="G601" s="2">
        <f>[2]Indicators!C483</f>
        <v>791.33799999999997</v>
      </c>
      <c r="H601" s="2">
        <f>[2]Indicators!D483</f>
        <v>1727.7570000000001</v>
      </c>
      <c r="I601" s="2">
        <f>[2]Indicators!E483</f>
        <v>4963.3410000000003</v>
      </c>
      <c r="J601" s="2">
        <f>[2]Indicators!L483</f>
        <v>245702</v>
      </c>
      <c r="K601" s="2">
        <f>[2]Indicators!M483</f>
        <v>160065</v>
      </c>
      <c r="L601" s="2">
        <f>[2]Indicators!N483</f>
        <v>18.326000000000001</v>
      </c>
      <c r="M601" s="2">
        <f>[2]Indicators!AB483</f>
        <v>90.983200000000011</v>
      </c>
      <c r="N601" s="2">
        <f>[8]m!$C603</f>
        <v>5.3</v>
      </c>
      <c r="O601">
        <f>[9]Unemployment!$B483</f>
        <v>4</v>
      </c>
      <c r="P601" s="2">
        <f>[2]Surveys_m!$B483</f>
        <v>141.70000000000002</v>
      </c>
      <c r="Q601">
        <f>[5]m!$B603</f>
        <v>168.8</v>
      </c>
      <c r="R601">
        <f>[5]m!$D603</f>
        <v>178.70000000000002</v>
      </c>
      <c r="S601">
        <f>[5]m!$Q603</f>
        <v>127.80000000000001</v>
      </c>
      <c r="T601">
        <f>[6]m!B603</f>
        <v>33081</v>
      </c>
      <c r="U601" s="2">
        <f>[9]Unemployment!$F483</f>
        <v>12.9</v>
      </c>
      <c r="V601" s="2">
        <f>[9]Unemployment!$G483</f>
        <v>5.8000000000000007</v>
      </c>
      <c r="W601">
        <f>[9]Unemployment!$E483</f>
        <v>5653</v>
      </c>
      <c r="X601">
        <f>[9]Unemployment!N483</f>
        <v>2642</v>
      </c>
      <c r="Y601">
        <f>[9]Unemployment!O483</f>
        <v>1614</v>
      </c>
      <c r="Z601">
        <f>[9]Unemployment!P483-[9]Unemployment!Q483</f>
        <v>695</v>
      </c>
      <c r="AA601">
        <f>[9]Unemployment!$Q483</f>
        <v>680</v>
      </c>
      <c r="AB601" s="2">
        <f>[8]m!$B603</f>
        <v>5.22</v>
      </c>
      <c r="AC601" s="2">
        <f>[8]m!$F603</f>
        <v>6.28</v>
      </c>
      <c r="AD601">
        <f>[9]Employment!$B483</f>
        <v>130532</v>
      </c>
      <c r="AE601" s="2">
        <f>[2]Indicators!$AB483</f>
        <v>90.983200000000011</v>
      </c>
      <c r="AF601" s="2">
        <f>[8]m!$AS603</f>
        <v>1531.1000000000001</v>
      </c>
      <c r="AG601" s="2">
        <f>[8]m!$H603</f>
        <v>7.55</v>
      </c>
      <c r="AH601" s="2">
        <f>[8]m!$I603</f>
        <v>8.19</v>
      </c>
      <c r="AI601" s="2">
        <f>[7]m!C602</f>
        <v>84286</v>
      </c>
      <c r="AJ601" s="2">
        <f>[7]m!D602</f>
        <v>109852</v>
      </c>
      <c r="AK601" s="2">
        <f>[2]Surveys_m!$AB483</f>
        <v>57.800000000000004</v>
      </c>
      <c r="AL601" s="4">
        <f t="shared" si="9"/>
        <v>5234.573500967118</v>
      </c>
      <c r="AM601">
        <f>[2]Indicators!$BB483</f>
        <v>189076</v>
      </c>
      <c r="AN601" s="2">
        <v>105.9</v>
      </c>
      <c r="AO601">
        <f>[9]Unemployment!H483</f>
        <v>267</v>
      </c>
      <c r="AP601">
        <f>[9]Unemployment!I483</f>
        <v>874</v>
      </c>
      <c r="AQ601" s="3">
        <f>[9]LaborForce!$B482*[9]LaborForce!$C482/100</f>
        <v>140126.272</v>
      </c>
      <c r="AR601">
        <f>[9]Unemployment!$AC483</f>
        <v>288</v>
      </c>
      <c r="AS601">
        <f>[2]Indicators!BC483</f>
        <v>87.100000000000009</v>
      </c>
      <c r="AT601">
        <f>[2]Indicators!BD483</f>
        <v>94.698900000000009</v>
      </c>
      <c r="AU601">
        <f>[2]Indicators!BE483</f>
        <v>102.85780000000001</v>
      </c>
      <c r="AV601">
        <f>[5]m!$O603</f>
        <v>99.51</v>
      </c>
    </row>
    <row r="602" spans="1:48" x14ac:dyDescent="0.25">
      <c r="A602" s="1">
        <v>36526</v>
      </c>
      <c r="B602" s="2">
        <f>[2]Indicators!G484</f>
        <v>6602.768</v>
      </c>
      <c r="C602" s="2">
        <f>[2]Indicators!H484</f>
        <v>911.13800000000003</v>
      </c>
      <c r="D602" s="2">
        <f>[2]Indicators!I484</f>
        <v>1465.4940000000001</v>
      </c>
      <c r="E602" s="2">
        <f>[2]Indicators!J484</f>
        <v>4226.1360000000004</v>
      </c>
      <c r="F602" s="2">
        <f>[2]Indicators!B484</f>
        <v>7435.56</v>
      </c>
      <c r="G602" s="2">
        <f>[2]Indicators!C484</f>
        <v>808.55899999999997</v>
      </c>
      <c r="H602" s="2">
        <f>[2]Indicators!D484</f>
        <v>1662.3790000000001</v>
      </c>
      <c r="I602" s="2">
        <f>[2]Indicators!E484</f>
        <v>4983.4970000000003</v>
      </c>
      <c r="J602" s="2">
        <f>[2]Indicators!L484</f>
        <v>244050</v>
      </c>
      <c r="K602" s="2">
        <f>[2]Indicators!M484</f>
        <v>158734</v>
      </c>
      <c r="L602" s="2">
        <f>[2]Indicators!N484</f>
        <v>18.75</v>
      </c>
      <c r="M602" s="2">
        <f>[2]Indicators!AB484</f>
        <v>91.079900000000009</v>
      </c>
      <c r="N602" s="2">
        <f>[8]m!$C604</f>
        <v>5.45</v>
      </c>
      <c r="O602">
        <f>[9]Unemployment!$B484</f>
        <v>4</v>
      </c>
      <c r="P602" s="2">
        <f>[2]Surveys_m!$B484</f>
        <v>144.70000000000002</v>
      </c>
      <c r="Q602">
        <f>[5]m!$B604</f>
        <v>169.3</v>
      </c>
      <c r="R602">
        <f>[5]m!$D604</f>
        <v>179.3</v>
      </c>
      <c r="S602">
        <f>[5]m!$Q604</f>
        <v>128.30000000000001</v>
      </c>
      <c r="T602">
        <f>[6]m!B604</f>
        <v>62152</v>
      </c>
      <c r="U602" s="2">
        <f>[9]Unemployment!$F484</f>
        <v>13.100000000000001</v>
      </c>
      <c r="V602" s="2">
        <f>[9]Unemployment!$G484</f>
        <v>5.8000000000000007</v>
      </c>
      <c r="W602">
        <f>[9]Unemployment!$E484</f>
        <v>5708</v>
      </c>
      <c r="X602">
        <f>[9]Unemployment!N484</f>
        <v>2541</v>
      </c>
      <c r="Y602">
        <f>[9]Unemployment!O484</f>
        <v>1749</v>
      </c>
      <c r="Z602">
        <f>[9]Unemployment!P484-[9]Unemployment!Q484</f>
        <v>659</v>
      </c>
      <c r="AA602">
        <f>[9]Unemployment!$Q484</f>
        <v>721</v>
      </c>
      <c r="AB602" s="2">
        <f>[8]m!$B604</f>
        <v>5.68</v>
      </c>
      <c r="AC602" s="2">
        <f>[8]m!$F604</f>
        <v>6.66</v>
      </c>
      <c r="AD602">
        <f>[9]Employment!$B484</f>
        <v>130781</v>
      </c>
      <c r="AE602" s="2">
        <f>[2]Indicators!$AB484</f>
        <v>91.079900000000009</v>
      </c>
      <c r="AF602" s="2">
        <f>[8]m!$AS604</f>
        <v>1538.5</v>
      </c>
      <c r="AG602" s="2">
        <f>[8]m!$H604</f>
        <v>7.78</v>
      </c>
      <c r="AH602" s="2">
        <f>[8]m!$I604</f>
        <v>8.33</v>
      </c>
      <c r="AI602" s="2">
        <f>[7]m!C603</f>
        <v>84983</v>
      </c>
      <c r="AJ602" s="2">
        <f>[7]m!D603</f>
        <v>111493</v>
      </c>
      <c r="AK602" s="2">
        <f>[2]Surveys_m!$AB484</f>
        <v>56.7</v>
      </c>
      <c r="AL602" s="4">
        <f t="shared" si="9"/>
        <v>5506.4352030947775</v>
      </c>
      <c r="AM602">
        <f>[2]Indicators!$BB484</f>
        <v>191868</v>
      </c>
      <c r="AN602" s="2">
        <v>111.4</v>
      </c>
      <c r="AO602">
        <f>[9]Unemployment!H484</f>
        <v>236</v>
      </c>
      <c r="AP602">
        <f>[9]Unemployment!I484</f>
        <v>971</v>
      </c>
      <c r="AQ602" s="3">
        <f>[9]LaborForce!$B483*[9]LaborForce!$C483/100</f>
        <v>142278.93</v>
      </c>
      <c r="AR602">
        <f>[9]Unemployment!$AC484</f>
        <v>286</v>
      </c>
      <c r="AS602">
        <f>[2]Indicators!BC484</f>
        <v>87.5</v>
      </c>
      <c r="AT602">
        <f>[2]Indicators!BD484</f>
        <v>94.936199999999999</v>
      </c>
      <c r="AU602">
        <f>[2]Indicators!BE484</f>
        <v>102.89830000000001</v>
      </c>
      <c r="AV602">
        <f>[5]m!$O604</f>
        <v>100</v>
      </c>
    </row>
    <row r="603" spans="1:48" x14ac:dyDescent="0.25">
      <c r="A603" s="1">
        <v>36557</v>
      </c>
      <c r="B603" s="2">
        <f>[2]Indicators!G485</f>
        <v>6689.2120000000004</v>
      </c>
      <c r="C603" s="2">
        <f>[2]Indicators!H485</f>
        <v>933.351</v>
      </c>
      <c r="D603" s="2">
        <f>[2]Indicators!I485</f>
        <v>1487.4449999999999</v>
      </c>
      <c r="E603" s="2">
        <f>[2]Indicators!J485</f>
        <v>4268.4170000000004</v>
      </c>
      <c r="F603" s="2">
        <f>[2]Indicators!B485</f>
        <v>7507.424</v>
      </c>
      <c r="G603" s="2">
        <f>[2]Indicators!C485</f>
        <v>830.62099999999998</v>
      </c>
      <c r="H603" s="2">
        <f>[2]Indicators!D485</f>
        <v>1674.963</v>
      </c>
      <c r="I603" s="2">
        <f>[2]Indicators!E485</f>
        <v>5016.558</v>
      </c>
      <c r="J603" s="2">
        <f>[2]Indicators!L485</f>
        <v>247928</v>
      </c>
      <c r="K603" s="2">
        <f>[2]Indicators!M485</f>
        <v>160512</v>
      </c>
      <c r="L603" s="2">
        <f>[2]Indicators!N485</f>
        <v>19.440999999999999</v>
      </c>
      <c r="M603" s="2">
        <f>[2]Indicators!AB485</f>
        <v>91.417000000000002</v>
      </c>
      <c r="N603" s="2">
        <f>[8]m!$C605</f>
        <v>5.73</v>
      </c>
      <c r="O603">
        <f>[9]Unemployment!$B485</f>
        <v>4.1000000000000005</v>
      </c>
      <c r="P603" s="2">
        <f>[2]Surveys_m!$B485</f>
        <v>140.80000000000001</v>
      </c>
      <c r="Q603">
        <f>[5]m!$B605</f>
        <v>170</v>
      </c>
      <c r="R603">
        <f>[5]m!$D605</f>
        <v>179.4</v>
      </c>
      <c r="S603">
        <f>[5]m!$Q605</f>
        <v>129.80000000000001</v>
      </c>
      <c r="T603">
        <f>[6]m!B605</f>
        <v>-41734</v>
      </c>
      <c r="U603" s="2">
        <f>[9]Unemployment!$F485</f>
        <v>12.600000000000001</v>
      </c>
      <c r="V603" s="2">
        <f>[9]Unemployment!$G485</f>
        <v>6.1000000000000005</v>
      </c>
      <c r="W603">
        <f>[9]Unemployment!$E485</f>
        <v>5858</v>
      </c>
      <c r="X603">
        <f>[9]Unemployment!N485</f>
        <v>2604</v>
      </c>
      <c r="Y603">
        <f>[9]Unemployment!O485</f>
        <v>1912</v>
      </c>
      <c r="Z603">
        <f>[9]Unemployment!P485-[9]Unemployment!Q485</f>
        <v>671</v>
      </c>
      <c r="AA603">
        <f>[9]Unemployment!$Q485</f>
        <v>629</v>
      </c>
      <c r="AB603" s="2">
        <f>[8]m!$B605</f>
        <v>5.8</v>
      </c>
      <c r="AC603" s="2">
        <f>[8]m!$F605</f>
        <v>6.5200000000000005</v>
      </c>
      <c r="AD603">
        <f>[9]Employment!$B485</f>
        <v>130902</v>
      </c>
      <c r="AE603" s="2">
        <f>[2]Indicators!$AB485</f>
        <v>91.417000000000002</v>
      </c>
      <c r="AF603" s="2">
        <f>[8]m!$AS605</f>
        <v>1549.2</v>
      </c>
      <c r="AG603" s="2">
        <f>[8]m!$H605</f>
        <v>7.68</v>
      </c>
      <c r="AH603" s="2">
        <f>[8]m!$I605</f>
        <v>8.2900000000000009</v>
      </c>
      <c r="AI603" s="2">
        <f>[7]m!C604</f>
        <v>85556</v>
      </c>
      <c r="AJ603" s="2">
        <f>[7]m!D604</f>
        <v>112974</v>
      </c>
      <c r="AK603" s="2">
        <f>[2]Surveys_m!$AB485</f>
        <v>55.800000000000004</v>
      </c>
      <c r="AL603" s="4">
        <f t="shared" si="9"/>
        <v>5600.3510638297867</v>
      </c>
      <c r="AM603">
        <f>[2]Indicators!$BB485</f>
        <v>178445</v>
      </c>
      <c r="AN603" s="2">
        <v>113.3</v>
      </c>
      <c r="AO603">
        <f>[9]Unemployment!H485</f>
        <v>267</v>
      </c>
      <c r="AP603">
        <f>[9]Unemployment!I485</f>
        <v>1015</v>
      </c>
      <c r="AQ603" s="3">
        <f>[9]LaborForce!$B484*[9]LaborForce!$C484/100</f>
        <v>142390.64799999999</v>
      </c>
      <c r="AR603">
        <f>[9]Unemployment!$AC485</f>
        <v>285</v>
      </c>
      <c r="AS603">
        <f>[2]Indicators!BC485</f>
        <v>86.8</v>
      </c>
      <c r="AT603">
        <f>[2]Indicators!BD485</f>
        <v>95.045900000000003</v>
      </c>
      <c r="AU603">
        <f>[2]Indicators!BE485</f>
        <v>102.8087</v>
      </c>
      <c r="AV603">
        <f>[5]m!$O605</f>
        <v>100.81</v>
      </c>
    </row>
    <row r="604" spans="1:48" x14ac:dyDescent="0.25">
      <c r="A604" s="1">
        <v>36586</v>
      </c>
      <c r="B604" s="2">
        <f>[2]Indicators!G486</f>
        <v>6756.9670000000006</v>
      </c>
      <c r="C604" s="2">
        <f>[2]Indicators!H486</f>
        <v>926.14499999999998</v>
      </c>
      <c r="D604" s="2">
        <f>[2]Indicators!I486</f>
        <v>1530.046</v>
      </c>
      <c r="E604" s="2">
        <f>[2]Indicators!J486</f>
        <v>4300.7759999999998</v>
      </c>
      <c r="F604" s="2">
        <f>[2]Indicators!B486</f>
        <v>7550.5370000000003</v>
      </c>
      <c r="G604" s="2">
        <f>[2]Indicators!C486</f>
        <v>822.63700000000006</v>
      </c>
      <c r="H604" s="2">
        <f>[2]Indicators!D486</f>
        <v>1700.652</v>
      </c>
      <c r="I604" s="2">
        <f>[2]Indicators!E486</f>
        <v>5045.4520000000002</v>
      </c>
      <c r="J604" s="2">
        <f>[2]Indicators!L486</f>
        <v>250355</v>
      </c>
      <c r="K604" s="2">
        <f>[2]Indicators!M486</f>
        <v>161289</v>
      </c>
      <c r="L604" s="2">
        <f>[2]Indicators!N486</f>
        <v>18.416</v>
      </c>
      <c r="M604" s="2">
        <f>[2]Indicators!AB486</f>
        <v>91.780799999999999</v>
      </c>
      <c r="N604" s="2">
        <f>[8]m!$C606</f>
        <v>5.8500000000000005</v>
      </c>
      <c r="O604">
        <f>[9]Unemployment!$B486</f>
        <v>4</v>
      </c>
      <c r="P604" s="2">
        <f>[2]Surveys_m!$B486</f>
        <v>137.1</v>
      </c>
      <c r="Q604">
        <f>[5]m!$B606</f>
        <v>171</v>
      </c>
      <c r="R604">
        <f>[5]m!$D606</f>
        <v>180</v>
      </c>
      <c r="S604">
        <f>[5]m!$Q606</f>
        <v>130.80000000000001</v>
      </c>
      <c r="T604">
        <f>[6]m!B606</f>
        <v>-35380</v>
      </c>
      <c r="U604" s="2">
        <f>[9]Unemployment!$F486</f>
        <v>12.700000000000001</v>
      </c>
      <c r="V604" s="2">
        <f>[9]Unemployment!$G486</f>
        <v>6</v>
      </c>
      <c r="W604">
        <f>[9]Unemployment!$E486</f>
        <v>5733</v>
      </c>
      <c r="X604">
        <f>[9]Unemployment!N486</f>
        <v>2780</v>
      </c>
      <c r="Y604">
        <f>[9]Unemployment!O486</f>
        <v>1781</v>
      </c>
      <c r="Z604">
        <f>[9]Unemployment!P486-[9]Unemployment!Q486</f>
        <v>666</v>
      </c>
      <c r="AA604">
        <f>[9]Unemployment!$Q486</f>
        <v>646</v>
      </c>
      <c r="AB604" s="2">
        <f>[8]m!$B606</f>
        <v>5.88</v>
      </c>
      <c r="AC604" s="2">
        <f>[8]m!$F606</f>
        <v>6.26</v>
      </c>
      <c r="AD604">
        <f>[9]Employment!$B486</f>
        <v>131374</v>
      </c>
      <c r="AE604" s="2">
        <f>[2]Indicators!$AB486</f>
        <v>91.780799999999999</v>
      </c>
      <c r="AF604" s="2">
        <f>[8]m!$AS606</f>
        <v>1561.5</v>
      </c>
      <c r="AG604" s="2">
        <f>[8]m!$H606</f>
        <v>7.68</v>
      </c>
      <c r="AH604" s="2">
        <f>[8]m!$I606</f>
        <v>8.370000000000001</v>
      </c>
      <c r="AI604" s="2">
        <f>[7]m!C605</f>
        <v>86055</v>
      </c>
      <c r="AJ604" s="2">
        <f>[7]m!D605</f>
        <v>116395</v>
      </c>
      <c r="AK604" s="2">
        <f>[2]Surveys_m!$AB486</f>
        <v>54.900000000000006</v>
      </c>
      <c r="AL604" s="4">
        <f t="shared" si="9"/>
        <v>5506.4352030947775</v>
      </c>
      <c r="AM604">
        <f>[2]Indicators!$BB486</f>
        <v>186779</v>
      </c>
      <c r="AN604" s="2">
        <v>111.4</v>
      </c>
      <c r="AO604">
        <f>[9]Unemployment!H486</f>
        <v>258</v>
      </c>
      <c r="AP604">
        <f>[9]Unemployment!I486</f>
        <v>960</v>
      </c>
      <c r="AQ604" s="3">
        <f>[9]LaborForce!$B485*[9]LaborForce!$C485/100</f>
        <v>142522.55599999998</v>
      </c>
      <c r="AR604">
        <f>[9]Unemployment!$AC486</f>
        <v>280</v>
      </c>
      <c r="AS604">
        <f>[2]Indicators!BC486</f>
        <v>87.2</v>
      </c>
      <c r="AT604">
        <f>[2]Indicators!BD486</f>
        <v>95.06280000000001</v>
      </c>
      <c r="AU604">
        <f>[2]Indicators!BE486</f>
        <v>102.62740000000001</v>
      </c>
      <c r="AV604">
        <f>[5]m!$O606</f>
        <v>102.24000000000001</v>
      </c>
    </row>
    <row r="605" spans="1:48" x14ac:dyDescent="0.25">
      <c r="A605" s="1">
        <v>36617</v>
      </c>
      <c r="B605" s="2">
        <f>[2]Indicators!G487</f>
        <v>6740.1379999999999</v>
      </c>
      <c r="C605" s="2">
        <f>[2]Indicators!H487</f>
        <v>903.59400000000005</v>
      </c>
      <c r="D605" s="2">
        <f>[2]Indicators!I487</f>
        <v>1530.66</v>
      </c>
      <c r="E605" s="2">
        <f>[2]Indicators!J487</f>
        <v>4305.8850000000002</v>
      </c>
      <c r="F605" s="2">
        <f>[2]Indicators!B487</f>
        <v>7539.7269999999999</v>
      </c>
      <c r="G605" s="2">
        <f>[2]Indicators!C487</f>
        <v>803.84199999999998</v>
      </c>
      <c r="H605" s="2">
        <f>[2]Indicators!D487</f>
        <v>1708.346</v>
      </c>
      <c r="I605" s="2">
        <f>[2]Indicators!E487</f>
        <v>5050.88</v>
      </c>
      <c r="J605" s="2">
        <f>[2]Indicators!L487</f>
        <v>246312</v>
      </c>
      <c r="K605" s="2">
        <f>[2]Indicators!M487</f>
        <v>158913</v>
      </c>
      <c r="L605" s="2">
        <f>[2]Indicators!N487</f>
        <v>18.027000000000001</v>
      </c>
      <c r="M605" s="2">
        <f>[2]Indicators!AB487</f>
        <v>92.340699999999998</v>
      </c>
      <c r="N605" s="2">
        <f>[8]m!$C607</f>
        <v>6.0200000000000005</v>
      </c>
      <c r="O605">
        <f>[9]Unemployment!$B487</f>
        <v>3.8000000000000003</v>
      </c>
      <c r="P605" s="2">
        <f>[2]Surveys_m!$B487</f>
        <v>137.70000000000002</v>
      </c>
      <c r="Q605">
        <f>[5]m!$B607</f>
        <v>170.9</v>
      </c>
      <c r="R605">
        <f>[5]m!$D607</f>
        <v>180.3</v>
      </c>
      <c r="S605">
        <f>[5]m!$Q607</f>
        <v>130.70000000000002</v>
      </c>
      <c r="T605">
        <f>[6]m!B607</f>
        <v>159497</v>
      </c>
      <c r="U605" s="2">
        <f>[9]Unemployment!$F487</f>
        <v>12.4</v>
      </c>
      <c r="V605" s="2">
        <f>[9]Unemployment!$G487</f>
        <v>6.1000000000000005</v>
      </c>
      <c r="W605">
        <f>[9]Unemployment!$E487</f>
        <v>5481</v>
      </c>
      <c r="X605">
        <f>[9]Unemployment!N487</f>
        <v>2510</v>
      </c>
      <c r="Y605">
        <f>[9]Unemployment!O487</f>
        <v>1845</v>
      </c>
      <c r="Z605">
        <f>[9]Unemployment!P487-[9]Unemployment!Q487</f>
        <v>662</v>
      </c>
      <c r="AA605">
        <f>[9]Unemployment!$Q487</f>
        <v>599</v>
      </c>
      <c r="AB605" s="2">
        <f>[8]m!$B607</f>
        <v>5.8100000000000005</v>
      </c>
      <c r="AC605" s="2">
        <f>[8]m!$F607</f>
        <v>5.99</v>
      </c>
      <c r="AD605">
        <f>[9]Employment!$B487</f>
        <v>131660</v>
      </c>
      <c r="AE605" s="2">
        <f>[2]Indicators!$AB487</f>
        <v>92.340699999999998</v>
      </c>
      <c r="AF605" s="2">
        <f>[8]m!$AS607</f>
        <v>1570.5</v>
      </c>
      <c r="AG605" s="2">
        <f>[8]m!$H607</f>
        <v>7.6400000000000006</v>
      </c>
      <c r="AH605" s="2">
        <f>[8]m!$I607</f>
        <v>8.4</v>
      </c>
      <c r="AI605" s="2">
        <f>[7]m!C606</f>
        <v>87277</v>
      </c>
      <c r="AJ605" s="2">
        <f>[7]m!D606</f>
        <v>118909</v>
      </c>
      <c r="AK605" s="2">
        <f>[2]Surveys_m!$AB487</f>
        <v>54.7</v>
      </c>
      <c r="AL605" s="4">
        <f t="shared" si="9"/>
        <v>5541.0357833655698</v>
      </c>
      <c r="AM605">
        <f>[2]Indicators!$BB487</f>
        <v>189906</v>
      </c>
      <c r="AN605" s="2">
        <v>112.1</v>
      </c>
      <c r="AO605">
        <f>[9]Unemployment!H487</f>
        <v>331</v>
      </c>
      <c r="AP605">
        <f>[9]Unemployment!I487</f>
        <v>885</v>
      </c>
      <c r="AQ605" s="3">
        <f>[9]LaborForce!$B486*[9]LaborForce!$C486/100</f>
        <v>142688.11399999997</v>
      </c>
      <c r="AR605">
        <f>[9]Unemployment!$AC487</f>
        <v>266</v>
      </c>
      <c r="AS605">
        <f>[2]Indicators!BC487</f>
        <v>87.8</v>
      </c>
      <c r="AT605">
        <f>[2]Indicators!BD487</f>
        <v>95.021300000000011</v>
      </c>
      <c r="AU605">
        <f>[2]Indicators!BE487</f>
        <v>102.39160000000001</v>
      </c>
      <c r="AV605">
        <f>[5]m!$O607</f>
        <v>104.01</v>
      </c>
    </row>
    <row r="606" spans="1:48" x14ac:dyDescent="0.25">
      <c r="A606" s="1">
        <v>36647</v>
      </c>
      <c r="B606" s="2">
        <f>[2]Indicators!G488</f>
        <v>6775.6140000000005</v>
      </c>
      <c r="C606" s="2">
        <f>[2]Indicators!H488</f>
        <v>910.05700000000002</v>
      </c>
      <c r="D606" s="2">
        <f>[2]Indicators!I488</f>
        <v>1534.549</v>
      </c>
      <c r="E606" s="2">
        <f>[2]Indicators!J488</f>
        <v>4331.0079999999998</v>
      </c>
      <c r="F606" s="2">
        <f>[2]Indicators!B488</f>
        <v>7574.7709999999997</v>
      </c>
      <c r="G606" s="2">
        <f>[2]Indicators!C488</f>
        <v>809.45799999999997</v>
      </c>
      <c r="H606" s="2">
        <f>[2]Indicators!D488</f>
        <v>1715.702</v>
      </c>
      <c r="I606" s="2">
        <f>[2]Indicators!E488</f>
        <v>5072.4989999999998</v>
      </c>
      <c r="J606" s="2">
        <f>[2]Indicators!L488</f>
        <v>246702</v>
      </c>
      <c r="K606" s="2">
        <f>[2]Indicators!M488</f>
        <v>158864</v>
      </c>
      <c r="L606" s="2">
        <f>[2]Indicators!N488</f>
        <v>17.873000000000001</v>
      </c>
      <c r="M606" s="2">
        <f>[2]Indicators!AB488</f>
        <v>92.463800000000006</v>
      </c>
      <c r="N606" s="2">
        <f>[8]m!$C608</f>
        <v>6.2700000000000005</v>
      </c>
      <c r="O606">
        <f>[9]Unemployment!$B488</f>
        <v>4</v>
      </c>
      <c r="P606" s="2">
        <f>[2]Surveys_m!$B488</f>
        <v>144.70000000000002</v>
      </c>
      <c r="Q606">
        <f>[5]m!$B608</f>
        <v>171.20000000000002</v>
      </c>
      <c r="R606">
        <f>[5]m!$D608</f>
        <v>180.70000000000002</v>
      </c>
      <c r="S606">
        <f>[5]m!$Q608</f>
        <v>131.6</v>
      </c>
      <c r="T606">
        <f>[6]m!B608</f>
        <v>-3611</v>
      </c>
      <c r="U606" s="2">
        <f>[9]Unemployment!$F488</f>
        <v>12.600000000000001</v>
      </c>
      <c r="V606" s="2">
        <f>[9]Unemployment!$G488</f>
        <v>5.8000000000000007</v>
      </c>
      <c r="W606">
        <f>[9]Unemployment!$E488</f>
        <v>5758</v>
      </c>
      <c r="X606">
        <f>[9]Unemployment!N488</f>
        <v>2564</v>
      </c>
      <c r="Y606">
        <f>[9]Unemployment!O488</f>
        <v>1911</v>
      </c>
      <c r="Z606">
        <f>[9]Unemployment!P488-[9]Unemployment!Q488</f>
        <v>682</v>
      </c>
      <c r="AA606">
        <f>[9]Unemployment!$Q488</f>
        <v>643</v>
      </c>
      <c r="AB606" s="2">
        <f>[8]m!$B608</f>
        <v>5.64</v>
      </c>
      <c r="AC606" s="2">
        <f>[8]m!$F608</f>
        <v>6.44</v>
      </c>
      <c r="AD606">
        <f>[9]Employment!$B488</f>
        <v>131885</v>
      </c>
      <c r="AE606" s="2">
        <f>[2]Indicators!$AB488</f>
        <v>92.463800000000006</v>
      </c>
      <c r="AF606" s="2">
        <f>[8]m!$AS608</f>
        <v>1583.5</v>
      </c>
      <c r="AG606" s="2">
        <f>[8]m!$H608</f>
        <v>7.99</v>
      </c>
      <c r="AH606" s="2">
        <f>[8]m!$I608</f>
        <v>8.9</v>
      </c>
      <c r="AI606" s="2">
        <f>[7]m!C607</f>
        <v>88643</v>
      </c>
      <c r="AJ606" s="2">
        <f>[7]m!D607</f>
        <v>117703</v>
      </c>
      <c r="AK606" s="2">
        <f>[2]Surveys_m!$AB488</f>
        <v>53.2</v>
      </c>
      <c r="AL606" s="4">
        <f t="shared" si="9"/>
        <v>5199.9729206963248</v>
      </c>
      <c r="AM606">
        <f>[2]Indicators!$BB488</f>
        <v>183460</v>
      </c>
      <c r="AN606" s="2">
        <v>105.2</v>
      </c>
      <c r="AO606">
        <f>[9]Unemployment!H488</f>
        <v>280</v>
      </c>
      <c r="AP606">
        <f>[9]Unemployment!I488</f>
        <v>833</v>
      </c>
      <c r="AQ606" s="3">
        <f>[9]LaborForce!$B487*[9]LaborForce!$C487/100</f>
        <v>142414.38200000001</v>
      </c>
      <c r="AR606">
        <f>[9]Unemployment!$AC488</f>
        <v>291</v>
      </c>
      <c r="AS606">
        <f>[2]Indicators!BC488</f>
        <v>87.100000000000009</v>
      </c>
      <c r="AT606">
        <f>[2]Indicators!BD488</f>
        <v>94.909599999999998</v>
      </c>
      <c r="AU606">
        <f>[2]Indicators!BE488</f>
        <v>102.0887</v>
      </c>
      <c r="AV606">
        <f>[5]m!$O608</f>
        <v>105.98</v>
      </c>
    </row>
    <row r="607" spans="1:48" x14ac:dyDescent="0.25">
      <c r="A607" s="1">
        <v>36678</v>
      </c>
      <c r="B607" s="2">
        <f>[2]Indicators!G489</f>
        <v>6811.2110000000002</v>
      </c>
      <c r="C607" s="2">
        <f>[2]Indicators!H489</f>
        <v>901.38400000000001</v>
      </c>
      <c r="D607" s="2">
        <f>[2]Indicators!I489</f>
        <v>1547.9839999999999</v>
      </c>
      <c r="E607" s="2">
        <f>[2]Indicators!J489</f>
        <v>4361.8440000000001</v>
      </c>
      <c r="F607" s="2">
        <f>[2]Indicators!B489</f>
        <v>7590.4940000000006</v>
      </c>
      <c r="G607" s="2">
        <f>[2]Indicators!C489</f>
        <v>804.21400000000006</v>
      </c>
      <c r="H607" s="2">
        <f>[2]Indicators!D489</f>
        <v>1714.5989999999999</v>
      </c>
      <c r="I607" s="2">
        <f>[2]Indicators!E489</f>
        <v>5096.9710000000005</v>
      </c>
      <c r="J607" s="2">
        <f>[2]Indicators!L489</f>
        <v>248568</v>
      </c>
      <c r="K607" s="2">
        <f>[2]Indicators!M489</f>
        <v>159080</v>
      </c>
      <c r="L607" s="2">
        <f>[2]Indicators!N489</f>
        <v>17.612000000000002</v>
      </c>
      <c r="M607" s="2">
        <f>[2]Indicators!AB489</f>
        <v>92.529600000000002</v>
      </c>
      <c r="N607" s="2">
        <f>[8]m!$C609</f>
        <v>6.53</v>
      </c>
      <c r="O607">
        <f>[9]Unemployment!$B489</f>
        <v>4</v>
      </c>
      <c r="P607" s="2">
        <f>[2]Surveys_m!$B489</f>
        <v>139.20000000000002</v>
      </c>
      <c r="Q607">
        <f>[5]m!$B609</f>
        <v>172.20000000000002</v>
      </c>
      <c r="R607">
        <f>[5]m!$D609</f>
        <v>181.1</v>
      </c>
      <c r="S607">
        <f>[5]m!$Q609</f>
        <v>133.80000000000001</v>
      </c>
      <c r="T607">
        <f>[6]m!B609</f>
        <v>55888</v>
      </c>
      <c r="U607" s="2">
        <f>[9]Unemployment!$F489</f>
        <v>12.3</v>
      </c>
      <c r="V607" s="2">
        <f>[9]Unemployment!$G489</f>
        <v>5.7</v>
      </c>
      <c r="W607">
        <f>[9]Unemployment!$E489</f>
        <v>5651</v>
      </c>
      <c r="X607">
        <f>[9]Unemployment!N489</f>
        <v>2579</v>
      </c>
      <c r="Y607">
        <f>[9]Unemployment!O489</f>
        <v>1753</v>
      </c>
      <c r="Z607">
        <f>[9]Unemployment!P489-[9]Unemployment!Q489</f>
        <v>615</v>
      </c>
      <c r="AA607">
        <f>[9]Unemployment!$Q489</f>
        <v>627</v>
      </c>
      <c r="AB607" s="2">
        <f>[8]m!$B609</f>
        <v>5.87</v>
      </c>
      <c r="AC607" s="2">
        <f>[8]m!$F609</f>
        <v>6.1000000000000005</v>
      </c>
      <c r="AD607">
        <f>[9]Employment!$B489</f>
        <v>131839</v>
      </c>
      <c r="AE607" s="2">
        <f>[2]Indicators!$AB489</f>
        <v>92.529600000000002</v>
      </c>
      <c r="AF607" s="2">
        <f>[8]m!$AS609</f>
        <v>1609.5</v>
      </c>
      <c r="AG607" s="2">
        <f>[8]m!$H609</f>
        <v>7.67</v>
      </c>
      <c r="AH607" s="2">
        <f>[8]m!$I609</f>
        <v>8.48</v>
      </c>
      <c r="AI607" s="2">
        <f>[7]m!C608</f>
        <v>87805</v>
      </c>
      <c r="AJ607" s="2">
        <f>[7]m!D608</f>
        <v>117800</v>
      </c>
      <c r="AK607" s="2">
        <f>[2]Surveys_m!$AB489</f>
        <v>51.400000000000006</v>
      </c>
      <c r="AL607" s="4">
        <f t="shared" si="9"/>
        <v>5106.0570599613147</v>
      </c>
      <c r="AM607">
        <f>[2]Indicators!$BB489</f>
        <v>193224</v>
      </c>
      <c r="AN607" s="2">
        <v>103.3</v>
      </c>
      <c r="AO607">
        <f>[9]Unemployment!H489</f>
        <v>309</v>
      </c>
      <c r="AP607">
        <f>[9]Unemployment!I489</f>
        <v>833</v>
      </c>
      <c r="AQ607" s="3">
        <f>[9]LaborForce!$B488*[9]LaborForce!$C488/100</f>
        <v>142564.68600000002</v>
      </c>
      <c r="AR607">
        <f>[9]Unemployment!$AC489</f>
        <v>280</v>
      </c>
      <c r="AS607">
        <f>[2]Indicators!BC489</f>
        <v>87.2</v>
      </c>
      <c r="AT607">
        <f>[2]Indicators!BD489</f>
        <v>94.725999999999999</v>
      </c>
      <c r="AU607">
        <f>[2]Indicators!BE489</f>
        <v>101.71720000000001</v>
      </c>
      <c r="AV607">
        <f>[5]m!$O609</f>
        <v>107.83</v>
      </c>
    </row>
    <row r="608" spans="1:48" x14ac:dyDescent="0.25">
      <c r="A608" s="1">
        <v>36708</v>
      </c>
      <c r="B608" s="2">
        <f>[2]Indicators!G490</f>
        <v>6832.183</v>
      </c>
      <c r="C608" s="2">
        <f>[2]Indicators!H490</f>
        <v>900.59</v>
      </c>
      <c r="D608" s="2">
        <f>[2]Indicators!I490</f>
        <v>1550.75</v>
      </c>
      <c r="E608" s="2">
        <f>[2]Indicators!J490</f>
        <v>4380.8429999999998</v>
      </c>
      <c r="F608" s="2">
        <f>[2]Indicators!B490</f>
        <v>7596.8240000000005</v>
      </c>
      <c r="G608" s="2">
        <f>[2]Indicators!C490</f>
        <v>804.98</v>
      </c>
      <c r="H608" s="2">
        <f>[2]Indicators!D490</f>
        <v>1713.3710000000001</v>
      </c>
      <c r="I608" s="2">
        <f>[2]Indicators!E490</f>
        <v>5103.7820000000002</v>
      </c>
      <c r="J608" s="2">
        <f>[2]Indicators!L490</f>
        <v>247580</v>
      </c>
      <c r="K608" s="2">
        <f>[2]Indicators!M490</f>
        <v>158150</v>
      </c>
      <c r="L608" s="2">
        <f>[2]Indicators!N490</f>
        <v>17.260000000000002</v>
      </c>
      <c r="M608" s="2">
        <f>[2]Indicators!AB490</f>
        <v>92.293900000000008</v>
      </c>
      <c r="N608" s="2">
        <f>[8]m!$C610</f>
        <v>6.54</v>
      </c>
      <c r="O608">
        <f>[9]Unemployment!$B490</f>
        <v>4</v>
      </c>
      <c r="P608" s="2">
        <f>[2]Surveys_m!$B490</f>
        <v>143</v>
      </c>
      <c r="Q608">
        <f>[5]m!$B610</f>
        <v>172.70000000000002</v>
      </c>
      <c r="R608">
        <f>[5]m!$D610</f>
        <v>181.5</v>
      </c>
      <c r="S608">
        <f>[5]m!$Q610</f>
        <v>133.70000000000002</v>
      </c>
      <c r="T608">
        <f>[6]m!B610</f>
        <v>5061</v>
      </c>
      <c r="U608" s="2">
        <f>[9]Unemployment!$F490</f>
        <v>13.4</v>
      </c>
      <c r="V608" s="2">
        <f>[9]Unemployment!$G490</f>
        <v>6</v>
      </c>
      <c r="W608">
        <f>[9]Unemployment!$E490</f>
        <v>5747</v>
      </c>
      <c r="X608">
        <f>[9]Unemployment!N490</f>
        <v>2498</v>
      </c>
      <c r="Y608">
        <f>[9]Unemployment!O490</f>
        <v>1824</v>
      </c>
      <c r="Z608">
        <f>[9]Unemployment!P490-[9]Unemployment!Q490</f>
        <v>645</v>
      </c>
      <c r="AA608">
        <f>[9]Unemployment!$Q490</f>
        <v>698</v>
      </c>
      <c r="AB608" s="2">
        <f>[8]m!$B610</f>
        <v>6.2</v>
      </c>
      <c r="AC608" s="2">
        <f>[8]m!$F610</f>
        <v>6.05</v>
      </c>
      <c r="AD608">
        <f>[9]Employment!$B490</f>
        <v>132002</v>
      </c>
      <c r="AE608" s="2">
        <f>[2]Indicators!$AB490</f>
        <v>92.293900000000008</v>
      </c>
      <c r="AF608" s="2">
        <f>[8]m!$AS610</f>
        <v>1629.8000000000002</v>
      </c>
      <c r="AG608" s="2">
        <f>[8]m!$H610</f>
        <v>7.65</v>
      </c>
      <c r="AH608" s="2">
        <f>[8]m!$I610</f>
        <v>8.35</v>
      </c>
      <c r="AI608" s="2">
        <f>[7]m!C609</f>
        <v>90549</v>
      </c>
      <c r="AJ608" s="2">
        <f>[7]m!D609</f>
        <v>121727</v>
      </c>
      <c r="AK608" s="2">
        <f>[2]Surveys_m!$AB490</f>
        <v>52.5</v>
      </c>
      <c r="AL608" s="4">
        <f t="shared" si="9"/>
        <v>5199.9729206963248</v>
      </c>
      <c r="AM608">
        <f>[2]Indicators!$BB490</f>
        <v>184096</v>
      </c>
      <c r="AN608" s="2">
        <v>105.2</v>
      </c>
      <c r="AO608">
        <f>[9]Unemployment!H490</f>
        <v>266</v>
      </c>
      <c r="AP608">
        <f>[9]Unemployment!I490</f>
        <v>906</v>
      </c>
      <c r="AQ608" s="3">
        <f>[9]LaborForce!$B489*[9]LaborForce!$C489/100</f>
        <v>142280.913</v>
      </c>
      <c r="AR608">
        <f>[9]Unemployment!$AC490</f>
        <v>281</v>
      </c>
      <c r="AS608">
        <f>[2]Indicators!BC490</f>
        <v>87</v>
      </c>
      <c r="AT608">
        <f>[2]Indicators!BD490</f>
        <v>94.445700000000002</v>
      </c>
      <c r="AU608">
        <f>[2]Indicators!BE490</f>
        <v>101.2504</v>
      </c>
      <c r="AV608">
        <f>[5]m!$O610</f>
        <v>109.02</v>
      </c>
    </row>
    <row r="609" spans="1:48" x14ac:dyDescent="0.25">
      <c r="A609" s="1">
        <v>36739</v>
      </c>
      <c r="B609" s="2">
        <f>[2]Indicators!G491</f>
        <v>6864.7070000000003</v>
      </c>
      <c r="C609" s="2">
        <f>[2]Indicators!H491</f>
        <v>909.82600000000002</v>
      </c>
      <c r="D609" s="2">
        <f>[2]Indicators!I491</f>
        <v>1551.655</v>
      </c>
      <c r="E609" s="2">
        <f>[2]Indicators!J491</f>
        <v>4403.2259999999997</v>
      </c>
      <c r="F609" s="2">
        <f>[2]Indicators!B491</f>
        <v>7635.2420000000002</v>
      </c>
      <c r="G609" s="2">
        <f>[2]Indicators!C491</f>
        <v>816.61099999999999</v>
      </c>
      <c r="H609" s="2">
        <f>[2]Indicators!D491</f>
        <v>1723.479</v>
      </c>
      <c r="I609" s="2">
        <f>[2]Indicators!E491</f>
        <v>5118.1689999999999</v>
      </c>
      <c r="J609" s="2">
        <f>[2]Indicators!L491</f>
        <v>248059</v>
      </c>
      <c r="K609" s="2">
        <f>[2]Indicators!M491</f>
        <v>158363</v>
      </c>
      <c r="L609" s="2">
        <f>[2]Indicators!N491</f>
        <v>17.333000000000002</v>
      </c>
      <c r="M609" s="2">
        <f>[2]Indicators!AB491</f>
        <v>92.081699999999998</v>
      </c>
      <c r="N609" s="2">
        <f>[8]m!$C611</f>
        <v>6.5</v>
      </c>
      <c r="O609">
        <f>[9]Unemployment!$B491</f>
        <v>4.1000000000000005</v>
      </c>
      <c r="P609" s="2">
        <f>[2]Surveys_m!$B491</f>
        <v>140.80000000000001</v>
      </c>
      <c r="Q609">
        <f>[5]m!$B611</f>
        <v>172.70000000000002</v>
      </c>
      <c r="R609">
        <f>[5]m!$D611</f>
        <v>181.9</v>
      </c>
      <c r="S609">
        <f>[5]m!$Q611</f>
        <v>132.9</v>
      </c>
      <c r="T609">
        <f>[6]m!B611</f>
        <v>-10427</v>
      </c>
      <c r="U609" s="2">
        <f>[9]Unemployment!$F491</f>
        <v>12.9</v>
      </c>
      <c r="V609" s="2">
        <f>[9]Unemployment!$G491</f>
        <v>6.3000000000000007</v>
      </c>
      <c r="W609">
        <f>[9]Unemployment!$E491</f>
        <v>5853</v>
      </c>
      <c r="X609">
        <f>[9]Unemployment!N491</f>
        <v>2550</v>
      </c>
      <c r="Y609">
        <f>[9]Unemployment!O491</f>
        <v>1893</v>
      </c>
      <c r="Z609">
        <f>[9]Unemployment!P491-[9]Unemployment!Q491</f>
        <v>685</v>
      </c>
      <c r="AA609">
        <f>[9]Unemployment!$Q491</f>
        <v>709</v>
      </c>
      <c r="AB609" s="2">
        <f>[8]m!$B611</f>
        <v>6.3</v>
      </c>
      <c r="AC609" s="2">
        <f>[8]m!$F611</f>
        <v>5.83</v>
      </c>
      <c r="AD609">
        <f>[9]Employment!$B491</f>
        <v>132005</v>
      </c>
      <c r="AE609" s="2">
        <f>[2]Indicators!$AB491</f>
        <v>92.081699999999998</v>
      </c>
      <c r="AF609" s="2">
        <f>[8]m!$AS611</f>
        <v>1651.6000000000001</v>
      </c>
      <c r="AG609" s="2">
        <f>[8]m!$H611</f>
        <v>7.55</v>
      </c>
      <c r="AH609" s="2">
        <f>[8]m!$I611</f>
        <v>8.26</v>
      </c>
      <c r="AI609" s="2">
        <f>[7]m!C610</f>
        <v>90054</v>
      </c>
      <c r="AJ609" s="2">
        <f>[7]m!D610</f>
        <v>121845</v>
      </c>
      <c r="AK609" s="2">
        <f>[2]Surveys_m!$AB491</f>
        <v>49.900000000000006</v>
      </c>
      <c r="AL609" s="4">
        <f t="shared" si="9"/>
        <v>4913.2823984526112</v>
      </c>
      <c r="AM609">
        <f>[2]Indicators!$BB491</f>
        <v>182662</v>
      </c>
      <c r="AN609" s="2">
        <v>99.4</v>
      </c>
      <c r="AO609">
        <f>[9]Unemployment!H491</f>
        <v>203</v>
      </c>
      <c r="AP609">
        <f>[9]Unemployment!I491</f>
        <v>893</v>
      </c>
      <c r="AQ609" s="3">
        <f>[9]LaborForce!$B490*[9]LaborForce!$C490/100</f>
        <v>142440.804</v>
      </c>
      <c r="AR609">
        <f>[9]Unemployment!$AC491</f>
        <v>298</v>
      </c>
      <c r="AS609">
        <f>[2]Indicators!BC491</f>
        <v>86.600000000000009</v>
      </c>
      <c r="AT609">
        <f>[2]Indicators!BD491</f>
        <v>94.088800000000006</v>
      </c>
      <c r="AU609">
        <f>[2]Indicators!BE491</f>
        <v>100.7103</v>
      </c>
      <c r="AV609">
        <f>[5]m!$O611</f>
        <v>110.07000000000001</v>
      </c>
    </row>
    <row r="610" spans="1:48" x14ac:dyDescent="0.25">
      <c r="A610" s="1">
        <v>36770</v>
      </c>
      <c r="B610" s="2">
        <f>[2]Indicators!G492</f>
        <v>6948.3</v>
      </c>
      <c r="C610" s="2">
        <f>[2]Indicators!H492</f>
        <v>934.72300000000007</v>
      </c>
      <c r="D610" s="2">
        <f>[2]Indicators!I492</f>
        <v>1579.067</v>
      </c>
      <c r="E610" s="2">
        <f>[2]Indicators!J492</f>
        <v>4434.51</v>
      </c>
      <c r="F610" s="2">
        <f>[2]Indicators!B492</f>
        <v>7695.125</v>
      </c>
      <c r="G610" s="2">
        <f>[2]Indicators!C492</f>
        <v>837.72500000000002</v>
      </c>
      <c r="H610" s="2">
        <f>[2]Indicators!D492</f>
        <v>1736.7460000000001</v>
      </c>
      <c r="I610" s="2">
        <f>[2]Indicators!E492</f>
        <v>5139.4830000000002</v>
      </c>
      <c r="J610" s="2">
        <f>[2]Indicators!L492</f>
        <v>252180</v>
      </c>
      <c r="K610" s="2">
        <f>[2]Indicators!M492</f>
        <v>160118</v>
      </c>
      <c r="L610" s="2">
        <f>[2]Indicators!N492</f>
        <v>18.594000000000001</v>
      </c>
      <c r="M610" s="2">
        <f>[2]Indicators!AB492</f>
        <v>92.525400000000005</v>
      </c>
      <c r="N610" s="2">
        <f>[8]m!$C612</f>
        <v>6.5200000000000005</v>
      </c>
      <c r="O610">
        <f>[9]Unemployment!$B492</f>
        <v>3.9000000000000004</v>
      </c>
      <c r="P610" s="2">
        <f>[2]Surveys_m!$B492</f>
        <v>142.5</v>
      </c>
      <c r="Q610">
        <f>[5]m!$B612</f>
        <v>173.6</v>
      </c>
      <c r="R610">
        <f>[5]m!$D612</f>
        <v>182.3</v>
      </c>
      <c r="S610">
        <f>[5]m!$Q612</f>
        <v>134.70000000000002</v>
      </c>
      <c r="T610">
        <f>[6]m!B612</f>
        <v>65747</v>
      </c>
      <c r="U610" s="2">
        <f>[9]Unemployment!$F492</f>
        <v>12.200000000000001</v>
      </c>
      <c r="V610" s="2">
        <f>[9]Unemployment!$G492</f>
        <v>5.2</v>
      </c>
      <c r="W610">
        <f>[9]Unemployment!$E492</f>
        <v>5625</v>
      </c>
      <c r="X610">
        <f>[9]Unemployment!N492</f>
        <v>2571</v>
      </c>
      <c r="Y610">
        <f>[9]Unemployment!O492</f>
        <v>1746</v>
      </c>
      <c r="Z610">
        <f>[9]Unemployment!P492-[9]Unemployment!Q492</f>
        <v>644</v>
      </c>
      <c r="AA610">
        <f>[9]Unemployment!$Q492</f>
        <v>646</v>
      </c>
      <c r="AB610" s="2">
        <f>[8]m!$B612</f>
        <v>6.21</v>
      </c>
      <c r="AC610" s="2">
        <f>[8]m!$F612</f>
        <v>5.8</v>
      </c>
      <c r="AD610">
        <f>[9]Employment!$B492</f>
        <v>132127</v>
      </c>
      <c r="AE610" s="2">
        <f>[2]Indicators!$AB492</f>
        <v>92.525400000000005</v>
      </c>
      <c r="AF610" s="2">
        <f>[8]m!$AS612</f>
        <v>1669</v>
      </c>
      <c r="AG610" s="2">
        <f>[8]m!$H612</f>
        <v>7.62</v>
      </c>
      <c r="AH610" s="2">
        <f>[8]m!$I612</f>
        <v>8.35</v>
      </c>
      <c r="AI610" s="2">
        <f>[7]m!C611</f>
        <v>92058</v>
      </c>
      <c r="AJ610" s="2">
        <f>[7]m!D611</f>
        <v>122314</v>
      </c>
      <c r="AK610" s="2">
        <f>[2]Surveys_m!$AB492</f>
        <v>49.7</v>
      </c>
      <c r="AL610" s="4">
        <f t="shared" si="9"/>
        <v>5076.3994197292068</v>
      </c>
      <c r="AM610">
        <f>[2]Indicators!$BB492</f>
        <v>193868</v>
      </c>
      <c r="AN610" s="2">
        <v>102.7</v>
      </c>
      <c r="AO610">
        <f>[9]Unemployment!H492</f>
        <v>253</v>
      </c>
      <c r="AP610">
        <f>[9]Unemployment!I492</f>
        <v>912</v>
      </c>
      <c r="AQ610" s="3">
        <f>[9]LaborForce!$B491*[9]LaborForce!$C491/100</f>
        <v>142606.04700000002</v>
      </c>
      <c r="AR610">
        <f>[9]Unemployment!$AC492</f>
        <v>301</v>
      </c>
      <c r="AS610">
        <f>[2]Indicators!BC492</f>
        <v>86.8</v>
      </c>
      <c r="AT610">
        <f>[2]Indicators!BD492</f>
        <v>93.674199999999999</v>
      </c>
      <c r="AU610">
        <f>[2]Indicators!BE492</f>
        <v>100.117</v>
      </c>
      <c r="AV610">
        <f>[5]m!$O612</f>
        <v>110.9</v>
      </c>
    </row>
    <row r="611" spans="1:48" x14ac:dyDescent="0.25">
      <c r="A611" s="1">
        <v>36800</v>
      </c>
      <c r="B611" s="2">
        <f>[2]Indicators!G493</f>
        <v>6955.4490000000005</v>
      </c>
      <c r="C611" s="2">
        <f>[2]Indicators!H493</f>
        <v>924.19400000000007</v>
      </c>
      <c r="D611" s="2">
        <f>[2]Indicators!I493</f>
        <v>1575.8330000000001</v>
      </c>
      <c r="E611" s="2">
        <f>[2]Indicators!J493</f>
        <v>4455.4220000000005</v>
      </c>
      <c r="F611" s="2">
        <f>[2]Indicators!B493</f>
        <v>7692.393</v>
      </c>
      <c r="G611" s="2">
        <f>[2]Indicators!C493</f>
        <v>829.87900000000002</v>
      </c>
      <c r="H611" s="2">
        <f>[2]Indicators!D493</f>
        <v>1737.567</v>
      </c>
      <c r="I611" s="2">
        <f>[2]Indicators!E493</f>
        <v>5145.8620000000001</v>
      </c>
      <c r="J611" s="2">
        <f>[2]Indicators!L493</f>
        <v>251747</v>
      </c>
      <c r="K611" s="2">
        <f>[2]Indicators!M493</f>
        <v>159609</v>
      </c>
      <c r="L611" s="2">
        <f>[2]Indicators!N493</f>
        <v>17.62</v>
      </c>
      <c r="M611" s="2">
        <f>[2]Indicators!AB493</f>
        <v>92.140100000000004</v>
      </c>
      <c r="N611" s="2">
        <f>[8]m!$C613</f>
        <v>6.51</v>
      </c>
      <c r="O611">
        <f>[9]Unemployment!$B493</f>
        <v>3.9000000000000004</v>
      </c>
      <c r="P611" s="2">
        <f>[2]Surveys_m!$B493</f>
        <v>135.80000000000001</v>
      </c>
      <c r="Q611">
        <f>[5]m!$B613</f>
        <v>173.9</v>
      </c>
      <c r="R611">
        <f>[5]m!$D613</f>
        <v>182.6</v>
      </c>
      <c r="S611">
        <f>[5]m!$Q613</f>
        <v>135.4</v>
      </c>
      <c r="T611">
        <f>[6]m!B613</f>
        <v>-11321</v>
      </c>
      <c r="U611" s="2">
        <f>[9]Unemployment!$F493</f>
        <v>12.700000000000001</v>
      </c>
      <c r="V611" s="2">
        <f>[9]Unemployment!$G493</f>
        <v>6.1000000000000005</v>
      </c>
      <c r="W611">
        <f>[9]Unemployment!$E493</f>
        <v>5534</v>
      </c>
      <c r="X611">
        <f>[9]Unemployment!N493</f>
        <v>2497</v>
      </c>
      <c r="Y611">
        <f>[9]Unemployment!O493</f>
        <v>1724</v>
      </c>
      <c r="Z611">
        <f>[9]Unemployment!P493-[9]Unemployment!Q493</f>
        <v>710</v>
      </c>
      <c r="AA611">
        <f>[9]Unemployment!$Q493</f>
        <v>627</v>
      </c>
      <c r="AB611" s="2">
        <f>[8]m!$B613</f>
        <v>6.37</v>
      </c>
      <c r="AC611" s="2">
        <f>[8]m!$F613</f>
        <v>5.74</v>
      </c>
      <c r="AD611">
        <f>[9]Employment!$B493</f>
        <v>132116</v>
      </c>
      <c r="AE611" s="2">
        <f>[2]Indicators!$AB493</f>
        <v>92.140100000000004</v>
      </c>
      <c r="AF611" s="2">
        <f>[8]m!$AS613</f>
        <v>1684.6000000000001</v>
      </c>
      <c r="AG611" s="2">
        <f>[8]m!$H613</f>
        <v>7.55</v>
      </c>
      <c r="AH611" s="2">
        <f>[8]m!$I613</f>
        <v>8.34</v>
      </c>
      <c r="AI611" s="2">
        <f>[7]m!C612</f>
        <v>91981</v>
      </c>
      <c r="AJ611" s="2">
        <f>[7]m!D612</f>
        <v>126202</v>
      </c>
      <c r="AK611" s="2">
        <f>[2]Surveys_m!$AB493</f>
        <v>48.7</v>
      </c>
      <c r="AL611" s="4">
        <f t="shared" si="9"/>
        <v>5041.7988394584136</v>
      </c>
      <c r="AM611">
        <f>[2]Indicators!$BB493</f>
        <v>180181</v>
      </c>
      <c r="AN611" s="2">
        <v>102</v>
      </c>
      <c r="AO611">
        <f>[9]Unemployment!H493</f>
        <v>232</v>
      </c>
      <c r="AP611">
        <f>[9]Unemployment!I493</f>
        <v>812</v>
      </c>
      <c r="AQ611" s="3">
        <f>[9]LaborForce!$B492*[9]LaborForce!$C492/100</f>
        <v>142554.54</v>
      </c>
      <c r="AR611">
        <f>[9]Unemployment!$AC493</f>
        <v>292</v>
      </c>
      <c r="AS611">
        <f>[2]Indicators!BC493</f>
        <v>86.3</v>
      </c>
      <c r="AT611">
        <f>[2]Indicators!BD493</f>
        <v>93.186800000000005</v>
      </c>
      <c r="AU611">
        <f>[2]Indicators!BE493</f>
        <v>99.454100000000011</v>
      </c>
      <c r="AV611">
        <f>[5]m!$O613</f>
        <v>111.75</v>
      </c>
    </row>
    <row r="612" spans="1:48" x14ac:dyDescent="0.25">
      <c r="A612" s="1">
        <v>36831</v>
      </c>
      <c r="B612" s="2">
        <f>[2]Indicators!G494</f>
        <v>6970.7340000000004</v>
      </c>
      <c r="C612" s="2">
        <f>[2]Indicators!H494</f>
        <v>917.09400000000005</v>
      </c>
      <c r="D612" s="2">
        <f>[2]Indicators!I494</f>
        <v>1575.6690000000001</v>
      </c>
      <c r="E612" s="2">
        <f>[2]Indicators!J494</f>
        <v>4477.9710000000005</v>
      </c>
      <c r="F612" s="2">
        <f>[2]Indicators!B494</f>
        <v>7698.5630000000001</v>
      </c>
      <c r="G612" s="2">
        <f>[2]Indicators!C494</f>
        <v>823.32799999999997</v>
      </c>
      <c r="H612" s="2">
        <f>[2]Indicators!D494</f>
        <v>1734.6410000000001</v>
      </c>
      <c r="I612" s="2">
        <f>[2]Indicators!E494</f>
        <v>5163.7</v>
      </c>
      <c r="J612" s="2">
        <f>[2]Indicators!L494</f>
        <v>250410</v>
      </c>
      <c r="K612" s="2">
        <f>[2]Indicators!M494</f>
        <v>158584</v>
      </c>
      <c r="L612" s="2">
        <f>[2]Indicators!N494</f>
        <v>16.658000000000001</v>
      </c>
      <c r="M612" s="2">
        <f>[2]Indicators!AB494</f>
        <v>92.150300000000001</v>
      </c>
      <c r="N612" s="2">
        <f>[8]m!$C614</f>
        <v>6.51</v>
      </c>
      <c r="O612">
        <f>[9]Unemployment!$B494</f>
        <v>3.9000000000000004</v>
      </c>
      <c r="P612" s="2">
        <f>[2]Surveys_m!$B494</f>
        <v>132.6</v>
      </c>
      <c r="Q612">
        <f>[5]m!$B614</f>
        <v>174.20000000000002</v>
      </c>
      <c r="R612">
        <f>[5]m!$D614</f>
        <v>183.1</v>
      </c>
      <c r="S612">
        <f>[5]m!$Q614</f>
        <v>135</v>
      </c>
      <c r="T612">
        <f>[6]m!B614</f>
        <v>-23690</v>
      </c>
      <c r="U612" s="2">
        <f>[9]Unemployment!$F494</f>
        <v>12.4</v>
      </c>
      <c r="V612" s="2">
        <f>[9]Unemployment!$G494</f>
        <v>6.1000000000000005</v>
      </c>
      <c r="W612">
        <f>[9]Unemployment!$E494</f>
        <v>5639</v>
      </c>
      <c r="X612">
        <f>[9]Unemployment!N494</f>
        <v>2512</v>
      </c>
      <c r="Y612">
        <f>[9]Unemployment!O494</f>
        <v>1790</v>
      </c>
      <c r="Z612">
        <f>[9]Unemployment!P494-[9]Unemployment!Q494</f>
        <v>722</v>
      </c>
      <c r="AA612">
        <f>[9]Unemployment!$Q494</f>
        <v>593</v>
      </c>
      <c r="AB612" s="2">
        <f>[8]m!$B614</f>
        <v>6.21</v>
      </c>
      <c r="AC612" s="2">
        <f>[8]m!$F614</f>
        <v>5.72</v>
      </c>
      <c r="AD612">
        <f>[9]Employment!$B494</f>
        <v>132347</v>
      </c>
      <c r="AE612" s="2">
        <f>[2]Indicators!$AB494</f>
        <v>92.150300000000001</v>
      </c>
      <c r="AF612" s="2">
        <f>[8]m!$AS614</f>
        <v>1700.9</v>
      </c>
      <c r="AG612" s="2">
        <f>[8]m!$H614</f>
        <v>7.45</v>
      </c>
      <c r="AH612" s="2">
        <f>[8]m!$I614</f>
        <v>8.2799999999999994</v>
      </c>
      <c r="AI612" s="2">
        <f>[7]m!C613</f>
        <v>91330</v>
      </c>
      <c r="AJ612" s="2">
        <f>[7]m!D613</f>
        <v>125056</v>
      </c>
      <c r="AK612" s="2">
        <f>[2]Surveys_m!$AB494</f>
        <v>48.5</v>
      </c>
      <c r="AL612" s="4">
        <f t="shared" si="9"/>
        <v>4878.681818181818</v>
      </c>
      <c r="AM612">
        <f>[2]Indicators!$BB494</f>
        <v>181535</v>
      </c>
      <c r="AN612" s="2">
        <v>98.7</v>
      </c>
      <c r="AO612">
        <f>[9]Unemployment!H494</f>
        <v>236</v>
      </c>
      <c r="AP612">
        <f>[9]Unemployment!I494</f>
        <v>865</v>
      </c>
      <c r="AQ612" s="3">
        <f>[9]LaborForce!$B493*[9]LaborForce!$C493/100</f>
        <v>142858.26</v>
      </c>
      <c r="AR612">
        <f>[9]Unemployment!$AC494</f>
        <v>301</v>
      </c>
      <c r="AS612">
        <f>[2]Indicators!BC494</f>
        <v>85.9</v>
      </c>
      <c r="AT612">
        <f>[2]Indicators!BD494</f>
        <v>92.6417</v>
      </c>
      <c r="AU612">
        <f>[2]Indicators!BE494</f>
        <v>98.737700000000004</v>
      </c>
      <c r="AV612">
        <f>[5]m!$O614</f>
        <v>112.60000000000001</v>
      </c>
    </row>
    <row r="613" spans="1:48" x14ac:dyDescent="0.25">
      <c r="A613" s="1">
        <v>36861</v>
      </c>
      <c r="B613" s="2">
        <f>[2]Indicators!G495</f>
        <v>7017.174</v>
      </c>
      <c r="C613" s="2">
        <f>[2]Indicators!H495</f>
        <v>917.25800000000004</v>
      </c>
      <c r="D613" s="2">
        <f>[2]Indicators!I495</f>
        <v>1591.096</v>
      </c>
      <c r="E613" s="2">
        <f>[2]Indicators!J495</f>
        <v>4508.82</v>
      </c>
      <c r="F613" s="2">
        <f>[2]Indicators!B495</f>
        <v>7739.1310000000003</v>
      </c>
      <c r="G613" s="2">
        <f>[2]Indicators!C495</f>
        <v>824.19500000000005</v>
      </c>
      <c r="H613" s="2">
        <f>[2]Indicators!D495</f>
        <v>1751.934</v>
      </c>
      <c r="I613" s="2">
        <f>[2]Indicators!E495</f>
        <v>5186.674</v>
      </c>
      <c r="J613" s="2">
        <f>[2]Indicators!L495</f>
        <v>251088</v>
      </c>
      <c r="K613" s="2">
        <f>[2]Indicators!M495</f>
        <v>158272</v>
      </c>
      <c r="L613" s="2">
        <f>[2]Indicators!N495</f>
        <v>16.052</v>
      </c>
      <c r="M613" s="2">
        <f>[2]Indicators!AB495</f>
        <v>91.832900000000009</v>
      </c>
      <c r="N613" s="2">
        <f>[8]m!$C615</f>
        <v>6.4</v>
      </c>
      <c r="O613">
        <f>[9]Unemployment!$B495</f>
        <v>3.9000000000000004</v>
      </c>
      <c r="P613" s="2">
        <f>[2]Surveys_m!$B495</f>
        <v>128.6</v>
      </c>
      <c r="Q613">
        <f>[5]m!$B615</f>
        <v>174.6</v>
      </c>
      <c r="R613">
        <f>[5]m!$D615</f>
        <v>183.3</v>
      </c>
      <c r="S613">
        <f>[5]m!$Q615</f>
        <v>136.20000000000002</v>
      </c>
      <c r="T613">
        <f>[6]m!B615</f>
        <v>32666</v>
      </c>
      <c r="U613" s="2">
        <f>[9]Unemployment!$F495</f>
        <v>12.5</v>
      </c>
      <c r="V613" s="2">
        <f>[9]Unemployment!$G495</f>
        <v>6</v>
      </c>
      <c r="W613">
        <f>[9]Unemployment!$E495</f>
        <v>5634</v>
      </c>
      <c r="X613">
        <f>[9]Unemployment!N495</f>
        <v>2477</v>
      </c>
      <c r="Y613">
        <f>[9]Unemployment!O495</f>
        <v>1825</v>
      </c>
      <c r="Z613">
        <f>[9]Unemployment!P495-[9]Unemployment!Q495</f>
        <v>687</v>
      </c>
      <c r="AA613">
        <f>[9]Unemployment!$Q495</f>
        <v>642</v>
      </c>
      <c r="AB613" s="2">
        <f>[8]m!$B615</f>
        <v>5.89</v>
      </c>
      <c r="AC613" s="2">
        <f>[8]m!$F615</f>
        <v>5.24</v>
      </c>
      <c r="AD613">
        <f>[9]Employment!$B495</f>
        <v>132485</v>
      </c>
      <c r="AE613" s="2">
        <f>[2]Indicators!$AB495</f>
        <v>91.832900000000009</v>
      </c>
      <c r="AF613" s="2">
        <f>[8]m!$AS615</f>
        <v>1717</v>
      </c>
      <c r="AG613" s="2">
        <f>[8]m!$H615</f>
        <v>7.21</v>
      </c>
      <c r="AH613" s="2">
        <f>[8]m!$I615</f>
        <v>8.02</v>
      </c>
      <c r="AI613" s="2">
        <f>[7]m!C614</f>
        <v>91213</v>
      </c>
      <c r="AJ613" s="2">
        <f>[7]m!D614</f>
        <v>124310</v>
      </c>
      <c r="AK613" s="2">
        <f>[2]Surveys_m!$AB495</f>
        <v>43.900000000000006</v>
      </c>
      <c r="AL613" s="3">
        <v>5111</v>
      </c>
      <c r="AM613">
        <f>[2]Indicators!$BB495</f>
        <v>184615</v>
      </c>
      <c r="AN613" s="2">
        <v>103.4</v>
      </c>
      <c r="AO613">
        <f>[9]Unemployment!H495</f>
        <v>269</v>
      </c>
      <c r="AP613">
        <f>[9]Unemployment!I495</f>
        <v>857</v>
      </c>
      <c r="AQ613" s="3">
        <f>[9]LaborForce!$B494*[9]LaborForce!$C494/100</f>
        <v>143203.12</v>
      </c>
      <c r="AR613">
        <f>[9]Unemployment!$AC495</f>
        <v>338</v>
      </c>
      <c r="AS613">
        <f>[2]Indicators!BC495</f>
        <v>85.3</v>
      </c>
      <c r="AT613">
        <f>[2]Indicators!BD495</f>
        <v>92.070700000000002</v>
      </c>
      <c r="AU613">
        <f>[2]Indicators!BE495</f>
        <v>98.001400000000004</v>
      </c>
      <c r="AV613">
        <f>[5]m!$O615</f>
        <v>113.56</v>
      </c>
    </row>
    <row r="614" spans="1:48" x14ac:dyDescent="0.25">
      <c r="A614" s="1">
        <v>36892</v>
      </c>
      <c r="B614" s="2">
        <f>[2]Indicators!G496</f>
        <v>7047.7179999999998</v>
      </c>
      <c r="C614" s="2">
        <f>[2]Indicators!H496</f>
        <v>920.47800000000007</v>
      </c>
      <c r="D614" s="2">
        <f>[2]Indicators!I496</f>
        <v>1585.5319999999999</v>
      </c>
      <c r="E614" s="2">
        <f>[2]Indicators!J496</f>
        <v>4541.7080000000005</v>
      </c>
      <c r="F614" s="2">
        <f>[2]Indicators!B496</f>
        <v>7737.1050000000005</v>
      </c>
      <c r="G614" s="2">
        <f>[2]Indicators!C496</f>
        <v>827.59900000000005</v>
      </c>
      <c r="H614" s="2">
        <f>[2]Indicators!D496</f>
        <v>1741.8600000000001</v>
      </c>
      <c r="I614" s="2">
        <f>[2]Indicators!E496</f>
        <v>5190.4960000000001</v>
      </c>
      <c r="J614" s="2">
        <f>[2]Indicators!L496</f>
        <v>253139</v>
      </c>
      <c r="K614" s="2">
        <f>[2]Indicators!M496</f>
        <v>159126</v>
      </c>
      <c r="L614" s="2">
        <f>[2]Indicators!N496</f>
        <v>17.641000000000002</v>
      </c>
      <c r="M614" s="2">
        <f>[2]Indicators!AB496</f>
        <v>91.204300000000003</v>
      </c>
      <c r="N614" s="2">
        <f>[8]m!$C616</f>
        <v>5.98</v>
      </c>
      <c r="O614">
        <f>[9]Unemployment!$B496</f>
        <v>4.2</v>
      </c>
      <c r="P614" s="2">
        <f>[2]Surveys_m!$B496</f>
        <v>115.7</v>
      </c>
      <c r="Q614">
        <f>[5]m!$B616</f>
        <v>175.6</v>
      </c>
      <c r="R614">
        <f>[5]m!$D616</f>
        <v>183.9</v>
      </c>
      <c r="S614">
        <f>[5]m!$Q616</f>
        <v>140</v>
      </c>
      <c r="T614">
        <f>[6]m!B616</f>
        <v>76379</v>
      </c>
      <c r="U614" s="2">
        <f>[9]Unemployment!$F496</f>
        <v>12.700000000000001</v>
      </c>
      <c r="V614" s="2">
        <f>[9]Unemployment!$G496</f>
        <v>5.8000000000000007</v>
      </c>
      <c r="W614">
        <f>[9]Unemployment!$E496</f>
        <v>6023</v>
      </c>
      <c r="X614">
        <f>[9]Unemployment!N496</f>
        <v>2648</v>
      </c>
      <c r="Y614">
        <f>[9]Unemployment!O496</f>
        <v>1956</v>
      </c>
      <c r="Z614">
        <f>[9]Unemployment!P496-[9]Unemployment!Q496</f>
        <v>696</v>
      </c>
      <c r="AA614">
        <f>[9]Unemployment!$Q496</f>
        <v>676</v>
      </c>
      <c r="AB614" s="2">
        <f>[8]m!$B616</f>
        <v>4.99</v>
      </c>
      <c r="AC614" s="2">
        <f>[8]m!$F616</f>
        <v>5.16</v>
      </c>
      <c r="AD614">
        <f>[9]Employment!$B496</f>
        <v>132469</v>
      </c>
      <c r="AE614" s="2">
        <f>[2]Indicators!$AB496</f>
        <v>91.204300000000003</v>
      </c>
      <c r="AF614" s="2">
        <f>[8]m!$AS616</f>
        <v>1729.9</v>
      </c>
      <c r="AG614" s="2">
        <f>[8]m!$H616</f>
        <v>7.15</v>
      </c>
      <c r="AH614" s="2">
        <f>[8]m!$I616</f>
        <v>7.9300000000000006</v>
      </c>
      <c r="AI614" s="2">
        <f>[7]m!C615</f>
        <v>90260</v>
      </c>
      <c r="AJ614" s="2">
        <f>[7]m!D615</f>
        <v>124296</v>
      </c>
      <c r="AK614" s="2">
        <f>[2]Surveys_m!$AB496</f>
        <v>42.300000000000004</v>
      </c>
      <c r="AL614" s="3">
        <v>5082</v>
      </c>
      <c r="AM614">
        <f>[2]Indicators!$BB496</f>
        <v>171879</v>
      </c>
      <c r="AN614" s="2">
        <v>102.8</v>
      </c>
      <c r="AO614">
        <f>[9]Unemployment!H496</f>
        <v>301</v>
      </c>
      <c r="AP614">
        <f>[9]Unemployment!I496</f>
        <v>994</v>
      </c>
      <c r="AQ614" s="3">
        <f>[9]LaborForce!$B495*[9]LaborForce!$C495/100</f>
        <v>143732.736</v>
      </c>
      <c r="AR614">
        <f>[9]Unemployment!$AC496</f>
        <v>353</v>
      </c>
      <c r="AS614">
        <f>[2]Indicators!BC496</f>
        <v>85.100000000000009</v>
      </c>
      <c r="AT614">
        <f>[2]Indicators!BD496</f>
        <v>91.595800000000011</v>
      </c>
      <c r="AU614">
        <f>[2]Indicators!BE496</f>
        <v>97.374000000000009</v>
      </c>
      <c r="AV614">
        <f>[5]m!$O616</f>
        <v>114.58</v>
      </c>
    </row>
    <row r="615" spans="1:48" x14ac:dyDescent="0.25">
      <c r="A615" s="1">
        <v>36923</v>
      </c>
      <c r="B615" s="2">
        <f>[2]Indicators!G497</f>
        <v>7066.5410000000002</v>
      </c>
      <c r="C615" s="2">
        <f>[2]Indicators!H497</f>
        <v>943.04399999999998</v>
      </c>
      <c r="D615" s="2">
        <f>[2]Indicators!I497</f>
        <v>1578.383</v>
      </c>
      <c r="E615" s="2">
        <f>[2]Indicators!J497</f>
        <v>4545.1140000000005</v>
      </c>
      <c r="F615" s="2">
        <f>[2]Indicators!B497</f>
        <v>7746.51</v>
      </c>
      <c r="G615" s="2">
        <f>[2]Indicators!C497</f>
        <v>850.76200000000006</v>
      </c>
      <c r="H615" s="2">
        <f>[2]Indicators!D497</f>
        <v>1731.0920000000001</v>
      </c>
      <c r="I615" s="2">
        <f>[2]Indicators!E497</f>
        <v>5181.9290000000001</v>
      </c>
      <c r="J615" s="2">
        <f>[2]Indicators!L497</f>
        <v>253139</v>
      </c>
      <c r="K615" s="2">
        <f>[2]Indicators!M497</f>
        <v>158709</v>
      </c>
      <c r="L615" s="2">
        <f>[2]Indicators!N497</f>
        <v>17.818000000000001</v>
      </c>
      <c r="M615" s="2">
        <f>[2]Indicators!AB497</f>
        <v>90.645499999999998</v>
      </c>
      <c r="N615" s="2">
        <f>[8]m!$C617</f>
        <v>5.49</v>
      </c>
      <c r="O615">
        <f>[9]Unemployment!$B497</f>
        <v>4.2</v>
      </c>
      <c r="P615" s="2">
        <f>[2]Surveys_m!$B497</f>
        <v>109.2</v>
      </c>
      <c r="Q615">
        <f>[5]m!$B617</f>
        <v>176</v>
      </c>
      <c r="R615">
        <f>[5]m!$D617</f>
        <v>184.4</v>
      </c>
      <c r="S615">
        <f>[5]m!$Q617</f>
        <v>137.4</v>
      </c>
      <c r="T615">
        <f>[6]m!B617</f>
        <v>-48168</v>
      </c>
      <c r="U615" s="2">
        <f>[9]Unemployment!$F497</f>
        <v>12.8</v>
      </c>
      <c r="V615" s="2">
        <f>[9]Unemployment!$G497</f>
        <v>6.1000000000000005</v>
      </c>
      <c r="W615">
        <f>[9]Unemployment!$E497</f>
        <v>6089</v>
      </c>
      <c r="X615">
        <f>[9]Unemployment!N497</f>
        <v>2851</v>
      </c>
      <c r="Y615">
        <f>[9]Unemployment!O497</f>
        <v>1764</v>
      </c>
      <c r="Z615">
        <f>[9]Unemployment!P497-[9]Unemployment!Q497</f>
        <v>777</v>
      </c>
      <c r="AA615">
        <f>[9]Unemployment!$Q497</f>
        <v>714</v>
      </c>
      <c r="AB615" s="2">
        <f>[8]m!$B617</f>
        <v>4.84</v>
      </c>
      <c r="AC615" s="2">
        <f>[8]m!$F617</f>
        <v>5.1000000000000005</v>
      </c>
      <c r="AD615">
        <f>[9]Employment!$B497</f>
        <v>132530</v>
      </c>
      <c r="AE615" s="2">
        <f>[2]Indicators!$AB497</f>
        <v>90.645499999999998</v>
      </c>
      <c r="AF615" s="2">
        <f>[8]m!$AS617</f>
        <v>1748.7</v>
      </c>
      <c r="AG615" s="2">
        <f>[8]m!$H617</f>
        <v>7.1000000000000005</v>
      </c>
      <c r="AH615" s="2">
        <f>[8]m!$I617</f>
        <v>7.87</v>
      </c>
      <c r="AI615" s="2">
        <f>[7]m!C616</f>
        <v>90277</v>
      </c>
      <c r="AJ615" s="2">
        <f>[7]m!D616</f>
        <v>125353</v>
      </c>
      <c r="AK615" s="2">
        <f>[2]Surveys_m!$AB497</f>
        <v>42.1</v>
      </c>
      <c r="AL615" s="3">
        <v>4885</v>
      </c>
      <c r="AM615">
        <f>[2]Indicators!$BB497</f>
        <v>174055</v>
      </c>
      <c r="AN615" s="2">
        <v>96.8</v>
      </c>
      <c r="AO615">
        <f>[9]Unemployment!H497</f>
        <v>287</v>
      </c>
      <c r="AP615">
        <f>[9]Unemployment!I497</f>
        <v>1050</v>
      </c>
      <c r="AQ615" s="3">
        <f>[9]LaborForce!$B496*[9]LaborForce!$C496/100</f>
        <v>143667.81000000003</v>
      </c>
      <c r="AR615">
        <f>[9]Unemployment!$AC497</f>
        <v>362</v>
      </c>
      <c r="AS615">
        <f>[2]Indicators!BC497</f>
        <v>84.7</v>
      </c>
      <c r="AT615">
        <f>[2]Indicators!BD497</f>
        <v>91.272000000000006</v>
      </c>
      <c r="AU615">
        <f>[2]Indicators!BE497</f>
        <v>96.912700000000001</v>
      </c>
      <c r="AV615">
        <f>[5]m!$O617</f>
        <v>115.45</v>
      </c>
    </row>
    <row r="616" spans="1:48" x14ac:dyDescent="0.25">
      <c r="A616" s="1">
        <v>36951</v>
      </c>
      <c r="B616" s="2">
        <f>[2]Indicators!G498</f>
        <v>7060.1480000000001</v>
      </c>
      <c r="C616" s="2">
        <f>[2]Indicators!H498</f>
        <v>929.26400000000001</v>
      </c>
      <c r="D616" s="2">
        <f>[2]Indicators!I498</f>
        <v>1563.6559999999999</v>
      </c>
      <c r="E616" s="2">
        <f>[2]Indicators!J498</f>
        <v>4567.2280000000001</v>
      </c>
      <c r="F616" s="2">
        <f>[2]Indicators!B498</f>
        <v>7738.7049999999999</v>
      </c>
      <c r="G616" s="2">
        <f>[2]Indicators!C498</f>
        <v>841.04</v>
      </c>
      <c r="H616" s="2">
        <f>[2]Indicators!D498</f>
        <v>1720.7239999999999</v>
      </c>
      <c r="I616" s="2">
        <f>[2]Indicators!E498</f>
        <v>5196.6630000000005</v>
      </c>
      <c r="J616" s="2">
        <f>[2]Indicators!L498</f>
        <v>250679</v>
      </c>
      <c r="K616" s="2">
        <f>[2]Indicators!M498</f>
        <v>157236</v>
      </c>
      <c r="L616" s="2">
        <f>[2]Indicators!N498</f>
        <v>17.240000000000002</v>
      </c>
      <c r="M616" s="2">
        <f>[2]Indicators!AB498</f>
        <v>90.387100000000004</v>
      </c>
      <c r="N616" s="2">
        <f>[8]m!$C618</f>
        <v>5.3100000000000005</v>
      </c>
      <c r="O616">
        <f>[9]Unemployment!$B498</f>
        <v>4.3</v>
      </c>
      <c r="P616" s="2">
        <f>[2]Surveys_m!$B498</f>
        <v>116.9</v>
      </c>
      <c r="Q616">
        <f>[5]m!$B618</f>
        <v>176.1</v>
      </c>
      <c r="R616">
        <f>[5]m!$D618</f>
        <v>184.70000000000002</v>
      </c>
      <c r="S616">
        <f>[5]m!$Q618</f>
        <v>135.9</v>
      </c>
      <c r="T616">
        <f>[6]m!B618</f>
        <v>-50662</v>
      </c>
      <c r="U616" s="2">
        <f>[9]Unemployment!$F498</f>
        <v>12.8</v>
      </c>
      <c r="V616" s="2">
        <f>[9]Unemployment!$G498</f>
        <v>6.6000000000000005</v>
      </c>
      <c r="W616">
        <f>[9]Unemployment!$E498</f>
        <v>6141</v>
      </c>
      <c r="X616">
        <f>[9]Unemployment!N498</f>
        <v>2681</v>
      </c>
      <c r="Y616">
        <f>[9]Unemployment!O498</f>
        <v>2059</v>
      </c>
      <c r="Z616">
        <f>[9]Unemployment!P498-[9]Unemployment!Q498</f>
        <v>825</v>
      </c>
      <c r="AA616">
        <f>[9]Unemployment!$Q498</f>
        <v>696</v>
      </c>
      <c r="AB616" s="2">
        <f>[8]m!$B618</f>
        <v>4.29</v>
      </c>
      <c r="AC616" s="2">
        <f>[8]m!$F618</f>
        <v>4.8899999999999997</v>
      </c>
      <c r="AD616">
        <f>[9]Employment!$B498</f>
        <v>132500</v>
      </c>
      <c r="AE616" s="2">
        <f>[2]Indicators!$AB498</f>
        <v>90.387100000000004</v>
      </c>
      <c r="AF616" s="2">
        <f>[8]m!$AS618</f>
        <v>1760.5</v>
      </c>
      <c r="AG616" s="2">
        <f>[8]m!$H618</f>
        <v>6.98</v>
      </c>
      <c r="AH616" s="2">
        <f>[8]m!$I618</f>
        <v>7.84</v>
      </c>
      <c r="AI616" s="2">
        <f>[7]m!C617</f>
        <v>90282</v>
      </c>
      <c r="AJ616" s="2">
        <f>[7]m!D617</f>
        <v>119616</v>
      </c>
      <c r="AK616" s="2">
        <f>[2]Surveys_m!$AB498</f>
        <v>43.1</v>
      </c>
      <c r="AL616" s="3">
        <v>4992</v>
      </c>
      <c r="AM616">
        <f>[2]Indicators!$BB498</f>
        <v>173452</v>
      </c>
      <c r="AN616" s="2">
        <v>90.7</v>
      </c>
      <c r="AO616">
        <f>[9]Unemployment!H498</f>
        <v>349</v>
      </c>
      <c r="AP616">
        <f>[9]Unemployment!I498</f>
        <v>761</v>
      </c>
      <c r="AQ616" s="3">
        <f>[9]LaborForce!$B497*[9]LaborForce!$C497/100</f>
        <v>144012.96</v>
      </c>
      <c r="AR616">
        <f>[9]Unemployment!$AC498</f>
        <v>386</v>
      </c>
      <c r="AS616">
        <f>[2]Indicators!BC498</f>
        <v>84.4</v>
      </c>
      <c r="AT616">
        <f>[2]Indicators!BD498</f>
        <v>91.108800000000002</v>
      </c>
      <c r="AU616">
        <f>[2]Indicators!BE498</f>
        <v>96.626300000000001</v>
      </c>
      <c r="AV616">
        <f>[5]m!$O618</f>
        <v>116.69</v>
      </c>
    </row>
    <row r="617" spans="1:48" x14ac:dyDescent="0.25">
      <c r="A617" s="1">
        <v>36982</v>
      </c>
      <c r="B617" s="2">
        <f>[2]Indicators!G499</f>
        <v>7079.8959999999997</v>
      </c>
      <c r="C617" s="2">
        <f>[2]Indicators!H499</f>
        <v>912.56600000000003</v>
      </c>
      <c r="D617" s="2">
        <f>[2]Indicators!I499</f>
        <v>1585.663</v>
      </c>
      <c r="E617" s="2">
        <f>[2]Indicators!J499</f>
        <v>4581.6660000000002</v>
      </c>
      <c r="F617" s="2">
        <f>[2]Indicators!B499</f>
        <v>7746.0929999999998</v>
      </c>
      <c r="G617" s="2">
        <f>[2]Indicators!C499</f>
        <v>827.00599999999997</v>
      </c>
      <c r="H617" s="2">
        <f>[2]Indicators!D499</f>
        <v>1739.04</v>
      </c>
      <c r="I617" s="2">
        <f>[2]Indicators!E499</f>
        <v>5202.8680000000004</v>
      </c>
      <c r="J617" s="2">
        <f>[2]Indicators!L499</f>
        <v>254822</v>
      </c>
      <c r="K617" s="2">
        <f>[2]Indicators!M499</f>
        <v>159278</v>
      </c>
      <c r="L617" s="2">
        <f>[2]Indicators!N499</f>
        <v>16.867000000000001</v>
      </c>
      <c r="M617" s="2">
        <f>[2]Indicators!AB499</f>
        <v>90.171199999999999</v>
      </c>
      <c r="N617" s="2">
        <f>[8]m!$C619</f>
        <v>4.8</v>
      </c>
      <c r="O617">
        <f>[9]Unemployment!$B499</f>
        <v>4.4000000000000004</v>
      </c>
      <c r="P617" s="2">
        <f>[2]Surveys_m!$B499</f>
        <v>109.9</v>
      </c>
      <c r="Q617">
        <f>[5]m!$B619</f>
        <v>176.4</v>
      </c>
      <c r="R617">
        <f>[5]m!$D619</f>
        <v>185.1</v>
      </c>
      <c r="S617">
        <f>[5]m!$Q619</f>
        <v>136.4</v>
      </c>
      <c r="T617">
        <f>[6]m!B619</f>
        <v>189796</v>
      </c>
      <c r="U617" s="2">
        <f>[9]Unemployment!$F499</f>
        <v>12.4</v>
      </c>
      <c r="V617" s="2">
        <f>[9]Unemployment!$G499</f>
        <v>5.9</v>
      </c>
      <c r="W617">
        <f>[9]Unemployment!$E499</f>
        <v>6271</v>
      </c>
      <c r="X617">
        <f>[9]Unemployment!N499</f>
        <v>2972</v>
      </c>
      <c r="Y617">
        <f>[9]Unemployment!O499</f>
        <v>1990</v>
      </c>
      <c r="Z617">
        <f>[9]Unemployment!P499-[9]Unemployment!Q499</f>
        <v>787</v>
      </c>
      <c r="AA617">
        <f>[9]Unemployment!$Q499</f>
        <v>712</v>
      </c>
      <c r="AB617" s="2">
        <f>[8]m!$B619</f>
        <v>3.89</v>
      </c>
      <c r="AC617" s="2">
        <f>[8]m!$F619</f>
        <v>5.14</v>
      </c>
      <c r="AD617">
        <f>[9]Employment!$B499</f>
        <v>132219</v>
      </c>
      <c r="AE617" s="2">
        <f>[2]Indicators!$AB499</f>
        <v>90.171199999999999</v>
      </c>
      <c r="AF617" s="2">
        <f>[8]m!$AS619</f>
        <v>1773.1000000000001</v>
      </c>
      <c r="AG617" s="2">
        <f>[8]m!$H619</f>
        <v>7.2</v>
      </c>
      <c r="AH617" s="2">
        <f>[8]m!$I619</f>
        <v>8.07</v>
      </c>
      <c r="AI617" s="2">
        <f>[7]m!C618</f>
        <v>88714</v>
      </c>
      <c r="AJ617" s="2">
        <f>[7]m!D618</f>
        <v>121311</v>
      </c>
      <c r="AK617" s="2">
        <f>[2]Surveys_m!$AB499</f>
        <v>42.7</v>
      </c>
      <c r="AL617" s="3">
        <v>4803</v>
      </c>
      <c r="AM617">
        <f>[2]Indicators!$BB499</f>
        <v>164869</v>
      </c>
      <c r="AN617" s="2">
        <v>88.6</v>
      </c>
      <c r="AO617">
        <f>[9]Unemployment!H499</f>
        <v>349</v>
      </c>
      <c r="AP617">
        <f>[9]Unemployment!I499</f>
        <v>782</v>
      </c>
      <c r="AQ617" s="3">
        <f>[9]LaborForce!$B498*[9]LaborForce!$C498/100</f>
        <v>143517.22500000001</v>
      </c>
      <c r="AR617">
        <f>[9]Unemployment!$AC499</f>
        <v>388</v>
      </c>
      <c r="AS617">
        <f>[2]Indicators!BC499</f>
        <v>84.3</v>
      </c>
      <c r="AT617">
        <f>[2]Indicators!BD499</f>
        <v>91.078699999999998</v>
      </c>
      <c r="AU617">
        <f>[2]Indicators!BE499</f>
        <v>96.48490000000001</v>
      </c>
      <c r="AV617">
        <f>[5]m!$O619</f>
        <v>117.94</v>
      </c>
    </row>
    <row r="618" spans="1:48" x14ac:dyDescent="0.25">
      <c r="A618" s="1">
        <v>37012</v>
      </c>
      <c r="B618" s="2">
        <f>[2]Indicators!G500</f>
        <v>7130.8090000000002</v>
      </c>
      <c r="C618" s="2">
        <f>[2]Indicators!H500</f>
        <v>920.38200000000006</v>
      </c>
      <c r="D618" s="2">
        <f>[2]Indicators!I500</f>
        <v>1607.0710000000001</v>
      </c>
      <c r="E618" s="2">
        <f>[2]Indicators!J500</f>
        <v>4603.3559999999998</v>
      </c>
      <c r="F618" s="2">
        <f>[2]Indicators!B500</f>
        <v>7780.6010000000006</v>
      </c>
      <c r="G618" s="2">
        <f>[2]Indicators!C500</f>
        <v>837.37700000000007</v>
      </c>
      <c r="H618" s="2">
        <f>[2]Indicators!D500</f>
        <v>1748.808</v>
      </c>
      <c r="I618" s="2">
        <f>[2]Indicators!E500</f>
        <v>5215.5129999999999</v>
      </c>
      <c r="J618" s="2">
        <f>[2]Indicators!L500</f>
        <v>255462</v>
      </c>
      <c r="K618" s="2">
        <f>[2]Indicators!M500</f>
        <v>158951</v>
      </c>
      <c r="L618" s="2">
        <f>[2]Indicators!N500</f>
        <v>16.87</v>
      </c>
      <c r="M618" s="2">
        <f>[2]Indicators!AB500</f>
        <v>89.506100000000004</v>
      </c>
      <c r="N618" s="2">
        <f>[8]m!$C620</f>
        <v>4.21</v>
      </c>
      <c r="O618">
        <f>[9]Unemployment!$B500</f>
        <v>4.3</v>
      </c>
      <c r="P618" s="2">
        <f>[2]Surveys_m!$B500</f>
        <v>116.10000000000001</v>
      </c>
      <c r="Q618">
        <f>[5]m!$B620</f>
        <v>177.3</v>
      </c>
      <c r="R618">
        <f>[5]m!$D620</f>
        <v>185.3</v>
      </c>
      <c r="S618">
        <f>[5]m!$Q620</f>
        <v>136.80000000000001</v>
      </c>
      <c r="T618">
        <f>[6]m!B620</f>
        <v>-27919</v>
      </c>
      <c r="U618" s="2">
        <f>[9]Unemployment!$F500</f>
        <v>12.100000000000001</v>
      </c>
      <c r="V618" s="2">
        <f>[9]Unemployment!$G500</f>
        <v>6.3000000000000007</v>
      </c>
      <c r="W618">
        <f>[9]Unemployment!$E500</f>
        <v>6226</v>
      </c>
      <c r="X618">
        <f>[9]Unemployment!N500</f>
        <v>2701</v>
      </c>
      <c r="Y618">
        <f>[9]Unemployment!O500</f>
        <v>2045</v>
      </c>
      <c r="Z618">
        <f>[9]Unemployment!P500-[9]Unemployment!Q500</f>
        <v>878</v>
      </c>
      <c r="AA618">
        <f>[9]Unemployment!$Q500</f>
        <v>624</v>
      </c>
      <c r="AB618" s="2">
        <f>[8]m!$B620</f>
        <v>3.5500000000000003</v>
      </c>
      <c r="AC618" s="2">
        <f>[8]m!$F620</f>
        <v>5.39</v>
      </c>
      <c r="AD618">
        <f>[9]Employment!$B500</f>
        <v>132175</v>
      </c>
      <c r="AE618" s="2">
        <f>[2]Indicators!$AB500</f>
        <v>89.506100000000004</v>
      </c>
      <c r="AF618" s="2">
        <f>[8]m!$AS620</f>
        <v>1781.2</v>
      </c>
      <c r="AG618" s="2">
        <f>[8]m!$H620</f>
        <v>7.29</v>
      </c>
      <c r="AH618" s="2">
        <f>[8]m!$I620</f>
        <v>8.07</v>
      </c>
      <c r="AI618" s="2">
        <f>[7]m!C619</f>
        <v>86988</v>
      </c>
      <c r="AJ618" s="2">
        <f>[7]m!D619</f>
        <v>118303</v>
      </c>
      <c r="AK618" s="2">
        <f>[2]Surveys_m!$AB500</f>
        <v>41.300000000000004</v>
      </c>
      <c r="AL618" s="3">
        <v>4560</v>
      </c>
      <c r="AM618">
        <f>[2]Indicators!$BB500</f>
        <v>170994</v>
      </c>
      <c r="AN618" s="2">
        <v>82.4</v>
      </c>
      <c r="AO618">
        <f>[9]Unemployment!H500</f>
        <v>328</v>
      </c>
      <c r="AP618">
        <f>[9]Unemployment!I500</f>
        <v>828</v>
      </c>
      <c r="AQ618" s="3">
        <f>[9]LaborForce!$B499*[9]LaborForce!$C499/100</f>
        <v>143226.24400000001</v>
      </c>
      <c r="AR618">
        <f>[9]Unemployment!$AC500</f>
        <v>406</v>
      </c>
      <c r="AS618">
        <f>[2]Indicators!BC500</f>
        <v>84.7</v>
      </c>
      <c r="AT618">
        <f>[2]Indicators!BD500</f>
        <v>91.124700000000004</v>
      </c>
      <c r="AU618">
        <f>[2]Indicators!BE500</f>
        <v>96.427300000000002</v>
      </c>
      <c r="AV618">
        <f>[5]m!$O620</f>
        <v>118.94</v>
      </c>
    </row>
    <row r="619" spans="1:48" x14ac:dyDescent="0.25">
      <c r="A619" s="1">
        <v>37043</v>
      </c>
      <c r="B619" s="2">
        <f>[2]Indicators!G501</f>
        <v>7145.3249999999998</v>
      </c>
      <c r="C619" s="2">
        <f>[2]Indicators!H501</f>
        <v>938.73300000000006</v>
      </c>
      <c r="D619" s="2">
        <f>[2]Indicators!I501</f>
        <v>1590.6870000000001</v>
      </c>
      <c r="E619" s="2">
        <f>[2]Indicators!J501</f>
        <v>4615.9049999999997</v>
      </c>
      <c r="F619" s="2">
        <f>[2]Indicators!B501</f>
        <v>7783.317</v>
      </c>
      <c r="G619" s="2">
        <f>[2]Indicators!C501</f>
        <v>853.76499999999999</v>
      </c>
      <c r="H619" s="2">
        <f>[2]Indicators!D501</f>
        <v>1730.635</v>
      </c>
      <c r="I619" s="2">
        <f>[2]Indicators!E501</f>
        <v>5216.808</v>
      </c>
      <c r="J619" s="2">
        <f>[2]Indicators!L501</f>
        <v>254543</v>
      </c>
      <c r="K619" s="2">
        <f>[2]Indicators!M501</f>
        <v>158117</v>
      </c>
      <c r="L619" s="2">
        <f>[2]Indicators!N501</f>
        <v>17.452999999999999</v>
      </c>
      <c r="M619" s="2">
        <f>[2]Indicators!AB501</f>
        <v>88.934700000000007</v>
      </c>
      <c r="N619" s="2">
        <f>[8]m!$C621</f>
        <v>3.97</v>
      </c>
      <c r="O619">
        <f>[9]Unemployment!$B501</f>
        <v>4.5</v>
      </c>
      <c r="P619" s="2">
        <f>[2]Surveys_m!$B501</f>
        <v>118.9</v>
      </c>
      <c r="Q619">
        <f>[5]m!$B621</f>
        <v>177.70000000000002</v>
      </c>
      <c r="R619">
        <f>[5]m!$D621</f>
        <v>186</v>
      </c>
      <c r="S619">
        <f>[5]m!$Q621</f>
        <v>135.5</v>
      </c>
      <c r="T619">
        <f>[6]m!B621</f>
        <v>31862</v>
      </c>
      <c r="U619" s="2">
        <f>[9]Unemployment!$F501</f>
        <v>12.700000000000001</v>
      </c>
      <c r="V619" s="2">
        <f>[9]Unemployment!$G501</f>
        <v>6</v>
      </c>
      <c r="W619">
        <f>[9]Unemployment!$E501</f>
        <v>6484</v>
      </c>
      <c r="X619">
        <f>[9]Unemployment!N501</f>
        <v>2808</v>
      </c>
      <c r="Y619">
        <f>[9]Unemployment!O501</f>
        <v>2025</v>
      </c>
      <c r="Z619">
        <f>[9]Unemployment!P501-[9]Unemployment!Q501</f>
        <v>822</v>
      </c>
      <c r="AA619">
        <f>[9]Unemployment!$Q501</f>
        <v>710</v>
      </c>
      <c r="AB619" s="2">
        <f>[8]m!$B621</f>
        <v>3.62</v>
      </c>
      <c r="AC619" s="2">
        <f>[8]m!$F621</f>
        <v>5.28</v>
      </c>
      <c r="AD619">
        <f>[9]Employment!$B501</f>
        <v>132047</v>
      </c>
      <c r="AE619" s="2">
        <f>[2]Indicators!$AB501</f>
        <v>88.934700000000007</v>
      </c>
      <c r="AF619" s="2">
        <f>[8]m!$AS621</f>
        <v>1792.4</v>
      </c>
      <c r="AG619" s="2">
        <f>[8]m!$H621</f>
        <v>7.18</v>
      </c>
      <c r="AH619" s="2">
        <f>[8]m!$I621</f>
        <v>7.97</v>
      </c>
      <c r="AI619" s="2">
        <f>[7]m!C620</f>
        <v>87482</v>
      </c>
      <c r="AJ619" s="2">
        <f>[7]m!D620</f>
        <v>115258</v>
      </c>
      <c r="AK619" s="2">
        <f>[2]Surveys_m!$AB501</f>
        <v>43.2</v>
      </c>
      <c r="AL619" s="3">
        <v>4491</v>
      </c>
      <c r="AM619">
        <f>[2]Indicators!$BB501</f>
        <v>169920</v>
      </c>
      <c r="AN619" s="2">
        <v>78.900000000000006</v>
      </c>
      <c r="AO619">
        <f>[9]Unemployment!H501</f>
        <v>294</v>
      </c>
      <c r="AP619">
        <f>[9]Unemployment!I501</f>
        <v>876</v>
      </c>
      <c r="AQ619" s="3">
        <f>[9]LaborForce!$B500*[9]LaborForce!$C500/100</f>
        <v>143371.65</v>
      </c>
      <c r="AR619">
        <f>[9]Unemployment!$AC501</f>
        <v>406</v>
      </c>
      <c r="AS619">
        <f>[2]Indicators!BC501</f>
        <v>84.8</v>
      </c>
      <c r="AT619">
        <f>[2]Indicators!BD501</f>
        <v>91.151899999999998</v>
      </c>
      <c r="AU619">
        <f>[2]Indicators!BE501</f>
        <v>96.352800000000002</v>
      </c>
      <c r="AV619">
        <f>[5]m!$O621</f>
        <v>120.03</v>
      </c>
    </row>
    <row r="620" spans="1:48" x14ac:dyDescent="0.25">
      <c r="A620" s="1">
        <v>37073</v>
      </c>
      <c r="B620" s="2">
        <f>[2]Indicators!G502</f>
        <v>7156.4710000000005</v>
      </c>
      <c r="C620" s="2">
        <f>[2]Indicators!H502</f>
        <v>929.82500000000005</v>
      </c>
      <c r="D620" s="2">
        <f>[2]Indicators!I502</f>
        <v>1595.7619999999999</v>
      </c>
      <c r="E620" s="2">
        <f>[2]Indicators!J502</f>
        <v>4630.884</v>
      </c>
      <c r="F620" s="2">
        <f>[2]Indicators!B502</f>
        <v>7800.2120000000004</v>
      </c>
      <c r="G620" s="2">
        <f>[2]Indicators!C502</f>
        <v>845.16700000000003</v>
      </c>
      <c r="H620" s="2">
        <f>[2]Indicators!D502</f>
        <v>1750.6580000000001</v>
      </c>
      <c r="I620" s="2">
        <f>[2]Indicators!E502</f>
        <v>5224.3</v>
      </c>
      <c r="J620" s="2">
        <f>[2]Indicators!L502</f>
        <v>253570</v>
      </c>
      <c r="K620" s="2">
        <f>[2]Indicators!M502</f>
        <v>157936</v>
      </c>
      <c r="L620" s="2">
        <f>[2]Indicators!N502</f>
        <v>16.458000000000002</v>
      </c>
      <c r="M620" s="2">
        <f>[2]Indicators!AB502</f>
        <v>88.527799999999999</v>
      </c>
      <c r="N620" s="2">
        <f>[8]m!$C622</f>
        <v>3.77</v>
      </c>
      <c r="O620">
        <f>[9]Unemployment!$B502</f>
        <v>4.6000000000000005</v>
      </c>
      <c r="P620" s="2">
        <f>[2]Surveys_m!$B502</f>
        <v>116.30000000000001</v>
      </c>
      <c r="Q620">
        <f>[5]m!$B622</f>
        <v>177.4</v>
      </c>
      <c r="R620">
        <f>[5]m!$D622</f>
        <v>186.4</v>
      </c>
      <c r="S620">
        <f>[5]m!$Q622</f>
        <v>133.4</v>
      </c>
      <c r="T620">
        <f>[6]m!B622</f>
        <v>2820</v>
      </c>
      <c r="U620" s="2">
        <f>[9]Unemployment!$F502</f>
        <v>12.9</v>
      </c>
      <c r="V620" s="2">
        <f>[9]Unemployment!$G502</f>
        <v>6.8000000000000007</v>
      </c>
      <c r="W620">
        <f>[9]Unemployment!$E502</f>
        <v>6583</v>
      </c>
      <c r="X620">
        <f>[9]Unemployment!N502</f>
        <v>2642</v>
      </c>
      <c r="Y620">
        <f>[9]Unemployment!O502</f>
        <v>2187</v>
      </c>
      <c r="Z620">
        <f>[9]Unemployment!P502-[9]Unemployment!Q502</f>
        <v>951</v>
      </c>
      <c r="AA620">
        <f>[9]Unemployment!$Q502</f>
        <v>702</v>
      </c>
      <c r="AB620" s="2">
        <f>[8]m!$B622</f>
        <v>3.54</v>
      </c>
      <c r="AC620" s="2">
        <f>[8]m!$F622</f>
        <v>5.24</v>
      </c>
      <c r="AD620">
        <f>[9]Employment!$B502</f>
        <v>131922</v>
      </c>
      <c r="AE620" s="2">
        <f>[2]Indicators!$AB502</f>
        <v>88.527799999999999</v>
      </c>
      <c r="AF620" s="2">
        <f>[8]m!$AS622</f>
        <v>1797.4</v>
      </c>
      <c r="AG620" s="2">
        <f>[8]m!$H622</f>
        <v>7.13</v>
      </c>
      <c r="AH620" s="2">
        <f>[8]m!$I622</f>
        <v>7.97</v>
      </c>
      <c r="AI620" s="2">
        <f>[7]m!C621</f>
        <v>85265</v>
      </c>
      <c r="AJ620" s="2">
        <f>[7]m!D621</f>
        <v>114645</v>
      </c>
      <c r="AK620" s="2">
        <f>[2]Surveys_m!$AB502</f>
        <v>43.5</v>
      </c>
      <c r="AL620" s="3">
        <v>4392</v>
      </c>
      <c r="AM620">
        <f>[2]Indicators!$BB502</f>
        <v>163090</v>
      </c>
      <c r="AN620" s="2">
        <v>80.900000000000006</v>
      </c>
      <c r="AO620">
        <f>[9]Unemployment!H502</f>
        <v>310</v>
      </c>
      <c r="AP620">
        <f>[9]Unemployment!I502</f>
        <v>922</v>
      </c>
      <c r="AQ620" s="3">
        <f>[9]LaborForce!$B501*[9]LaborForce!$C501/100</f>
        <v>143740.24</v>
      </c>
      <c r="AR620">
        <f>[9]Unemployment!$AC502</f>
        <v>394</v>
      </c>
      <c r="AS620">
        <f>[2]Indicators!BC502</f>
        <v>85</v>
      </c>
      <c r="AT620">
        <f>[2]Indicators!BD502</f>
        <v>91.1173</v>
      </c>
      <c r="AU620">
        <f>[2]Indicators!BE502</f>
        <v>96.215800000000002</v>
      </c>
      <c r="AV620">
        <f>[5]m!$O622</f>
        <v>121.01</v>
      </c>
    </row>
    <row r="621" spans="1:48" x14ac:dyDescent="0.25">
      <c r="A621" s="1">
        <v>37104</v>
      </c>
      <c r="B621" s="2">
        <f>[2]Indicators!G503</f>
        <v>7195.8330000000005</v>
      </c>
      <c r="C621" s="2">
        <f>[2]Indicators!H503</f>
        <v>947.52600000000007</v>
      </c>
      <c r="D621" s="2">
        <f>[2]Indicators!I503</f>
        <v>1593.644</v>
      </c>
      <c r="E621" s="2">
        <f>[2]Indicators!J503</f>
        <v>4654.6630000000005</v>
      </c>
      <c r="F621" s="2">
        <f>[2]Indicators!B503</f>
        <v>7844.8249999999998</v>
      </c>
      <c r="G621" s="2">
        <f>[2]Indicators!C503</f>
        <v>865.43799999999999</v>
      </c>
      <c r="H621" s="2">
        <f>[2]Indicators!D503</f>
        <v>1755.145</v>
      </c>
      <c r="I621" s="2">
        <f>[2]Indicators!E503</f>
        <v>5240.7629999999999</v>
      </c>
      <c r="J621" s="2">
        <f>[2]Indicators!L503</f>
        <v>255128</v>
      </c>
      <c r="K621" s="2">
        <f>[2]Indicators!M503</f>
        <v>159005</v>
      </c>
      <c r="L621" s="2">
        <f>[2]Indicators!N503</f>
        <v>16.336000000000002</v>
      </c>
      <c r="M621" s="2">
        <f>[2]Indicators!AB503</f>
        <v>88.23190000000001</v>
      </c>
      <c r="N621" s="2">
        <f>[8]m!$C623</f>
        <v>3.65</v>
      </c>
      <c r="O621">
        <f>[9]Unemployment!$B503</f>
        <v>4.9000000000000004</v>
      </c>
      <c r="P621" s="2">
        <f>[2]Surveys_m!$B503</f>
        <v>114</v>
      </c>
      <c r="Q621">
        <f>[5]m!$B623</f>
        <v>177.4</v>
      </c>
      <c r="R621">
        <f>[5]m!$D623</f>
        <v>186.70000000000002</v>
      </c>
      <c r="S621">
        <f>[5]m!$Q623</f>
        <v>133.4</v>
      </c>
      <c r="T621">
        <f>[6]m!B623</f>
        <v>-79990</v>
      </c>
      <c r="U621" s="2">
        <f>[9]Unemployment!$F503</f>
        <v>13.3</v>
      </c>
      <c r="V621" s="2">
        <f>[9]Unemployment!$G503</f>
        <v>6.9</v>
      </c>
      <c r="W621">
        <f>[9]Unemployment!$E503</f>
        <v>7042</v>
      </c>
      <c r="X621">
        <f>[9]Unemployment!N503</f>
        <v>2966</v>
      </c>
      <c r="Y621">
        <f>[9]Unemployment!O503</f>
        <v>2187</v>
      </c>
      <c r="Z621">
        <f>[9]Unemployment!P503-[9]Unemployment!Q503</f>
        <v>1004</v>
      </c>
      <c r="AA621">
        <f>[9]Unemployment!$Q503</f>
        <v>857</v>
      </c>
      <c r="AB621" s="2">
        <f>[8]m!$B623</f>
        <v>3.37</v>
      </c>
      <c r="AC621" s="2">
        <f>[8]m!$F623</f>
        <v>4.97</v>
      </c>
      <c r="AD621">
        <f>[9]Employment!$B503</f>
        <v>131762</v>
      </c>
      <c r="AE621" s="2">
        <f>[2]Indicators!$AB503</f>
        <v>88.23190000000001</v>
      </c>
      <c r="AF621" s="2">
        <f>[8]m!$AS623</f>
        <v>1806.4</v>
      </c>
      <c r="AG621" s="2">
        <f>[8]m!$H623</f>
        <v>7.0200000000000005</v>
      </c>
      <c r="AH621" s="2">
        <f>[8]m!$I623</f>
        <v>7.8500000000000005</v>
      </c>
      <c r="AI621" s="2">
        <f>[7]m!C622</f>
        <v>82967</v>
      </c>
      <c r="AJ621" s="2">
        <f>[7]m!D622</f>
        <v>113053</v>
      </c>
      <c r="AK621" s="2">
        <f>[2]Surveys_m!$AB503</f>
        <v>46.300000000000004</v>
      </c>
      <c r="AL621" s="3">
        <v>4293</v>
      </c>
      <c r="AM621">
        <f>[2]Indicators!$BB503</f>
        <v>164514</v>
      </c>
      <c r="AN621" s="2">
        <v>74.400000000000006</v>
      </c>
      <c r="AO621">
        <f>[9]Unemployment!H503</f>
        <v>337</v>
      </c>
      <c r="AP621">
        <f>[9]Unemployment!I503</f>
        <v>1027</v>
      </c>
      <c r="AQ621" s="3">
        <f>[9]LaborForce!$B502*[9]LaborForce!$C502/100</f>
        <v>143254.29999999999</v>
      </c>
      <c r="AR621">
        <f>[9]Unemployment!$AC503</f>
        <v>388</v>
      </c>
      <c r="AS621">
        <f>[2]Indicators!BC503</f>
        <v>85</v>
      </c>
      <c r="AT621">
        <f>[2]Indicators!BD503</f>
        <v>91.036200000000008</v>
      </c>
      <c r="AU621">
        <f>[2]Indicators!BE503</f>
        <v>96.03240000000001</v>
      </c>
      <c r="AV621">
        <f>[5]m!$O623</f>
        <v>121.99000000000001</v>
      </c>
    </row>
    <row r="622" spans="1:48" x14ac:dyDescent="0.25">
      <c r="A622" s="1">
        <v>37135</v>
      </c>
      <c r="B622" s="2">
        <f>[2]Indicators!G504</f>
        <v>7101.4490000000005</v>
      </c>
      <c r="C622" s="2">
        <f>[2]Indicators!H504</f>
        <v>909.20100000000002</v>
      </c>
      <c r="D622" s="2">
        <f>[2]Indicators!I504</f>
        <v>1596.0240000000001</v>
      </c>
      <c r="E622" s="2">
        <f>[2]Indicators!J504</f>
        <v>4596.223</v>
      </c>
      <c r="F622" s="2">
        <f>[2]Indicators!B504</f>
        <v>7767.4670000000006</v>
      </c>
      <c r="G622" s="2">
        <f>[2]Indicators!C504</f>
        <v>838.02300000000002</v>
      </c>
      <c r="H622" s="2">
        <f>[2]Indicators!D504</f>
        <v>1737.952</v>
      </c>
      <c r="I622" s="2">
        <f>[2]Indicators!E504</f>
        <v>5212.2340000000004</v>
      </c>
      <c r="J622" s="2">
        <f>[2]Indicators!L504</f>
        <v>250383</v>
      </c>
      <c r="K622" s="2">
        <f>[2]Indicators!M504</f>
        <v>155365</v>
      </c>
      <c r="L622" s="2">
        <f>[2]Indicators!N504</f>
        <v>16.355</v>
      </c>
      <c r="M622" s="2">
        <f>[2]Indicators!AB504</f>
        <v>87.910499999999999</v>
      </c>
      <c r="N622" s="2">
        <f>[8]m!$C624</f>
        <v>3.0700000000000003</v>
      </c>
      <c r="O622">
        <f>[9]Unemployment!$B504</f>
        <v>5</v>
      </c>
      <c r="P622" s="2">
        <f>[2]Surveys_m!$B504</f>
        <v>97</v>
      </c>
      <c r="Q622">
        <f>[5]m!$B624</f>
        <v>178.1</v>
      </c>
      <c r="R622">
        <f>[5]m!$D624</f>
        <v>187.1</v>
      </c>
      <c r="S622">
        <f>[5]m!$Q624</f>
        <v>133.30000000000001</v>
      </c>
      <c r="T622">
        <f>[6]m!B624</f>
        <v>35501</v>
      </c>
      <c r="U622" s="2">
        <f>[9]Unemployment!$F504</f>
        <v>13.200000000000001</v>
      </c>
      <c r="V622" s="2">
        <f>[9]Unemployment!$G504</f>
        <v>7.2</v>
      </c>
      <c r="W622">
        <f>[9]Unemployment!$E504</f>
        <v>7142</v>
      </c>
      <c r="X622">
        <f>[9]Unemployment!N504</f>
        <v>2837</v>
      </c>
      <c r="Y622">
        <f>[9]Unemployment!O504</f>
        <v>2350</v>
      </c>
      <c r="Z622">
        <f>[9]Unemployment!P504-[9]Unemployment!Q504</f>
        <v>1131</v>
      </c>
      <c r="AA622">
        <f>[9]Unemployment!$Q504</f>
        <v>819</v>
      </c>
      <c r="AB622" s="2">
        <f>[8]m!$B624</f>
        <v>2.37</v>
      </c>
      <c r="AC622" s="2">
        <f>[8]m!$F624</f>
        <v>4.7300000000000004</v>
      </c>
      <c r="AD622">
        <f>[9]Employment!$B504</f>
        <v>131518</v>
      </c>
      <c r="AE622" s="2">
        <f>[2]Indicators!$AB504</f>
        <v>87.910499999999999</v>
      </c>
      <c r="AF622" s="2">
        <f>[8]m!$AS624</f>
        <v>1814.3000000000002</v>
      </c>
      <c r="AG622" s="2">
        <f>[8]m!$H624</f>
        <v>7.17</v>
      </c>
      <c r="AH622" s="2">
        <f>[8]m!$I624</f>
        <v>8.0299999999999994</v>
      </c>
      <c r="AI622" s="2">
        <f>[7]m!C623</f>
        <v>83730</v>
      </c>
      <c r="AJ622" s="2">
        <f>[7]m!D623</f>
        <v>111968</v>
      </c>
      <c r="AK622" s="2">
        <f>[2]Surveys_m!$AB504</f>
        <v>46.2</v>
      </c>
      <c r="AL622" s="3">
        <v>4165</v>
      </c>
      <c r="AM622">
        <f>[2]Indicators!$BB504</f>
        <v>155054</v>
      </c>
      <c r="AN622" s="2">
        <v>75</v>
      </c>
      <c r="AO622">
        <f>[9]Unemployment!H504</f>
        <v>285</v>
      </c>
      <c r="AP622">
        <f>[9]Unemployment!I504</f>
        <v>1050</v>
      </c>
      <c r="AQ622" s="3">
        <f>[9]LaborForce!$B503*[9]LaborForce!$C503/100</f>
        <v>144064.22</v>
      </c>
      <c r="AR622">
        <f>[9]Unemployment!$AC504</f>
        <v>402</v>
      </c>
      <c r="AS622">
        <f>[2]Indicators!BC504</f>
        <v>84.3</v>
      </c>
      <c r="AT622">
        <f>[2]Indicators!BD504</f>
        <v>91.007300000000001</v>
      </c>
      <c r="AU622">
        <f>[2]Indicators!BE504</f>
        <v>95.906300000000002</v>
      </c>
      <c r="AV622">
        <f>[5]m!$O624</f>
        <v>122.89</v>
      </c>
    </row>
    <row r="623" spans="1:48" x14ac:dyDescent="0.25">
      <c r="A623" s="1">
        <v>37165</v>
      </c>
      <c r="B623" s="2">
        <f>[2]Indicators!G505</f>
        <v>7298.6140000000005</v>
      </c>
      <c r="C623" s="2">
        <f>[2]Indicators!H505</f>
        <v>1040.5899999999999</v>
      </c>
      <c r="D623" s="2">
        <f>[2]Indicators!I505</f>
        <v>1595.6780000000001</v>
      </c>
      <c r="E623" s="2">
        <f>[2]Indicators!J505</f>
        <v>4662.3460000000005</v>
      </c>
      <c r="F623" s="2">
        <f>[2]Indicators!B505</f>
        <v>7954.7269999999999</v>
      </c>
      <c r="G623" s="2">
        <f>[2]Indicators!C505</f>
        <v>955.00800000000004</v>
      </c>
      <c r="H623" s="2">
        <f>[2]Indicators!D505</f>
        <v>1758.6559999999999</v>
      </c>
      <c r="I623" s="2">
        <f>[2]Indicators!E505</f>
        <v>5240.9520000000002</v>
      </c>
      <c r="J623" s="2">
        <f>[2]Indicators!L505</f>
        <v>268862</v>
      </c>
      <c r="K623" s="2">
        <f>[2]Indicators!M505</f>
        <v>166359</v>
      </c>
      <c r="L623" s="2">
        <f>[2]Indicators!N505</f>
        <v>22.048000000000002</v>
      </c>
      <c r="M623" s="2">
        <f>[2]Indicators!AB505</f>
        <v>87.454999999999998</v>
      </c>
      <c r="N623" s="2">
        <f>[8]m!$C625</f>
        <v>2.4900000000000002</v>
      </c>
      <c r="O623">
        <f>[9]Unemployment!$B505</f>
        <v>5.3000000000000007</v>
      </c>
      <c r="P623" s="2">
        <f>[2]Surveys_m!$B505</f>
        <v>85.300000000000011</v>
      </c>
      <c r="Q623">
        <f>[5]m!$B625</f>
        <v>177.6</v>
      </c>
      <c r="R623">
        <f>[5]m!$D625</f>
        <v>187.4</v>
      </c>
      <c r="S623">
        <f>[5]m!$Q625</f>
        <v>130.30000000000001</v>
      </c>
      <c r="T623">
        <f>[6]m!B625</f>
        <v>-7656</v>
      </c>
      <c r="U623" s="2">
        <f>[9]Unemployment!$F505</f>
        <v>13.3</v>
      </c>
      <c r="V623" s="2">
        <f>[9]Unemployment!$G505</f>
        <v>7.3000000000000007</v>
      </c>
      <c r="W623">
        <f>[9]Unemployment!$E505</f>
        <v>7694</v>
      </c>
      <c r="X623">
        <f>[9]Unemployment!N505</f>
        <v>3111</v>
      </c>
      <c r="Y623">
        <f>[9]Unemployment!O505</f>
        <v>2531</v>
      </c>
      <c r="Z623">
        <f>[9]Unemployment!P505-[9]Unemployment!Q505</f>
        <v>1173</v>
      </c>
      <c r="AA623">
        <f>[9]Unemployment!$Q505</f>
        <v>909</v>
      </c>
      <c r="AB623" s="2">
        <f>[8]m!$B625</f>
        <v>2.0499999999999998</v>
      </c>
      <c r="AC623" s="2">
        <f>[8]m!$F625</f>
        <v>4.57</v>
      </c>
      <c r="AD623">
        <f>[9]Employment!$B505</f>
        <v>131193</v>
      </c>
      <c r="AE623" s="2">
        <f>[2]Indicators!$AB505</f>
        <v>87.454999999999998</v>
      </c>
      <c r="AF623" s="2">
        <f>[8]m!$AS625</f>
        <v>1829.8000000000002</v>
      </c>
      <c r="AG623" s="2">
        <f>[8]m!$H625</f>
        <v>7.03</v>
      </c>
      <c r="AH623" s="2">
        <f>[8]m!$I625</f>
        <v>7.91</v>
      </c>
      <c r="AI623" s="2">
        <f>[7]m!C624</f>
        <v>77286</v>
      </c>
      <c r="AJ623" s="2">
        <f>[7]m!D624</f>
        <v>108130</v>
      </c>
      <c r="AK623" s="2">
        <f>[2]Surveys_m!$AB505</f>
        <v>40.800000000000004</v>
      </c>
      <c r="AL623" s="3">
        <v>3726</v>
      </c>
      <c r="AM623">
        <f>[2]Indicators!$BB505</f>
        <v>152334</v>
      </c>
      <c r="AN623" s="2">
        <v>65.599999999999994</v>
      </c>
      <c r="AO623">
        <f>[9]Unemployment!H505</f>
        <v>331</v>
      </c>
      <c r="AP623">
        <f>[9]Unemployment!I505</f>
        <v>1067</v>
      </c>
      <c r="AQ623" s="3">
        <f>[9]LaborForce!$B504*[9]LaborForce!$C504/100</f>
        <v>144007.30100000001</v>
      </c>
      <c r="AR623">
        <f>[9]Unemployment!$AC505</f>
        <v>517</v>
      </c>
      <c r="AS623">
        <f>[2]Indicators!BC505</f>
        <v>84.4</v>
      </c>
      <c r="AT623">
        <f>[2]Indicators!BD505</f>
        <v>91.179400000000001</v>
      </c>
      <c r="AU623">
        <f>[2]Indicators!BE505</f>
        <v>95.992800000000003</v>
      </c>
      <c r="AV623">
        <f>[5]m!$O625</f>
        <v>123.46000000000001</v>
      </c>
    </row>
    <row r="624" spans="1:48" x14ac:dyDescent="0.25">
      <c r="A624" s="1">
        <v>37196</v>
      </c>
      <c r="B624" s="2">
        <f>[2]Indicators!G506</f>
        <v>7259.8720000000003</v>
      </c>
      <c r="C624" s="2">
        <f>[2]Indicators!H506</f>
        <v>1002.855</v>
      </c>
      <c r="D624" s="2">
        <f>[2]Indicators!I506</f>
        <v>1583.856</v>
      </c>
      <c r="E624" s="2">
        <f>[2]Indicators!J506</f>
        <v>4673.1610000000001</v>
      </c>
      <c r="F624" s="2">
        <f>[2]Indicators!B506</f>
        <v>7917.9480000000003</v>
      </c>
      <c r="G624" s="2">
        <f>[2]Indicators!C506</f>
        <v>922.11700000000008</v>
      </c>
      <c r="H624" s="2">
        <f>[2]Indicators!D506</f>
        <v>1762.7170000000001</v>
      </c>
      <c r="I624" s="2">
        <f>[2]Indicators!E506</f>
        <v>5239.2049999999999</v>
      </c>
      <c r="J624" s="2">
        <f>[2]Indicators!L506</f>
        <v>260774</v>
      </c>
      <c r="K624" s="2">
        <f>[2]Indicators!M506</f>
        <v>161946</v>
      </c>
      <c r="L624" s="2">
        <f>[2]Indicators!N506</f>
        <v>18.030999999999999</v>
      </c>
      <c r="M624" s="2">
        <f>[2]Indicators!AB506</f>
        <v>87.013800000000003</v>
      </c>
      <c r="N624" s="2">
        <f>[8]m!$C626</f>
        <v>2.09</v>
      </c>
      <c r="O624">
        <f>[9]Unemployment!$B506</f>
        <v>5.5</v>
      </c>
      <c r="P624" s="2">
        <f>[2]Surveys_m!$B506</f>
        <v>84.9</v>
      </c>
      <c r="Q624">
        <f>[5]m!$B626</f>
        <v>177.5</v>
      </c>
      <c r="R624">
        <f>[5]m!$D626</f>
        <v>188.1</v>
      </c>
      <c r="S624">
        <f>[5]m!$Q626</f>
        <v>129.80000000000001</v>
      </c>
      <c r="T624">
        <f>[6]m!B626</f>
        <v>-54267</v>
      </c>
      <c r="U624" s="2">
        <f>[9]Unemployment!$F506</f>
        <v>14.3</v>
      </c>
      <c r="V624" s="2">
        <f>[9]Unemployment!$G506</f>
        <v>7.7</v>
      </c>
      <c r="W624">
        <f>[9]Unemployment!$E506</f>
        <v>8003</v>
      </c>
      <c r="X624">
        <f>[9]Unemployment!N506</f>
        <v>3090</v>
      </c>
      <c r="Y624">
        <f>[9]Unemployment!O506</f>
        <v>2566</v>
      </c>
      <c r="Z624">
        <f>[9]Unemployment!P506-[9]Unemployment!Q506</f>
        <v>1212</v>
      </c>
      <c r="AA624">
        <f>[9]Unemployment!$Q506</f>
        <v>1106</v>
      </c>
      <c r="AB624" s="2">
        <f>[8]m!$B626</f>
        <v>1.78</v>
      </c>
      <c r="AC624" s="2">
        <f>[8]m!$F626</f>
        <v>4.6500000000000004</v>
      </c>
      <c r="AD624">
        <f>[9]Employment!$B506</f>
        <v>130901</v>
      </c>
      <c r="AE624" s="2">
        <f>[2]Indicators!$AB506</f>
        <v>87.013800000000003</v>
      </c>
      <c r="AF624" s="2">
        <f>[8]m!$AS626</f>
        <v>1857.8000000000002</v>
      </c>
      <c r="AG624" s="2">
        <f>[8]m!$H626</f>
        <v>6.97</v>
      </c>
      <c r="AH624" s="2">
        <f>[8]m!$I626</f>
        <v>7.8100000000000005</v>
      </c>
      <c r="AI624" s="2">
        <f>[7]m!C625</f>
        <v>78114</v>
      </c>
      <c r="AJ624" s="2">
        <f>[7]m!D625</f>
        <v>108839</v>
      </c>
      <c r="AK624" s="2">
        <f>[2]Surveys_m!$AB506</f>
        <v>44.1</v>
      </c>
      <c r="AL624" s="3">
        <v>3670</v>
      </c>
      <c r="AM624">
        <f>[2]Indicators!$BB506</f>
        <v>156570</v>
      </c>
      <c r="AN624" s="2">
        <v>64.7</v>
      </c>
      <c r="AO624">
        <f>[9]Unemployment!H506</f>
        <v>328</v>
      </c>
      <c r="AP624">
        <f>[9]Unemployment!I506</f>
        <v>1003</v>
      </c>
      <c r="AQ624" s="3">
        <f>[9]LaborForce!$B505*[9]LaborForce!$C505/100</f>
        <v>144150.03899999999</v>
      </c>
      <c r="AR624">
        <f>[9]Unemployment!$AC506</f>
        <v>483</v>
      </c>
      <c r="AS624">
        <f>[2]Indicators!BC506</f>
        <v>85.4</v>
      </c>
      <c r="AT624">
        <f>[2]Indicators!BD506</f>
        <v>91.607200000000006</v>
      </c>
      <c r="AU624">
        <f>[2]Indicators!BE506</f>
        <v>96.348800000000011</v>
      </c>
      <c r="AV624">
        <f>[5]m!$O626</f>
        <v>123.78</v>
      </c>
    </row>
    <row r="625" spans="1:48" x14ac:dyDescent="0.25">
      <c r="A625" s="1">
        <v>37226</v>
      </c>
      <c r="B625" s="2">
        <f>[2]Indicators!G507</f>
        <v>7243.0209999999997</v>
      </c>
      <c r="C625" s="2">
        <f>[2]Indicators!H507</f>
        <v>961.69900000000007</v>
      </c>
      <c r="D625" s="2">
        <f>[2]Indicators!I507</f>
        <v>1575.9650000000001</v>
      </c>
      <c r="E625" s="2">
        <f>[2]Indicators!J507</f>
        <v>4705.357</v>
      </c>
      <c r="F625" s="2">
        <f>[2]Indicators!B507</f>
        <v>7906.4690000000001</v>
      </c>
      <c r="G625" s="2">
        <f>[2]Indicators!C507</f>
        <v>885.6</v>
      </c>
      <c r="H625" s="2">
        <f>[2]Indicators!D507</f>
        <v>1767.761</v>
      </c>
      <c r="I625" s="2">
        <f>[2]Indicators!E507</f>
        <v>5266.88</v>
      </c>
      <c r="J625" s="2">
        <f>[2]Indicators!L507</f>
        <v>257464</v>
      </c>
      <c r="K625" s="2">
        <f>[2]Indicators!M507</f>
        <v>160492</v>
      </c>
      <c r="L625" s="2">
        <f>[2]Indicators!N507</f>
        <v>16.463000000000001</v>
      </c>
      <c r="M625" s="2">
        <f>[2]Indicators!AB507</f>
        <v>87.019400000000005</v>
      </c>
      <c r="N625" s="2">
        <f>[8]m!$C627</f>
        <v>1.82</v>
      </c>
      <c r="O625">
        <f>[9]Unemployment!$B507</f>
        <v>5.7</v>
      </c>
      <c r="P625" s="2">
        <f>[2]Surveys_m!$B507</f>
        <v>94.600000000000009</v>
      </c>
      <c r="Q625">
        <f>[5]m!$B627</f>
        <v>177.4</v>
      </c>
      <c r="R625">
        <f>[5]m!$D627</f>
        <v>188.4</v>
      </c>
      <c r="S625">
        <f>[5]m!$Q627</f>
        <v>128.1</v>
      </c>
      <c r="T625">
        <f>[6]m!B627</f>
        <v>26567</v>
      </c>
      <c r="U625" s="2">
        <f>[9]Unemployment!$F507</f>
        <v>14.5</v>
      </c>
      <c r="V625" s="2">
        <f>[9]Unemployment!$G507</f>
        <v>8.2000000000000011</v>
      </c>
      <c r="W625">
        <f>[9]Unemployment!$E507</f>
        <v>8258</v>
      </c>
      <c r="X625">
        <f>[9]Unemployment!N507</f>
        <v>3037</v>
      </c>
      <c r="Y625">
        <f>[9]Unemployment!O507</f>
        <v>2797</v>
      </c>
      <c r="Z625">
        <f>[9]Unemployment!P507-[9]Unemployment!Q507</f>
        <v>1318</v>
      </c>
      <c r="AA625">
        <f>[9]Unemployment!$Q507</f>
        <v>1126</v>
      </c>
      <c r="AB625" s="2">
        <f>[8]m!$B627</f>
        <v>1.73</v>
      </c>
      <c r="AC625" s="2">
        <f>[8]m!$F627</f>
        <v>5.09</v>
      </c>
      <c r="AD625">
        <f>[9]Employment!$B507</f>
        <v>130723</v>
      </c>
      <c r="AE625" s="2">
        <f>[2]Indicators!$AB507</f>
        <v>87.019400000000005</v>
      </c>
      <c r="AF625" s="2">
        <f>[8]m!$AS627</f>
        <v>1867.9</v>
      </c>
      <c r="AG625" s="2">
        <f>[8]m!$H627</f>
        <v>6.7700000000000005</v>
      </c>
      <c r="AH625" s="2">
        <f>[8]m!$I627</f>
        <v>8.0500000000000007</v>
      </c>
      <c r="AI625" s="2">
        <f>[7]m!C626</f>
        <v>78439</v>
      </c>
      <c r="AJ625" s="2">
        <f>[7]m!D626</f>
        <v>108051</v>
      </c>
      <c r="AK625" s="2">
        <f>[2]Surveys_m!$AB507</f>
        <v>45.300000000000004</v>
      </c>
      <c r="AL625" s="3">
        <v>3621</v>
      </c>
      <c r="AM625">
        <f>[2]Indicators!$BB507</f>
        <v>159110</v>
      </c>
      <c r="AN625" s="2">
        <v>68.2</v>
      </c>
      <c r="AO625">
        <f>[9]Unemployment!H507</f>
        <v>348</v>
      </c>
      <c r="AP625">
        <f>[9]Unemployment!I507</f>
        <v>982</v>
      </c>
      <c r="AQ625" s="3">
        <f>[9]LaborForce!$B506*[9]LaborForce!$C506/100</f>
        <v>144282.10500000001</v>
      </c>
      <c r="AR625">
        <f>[9]Unemployment!$AC507</f>
        <v>465</v>
      </c>
      <c r="AS625">
        <f>[2]Indicators!BC507</f>
        <v>86.7</v>
      </c>
      <c r="AT625">
        <f>[2]Indicators!BD507</f>
        <v>92.240600000000001</v>
      </c>
      <c r="AU625">
        <f>[2]Indicators!BE507</f>
        <v>96.920500000000004</v>
      </c>
      <c r="AV625">
        <f>[5]m!$O627</f>
        <v>123.64</v>
      </c>
    </row>
    <row r="626" spans="1:48" x14ac:dyDescent="0.25">
      <c r="A626" s="1">
        <v>37257</v>
      </c>
      <c r="B626" s="2">
        <f>[2]Indicators!G508</f>
        <v>7275.0240000000003</v>
      </c>
      <c r="C626" s="2">
        <f>[2]Indicators!H508</f>
        <v>975.73599999999999</v>
      </c>
      <c r="D626" s="2">
        <f>[2]Indicators!I508</f>
        <v>1581.1960000000001</v>
      </c>
      <c r="E626" s="2">
        <f>[2]Indicators!J508</f>
        <v>4718.0919999999996</v>
      </c>
      <c r="F626" s="2">
        <f>[2]Indicators!B508</f>
        <v>7933.6480000000001</v>
      </c>
      <c r="G626" s="2">
        <f>[2]Indicators!C508</f>
        <v>900.928</v>
      </c>
      <c r="H626" s="2">
        <f>[2]Indicators!D508</f>
        <v>1769.377</v>
      </c>
      <c r="I626" s="2">
        <f>[2]Indicators!E508</f>
        <v>5274.616</v>
      </c>
      <c r="J626" s="2">
        <f>[2]Indicators!L508</f>
        <v>257052</v>
      </c>
      <c r="K626" s="2">
        <f>[2]Indicators!M508</f>
        <v>160019</v>
      </c>
      <c r="L626" s="2">
        <f>[2]Indicators!N508</f>
        <v>16.521000000000001</v>
      </c>
      <c r="M626" s="2">
        <f>[2]Indicators!AB508</f>
        <v>87.556600000000003</v>
      </c>
      <c r="N626" s="2">
        <f>[8]m!$C628</f>
        <v>1.73</v>
      </c>
      <c r="O626">
        <f>[9]Unemployment!$B508</f>
        <v>5.7</v>
      </c>
      <c r="P626" s="2">
        <f>[2]Surveys_m!$B508</f>
        <v>97.800000000000011</v>
      </c>
      <c r="Q626">
        <f>[5]m!$B628</f>
        <v>177.70000000000002</v>
      </c>
      <c r="R626">
        <f>[5]m!$D628</f>
        <v>188.70000000000002</v>
      </c>
      <c r="S626">
        <f>[5]m!$Q628</f>
        <v>128.5</v>
      </c>
      <c r="T626">
        <f>[6]m!B628</f>
        <v>43729</v>
      </c>
      <c r="U626" s="2">
        <f>[9]Unemployment!$F508</f>
        <v>14.700000000000001</v>
      </c>
      <c r="V626" s="2">
        <f>[9]Unemployment!$G508</f>
        <v>8.4</v>
      </c>
      <c r="W626">
        <f>[9]Unemployment!$E508</f>
        <v>8182</v>
      </c>
      <c r="X626">
        <f>[9]Unemployment!N508</f>
        <v>3044</v>
      </c>
      <c r="Y626">
        <f>[9]Unemployment!O508</f>
        <v>2606</v>
      </c>
      <c r="Z626">
        <f>[9]Unemployment!P508-[9]Unemployment!Q508</f>
        <v>1375</v>
      </c>
      <c r="AA626">
        <f>[9]Unemployment!$Q508</f>
        <v>1203</v>
      </c>
      <c r="AB626" s="2">
        <f>[8]m!$B628</f>
        <v>1.76</v>
      </c>
      <c r="AC626" s="2">
        <f>[8]m!$F628</f>
        <v>5.04</v>
      </c>
      <c r="AD626">
        <f>[9]Employment!$B508</f>
        <v>130591</v>
      </c>
      <c r="AE626" s="2">
        <f>[2]Indicators!$AB508</f>
        <v>87.556600000000003</v>
      </c>
      <c r="AF626" s="2">
        <f>[8]m!$AS628</f>
        <v>1867.4</v>
      </c>
      <c r="AG626" s="2">
        <f>[8]m!$H628</f>
        <v>6.55</v>
      </c>
      <c r="AH626" s="2">
        <f>[8]m!$I628</f>
        <v>7.87</v>
      </c>
      <c r="AI626" s="2">
        <f>[7]m!C627</f>
        <v>78180</v>
      </c>
      <c r="AJ626" s="2">
        <f>[7]m!D627</f>
        <v>104966</v>
      </c>
      <c r="AK626" s="2">
        <f>[2]Surveys_m!$AB508</f>
        <v>47.5</v>
      </c>
      <c r="AL626" s="3">
        <v>3702</v>
      </c>
      <c r="AM626">
        <f>[2]Indicators!$BB508</f>
        <v>156239</v>
      </c>
      <c r="AN626" s="2">
        <v>68.7</v>
      </c>
      <c r="AO626">
        <f>[9]Unemployment!H508</f>
        <v>328</v>
      </c>
      <c r="AP626">
        <f>[9]Unemployment!I508</f>
        <v>1205</v>
      </c>
      <c r="AQ626" s="3">
        <f>[9]LaborForce!$B507*[9]LaborForce!$C507/100</f>
        <v>143976.49</v>
      </c>
      <c r="AR626">
        <f>[9]Unemployment!$AC508</f>
        <v>421</v>
      </c>
      <c r="AS626">
        <f>[2]Indicators!BC508</f>
        <v>87.2</v>
      </c>
      <c r="AT626">
        <f>[2]Indicators!BD508</f>
        <v>92.954700000000003</v>
      </c>
      <c r="AU626">
        <f>[2]Indicators!BE508</f>
        <v>97.576300000000003</v>
      </c>
      <c r="AV626">
        <f>[5]m!$O628</f>
        <v>123.93</v>
      </c>
    </row>
    <row r="627" spans="1:48" x14ac:dyDescent="0.25">
      <c r="A627" s="1">
        <v>37288</v>
      </c>
      <c r="B627" s="2">
        <f>[2]Indicators!G509</f>
        <v>7316.7120000000004</v>
      </c>
      <c r="C627" s="2">
        <f>[2]Indicators!H509</f>
        <v>987.19100000000003</v>
      </c>
      <c r="D627" s="2">
        <f>[2]Indicators!I509</f>
        <v>1587.009</v>
      </c>
      <c r="E627" s="2">
        <f>[2]Indicators!J509</f>
        <v>4742.5119999999997</v>
      </c>
      <c r="F627" s="2">
        <f>[2]Indicators!B509</f>
        <v>7965.5020000000004</v>
      </c>
      <c r="G627" s="2">
        <f>[2]Indicators!C509</f>
        <v>917.41200000000003</v>
      </c>
      <c r="H627" s="2">
        <f>[2]Indicators!D509</f>
        <v>1770.9059999999999</v>
      </c>
      <c r="I627" s="2">
        <f>[2]Indicators!E509</f>
        <v>5285.9449999999997</v>
      </c>
      <c r="J627" s="2">
        <f>[2]Indicators!L509</f>
        <v>258407</v>
      </c>
      <c r="K627" s="2">
        <f>[2]Indicators!M509</f>
        <v>160601</v>
      </c>
      <c r="L627" s="2">
        <f>[2]Indicators!N509</f>
        <v>17.302</v>
      </c>
      <c r="M627" s="2">
        <f>[2]Indicators!AB509</f>
        <v>87.517400000000009</v>
      </c>
      <c r="N627" s="2">
        <f>[8]m!$C629</f>
        <v>1.74</v>
      </c>
      <c r="O627">
        <f>[9]Unemployment!$B509</f>
        <v>5.7</v>
      </c>
      <c r="P627" s="2">
        <f>[2]Surveys_m!$B509</f>
        <v>95</v>
      </c>
      <c r="Q627">
        <f>[5]m!$B629</f>
        <v>178</v>
      </c>
      <c r="R627">
        <f>[5]m!$D629</f>
        <v>189.1</v>
      </c>
      <c r="S627">
        <f>[5]m!$Q629</f>
        <v>128.4</v>
      </c>
      <c r="T627">
        <f>[6]m!B629</f>
        <v>-76056</v>
      </c>
      <c r="U627" s="2">
        <f>[9]Unemployment!$F509</f>
        <v>15</v>
      </c>
      <c r="V627" s="2">
        <f>[9]Unemployment!$G509</f>
        <v>8.3000000000000007</v>
      </c>
      <c r="W627">
        <f>[9]Unemployment!$E509</f>
        <v>8215</v>
      </c>
      <c r="X627">
        <f>[9]Unemployment!N509</f>
        <v>2984</v>
      </c>
      <c r="Y627">
        <f>[9]Unemployment!O509</f>
        <v>2577</v>
      </c>
      <c r="Z627">
        <f>[9]Unemployment!P509-[9]Unemployment!Q509</f>
        <v>1394</v>
      </c>
      <c r="AA627">
        <f>[9]Unemployment!$Q509</f>
        <v>1214</v>
      </c>
      <c r="AB627" s="2">
        <f>[8]m!$B629</f>
        <v>1.77</v>
      </c>
      <c r="AC627" s="2">
        <f>[8]m!$F629</f>
        <v>4.91</v>
      </c>
      <c r="AD627">
        <f>[9]Employment!$B509</f>
        <v>130444</v>
      </c>
      <c r="AE627" s="2">
        <f>[2]Indicators!$AB509</f>
        <v>87.517400000000009</v>
      </c>
      <c r="AF627" s="2">
        <f>[8]m!$AS629</f>
        <v>1881.9</v>
      </c>
      <c r="AG627" s="2">
        <f>[8]m!$H629</f>
        <v>6.51</v>
      </c>
      <c r="AH627" s="2">
        <f>[8]m!$I629</f>
        <v>7.8900000000000006</v>
      </c>
      <c r="AI627" s="2">
        <f>[7]m!C628</f>
        <v>78966</v>
      </c>
      <c r="AJ627" s="2">
        <f>[7]m!D628</f>
        <v>108278</v>
      </c>
      <c r="AK627" s="2">
        <f>[2]Surveys_m!$AB509</f>
        <v>50.7</v>
      </c>
      <c r="AL627" s="3">
        <v>3505</v>
      </c>
      <c r="AM627">
        <f>[2]Indicators!$BB509</f>
        <v>161785</v>
      </c>
      <c r="AN627" s="2">
        <v>69.3</v>
      </c>
      <c r="AO627">
        <f>[9]Unemployment!H509</f>
        <v>375</v>
      </c>
      <c r="AP627">
        <f>[9]Unemployment!I509</f>
        <v>1048</v>
      </c>
      <c r="AQ627" s="3">
        <f>[9]LaborForce!$B508*[9]LaborForce!$C508/100</f>
        <v>144730.88399999999</v>
      </c>
      <c r="AR627">
        <f>[9]Unemployment!$AC509</f>
        <v>404</v>
      </c>
      <c r="AS627">
        <f>[2]Indicators!BC509</f>
        <v>87.9</v>
      </c>
      <c r="AT627">
        <f>[2]Indicators!BD509</f>
        <v>93.626300000000001</v>
      </c>
      <c r="AU627">
        <f>[2]Indicators!BE509</f>
        <v>98.186700000000002</v>
      </c>
      <c r="AV627">
        <f>[5]m!$O629</f>
        <v>124.45</v>
      </c>
    </row>
    <row r="628" spans="1:48" x14ac:dyDescent="0.25">
      <c r="A628" s="1">
        <v>37316</v>
      </c>
      <c r="B628" s="2">
        <f>[2]Indicators!G510</f>
        <v>7335.1850000000004</v>
      </c>
      <c r="C628" s="2">
        <f>[2]Indicators!H510</f>
        <v>980.976</v>
      </c>
      <c r="D628" s="2">
        <f>[2]Indicators!I510</f>
        <v>1596.567</v>
      </c>
      <c r="E628" s="2">
        <f>[2]Indicators!J510</f>
        <v>4757.6419999999998</v>
      </c>
      <c r="F628" s="2">
        <f>[2]Indicators!B510</f>
        <v>7961.9459999999999</v>
      </c>
      <c r="G628" s="2">
        <f>[2]Indicators!C510</f>
        <v>912.73199999999997</v>
      </c>
      <c r="H628" s="2">
        <f>[2]Indicators!D510</f>
        <v>1770.347</v>
      </c>
      <c r="I628" s="2">
        <f>[2]Indicators!E510</f>
        <v>5288.5630000000001</v>
      </c>
      <c r="J628" s="2">
        <f>[2]Indicators!L510</f>
        <v>257473</v>
      </c>
      <c r="K628" s="2">
        <f>[2]Indicators!M510</f>
        <v>159542</v>
      </c>
      <c r="L628" s="2">
        <f>[2]Indicators!N510</f>
        <v>17.083000000000002</v>
      </c>
      <c r="M628" s="2">
        <f>[2]Indicators!AB510</f>
        <v>88.207999999999998</v>
      </c>
      <c r="N628" s="2">
        <f>[8]m!$C630</f>
        <v>1.73</v>
      </c>
      <c r="O628">
        <f>[9]Unemployment!$B510</f>
        <v>5.7</v>
      </c>
      <c r="P628" s="2">
        <f>[2]Surveys_m!$B510</f>
        <v>110.7</v>
      </c>
      <c r="Q628">
        <f>[5]m!$B630</f>
        <v>178.5</v>
      </c>
      <c r="R628">
        <f>[5]m!$D630</f>
        <v>189.20000000000002</v>
      </c>
      <c r="S628">
        <f>[5]m!$Q630</f>
        <v>129.80000000000001</v>
      </c>
      <c r="T628">
        <f>[6]m!B630</f>
        <v>-64238</v>
      </c>
      <c r="U628" s="2">
        <f>[9]Unemployment!$F510</f>
        <v>15.4</v>
      </c>
      <c r="V628" s="2">
        <f>[9]Unemployment!$G510</f>
        <v>8.4</v>
      </c>
      <c r="W628">
        <f>[9]Unemployment!$E510</f>
        <v>8304</v>
      </c>
      <c r="X628">
        <f>[9]Unemployment!N510</f>
        <v>3074</v>
      </c>
      <c r="Y628">
        <f>[9]Unemployment!O510</f>
        <v>2563</v>
      </c>
      <c r="Z628">
        <f>[9]Unemployment!P510-[9]Unemployment!Q510</f>
        <v>1389</v>
      </c>
      <c r="AA628">
        <f>[9]Unemployment!$Q510</f>
        <v>1330</v>
      </c>
      <c r="AB628" s="2">
        <f>[8]m!$B630</f>
        <v>1.79</v>
      </c>
      <c r="AC628" s="2">
        <f>[8]m!$F630</f>
        <v>5.28</v>
      </c>
      <c r="AD628">
        <f>[9]Employment!$B510</f>
        <v>130420</v>
      </c>
      <c r="AE628" s="2">
        <f>[2]Indicators!$AB510</f>
        <v>88.207999999999998</v>
      </c>
      <c r="AF628" s="2">
        <f>[8]m!$AS630</f>
        <v>1894.7</v>
      </c>
      <c r="AG628" s="2">
        <f>[8]m!$H630</f>
        <v>6.8100000000000005</v>
      </c>
      <c r="AH628" s="2">
        <f>[8]m!$I630</f>
        <v>8.11</v>
      </c>
      <c r="AI628" s="2">
        <f>[7]m!C629</f>
        <v>78910</v>
      </c>
      <c r="AJ628" s="2">
        <f>[7]m!D629</f>
        <v>111015</v>
      </c>
      <c r="AK628" s="2">
        <f>[2]Surveys_m!$AB510</f>
        <v>52.400000000000006</v>
      </c>
      <c r="AL628" s="3">
        <v>3687</v>
      </c>
      <c r="AM628">
        <f>[2]Indicators!$BB510</f>
        <v>157228</v>
      </c>
      <c r="AN628" s="2">
        <v>68.400000000000006</v>
      </c>
      <c r="AO628">
        <f>[9]Unemployment!H510</f>
        <v>330</v>
      </c>
      <c r="AP628">
        <f>[9]Unemployment!I510</f>
        <v>1028</v>
      </c>
      <c r="AQ628" s="3">
        <f>[9]LaborForce!$B509*[9]LaborForce!$C509/100</f>
        <v>144404.11800000002</v>
      </c>
      <c r="AR628">
        <f>[9]Unemployment!$AC510</f>
        <v>392</v>
      </c>
      <c r="AS628">
        <f>[2]Indicators!BC510</f>
        <v>88.2</v>
      </c>
      <c r="AT628">
        <f>[2]Indicators!BD510</f>
        <v>94.132100000000008</v>
      </c>
      <c r="AU628">
        <f>[2]Indicators!BE510</f>
        <v>98.622600000000006</v>
      </c>
      <c r="AV628">
        <f>[5]m!$O630</f>
        <v>125.92</v>
      </c>
    </row>
    <row r="629" spans="1:48" x14ac:dyDescent="0.25">
      <c r="A629" s="1">
        <v>37347</v>
      </c>
      <c r="B629" s="2">
        <f>[2]Indicators!G511</f>
        <v>7402.9130000000005</v>
      </c>
      <c r="C629" s="2">
        <f>[2]Indicators!H511</f>
        <v>1007.499</v>
      </c>
      <c r="D629" s="2">
        <f>[2]Indicators!I511</f>
        <v>1610.202</v>
      </c>
      <c r="E629" s="2">
        <f>[2]Indicators!J511</f>
        <v>4785.2129999999997</v>
      </c>
      <c r="F629" s="2">
        <f>[2]Indicators!B511</f>
        <v>8000.473</v>
      </c>
      <c r="G629" s="2">
        <f>[2]Indicators!C511</f>
        <v>938.24599999999998</v>
      </c>
      <c r="H629" s="2">
        <f>[2]Indicators!D511</f>
        <v>1764.8890000000001</v>
      </c>
      <c r="I629" s="2">
        <f>[2]Indicators!E511</f>
        <v>5303.2250000000004</v>
      </c>
      <c r="J629" s="2">
        <f>[2]Indicators!L511</f>
        <v>261583</v>
      </c>
      <c r="K629" s="2">
        <f>[2]Indicators!M511</f>
        <v>161292</v>
      </c>
      <c r="L629" s="2">
        <f>[2]Indicators!N511</f>
        <v>17.663</v>
      </c>
      <c r="M629" s="2">
        <f>[2]Indicators!AB511</f>
        <v>88.580500000000001</v>
      </c>
      <c r="N629" s="2">
        <f>[8]m!$C631</f>
        <v>1.75</v>
      </c>
      <c r="O629">
        <f>[9]Unemployment!$B511</f>
        <v>5.9</v>
      </c>
      <c r="P629" s="2">
        <f>[2]Surveys_m!$B511</f>
        <v>108.5</v>
      </c>
      <c r="Q629">
        <f>[5]m!$B631</f>
        <v>179.3</v>
      </c>
      <c r="R629">
        <f>[5]m!$D631</f>
        <v>189.70000000000002</v>
      </c>
      <c r="S629">
        <f>[5]m!$Q631</f>
        <v>130.80000000000001</v>
      </c>
      <c r="T629">
        <f>[6]m!B631</f>
        <v>67170</v>
      </c>
      <c r="U629" s="2">
        <f>[9]Unemployment!$F511</f>
        <v>16.3</v>
      </c>
      <c r="V629" s="2">
        <f>[9]Unemployment!$G511</f>
        <v>8.9</v>
      </c>
      <c r="W629">
        <f>[9]Unemployment!$E511</f>
        <v>8599</v>
      </c>
      <c r="X629">
        <f>[9]Unemployment!N511</f>
        <v>2932</v>
      </c>
      <c r="Y629">
        <f>[9]Unemployment!O511</f>
        <v>2872</v>
      </c>
      <c r="Z629">
        <f>[9]Unemployment!P511-[9]Unemployment!Q511</f>
        <v>1395</v>
      </c>
      <c r="AA629">
        <f>[9]Unemployment!$Q511</f>
        <v>1457</v>
      </c>
      <c r="AB629" s="2">
        <f>[8]m!$B631</f>
        <v>1.75</v>
      </c>
      <c r="AC629" s="2">
        <f>[8]m!$F631</f>
        <v>5.21</v>
      </c>
      <c r="AD629">
        <f>[9]Employment!$B511</f>
        <v>130335</v>
      </c>
      <c r="AE629" s="2">
        <f>[2]Indicators!$AB511</f>
        <v>88.580500000000001</v>
      </c>
      <c r="AF629" s="2">
        <f>[8]m!$AS631</f>
        <v>1904</v>
      </c>
      <c r="AG629" s="2">
        <f>[8]m!$H631</f>
        <v>6.76</v>
      </c>
      <c r="AH629" s="2">
        <f>[8]m!$I631</f>
        <v>8.0299999999999994</v>
      </c>
      <c r="AI629" s="2">
        <f>[7]m!C630</f>
        <v>79613</v>
      </c>
      <c r="AJ629" s="2">
        <f>[7]m!D630</f>
        <v>110403</v>
      </c>
      <c r="AK629" s="2">
        <f>[2]Surveys_m!$AB511</f>
        <v>52.400000000000006</v>
      </c>
      <c r="AL629" s="3">
        <v>3485</v>
      </c>
      <c r="AM629">
        <f>[2]Indicators!$BB511</f>
        <v>164364</v>
      </c>
      <c r="AN629" s="2">
        <v>70.5</v>
      </c>
      <c r="AO629">
        <f>[9]Unemployment!H511</f>
        <v>320</v>
      </c>
      <c r="AP629">
        <f>[9]Unemployment!I511</f>
        <v>1078</v>
      </c>
      <c r="AQ629" s="3">
        <f>[9]LaborForce!$B510*[9]LaborForce!$C510/100</f>
        <v>144743.00200000001</v>
      </c>
      <c r="AR629">
        <f>[9]Unemployment!$AC511</f>
        <v>479</v>
      </c>
      <c r="AS629">
        <f>[2]Indicators!BC511</f>
        <v>88.3</v>
      </c>
      <c r="AT629">
        <f>[2]Indicators!BD511</f>
        <v>94.380300000000005</v>
      </c>
      <c r="AU629">
        <f>[2]Indicators!BE511</f>
        <v>98.78840000000001</v>
      </c>
      <c r="AV629">
        <f>[5]m!$O631</f>
        <v>127.95</v>
      </c>
    </row>
    <row r="630" spans="1:48" x14ac:dyDescent="0.25">
      <c r="A630" s="1">
        <v>37377</v>
      </c>
      <c r="B630" s="2">
        <f>[2]Indicators!G512</f>
        <v>7380.5690000000004</v>
      </c>
      <c r="C630" s="2">
        <f>[2]Indicators!H512</f>
        <v>967.88400000000001</v>
      </c>
      <c r="D630" s="2">
        <f>[2]Indicators!I512</f>
        <v>1605.797</v>
      </c>
      <c r="E630" s="2">
        <f>[2]Indicators!J512</f>
        <v>4806.8869999999997</v>
      </c>
      <c r="F630" s="2">
        <f>[2]Indicators!B512</f>
        <v>7970.9139999999998</v>
      </c>
      <c r="G630" s="2">
        <f>[2]Indicators!C512</f>
        <v>901.90899999999999</v>
      </c>
      <c r="H630" s="2">
        <f>[2]Indicators!D512</f>
        <v>1767.7560000000001</v>
      </c>
      <c r="I630" s="2">
        <f>[2]Indicators!E512</f>
        <v>5313.3050000000003</v>
      </c>
      <c r="J630" s="2">
        <f>[2]Indicators!L512</f>
        <v>257703</v>
      </c>
      <c r="K630" s="2">
        <f>[2]Indicators!M512</f>
        <v>158879</v>
      </c>
      <c r="L630" s="2">
        <f>[2]Indicators!N512</f>
        <v>16.18</v>
      </c>
      <c r="M630" s="2">
        <f>[2]Indicators!AB512</f>
        <v>89.078800000000001</v>
      </c>
      <c r="N630" s="2">
        <f>[8]m!$C632</f>
        <v>1.75</v>
      </c>
      <c r="O630">
        <f>[9]Unemployment!$B512</f>
        <v>5.8000000000000007</v>
      </c>
      <c r="P630" s="2">
        <f>[2]Surveys_m!$B512</f>
        <v>110.30000000000001</v>
      </c>
      <c r="Q630">
        <f>[5]m!$B632</f>
        <v>179.5</v>
      </c>
      <c r="R630">
        <f>[5]m!$D632</f>
        <v>190</v>
      </c>
      <c r="S630">
        <f>[5]m!$Q632</f>
        <v>130.80000000000001</v>
      </c>
      <c r="T630">
        <f>[6]m!B632</f>
        <v>-80631</v>
      </c>
      <c r="U630" s="2">
        <f>[9]Unemployment!$F512</f>
        <v>16.8</v>
      </c>
      <c r="V630" s="2">
        <f>[9]Unemployment!$G512</f>
        <v>9.5</v>
      </c>
      <c r="W630">
        <f>[9]Unemployment!$E512</f>
        <v>8399</v>
      </c>
      <c r="X630">
        <f>[9]Unemployment!N512</f>
        <v>2843</v>
      </c>
      <c r="Y630">
        <f>[9]Unemployment!O512</f>
        <v>2584</v>
      </c>
      <c r="Z630">
        <f>[9]Unemployment!P512-[9]Unemployment!Q512</f>
        <v>1393</v>
      </c>
      <c r="AA630">
        <f>[9]Unemployment!$Q512</f>
        <v>1574</v>
      </c>
      <c r="AB630" s="2">
        <f>[8]m!$B632</f>
        <v>1.73</v>
      </c>
      <c r="AC630" s="2">
        <f>[8]m!$F632</f>
        <v>5.16</v>
      </c>
      <c r="AD630">
        <f>[9]Employment!$B512</f>
        <v>130328</v>
      </c>
      <c r="AE630" s="2">
        <f>[2]Indicators!$AB512</f>
        <v>89.078800000000001</v>
      </c>
      <c r="AF630" s="2">
        <f>[8]m!$AS632</f>
        <v>1914.6000000000001</v>
      </c>
      <c r="AG630" s="2">
        <f>[8]m!$H632</f>
        <v>6.75</v>
      </c>
      <c r="AH630" s="2">
        <f>[8]m!$I632</f>
        <v>8.09</v>
      </c>
      <c r="AI630" s="2">
        <f>[7]m!C631</f>
        <v>81500</v>
      </c>
      <c r="AJ630" s="2">
        <f>[7]m!D631</f>
        <v>115071</v>
      </c>
      <c r="AK630" s="2">
        <f>[2]Surveys_m!$AB512</f>
        <v>53.1</v>
      </c>
      <c r="AL630" s="3">
        <v>3614</v>
      </c>
      <c r="AM630">
        <f>[2]Indicators!$BB512</f>
        <v>165959</v>
      </c>
      <c r="AN630" s="2">
        <v>66.599999999999994</v>
      </c>
      <c r="AO630">
        <f>[9]Unemployment!H512</f>
        <v>414</v>
      </c>
      <c r="AP630">
        <f>[9]Unemployment!I512</f>
        <v>1054</v>
      </c>
      <c r="AQ630" s="3">
        <f>[9]LaborForce!$B511*[9]LaborForce!$C511/100</f>
        <v>144871.06600000002</v>
      </c>
      <c r="AR630">
        <f>[9]Unemployment!$AC512</f>
        <v>414</v>
      </c>
      <c r="AS630">
        <f>[2]Indicators!BC512</f>
        <v>89.2</v>
      </c>
      <c r="AT630">
        <f>[2]Indicators!BD512</f>
        <v>94.347200000000001</v>
      </c>
      <c r="AU630">
        <f>[2]Indicators!BE512</f>
        <v>98.660200000000003</v>
      </c>
      <c r="AV630">
        <f>[5]m!$O632</f>
        <v>130.33000000000001</v>
      </c>
    </row>
    <row r="631" spans="1:48" x14ac:dyDescent="0.25">
      <c r="A631" s="1">
        <v>37408</v>
      </c>
      <c r="B631" s="2">
        <f>[2]Indicators!G513</f>
        <v>7426.6909999999998</v>
      </c>
      <c r="C631" s="2">
        <f>[2]Indicators!H513</f>
        <v>983.94299999999998</v>
      </c>
      <c r="D631" s="2">
        <f>[2]Indicators!I513</f>
        <v>1622.403</v>
      </c>
      <c r="E631" s="2">
        <f>[2]Indicators!J513</f>
        <v>4820.3450000000003</v>
      </c>
      <c r="F631" s="2">
        <f>[2]Indicators!B513</f>
        <v>8010.9639999999999</v>
      </c>
      <c r="G631" s="2">
        <f>[2]Indicators!C513</f>
        <v>919.64099999999996</v>
      </c>
      <c r="H631" s="2">
        <f>[2]Indicators!D513</f>
        <v>1784.81</v>
      </c>
      <c r="I631" s="2">
        <f>[2]Indicators!E513</f>
        <v>5316.2349999999997</v>
      </c>
      <c r="J631" s="2">
        <f>[2]Indicators!L513</f>
        <v>260256</v>
      </c>
      <c r="K631" s="2">
        <f>[2]Indicators!M513</f>
        <v>160321</v>
      </c>
      <c r="L631" s="2">
        <f>[2]Indicators!N513</f>
        <v>16.949000000000002</v>
      </c>
      <c r="M631" s="2">
        <f>[2]Indicators!AB513</f>
        <v>89.920500000000004</v>
      </c>
      <c r="N631" s="2">
        <f>[8]m!$C633</f>
        <v>1.75</v>
      </c>
      <c r="O631">
        <f>[9]Unemployment!$B513</f>
        <v>5.8000000000000007</v>
      </c>
      <c r="P631" s="2">
        <f>[2]Surveys_m!$B513</f>
        <v>106.30000000000001</v>
      </c>
      <c r="Q631">
        <f>[5]m!$B633</f>
        <v>179.6</v>
      </c>
      <c r="R631">
        <f>[5]m!$D633</f>
        <v>190.20000000000002</v>
      </c>
      <c r="S631">
        <f>[5]m!$Q633</f>
        <v>130.9</v>
      </c>
      <c r="T631">
        <f>[6]m!B633</f>
        <v>29071</v>
      </c>
      <c r="U631" s="2">
        <f>[9]Unemployment!$F513</f>
        <v>16.900000000000002</v>
      </c>
      <c r="V631" s="2">
        <f>[9]Unemployment!$G513</f>
        <v>11</v>
      </c>
      <c r="W631">
        <f>[9]Unemployment!$E513</f>
        <v>8393</v>
      </c>
      <c r="X631">
        <f>[9]Unemployment!N513</f>
        <v>2711</v>
      </c>
      <c r="Y631">
        <f>[9]Unemployment!O513</f>
        <v>2654</v>
      </c>
      <c r="Z631">
        <f>[9]Unemployment!P513-[9]Unemployment!Q513</f>
        <v>1382</v>
      </c>
      <c r="AA631">
        <f>[9]Unemployment!$Q513</f>
        <v>1641</v>
      </c>
      <c r="AB631" s="2">
        <f>[8]m!$B633</f>
        <v>1.67</v>
      </c>
      <c r="AC631" s="2">
        <f>[8]m!$F633</f>
        <v>4.93</v>
      </c>
      <c r="AD631">
        <f>[9]Employment!$B513</f>
        <v>130373</v>
      </c>
      <c r="AE631" s="2">
        <f>[2]Indicators!$AB513</f>
        <v>89.920500000000004</v>
      </c>
      <c r="AF631" s="2">
        <f>[8]m!$AS633</f>
        <v>1927.2</v>
      </c>
      <c r="AG631" s="2">
        <f>[8]m!$H633</f>
        <v>6.63</v>
      </c>
      <c r="AH631" s="2">
        <f>[8]m!$I633</f>
        <v>7.95</v>
      </c>
      <c r="AI631" s="2">
        <f>[7]m!C632</f>
        <v>81682</v>
      </c>
      <c r="AJ631" s="2">
        <f>[7]m!D632</f>
        <v>115616</v>
      </c>
      <c r="AK631" s="2">
        <f>[2]Surveys_m!$AB513</f>
        <v>53.6</v>
      </c>
      <c r="AL631" s="3">
        <v>3429</v>
      </c>
      <c r="AM631">
        <f>[2]Indicators!$BB513</f>
        <v>158397</v>
      </c>
      <c r="AN631" s="2">
        <v>71.7</v>
      </c>
      <c r="AO631">
        <f>[9]Unemployment!H513</f>
        <v>342</v>
      </c>
      <c r="AP631">
        <f>[9]Unemployment!I513</f>
        <v>1038</v>
      </c>
      <c r="AQ631" s="3">
        <f>[9]LaborForce!$B512*[9]LaborForce!$C512/100</f>
        <v>144793.06200000001</v>
      </c>
      <c r="AR631">
        <f>[9]Unemployment!$AC513</f>
        <v>378</v>
      </c>
      <c r="AS631">
        <f>[2]Indicators!BC513</f>
        <v>89.2</v>
      </c>
      <c r="AT631">
        <f>[2]Indicators!BD513</f>
        <v>94.031599999999997</v>
      </c>
      <c r="AU631">
        <f>[2]Indicators!BE513</f>
        <v>98.237099999999998</v>
      </c>
      <c r="AV631">
        <f>[5]m!$O633</f>
        <v>132.76</v>
      </c>
    </row>
    <row r="632" spans="1:48" x14ac:dyDescent="0.25">
      <c r="A632" s="1">
        <v>37438</v>
      </c>
      <c r="B632" s="2">
        <f>[2]Indicators!G514</f>
        <v>7484.4120000000003</v>
      </c>
      <c r="C632" s="2">
        <f>[2]Indicators!H514</f>
        <v>1013.149</v>
      </c>
      <c r="D632" s="2">
        <f>[2]Indicators!I514</f>
        <v>1621.5720000000001</v>
      </c>
      <c r="E632" s="2">
        <f>[2]Indicators!J514</f>
        <v>4849.6909999999998</v>
      </c>
      <c r="F632" s="2">
        <f>[2]Indicators!B514</f>
        <v>8055.768</v>
      </c>
      <c r="G632" s="2">
        <f>[2]Indicators!C514</f>
        <v>948.04500000000007</v>
      </c>
      <c r="H632" s="2">
        <f>[2]Indicators!D514</f>
        <v>1780.8810000000001</v>
      </c>
      <c r="I632" s="2">
        <f>[2]Indicators!E514</f>
        <v>5332.5380000000005</v>
      </c>
      <c r="J632" s="2">
        <f>[2]Indicators!L514</f>
        <v>263317</v>
      </c>
      <c r="K632" s="2">
        <f>[2]Indicators!M514</f>
        <v>161686</v>
      </c>
      <c r="L632" s="2">
        <f>[2]Indicators!N514</f>
        <v>18.150000000000002</v>
      </c>
      <c r="M632" s="2">
        <f>[2]Indicators!AB514</f>
        <v>89.618000000000009</v>
      </c>
      <c r="N632" s="2">
        <f>[8]m!$C634</f>
        <v>1.73</v>
      </c>
      <c r="O632">
        <f>[9]Unemployment!$B514</f>
        <v>5.8000000000000007</v>
      </c>
      <c r="P632" s="2">
        <f>[2]Surveys_m!$B514</f>
        <v>97.4</v>
      </c>
      <c r="Q632">
        <f>[5]m!$B634</f>
        <v>180</v>
      </c>
      <c r="R632">
        <f>[5]m!$D634</f>
        <v>190.5</v>
      </c>
      <c r="S632">
        <f>[5]m!$Q634</f>
        <v>131.20000000000002</v>
      </c>
      <c r="T632">
        <f>[6]m!B634</f>
        <v>-29159</v>
      </c>
      <c r="U632" s="2">
        <f>[9]Unemployment!$F514</f>
        <v>16.900000000000002</v>
      </c>
      <c r="V632" s="2">
        <f>[9]Unemployment!$G514</f>
        <v>8.9</v>
      </c>
      <c r="W632">
        <f>[9]Unemployment!$E514</f>
        <v>8390</v>
      </c>
      <c r="X632">
        <f>[9]Unemployment!N514</f>
        <v>2891</v>
      </c>
      <c r="Y632">
        <f>[9]Unemployment!O514</f>
        <v>2467</v>
      </c>
      <c r="Z632">
        <f>[9]Unemployment!P514-[9]Unemployment!Q514</f>
        <v>1382</v>
      </c>
      <c r="AA632">
        <f>[9]Unemployment!$Q514</f>
        <v>1584</v>
      </c>
      <c r="AB632" s="2">
        <f>[8]m!$B634</f>
        <v>1.68</v>
      </c>
      <c r="AC632" s="2">
        <f>[8]m!$F634</f>
        <v>4.6500000000000004</v>
      </c>
      <c r="AD632">
        <f>[9]Employment!$B514</f>
        <v>130276</v>
      </c>
      <c r="AE632" s="2">
        <f>[2]Indicators!$AB514</f>
        <v>89.618000000000009</v>
      </c>
      <c r="AF632" s="2">
        <f>[8]m!$AS634</f>
        <v>1939.2</v>
      </c>
      <c r="AG632" s="2">
        <f>[8]m!$H634</f>
        <v>6.53</v>
      </c>
      <c r="AH632" s="2">
        <f>[8]m!$I634</f>
        <v>7.9</v>
      </c>
      <c r="AI632" s="2">
        <f>[7]m!C633</f>
        <v>82705</v>
      </c>
      <c r="AJ632" s="2">
        <f>[7]m!D633</f>
        <v>117716</v>
      </c>
      <c r="AK632" s="2">
        <f>[2]Surveys_m!$AB514</f>
        <v>50.2</v>
      </c>
      <c r="AL632" s="3">
        <v>3466</v>
      </c>
      <c r="AM632">
        <f>[2]Indicators!$BB514</f>
        <v>164878</v>
      </c>
      <c r="AN632" s="2">
        <v>67.8</v>
      </c>
      <c r="AO632">
        <f>[9]Unemployment!H514</f>
        <v>405</v>
      </c>
      <c r="AP632">
        <f>[9]Unemployment!I514</f>
        <v>1102</v>
      </c>
      <c r="AQ632" s="3">
        <f>[9]LaborForce!$B513*[9]LaborForce!$C513/100</f>
        <v>144723.95000000001</v>
      </c>
      <c r="AR632">
        <f>[9]Unemployment!$AC514</f>
        <v>386</v>
      </c>
      <c r="AS632">
        <f>[2]Indicators!BC514</f>
        <v>89.2</v>
      </c>
      <c r="AT632">
        <f>[2]Indicators!BD514</f>
        <v>93.534100000000009</v>
      </c>
      <c r="AU632">
        <f>[2]Indicators!BE514</f>
        <v>97.624800000000008</v>
      </c>
      <c r="AV632">
        <f>[5]m!$O634</f>
        <v>135.04</v>
      </c>
    </row>
    <row r="633" spans="1:48" x14ac:dyDescent="0.25">
      <c r="A633" s="1">
        <v>37469</v>
      </c>
      <c r="B633" s="2">
        <f>[2]Indicators!G515</f>
        <v>7507.2750000000005</v>
      </c>
      <c r="C633" s="2">
        <f>[2]Indicators!H515</f>
        <v>1031.7160000000001</v>
      </c>
      <c r="D633" s="2">
        <f>[2]Indicators!I515</f>
        <v>1621.0889999999999</v>
      </c>
      <c r="E633" s="2">
        <f>[2]Indicators!J515</f>
        <v>4854.47</v>
      </c>
      <c r="F633" s="2">
        <f>[2]Indicators!B515</f>
        <v>8065.1980000000003</v>
      </c>
      <c r="G633" s="2">
        <f>[2]Indicators!C515</f>
        <v>967.279</v>
      </c>
      <c r="H633" s="2">
        <f>[2]Indicators!D515</f>
        <v>1775.7270000000001</v>
      </c>
      <c r="I633" s="2">
        <f>[2]Indicators!E515</f>
        <v>5324.7219999999998</v>
      </c>
      <c r="J633" s="2">
        <f>[2]Indicators!L515</f>
        <v>265624</v>
      </c>
      <c r="K633" s="2">
        <f>[2]Indicators!M515</f>
        <v>162510</v>
      </c>
      <c r="L633" s="2">
        <f>[2]Indicators!N515</f>
        <v>18.442</v>
      </c>
      <c r="M633" s="2">
        <f>[2]Indicators!AB515</f>
        <v>89.801600000000008</v>
      </c>
      <c r="N633" s="2">
        <f>[8]m!$C635</f>
        <v>1.74</v>
      </c>
      <c r="O633">
        <f>[9]Unemployment!$B515</f>
        <v>5.7</v>
      </c>
      <c r="P633" s="2">
        <f>[2]Surveys_m!$B515</f>
        <v>94.5</v>
      </c>
      <c r="Q633">
        <f>[5]m!$B635</f>
        <v>180.5</v>
      </c>
      <c r="R633">
        <f>[5]m!$D635</f>
        <v>191.1</v>
      </c>
      <c r="S633">
        <f>[5]m!$Q635</f>
        <v>131.5</v>
      </c>
      <c r="T633">
        <f>[6]m!B635</f>
        <v>-54709</v>
      </c>
      <c r="U633" s="2">
        <f>[9]Unemployment!$F515</f>
        <v>16.5</v>
      </c>
      <c r="V633" s="2">
        <f>[9]Unemployment!$G515</f>
        <v>9</v>
      </c>
      <c r="W633">
        <f>[9]Unemployment!$E515</f>
        <v>8304</v>
      </c>
      <c r="X633">
        <f>[9]Unemployment!N515</f>
        <v>2927</v>
      </c>
      <c r="Y633">
        <f>[9]Unemployment!O515</f>
        <v>2525</v>
      </c>
      <c r="Z633">
        <f>[9]Unemployment!P515-[9]Unemployment!Q515</f>
        <v>1314</v>
      </c>
      <c r="AA633">
        <f>[9]Unemployment!$Q515</f>
        <v>1573</v>
      </c>
      <c r="AB633" s="2">
        <f>[8]m!$B635</f>
        <v>1.6400000000000001</v>
      </c>
      <c r="AC633" s="2">
        <f>[8]m!$F635</f>
        <v>4.26</v>
      </c>
      <c r="AD633">
        <f>[9]Employment!$B515</f>
        <v>130260</v>
      </c>
      <c r="AE633" s="2">
        <f>[2]Indicators!$AB515</f>
        <v>89.801600000000008</v>
      </c>
      <c r="AF633" s="2">
        <f>[8]m!$AS635</f>
        <v>1947.5</v>
      </c>
      <c r="AG633" s="2">
        <f>[8]m!$H635</f>
        <v>6.37</v>
      </c>
      <c r="AH633" s="2">
        <f>[8]m!$I635</f>
        <v>7.58</v>
      </c>
      <c r="AI633" s="2">
        <f>[7]m!C634</f>
        <v>83125</v>
      </c>
      <c r="AJ633" s="2">
        <f>[7]m!D634</f>
        <v>117057</v>
      </c>
      <c r="AK633" s="2">
        <f>[2]Surveys_m!$AB515</f>
        <v>50.300000000000004</v>
      </c>
      <c r="AL633" s="3">
        <v>3506</v>
      </c>
      <c r="AM633">
        <f>[2]Indicators!$BB515</f>
        <v>169089</v>
      </c>
      <c r="AN633" s="2">
        <v>63.7</v>
      </c>
      <c r="AO633">
        <f>[9]Unemployment!H515</f>
        <v>378</v>
      </c>
      <c r="AP633">
        <f>[9]Unemployment!I515</f>
        <v>1078</v>
      </c>
      <c r="AQ633" s="3">
        <f>[9]LaborForce!$B514*[9]LaborForce!$C514/100</f>
        <v>145098.75600000002</v>
      </c>
      <c r="AR633">
        <f>[9]Unemployment!$AC515</f>
        <v>390</v>
      </c>
      <c r="AS633">
        <f>[2]Indicators!BC515</f>
        <v>89.4</v>
      </c>
      <c r="AT633">
        <f>[2]Indicators!BD515</f>
        <v>92.995699999999999</v>
      </c>
      <c r="AU633">
        <f>[2]Indicators!BE515</f>
        <v>96.970399999999998</v>
      </c>
      <c r="AV633">
        <f>[5]m!$O635</f>
        <v>137.04</v>
      </c>
    </row>
    <row r="634" spans="1:48" x14ac:dyDescent="0.25">
      <c r="A634" s="1">
        <v>37500</v>
      </c>
      <c r="B634" s="2">
        <f>[2]Indicators!G516</f>
        <v>7481.9279999999999</v>
      </c>
      <c r="C634" s="2">
        <f>[2]Indicators!H516</f>
        <v>986.27700000000004</v>
      </c>
      <c r="D634" s="2">
        <f>[2]Indicators!I516</f>
        <v>1622.1200000000001</v>
      </c>
      <c r="E634" s="2">
        <f>[2]Indicators!J516</f>
        <v>4873.5309999999999</v>
      </c>
      <c r="F634" s="2">
        <f>[2]Indicators!B516</f>
        <v>8023.9880000000003</v>
      </c>
      <c r="G634" s="2">
        <f>[2]Indicators!C516</f>
        <v>925.29899999999998</v>
      </c>
      <c r="H634" s="2">
        <f>[2]Indicators!D516</f>
        <v>1775.903</v>
      </c>
      <c r="I634" s="2">
        <f>[2]Indicators!E516</f>
        <v>5331.3890000000001</v>
      </c>
      <c r="J634" s="2">
        <f>[2]Indicators!L516</f>
        <v>261037</v>
      </c>
      <c r="K634" s="2">
        <f>[2]Indicators!M516</f>
        <v>159793</v>
      </c>
      <c r="L634" s="2">
        <f>[2]Indicators!N516</f>
        <v>16.669</v>
      </c>
      <c r="M634" s="2">
        <f>[2]Indicators!AB516</f>
        <v>89.875700000000009</v>
      </c>
      <c r="N634" s="2">
        <f>[8]m!$C636</f>
        <v>1.75</v>
      </c>
      <c r="O634">
        <f>[9]Unemployment!$B516</f>
        <v>5.7</v>
      </c>
      <c r="P634" s="2">
        <f>[2]Surveys_m!$B516</f>
        <v>93.7</v>
      </c>
      <c r="Q634">
        <f>[5]m!$B636</f>
        <v>180.8</v>
      </c>
      <c r="R634">
        <f>[5]m!$D636</f>
        <v>191.3</v>
      </c>
      <c r="S634">
        <f>[5]m!$Q636</f>
        <v>132.30000000000001</v>
      </c>
      <c r="T634">
        <f>[6]m!B636</f>
        <v>42388</v>
      </c>
      <c r="U634" s="2">
        <f>[9]Unemployment!$F516</f>
        <v>17.600000000000001</v>
      </c>
      <c r="V634" s="2">
        <f>[9]Unemployment!$G516</f>
        <v>9.5</v>
      </c>
      <c r="W634">
        <f>[9]Unemployment!$E516</f>
        <v>8251</v>
      </c>
      <c r="X634">
        <f>[9]Unemployment!N516</f>
        <v>2772</v>
      </c>
      <c r="Y634">
        <f>[9]Unemployment!O516</f>
        <v>2526</v>
      </c>
      <c r="Z634">
        <f>[9]Unemployment!P516-[9]Unemployment!Q516</f>
        <v>1391</v>
      </c>
      <c r="AA634">
        <f>[9]Unemployment!$Q516</f>
        <v>1580</v>
      </c>
      <c r="AB634" s="2">
        <f>[8]m!$B636</f>
        <v>1.6</v>
      </c>
      <c r="AC634" s="2">
        <f>[8]m!$F636</f>
        <v>3.87</v>
      </c>
      <c r="AD634">
        <f>[9]Employment!$B516</f>
        <v>130205</v>
      </c>
      <c r="AE634" s="2">
        <f>[2]Indicators!$AB516</f>
        <v>89.875700000000009</v>
      </c>
      <c r="AF634" s="2">
        <f>[8]m!$AS636</f>
        <v>1950.7</v>
      </c>
      <c r="AG634" s="2">
        <f>[8]m!$H636</f>
        <v>6.15</v>
      </c>
      <c r="AH634" s="2">
        <f>[8]m!$I636</f>
        <v>7.4</v>
      </c>
      <c r="AI634" s="2">
        <f>[7]m!C635</f>
        <v>83484</v>
      </c>
      <c r="AJ634" s="2">
        <f>[7]m!D635</f>
        <v>119318</v>
      </c>
      <c r="AK634" s="2">
        <f>[2]Surveys_m!$AB516</f>
        <v>50.5</v>
      </c>
      <c r="AL634" s="3">
        <v>3371</v>
      </c>
      <c r="AM634">
        <f>[2]Indicators!$BB516</f>
        <v>158503</v>
      </c>
      <c r="AN634" s="2">
        <v>67.5</v>
      </c>
      <c r="AO634">
        <f>[9]Unemployment!H516</f>
        <v>392</v>
      </c>
      <c r="AP634">
        <f>[9]Unemployment!I516</f>
        <v>1109</v>
      </c>
      <c r="AQ634" s="3">
        <f>[9]LaborForce!$B515*[9]LaborForce!$C515/100</f>
        <v>145477.36900000001</v>
      </c>
      <c r="AR634">
        <f>[9]Unemployment!$AC516</f>
        <v>394</v>
      </c>
      <c r="AS634">
        <f>[2]Indicators!BC516</f>
        <v>89.5</v>
      </c>
      <c r="AT634">
        <f>[2]Indicators!BD516</f>
        <v>92.498500000000007</v>
      </c>
      <c r="AU634">
        <f>[2]Indicators!BE516</f>
        <v>96.359200000000001</v>
      </c>
      <c r="AV634">
        <f>[5]m!$O636</f>
        <v>138.62</v>
      </c>
    </row>
    <row r="635" spans="1:48" x14ac:dyDescent="0.25">
      <c r="A635" s="1">
        <v>37530</v>
      </c>
      <c r="B635" s="2">
        <f>[2]Indicators!G517</f>
        <v>7517.5690000000004</v>
      </c>
      <c r="C635" s="2">
        <f>[2]Indicators!H517</f>
        <v>975.83900000000006</v>
      </c>
      <c r="D635" s="2">
        <f>[2]Indicators!I517</f>
        <v>1640.5430000000001</v>
      </c>
      <c r="E635" s="2">
        <f>[2]Indicators!J517</f>
        <v>4901.1859999999997</v>
      </c>
      <c r="F635" s="2">
        <f>[2]Indicators!B517</f>
        <v>8046.83</v>
      </c>
      <c r="G635" s="2">
        <f>[2]Indicators!C517</f>
        <v>917.15499999999997</v>
      </c>
      <c r="H635" s="2">
        <f>[2]Indicators!D517</f>
        <v>1791.078</v>
      </c>
      <c r="I635" s="2">
        <f>[2]Indicators!E517</f>
        <v>5348.7820000000002</v>
      </c>
      <c r="J635" s="2">
        <f>[2]Indicators!L517</f>
        <v>262517</v>
      </c>
      <c r="K635" s="2">
        <f>[2]Indicators!M517</f>
        <v>160164</v>
      </c>
      <c r="L635" s="2">
        <f>[2]Indicators!N517</f>
        <v>16.262</v>
      </c>
      <c r="M635" s="2">
        <f>[2]Indicators!AB517</f>
        <v>89.53070000000001</v>
      </c>
      <c r="N635" s="2">
        <f>[8]m!$C637</f>
        <v>1.75</v>
      </c>
      <c r="O635">
        <f>[9]Unemployment!$B517</f>
        <v>5.7</v>
      </c>
      <c r="P635" s="2">
        <f>[2]Surveys_m!$B517</f>
        <v>79.600000000000009</v>
      </c>
      <c r="Q635">
        <f>[5]m!$B637</f>
        <v>181.20000000000002</v>
      </c>
      <c r="R635">
        <f>[5]m!$D637</f>
        <v>191.5</v>
      </c>
      <c r="S635">
        <f>[5]m!$Q637</f>
        <v>133.20000000000002</v>
      </c>
      <c r="T635">
        <f>[6]m!B637</f>
        <v>-54072</v>
      </c>
      <c r="U635" s="2">
        <f>[9]Unemployment!$F517</f>
        <v>17.8</v>
      </c>
      <c r="V635" s="2">
        <f>[9]Unemployment!$G517</f>
        <v>9.6000000000000014</v>
      </c>
      <c r="W635">
        <f>[9]Unemployment!$E517</f>
        <v>8307</v>
      </c>
      <c r="X635">
        <f>[9]Unemployment!N517</f>
        <v>2765</v>
      </c>
      <c r="Y635">
        <f>[9]Unemployment!O517</f>
        <v>2512</v>
      </c>
      <c r="Z635">
        <f>[9]Unemployment!P517-[9]Unemployment!Q517</f>
        <v>1389</v>
      </c>
      <c r="AA635">
        <f>[9]Unemployment!$Q517</f>
        <v>1653</v>
      </c>
      <c r="AB635" s="2">
        <f>[8]m!$B637</f>
        <v>1.47</v>
      </c>
      <c r="AC635" s="2">
        <f>[8]m!$F637</f>
        <v>3.94</v>
      </c>
      <c r="AD635">
        <f>[9]Employment!$B517</f>
        <v>130331</v>
      </c>
      <c r="AE635" s="2">
        <f>[2]Indicators!$AB517</f>
        <v>89.53070000000001</v>
      </c>
      <c r="AF635" s="2">
        <f>[8]m!$AS637</f>
        <v>1957.2</v>
      </c>
      <c r="AG635" s="2">
        <f>[8]m!$H637</f>
        <v>6.32</v>
      </c>
      <c r="AH635" s="2">
        <f>[8]m!$I637</f>
        <v>7.73</v>
      </c>
      <c r="AI635" s="2">
        <f>[7]m!C636</f>
        <v>82893</v>
      </c>
      <c r="AJ635" s="2">
        <f>[7]m!D636</f>
        <v>119402</v>
      </c>
      <c r="AK635" s="2">
        <f>[2]Surveys_m!$AB517</f>
        <v>49</v>
      </c>
      <c r="AL635" s="3">
        <v>3698</v>
      </c>
      <c r="AM635">
        <f>[2]Indicators!$BB517</f>
        <v>163279</v>
      </c>
      <c r="AN635" s="2">
        <v>63.3</v>
      </c>
      <c r="AO635">
        <f>[9]Unemployment!H517</f>
        <v>359</v>
      </c>
      <c r="AP635">
        <f>[9]Unemployment!I517</f>
        <v>1057</v>
      </c>
      <c r="AQ635" s="3">
        <f>[9]LaborForce!$B516*[9]LaborForce!$C516/100</f>
        <v>145414.44000000003</v>
      </c>
      <c r="AR635">
        <f>[9]Unemployment!$AC517</f>
        <v>409</v>
      </c>
      <c r="AS635">
        <f>[2]Indicators!BC517</f>
        <v>89.4</v>
      </c>
      <c r="AT635">
        <f>[2]Indicators!BD517</f>
        <v>92.110799999999998</v>
      </c>
      <c r="AU635">
        <f>[2]Indicators!BE517</f>
        <v>95.861699999999999</v>
      </c>
      <c r="AV635">
        <f>[5]m!$O637</f>
        <v>140.12</v>
      </c>
    </row>
    <row r="636" spans="1:48" x14ac:dyDescent="0.25">
      <c r="A636" s="1">
        <v>37561</v>
      </c>
      <c r="B636" s="2">
        <f>[2]Indicators!G518</f>
        <v>7543.8730000000005</v>
      </c>
      <c r="C636" s="2">
        <f>[2]Indicators!H518</f>
        <v>981.98900000000003</v>
      </c>
      <c r="D636" s="2">
        <f>[2]Indicators!I518</f>
        <v>1651.789</v>
      </c>
      <c r="E636" s="2">
        <f>[2]Indicators!J518</f>
        <v>4910.0950000000003</v>
      </c>
      <c r="F636" s="2">
        <f>[2]Indicators!B518</f>
        <v>8066.3230000000003</v>
      </c>
      <c r="G636" s="2">
        <f>[2]Indicators!C518</f>
        <v>926.52700000000004</v>
      </c>
      <c r="H636" s="2">
        <f>[2]Indicators!D518</f>
        <v>1802.644</v>
      </c>
      <c r="I636" s="2">
        <f>[2]Indicators!E518</f>
        <v>5346.0960000000005</v>
      </c>
      <c r="J636" s="2">
        <f>[2]Indicators!L518</f>
        <v>264132</v>
      </c>
      <c r="K636" s="2">
        <f>[2]Indicators!M518</f>
        <v>160938</v>
      </c>
      <c r="L636" s="2">
        <f>[2]Indicators!N518</f>
        <v>16.527000000000001</v>
      </c>
      <c r="M636" s="2">
        <f>[2]Indicators!AB518</f>
        <v>89.995000000000005</v>
      </c>
      <c r="N636" s="2">
        <f>[8]m!$C638</f>
        <v>1.34</v>
      </c>
      <c r="O636">
        <f>[9]Unemployment!$B518</f>
        <v>5.9</v>
      </c>
      <c r="P636" s="2">
        <f>[2]Surveys_m!$B518</f>
        <v>84.9</v>
      </c>
      <c r="Q636">
        <f>[5]m!$B638</f>
        <v>181.5</v>
      </c>
      <c r="R636">
        <f>[5]m!$D638</f>
        <v>191.9</v>
      </c>
      <c r="S636">
        <f>[5]m!$Q638</f>
        <v>133.1</v>
      </c>
      <c r="T636">
        <f>[6]m!B638</f>
        <v>-58883</v>
      </c>
      <c r="U636" s="2">
        <f>[9]Unemployment!$F518</f>
        <v>17.600000000000001</v>
      </c>
      <c r="V636" s="2">
        <f>[9]Unemployment!$G518</f>
        <v>9.3000000000000007</v>
      </c>
      <c r="W636">
        <f>[9]Unemployment!$E518</f>
        <v>8520</v>
      </c>
      <c r="X636">
        <f>[9]Unemployment!N518</f>
        <v>2950</v>
      </c>
      <c r="Y636">
        <f>[9]Unemployment!O518</f>
        <v>2505</v>
      </c>
      <c r="Z636">
        <f>[9]Unemployment!P518-[9]Unemployment!Q518</f>
        <v>1319</v>
      </c>
      <c r="AA636">
        <f>[9]Unemployment!$Q518</f>
        <v>1743</v>
      </c>
      <c r="AB636" s="2">
        <f>[8]m!$B638</f>
        <v>1.23</v>
      </c>
      <c r="AC636" s="2">
        <f>[8]m!$F638</f>
        <v>4.05</v>
      </c>
      <c r="AD636">
        <f>[9]Employment!$B518</f>
        <v>130339</v>
      </c>
      <c r="AE636" s="2">
        <f>[2]Indicators!$AB518</f>
        <v>89.995000000000005</v>
      </c>
      <c r="AF636" s="2">
        <f>[8]m!$AS638</f>
        <v>1965.2</v>
      </c>
      <c r="AG636" s="2">
        <f>[8]m!$H638</f>
        <v>6.3100000000000005</v>
      </c>
      <c r="AH636" s="2">
        <f>[8]m!$I638</f>
        <v>7.62</v>
      </c>
      <c r="AI636" s="2">
        <f>[7]m!C637</f>
        <v>82565</v>
      </c>
      <c r="AJ636" s="2">
        <f>[7]m!D637</f>
        <v>117222</v>
      </c>
      <c r="AK636" s="2">
        <f>[2]Surveys_m!$AB518</f>
        <v>48.5</v>
      </c>
      <c r="AL636" s="3">
        <v>3646</v>
      </c>
      <c r="AM636">
        <f>[2]Indicators!$BB518</f>
        <v>163035</v>
      </c>
      <c r="AN636" s="2">
        <v>63.9</v>
      </c>
      <c r="AO636">
        <f>[9]Unemployment!H518</f>
        <v>385</v>
      </c>
      <c r="AP636">
        <f>[9]Unemployment!I518</f>
        <v>1016</v>
      </c>
      <c r="AQ636" s="3">
        <f>[9]LaborForce!$B517*[9]LaborForce!$C517/100</f>
        <v>145115.872</v>
      </c>
      <c r="AR636">
        <f>[9]Unemployment!$AC518</f>
        <v>405</v>
      </c>
      <c r="AS636">
        <f>[2]Indicators!BC518</f>
        <v>90.3</v>
      </c>
      <c r="AT636">
        <f>[2]Indicators!BD518</f>
        <v>91.874099999999999</v>
      </c>
      <c r="AU636">
        <f>[2]Indicators!BE518</f>
        <v>95.520700000000005</v>
      </c>
      <c r="AV636">
        <f>[5]m!$O638</f>
        <v>141.26</v>
      </c>
    </row>
    <row r="637" spans="1:48" x14ac:dyDescent="0.25">
      <c r="A637" s="1">
        <v>37591</v>
      </c>
      <c r="B637" s="2">
        <f>[2]Indicators!G519</f>
        <v>7598.1260000000002</v>
      </c>
      <c r="C637" s="2">
        <f>[2]Indicators!H519</f>
        <v>1013.0260000000001</v>
      </c>
      <c r="D637" s="2">
        <f>[2]Indicators!I519</f>
        <v>1653.9670000000001</v>
      </c>
      <c r="E637" s="2">
        <f>[2]Indicators!J519</f>
        <v>4931.1329999999998</v>
      </c>
      <c r="F637" s="2">
        <f>[2]Indicators!B519</f>
        <v>8117.4970000000003</v>
      </c>
      <c r="G637" s="2">
        <f>[2]Indicators!C519</f>
        <v>959.53200000000004</v>
      </c>
      <c r="H637" s="2">
        <f>[2]Indicators!D519</f>
        <v>1806.3240000000001</v>
      </c>
      <c r="I637" s="2">
        <f>[2]Indicators!E519</f>
        <v>5356.4480000000003</v>
      </c>
      <c r="J637" s="2">
        <f>[2]Indicators!L519</f>
        <v>266168</v>
      </c>
      <c r="K637" s="2">
        <f>[2]Indicators!M519</f>
        <v>161851</v>
      </c>
      <c r="L637" s="2">
        <f>[2]Indicators!N519</f>
        <v>17.897000000000002</v>
      </c>
      <c r="M637" s="2">
        <f>[2]Indicators!AB519</f>
        <v>89.525100000000009</v>
      </c>
      <c r="N637" s="2">
        <f>[8]m!$C639</f>
        <v>1.24</v>
      </c>
      <c r="O637">
        <f>[9]Unemployment!$B519</f>
        <v>6</v>
      </c>
      <c r="P637" s="2">
        <f>[2]Surveys_m!$B519</f>
        <v>80.7</v>
      </c>
      <c r="Q637">
        <f>[5]m!$B639</f>
        <v>181.8</v>
      </c>
      <c r="R637">
        <f>[5]m!$D639</f>
        <v>192.1</v>
      </c>
      <c r="S637">
        <f>[5]m!$Q639</f>
        <v>132.9</v>
      </c>
      <c r="T637">
        <f>[6]m!B639</f>
        <v>4719</v>
      </c>
      <c r="U637" s="2">
        <f>[9]Unemployment!$F519</f>
        <v>18.5</v>
      </c>
      <c r="V637" s="2">
        <f>[9]Unemployment!$G519</f>
        <v>9.6000000000000014</v>
      </c>
      <c r="W637">
        <f>[9]Unemployment!$E519</f>
        <v>8640</v>
      </c>
      <c r="X637">
        <f>[9]Unemployment!N519</f>
        <v>2838</v>
      </c>
      <c r="Y637">
        <f>[9]Unemployment!O519</f>
        <v>2589</v>
      </c>
      <c r="Z637">
        <f>[9]Unemployment!P519-[9]Unemployment!Q519</f>
        <v>1347</v>
      </c>
      <c r="AA637">
        <f>[9]Unemployment!$Q519</f>
        <v>1924</v>
      </c>
      <c r="AB637" s="2">
        <f>[8]m!$B639</f>
        <v>1.19</v>
      </c>
      <c r="AC637" s="2">
        <f>[8]m!$F639</f>
        <v>4.03</v>
      </c>
      <c r="AD637">
        <f>[9]Employment!$B519</f>
        <v>130183</v>
      </c>
      <c r="AE637" s="2">
        <f>[2]Indicators!$AB519</f>
        <v>89.525100000000009</v>
      </c>
      <c r="AF637" s="2">
        <f>[8]m!$AS639</f>
        <v>1972.1000000000001</v>
      </c>
      <c r="AG637" s="2">
        <f>[8]m!$H639</f>
        <v>6.21</v>
      </c>
      <c r="AH637" s="2">
        <f>[8]m!$I639</f>
        <v>7.45</v>
      </c>
      <c r="AI637" s="2">
        <f>[7]m!C638</f>
        <v>83747</v>
      </c>
      <c r="AJ637" s="2">
        <f>[7]m!D638</f>
        <v>122679</v>
      </c>
      <c r="AK637" s="2">
        <f>[2]Surveys_m!$AB519</f>
        <v>51.6</v>
      </c>
      <c r="AL637" s="3">
        <v>3127</v>
      </c>
      <c r="AM637">
        <f>[2]Indicators!$BB519</f>
        <v>155367</v>
      </c>
      <c r="AN637" s="2">
        <v>63</v>
      </c>
      <c r="AO637">
        <f>[9]Unemployment!H519</f>
        <v>403</v>
      </c>
      <c r="AP637">
        <f>[9]Unemployment!I519</f>
        <v>1029</v>
      </c>
      <c r="AQ637" s="3">
        <f>[9]LaborForce!$B518*[9]LaborForce!$C518/100</f>
        <v>145025.283</v>
      </c>
      <c r="AR637">
        <f>[9]Unemployment!$AC519</f>
        <v>377</v>
      </c>
      <c r="AS637">
        <f>[2]Indicators!BC519</f>
        <v>90.5</v>
      </c>
      <c r="AT637">
        <f>[2]Indicators!BD519</f>
        <v>91.726100000000002</v>
      </c>
      <c r="AU637">
        <f>[2]Indicators!BE519</f>
        <v>95.270899999999997</v>
      </c>
      <c r="AV637">
        <f>[5]m!$O639</f>
        <v>142.18</v>
      </c>
    </row>
    <row r="638" spans="1:48" x14ac:dyDescent="0.25">
      <c r="A638" s="1">
        <v>37622</v>
      </c>
      <c r="B638" s="2">
        <f>[2]Indicators!G520</f>
        <v>7629.6980000000003</v>
      </c>
      <c r="C638" s="2">
        <f>[2]Indicators!H520</f>
        <v>992.51300000000003</v>
      </c>
      <c r="D638" s="2">
        <f>[2]Indicators!I520</f>
        <v>1677.954</v>
      </c>
      <c r="E638" s="2">
        <f>[2]Indicators!J520</f>
        <v>4959.2309999999998</v>
      </c>
      <c r="F638" s="2">
        <f>[2]Indicators!B520</f>
        <v>8129.817</v>
      </c>
      <c r="G638" s="2">
        <f>[2]Indicators!C520</f>
        <v>945.74900000000002</v>
      </c>
      <c r="H638" s="2">
        <f>[2]Indicators!D520</f>
        <v>1813.1279999999999</v>
      </c>
      <c r="I638" s="2">
        <f>[2]Indicators!E520</f>
        <v>5377.9070000000002</v>
      </c>
      <c r="J638" s="2">
        <f>[2]Indicators!L520</f>
        <v>267618</v>
      </c>
      <c r="K638" s="2">
        <f>[2]Indicators!M520</f>
        <v>161951</v>
      </c>
      <c r="L638" s="2">
        <f>[2]Indicators!N520</f>
        <v>16.7</v>
      </c>
      <c r="M638" s="2">
        <f>[2]Indicators!AB520</f>
        <v>90.207599999999999</v>
      </c>
      <c r="N638" s="2">
        <f>[8]m!$C640</f>
        <v>1.24</v>
      </c>
      <c r="O638">
        <f>[9]Unemployment!$B520</f>
        <v>5.8000000000000007</v>
      </c>
      <c r="P638" s="2">
        <f>[2]Surveys_m!$B520</f>
        <v>78.800000000000011</v>
      </c>
      <c r="Q638">
        <f>[5]m!$B640</f>
        <v>182.6</v>
      </c>
      <c r="R638">
        <f>[5]m!$D640</f>
        <v>192.4</v>
      </c>
      <c r="S638">
        <f>[5]m!$Q640</f>
        <v>135.30000000000001</v>
      </c>
      <c r="T638">
        <f>[6]m!B640</f>
        <v>10633</v>
      </c>
      <c r="U638" s="2">
        <f>[9]Unemployment!$F520</f>
        <v>18.5</v>
      </c>
      <c r="V638" s="2">
        <f>[9]Unemployment!$G520</f>
        <v>9.6000000000000014</v>
      </c>
      <c r="W638">
        <f>[9]Unemployment!$E520</f>
        <v>8520</v>
      </c>
      <c r="X638">
        <f>[9]Unemployment!N520</f>
        <v>2856</v>
      </c>
      <c r="Y638">
        <f>[9]Unemployment!O520</f>
        <v>2582</v>
      </c>
      <c r="Z638">
        <f>[9]Unemployment!P520-[9]Unemployment!Q520</f>
        <v>1406</v>
      </c>
      <c r="AA638">
        <f>[9]Unemployment!$Q520</f>
        <v>1760</v>
      </c>
      <c r="AB638" s="2">
        <f>[8]m!$B640</f>
        <v>1.1500000000000001</v>
      </c>
      <c r="AC638" s="2">
        <f>[8]m!$F640</f>
        <v>4.05</v>
      </c>
      <c r="AD638">
        <f>[9]Employment!$B520</f>
        <v>130266</v>
      </c>
      <c r="AE638" s="2">
        <f>[2]Indicators!$AB520</f>
        <v>90.207599999999999</v>
      </c>
      <c r="AF638" s="2">
        <f>[8]m!$AS640</f>
        <v>1982.6000000000001</v>
      </c>
      <c r="AG638" s="2">
        <f>[8]m!$H640</f>
        <v>6.17</v>
      </c>
      <c r="AH638" s="2">
        <f>[8]m!$I640</f>
        <v>7.3500000000000005</v>
      </c>
      <c r="AI638" s="2">
        <f>[7]m!C639</f>
        <v>81686</v>
      </c>
      <c r="AJ638" s="2">
        <f>[7]m!D639</f>
        <v>124531</v>
      </c>
      <c r="AK638" s="2">
        <f>[2]Surveys_m!$AB520</f>
        <v>51.300000000000004</v>
      </c>
      <c r="AL638" s="3">
        <v>3622</v>
      </c>
      <c r="AM638">
        <f>[2]Indicators!$BB520</f>
        <v>161051</v>
      </c>
      <c r="AN638" s="2">
        <v>66.8</v>
      </c>
      <c r="AO638">
        <f>[9]Unemployment!H520</f>
        <v>449</v>
      </c>
      <c r="AP638">
        <f>[9]Unemployment!I520</f>
        <v>1149</v>
      </c>
      <c r="AQ638" s="3">
        <f>[9]LaborForce!$B519*[9]LaborForce!$C519/100</f>
        <v>146011.60800000001</v>
      </c>
      <c r="AR638">
        <f>[9]Unemployment!$AC520</f>
        <v>409</v>
      </c>
      <c r="AS638">
        <f>[2]Indicators!BC520</f>
        <v>90.600000000000009</v>
      </c>
      <c r="AT638">
        <f>[2]Indicators!BD520</f>
        <v>91.624499999999998</v>
      </c>
      <c r="AU638">
        <f>[2]Indicators!BE520</f>
        <v>95.068300000000008</v>
      </c>
      <c r="AV638">
        <f>[5]m!$O640</f>
        <v>142.86000000000001</v>
      </c>
    </row>
    <row r="639" spans="1:48" x14ac:dyDescent="0.25">
      <c r="A639" s="1">
        <v>37653</v>
      </c>
      <c r="B639" s="2">
        <f>[2]Indicators!G521</f>
        <v>7629.8</v>
      </c>
      <c r="C639" s="2">
        <f>[2]Indicators!H521</f>
        <v>966.19400000000007</v>
      </c>
      <c r="D639" s="2">
        <f>[2]Indicators!I521</f>
        <v>1697.652</v>
      </c>
      <c r="E639" s="2">
        <f>[2]Indicators!J521</f>
        <v>4965.9539999999997</v>
      </c>
      <c r="F639" s="2">
        <f>[2]Indicators!B521</f>
        <v>8096.0659999999998</v>
      </c>
      <c r="G639" s="2">
        <f>[2]Indicators!C521</f>
        <v>922.91399999999999</v>
      </c>
      <c r="H639" s="2">
        <f>[2]Indicators!D521</f>
        <v>1814.191</v>
      </c>
      <c r="I639" s="2">
        <f>[2]Indicators!E521</f>
        <v>5368.3109999999997</v>
      </c>
      <c r="J639" s="2">
        <f>[2]Indicators!L521</f>
        <v>263601</v>
      </c>
      <c r="K639" s="2">
        <f>[2]Indicators!M521</f>
        <v>158849</v>
      </c>
      <c r="L639" s="2">
        <f>[2]Indicators!N521</f>
        <v>16.132999999999999</v>
      </c>
      <c r="M639" s="2">
        <f>[2]Indicators!AB521</f>
        <v>90.500399999999999</v>
      </c>
      <c r="N639" s="2">
        <f>[8]m!$C641</f>
        <v>1.26</v>
      </c>
      <c r="O639">
        <f>[9]Unemployment!$B521</f>
        <v>5.9</v>
      </c>
      <c r="P639" s="2">
        <f>[2]Surveys_m!$B521</f>
        <v>64.8</v>
      </c>
      <c r="Q639">
        <f>[5]m!$B641</f>
        <v>183.6</v>
      </c>
      <c r="R639">
        <f>[5]m!$D641</f>
        <v>192.5</v>
      </c>
      <c r="S639">
        <f>[5]m!$Q641</f>
        <v>137.6</v>
      </c>
      <c r="T639">
        <f>[6]m!B641</f>
        <v>-96663</v>
      </c>
      <c r="U639" s="2">
        <f>[9]Unemployment!$F521</f>
        <v>18.5</v>
      </c>
      <c r="V639" s="2">
        <f>[9]Unemployment!$G521</f>
        <v>9.5</v>
      </c>
      <c r="W639">
        <f>[9]Unemployment!$E521</f>
        <v>8618</v>
      </c>
      <c r="X639">
        <f>[9]Unemployment!N521</f>
        <v>2798</v>
      </c>
      <c r="Y639">
        <f>[9]Unemployment!O521</f>
        <v>2611</v>
      </c>
      <c r="Z639">
        <f>[9]Unemployment!P521-[9]Unemployment!Q521</f>
        <v>1297</v>
      </c>
      <c r="AA639">
        <f>[9]Unemployment!$Q521</f>
        <v>1864</v>
      </c>
      <c r="AB639" s="2">
        <f>[8]m!$B641</f>
        <v>1.18</v>
      </c>
      <c r="AC639" s="2">
        <f>[8]m!$F641</f>
        <v>3.9</v>
      </c>
      <c r="AD639">
        <f>[9]Employment!$B521</f>
        <v>130108</v>
      </c>
      <c r="AE639" s="2">
        <f>[2]Indicators!$AB521</f>
        <v>90.500399999999999</v>
      </c>
      <c r="AF639" s="2">
        <f>[8]m!$AS641</f>
        <v>1993.4</v>
      </c>
      <c r="AG639" s="2">
        <f>[8]m!$H641</f>
        <v>5.95</v>
      </c>
      <c r="AH639" s="2">
        <f>[8]m!$I641</f>
        <v>7.0600000000000005</v>
      </c>
      <c r="AI639" s="2">
        <f>[7]m!C640</f>
        <v>82441</v>
      </c>
      <c r="AJ639" s="2">
        <f>[7]m!D640</f>
        <v>123094</v>
      </c>
      <c r="AK639" s="2">
        <f>[2]Surveys_m!$AB521</f>
        <v>48.800000000000004</v>
      </c>
      <c r="AL639" s="3">
        <v>3444</v>
      </c>
      <c r="AM639">
        <f>[2]Indicators!$BB521</f>
        <v>163889</v>
      </c>
      <c r="AN639" s="2">
        <v>67.5</v>
      </c>
      <c r="AO639">
        <f>[9]Unemployment!H521</f>
        <v>450</v>
      </c>
      <c r="AP639">
        <f>[9]Unemployment!I521</f>
        <v>1139</v>
      </c>
      <c r="AQ639" s="3">
        <f>[9]LaborForce!$B520*[9]LaborForce!$C520/100</f>
        <v>146155.69600000003</v>
      </c>
      <c r="AR639">
        <f>[9]Unemployment!$AC521</f>
        <v>413</v>
      </c>
      <c r="AS639">
        <f>[2]Indicators!BC521</f>
        <v>90.600000000000009</v>
      </c>
      <c r="AT639">
        <f>[2]Indicators!BD521</f>
        <v>91.604100000000003</v>
      </c>
      <c r="AU639">
        <f>[2]Indicators!BE521</f>
        <v>94.948599999999999</v>
      </c>
      <c r="AV639">
        <f>[5]m!$O641</f>
        <v>143.59</v>
      </c>
    </row>
    <row r="640" spans="1:48" x14ac:dyDescent="0.25">
      <c r="A640" s="1">
        <v>37681</v>
      </c>
      <c r="B640" s="2">
        <f>[2]Indicators!G522</f>
        <v>7678.1580000000004</v>
      </c>
      <c r="C640" s="2">
        <f>[2]Indicators!H522</f>
        <v>985.36599999999999</v>
      </c>
      <c r="D640" s="2">
        <f>[2]Indicators!I522</f>
        <v>1702.1100000000001</v>
      </c>
      <c r="E640" s="2">
        <f>[2]Indicators!J522</f>
        <v>4990.683</v>
      </c>
      <c r="F640" s="2">
        <f>[2]Indicators!B522</f>
        <v>8127.24</v>
      </c>
      <c r="G640" s="2">
        <f>[2]Indicators!C522</f>
        <v>942.85400000000004</v>
      </c>
      <c r="H640" s="2">
        <f>[2]Indicators!D522</f>
        <v>1820.617</v>
      </c>
      <c r="I640" s="2">
        <f>[2]Indicators!E522</f>
        <v>5370.9310000000005</v>
      </c>
      <c r="J640" s="2">
        <f>[2]Indicators!L522</f>
        <v>268285</v>
      </c>
      <c r="K640" s="2">
        <f>[2]Indicators!M522</f>
        <v>161438</v>
      </c>
      <c r="L640" s="2">
        <f>[2]Indicators!N522</f>
        <v>16.504000000000001</v>
      </c>
      <c r="M640" s="2">
        <f>[2]Indicators!AB522</f>
        <v>90.3536</v>
      </c>
      <c r="N640" s="2">
        <f>[8]m!$C642</f>
        <v>1.25</v>
      </c>
      <c r="O640">
        <f>[9]Unemployment!$B522</f>
        <v>5.9</v>
      </c>
      <c r="P640" s="2">
        <f>[2]Surveys_m!$B522</f>
        <v>61.400000000000006</v>
      </c>
      <c r="Q640">
        <f>[5]m!$B642</f>
        <v>183.9</v>
      </c>
      <c r="R640">
        <f>[5]m!$D642</f>
        <v>192.5</v>
      </c>
      <c r="S640">
        <f>[5]m!$Q642</f>
        <v>141.20000000000002</v>
      </c>
      <c r="T640">
        <f>[6]m!B642</f>
        <v>-58877</v>
      </c>
      <c r="U640" s="2">
        <f>[9]Unemployment!$F522</f>
        <v>18.100000000000001</v>
      </c>
      <c r="V640" s="2">
        <f>[9]Unemployment!$G522</f>
        <v>9.7000000000000011</v>
      </c>
      <c r="W640">
        <f>[9]Unemployment!$E522</f>
        <v>8588</v>
      </c>
      <c r="X640">
        <f>[9]Unemployment!N522</f>
        <v>2831</v>
      </c>
      <c r="Y640">
        <f>[9]Unemployment!O522</f>
        <v>2567</v>
      </c>
      <c r="Z640">
        <f>[9]Unemployment!P522-[9]Unemployment!Q522</f>
        <v>1363</v>
      </c>
      <c r="AA640">
        <f>[9]Unemployment!$Q522</f>
        <v>1798</v>
      </c>
      <c r="AB640" s="2">
        <f>[8]m!$B642</f>
        <v>1.0900000000000001</v>
      </c>
      <c r="AC640" s="2">
        <f>[8]m!$F642</f>
        <v>3.81</v>
      </c>
      <c r="AD640">
        <f>[9]Employment!$B522</f>
        <v>129896</v>
      </c>
      <c r="AE640" s="2">
        <f>[2]Indicators!$AB522</f>
        <v>90.3536</v>
      </c>
      <c r="AF640" s="2">
        <f>[8]m!$AS642</f>
        <v>2001.2</v>
      </c>
      <c r="AG640" s="2">
        <f>[8]m!$H642</f>
        <v>5.89</v>
      </c>
      <c r="AH640" s="2">
        <f>[8]m!$I642</f>
        <v>6.95</v>
      </c>
      <c r="AI640" s="2">
        <f>[7]m!C641</f>
        <v>83105</v>
      </c>
      <c r="AJ640" s="2">
        <f>[7]m!D641</f>
        <v>122293</v>
      </c>
      <c r="AK640" s="2">
        <f>[2]Surveys_m!$AB522</f>
        <v>46.300000000000004</v>
      </c>
      <c r="AL640" s="3">
        <v>3180</v>
      </c>
      <c r="AM640">
        <f>[2]Indicators!$BB522</f>
        <v>163596</v>
      </c>
      <c r="AN640" s="2">
        <v>64.900000000000006</v>
      </c>
      <c r="AO640">
        <f>[9]Unemployment!H522</f>
        <v>474</v>
      </c>
      <c r="AP640">
        <f>[9]Unemployment!I522</f>
        <v>1103</v>
      </c>
      <c r="AQ640" s="3">
        <f>[9]LaborForce!$B521*[9]LaborForce!$C521/100</f>
        <v>146070.171</v>
      </c>
      <c r="AR640">
        <f>[9]Unemployment!$AC522</f>
        <v>436</v>
      </c>
      <c r="AS640">
        <f>[2]Indicators!BC522</f>
        <v>90.7</v>
      </c>
      <c r="AT640">
        <f>[2]Indicators!BD522</f>
        <v>91.760199999999998</v>
      </c>
      <c r="AU640">
        <f>[2]Indicators!BE522</f>
        <v>95.010400000000004</v>
      </c>
      <c r="AV640">
        <f>[5]m!$O642</f>
        <v>144.84</v>
      </c>
    </row>
    <row r="641" spans="1:48" x14ac:dyDescent="0.25">
      <c r="A641" s="1">
        <v>37712</v>
      </c>
      <c r="B641" s="2">
        <f>[2]Indicators!G523</f>
        <v>7705.6410000000005</v>
      </c>
      <c r="C641" s="2">
        <f>[2]Indicators!H523</f>
        <v>1005.999</v>
      </c>
      <c r="D641" s="2">
        <f>[2]Indicators!I523</f>
        <v>1678.566</v>
      </c>
      <c r="E641" s="2">
        <f>[2]Indicators!J523</f>
        <v>5021.0749999999998</v>
      </c>
      <c r="F641" s="2">
        <f>[2]Indicators!B523</f>
        <v>8170.5340000000006</v>
      </c>
      <c r="G641" s="2">
        <f>[2]Indicators!C523</f>
        <v>965.39100000000008</v>
      </c>
      <c r="H641" s="2">
        <f>[2]Indicators!D523</f>
        <v>1817.528</v>
      </c>
      <c r="I641" s="2">
        <f>[2]Indicators!E523</f>
        <v>5392.482</v>
      </c>
      <c r="J641" s="2">
        <f>[2]Indicators!L523</f>
        <v>267517</v>
      </c>
      <c r="K641" s="2">
        <f>[2]Indicators!M523</f>
        <v>161580</v>
      </c>
      <c r="L641" s="2">
        <f>[2]Indicators!N523</f>
        <v>16.741</v>
      </c>
      <c r="M641" s="2">
        <f>[2]Indicators!AB523</f>
        <v>89.633700000000005</v>
      </c>
      <c r="N641" s="2">
        <f>[8]m!$C643</f>
        <v>1.26</v>
      </c>
      <c r="O641">
        <f>[9]Unemployment!$B523</f>
        <v>6</v>
      </c>
      <c r="P641" s="2">
        <f>[2]Surveys_m!$B523</f>
        <v>81</v>
      </c>
      <c r="Q641">
        <f>[5]m!$B643</f>
        <v>183.20000000000002</v>
      </c>
      <c r="R641">
        <f>[5]m!$D643</f>
        <v>192.5</v>
      </c>
      <c r="S641">
        <f>[5]m!$Q643</f>
        <v>136.80000000000001</v>
      </c>
      <c r="T641">
        <f>[6]m!B643</f>
        <v>51066</v>
      </c>
      <c r="U641" s="2">
        <f>[9]Unemployment!$F523</f>
        <v>19.400000000000002</v>
      </c>
      <c r="V641" s="2">
        <f>[9]Unemployment!$G523</f>
        <v>10.200000000000001</v>
      </c>
      <c r="W641">
        <f>[9]Unemployment!$E523</f>
        <v>8842</v>
      </c>
      <c r="X641">
        <f>[9]Unemployment!N523</f>
        <v>2794</v>
      </c>
      <c r="Y641">
        <f>[9]Unemployment!O523</f>
        <v>2661</v>
      </c>
      <c r="Z641">
        <f>[9]Unemployment!P523-[9]Unemployment!Q523</f>
        <v>1421</v>
      </c>
      <c r="AA641">
        <f>[9]Unemployment!$Q523</f>
        <v>1927</v>
      </c>
      <c r="AB641" s="2">
        <f>[8]m!$B643</f>
        <v>1.1200000000000001</v>
      </c>
      <c r="AC641" s="2">
        <f>[8]m!$F643</f>
        <v>3.96</v>
      </c>
      <c r="AD641">
        <f>[9]Employment!$B523</f>
        <v>129847</v>
      </c>
      <c r="AE641" s="2">
        <f>[2]Indicators!$AB523</f>
        <v>89.633700000000005</v>
      </c>
      <c r="AF641" s="2">
        <f>[8]m!$AS643</f>
        <v>2014.1000000000001</v>
      </c>
      <c r="AG641" s="2">
        <f>[8]m!$H643</f>
        <v>5.74</v>
      </c>
      <c r="AH641" s="2">
        <f>[8]m!$I643</f>
        <v>6.8500000000000005</v>
      </c>
      <c r="AI641" s="2">
        <f>[7]m!C642</f>
        <v>82887</v>
      </c>
      <c r="AJ641" s="2">
        <f>[7]m!D642</f>
        <v>126159</v>
      </c>
      <c r="AK641" s="2">
        <f>[2]Surveys_m!$AB523</f>
        <v>46.1</v>
      </c>
      <c r="AL641" s="3">
        <v>3260</v>
      </c>
      <c r="AM641">
        <f>[2]Indicators!$BB523</f>
        <v>158607</v>
      </c>
      <c r="AN641" s="2">
        <v>62.2</v>
      </c>
      <c r="AO641">
        <f>[9]Unemployment!H523</f>
        <v>437</v>
      </c>
      <c r="AP641">
        <f>[9]Unemployment!I523</f>
        <v>962</v>
      </c>
      <c r="AQ641" s="3">
        <f>[9]LaborForce!$B522*[9]LaborForce!$C522/100</f>
        <v>146438.56000000003</v>
      </c>
      <c r="AR641">
        <f>[9]Unemployment!$AC523</f>
        <v>436</v>
      </c>
      <c r="AS641">
        <f>[2]Indicators!BC523</f>
        <v>91.100000000000009</v>
      </c>
      <c r="AT641">
        <f>[2]Indicators!BD523</f>
        <v>92.142800000000008</v>
      </c>
      <c r="AU641">
        <f>[2]Indicators!BE523</f>
        <v>95.304299999999998</v>
      </c>
      <c r="AV641">
        <f>[5]m!$O643</f>
        <v>146.45000000000002</v>
      </c>
    </row>
    <row r="642" spans="1:48" x14ac:dyDescent="0.25">
      <c r="A642" s="1">
        <v>37742</v>
      </c>
      <c r="B642" s="2">
        <f>[2]Indicators!G524</f>
        <v>7717.0950000000003</v>
      </c>
      <c r="C642" s="2">
        <f>[2]Indicators!H524</f>
        <v>1010.506</v>
      </c>
      <c r="D642" s="2">
        <f>[2]Indicators!I524</f>
        <v>1658.4650000000001</v>
      </c>
      <c r="E642" s="2">
        <f>[2]Indicators!J524</f>
        <v>5048.1239999999998</v>
      </c>
      <c r="F642" s="2">
        <f>[2]Indicators!B524</f>
        <v>8194.2520000000004</v>
      </c>
      <c r="G642" s="2">
        <f>[2]Indicators!C524</f>
        <v>975.75900000000001</v>
      </c>
      <c r="H642" s="2">
        <f>[2]Indicators!D524</f>
        <v>1820.15</v>
      </c>
      <c r="I642" s="2">
        <f>[2]Indicators!E524</f>
        <v>5402.1900000000005</v>
      </c>
      <c r="J642" s="2">
        <f>[2]Indicators!L524</f>
        <v>267580</v>
      </c>
      <c r="K642" s="2">
        <f>[2]Indicators!M524</f>
        <v>162230</v>
      </c>
      <c r="L642" s="2">
        <f>[2]Indicators!N524</f>
        <v>16.456</v>
      </c>
      <c r="M642" s="2">
        <f>[2]Indicators!AB524</f>
        <v>89.642800000000008</v>
      </c>
      <c r="N642" s="2">
        <f>[8]m!$C644</f>
        <v>1.26</v>
      </c>
      <c r="O642">
        <f>[9]Unemployment!$B524</f>
        <v>6.1000000000000005</v>
      </c>
      <c r="P642" s="2">
        <f>[2]Surveys_m!$B524</f>
        <v>83.600000000000009</v>
      </c>
      <c r="Q642">
        <f>[5]m!$B644</f>
        <v>182.9</v>
      </c>
      <c r="R642">
        <f>[5]m!$D644</f>
        <v>192.9</v>
      </c>
      <c r="S642">
        <f>[5]m!$Q644</f>
        <v>136.70000000000002</v>
      </c>
      <c r="T642">
        <f>[6]m!B644</f>
        <v>-88867</v>
      </c>
      <c r="U642" s="2">
        <f>[9]Unemployment!$F524</f>
        <v>19</v>
      </c>
      <c r="V642" s="2">
        <f>[9]Unemployment!$G524</f>
        <v>9.9</v>
      </c>
      <c r="W642">
        <f>[9]Unemployment!$E524</f>
        <v>8957</v>
      </c>
      <c r="X642">
        <f>[9]Unemployment!N524</f>
        <v>2988</v>
      </c>
      <c r="Y642">
        <f>[9]Unemployment!O524</f>
        <v>2631</v>
      </c>
      <c r="Z642">
        <f>[9]Unemployment!P524-[9]Unemployment!Q524</f>
        <v>1389</v>
      </c>
      <c r="AA642">
        <f>[9]Unemployment!$Q524</f>
        <v>1929</v>
      </c>
      <c r="AB642" s="2">
        <f>[8]m!$B644</f>
        <v>1.08</v>
      </c>
      <c r="AC642" s="2">
        <f>[8]m!$F644</f>
        <v>3.5700000000000003</v>
      </c>
      <c r="AD642">
        <f>[9]Employment!$B524</f>
        <v>129841</v>
      </c>
      <c r="AE642" s="2">
        <f>[2]Indicators!$AB524</f>
        <v>89.642800000000008</v>
      </c>
      <c r="AF642" s="2">
        <f>[8]m!$AS644</f>
        <v>2027.5</v>
      </c>
      <c r="AG642" s="2">
        <f>[8]m!$H644</f>
        <v>5.22</v>
      </c>
      <c r="AH642" s="2">
        <f>[8]m!$I644</f>
        <v>6.38</v>
      </c>
      <c r="AI642" s="2">
        <f>[7]m!C643</f>
        <v>81475</v>
      </c>
      <c r="AJ642" s="2">
        <f>[7]m!D643</f>
        <v>123465</v>
      </c>
      <c r="AK642" s="2">
        <f>[2]Surveys_m!$AB524</f>
        <v>49</v>
      </c>
      <c r="AL642" s="3">
        <v>3190</v>
      </c>
      <c r="AM642">
        <f>[2]Indicators!$BB524</f>
        <v>161467</v>
      </c>
      <c r="AN642" s="2">
        <v>61.1</v>
      </c>
      <c r="AO642">
        <f>[9]Unemployment!H524</f>
        <v>482</v>
      </c>
      <c r="AP642">
        <f>[9]Unemployment!I524</f>
        <v>946</v>
      </c>
      <c r="AQ642" s="3">
        <f>[9]LaborForce!$B523*[9]LaborForce!$C523/100</f>
        <v>146589.95200000002</v>
      </c>
      <c r="AR642">
        <f>[9]Unemployment!$AC524</f>
        <v>444</v>
      </c>
      <c r="AS642">
        <f>[2]Indicators!BC524</f>
        <v>92.5</v>
      </c>
      <c r="AT642">
        <f>[2]Indicators!BD524</f>
        <v>92.746600000000001</v>
      </c>
      <c r="AU642">
        <f>[2]Indicators!BE524</f>
        <v>95.824600000000004</v>
      </c>
      <c r="AV642">
        <f>[5]m!$O644</f>
        <v>148.17000000000002</v>
      </c>
    </row>
    <row r="643" spans="1:48" x14ac:dyDescent="0.25">
      <c r="A643" s="1">
        <v>37773</v>
      </c>
      <c r="B643" s="2">
        <f>[2]Indicators!G525</f>
        <v>7759.3890000000001</v>
      </c>
      <c r="C643" s="2">
        <f>[2]Indicators!H525</f>
        <v>1017.556</v>
      </c>
      <c r="D643" s="2">
        <f>[2]Indicators!I525</f>
        <v>1680.239</v>
      </c>
      <c r="E643" s="2">
        <f>[2]Indicators!J525</f>
        <v>5061.5940000000001</v>
      </c>
      <c r="F643" s="2">
        <f>[2]Indicators!B525</f>
        <v>8229.6409999999996</v>
      </c>
      <c r="G643" s="2">
        <f>[2]Indicators!C525</f>
        <v>986.60599999999999</v>
      </c>
      <c r="H643" s="2">
        <f>[2]Indicators!D525</f>
        <v>1837.779</v>
      </c>
      <c r="I643" s="2">
        <f>[2]Indicators!E525</f>
        <v>5408.58</v>
      </c>
      <c r="J643" s="2">
        <f>[2]Indicators!L525</f>
        <v>270903</v>
      </c>
      <c r="K643" s="2">
        <f>[2]Indicators!M525</f>
        <v>163977</v>
      </c>
      <c r="L643" s="2">
        <f>[2]Indicators!N525</f>
        <v>17.007000000000001</v>
      </c>
      <c r="M643" s="2">
        <f>[2]Indicators!AB525</f>
        <v>89.6511</v>
      </c>
      <c r="N643" s="2">
        <f>[8]m!$C645</f>
        <v>1.22</v>
      </c>
      <c r="O643">
        <f>[9]Unemployment!$B525</f>
        <v>6.3000000000000007</v>
      </c>
      <c r="P643" s="2">
        <f>[2]Surveys_m!$B525</f>
        <v>83.5</v>
      </c>
      <c r="Q643">
        <f>[5]m!$B645</f>
        <v>183.1</v>
      </c>
      <c r="R643">
        <f>[5]m!$D645</f>
        <v>193</v>
      </c>
      <c r="S643">
        <f>[5]m!$Q645</f>
        <v>138</v>
      </c>
      <c r="T643">
        <f>[6]m!B645</f>
        <v>21230</v>
      </c>
      <c r="U643" s="2">
        <f>[9]Unemployment!$F525</f>
        <v>19.900000000000002</v>
      </c>
      <c r="V643" s="2">
        <f>[9]Unemployment!$G525</f>
        <v>11.5</v>
      </c>
      <c r="W643">
        <f>[9]Unemployment!$E525</f>
        <v>9266</v>
      </c>
      <c r="X643">
        <f>[9]Unemployment!N525</f>
        <v>2906</v>
      </c>
      <c r="Y643">
        <f>[9]Unemployment!O525</f>
        <v>2745</v>
      </c>
      <c r="Z643">
        <f>[9]Unemployment!P525-[9]Unemployment!Q525</f>
        <v>1452</v>
      </c>
      <c r="AA643">
        <f>[9]Unemployment!$Q525</f>
        <v>2100</v>
      </c>
      <c r="AB643" s="2">
        <f>[8]m!$B645</f>
        <v>0.84</v>
      </c>
      <c r="AC643" s="2">
        <f>[8]m!$F645</f>
        <v>3.33</v>
      </c>
      <c r="AD643">
        <f>[9]Employment!$B525</f>
        <v>129839</v>
      </c>
      <c r="AE643" s="2">
        <f>[2]Indicators!$AB525</f>
        <v>89.6511</v>
      </c>
      <c r="AF643" s="2">
        <f>[8]m!$AS645</f>
        <v>2033.3000000000002</v>
      </c>
      <c r="AG643" s="2">
        <f>[8]m!$H645</f>
        <v>4.97</v>
      </c>
      <c r="AH643" s="2">
        <f>[8]m!$I645</f>
        <v>6.19</v>
      </c>
      <c r="AI643" s="2">
        <f>[7]m!C644</f>
        <v>82320</v>
      </c>
      <c r="AJ643" s="2">
        <f>[7]m!D644</f>
        <v>123059</v>
      </c>
      <c r="AK643" s="2">
        <f>[2]Surveys_m!$AB525</f>
        <v>49</v>
      </c>
      <c r="AL643" s="3">
        <v>3339</v>
      </c>
      <c r="AM643">
        <f>[2]Indicators!$BB525</f>
        <v>164585</v>
      </c>
      <c r="AN643" s="2">
        <v>65.2</v>
      </c>
      <c r="AO643">
        <f>[9]Unemployment!H525</f>
        <v>478</v>
      </c>
      <c r="AP643">
        <f>[9]Unemployment!I525</f>
        <v>990</v>
      </c>
      <c r="AQ643" s="3">
        <f>[9]LaborForce!$B524*[9]LaborForce!$C524/100</f>
        <v>146974.31</v>
      </c>
      <c r="AR643">
        <f>[9]Unemployment!$AC525</f>
        <v>431</v>
      </c>
      <c r="AS643">
        <f>[2]Indicators!BC525</f>
        <v>93</v>
      </c>
      <c r="AT643">
        <f>[2]Indicators!BD525</f>
        <v>93.495800000000003</v>
      </c>
      <c r="AU643">
        <f>[2]Indicators!BE525</f>
        <v>96.492400000000004</v>
      </c>
      <c r="AV643">
        <f>[5]m!$O645</f>
        <v>149.70000000000002</v>
      </c>
    </row>
    <row r="644" spans="1:48" x14ac:dyDescent="0.25">
      <c r="A644" s="1">
        <v>37803</v>
      </c>
      <c r="B644" s="2">
        <f>[2]Indicators!G526</f>
        <v>7821.2160000000003</v>
      </c>
      <c r="C644" s="2">
        <f>[2]Indicators!H526</f>
        <v>1030.9760000000001</v>
      </c>
      <c r="D644" s="2">
        <f>[2]Indicators!I526</f>
        <v>1696.9259999999999</v>
      </c>
      <c r="E644" s="2">
        <f>[2]Indicators!J526</f>
        <v>5093.3140000000003</v>
      </c>
      <c r="F644" s="2">
        <f>[2]Indicators!B526</f>
        <v>8272.16</v>
      </c>
      <c r="G644" s="2">
        <f>[2]Indicators!C526</f>
        <v>1000.957</v>
      </c>
      <c r="H644" s="2">
        <f>[2]Indicators!D526</f>
        <v>1844.1610000000001</v>
      </c>
      <c r="I644" s="2">
        <f>[2]Indicators!E526</f>
        <v>5429.37</v>
      </c>
      <c r="J644" s="2">
        <f>[2]Indicators!L526</f>
        <v>273850</v>
      </c>
      <c r="K644" s="2">
        <f>[2]Indicators!M526</f>
        <v>165132</v>
      </c>
      <c r="L644" s="2">
        <f>[2]Indicators!N526</f>
        <v>17.118000000000002</v>
      </c>
      <c r="M644" s="2">
        <f>[2]Indicators!AB526</f>
        <v>89.941200000000009</v>
      </c>
      <c r="N644" s="2">
        <f>[8]m!$C646</f>
        <v>1.01</v>
      </c>
      <c r="O644">
        <f>[9]Unemployment!$B526</f>
        <v>6.2</v>
      </c>
      <c r="P644" s="2">
        <f>[2]Surveys_m!$B526</f>
        <v>77</v>
      </c>
      <c r="Q644">
        <f>[5]m!$B646</f>
        <v>183.70000000000002</v>
      </c>
      <c r="R644">
        <f>[5]m!$D646</f>
        <v>193.4</v>
      </c>
      <c r="S644">
        <f>[5]m!$Q646</f>
        <v>137.70000000000002</v>
      </c>
      <c r="T644">
        <f>[6]m!B646</f>
        <v>-54240</v>
      </c>
      <c r="U644" s="2">
        <f>[9]Unemployment!$F526</f>
        <v>19.700000000000003</v>
      </c>
      <c r="V644" s="2">
        <f>[9]Unemployment!$G526</f>
        <v>10.3</v>
      </c>
      <c r="W644">
        <f>[9]Unemployment!$E526</f>
        <v>9011</v>
      </c>
      <c r="X644">
        <f>[9]Unemployment!N526</f>
        <v>2720</v>
      </c>
      <c r="Y644">
        <f>[9]Unemployment!O526</f>
        <v>2616</v>
      </c>
      <c r="Z644">
        <f>[9]Unemployment!P526-[9]Unemployment!Q526</f>
        <v>1661</v>
      </c>
      <c r="AA644">
        <f>[9]Unemployment!$Q526</f>
        <v>1972</v>
      </c>
      <c r="AB644" s="2">
        <f>[8]m!$B646</f>
        <v>0.95000000000000007</v>
      </c>
      <c r="AC644" s="2">
        <f>[8]m!$F646</f>
        <v>3.98</v>
      </c>
      <c r="AD644">
        <f>[9]Employment!$B526</f>
        <v>129864</v>
      </c>
      <c r="AE644" s="2">
        <f>[2]Indicators!$AB526</f>
        <v>89.941200000000009</v>
      </c>
      <c r="AF644" s="2">
        <f>[8]m!$AS646</f>
        <v>2040.1000000000001</v>
      </c>
      <c r="AG644" s="2">
        <f>[8]m!$H646</f>
        <v>5.49</v>
      </c>
      <c r="AH644" s="2">
        <f>[8]m!$I646</f>
        <v>6.62</v>
      </c>
      <c r="AI644" s="2">
        <f>[7]m!C645</f>
        <v>84804</v>
      </c>
      <c r="AJ644" s="2">
        <f>[7]m!D645</f>
        <v>124420</v>
      </c>
      <c r="AK644" s="2">
        <f>[2]Surveys_m!$AB526</f>
        <v>51</v>
      </c>
      <c r="AL644" s="3">
        <v>3249</v>
      </c>
      <c r="AM644">
        <f>[2]Indicators!$BB526</f>
        <v>165339</v>
      </c>
      <c r="AN644" s="2">
        <v>65.900000000000006</v>
      </c>
      <c r="AO644">
        <f>[9]Unemployment!H526</f>
        <v>470</v>
      </c>
      <c r="AP644">
        <f>[9]Unemployment!I526</f>
        <v>1096</v>
      </c>
      <c r="AQ644" s="3">
        <f>[9]LaborForce!$B525*[9]LaborForce!$C525/100</f>
        <v>146468.82399999999</v>
      </c>
      <c r="AR644">
        <f>[9]Unemployment!$AC526</f>
        <v>429</v>
      </c>
      <c r="AS644">
        <f>[2]Indicators!BC526</f>
        <v>93.600000000000009</v>
      </c>
      <c r="AT644">
        <f>[2]Indicators!BD526</f>
        <v>94.34190000000001</v>
      </c>
      <c r="AU644">
        <f>[2]Indicators!BE526</f>
        <v>97.257300000000001</v>
      </c>
      <c r="AV644">
        <f>[5]m!$O646</f>
        <v>151.65</v>
      </c>
    </row>
    <row r="645" spans="1:48" x14ac:dyDescent="0.25">
      <c r="A645" s="1">
        <v>37834</v>
      </c>
      <c r="B645" s="2">
        <f>[2]Indicators!G527</f>
        <v>7915.451</v>
      </c>
      <c r="C645" s="2">
        <f>[2]Indicators!H527</f>
        <v>1062.6210000000001</v>
      </c>
      <c r="D645" s="2">
        <f>[2]Indicators!I527</f>
        <v>1735.4460000000001</v>
      </c>
      <c r="E645" s="2">
        <f>[2]Indicators!J527</f>
        <v>5117.3850000000002</v>
      </c>
      <c r="F645" s="2">
        <f>[2]Indicators!B527</f>
        <v>8343.1579999999994</v>
      </c>
      <c r="G645" s="2">
        <f>[2]Indicators!C527</f>
        <v>1036.1870000000001</v>
      </c>
      <c r="H645" s="2">
        <f>[2]Indicators!D527</f>
        <v>1865.6670000000001</v>
      </c>
      <c r="I645" s="2">
        <f>[2]Indicators!E527</f>
        <v>5441.2160000000003</v>
      </c>
      <c r="J645" s="2">
        <f>[2]Indicators!L527</f>
        <v>278221</v>
      </c>
      <c r="K645" s="2">
        <f>[2]Indicators!M527</f>
        <v>167023</v>
      </c>
      <c r="L645" s="2">
        <f>[2]Indicators!N527</f>
        <v>18.257000000000001</v>
      </c>
      <c r="M645" s="2">
        <f>[2]Indicators!AB527</f>
        <v>89.888000000000005</v>
      </c>
      <c r="N645" s="2">
        <f>[8]m!$C647</f>
        <v>1.03</v>
      </c>
      <c r="O645">
        <f>[9]Unemployment!$B527</f>
        <v>6.1000000000000005</v>
      </c>
      <c r="P645" s="2">
        <f>[2]Surveys_m!$B527</f>
        <v>81.7</v>
      </c>
      <c r="Q645">
        <f>[5]m!$B647</f>
        <v>184.5</v>
      </c>
      <c r="R645">
        <f>[5]m!$D647</f>
        <v>193.6</v>
      </c>
      <c r="S645">
        <f>[5]m!$Q647</f>
        <v>138</v>
      </c>
      <c r="T645">
        <f>[6]m!B647</f>
        <v>-76587</v>
      </c>
      <c r="U645" s="2">
        <f>[9]Unemployment!$F527</f>
        <v>19.200000000000003</v>
      </c>
      <c r="V645" s="2">
        <f>[9]Unemployment!$G527</f>
        <v>10.100000000000001</v>
      </c>
      <c r="W645">
        <f>[9]Unemployment!$E527</f>
        <v>8896</v>
      </c>
      <c r="X645">
        <f>[9]Unemployment!N527</f>
        <v>2801</v>
      </c>
      <c r="Y645">
        <f>[9]Unemployment!O527</f>
        <v>2625</v>
      </c>
      <c r="Z645">
        <f>[9]Unemployment!P527-[9]Unemployment!Q527</f>
        <v>1562</v>
      </c>
      <c r="AA645">
        <f>[9]Unemployment!$Q527</f>
        <v>1995</v>
      </c>
      <c r="AB645" s="2">
        <f>[8]m!$B647</f>
        <v>0.96</v>
      </c>
      <c r="AC645" s="2">
        <f>[8]m!$F647</f>
        <v>4.45</v>
      </c>
      <c r="AD645">
        <f>[9]Employment!$B527</f>
        <v>129822</v>
      </c>
      <c r="AE645" s="2">
        <f>[2]Indicators!$AB527</f>
        <v>89.888000000000005</v>
      </c>
      <c r="AF645" s="2">
        <f>[8]m!$AS647</f>
        <v>2049.1</v>
      </c>
      <c r="AG645" s="2">
        <f>[8]m!$H647</f>
        <v>5.88</v>
      </c>
      <c r="AH645" s="2">
        <f>[8]m!$I647</f>
        <v>7.01</v>
      </c>
      <c r="AI645" s="2">
        <f>[7]m!C646</f>
        <v>85509</v>
      </c>
      <c r="AJ645" s="2">
        <f>[7]m!D646</f>
        <v>126552</v>
      </c>
      <c r="AK645" s="2">
        <f>[2]Surveys_m!$AB527</f>
        <v>53.2</v>
      </c>
      <c r="AL645" s="3">
        <v>3223</v>
      </c>
      <c r="AM645">
        <f>[2]Indicators!$BB527</f>
        <v>162206</v>
      </c>
      <c r="AN645" s="2">
        <v>64.8</v>
      </c>
      <c r="AO645">
        <f>[9]Unemployment!H527</f>
        <v>503</v>
      </c>
      <c r="AP645">
        <f>[9]Unemployment!I527</f>
        <v>1162</v>
      </c>
      <c r="AQ645" s="3">
        <f>[9]LaborForce!$B526*[9]LaborForce!$C526/100</f>
        <v>146416.12700000001</v>
      </c>
      <c r="AR645">
        <f>[9]Unemployment!$AC527</f>
        <v>401</v>
      </c>
      <c r="AS645">
        <f>[2]Indicators!BC527</f>
        <v>94.100000000000009</v>
      </c>
      <c r="AT645">
        <f>[2]Indicators!BD527</f>
        <v>95.26100000000001</v>
      </c>
      <c r="AU645">
        <f>[2]Indicators!BE527</f>
        <v>98.094100000000012</v>
      </c>
      <c r="AV645">
        <f>[5]m!$O647</f>
        <v>153.61000000000001</v>
      </c>
    </row>
    <row r="646" spans="1:48" x14ac:dyDescent="0.25">
      <c r="A646" s="1">
        <v>37865</v>
      </c>
      <c r="B646" s="2">
        <f>[2]Indicators!G528</f>
        <v>7909.2430000000004</v>
      </c>
      <c r="C646" s="2">
        <f>[2]Indicators!H528</f>
        <v>1036.402</v>
      </c>
      <c r="D646" s="2">
        <f>[2]Indicators!I528</f>
        <v>1745.8030000000001</v>
      </c>
      <c r="E646" s="2">
        <f>[2]Indicators!J528</f>
        <v>5127.0380000000005</v>
      </c>
      <c r="F646" s="2">
        <f>[2]Indicators!B528</f>
        <v>8310.1710000000003</v>
      </c>
      <c r="G646" s="2">
        <f>[2]Indicators!C528</f>
        <v>1013.537</v>
      </c>
      <c r="H646" s="2">
        <f>[2]Indicators!D528</f>
        <v>1860.9750000000001</v>
      </c>
      <c r="I646" s="2">
        <f>[2]Indicators!E528</f>
        <v>5437.2179999999998</v>
      </c>
      <c r="J646" s="2">
        <f>[2]Indicators!L528</f>
        <v>276954</v>
      </c>
      <c r="K646" s="2">
        <f>[2]Indicators!M528</f>
        <v>165620</v>
      </c>
      <c r="L646" s="2">
        <f>[2]Indicators!N528</f>
        <v>17.294</v>
      </c>
      <c r="M646" s="2">
        <f>[2]Indicators!AB528</f>
        <v>90.414200000000008</v>
      </c>
      <c r="N646" s="2">
        <f>[8]m!$C648</f>
        <v>1.01</v>
      </c>
      <c r="O646">
        <f>[9]Unemployment!$B528</f>
        <v>6.1000000000000005</v>
      </c>
      <c r="P646" s="2">
        <f>[2]Surveys_m!$B528</f>
        <v>77</v>
      </c>
      <c r="Q646">
        <f>[5]m!$B648</f>
        <v>185.1</v>
      </c>
      <c r="R646">
        <f>[5]m!$D648</f>
        <v>193.70000000000002</v>
      </c>
      <c r="S646">
        <f>[5]m!$Q648</f>
        <v>138.5</v>
      </c>
      <c r="T646">
        <f>[6]m!B648</f>
        <v>23402</v>
      </c>
      <c r="U646" s="2">
        <f>[9]Unemployment!$F528</f>
        <v>19.5</v>
      </c>
      <c r="V646" s="2">
        <f>[9]Unemployment!$G528</f>
        <v>10.200000000000001</v>
      </c>
      <c r="W646">
        <f>[9]Unemployment!$E528</f>
        <v>8921</v>
      </c>
      <c r="X646">
        <f>[9]Unemployment!N528</f>
        <v>2704</v>
      </c>
      <c r="Y646">
        <f>[9]Unemployment!O528</f>
        <v>2775</v>
      </c>
      <c r="Z646">
        <f>[9]Unemployment!P528-[9]Unemployment!Q528</f>
        <v>1472</v>
      </c>
      <c r="AA646">
        <f>[9]Unemployment!$Q528</f>
        <v>2014</v>
      </c>
      <c r="AB646" s="2">
        <f>[8]m!$B648</f>
        <v>0.93</v>
      </c>
      <c r="AC646" s="2">
        <f>[8]m!$F648</f>
        <v>4.2700000000000005</v>
      </c>
      <c r="AD646">
        <f>[9]Employment!$B528</f>
        <v>129925</v>
      </c>
      <c r="AE646" s="2">
        <f>[2]Indicators!$AB528</f>
        <v>90.414200000000008</v>
      </c>
      <c r="AF646" s="2">
        <f>[8]m!$AS648</f>
        <v>2057.1</v>
      </c>
      <c r="AG646" s="2">
        <f>[8]m!$H648</f>
        <v>5.72</v>
      </c>
      <c r="AH646" s="2">
        <f>[8]m!$I648</f>
        <v>6.79</v>
      </c>
      <c r="AI646" s="2">
        <f>[7]m!C647</f>
        <v>84374</v>
      </c>
      <c r="AJ646" s="2">
        <f>[7]m!D647</f>
        <v>123827</v>
      </c>
      <c r="AK646" s="2">
        <f>[2]Surveys_m!$AB528</f>
        <v>52.400000000000006</v>
      </c>
      <c r="AL646" s="3">
        <v>3140</v>
      </c>
      <c r="AM646">
        <f>[2]Indicators!$BB528</f>
        <v>169193</v>
      </c>
      <c r="AN646" s="2">
        <v>65.5</v>
      </c>
      <c r="AO646">
        <f>[9]Unemployment!H528</f>
        <v>388</v>
      </c>
      <c r="AP646">
        <f>[9]Unemployment!I528</f>
        <v>1156</v>
      </c>
      <c r="AQ646" s="3">
        <f>[9]LaborForce!$B527*[9]LaborForce!$C527/100</f>
        <v>146595.91900000002</v>
      </c>
      <c r="AR646">
        <f>[9]Unemployment!$AC528</f>
        <v>407</v>
      </c>
      <c r="AS646">
        <f>[2]Indicators!BC528</f>
        <v>94.9</v>
      </c>
      <c r="AT646">
        <f>[2]Indicators!BD528</f>
        <v>96.225200000000001</v>
      </c>
      <c r="AU646">
        <f>[2]Indicators!BE528</f>
        <v>98.974100000000007</v>
      </c>
      <c r="AV646">
        <f>[5]m!$O648</f>
        <v>155.77000000000001</v>
      </c>
    </row>
    <row r="647" spans="1:48" x14ac:dyDescent="0.25">
      <c r="A647" s="1">
        <v>37895</v>
      </c>
      <c r="B647" s="2">
        <f>[2]Indicators!G529</f>
        <v>7921.2750000000005</v>
      </c>
      <c r="C647" s="2">
        <f>[2]Indicators!H529</f>
        <v>1035.3800000000001</v>
      </c>
      <c r="D647" s="2">
        <f>[2]Indicators!I529</f>
        <v>1733.1410000000001</v>
      </c>
      <c r="E647" s="2">
        <f>[2]Indicators!J529</f>
        <v>5152.7529999999997</v>
      </c>
      <c r="F647" s="2">
        <f>[2]Indicators!B529</f>
        <v>8324.52</v>
      </c>
      <c r="G647" s="2">
        <f>[2]Indicators!C529</f>
        <v>1016.077</v>
      </c>
      <c r="H647" s="2">
        <f>[2]Indicators!D529</f>
        <v>1859.597</v>
      </c>
      <c r="I647" s="2">
        <f>[2]Indicators!E529</f>
        <v>5450.3140000000003</v>
      </c>
      <c r="J647" s="2">
        <f>[2]Indicators!L529</f>
        <v>275112</v>
      </c>
      <c r="K647" s="2">
        <f>[2]Indicators!M529</f>
        <v>165098</v>
      </c>
      <c r="L647" s="2">
        <f>[2]Indicators!N529</f>
        <v>16.491</v>
      </c>
      <c r="M647" s="2">
        <f>[2]Indicators!AB529</f>
        <v>90.380800000000008</v>
      </c>
      <c r="N647" s="2">
        <f>[8]m!$C649</f>
        <v>1.01</v>
      </c>
      <c r="O647">
        <f>[9]Unemployment!$B529</f>
        <v>6</v>
      </c>
      <c r="P647" s="2">
        <f>[2]Surveys_m!$B529</f>
        <v>81.7</v>
      </c>
      <c r="Q647">
        <f>[5]m!$B649</f>
        <v>184.9</v>
      </c>
      <c r="R647">
        <f>[5]m!$D649</f>
        <v>194</v>
      </c>
      <c r="S647">
        <f>[5]m!$Q649</f>
        <v>139.30000000000001</v>
      </c>
      <c r="T647">
        <f>[6]m!B649</f>
        <v>-69545</v>
      </c>
      <c r="U647" s="2">
        <f>[9]Unemployment!$F529</f>
        <v>19.3</v>
      </c>
      <c r="V647" s="2">
        <f>[9]Unemployment!$G529</f>
        <v>10.4</v>
      </c>
      <c r="W647">
        <f>[9]Unemployment!$E529</f>
        <v>8732</v>
      </c>
      <c r="X647">
        <f>[9]Unemployment!N529</f>
        <v>2710</v>
      </c>
      <c r="Y647">
        <f>[9]Unemployment!O529</f>
        <v>2593</v>
      </c>
      <c r="Z647">
        <f>[9]Unemployment!P529-[9]Unemployment!Q529</f>
        <v>1492</v>
      </c>
      <c r="AA647">
        <f>[9]Unemployment!$Q529</f>
        <v>1959</v>
      </c>
      <c r="AB647" s="2">
        <f>[8]m!$B649</f>
        <v>0.93</v>
      </c>
      <c r="AC647" s="2">
        <f>[8]m!$F649</f>
        <v>4.29</v>
      </c>
      <c r="AD647">
        <f>[9]Employment!$B529</f>
        <v>130128</v>
      </c>
      <c r="AE647" s="2">
        <f>[2]Indicators!$AB529</f>
        <v>90.380800000000008</v>
      </c>
      <c r="AF647" s="2">
        <f>[8]m!$AS649</f>
        <v>2065.5</v>
      </c>
      <c r="AG647" s="2">
        <f>[8]m!$H649</f>
        <v>5.7</v>
      </c>
      <c r="AH647" s="2">
        <f>[8]m!$I649</f>
        <v>6.73</v>
      </c>
      <c r="AI647" s="2">
        <f>[7]m!C648</f>
        <v>86364</v>
      </c>
      <c r="AJ647" s="2">
        <f>[7]m!D648</f>
        <v>127672</v>
      </c>
      <c r="AK647" s="2">
        <f>[2]Surveys_m!$AB529</f>
        <v>55.2</v>
      </c>
      <c r="AL647" s="3">
        <v>3305</v>
      </c>
      <c r="AM647">
        <f>[2]Indicators!$BB529</f>
        <v>172952</v>
      </c>
      <c r="AN647" s="2">
        <v>64.5</v>
      </c>
      <c r="AO647">
        <f>[9]Unemployment!H529</f>
        <v>462</v>
      </c>
      <c r="AP647">
        <f>[9]Unemployment!I529</f>
        <v>1125</v>
      </c>
      <c r="AQ647" s="3">
        <f>[9]LaborForce!$B528*[9]LaborForce!$C528/100</f>
        <v>146767.77900000001</v>
      </c>
      <c r="AR647">
        <f>[9]Unemployment!$AC529</f>
        <v>387</v>
      </c>
      <c r="AS647">
        <f>[2]Indicators!BC529</f>
        <v>95.7</v>
      </c>
      <c r="AT647">
        <f>[2]Indicators!BD529</f>
        <v>97.1858</v>
      </c>
      <c r="AU647">
        <f>[2]Indicators!BE529</f>
        <v>99.847000000000008</v>
      </c>
      <c r="AV647">
        <f>[5]m!$O649</f>
        <v>157.71</v>
      </c>
    </row>
    <row r="648" spans="1:48" x14ac:dyDescent="0.25">
      <c r="A648" s="1">
        <v>37926</v>
      </c>
      <c r="B648" s="2">
        <f>[2]Indicators!G530</f>
        <v>7968.116</v>
      </c>
      <c r="C648" s="2">
        <f>[2]Indicators!H530</f>
        <v>1051.434</v>
      </c>
      <c r="D648" s="2">
        <f>[2]Indicators!I530</f>
        <v>1743.6010000000001</v>
      </c>
      <c r="E648" s="2">
        <f>[2]Indicators!J530</f>
        <v>5173.0810000000001</v>
      </c>
      <c r="F648" s="2">
        <f>[2]Indicators!B530</f>
        <v>8364.5810000000001</v>
      </c>
      <c r="G648" s="2">
        <f>[2]Indicators!C530</f>
        <v>1034.2070000000001</v>
      </c>
      <c r="H648" s="2">
        <f>[2]Indicators!D530</f>
        <v>1869.9460000000001</v>
      </c>
      <c r="I648" s="2">
        <f>[2]Indicators!E530</f>
        <v>5460.96</v>
      </c>
      <c r="J648" s="2">
        <f>[2]Indicators!L530</f>
        <v>278953</v>
      </c>
      <c r="K648" s="2">
        <f>[2]Indicators!M530</f>
        <v>167190</v>
      </c>
      <c r="L648" s="2">
        <f>[2]Indicators!N530</f>
        <v>17.573</v>
      </c>
      <c r="M648" s="2">
        <f>[2]Indicators!AB530</f>
        <v>91.091200000000001</v>
      </c>
      <c r="N648" s="2">
        <f>[8]m!$C650</f>
        <v>1</v>
      </c>
      <c r="O648">
        <f>[9]Unemployment!$B530</f>
        <v>5.8000000000000007</v>
      </c>
      <c r="P648" s="2">
        <f>[2]Surveys_m!$B530</f>
        <v>92.5</v>
      </c>
      <c r="Q648">
        <f>[5]m!$B650</f>
        <v>185</v>
      </c>
      <c r="R648">
        <f>[5]m!$D650</f>
        <v>194</v>
      </c>
      <c r="S648">
        <f>[5]m!$Q650</f>
        <v>138.9</v>
      </c>
      <c r="T648">
        <f>[6]m!B650</f>
        <v>-42971</v>
      </c>
      <c r="U648" s="2">
        <f>[9]Unemployment!$F530</f>
        <v>19.900000000000002</v>
      </c>
      <c r="V648" s="2">
        <f>[9]Unemployment!$G530</f>
        <v>10.3</v>
      </c>
      <c r="W648">
        <f>[9]Unemployment!$E530</f>
        <v>8576</v>
      </c>
      <c r="X648">
        <f>[9]Unemployment!N530</f>
        <v>2656</v>
      </c>
      <c r="Y648">
        <f>[9]Unemployment!O530</f>
        <v>2509</v>
      </c>
      <c r="Z648">
        <f>[9]Unemployment!P530-[9]Unemployment!Q530</f>
        <v>1414</v>
      </c>
      <c r="AA648">
        <f>[9]Unemployment!$Q530</f>
        <v>2006</v>
      </c>
      <c r="AB648" s="2">
        <f>[8]m!$B650</f>
        <v>0.91</v>
      </c>
      <c r="AC648" s="2">
        <f>[8]m!$F650</f>
        <v>4.3</v>
      </c>
      <c r="AD648">
        <f>[9]Employment!$B530</f>
        <v>130146</v>
      </c>
      <c r="AE648" s="2">
        <f>[2]Indicators!$AB530</f>
        <v>91.091200000000001</v>
      </c>
      <c r="AF648" s="2">
        <f>[8]m!$AS650</f>
        <v>2066.4</v>
      </c>
      <c r="AG648" s="2">
        <f>[8]m!$H650</f>
        <v>5.65</v>
      </c>
      <c r="AH648" s="2">
        <f>[8]m!$I650</f>
        <v>6.66</v>
      </c>
      <c r="AI648" s="2">
        <f>[7]m!C649</f>
        <v>88601</v>
      </c>
      <c r="AJ648" s="2">
        <f>[7]m!D649</f>
        <v>129403</v>
      </c>
      <c r="AK648" s="2">
        <f>[2]Surveys_m!$AB530</f>
        <v>58.400000000000006</v>
      </c>
      <c r="AL648" s="3">
        <v>3338</v>
      </c>
      <c r="AM648">
        <f>[2]Indicators!$BB530</f>
        <v>172602</v>
      </c>
      <c r="AN648" s="2">
        <v>68.8</v>
      </c>
      <c r="AO648">
        <f>[9]Unemployment!H530</f>
        <v>457</v>
      </c>
      <c r="AP648">
        <f>[9]Unemployment!I530</f>
        <v>1016</v>
      </c>
      <c r="AQ648" s="3">
        <f>[9]LaborForce!$B529*[9]LaborForce!$C529/100</f>
        <v>146926.41900000002</v>
      </c>
      <c r="AR648">
        <f>[9]Unemployment!$AC530</f>
        <v>363</v>
      </c>
      <c r="AS648">
        <f>[2]Indicators!BC530</f>
        <v>96.4</v>
      </c>
      <c r="AT648">
        <f>[2]Indicators!BD530</f>
        <v>98.06880000000001</v>
      </c>
      <c r="AU648">
        <f>[2]Indicators!BE530</f>
        <v>100.6371</v>
      </c>
      <c r="AV648">
        <f>[5]m!$O650</f>
        <v>159.55000000000001</v>
      </c>
    </row>
    <row r="649" spans="1:48" x14ac:dyDescent="0.25">
      <c r="A649" s="1">
        <v>37956</v>
      </c>
      <c r="B649" s="2">
        <f>[2]Indicators!G531</f>
        <v>7994.317</v>
      </c>
      <c r="C649" s="2">
        <f>[2]Indicators!H531</f>
        <v>1044.0810000000001</v>
      </c>
      <c r="D649" s="2">
        <f>[2]Indicators!I531</f>
        <v>1747.595</v>
      </c>
      <c r="E649" s="2">
        <f>[2]Indicators!J531</f>
        <v>5202.6410000000005</v>
      </c>
      <c r="F649" s="2">
        <f>[2]Indicators!B531</f>
        <v>8371.8520000000008</v>
      </c>
      <c r="G649" s="2">
        <f>[2]Indicators!C531</f>
        <v>1029.33</v>
      </c>
      <c r="H649" s="2">
        <f>[2]Indicators!D531</f>
        <v>1864.7909999999999</v>
      </c>
      <c r="I649" s="2">
        <f>[2]Indicators!E531</f>
        <v>5478.634</v>
      </c>
      <c r="J649" s="2">
        <f>[2]Indicators!L531</f>
        <v>278196</v>
      </c>
      <c r="K649" s="2">
        <f>[2]Indicators!M531</f>
        <v>166093</v>
      </c>
      <c r="L649" s="2">
        <f>[2]Indicators!N531</f>
        <v>17.379000000000001</v>
      </c>
      <c r="M649" s="2">
        <f>[2]Indicators!AB531</f>
        <v>91.060100000000006</v>
      </c>
      <c r="N649" s="2">
        <f>[8]m!$C651</f>
        <v>0.98</v>
      </c>
      <c r="O649">
        <f>[9]Unemployment!$B531</f>
        <v>5.7</v>
      </c>
      <c r="P649" s="2">
        <f>[2]Surveys_m!$B531</f>
        <v>94.800000000000011</v>
      </c>
      <c r="Q649">
        <f>[5]m!$B651</f>
        <v>185.5</v>
      </c>
      <c r="R649">
        <f>[5]m!$D651</f>
        <v>194.20000000000002</v>
      </c>
      <c r="S649">
        <f>[5]m!$Q651</f>
        <v>139.5</v>
      </c>
      <c r="T649">
        <f>[6]m!B651</f>
        <v>-17640</v>
      </c>
      <c r="U649" s="2">
        <f>[9]Unemployment!$F531</f>
        <v>19.8</v>
      </c>
      <c r="V649" s="2">
        <f>[9]Unemployment!$G531</f>
        <v>10.4</v>
      </c>
      <c r="W649">
        <f>[9]Unemployment!$E531</f>
        <v>8317</v>
      </c>
      <c r="X649">
        <f>[9]Unemployment!N531</f>
        <v>2554</v>
      </c>
      <c r="Y649">
        <f>[9]Unemployment!O531</f>
        <v>2455</v>
      </c>
      <c r="Z649">
        <f>[9]Unemployment!P531-[9]Unemployment!Q531</f>
        <v>1435</v>
      </c>
      <c r="AA649">
        <f>[9]Unemployment!$Q531</f>
        <v>1931</v>
      </c>
      <c r="AB649" s="2">
        <f>[8]m!$B651</f>
        <v>0.91</v>
      </c>
      <c r="AC649" s="2">
        <f>[8]m!$F651</f>
        <v>4.2700000000000005</v>
      </c>
      <c r="AD649">
        <f>[9]Employment!$B531</f>
        <v>130270</v>
      </c>
      <c r="AE649" s="2">
        <f>[2]Indicators!$AB531</f>
        <v>91.060100000000006</v>
      </c>
      <c r="AF649" s="2">
        <f>[8]m!$AS651</f>
        <v>2077.4</v>
      </c>
      <c r="AG649" s="2">
        <f>[8]m!$H651</f>
        <v>5.62</v>
      </c>
      <c r="AH649" s="2">
        <f>[8]m!$I651</f>
        <v>6.6000000000000005</v>
      </c>
      <c r="AI649" s="2">
        <f>[7]m!C650</f>
        <v>90974</v>
      </c>
      <c r="AJ649" s="2">
        <f>[7]m!D650</f>
        <v>130303</v>
      </c>
      <c r="AK649" s="2">
        <f>[2]Surveys_m!$AB531</f>
        <v>60.1</v>
      </c>
      <c r="AL649" s="3">
        <v>3293</v>
      </c>
      <c r="AM649">
        <f>[2]Indicators!$BB531</f>
        <v>169917</v>
      </c>
      <c r="AN649" s="2">
        <v>69.599999999999994</v>
      </c>
      <c r="AO649">
        <f>[9]Unemployment!H531</f>
        <v>433</v>
      </c>
      <c r="AP649">
        <f>[9]Unemployment!I531</f>
        <v>1050</v>
      </c>
      <c r="AQ649" s="3">
        <f>[9]LaborForce!$B530*[9]LaborForce!$C530/100</f>
        <v>146633.43100000001</v>
      </c>
      <c r="AR649">
        <f>[9]Unemployment!$AC531</f>
        <v>357</v>
      </c>
      <c r="AS649">
        <f>[2]Indicators!BC531</f>
        <v>96.9</v>
      </c>
      <c r="AT649">
        <f>[2]Indicators!BD531</f>
        <v>98.797800000000009</v>
      </c>
      <c r="AU649">
        <f>[2]Indicators!BE531</f>
        <v>101.26660000000001</v>
      </c>
      <c r="AV649">
        <f>[5]m!$O651</f>
        <v>161.27000000000001</v>
      </c>
    </row>
    <row r="650" spans="1:48" x14ac:dyDescent="0.25">
      <c r="A650" s="1">
        <v>37987</v>
      </c>
      <c r="B650" s="2">
        <f>[2]Indicators!G532</f>
        <v>8065.942</v>
      </c>
      <c r="C650" s="2">
        <f>[2]Indicators!H532</f>
        <v>1046.6020000000001</v>
      </c>
      <c r="D650" s="2">
        <f>[2]Indicators!I532</f>
        <v>1778.615</v>
      </c>
      <c r="E650" s="2">
        <f>[2]Indicators!J532</f>
        <v>5240.7240000000002</v>
      </c>
      <c r="F650" s="2">
        <f>[2]Indicators!B532</f>
        <v>8413.7749999999996</v>
      </c>
      <c r="G650" s="2">
        <f>[2]Indicators!C532</f>
        <v>1030.498</v>
      </c>
      <c r="H650" s="2">
        <f>[2]Indicators!D532</f>
        <v>1883.778</v>
      </c>
      <c r="I650" s="2">
        <f>[2]Indicators!E532</f>
        <v>5500.8620000000001</v>
      </c>
      <c r="J650" s="2">
        <f>[2]Indicators!L532</f>
        <v>279627</v>
      </c>
      <c r="K650" s="2">
        <f>[2]Indicators!M532</f>
        <v>166426</v>
      </c>
      <c r="L650" s="2">
        <f>[2]Indicators!N532</f>
        <v>16.692</v>
      </c>
      <c r="M650" s="2">
        <f>[2]Indicators!AB532</f>
        <v>91.290199999999999</v>
      </c>
      <c r="N650" s="2">
        <f>[8]m!$C652</f>
        <v>1</v>
      </c>
      <c r="O650">
        <f>[9]Unemployment!$B532</f>
        <v>5.7</v>
      </c>
      <c r="P650" s="2">
        <f>[2]Surveys_m!$B532</f>
        <v>97.7</v>
      </c>
      <c r="Q650">
        <f>[5]m!$B652</f>
        <v>186.3</v>
      </c>
      <c r="R650">
        <f>[5]m!$D652</f>
        <v>194.6</v>
      </c>
      <c r="S650">
        <f>[5]m!$Q652</f>
        <v>141.4</v>
      </c>
      <c r="T650">
        <f>[6]m!B652</f>
        <v>-1633</v>
      </c>
      <c r="U650" s="2">
        <f>[9]Unemployment!$F532</f>
        <v>19.900000000000002</v>
      </c>
      <c r="V650" s="2">
        <f>[9]Unemployment!$G532</f>
        <v>10.600000000000001</v>
      </c>
      <c r="W650">
        <f>[9]Unemployment!$E532</f>
        <v>8370</v>
      </c>
      <c r="X650">
        <f>[9]Unemployment!N532</f>
        <v>2685</v>
      </c>
      <c r="Y650">
        <f>[9]Unemployment!O532</f>
        <v>2369</v>
      </c>
      <c r="Z650">
        <f>[9]Unemployment!P532-[9]Unemployment!Q532</f>
        <v>1453</v>
      </c>
      <c r="AA650">
        <f>[9]Unemployment!$Q532</f>
        <v>1911</v>
      </c>
      <c r="AB650" s="2">
        <f>[8]m!$B652</f>
        <v>0.9</v>
      </c>
      <c r="AC650" s="2">
        <f>[8]m!$F652</f>
        <v>4.1500000000000004</v>
      </c>
      <c r="AD650">
        <f>[9]Employment!$B532</f>
        <v>130420</v>
      </c>
      <c r="AE650" s="2">
        <f>[2]Indicators!$AB532</f>
        <v>91.290199999999999</v>
      </c>
      <c r="AF650" s="2">
        <f>[8]m!$AS652</f>
        <v>2088.2000000000003</v>
      </c>
      <c r="AG650" s="2">
        <f>[8]m!$H652</f>
        <v>5.54</v>
      </c>
      <c r="AH650" s="2">
        <f>[8]m!$I652</f>
        <v>6.44</v>
      </c>
      <c r="AI650" s="2">
        <f>[7]m!C651</f>
        <v>90664</v>
      </c>
      <c r="AJ650" s="2">
        <f>[7]m!D651</f>
        <v>134257</v>
      </c>
      <c r="AK650" s="2">
        <f>[2]Surveys_m!$AB532</f>
        <v>60.800000000000004</v>
      </c>
      <c r="AL650" s="3">
        <v>3524</v>
      </c>
      <c r="AM650">
        <f>[2]Indicators!$BB532</f>
        <v>166679</v>
      </c>
      <c r="AN650" s="2">
        <v>70.400000000000006</v>
      </c>
      <c r="AO650">
        <f>[9]Unemployment!H532</f>
        <v>432</v>
      </c>
      <c r="AP650">
        <f>[9]Unemployment!I532</f>
        <v>1238</v>
      </c>
      <c r="AQ650" s="3">
        <f>[9]LaborForce!$B531*[9]LaborForce!$C531/100</f>
        <v>146848.421</v>
      </c>
      <c r="AR650">
        <f>[9]Unemployment!$AC532</f>
        <v>349</v>
      </c>
      <c r="AS650">
        <f>[2]Indicators!BC532</f>
        <v>97.5</v>
      </c>
      <c r="AT650">
        <f>[2]Indicators!BD532</f>
        <v>99.351500000000001</v>
      </c>
      <c r="AU650">
        <f>[2]Indicators!BE532</f>
        <v>101.7146</v>
      </c>
      <c r="AV650">
        <f>[5]m!$O652</f>
        <v>162.9</v>
      </c>
    </row>
    <row r="651" spans="1:48" x14ac:dyDescent="0.25">
      <c r="A651" s="1">
        <v>38018</v>
      </c>
      <c r="B651" s="2">
        <f>[2]Indicators!G533</f>
        <v>8096.5230000000001</v>
      </c>
      <c r="C651" s="2">
        <f>[2]Indicators!H533</f>
        <v>1058.8920000000001</v>
      </c>
      <c r="D651" s="2">
        <f>[2]Indicators!I533</f>
        <v>1770.836</v>
      </c>
      <c r="E651" s="2">
        <f>[2]Indicators!J533</f>
        <v>5266.7950000000001</v>
      </c>
      <c r="F651" s="2">
        <f>[2]Indicators!B533</f>
        <v>8424.4320000000007</v>
      </c>
      <c r="G651" s="2">
        <f>[2]Indicators!C533</f>
        <v>1042.0360000000001</v>
      </c>
      <c r="H651" s="2">
        <f>[2]Indicators!D533</f>
        <v>1869.058</v>
      </c>
      <c r="I651" s="2">
        <f>[2]Indicators!E533</f>
        <v>5513.9890000000005</v>
      </c>
      <c r="J651" s="2">
        <f>[2]Indicators!L533</f>
        <v>281370</v>
      </c>
      <c r="K651" s="2">
        <f>[2]Indicators!M533</f>
        <v>167067</v>
      </c>
      <c r="L651" s="2">
        <f>[2]Indicators!N533</f>
        <v>17.029</v>
      </c>
      <c r="M651" s="2">
        <f>[2]Indicators!AB533</f>
        <v>91.838300000000004</v>
      </c>
      <c r="N651" s="2">
        <f>[8]m!$C653</f>
        <v>1.01</v>
      </c>
      <c r="O651">
        <f>[9]Unemployment!$B533</f>
        <v>5.6000000000000005</v>
      </c>
      <c r="P651" s="2">
        <f>[2]Surveys_m!$B533</f>
        <v>88.5</v>
      </c>
      <c r="Q651">
        <f>[5]m!$B653</f>
        <v>186.70000000000002</v>
      </c>
      <c r="R651">
        <f>[5]m!$D653</f>
        <v>194.9</v>
      </c>
      <c r="S651">
        <f>[5]m!$Q653</f>
        <v>142.1</v>
      </c>
      <c r="T651">
        <f>[6]m!B653</f>
        <v>-96701</v>
      </c>
      <c r="U651" s="2">
        <f>[9]Unemployment!$F533</f>
        <v>20.100000000000001</v>
      </c>
      <c r="V651" s="2">
        <f>[9]Unemployment!$G533</f>
        <v>10.200000000000001</v>
      </c>
      <c r="W651">
        <f>[9]Unemployment!$E533</f>
        <v>8167</v>
      </c>
      <c r="X651">
        <f>[9]Unemployment!N533</f>
        <v>2425</v>
      </c>
      <c r="Y651">
        <f>[9]Unemployment!O533</f>
        <v>2436</v>
      </c>
      <c r="Z651">
        <f>[9]Unemployment!P533-[9]Unemployment!Q533</f>
        <v>1392</v>
      </c>
      <c r="AA651">
        <f>[9]Unemployment!$Q533</f>
        <v>1856</v>
      </c>
      <c r="AB651" s="2">
        <f>[8]m!$B653</f>
        <v>0.93</v>
      </c>
      <c r="AC651" s="2">
        <f>[8]m!$F653</f>
        <v>4.08</v>
      </c>
      <c r="AD651">
        <f>[9]Employment!$B533</f>
        <v>130463</v>
      </c>
      <c r="AE651" s="2">
        <f>[2]Indicators!$AB533</f>
        <v>91.838300000000004</v>
      </c>
      <c r="AF651" s="2">
        <f>[8]m!$AS653</f>
        <v>2095.3000000000002</v>
      </c>
      <c r="AG651" s="2">
        <f>[8]m!$H653</f>
        <v>5.5</v>
      </c>
      <c r="AH651" s="2">
        <f>[8]m!$I653</f>
        <v>6.2700000000000005</v>
      </c>
      <c r="AI651" s="2">
        <f>[7]m!C652</f>
        <v>90160</v>
      </c>
      <c r="AJ651" s="2">
        <f>[7]m!D652</f>
        <v>134376</v>
      </c>
      <c r="AK651" s="2">
        <f>[2]Surveys_m!$AB533</f>
        <v>59.900000000000006</v>
      </c>
      <c r="AL651" s="3">
        <v>3502</v>
      </c>
      <c r="AM651">
        <f>[2]Indicators!$BB533</f>
        <v>170086</v>
      </c>
      <c r="AN651" s="2">
        <v>74.900000000000006</v>
      </c>
      <c r="AO651">
        <f>[9]Unemployment!H533</f>
        <v>484</v>
      </c>
      <c r="AP651">
        <f>[9]Unemployment!I533</f>
        <v>1206</v>
      </c>
      <c r="AQ651" s="3">
        <f>[9]LaborForce!$B532*[9]LaborForce!$C532/100</f>
        <v>146755.62</v>
      </c>
      <c r="AR651">
        <f>[9]Unemployment!$AC533</f>
        <v>376</v>
      </c>
      <c r="AS651">
        <f>[2]Indicators!BC533</f>
        <v>97.9</v>
      </c>
      <c r="AT651">
        <f>[2]Indicators!BD533</f>
        <v>99.716300000000004</v>
      </c>
      <c r="AU651">
        <f>[2]Indicators!BE533</f>
        <v>101.96820000000001</v>
      </c>
      <c r="AV651">
        <f>[5]m!$O653</f>
        <v>164.82</v>
      </c>
    </row>
    <row r="652" spans="1:48" x14ac:dyDescent="0.25">
      <c r="A652" s="1">
        <v>38047</v>
      </c>
      <c r="B652" s="2">
        <f>[2]Indicators!G534</f>
        <v>8131.7160000000003</v>
      </c>
      <c r="C652" s="2">
        <f>[2]Indicators!H534</f>
        <v>1066.9770000000001</v>
      </c>
      <c r="D652" s="2">
        <f>[2]Indicators!I534</f>
        <v>1793.7909999999999</v>
      </c>
      <c r="E652" s="2">
        <f>[2]Indicators!J534</f>
        <v>5270.9470000000001</v>
      </c>
      <c r="F652" s="2">
        <f>[2]Indicators!B534</f>
        <v>8444.7180000000008</v>
      </c>
      <c r="G652" s="2">
        <f>[2]Indicators!C534</f>
        <v>1050.2249999999999</v>
      </c>
      <c r="H652" s="2">
        <f>[2]Indicators!D534</f>
        <v>1888.434</v>
      </c>
      <c r="I652" s="2">
        <f>[2]Indicators!E534</f>
        <v>5506.5820000000003</v>
      </c>
      <c r="J652" s="2">
        <f>[2]Indicators!L534</f>
        <v>286871</v>
      </c>
      <c r="K652" s="2">
        <f>[2]Indicators!M534</f>
        <v>169782</v>
      </c>
      <c r="L652" s="2">
        <f>[2]Indicators!N534</f>
        <v>17.25</v>
      </c>
      <c r="M652" s="2">
        <f>[2]Indicators!AB534</f>
        <v>91.298600000000008</v>
      </c>
      <c r="N652" s="2">
        <f>[8]m!$C654</f>
        <v>1</v>
      </c>
      <c r="O652">
        <f>[9]Unemployment!$B534</f>
        <v>5.8000000000000007</v>
      </c>
      <c r="P652" s="2">
        <f>[2]Surveys_m!$B534</f>
        <v>88.5</v>
      </c>
      <c r="Q652">
        <f>[5]m!$B654</f>
        <v>187.1</v>
      </c>
      <c r="R652">
        <f>[5]m!$D654</f>
        <v>195.5</v>
      </c>
      <c r="S652">
        <f>[5]m!$Q654</f>
        <v>143.1</v>
      </c>
      <c r="T652">
        <f>[6]m!B654</f>
        <v>-72913</v>
      </c>
      <c r="U652" s="2">
        <f>[9]Unemployment!$F534</f>
        <v>19.8</v>
      </c>
      <c r="V652" s="2">
        <f>[9]Unemployment!$G534</f>
        <v>10.200000000000001</v>
      </c>
      <c r="W652">
        <f>[9]Unemployment!$E534</f>
        <v>8491</v>
      </c>
      <c r="X652">
        <f>[9]Unemployment!N534</f>
        <v>2637</v>
      </c>
      <c r="Y652">
        <f>[9]Unemployment!O534</f>
        <v>2434</v>
      </c>
      <c r="Z652">
        <f>[9]Unemployment!P534-[9]Unemployment!Q534</f>
        <v>1331</v>
      </c>
      <c r="AA652">
        <f>[9]Unemployment!$Q534</f>
        <v>1983</v>
      </c>
      <c r="AB652" s="2">
        <f>[8]m!$B654</f>
        <v>0.93</v>
      </c>
      <c r="AC652" s="2">
        <f>[8]m!$F654</f>
        <v>3.83</v>
      </c>
      <c r="AD652">
        <f>[9]Employment!$B534</f>
        <v>130801</v>
      </c>
      <c r="AE652" s="2">
        <f>[2]Indicators!$AB534</f>
        <v>91.298600000000008</v>
      </c>
      <c r="AF652" s="2">
        <f>[8]m!$AS654</f>
        <v>2109.7000000000003</v>
      </c>
      <c r="AG652" s="2">
        <f>[8]m!$H654</f>
        <v>5.33</v>
      </c>
      <c r="AH652" s="2">
        <f>[8]m!$I654</f>
        <v>6.11</v>
      </c>
      <c r="AI652" s="2">
        <f>[7]m!C653</f>
        <v>93854</v>
      </c>
      <c r="AJ652" s="2">
        <f>[7]m!D653</f>
        <v>137818</v>
      </c>
      <c r="AK652" s="2">
        <f>[2]Surveys_m!$AB534</f>
        <v>60.6</v>
      </c>
      <c r="AL652" s="3">
        <v>3514</v>
      </c>
      <c r="AM652">
        <f>[2]Indicators!$BB534</f>
        <v>181869</v>
      </c>
      <c r="AN652" s="2">
        <v>73.900000000000006</v>
      </c>
      <c r="AO652">
        <f>[9]Unemployment!H534</f>
        <v>514</v>
      </c>
      <c r="AP652">
        <f>[9]Unemployment!I534</f>
        <v>1130</v>
      </c>
      <c r="AQ652" s="3">
        <f>[9]LaborForce!$B533*[9]LaborForce!$C533/100</f>
        <v>146883</v>
      </c>
      <c r="AR652">
        <f>[9]Unemployment!$AC534</f>
        <v>348</v>
      </c>
      <c r="AS652">
        <f>[2]Indicators!BC534</f>
        <v>99.3</v>
      </c>
      <c r="AT652">
        <f>[2]Indicators!BD534</f>
        <v>99.931899999999999</v>
      </c>
      <c r="AU652">
        <f>[2]Indicators!BE534</f>
        <v>102.06880000000001</v>
      </c>
      <c r="AV652">
        <f>[5]m!$O654</f>
        <v>167.91</v>
      </c>
    </row>
    <row r="653" spans="1:48" x14ac:dyDescent="0.25">
      <c r="A653" s="1">
        <v>38078</v>
      </c>
      <c r="B653" s="2">
        <f>[2]Indicators!G535</f>
        <v>8147.1469999999999</v>
      </c>
      <c r="C653" s="2">
        <f>[2]Indicators!H535</f>
        <v>1057.164</v>
      </c>
      <c r="D653" s="2">
        <f>[2]Indicators!I535</f>
        <v>1781.327</v>
      </c>
      <c r="E653" s="2">
        <f>[2]Indicators!J535</f>
        <v>5308.6559999999999</v>
      </c>
      <c r="F653" s="2">
        <f>[2]Indicators!B535</f>
        <v>8446.8420000000006</v>
      </c>
      <c r="G653" s="2">
        <f>[2]Indicators!C535</f>
        <v>1040.3420000000001</v>
      </c>
      <c r="H653" s="2">
        <f>[2]Indicators!D535</f>
        <v>1879.0530000000001</v>
      </c>
      <c r="I653" s="2">
        <f>[2]Indicators!E535</f>
        <v>5528.5969999999998</v>
      </c>
      <c r="J653" s="2">
        <f>[2]Indicators!L535</f>
        <v>283526</v>
      </c>
      <c r="K653" s="2">
        <f>[2]Indicators!M535</f>
        <v>167650</v>
      </c>
      <c r="L653" s="2">
        <f>[2]Indicators!N535</f>
        <v>16.888000000000002</v>
      </c>
      <c r="M653" s="2">
        <f>[2]Indicators!AB535</f>
        <v>91.699200000000005</v>
      </c>
      <c r="N653" s="2">
        <f>[8]m!$C655</f>
        <v>1</v>
      </c>
      <c r="O653">
        <f>[9]Unemployment!$B535</f>
        <v>5.6000000000000005</v>
      </c>
      <c r="P653" s="2">
        <f>[2]Surveys_m!$B535</f>
        <v>93</v>
      </c>
      <c r="Q653">
        <f>[5]m!$B655</f>
        <v>187.4</v>
      </c>
      <c r="R653">
        <f>[5]m!$D655</f>
        <v>195.9</v>
      </c>
      <c r="S653">
        <f>[5]m!$Q655</f>
        <v>144.80000000000001</v>
      </c>
      <c r="T653">
        <f>[6]m!B655</f>
        <v>17578</v>
      </c>
      <c r="U653" s="2">
        <f>[9]Unemployment!$F535</f>
        <v>19.600000000000001</v>
      </c>
      <c r="V653" s="2">
        <f>[9]Unemployment!$G535</f>
        <v>9.5</v>
      </c>
      <c r="W653">
        <f>[9]Unemployment!$E535</f>
        <v>8170</v>
      </c>
      <c r="X653">
        <f>[9]Unemployment!N535</f>
        <v>2780</v>
      </c>
      <c r="Y653">
        <f>[9]Unemployment!O535</f>
        <v>2400</v>
      </c>
      <c r="Z653">
        <f>[9]Unemployment!P535-[9]Unemployment!Q535</f>
        <v>1166</v>
      </c>
      <c r="AA653">
        <f>[9]Unemployment!$Q535</f>
        <v>1805</v>
      </c>
      <c r="AB653" s="2">
        <f>[8]m!$B655</f>
        <v>0.96</v>
      </c>
      <c r="AC653" s="2">
        <f>[8]m!$F655</f>
        <v>4.3500000000000005</v>
      </c>
      <c r="AD653">
        <f>[9]Employment!$B535</f>
        <v>131051</v>
      </c>
      <c r="AE653" s="2">
        <f>[2]Indicators!$AB535</f>
        <v>91.699200000000005</v>
      </c>
      <c r="AF653" s="2">
        <f>[8]m!$AS655</f>
        <v>2112.7000000000003</v>
      </c>
      <c r="AG653" s="2">
        <f>[8]m!$H655</f>
        <v>5.73</v>
      </c>
      <c r="AH653" s="2">
        <f>[8]m!$I655</f>
        <v>6.46</v>
      </c>
      <c r="AI653" s="2">
        <f>[7]m!C654</f>
        <v>96392</v>
      </c>
      <c r="AJ653" s="2">
        <f>[7]m!D654</f>
        <v>142553</v>
      </c>
      <c r="AK653" s="2">
        <f>[2]Surveys_m!$AB535</f>
        <v>60.6</v>
      </c>
      <c r="AL653" s="3">
        <v>3574</v>
      </c>
      <c r="AM653">
        <f>[2]Indicators!$BB535</f>
        <v>173941</v>
      </c>
      <c r="AN653" s="2">
        <v>72.900000000000006</v>
      </c>
      <c r="AO653">
        <f>[9]Unemployment!H535</f>
        <v>492</v>
      </c>
      <c r="AP653">
        <f>[9]Unemployment!I535</f>
        <v>1034</v>
      </c>
      <c r="AQ653" s="3">
        <f>[9]LaborForce!$B534*[9]LaborForce!$C534/100</f>
        <v>146796.86300000001</v>
      </c>
      <c r="AR653">
        <f>[9]Unemployment!$AC535</f>
        <v>340</v>
      </c>
      <c r="AS653">
        <f>[2]Indicators!BC535</f>
        <v>99.3</v>
      </c>
      <c r="AT653">
        <f>[2]Indicators!BD535</f>
        <v>100.01490000000001</v>
      </c>
      <c r="AU653">
        <f>[2]Indicators!BE535</f>
        <v>102.03370000000001</v>
      </c>
      <c r="AV653">
        <f>[5]m!$O655</f>
        <v>171.58</v>
      </c>
    </row>
    <row r="654" spans="1:48" x14ac:dyDescent="0.25">
      <c r="A654" s="1">
        <v>38108</v>
      </c>
      <c r="B654" s="2">
        <f>[2]Indicators!G536</f>
        <v>8221.737000000001</v>
      </c>
      <c r="C654" s="2">
        <f>[2]Indicators!H536</f>
        <v>1086.675</v>
      </c>
      <c r="D654" s="2">
        <f>[2]Indicators!I536</f>
        <v>1804.7529999999999</v>
      </c>
      <c r="E654" s="2">
        <f>[2]Indicators!J536</f>
        <v>5330.308</v>
      </c>
      <c r="F654" s="2">
        <f>[2]Indicators!B536</f>
        <v>8493.134</v>
      </c>
      <c r="G654" s="2">
        <f>[2]Indicators!C536</f>
        <v>1071.2640000000001</v>
      </c>
      <c r="H654" s="2">
        <f>[2]Indicators!D536</f>
        <v>1885.7360000000001</v>
      </c>
      <c r="I654" s="2">
        <f>[2]Indicators!E536</f>
        <v>5535.9269999999997</v>
      </c>
      <c r="J654" s="2">
        <f>[2]Indicators!L536</f>
        <v>288754</v>
      </c>
      <c r="K654" s="2">
        <f>[2]Indicators!M536</f>
        <v>169791</v>
      </c>
      <c r="L654" s="2">
        <f>[2]Indicators!N536</f>
        <v>18.170999999999999</v>
      </c>
      <c r="M654" s="2">
        <f>[2]Indicators!AB536</f>
        <v>92.35090000000001</v>
      </c>
      <c r="N654" s="2">
        <f>[8]m!$C656</f>
        <v>1</v>
      </c>
      <c r="O654">
        <f>[9]Unemployment!$B536</f>
        <v>5.6000000000000005</v>
      </c>
      <c r="P654" s="2">
        <f>[2]Surveys_m!$B536</f>
        <v>93.100000000000009</v>
      </c>
      <c r="Q654">
        <f>[5]m!$B656</f>
        <v>188.20000000000002</v>
      </c>
      <c r="R654">
        <f>[5]m!$D656</f>
        <v>196.20000000000002</v>
      </c>
      <c r="S654">
        <f>[5]m!$Q656</f>
        <v>146.80000000000001</v>
      </c>
      <c r="T654">
        <f>[6]m!B656</f>
        <v>-62463</v>
      </c>
      <c r="U654" s="2">
        <f>[9]Unemployment!$F536</f>
        <v>19.8</v>
      </c>
      <c r="V654" s="2">
        <f>[9]Unemployment!$G536</f>
        <v>9.9</v>
      </c>
      <c r="W654">
        <f>[9]Unemployment!$E536</f>
        <v>8212</v>
      </c>
      <c r="X654">
        <f>[9]Unemployment!N536</f>
        <v>2723</v>
      </c>
      <c r="Y654">
        <f>[9]Unemployment!O536</f>
        <v>2378</v>
      </c>
      <c r="Z654">
        <f>[9]Unemployment!P536-[9]Unemployment!Q536</f>
        <v>1304</v>
      </c>
      <c r="AA654">
        <f>[9]Unemployment!$Q536</f>
        <v>1799</v>
      </c>
      <c r="AB654" s="2">
        <f>[8]m!$B656</f>
        <v>1.06</v>
      </c>
      <c r="AC654" s="2">
        <f>[8]m!$F656</f>
        <v>4.72</v>
      </c>
      <c r="AD654">
        <f>[9]Employment!$B536</f>
        <v>131361</v>
      </c>
      <c r="AE654" s="2">
        <f>[2]Indicators!$AB536</f>
        <v>92.35090000000001</v>
      </c>
      <c r="AF654" s="2">
        <f>[8]m!$AS656</f>
        <v>2120.8000000000002</v>
      </c>
      <c r="AG654" s="2">
        <f>[8]m!$H656</f>
        <v>6.04</v>
      </c>
      <c r="AH654" s="2">
        <f>[8]m!$I656</f>
        <v>6.75</v>
      </c>
      <c r="AI654" s="2">
        <f>[7]m!C655</f>
        <v>95847</v>
      </c>
      <c r="AJ654" s="2">
        <f>[7]m!D655</f>
        <v>142720</v>
      </c>
      <c r="AK654" s="2">
        <f>[2]Surveys_m!$AB536</f>
        <v>61.400000000000006</v>
      </c>
      <c r="AL654" s="3">
        <v>3728</v>
      </c>
      <c r="AM654">
        <f>[2]Indicators!$BB536</f>
        <v>175210</v>
      </c>
      <c r="AN654" s="2">
        <v>75.7</v>
      </c>
      <c r="AO654">
        <f>[9]Unemployment!H536</f>
        <v>476</v>
      </c>
      <c r="AP654">
        <f>[9]Unemployment!I536</f>
        <v>1058</v>
      </c>
      <c r="AQ654" s="3">
        <f>[9]LaborForce!$B535*[9]LaborForce!$C535/100</f>
        <v>147158.22</v>
      </c>
      <c r="AR654">
        <f>[9]Unemployment!$AC536</f>
        <v>324</v>
      </c>
      <c r="AS654">
        <f>[2]Indicators!BC536</f>
        <v>100</v>
      </c>
      <c r="AT654">
        <f>[2]Indicators!BD536</f>
        <v>100.00410000000001</v>
      </c>
      <c r="AU654">
        <f>[2]Indicators!BE536</f>
        <v>101.9033</v>
      </c>
      <c r="AV654">
        <f>[5]m!$O656</f>
        <v>175.43</v>
      </c>
    </row>
    <row r="655" spans="1:48" x14ac:dyDescent="0.25">
      <c r="A655" s="1">
        <v>38139</v>
      </c>
      <c r="B655" s="2">
        <f>[2]Indicators!G537</f>
        <v>8212.8880000000008</v>
      </c>
      <c r="C655" s="2">
        <f>[2]Indicators!H537</f>
        <v>1044.972</v>
      </c>
      <c r="D655" s="2">
        <f>[2]Indicators!I537</f>
        <v>1805.866</v>
      </c>
      <c r="E655" s="2">
        <f>[2]Indicators!J537</f>
        <v>5362.05</v>
      </c>
      <c r="F655" s="2">
        <f>[2]Indicators!B537</f>
        <v>8455.2000000000007</v>
      </c>
      <c r="G655" s="2">
        <f>[2]Indicators!C537</f>
        <v>1030.761</v>
      </c>
      <c r="H655" s="2">
        <f>[2]Indicators!D537</f>
        <v>1876.048</v>
      </c>
      <c r="I655" s="2">
        <f>[2]Indicators!E537</f>
        <v>5550.0540000000001</v>
      </c>
      <c r="J655" s="2">
        <f>[2]Indicators!L537</f>
        <v>284935</v>
      </c>
      <c r="K655" s="2">
        <f>[2]Indicators!M537</f>
        <v>167191</v>
      </c>
      <c r="L655" s="2">
        <f>[2]Indicators!N537</f>
        <v>16.164000000000001</v>
      </c>
      <c r="M655" s="2">
        <f>[2]Indicators!AB537</f>
        <v>91.534900000000007</v>
      </c>
      <c r="N655" s="2">
        <f>[8]m!$C657</f>
        <v>1.03</v>
      </c>
      <c r="O655">
        <f>[9]Unemployment!$B537</f>
        <v>5.6000000000000005</v>
      </c>
      <c r="P655" s="2">
        <f>[2]Surveys_m!$B537</f>
        <v>102.80000000000001</v>
      </c>
      <c r="Q655">
        <f>[5]m!$B657</f>
        <v>188.9</v>
      </c>
      <c r="R655">
        <f>[5]m!$D657</f>
        <v>196.6</v>
      </c>
      <c r="S655">
        <f>[5]m!$Q657</f>
        <v>147.20000000000002</v>
      </c>
      <c r="T655">
        <f>[6]m!B657</f>
        <v>19124</v>
      </c>
      <c r="U655" s="2">
        <f>[9]Unemployment!$F537</f>
        <v>20.5</v>
      </c>
      <c r="V655" s="2">
        <f>[9]Unemployment!$G537</f>
        <v>11</v>
      </c>
      <c r="W655">
        <f>[9]Unemployment!$E537</f>
        <v>8286</v>
      </c>
      <c r="X655">
        <f>[9]Unemployment!N537</f>
        <v>2677</v>
      </c>
      <c r="Y655">
        <f>[9]Unemployment!O537</f>
        <v>2387</v>
      </c>
      <c r="Z655">
        <f>[9]Unemployment!P537-[9]Unemployment!Q537</f>
        <v>1283</v>
      </c>
      <c r="AA655">
        <f>[9]Unemployment!$Q537</f>
        <v>1847</v>
      </c>
      <c r="AB655" s="2">
        <f>[8]m!$B657</f>
        <v>1.3</v>
      </c>
      <c r="AC655" s="2">
        <f>[8]m!$F657</f>
        <v>4.7300000000000004</v>
      </c>
      <c r="AD655">
        <f>[9]Employment!$B537</f>
        <v>131442</v>
      </c>
      <c r="AE655" s="2">
        <f>[2]Indicators!$AB537</f>
        <v>91.534900000000007</v>
      </c>
      <c r="AF655" s="2">
        <f>[8]m!$AS657</f>
        <v>2128</v>
      </c>
      <c r="AG655" s="2">
        <f>[8]m!$H657</f>
        <v>6.01</v>
      </c>
      <c r="AH655" s="2">
        <f>[8]m!$I657</f>
        <v>6.78</v>
      </c>
      <c r="AI655" s="2">
        <f>[7]m!C656</f>
        <v>97358</v>
      </c>
      <c r="AJ655" s="2">
        <f>[7]m!D656</f>
        <v>145161</v>
      </c>
      <c r="AK655" s="2">
        <f>[2]Surveys_m!$AB537</f>
        <v>60.5</v>
      </c>
      <c r="AL655" s="3">
        <v>3500</v>
      </c>
      <c r="AM655">
        <f>[2]Indicators!$BB537</f>
        <v>174589</v>
      </c>
      <c r="AN655" s="2">
        <v>74.7</v>
      </c>
      <c r="AO655">
        <f>[9]Unemployment!H537</f>
        <v>478</v>
      </c>
      <c r="AP655">
        <f>[9]Unemployment!I537</f>
        <v>1013</v>
      </c>
      <c r="AQ655" s="3">
        <f>[9]LaborForce!$B536*[9]LaborForce!$C536/100</f>
        <v>147532.55600000001</v>
      </c>
      <c r="AR655">
        <f>[9]Unemployment!$AC537</f>
        <v>337</v>
      </c>
      <c r="AS655">
        <f>[2]Indicators!BC537</f>
        <v>100.2</v>
      </c>
      <c r="AT655">
        <f>[2]Indicators!BD537</f>
        <v>99.9345</v>
      </c>
      <c r="AU655">
        <f>[2]Indicators!BE537</f>
        <v>101.71350000000001</v>
      </c>
      <c r="AV655">
        <f>[5]m!$O657</f>
        <v>179.45000000000002</v>
      </c>
    </row>
    <row r="656" spans="1:48" x14ac:dyDescent="0.25">
      <c r="A656" s="1">
        <v>38169</v>
      </c>
      <c r="B656" s="2">
        <f>[2]Indicators!G538</f>
        <v>8277.3209999999999</v>
      </c>
      <c r="C656" s="2">
        <f>[2]Indicators!H538</f>
        <v>1074.1120000000001</v>
      </c>
      <c r="D656" s="2">
        <f>[2]Indicators!I538</f>
        <v>1809.8880000000001</v>
      </c>
      <c r="E656" s="2">
        <f>[2]Indicators!J538</f>
        <v>5393.3209999999999</v>
      </c>
      <c r="F656" s="2">
        <f>[2]Indicators!B538</f>
        <v>8508.4130000000005</v>
      </c>
      <c r="G656" s="2">
        <f>[2]Indicators!C538</f>
        <v>1062.7540000000001</v>
      </c>
      <c r="H656" s="2">
        <f>[2]Indicators!D538</f>
        <v>1883.41</v>
      </c>
      <c r="I656" s="2">
        <f>[2]Indicators!E538</f>
        <v>5562.72</v>
      </c>
      <c r="J656" s="2">
        <f>[2]Indicators!L538</f>
        <v>288069</v>
      </c>
      <c r="K656" s="2">
        <f>[2]Indicators!M538</f>
        <v>168867</v>
      </c>
      <c r="L656" s="2">
        <f>[2]Indicators!N538</f>
        <v>17.3</v>
      </c>
      <c r="M656" s="2">
        <f>[2]Indicators!AB538</f>
        <v>92.178899999999999</v>
      </c>
      <c r="N656" s="2">
        <f>[8]m!$C658</f>
        <v>1.26</v>
      </c>
      <c r="O656">
        <f>[9]Unemployment!$B538</f>
        <v>5.5</v>
      </c>
      <c r="P656" s="2">
        <f>[2]Surveys_m!$B538</f>
        <v>105.7</v>
      </c>
      <c r="Q656">
        <f>[5]m!$B658</f>
        <v>189.1</v>
      </c>
      <c r="R656">
        <f>[5]m!$D658</f>
        <v>196.8</v>
      </c>
      <c r="S656">
        <f>[5]m!$Q658</f>
        <v>147.4</v>
      </c>
      <c r="T656">
        <f>[6]m!B658</f>
        <v>-69160</v>
      </c>
      <c r="U656" s="2">
        <f>[9]Unemployment!$F538</f>
        <v>18.8</v>
      </c>
      <c r="V656" s="2">
        <f>[9]Unemployment!$G538</f>
        <v>8.9</v>
      </c>
      <c r="W656">
        <f>[9]Unemployment!$E538</f>
        <v>8136</v>
      </c>
      <c r="X656">
        <f>[9]Unemployment!N538</f>
        <v>2820</v>
      </c>
      <c r="Y656">
        <f>[9]Unemployment!O538</f>
        <v>2384</v>
      </c>
      <c r="Z656">
        <f>[9]Unemployment!P538-[9]Unemployment!Q538</f>
        <v>1237</v>
      </c>
      <c r="AA656">
        <f>[9]Unemployment!$Q538</f>
        <v>1681</v>
      </c>
      <c r="AB656" s="2">
        <f>[8]m!$B658</f>
        <v>1.41</v>
      </c>
      <c r="AC656" s="2">
        <f>[8]m!$F658</f>
        <v>4.5</v>
      </c>
      <c r="AD656">
        <f>[9]Employment!$B538</f>
        <v>131489</v>
      </c>
      <c r="AE656" s="2">
        <f>[2]Indicators!$AB538</f>
        <v>92.178899999999999</v>
      </c>
      <c r="AF656" s="2">
        <f>[8]m!$AS658</f>
        <v>2137.1</v>
      </c>
      <c r="AG656" s="2">
        <f>[8]m!$H658</f>
        <v>5.82</v>
      </c>
      <c r="AH656" s="2">
        <f>[8]m!$I658</f>
        <v>6.62</v>
      </c>
      <c r="AI656" s="2">
        <f>[7]m!C657</f>
        <v>94969</v>
      </c>
      <c r="AJ656" s="2">
        <f>[7]m!D657</f>
        <v>149400</v>
      </c>
      <c r="AK656" s="2">
        <f>[2]Surveys_m!$AB538</f>
        <v>59.900000000000006</v>
      </c>
      <c r="AL656" s="3">
        <v>3894</v>
      </c>
      <c r="AM656">
        <f>[2]Indicators!$BB538</f>
        <v>178619</v>
      </c>
      <c r="AN656" s="2">
        <v>73.599999999999994</v>
      </c>
      <c r="AO656">
        <f>[9]Unemployment!H538</f>
        <v>504</v>
      </c>
      <c r="AP656">
        <f>[9]Unemployment!I538</f>
        <v>1053</v>
      </c>
      <c r="AQ656" s="3">
        <f>[9]LaborForce!$B537*[9]LaborForce!$C537/100</f>
        <v>147681.94200000001</v>
      </c>
      <c r="AR656">
        <f>[9]Unemployment!$AC538</f>
        <v>348</v>
      </c>
      <c r="AS656">
        <f>[2]Indicators!BC538</f>
        <v>100.5</v>
      </c>
      <c r="AT656">
        <f>[2]Indicators!BD538</f>
        <v>99.832599999999999</v>
      </c>
      <c r="AU656">
        <f>[2]Indicators!BE538</f>
        <v>101.4919</v>
      </c>
      <c r="AV656">
        <f>[5]m!$O658</f>
        <v>182.69</v>
      </c>
    </row>
    <row r="657" spans="1:48" x14ac:dyDescent="0.25">
      <c r="A657" s="1">
        <v>38200</v>
      </c>
      <c r="B657" s="2">
        <f>[2]Indicators!G539</f>
        <v>8298.4380000000001</v>
      </c>
      <c r="C657" s="2">
        <f>[2]Indicators!H539</f>
        <v>1062.6020000000001</v>
      </c>
      <c r="D657" s="2">
        <f>[2]Indicators!I539</f>
        <v>1820.5219999999999</v>
      </c>
      <c r="E657" s="2">
        <f>[2]Indicators!J539</f>
        <v>5415.3140000000003</v>
      </c>
      <c r="F657" s="2">
        <f>[2]Indicators!B539</f>
        <v>8523.3119999999999</v>
      </c>
      <c r="G657" s="2">
        <f>[2]Indicators!C539</f>
        <v>1056.864</v>
      </c>
      <c r="H657" s="2">
        <f>[2]Indicators!D539</f>
        <v>1895.7260000000001</v>
      </c>
      <c r="I657" s="2">
        <f>[2]Indicators!E539</f>
        <v>5571.585</v>
      </c>
      <c r="J657" s="2">
        <f>[2]Indicators!L539</f>
        <v>288520</v>
      </c>
      <c r="K657" s="2">
        <f>[2]Indicators!M539</f>
        <v>168933</v>
      </c>
      <c r="L657" s="2">
        <f>[2]Indicators!N539</f>
        <v>17.152000000000001</v>
      </c>
      <c r="M657" s="2">
        <f>[2]Indicators!AB539</f>
        <v>92.421900000000008</v>
      </c>
      <c r="N657" s="2">
        <f>[8]m!$C659</f>
        <v>1.43</v>
      </c>
      <c r="O657">
        <f>[9]Unemployment!$B539</f>
        <v>5.4</v>
      </c>
      <c r="P657" s="2">
        <f>[2]Surveys_m!$B539</f>
        <v>98.7</v>
      </c>
      <c r="Q657">
        <f>[5]m!$B659</f>
        <v>189.20000000000002</v>
      </c>
      <c r="R657">
        <f>[5]m!$D659</f>
        <v>196.9</v>
      </c>
      <c r="S657">
        <f>[5]m!$Q659</f>
        <v>148</v>
      </c>
      <c r="T657">
        <f>[6]m!B659</f>
        <v>-41132</v>
      </c>
      <c r="U657" s="2">
        <f>[9]Unemployment!$F539</f>
        <v>18.8</v>
      </c>
      <c r="V657" s="2">
        <f>[9]Unemployment!$G539</f>
        <v>9.2000000000000011</v>
      </c>
      <c r="W657">
        <f>[9]Unemployment!$E539</f>
        <v>7990</v>
      </c>
      <c r="X657">
        <f>[9]Unemployment!N539</f>
        <v>2660</v>
      </c>
      <c r="Y657">
        <f>[9]Unemployment!O539</f>
        <v>2563</v>
      </c>
      <c r="Z657">
        <f>[9]Unemployment!P539-[9]Unemployment!Q539</f>
        <v>1206</v>
      </c>
      <c r="AA657">
        <f>[9]Unemployment!$Q539</f>
        <v>1640</v>
      </c>
      <c r="AB657" s="2">
        <f>[8]m!$B659</f>
        <v>1.59</v>
      </c>
      <c r="AC657" s="2">
        <f>[8]m!$F659</f>
        <v>4.28</v>
      </c>
      <c r="AD657">
        <f>[9]Employment!$B539</f>
        <v>131610</v>
      </c>
      <c r="AE657" s="2">
        <f>[2]Indicators!$AB539</f>
        <v>92.421900000000008</v>
      </c>
      <c r="AF657" s="2">
        <f>[8]m!$AS659</f>
        <v>2143.4</v>
      </c>
      <c r="AG657" s="2">
        <f>[8]m!$H659</f>
        <v>5.65</v>
      </c>
      <c r="AH657" s="2">
        <f>[8]m!$I659</f>
        <v>6.46</v>
      </c>
      <c r="AI657" s="2">
        <f>[7]m!C658</f>
        <v>96652</v>
      </c>
      <c r="AJ657" s="2">
        <f>[7]m!D658</f>
        <v>147608</v>
      </c>
      <c r="AK657" s="2">
        <f>[2]Surveys_m!$AB539</f>
        <v>58.5</v>
      </c>
      <c r="AL657" s="3">
        <v>3734</v>
      </c>
      <c r="AM657">
        <f>[2]Indicators!$BB539</f>
        <v>176443</v>
      </c>
      <c r="AN657" s="2">
        <v>74.5</v>
      </c>
      <c r="AO657">
        <f>[9]Unemployment!H539</f>
        <v>534</v>
      </c>
      <c r="AP657">
        <f>[9]Unemployment!I539</f>
        <v>1052</v>
      </c>
      <c r="AQ657" s="3">
        <f>[9]LaborForce!$B538*[9]LaborForce!$C538/100</f>
        <v>147626.82</v>
      </c>
      <c r="AR657">
        <f>[9]Unemployment!$AC539</f>
        <v>341</v>
      </c>
      <c r="AS657">
        <f>[2]Indicators!BC539</f>
        <v>100.60000000000001</v>
      </c>
      <c r="AT657">
        <f>[2]Indicators!BD539</f>
        <v>99.706400000000002</v>
      </c>
      <c r="AU657">
        <f>[2]Indicators!BE539</f>
        <v>101.247</v>
      </c>
      <c r="AV657">
        <f>[5]m!$O659</f>
        <v>184.95000000000002</v>
      </c>
    </row>
    <row r="658" spans="1:48" x14ac:dyDescent="0.25">
      <c r="A658" s="1">
        <v>38231</v>
      </c>
      <c r="B658" s="2">
        <f>[2]Indicators!G540</f>
        <v>8373.6830000000009</v>
      </c>
      <c r="C658" s="2">
        <f>[2]Indicators!H540</f>
        <v>1090.7670000000001</v>
      </c>
      <c r="D658" s="2">
        <f>[2]Indicators!I540</f>
        <v>1835.7940000000001</v>
      </c>
      <c r="E658" s="2">
        <f>[2]Indicators!J540</f>
        <v>5447.1220000000003</v>
      </c>
      <c r="F658" s="2">
        <f>[2]Indicators!B540</f>
        <v>8585.5779999999995</v>
      </c>
      <c r="G658" s="2">
        <f>[2]Indicators!C540</f>
        <v>1084.915</v>
      </c>
      <c r="H658" s="2">
        <f>[2]Indicators!D540</f>
        <v>1906.16</v>
      </c>
      <c r="I658" s="2">
        <f>[2]Indicators!E540</f>
        <v>5594.6580000000004</v>
      </c>
      <c r="J658" s="2">
        <f>[2]Indicators!L540</f>
        <v>293811</v>
      </c>
      <c r="K658" s="2">
        <f>[2]Indicators!M540</f>
        <v>171421</v>
      </c>
      <c r="L658" s="2">
        <f>[2]Indicators!N540</f>
        <v>17.879000000000001</v>
      </c>
      <c r="M658" s="2">
        <f>[2]Indicators!AB540</f>
        <v>92.386800000000008</v>
      </c>
      <c r="N658" s="2">
        <f>[8]m!$C660</f>
        <v>1.61</v>
      </c>
      <c r="O658">
        <f>[9]Unemployment!$B540</f>
        <v>5.4</v>
      </c>
      <c r="P658" s="2">
        <f>[2]Surveys_m!$B540</f>
        <v>96.7</v>
      </c>
      <c r="Q658">
        <f>[5]m!$B660</f>
        <v>189.8</v>
      </c>
      <c r="R658">
        <f>[5]m!$D660</f>
        <v>197.5</v>
      </c>
      <c r="S658">
        <f>[5]m!$Q660</f>
        <v>147.70000000000002</v>
      </c>
      <c r="T658">
        <f>[6]m!B660</f>
        <v>24611</v>
      </c>
      <c r="U658" s="2">
        <f>[9]Unemployment!$F540</f>
        <v>19.400000000000002</v>
      </c>
      <c r="V658" s="2">
        <f>[9]Unemployment!$G540</f>
        <v>9.6000000000000014</v>
      </c>
      <c r="W658">
        <f>[9]Unemployment!$E540</f>
        <v>7927</v>
      </c>
      <c r="X658">
        <f>[9]Unemployment!N540</f>
        <v>2758</v>
      </c>
      <c r="Y658">
        <f>[9]Unemployment!O540</f>
        <v>2276</v>
      </c>
      <c r="Z658">
        <f>[9]Unemployment!P540-[9]Unemployment!Q540</f>
        <v>1208</v>
      </c>
      <c r="AA658">
        <f>[9]Unemployment!$Q540</f>
        <v>1702</v>
      </c>
      <c r="AB658" s="2">
        <f>[8]m!$B660</f>
        <v>1.68</v>
      </c>
      <c r="AC658" s="2">
        <f>[8]m!$F660</f>
        <v>4.13</v>
      </c>
      <c r="AD658">
        <f>[9]Employment!$B540</f>
        <v>131770</v>
      </c>
      <c r="AE658" s="2">
        <f>[2]Indicators!$AB540</f>
        <v>92.386800000000008</v>
      </c>
      <c r="AF658" s="2">
        <f>[8]m!$AS660</f>
        <v>2160.1</v>
      </c>
      <c r="AG658" s="2">
        <f>[8]m!$H660</f>
        <v>5.46</v>
      </c>
      <c r="AH658" s="2">
        <f>[8]m!$I660</f>
        <v>6.2700000000000005</v>
      </c>
      <c r="AI658" s="2">
        <f>[7]m!C659</f>
        <v>97106</v>
      </c>
      <c r="AJ658" s="2">
        <f>[7]m!D659</f>
        <v>149974</v>
      </c>
      <c r="AK658" s="2">
        <f>[2]Surveys_m!$AB540</f>
        <v>57.400000000000006</v>
      </c>
      <c r="AL658" s="3">
        <v>3817</v>
      </c>
      <c r="AM658">
        <f>[2]Indicators!$BB540</f>
        <v>178327</v>
      </c>
      <c r="AN658" s="2">
        <v>73.400000000000006</v>
      </c>
      <c r="AO658">
        <f>[9]Unemployment!H540</f>
        <v>412</v>
      </c>
      <c r="AP658">
        <f>[9]Unemployment!I540</f>
        <v>1148</v>
      </c>
      <c r="AQ658" s="3">
        <f>[9]LaborForce!$B539*[9]LaborForce!$C539/100</f>
        <v>147353.17799999999</v>
      </c>
      <c r="AR658">
        <f>[9]Unemployment!$AC540</f>
        <v>352</v>
      </c>
      <c r="AS658">
        <f>[2]Indicators!BC540</f>
        <v>100.7</v>
      </c>
      <c r="AT658">
        <f>[2]Indicators!BD540</f>
        <v>99.595500000000001</v>
      </c>
      <c r="AU658">
        <f>[2]Indicators!BE540</f>
        <v>101.0192</v>
      </c>
      <c r="AV658">
        <f>[5]m!$O660</f>
        <v>186.91</v>
      </c>
    </row>
    <row r="659" spans="1:48" x14ac:dyDescent="0.25">
      <c r="A659" s="1">
        <v>38261</v>
      </c>
      <c r="B659" s="2">
        <f>[2]Indicators!G541</f>
        <v>8424.1080000000002</v>
      </c>
      <c r="C659" s="2">
        <f>[2]Indicators!H541</f>
        <v>1084.8790000000001</v>
      </c>
      <c r="D659" s="2">
        <f>[2]Indicators!I541</f>
        <v>1867.665</v>
      </c>
      <c r="E659" s="2">
        <f>[2]Indicators!J541</f>
        <v>5471.5640000000003</v>
      </c>
      <c r="F659" s="2">
        <f>[2]Indicators!B541</f>
        <v>8602.9969999999994</v>
      </c>
      <c r="G659" s="2">
        <f>[2]Indicators!C541</f>
        <v>1076.913</v>
      </c>
      <c r="H659" s="2">
        <f>[2]Indicators!D541</f>
        <v>1912.731</v>
      </c>
      <c r="I659" s="2">
        <f>[2]Indicators!E541</f>
        <v>5613.8710000000001</v>
      </c>
      <c r="J659" s="2">
        <f>[2]Indicators!L541</f>
        <v>295462</v>
      </c>
      <c r="K659" s="2">
        <f>[2]Indicators!M541</f>
        <v>171464</v>
      </c>
      <c r="L659" s="2">
        <f>[2]Indicators!N541</f>
        <v>17.512</v>
      </c>
      <c r="M659" s="2">
        <f>[2]Indicators!AB541</f>
        <v>93.325100000000006</v>
      </c>
      <c r="N659" s="2">
        <f>[8]m!$C661</f>
        <v>1.76</v>
      </c>
      <c r="O659">
        <f>[9]Unemployment!$B541</f>
        <v>5.5</v>
      </c>
      <c r="P659" s="2">
        <f>[2]Surveys_m!$B541</f>
        <v>92.9</v>
      </c>
      <c r="Q659">
        <f>[5]m!$B661</f>
        <v>190.8</v>
      </c>
      <c r="R659">
        <f>[5]m!$D661</f>
        <v>197.9</v>
      </c>
      <c r="S659">
        <f>[5]m!$Q661</f>
        <v>150</v>
      </c>
      <c r="T659">
        <f>[6]m!B661</f>
        <v>-56618</v>
      </c>
      <c r="U659" s="2">
        <f>[9]Unemployment!$F541</f>
        <v>19.5</v>
      </c>
      <c r="V659" s="2">
        <f>[9]Unemployment!$G541</f>
        <v>9.5</v>
      </c>
      <c r="W659">
        <f>[9]Unemployment!$E541</f>
        <v>8061</v>
      </c>
      <c r="X659">
        <f>[9]Unemployment!N541</f>
        <v>2732</v>
      </c>
      <c r="Y659">
        <f>[9]Unemployment!O541</f>
        <v>2303</v>
      </c>
      <c r="Z659">
        <f>[9]Unemployment!P541-[9]Unemployment!Q541</f>
        <v>1304</v>
      </c>
      <c r="AA659">
        <f>[9]Unemployment!$Q541</f>
        <v>1737</v>
      </c>
      <c r="AB659" s="2">
        <f>[8]m!$B661</f>
        <v>1.87</v>
      </c>
      <c r="AC659" s="2">
        <f>[8]m!$F661</f>
        <v>4.0999999999999996</v>
      </c>
      <c r="AD659">
        <f>[9]Employment!$B541</f>
        <v>132121</v>
      </c>
      <c r="AE659" s="2">
        <f>[2]Indicators!$AB541</f>
        <v>93.325100000000006</v>
      </c>
      <c r="AF659" s="2">
        <f>[8]m!$AS661</f>
        <v>2176.7000000000003</v>
      </c>
      <c r="AG659" s="2">
        <f>[8]m!$H661</f>
        <v>5.47</v>
      </c>
      <c r="AH659" s="2">
        <f>[8]m!$I661</f>
        <v>6.21</v>
      </c>
      <c r="AI659" s="2">
        <f>[7]m!C660</f>
        <v>98507</v>
      </c>
      <c r="AJ659" s="2">
        <f>[7]m!D660</f>
        <v>149504</v>
      </c>
      <c r="AK659" s="2">
        <f>[2]Surveys_m!$AB541</f>
        <v>56.300000000000004</v>
      </c>
      <c r="AL659" s="3">
        <v>3961</v>
      </c>
      <c r="AM659">
        <f>[2]Indicators!$BB541</f>
        <v>174742</v>
      </c>
      <c r="AN659" s="2">
        <v>76.400000000000006</v>
      </c>
      <c r="AO659">
        <f>[9]Unemployment!H541</f>
        <v>429</v>
      </c>
      <c r="AP659">
        <f>[9]Unemployment!I541</f>
        <v>1218</v>
      </c>
      <c r="AQ659" s="3">
        <f>[9]LaborForce!$B540*[9]LaborForce!$C540/100</f>
        <v>147742.52800000002</v>
      </c>
      <c r="AR659">
        <f>[9]Unemployment!$AC541</f>
        <v>335</v>
      </c>
      <c r="AS659">
        <f>[2]Indicators!BC541</f>
        <v>100.7</v>
      </c>
      <c r="AT659">
        <f>[2]Indicators!BD541</f>
        <v>99.549700000000001</v>
      </c>
      <c r="AU659">
        <f>[2]Indicators!BE541</f>
        <v>100.8591</v>
      </c>
      <c r="AV659">
        <f>[5]m!$O661</f>
        <v>188.65</v>
      </c>
    </row>
    <row r="660" spans="1:48" x14ac:dyDescent="0.25">
      <c r="A660" s="1">
        <v>38292</v>
      </c>
      <c r="B660" s="2">
        <f>[2]Indicators!G542</f>
        <v>8468.6360000000004</v>
      </c>
      <c r="C660" s="2">
        <f>[2]Indicators!H542</f>
        <v>1086.579</v>
      </c>
      <c r="D660" s="2">
        <f>[2]Indicators!I542</f>
        <v>1880.789</v>
      </c>
      <c r="E660" s="2">
        <f>[2]Indicators!J542</f>
        <v>5501.2669999999998</v>
      </c>
      <c r="F660" s="2">
        <f>[2]Indicators!B542</f>
        <v>8617.509</v>
      </c>
      <c r="G660" s="2">
        <f>[2]Indicators!C542</f>
        <v>1078.596</v>
      </c>
      <c r="H660" s="2">
        <f>[2]Indicators!D542</f>
        <v>1912.0170000000001</v>
      </c>
      <c r="I660" s="2">
        <f>[2]Indicators!E542</f>
        <v>5627.4570000000003</v>
      </c>
      <c r="J660" s="2">
        <f>[2]Indicators!L542</f>
        <v>296742</v>
      </c>
      <c r="K660" s="2">
        <f>[2]Indicators!M542</f>
        <v>171357</v>
      </c>
      <c r="L660" s="2">
        <f>[2]Indicators!N542</f>
        <v>17.376999999999999</v>
      </c>
      <c r="M660" s="2">
        <f>[2]Indicators!AB542</f>
        <v>93.485200000000006</v>
      </c>
      <c r="N660" s="2">
        <f>[8]m!$C662</f>
        <v>1.93</v>
      </c>
      <c r="O660">
        <f>[9]Unemployment!$B542</f>
        <v>5.4</v>
      </c>
      <c r="P660" s="2">
        <f>[2]Surveys_m!$B542</f>
        <v>92.600000000000009</v>
      </c>
      <c r="Q660">
        <f>[5]m!$B662</f>
        <v>191.70000000000002</v>
      </c>
      <c r="R660">
        <f>[5]m!$D662</f>
        <v>198.3</v>
      </c>
      <c r="S660">
        <f>[5]m!$Q662</f>
        <v>151.4</v>
      </c>
      <c r="T660">
        <f>[6]m!B662</f>
        <v>-57170</v>
      </c>
      <c r="U660" s="2">
        <f>[9]Unemployment!$F542</f>
        <v>19.700000000000003</v>
      </c>
      <c r="V660" s="2">
        <f>[9]Unemployment!$G542</f>
        <v>9.7000000000000011</v>
      </c>
      <c r="W660">
        <f>[9]Unemployment!$E542</f>
        <v>7932</v>
      </c>
      <c r="X660">
        <f>[9]Unemployment!N542</f>
        <v>2638</v>
      </c>
      <c r="Y660">
        <f>[9]Unemployment!O542</f>
        <v>2339</v>
      </c>
      <c r="Z660">
        <f>[9]Unemployment!P542-[9]Unemployment!Q542</f>
        <v>1258</v>
      </c>
      <c r="AA660">
        <f>[9]Unemployment!$Q542</f>
        <v>1702</v>
      </c>
      <c r="AB660" s="2">
        <f>[8]m!$B662</f>
        <v>2.19</v>
      </c>
      <c r="AC660" s="2">
        <f>[8]m!$F662</f>
        <v>4.1900000000000004</v>
      </c>
      <c r="AD660">
        <f>[9]Employment!$B542</f>
        <v>132185</v>
      </c>
      <c r="AE660" s="2">
        <f>[2]Indicators!$AB542</f>
        <v>93.485200000000006</v>
      </c>
      <c r="AF660" s="2">
        <f>[8]m!$AS662</f>
        <v>2183.7000000000003</v>
      </c>
      <c r="AG660" s="2">
        <f>[8]m!$H662</f>
        <v>5.5200000000000005</v>
      </c>
      <c r="AH660" s="2">
        <f>[8]m!$I662</f>
        <v>6.2</v>
      </c>
      <c r="AI660" s="2">
        <f>[7]m!C661</f>
        <v>100005</v>
      </c>
      <c r="AJ660" s="2">
        <f>[7]m!D661</f>
        <v>154588</v>
      </c>
      <c r="AK660" s="2">
        <f>[2]Surveys_m!$AB542</f>
        <v>56.2</v>
      </c>
      <c r="AL660" s="3">
        <v>3464</v>
      </c>
      <c r="AM660">
        <f>[2]Indicators!$BB542</f>
        <v>184339</v>
      </c>
      <c r="AN660" s="2">
        <v>75.3</v>
      </c>
      <c r="AO660">
        <f>[9]Unemployment!H542</f>
        <v>392</v>
      </c>
      <c r="AP660">
        <f>[9]Unemployment!I542</f>
        <v>1125</v>
      </c>
      <c r="AQ660" s="3">
        <f>[9]LaborForce!$B541*[9]LaborForce!$C541/100</f>
        <v>148118.51999999999</v>
      </c>
      <c r="AR660">
        <f>[9]Unemployment!$AC542</f>
        <v>332</v>
      </c>
      <c r="AS660">
        <f>[2]Indicators!BC542</f>
        <v>101.4</v>
      </c>
      <c r="AT660">
        <f>[2]Indicators!BD542</f>
        <v>99.5839</v>
      </c>
      <c r="AU660">
        <f>[2]Indicators!BE542</f>
        <v>100.7817</v>
      </c>
      <c r="AV660">
        <f>[5]m!$O662</f>
        <v>190.08</v>
      </c>
    </row>
    <row r="661" spans="1:48" x14ac:dyDescent="0.25">
      <c r="A661" s="1">
        <v>38322</v>
      </c>
      <c r="B661" s="2">
        <f>[2]Indicators!G543</f>
        <v>8528.7350000000006</v>
      </c>
      <c r="C661" s="2">
        <f>[2]Indicators!H543</f>
        <v>1114.1500000000001</v>
      </c>
      <c r="D661" s="2">
        <f>[2]Indicators!I543</f>
        <v>1881.173</v>
      </c>
      <c r="E661" s="2">
        <f>[2]Indicators!J543</f>
        <v>5533.4110000000001</v>
      </c>
      <c r="F661" s="2">
        <f>[2]Indicators!B543</f>
        <v>8673.3940000000002</v>
      </c>
      <c r="G661" s="2">
        <f>[2]Indicators!C543</f>
        <v>1106.087</v>
      </c>
      <c r="H661" s="2">
        <f>[2]Indicators!D543</f>
        <v>1921.509</v>
      </c>
      <c r="I661" s="2">
        <f>[2]Indicators!E543</f>
        <v>5645.8060000000005</v>
      </c>
      <c r="J661" s="2">
        <f>[2]Indicators!L543</f>
        <v>300163</v>
      </c>
      <c r="K661" s="2">
        <f>[2]Indicators!M543</f>
        <v>173363</v>
      </c>
      <c r="L661" s="2">
        <f>[2]Indicators!N543</f>
        <v>18.138999999999999</v>
      </c>
      <c r="M661" s="2">
        <f>[2]Indicators!AB543</f>
        <v>94.135800000000003</v>
      </c>
      <c r="N661" s="2">
        <f>[8]m!$C663</f>
        <v>2.16</v>
      </c>
      <c r="O661">
        <f>[9]Unemployment!$B543</f>
        <v>5.4</v>
      </c>
      <c r="P661" s="2">
        <f>[2]Surveys_m!$B543</f>
        <v>102.7</v>
      </c>
      <c r="Q661">
        <f>[5]m!$B663</f>
        <v>191.70000000000002</v>
      </c>
      <c r="R661">
        <f>[5]m!$D663</f>
        <v>198.6</v>
      </c>
      <c r="S661">
        <f>[5]m!$Q663</f>
        <v>150.20000000000002</v>
      </c>
      <c r="T661">
        <f>[6]m!B663</f>
        <v>-2561</v>
      </c>
      <c r="U661" s="2">
        <f>[9]Unemployment!$F543</f>
        <v>19.400000000000002</v>
      </c>
      <c r="V661" s="2">
        <f>[9]Unemployment!$G543</f>
        <v>9.5</v>
      </c>
      <c r="W661">
        <f>[9]Unemployment!$E543</f>
        <v>7934</v>
      </c>
      <c r="X661">
        <f>[9]Unemployment!N543</f>
        <v>2768</v>
      </c>
      <c r="Y661">
        <f>[9]Unemployment!O543</f>
        <v>2268</v>
      </c>
      <c r="Z661">
        <f>[9]Unemployment!P543-[9]Unemployment!Q543</f>
        <v>1274</v>
      </c>
      <c r="AA661">
        <f>[9]Unemployment!$Q543</f>
        <v>1653</v>
      </c>
      <c r="AB661" s="2">
        <f>[8]m!$B663</f>
        <v>2.1800000000000002</v>
      </c>
      <c r="AC661" s="2">
        <f>[8]m!$F663</f>
        <v>4.2300000000000004</v>
      </c>
      <c r="AD661">
        <f>[9]Employment!$B543</f>
        <v>132317</v>
      </c>
      <c r="AE661" s="2">
        <f>[2]Indicators!$AB543</f>
        <v>94.135800000000003</v>
      </c>
      <c r="AF661" s="2">
        <f>[8]m!$AS663</f>
        <v>2192.2000000000003</v>
      </c>
      <c r="AG661" s="2">
        <f>[8]m!$H663</f>
        <v>5.47</v>
      </c>
      <c r="AH661" s="2">
        <f>[8]m!$I663</f>
        <v>6.15</v>
      </c>
      <c r="AI661" s="2">
        <f>[7]m!C662</f>
        <v>99787</v>
      </c>
      <c r="AJ661" s="2">
        <f>[7]m!D662</f>
        <v>158161</v>
      </c>
      <c r="AK661" s="2">
        <f>[2]Surveys_m!$AB543</f>
        <v>57.2</v>
      </c>
      <c r="AL661" s="3">
        <v>3916</v>
      </c>
      <c r="AM661">
        <f>[2]Indicators!$BB543</f>
        <v>185462</v>
      </c>
      <c r="AN661" s="2">
        <v>80.5</v>
      </c>
      <c r="AO661">
        <f>[9]Unemployment!H543</f>
        <v>442</v>
      </c>
      <c r="AP661">
        <f>[9]Unemployment!I543</f>
        <v>1021</v>
      </c>
      <c r="AQ661" s="3">
        <f>[9]LaborForce!$B542*[9]LaborForce!$C542/100</f>
        <v>148037.76000000001</v>
      </c>
      <c r="AR661">
        <f>[9]Unemployment!$AC543</f>
        <v>335</v>
      </c>
      <c r="AS661">
        <f>[2]Indicators!BC543</f>
        <v>101.9</v>
      </c>
      <c r="AT661">
        <f>[2]Indicators!BD543</f>
        <v>99.661799999999999</v>
      </c>
      <c r="AU661">
        <f>[2]Indicators!BE543</f>
        <v>100.7504</v>
      </c>
      <c r="AV661">
        <f>[5]m!$O663</f>
        <v>191.42000000000002</v>
      </c>
    </row>
    <row r="662" spans="1:48" x14ac:dyDescent="0.25">
      <c r="A662" s="1">
        <v>38353</v>
      </c>
      <c r="B662" s="2">
        <f>[2]Indicators!G544</f>
        <v>8542.3680000000004</v>
      </c>
      <c r="C662" s="2">
        <f>[2]Indicators!H544</f>
        <v>1099.9760000000001</v>
      </c>
      <c r="D662" s="2">
        <f>[2]Indicators!I544</f>
        <v>1888.7830000000001</v>
      </c>
      <c r="E662" s="2">
        <f>[2]Indicators!J544</f>
        <v>5553.6090000000004</v>
      </c>
      <c r="F662" s="2">
        <f>[2]Indicators!B544</f>
        <v>8676.3009999999995</v>
      </c>
      <c r="G662" s="2">
        <f>[2]Indicators!C544</f>
        <v>1093.3130000000001</v>
      </c>
      <c r="H662" s="2">
        <f>[2]Indicators!D544</f>
        <v>1938.011</v>
      </c>
      <c r="I662" s="2">
        <f>[2]Indicators!E544</f>
        <v>5645.4409999999998</v>
      </c>
      <c r="J662" s="2">
        <f>[2]Indicators!L544</f>
        <v>298629</v>
      </c>
      <c r="K662" s="2">
        <f>[2]Indicators!M544</f>
        <v>172610</v>
      </c>
      <c r="L662" s="2">
        <f>[2]Indicators!N544</f>
        <v>16.885999999999999</v>
      </c>
      <c r="M662" s="2">
        <f>[2]Indicators!AB544</f>
        <v>94.648099999999999</v>
      </c>
      <c r="N662" s="2">
        <f>[8]m!$C664</f>
        <v>2.2800000000000002</v>
      </c>
      <c r="O662">
        <f>[9]Unemployment!$B544</f>
        <v>5.3000000000000007</v>
      </c>
      <c r="P662" s="2">
        <f>[2]Surveys_m!$B544</f>
        <v>105.10000000000001</v>
      </c>
      <c r="Q662">
        <f>[5]m!$B664</f>
        <v>191.6</v>
      </c>
      <c r="R662">
        <f>[5]m!$D664</f>
        <v>199</v>
      </c>
      <c r="S662">
        <f>[5]m!$Q664</f>
        <v>150.9</v>
      </c>
      <c r="T662">
        <f>[6]m!B664</f>
        <v>8106</v>
      </c>
      <c r="U662" s="2">
        <f>[9]Unemployment!$F544</f>
        <v>19.5</v>
      </c>
      <c r="V662" s="2">
        <f>[9]Unemployment!$G544</f>
        <v>9.4</v>
      </c>
      <c r="W662">
        <f>[9]Unemployment!$E544</f>
        <v>7784</v>
      </c>
      <c r="X662">
        <f>[9]Unemployment!N544</f>
        <v>2635</v>
      </c>
      <c r="Y662">
        <f>[9]Unemployment!O544</f>
        <v>2298</v>
      </c>
      <c r="Z662">
        <f>[9]Unemployment!P544-[9]Unemployment!Q544</f>
        <v>1203</v>
      </c>
      <c r="AA662">
        <f>[9]Unemployment!$Q544</f>
        <v>1648</v>
      </c>
      <c r="AB662" s="2">
        <f>[8]m!$B664</f>
        <v>2.48</v>
      </c>
      <c r="AC662" s="2">
        <f>[8]m!$F664</f>
        <v>4.22</v>
      </c>
      <c r="AD662">
        <f>[9]Employment!$B544</f>
        <v>132453</v>
      </c>
      <c r="AE662" s="2">
        <f>[2]Indicators!$AB544</f>
        <v>94.648099999999999</v>
      </c>
      <c r="AF662" s="2">
        <f>[8]m!$AS664</f>
        <v>2196.8000000000002</v>
      </c>
      <c r="AG662" s="2">
        <f>[8]m!$H664</f>
        <v>5.36</v>
      </c>
      <c r="AH662" s="2">
        <f>[8]m!$I664</f>
        <v>6.0200000000000005</v>
      </c>
      <c r="AI662" s="2">
        <f>[7]m!C663</f>
        <v>102509</v>
      </c>
      <c r="AJ662" s="2">
        <f>[7]m!D663</f>
        <v>156639</v>
      </c>
      <c r="AK662" s="2">
        <f>[2]Surveys_m!$AB544</f>
        <v>56.6</v>
      </c>
      <c r="AL662" s="3">
        <v>3895</v>
      </c>
      <c r="AM662">
        <f>[2]Indicators!$BB544</f>
        <v>185386</v>
      </c>
      <c r="AN662" s="2">
        <v>90.1</v>
      </c>
      <c r="AO662">
        <f>[9]Unemployment!H544</f>
        <v>515</v>
      </c>
      <c r="AP662">
        <f>[9]Unemployment!I544</f>
        <v>1289</v>
      </c>
      <c r="AQ662" s="3">
        <f>[9]LaborForce!$B543*[9]LaborForce!$C543/100</f>
        <v>147942.74599999998</v>
      </c>
      <c r="AR662">
        <f>[9]Unemployment!$AC544</f>
        <v>356</v>
      </c>
      <c r="AS662">
        <f>[2]Indicators!BC544</f>
        <v>101.7</v>
      </c>
      <c r="AT662">
        <f>[2]Indicators!BD544</f>
        <v>99.697299999999998</v>
      </c>
      <c r="AU662">
        <f>[2]Indicators!BE544</f>
        <v>100.6786</v>
      </c>
      <c r="AV662">
        <f>[5]m!$O664</f>
        <v>193.35</v>
      </c>
    </row>
    <row r="663" spans="1:48" x14ac:dyDescent="0.25">
      <c r="A663" s="1">
        <v>38384</v>
      </c>
      <c r="B663" s="2">
        <f>[2]Indicators!G545</f>
        <v>8591.219000000001</v>
      </c>
      <c r="C663" s="2">
        <f>[2]Indicators!H545</f>
        <v>1101.58</v>
      </c>
      <c r="D663" s="2">
        <f>[2]Indicators!I545</f>
        <v>1902.067</v>
      </c>
      <c r="E663" s="2">
        <f>[2]Indicators!J545</f>
        <v>5587.5730000000003</v>
      </c>
      <c r="F663" s="2">
        <f>[2]Indicators!B545</f>
        <v>8699.9619999999995</v>
      </c>
      <c r="G663" s="2">
        <f>[2]Indicators!C545</f>
        <v>1094.7919999999999</v>
      </c>
      <c r="H663" s="2">
        <f>[2]Indicators!D545</f>
        <v>1943.68</v>
      </c>
      <c r="I663" s="2">
        <f>[2]Indicators!E545</f>
        <v>5662.0020000000004</v>
      </c>
      <c r="J663" s="2">
        <f>[2]Indicators!L545</f>
        <v>300795</v>
      </c>
      <c r="K663" s="2">
        <f>[2]Indicators!M545</f>
        <v>173261</v>
      </c>
      <c r="L663" s="2">
        <f>[2]Indicators!N545</f>
        <v>16.882999999999999</v>
      </c>
      <c r="M663" s="2">
        <f>[2]Indicators!AB545</f>
        <v>95.278300000000002</v>
      </c>
      <c r="N663" s="2">
        <f>[8]m!$C665</f>
        <v>2.5</v>
      </c>
      <c r="O663">
        <f>[9]Unemployment!$B545</f>
        <v>5.4</v>
      </c>
      <c r="P663" s="2">
        <f>[2]Surveys_m!$B545</f>
        <v>104.4</v>
      </c>
      <c r="Q663">
        <f>[5]m!$B665</f>
        <v>192.4</v>
      </c>
      <c r="R663">
        <f>[5]m!$D665</f>
        <v>199.4</v>
      </c>
      <c r="S663">
        <f>[5]m!$Q665</f>
        <v>151.6</v>
      </c>
      <c r="T663">
        <f>[6]m!B665</f>
        <v>-113789</v>
      </c>
      <c r="U663" s="2">
        <f>[9]Unemployment!$F545</f>
        <v>19.100000000000001</v>
      </c>
      <c r="V663" s="2">
        <f>[9]Unemployment!$G545</f>
        <v>9.2000000000000011</v>
      </c>
      <c r="W663">
        <f>[9]Unemployment!$E545</f>
        <v>7980</v>
      </c>
      <c r="X663">
        <f>[9]Unemployment!N545</f>
        <v>2749</v>
      </c>
      <c r="Y663">
        <f>[9]Unemployment!O545</f>
        <v>2345</v>
      </c>
      <c r="Z663">
        <f>[9]Unemployment!P545-[9]Unemployment!Q545</f>
        <v>1268</v>
      </c>
      <c r="AA663">
        <f>[9]Unemployment!$Q545</f>
        <v>1628</v>
      </c>
      <c r="AB663" s="2">
        <f>[8]m!$B665</f>
        <v>2.72</v>
      </c>
      <c r="AC663" s="2">
        <f>[8]m!$F665</f>
        <v>4.17</v>
      </c>
      <c r="AD663">
        <f>[9]Employment!$B545</f>
        <v>132693</v>
      </c>
      <c r="AE663" s="2">
        <f>[2]Indicators!$AB545</f>
        <v>95.278300000000002</v>
      </c>
      <c r="AF663" s="2">
        <f>[8]m!$AS665</f>
        <v>2211.6</v>
      </c>
      <c r="AG663" s="2">
        <f>[8]m!$H665</f>
        <v>5.2</v>
      </c>
      <c r="AH663" s="2">
        <f>[8]m!$I665</f>
        <v>5.82</v>
      </c>
      <c r="AI663" s="2">
        <f>[7]m!C664</f>
        <v>102896</v>
      </c>
      <c r="AJ663" s="2">
        <f>[7]m!D664</f>
        <v>158293</v>
      </c>
      <c r="AK663" s="2">
        <f>[2]Surveys_m!$AB545</f>
        <v>54.800000000000004</v>
      </c>
      <c r="AL663" s="3">
        <v>3864</v>
      </c>
      <c r="AM663">
        <f>[2]Indicators!$BB545</f>
        <v>187725</v>
      </c>
      <c r="AN663" s="2">
        <v>89.2</v>
      </c>
      <c r="AO663">
        <f>[9]Unemployment!H545</f>
        <v>485</v>
      </c>
      <c r="AP663">
        <f>[9]Unemployment!I545</f>
        <v>1187</v>
      </c>
      <c r="AQ663" s="3">
        <f>[9]LaborForce!$B544*[9]LaborForce!$C544/100</f>
        <v>148302.019</v>
      </c>
      <c r="AR663">
        <f>[9]Unemployment!$AC545</f>
        <v>331</v>
      </c>
      <c r="AS663">
        <f>[2]Indicators!BC545</f>
        <v>102.2</v>
      </c>
      <c r="AT663">
        <f>[2]Indicators!BD545</f>
        <v>99.666200000000003</v>
      </c>
      <c r="AU663">
        <f>[2]Indicators!BE545</f>
        <v>100.54230000000001</v>
      </c>
      <c r="AV663">
        <f>[5]m!$O665</f>
        <v>195.87</v>
      </c>
    </row>
    <row r="664" spans="1:48" x14ac:dyDescent="0.25">
      <c r="A664" s="1">
        <v>38412</v>
      </c>
      <c r="B664" s="2">
        <f>[2]Indicators!G546</f>
        <v>8642.2029999999995</v>
      </c>
      <c r="C664" s="2">
        <f>[2]Indicators!H546</f>
        <v>1114.1420000000001</v>
      </c>
      <c r="D664" s="2">
        <f>[2]Indicators!I546</f>
        <v>1896.163</v>
      </c>
      <c r="E664" s="2">
        <f>[2]Indicators!J546</f>
        <v>5631.8980000000001</v>
      </c>
      <c r="F664" s="2">
        <f>[2]Indicators!B546</f>
        <v>8724.0169999999998</v>
      </c>
      <c r="G664" s="2">
        <f>[2]Indicators!C546</f>
        <v>1107.981</v>
      </c>
      <c r="H664" s="2">
        <f>[2]Indicators!D546</f>
        <v>1929.3810000000001</v>
      </c>
      <c r="I664" s="2">
        <f>[2]Indicators!E546</f>
        <v>5686.8150000000005</v>
      </c>
      <c r="J664" s="2">
        <f>[2]Indicators!L546</f>
        <v>300954</v>
      </c>
      <c r="K664" s="2">
        <f>[2]Indicators!M546</f>
        <v>172540</v>
      </c>
      <c r="L664" s="2">
        <f>[2]Indicators!N546</f>
        <v>17.402999999999999</v>
      </c>
      <c r="M664" s="2">
        <f>[2]Indicators!AB546</f>
        <v>95.194500000000005</v>
      </c>
      <c r="N664" s="2">
        <f>[8]m!$C666</f>
        <v>2.63</v>
      </c>
      <c r="O664">
        <f>[9]Unemployment!$B546</f>
        <v>5.2</v>
      </c>
      <c r="P664" s="2">
        <f>[2]Surveys_m!$B546</f>
        <v>103</v>
      </c>
      <c r="Q664">
        <f>[5]m!$B666</f>
        <v>193.1</v>
      </c>
      <c r="R664">
        <f>[5]m!$D666</f>
        <v>200.1</v>
      </c>
      <c r="S664">
        <f>[5]m!$Q666</f>
        <v>153.70000000000002</v>
      </c>
      <c r="T664">
        <f>[6]m!B666</f>
        <v>-71724</v>
      </c>
      <c r="U664" s="2">
        <f>[9]Unemployment!$F546</f>
        <v>19.5</v>
      </c>
      <c r="V664" s="2">
        <f>[9]Unemployment!$G546</f>
        <v>9.3000000000000007</v>
      </c>
      <c r="W664">
        <f>[9]Unemployment!$E546</f>
        <v>7737</v>
      </c>
      <c r="X664">
        <f>[9]Unemployment!N546</f>
        <v>2483</v>
      </c>
      <c r="Y664">
        <f>[9]Unemployment!O546</f>
        <v>2328</v>
      </c>
      <c r="Z664">
        <f>[9]Unemployment!P546-[9]Unemployment!Q546</f>
        <v>1157</v>
      </c>
      <c r="AA664">
        <f>[9]Unemployment!$Q546</f>
        <v>1660</v>
      </c>
      <c r="AB664" s="2">
        <f>[8]m!$B666</f>
        <v>2.73</v>
      </c>
      <c r="AC664" s="2">
        <f>[8]m!$F666</f>
        <v>4.5</v>
      </c>
      <c r="AD664">
        <f>[9]Employment!$B546</f>
        <v>132835</v>
      </c>
      <c r="AE664" s="2">
        <f>[2]Indicators!$AB546</f>
        <v>95.194500000000005</v>
      </c>
      <c r="AF664" s="2">
        <f>[8]m!$AS666</f>
        <v>2220.2000000000003</v>
      </c>
      <c r="AG664" s="2">
        <f>[8]m!$H666</f>
        <v>5.4</v>
      </c>
      <c r="AH664" s="2">
        <f>[8]m!$I666</f>
        <v>6.0600000000000005</v>
      </c>
      <c r="AI664" s="2">
        <f>[7]m!C665</f>
        <v>103705</v>
      </c>
      <c r="AJ664" s="2">
        <f>[7]m!D665</f>
        <v>160960</v>
      </c>
      <c r="AK664" s="2">
        <f>[2]Surveys_m!$AB546</f>
        <v>54.900000000000006</v>
      </c>
      <c r="AL664" s="3">
        <v>3943</v>
      </c>
      <c r="AM664">
        <f>[2]Indicators!$BB546</f>
        <v>180797</v>
      </c>
      <c r="AN664" s="2">
        <v>85.9</v>
      </c>
      <c r="AO664">
        <f>[9]Unemployment!H546</f>
        <v>480</v>
      </c>
      <c r="AP664">
        <f>[9]Unemployment!I546</f>
        <v>1108</v>
      </c>
      <c r="AQ664" s="3">
        <f>[9]LaborForce!$B545*[9]LaborForce!$C545/100</f>
        <v>148430.524</v>
      </c>
      <c r="AR664">
        <f>[9]Unemployment!$AC546</f>
        <v>314</v>
      </c>
      <c r="AS664">
        <f>[2]Indicators!BC546</f>
        <v>101.7</v>
      </c>
      <c r="AT664">
        <f>[2]Indicators!BD546</f>
        <v>99.595800000000011</v>
      </c>
      <c r="AU664">
        <f>[2]Indicators!BE546</f>
        <v>100.3694</v>
      </c>
      <c r="AV664">
        <f>[5]m!$O666</f>
        <v>199.21</v>
      </c>
    </row>
    <row r="665" spans="1:48" x14ac:dyDescent="0.25">
      <c r="A665" s="1">
        <v>38443</v>
      </c>
      <c r="B665" s="2">
        <f>[2]Indicators!G547</f>
        <v>8726.2430000000004</v>
      </c>
      <c r="C665" s="2">
        <f>[2]Indicators!H547</f>
        <v>1148.2</v>
      </c>
      <c r="D665" s="2">
        <f>[2]Indicators!I547</f>
        <v>1924.962</v>
      </c>
      <c r="E665" s="2">
        <f>[2]Indicators!J547</f>
        <v>5653.0810000000001</v>
      </c>
      <c r="F665" s="2">
        <f>[2]Indicators!B547</f>
        <v>8781.7910000000011</v>
      </c>
      <c r="G665" s="2">
        <f>[2]Indicators!C547</f>
        <v>1143.9750000000001</v>
      </c>
      <c r="H665" s="2">
        <f>[2]Indicators!D547</f>
        <v>1945.559</v>
      </c>
      <c r="I665" s="2">
        <f>[2]Indicators!E547</f>
        <v>5692.018</v>
      </c>
      <c r="J665" s="2">
        <f>[2]Indicators!L547</f>
        <v>305618</v>
      </c>
      <c r="K665" s="2">
        <f>[2]Indicators!M547</f>
        <v>174810</v>
      </c>
      <c r="L665" s="2">
        <f>[2]Indicators!N547</f>
        <v>17.754000000000001</v>
      </c>
      <c r="M665" s="2">
        <f>[2]Indicators!AB547</f>
        <v>95.2273</v>
      </c>
      <c r="N665" s="2">
        <f>[8]m!$C667</f>
        <v>2.79</v>
      </c>
      <c r="O665">
        <f>[9]Unemployment!$B547</f>
        <v>5.2</v>
      </c>
      <c r="P665" s="2">
        <f>[2]Surveys_m!$B547</f>
        <v>97.5</v>
      </c>
      <c r="Q665">
        <f>[5]m!$B667</f>
        <v>193.70000000000002</v>
      </c>
      <c r="R665">
        <f>[5]m!$D667</f>
        <v>200.20000000000002</v>
      </c>
      <c r="S665">
        <f>[5]m!$Q667</f>
        <v>155</v>
      </c>
      <c r="T665">
        <f>[6]m!B667</f>
        <v>57924</v>
      </c>
      <c r="U665" s="2">
        <f>[9]Unemployment!$F547</f>
        <v>19.600000000000001</v>
      </c>
      <c r="V665" s="2">
        <f>[9]Unemployment!$G547</f>
        <v>9</v>
      </c>
      <c r="W665">
        <f>[9]Unemployment!$E547</f>
        <v>7672</v>
      </c>
      <c r="X665">
        <f>[9]Unemployment!N547</f>
        <v>2688</v>
      </c>
      <c r="Y665">
        <f>[9]Unemployment!O547</f>
        <v>2289</v>
      </c>
      <c r="Z665">
        <f>[9]Unemployment!P547-[9]Unemployment!Q547</f>
        <v>1069</v>
      </c>
      <c r="AA665">
        <f>[9]Unemployment!$Q547</f>
        <v>1609</v>
      </c>
      <c r="AB665" s="2">
        <f>[8]m!$B667</f>
        <v>2.84</v>
      </c>
      <c r="AC665" s="2">
        <f>[8]m!$F667</f>
        <v>4.34</v>
      </c>
      <c r="AD665">
        <f>[9]Employment!$B547</f>
        <v>133195</v>
      </c>
      <c r="AE665" s="2">
        <f>[2]Indicators!$AB547</f>
        <v>95.2273</v>
      </c>
      <c r="AF665" s="2">
        <f>[8]m!$AS667</f>
        <v>2232.5</v>
      </c>
      <c r="AG665" s="2">
        <f>[8]m!$H667</f>
        <v>5.33</v>
      </c>
      <c r="AH665" s="2">
        <f>[8]m!$I667</f>
        <v>6.05</v>
      </c>
      <c r="AI665" s="2">
        <f>[7]m!C666</f>
        <v>104659</v>
      </c>
      <c r="AJ665" s="2">
        <f>[7]m!D666</f>
        <v>157084</v>
      </c>
      <c r="AK665" s="2">
        <f>[2]Surveys_m!$AB547</f>
        <v>52.5</v>
      </c>
      <c r="AL665" s="3">
        <v>4191</v>
      </c>
      <c r="AM665">
        <f>[2]Indicators!$BB547</f>
        <v>186528</v>
      </c>
      <c r="AN665" s="2">
        <v>87.1</v>
      </c>
      <c r="AO665">
        <f>[9]Unemployment!H547</f>
        <v>393</v>
      </c>
      <c r="AP665">
        <f>[9]Unemployment!I547</f>
        <v>1119</v>
      </c>
      <c r="AQ665" s="3">
        <f>[9]LaborForce!$B546*[9]LaborForce!$C546/100</f>
        <v>149016.50100000002</v>
      </c>
      <c r="AR665">
        <f>[9]Unemployment!$AC547</f>
        <v>335</v>
      </c>
      <c r="AS665">
        <f>[2]Indicators!BC547</f>
        <v>101.7</v>
      </c>
      <c r="AT665">
        <f>[2]Indicators!BD547</f>
        <v>99.564700000000002</v>
      </c>
      <c r="AU665">
        <f>[2]Indicators!BE547</f>
        <v>100.23960000000001</v>
      </c>
      <c r="AV665">
        <f>[5]m!$O667</f>
        <v>202.51</v>
      </c>
    </row>
    <row r="666" spans="1:48" x14ac:dyDescent="0.25">
      <c r="A666" s="1">
        <v>38473</v>
      </c>
      <c r="B666" s="2">
        <f>[2]Indicators!G548</f>
        <v>8685.3130000000001</v>
      </c>
      <c r="C666" s="2">
        <f>[2]Indicators!H548</f>
        <v>1100.7080000000001</v>
      </c>
      <c r="D666" s="2">
        <f>[2]Indicators!I548</f>
        <v>1904.54</v>
      </c>
      <c r="E666" s="2">
        <f>[2]Indicators!J548</f>
        <v>5680.0650000000005</v>
      </c>
      <c r="F666" s="2">
        <f>[2]Indicators!B548</f>
        <v>8743.5020000000004</v>
      </c>
      <c r="G666" s="2">
        <f>[2]Indicators!C548</f>
        <v>1095.3310000000001</v>
      </c>
      <c r="H666" s="2">
        <f>[2]Indicators!D548</f>
        <v>1941.8330000000001</v>
      </c>
      <c r="I666" s="2">
        <f>[2]Indicators!E548</f>
        <v>5706.6639999999998</v>
      </c>
      <c r="J666" s="2">
        <f>[2]Indicators!L548</f>
        <v>302532</v>
      </c>
      <c r="K666" s="2">
        <f>[2]Indicators!M548</f>
        <v>173228</v>
      </c>
      <c r="L666" s="2">
        <f>[2]Indicators!N548</f>
        <v>17.411000000000001</v>
      </c>
      <c r="M666" s="2">
        <f>[2]Indicators!AB548</f>
        <v>95.380099999999999</v>
      </c>
      <c r="N666" s="2">
        <f>[8]m!$C668</f>
        <v>3</v>
      </c>
      <c r="O666">
        <f>[9]Unemployment!$B548</f>
        <v>5.1000000000000005</v>
      </c>
      <c r="P666" s="2">
        <f>[2]Surveys_m!$B548</f>
        <v>103.10000000000001</v>
      </c>
      <c r="Q666">
        <f>[5]m!$B668</f>
        <v>193.6</v>
      </c>
      <c r="R666">
        <f>[5]m!$D668</f>
        <v>200.5</v>
      </c>
      <c r="S666">
        <f>[5]m!$Q668</f>
        <v>154.30000000000001</v>
      </c>
      <c r="T666">
        <f>[6]m!B668</f>
        <v>-36190</v>
      </c>
      <c r="U666" s="2">
        <f>[9]Unemployment!$F548</f>
        <v>18.600000000000001</v>
      </c>
      <c r="V666" s="2">
        <f>[9]Unemployment!$G548</f>
        <v>9.1</v>
      </c>
      <c r="W666">
        <f>[9]Unemployment!$E548</f>
        <v>7651</v>
      </c>
      <c r="X666">
        <f>[9]Unemployment!N548</f>
        <v>2754</v>
      </c>
      <c r="Y666">
        <f>[9]Unemployment!O548</f>
        <v>2231</v>
      </c>
      <c r="Z666">
        <f>[9]Unemployment!P548-[9]Unemployment!Q548</f>
        <v>1145</v>
      </c>
      <c r="AA666">
        <f>[9]Unemployment!$Q548</f>
        <v>1538</v>
      </c>
      <c r="AB666" s="2">
        <f>[8]m!$B668</f>
        <v>2.93</v>
      </c>
      <c r="AC666" s="2">
        <f>[8]m!$F668</f>
        <v>4.1399999999999997</v>
      </c>
      <c r="AD666">
        <f>[9]Employment!$B548</f>
        <v>133364</v>
      </c>
      <c r="AE666" s="2">
        <f>[2]Indicators!$AB548</f>
        <v>95.380099999999999</v>
      </c>
      <c r="AF666" s="2">
        <f>[8]m!$AS668</f>
        <v>2232.7000000000003</v>
      </c>
      <c r="AG666" s="2">
        <f>[8]m!$H668</f>
        <v>5.15</v>
      </c>
      <c r="AH666" s="2">
        <f>[8]m!$I668</f>
        <v>6.01</v>
      </c>
      <c r="AI666" s="2">
        <f>[7]m!C667</f>
        <v>106976</v>
      </c>
      <c r="AJ666" s="2">
        <f>[7]m!D667</f>
        <v>163773</v>
      </c>
      <c r="AK666" s="2">
        <f>[2]Surveys_m!$AB548</f>
        <v>51</v>
      </c>
      <c r="AL666" s="3">
        <v>3912</v>
      </c>
      <c r="AM666">
        <f>[2]Indicators!$BB548</f>
        <v>197341</v>
      </c>
      <c r="AN666" s="2">
        <v>86</v>
      </c>
      <c r="AO666">
        <f>[9]Unemployment!H548</f>
        <v>392</v>
      </c>
      <c r="AP666">
        <f>[9]Unemployment!I548</f>
        <v>1036</v>
      </c>
      <c r="AQ666" s="3">
        <f>[9]LaborForce!$B547*[9]LaborForce!$C547/100</f>
        <v>149167.87000000002</v>
      </c>
      <c r="AR666">
        <f>[9]Unemployment!$AC548</f>
        <v>334</v>
      </c>
      <c r="AS666">
        <f>[2]Indicators!BC548</f>
        <v>102</v>
      </c>
      <c r="AT666">
        <f>[2]Indicators!BD548</f>
        <v>99.617000000000004</v>
      </c>
      <c r="AU666">
        <f>[2]Indicators!BE548</f>
        <v>100.1969</v>
      </c>
      <c r="AV666">
        <f>[5]m!$O668</f>
        <v>205.76</v>
      </c>
    </row>
    <row r="667" spans="1:48" x14ac:dyDescent="0.25">
      <c r="A667" s="1">
        <v>38504</v>
      </c>
      <c r="B667" s="2">
        <f>[2]Indicators!G549</f>
        <v>8779.4740000000002</v>
      </c>
      <c r="C667" s="2">
        <f>[2]Indicators!H549</f>
        <v>1155.2819999999999</v>
      </c>
      <c r="D667" s="2">
        <f>[2]Indicators!I549</f>
        <v>1913.7820000000002</v>
      </c>
      <c r="E667" s="2">
        <f>[2]Indicators!J549</f>
        <v>5710.4090000000006</v>
      </c>
      <c r="F667" s="2">
        <f>[2]Indicators!B549</f>
        <v>8833.2870000000003</v>
      </c>
      <c r="G667" s="2">
        <f>[2]Indicators!C549</f>
        <v>1152.44</v>
      </c>
      <c r="H667" s="2">
        <f>[2]Indicators!D549</f>
        <v>1952.664</v>
      </c>
      <c r="I667" s="2">
        <f>[2]Indicators!E549</f>
        <v>5728.2240000000002</v>
      </c>
      <c r="J667" s="2">
        <f>[2]Indicators!L549</f>
        <v>310510</v>
      </c>
      <c r="K667" s="2">
        <f>[2]Indicators!M549</f>
        <v>177407</v>
      </c>
      <c r="L667" s="2">
        <f>[2]Indicators!N549</f>
        <v>18.48</v>
      </c>
      <c r="M667" s="2">
        <f>[2]Indicators!AB549</f>
        <v>95.724500000000006</v>
      </c>
      <c r="N667" s="2">
        <f>[8]m!$C669</f>
        <v>3.04</v>
      </c>
      <c r="O667">
        <f>[9]Unemployment!$B549</f>
        <v>5</v>
      </c>
      <c r="P667" s="2">
        <f>[2]Surveys_m!$B549</f>
        <v>106.2</v>
      </c>
      <c r="Q667">
        <f>[5]m!$B669</f>
        <v>193.70000000000002</v>
      </c>
      <c r="R667">
        <f>[5]m!$D669</f>
        <v>200.6</v>
      </c>
      <c r="S667">
        <f>[5]m!$Q669</f>
        <v>154.30000000000001</v>
      </c>
      <c r="T667">
        <f>[6]m!B669</f>
        <v>22473</v>
      </c>
      <c r="U667" s="2">
        <f>[9]Unemployment!$F549</f>
        <v>17.900000000000002</v>
      </c>
      <c r="V667" s="2">
        <f>[9]Unemployment!$G549</f>
        <v>9</v>
      </c>
      <c r="W667">
        <f>[9]Unemployment!$E549</f>
        <v>7524</v>
      </c>
      <c r="X667">
        <f>[9]Unemployment!N549</f>
        <v>2659</v>
      </c>
      <c r="Y667">
        <f>[9]Unemployment!O549</f>
        <v>2361</v>
      </c>
      <c r="Z667">
        <f>[9]Unemployment!P549-[9]Unemployment!Q549</f>
        <v>1030</v>
      </c>
      <c r="AA667">
        <f>[9]Unemployment!$Q549</f>
        <v>1375</v>
      </c>
      <c r="AB667" s="2">
        <f>[8]m!$B669</f>
        <v>3.06</v>
      </c>
      <c r="AC667" s="2">
        <f>[8]m!$F669</f>
        <v>4</v>
      </c>
      <c r="AD667">
        <f>[9]Employment!$B549</f>
        <v>133610</v>
      </c>
      <c r="AE667" s="2">
        <f>[2]Indicators!$AB549</f>
        <v>95.724500000000006</v>
      </c>
      <c r="AF667" s="2">
        <f>[8]m!$AS669</f>
        <v>2247.8000000000002</v>
      </c>
      <c r="AG667" s="2">
        <f>[8]m!$H669</f>
        <v>4.96</v>
      </c>
      <c r="AH667" s="2">
        <f>[8]m!$I669</f>
        <v>5.86</v>
      </c>
      <c r="AI667" s="2">
        <f>[7]m!C668</f>
        <v>106512</v>
      </c>
      <c r="AJ667" s="2">
        <f>[7]m!D668</f>
        <v>162347</v>
      </c>
      <c r="AK667" s="2">
        <f>[2]Surveys_m!$AB549</f>
        <v>52.6</v>
      </c>
      <c r="AL667" s="3">
        <v>4161</v>
      </c>
      <c r="AM667">
        <f>[2]Indicators!$BB549</f>
        <v>200147</v>
      </c>
      <c r="AN667" s="2">
        <v>87.9</v>
      </c>
      <c r="AO667">
        <f>[9]Unemployment!H549</f>
        <v>476</v>
      </c>
      <c r="AP667">
        <f>[9]Unemployment!I549</f>
        <v>1107</v>
      </c>
      <c r="AQ667" s="3">
        <f>[9]LaborForce!$B548*[9]LaborForce!$C548/100</f>
        <v>149327.171</v>
      </c>
      <c r="AR667">
        <f>[9]Unemployment!$AC549</f>
        <v>340</v>
      </c>
      <c r="AS667">
        <f>[2]Indicators!BC549</f>
        <v>103</v>
      </c>
      <c r="AT667">
        <f>[2]Indicators!BD549</f>
        <v>99.756200000000007</v>
      </c>
      <c r="AU667">
        <f>[2]Indicators!BE549</f>
        <v>100.2453</v>
      </c>
      <c r="AV667">
        <f>[5]m!$O669</f>
        <v>208.86</v>
      </c>
    </row>
    <row r="668" spans="1:48" x14ac:dyDescent="0.25">
      <c r="A668" s="1">
        <v>38534</v>
      </c>
      <c r="B668" s="2">
        <f>[2]Indicators!G550</f>
        <v>8870.9680000000008</v>
      </c>
      <c r="C668" s="2">
        <f>[2]Indicators!H550</f>
        <v>1192.9580000000001</v>
      </c>
      <c r="D668" s="2">
        <f>[2]Indicators!I550</f>
        <v>1938.1790000000001</v>
      </c>
      <c r="E668" s="2">
        <f>[2]Indicators!J550</f>
        <v>5739.83</v>
      </c>
      <c r="F668" s="2">
        <f>[2]Indicators!B550</f>
        <v>8886.755000000001</v>
      </c>
      <c r="G668" s="2">
        <f>[2]Indicators!C550</f>
        <v>1194.586</v>
      </c>
      <c r="H668" s="2">
        <f>[2]Indicators!D550</f>
        <v>1950.454</v>
      </c>
      <c r="I668" s="2">
        <f>[2]Indicators!E550</f>
        <v>5741.8330000000005</v>
      </c>
      <c r="J668" s="2">
        <f>[2]Indicators!L550</f>
        <v>314665</v>
      </c>
      <c r="K668" s="2">
        <f>[2]Indicators!M550</f>
        <v>178440</v>
      </c>
      <c r="L668" s="2">
        <f>[2]Indicators!N550</f>
        <v>21.122</v>
      </c>
      <c r="M668" s="2">
        <f>[2]Indicators!AB550</f>
        <v>95.578500000000005</v>
      </c>
      <c r="N668" s="2">
        <f>[8]m!$C670</f>
        <v>3.2600000000000002</v>
      </c>
      <c r="O668">
        <f>[9]Unemployment!$B550</f>
        <v>5</v>
      </c>
      <c r="P668" s="2">
        <f>[2]Surveys_m!$B550</f>
        <v>103.60000000000001</v>
      </c>
      <c r="Q668">
        <f>[5]m!$B670</f>
        <v>194.9</v>
      </c>
      <c r="R668">
        <f>[5]m!$D670</f>
        <v>200.9</v>
      </c>
      <c r="S668">
        <f>[5]m!$Q670</f>
        <v>156.30000000000001</v>
      </c>
      <c r="T668">
        <f>[6]m!B670</f>
        <v>-53395</v>
      </c>
      <c r="U668" s="2">
        <f>[9]Unemployment!$F550</f>
        <v>17.600000000000001</v>
      </c>
      <c r="V668" s="2">
        <f>[9]Unemployment!$G550</f>
        <v>8.8000000000000007</v>
      </c>
      <c r="W668">
        <f>[9]Unemployment!$E550</f>
        <v>7406</v>
      </c>
      <c r="X668">
        <f>[9]Unemployment!N550</f>
        <v>2568</v>
      </c>
      <c r="Y668">
        <f>[9]Unemployment!O550</f>
        <v>2368</v>
      </c>
      <c r="Z668">
        <f>[9]Unemployment!P550-[9]Unemployment!Q550</f>
        <v>1069</v>
      </c>
      <c r="AA668">
        <f>[9]Unemployment!$Q550</f>
        <v>1380</v>
      </c>
      <c r="AB668" s="2">
        <f>[8]m!$B670</f>
        <v>3.34</v>
      </c>
      <c r="AC668" s="2">
        <f>[8]m!$F670</f>
        <v>4.18</v>
      </c>
      <c r="AD668">
        <f>[9]Employment!$B550</f>
        <v>133979</v>
      </c>
      <c r="AE668" s="2">
        <f>[2]Indicators!$AB550</f>
        <v>95.578500000000005</v>
      </c>
      <c r="AF668" s="2">
        <f>[8]m!$AS670</f>
        <v>2257.2000000000003</v>
      </c>
      <c r="AG668" s="2">
        <f>[8]m!$H670</f>
        <v>5.0600000000000005</v>
      </c>
      <c r="AH668" s="2">
        <f>[8]m!$I670</f>
        <v>5.95</v>
      </c>
      <c r="AI668" s="2">
        <f>[7]m!C669</f>
        <v>106613</v>
      </c>
      <c r="AJ668" s="2">
        <f>[7]m!D669</f>
        <v>164346</v>
      </c>
      <c r="AK668" s="2">
        <f>[2]Surveys_m!$AB550</f>
        <v>54</v>
      </c>
      <c r="AL668" s="3">
        <v>4175</v>
      </c>
      <c r="AM668">
        <f>[2]Indicators!$BB550</f>
        <v>187599</v>
      </c>
      <c r="AN668" s="2">
        <v>87.1</v>
      </c>
      <c r="AO668">
        <f>[9]Unemployment!H550</f>
        <v>499</v>
      </c>
      <c r="AP668">
        <f>[9]Unemployment!I550</f>
        <v>1016</v>
      </c>
      <c r="AQ668" s="3">
        <f>[9]LaborForce!$B549*[9]LaborForce!$C549/100</f>
        <v>149487.13300000003</v>
      </c>
      <c r="AR668">
        <f>[9]Unemployment!$AC550</f>
        <v>327</v>
      </c>
      <c r="AS668">
        <f>[2]Indicators!BC550</f>
        <v>102.7</v>
      </c>
      <c r="AT668">
        <f>[2]Indicators!BD550</f>
        <v>99.933000000000007</v>
      </c>
      <c r="AU668">
        <f>[2]Indicators!BE550</f>
        <v>100.3353</v>
      </c>
      <c r="AV668">
        <f>[5]m!$O670</f>
        <v>211.65</v>
      </c>
    </row>
    <row r="669" spans="1:48" x14ac:dyDescent="0.25">
      <c r="A669" s="1">
        <v>38565</v>
      </c>
      <c r="B669" s="2">
        <f>[2]Indicators!G551</f>
        <v>8879.5519999999997</v>
      </c>
      <c r="C669" s="2">
        <f>[2]Indicators!H551</f>
        <v>1130.229</v>
      </c>
      <c r="D669" s="2">
        <f>[2]Indicators!I551</f>
        <v>1982.7340000000002</v>
      </c>
      <c r="E669" s="2">
        <f>[2]Indicators!J551</f>
        <v>5766.5889999999999</v>
      </c>
      <c r="F669" s="2">
        <f>[2]Indicators!B551</f>
        <v>8854.9040000000005</v>
      </c>
      <c r="G669" s="2">
        <f>[2]Indicators!C551</f>
        <v>1137.0250000000001</v>
      </c>
      <c r="H669" s="2">
        <f>[2]Indicators!D551</f>
        <v>1963.4349999999999</v>
      </c>
      <c r="I669" s="2">
        <f>[2]Indicators!E551</f>
        <v>5754.5050000000001</v>
      </c>
      <c r="J669" s="2">
        <f>[2]Indicators!L551</f>
        <v>310065</v>
      </c>
      <c r="K669" s="2">
        <f>[2]Indicators!M551</f>
        <v>175092</v>
      </c>
      <c r="L669" s="2">
        <f>[2]Indicators!N551</f>
        <v>17.411999999999999</v>
      </c>
      <c r="M669" s="2">
        <f>[2]Indicators!AB551</f>
        <v>95.705400000000012</v>
      </c>
      <c r="N669" s="2">
        <f>[8]m!$C671</f>
        <v>3.5</v>
      </c>
      <c r="O669">
        <f>[9]Unemployment!$B551</f>
        <v>4.9000000000000004</v>
      </c>
      <c r="P669" s="2">
        <f>[2]Surveys_m!$B551</f>
        <v>105.5</v>
      </c>
      <c r="Q669">
        <f>[5]m!$B671</f>
        <v>196.1</v>
      </c>
      <c r="R669">
        <f>[5]m!$D671</f>
        <v>201.1</v>
      </c>
      <c r="S669">
        <f>[5]m!$Q671</f>
        <v>157.60000000000002</v>
      </c>
      <c r="T669">
        <f>[6]m!B671</f>
        <v>-51036</v>
      </c>
      <c r="U669" s="2">
        <f>[9]Unemployment!$F551</f>
        <v>18.400000000000002</v>
      </c>
      <c r="V669" s="2">
        <f>[9]Unemployment!$G551</f>
        <v>9.2000000000000011</v>
      </c>
      <c r="W669">
        <f>[9]Unemployment!$E551</f>
        <v>7345</v>
      </c>
      <c r="X669">
        <f>[9]Unemployment!N551</f>
        <v>2570</v>
      </c>
      <c r="Y669">
        <f>[9]Unemployment!O551</f>
        <v>2304</v>
      </c>
      <c r="Z669">
        <f>[9]Unemployment!P551-[9]Unemployment!Q551</f>
        <v>1162</v>
      </c>
      <c r="AA669">
        <f>[9]Unemployment!$Q551</f>
        <v>1407</v>
      </c>
      <c r="AB669" s="2">
        <f>[8]m!$B671</f>
        <v>3.44</v>
      </c>
      <c r="AC669" s="2">
        <f>[8]m!$F671</f>
        <v>4.26</v>
      </c>
      <c r="AD669">
        <f>[9]Employment!$B551</f>
        <v>134174</v>
      </c>
      <c r="AE669" s="2">
        <f>[2]Indicators!$AB551</f>
        <v>95.705400000000012</v>
      </c>
      <c r="AF669" s="2">
        <f>[8]m!$AS671</f>
        <v>2267</v>
      </c>
      <c r="AG669" s="2">
        <f>[8]m!$H671</f>
        <v>5.09</v>
      </c>
      <c r="AH669" s="2">
        <f>[8]m!$I671</f>
        <v>5.96</v>
      </c>
      <c r="AI669" s="2">
        <f>[7]m!C670</f>
        <v>106917</v>
      </c>
      <c r="AJ669" s="2">
        <f>[7]m!D670</f>
        <v>164462</v>
      </c>
      <c r="AK669" s="2">
        <f>[2]Surveys_m!$AB551</f>
        <v>51.6</v>
      </c>
      <c r="AL669" s="3">
        <v>4112</v>
      </c>
      <c r="AM669">
        <f>[2]Indicators!$BB551</f>
        <v>196326</v>
      </c>
      <c r="AN669" s="2">
        <v>87.3</v>
      </c>
      <c r="AO669">
        <f>[9]Unemployment!H551</f>
        <v>384</v>
      </c>
      <c r="AP669">
        <f>[9]Unemployment!I551</f>
        <v>1198</v>
      </c>
      <c r="AQ669" s="3">
        <f>[9]LaborForce!$B550*[9]LaborForce!$C550/100</f>
        <v>149890.70200000002</v>
      </c>
      <c r="AR669">
        <f>[9]Unemployment!$AC551</f>
        <v>316</v>
      </c>
      <c r="AS669">
        <f>[2]Indicators!BC551</f>
        <v>102.9</v>
      </c>
      <c r="AT669">
        <f>[2]Indicators!BD551</f>
        <v>100.1508</v>
      </c>
      <c r="AU669">
        <f>[2]Indicators!BE551</f>
        <v>100.4705</v>
      </c>
      <c r="AV669">
        <f>[5]m!$O671</f>
        <v>214.13</v>
      </c>
    </row>
    <row r="670" spans="1:48" x14ac:dyDescent="0.25">
      <c r="A670" s="1">
        <v>38596</v>
      </c>
      <c r="B670" s="2">
        <f>[2]Indicators!G552</f>
        <v>8936.7849999999999</v>
      </c>
      <c r="C670" s="2">
        <f>[2]Indicators!H552</f>
        <v>1103.655</v>
      </c>
      <c r="D670" s="2">
        <f>[2]Indicators!I552</f>
        <v>2032.547</v>
      </c>
      <c r="E670" s="2">
        <f>[2]Indicators!J552</f>
        <v>5800.5830000000005</v>
      </c>
      <c r="F670" s="2">
        <f>[2]Indicators!B552</f>
        <v>8817.0329999999994</v>
      </c>
      <c r="G670" s="2">
        <f>[2]Indicators!C552</f>
        <v>1108.3140000000001</v>
      </c>
      <c r="H670" s="2">
        <f>[2]Indicators!D552</f>
        <v>1949.23</v>
      </c>
      <c r="I670" s="2">
        <f>[2]Indicators!E552</f>
        <v>5759.5330000000004</v>
      </c>
      <c r="J670" s="2">
        <f>[2]Indicators!L552</f>
        <v>310847</v>
      </c>
      <c r="K670" s="2">
        <f>[2]Indicators!M552</f>
        <v>173158</v>
      </c>
      <c r="L670" s="2">
        <f>[2]Indicators!N552</f>
        <v>16.929000000000002</v>
      </c>
      <c r="M670" s="2">
        <f>[2]Indicators!AB552</f>
        <v>93.802700000000002</v>
      </c>
      <c r="N670" s="2">
        <f>[8]m!$C672</f>
        <v>3.62</v>
      </c>
      <c r="O670">
        <f>[9]Unemployment!$B552</f>
        <v>5</v>
      </c>
      <c r="P670" s="2">
        <f>[2]Surveys_m!$B552</f>
        <v>87.5</v>
      </c>
      <c r="Q670">
        <f>[5]m!$B672</f>
        <v>198.8</v>
      </c>
      <c r="R670">
        <f>[5]m!$D672</f>
        <v>201.3</v>
      </c>
      <c r="S670">
        <f>[5]m!$Q672</f>
        <v>162.20000000000002</v>
      </c>
      <c r="T670">
        <f>[6]m!B672</f>
        <v>35234</v>
      </c>
      <c r="U670" s="2">
        <f>[9]Unemployment!$F552</f>
        <v>17.900000000000002</v>
      </c>
      <c r="V670" s="2">
        <f>[9]Unemployment!$G552</f>
        <v>8.4</v>
      </c>
      <c r="W670">
        <f>[9]Unemployment!$E552</f>
        <v>7553</v>
      </c>
      <c r="X670">
        <f>[9]Unemployment!N552</f>
        <v>2763</v>
      </c>
      <c r="Y670">
        <f>[9]Unemployment!O552</f>
        <v>2294</v>
      </c>
      <c r="Z670">
        <f>[9]Unemployment!P552-[9]Unemployment!Q552</f>
        <v>1098</v>
      </c>
      <c r="AA670">
        <f>[9]Unemployment!$Q552</f>
        <v>1439</v>
      </c>
      <c r="AB670" s="2">
        <f>[8]m!$B672</f>
        <v>3.47</v>
      </c>
      <c r="AC670" s="2">
        <f>[8]m!$F672</f>
        <v>4.2</v>
      </c>
      <c r="AD670">
        <f>[9]Employment!$B552</f>
        <v>134237</v>
      </c>
      <c r="AE670" s="2">
        <f>[2]Indicators!$AB552</f>
        <v>93.802700000000002</v>
      </c>
      <c r="AF670" s="2">
        <f>[8]m!$AS672</f>
        <v>2271.6</v>
      </c>
      <c r="AG670" s="2">
        <f>[8]m!$H672</f>
        <v>5.13</v>
      </c>
      <c r="AH670" s="2">
        <f>[8]m!$I672</f>
        <v>6.03</v>
      </c>
      <c r="AI670" s="2">
        <f>[7]m!C671</f>
        <v>108293</v>
      </c>
      <c r="AJ670" s="2">
        <f>[7]m!D671</f>
        <v>166130</v>
      </c>
      <c r="AK670" s="2">
        <f>[2]Surveys_m!$AB552</f>
        <v>56.5</v>
      </c>
      <c r="AL670" s="3">
        <v>4290</v>
      </c>
      <c r="AM670">
        <f>[2]Indicators!$BB552</f>
        <v>195260</v>
      </c>
      <c r="AN670" s="2">
        <v>88.7</v>
      </c>
      <c r="AO670">
        <f>[9]Unemployment!H552</f>
        <v>362</v>
      </c>
      <c r="AP670">
        <f>[9]Unemployment!I552</f>
        <v>1076</v>
      </c>
      <c r="AQ670" s="3">
        <f>[9]LaborForce!$B551*[9]LaborForce!$C551/100</f>
        <v>149844.07300000003</v>
      </c>
      <c r="AR670">
        <f>[9]Unemployment!$AC552</f>
        <v>318</v>
      </c>
      <c r="AS670">
        <f>[2]Indicators!BC552</f>
        <v>102.2</v>
      </c>
      <c r="AT670">
        <f>[2]Indicators!BD552</f>
        <v>100.441</v>
      </c>
      <c r="AU670">
        <f>[2]Indicators!BE552</f>
        <v>100.6823</v>
      </c>
      <c r="AV670">
        <f>[5]m!$O672</f>
        <v>216.77</v>
      </c>
    </row>
    <row r="671" spans="1:48" x14ac:dyDescent="0.25">
      <c r="A671" s="1">
        <v>38626</v>
      </c>
      <c r="B671" s="2">
        <f>[2]Indicators!G553</f>
        <v>8970.4850000000006</v>
      </c>
      <c r="C671" s="2">
        <f>[2]Indicators!H553</f>
        <v>1092.8040000000001</v>
      </c>
      <c r="D671" s="2">
        <f>[2]Indicators!I553</f>
        <v>2047.4680000000001</v>
      </c>
      <c r="E671" s="2">
        <f>[2]Indicators!J553</f>
        <v>5830.2129999999997</v>
      </c>
      <c r="F671" s="2">
        <f>[2]Indicators!B553</f>
        <v>8833.7540000000008</v>
      </c>
      <c r="G671" s="2">
        <f>[2]Indicators!C553</f>
        <v>1097.6610000000001</v>
      </c>
      <c r="H671" s="2">
        <f>[2]Indicators!D553</f>
        <v>1975.819</v>
      </c>
      <c r="I671" s="2">
        <f>[2]Indicators!E553</f>
        <v>5759.402</v>
      </c>
      <c r="J671" s="2">
        <f>[2]Indicators!L553</f>
        <v>311429</v>
      </c>
      <c r="K671" s="2">
        <f>[2]Indicators!M553</f>
        <v>173345</v>
      </c>
      <c r="L671" s="2">
        <f>[2]Indicators!N553</f>
        <v>15.337</v>
      </c>
      <c r="M671" s="2">
        <f>[2]Indicators!AB553</f>
        <v>94.963000000000008</v>
      </c>
      <c r="N671" s="2">
        <f>[8]m!$C673</f>
        <v>3.7800000000000002</v>
      </c>
      <c r="O671">
        <f>[9]Unemployment!$B553</f>
        <v>5</v>
      </c>
      <c r="P671" s="2">
        <f>[2]Surveys_m!$B553</f>
        <v>85.2</v>
      </c>
      <c r="Q671">
        <f>[5]m!$B673</f>
        <v>199.1</v>
      </c>
      <c r="R671">
        <f>[5]m!$D673</f>
        <v>202</v>
      </c>
      <c r="S671">
        <f>[5]m!$Q673</f>
        <v>166.20000000000002</v>
      </c>
      <c r="T671">
        <f>[6]m!B673</f>
        <v>-47277</v>
      </c>
      <c r="U671" s="2">
        <f>[9]Unemployment!$F553</f>
        <v>17.900000000000002</v>
      </c>
      <c r="V671" s="2">
        <f>[9]Unemployment!$G553</f>
        <v>8.6</v>
      </c>
      <c r="W671">
        <f>[9]Unemployment!$E553</f>
        <v>7453</v>
      </c>
      <c r="X671">
        <f>[9]Unemployment!N553</f>
        <v>2719</v>
      </c>
      <c r="Y671">
        <f>[9]Unemployment!O553</f>
        <v>2296</v>
      </c>
      <c r="Z671">
        <f>[9]Unemployment!P553-[9]Unemployment!Q553</f>
        <v>1070</v>
      </c>
      <c r="AA671">
        <f>[9]Unemployment!$Q553</f>
        <v>1422</v>
      </c>
      <c r="AB671" s="2">
        <f>[8]m!$B673</f>
        <v>3.89</v>
      </c>
      <c r="AC671" s="2">
        <f>[8]m!$F673</f>
        <v>4.46</v>
      </c>
      <c r="AD671">
        <f>[9]Employment!$B553</f>
        <v>134321</v>
      </c>
      <c r="AE671" s="2">
        <f>[2]Indicators!$AB553</f>
        <v>94.963000000000008</v>
      </c>
      <c r="AF671" s="2">
        <f>[8]m!$AS673</f>
        <v>2276.8000000000002</v>
      </c>
      <c r="AG671" s="2">
        <f>[8]m!$H673</f>
        <v>5.3500000000000005</v>
      </c>
      <c r="AH671" s="2">
        <f>[8]m!$I673</f>
        <v>6.3</v>
      </c>
      <c r="AI671" s="2">
        <f>[7]m!C672</f>
        <v>107096</v>
      </c>
      <c r="AJ671" s="2">
        <f>[7]m!D672</f>
        <v>171287</v>
      </c>
      <c r="AK671" s="2">
        <f>[2]Surveys_m!$AB553</f>
        <v>57.2</v>
      </c>
      <c r="AL671" s="3">
        <v>4276</v>
      </c>
      <c r="AM671">
        <f>[2]Indicators!$BB553</f>
        <v>199968</v>
      </c>
      <c r="AN671" s="2">
        <v>88.5</v>
      </c>
      <c r="AO671">
        <f>[9]Unemployment!H553</f>
        <v>392</v>
      </c>
      <c r="AP671">
        <f>[9]Unemployment!I553</f>
        <v>1022</v>
      </c>
      <c r="AQ671" s="3">
        <f>[9]LaborForce!$B552*[9]LaborForce!$C552/100</f>
        <v>150019.89900000003</v>
      </c>
      <c r="AR671">
        <f>[9]Unemployment!$AC553</f>
        <v>384</v>
      </c>
      <c r="AS671">
        <f>[2]Indicators!BC553</f>
        <v>103.10000000000001</v>
      </c>
      <c r="AT671">
        <f>[2]Indicators!BD553</f>
        <v>100.8229</v>
      </c>
      <c r="AU671">
        <f>[2]Indicators!BE553</f>
        <v>100.9897</v>
      </c>
      <c r="AV671">
        <f>[5]m!$O673</f>
        <v>219.07</v>
      </c>
    </row>
    <row r="672" spans="1:48" x14ac:dyDescent="0.25">
      <c r="A672" s="1">
        <v>38657</v>
      </c>
      <c r="B672" s="2">
        <f>[2]Indicators!G554</f>
        <v>8992.4860000000008</v>
      </c>
      <c r="C672" s="2">
        <f>[2]Indicators!H554</f>
        <v>1111.5029999999999</v>
      </c>
      <c r="D672" s="2">
        <f>[2]Indicators!I554</f>
        <v>2007.5240000000001</v>
      </c>
      <c r="E672" s="2">
        <f>[2]Indicators!J554</f>
        <v>5873.4589999999998</v>
      </c>
      <c r="F672" s="2">
        <f>[2]Indicators!B554</f>
        <v>8878.384</v>
      </c>
      <c r="G672" s="2">
        <f>[2]Indicators!C554</f>
        <v>1118.1210000000001</v>
      </c>
      <c r="H672" s="2">
        <f>[2]Indicators!D554</f>
        <v>1974.5420000000001</v>
      </c>
      <c r="I672" s="2">
        <f>[2]Indicators!E554</f>
        <v>5785.2460000000001</v>
      </c>
      <c r="J672" s="2">
        <f>[2]Indicators!L554</f>
        <v>313605</v>
      </c>
      <c r="K672" s="2">
        <f>[2]Indicators!M554</f>
        <v>175490</v>
      </c>
      <c r="L672" s="2">
        <f>[2]Indicators!N554</f>
        <v>16.529</v>
      </c>
      <c r="M672" s="2">
        <f>[2]Indicators!AB554</f>
        <v>95.885000000000005</v>
      </c>
      <c r="N672" s="2">
        <f>[8]m!$C674</f>
        <v>4</v>
      </c>
      <c r="O672">
        <f>[9]Unemployment!$B554</f>
        <v>5</v>
      </c>
      <c r="P672" s="2">
        <f>[2]Surveys_m!$B554</f>
        <v>98.300000000000011</v>
      </c>
      <c r="Q672">
        <f>[5]m!$B674</f>
        <v>198.1</v>
      </c>
      <c r="R672">
        <f>[5]m!$D674</f>
        <v>202.5</v>
      </c>
      <c r="S672">
        <f>[5]m!$Q674</f>
        <v>163.70000000000002</v>
      </c>
      <c r="T672">
        <f>[6]m!B674</f>
        <v>-83072</v>
      </c>
      <c r="U672" s="2">
        <f>[9]Unemployment!$F554</f>
        <v>17.5</v>
      </c>
      <c r="V672" s="2">
        <f>[9]Unemployment!$G554</f>
        <v>8.5</v>
      </c>
      <c r="W672">
        <f>[9]Unemployment!$E554</f>
        <v>7566</v>
      </c>
      <c r="X672">
        <f>[9]Unemployment!N554</f>
        <v>2823</v>
      </c>
      <c r="Y672">
        <f>[9]Unemployment!O554</f>
        <v>2282</v>
      </c>
      <c r="Z672">
        <f>[9]Unemployment!P554-[9]Unemployment!Q554</f>
        <v>1116</v>
      </c>
      <c r="AA672">
        <f>[9]Unemployment!$Q554</f>
        <v>1370</v>
      </c>
      <c r="AB672" s="2">
        <f>[8]m!$B674</f>
        <v>3.86</v>
      </c>
      <c r="AC672" s="2">
        <f>[8]m!$F674</f>
        <v>4.54</v>
      </c>
      <c r="AD672">
        <f>[9]Employment!$B554</f>
        <v>134655</v>
      </c>
      <c r="AE672" s="2">
        <f>[2]Indicators!$AB554</f>
        <v>95.885000000000005</v>
      </c>
      <c r="AF672" s="2">
        <f>[8]m!$AS674</f>
        <v>2283.7000000000003</v>
      </c>
      <c r="AG672" s="2">
        <f>[8]m!$H674</f>
        <v>5.42</v>
      </c>
      <c r="AH672" s="2">
        <f>[8]m!$I674</f>
        <v>6.3900000000000006</v>
      </c>
      <c r="AI672" s="2">
        <f>[7]m!C673</f>
        <v>109570</v>
      </c>
      <c r="AJ672" s="2">
        <f>[7]m!D673</f>
        <v>175998</v>
      </c>
      <c r="AK672" s="2">
        <f>[2]Surveys_m!$AB554</f>
        <v>56.5</v>
      </c>
      <c r="AL672" s="3">
        <v>4465</v>
      </c>
      <c r="AM672">
        <f>[2]Indicators!$BB554</f>
        <v>212556</v>
      </c>
      <c r="AN672" s="2">
        <v>92.7</v>
      </c>
      <c r="AO672">
        <f>[9]Unemployment!H554</f>
        <v>404</v>
      </c>
      <c r="AP672">
        <f>[9]Unemployment!I554</f>
        <v>1011</v>
      </c>
      <c r="AQ672" s="3">
        <f>[9]LaborForce!$B553*[9]LaborForce!$C553/100</f>
        <v>149954.64000000001</v>
      </c>
      <c r="AR672">
        <f>[9]Unemployment!$AC554</f>
        <v>322</v>
      </c>
      <c r="AS672">
        <f>[2]Indicators!BC554</f>
        <v>104.10000000000001</v>
      </c>
      <c r="AT672">
        <f>[2]Indicators!BD554</f>
        <v>101.26390000000001</v>
      </c>
      <c r="AU672">
        <f>[2]Indicators!BE554</f>
        <v>101.36020000000001</v>
      </c>
      <c r="AV672">
        <f>[5]m!$O674</f>
        <v>220.81</v>
      </c>
    </row>
    <row r="673" spans="1:48" x14ac:dyDescent="0.25">
      <c r="A673" s="1">
        <v>38687</v>
      </c>
      <c r="B673" s="2">
        <f>[2]Indicators!G555</f>
        <v>9025.2049999999999</v>
      </c>
      <c r="C673" s="2">
        <f>[2]Indicators!H555</f>
        <v>1129.184</v>
      </c>
      <c r="D673" s="2">
        <f>[2]Indicators!I555</f>
        <v>2001.749</v>
      </c>
      <c r="E673" s="2">
        <f>[2]Indicators!J555</f>
        <v>5894.2730000000001</v>
      </c>
      <c r="F673" s="2">
        <f>[2]Indicators!B555</f>
        <v>8912.6110000000008</v>
      </c>
      <c r="G673" s="2">
        <f>[2]Indicators!C555</f>
        <v>1136.681</v>
      </c>
      <c r="H673" s="2">
        <f>[2]Indicators!D555</f>
        <v>1975.8880000000001</v>
      </c>
      <c r="I673" s="2">
        <f>[2]Indicators!E555</f>
        <v>5799.9000000000005</v>
      </c>
      <c r="J673" s="2">
        <f>[2]Indicators!L555</f>
        <v>314264</v>
      </c>
      <c r="K673" s="2">
        <f>[2]Indicators!M555</f>
        <v>175832</v>
      </c>
      <c r="L673" s="2">
        <f>[2]Indicators!N555</f>
        <v>17.193999999999999</v>
      </c>
      <c r="M673" s="2">
        <f>[2]Indicators!AB555</f>
        <v>96.432100000000005</v>
      </c>
      <c r="N673" s="2">
        <f>[8]m!$C675</f>
        <v>4.16</v>
      </c>
      <c r="O673">
        <f>[9]Unemployment!$B555</f>
        <v>4.9000000000000004</v>
      </c>
      <c r="P673" s="2">
        <f>[2]Surveys_m!$B555</f>
        <v>103.80000000000001</v>
      </c>
      <c r="Q673">
        <f>[5]m!$B675</f>
        <v>198.1</v>
      </c>
      <c r="R673">
        <f>[5]m!$D675</f>
        <v>202.8</v>
      </c>
      <c r="S673">
        <f>[5]m!$Q675</f>
        <v>163</v>
      </c>
      <c r="T673">
        <f>[6]m!B675</f>
        <v>10967</v>
      </c>
      <c r="U673" s="2">
        <f>[9]Unemployment!$F555</f>
        <v>17.5</v>
      </c>
      <c r="V673" s="2">
        <f>[9]Unemployment!$G555</f>
        <v>8.7000000000000011</v>
      </c>
      <c r="W673">
        <f>[9]Unemployment!$E555</f>
        <v>7279</v>
      </c>
      <c r="X673">
        <f>[9]Unemployment!N555</f>
        <v>2588</v>
      </c>
      <c r="Y673">
        <f>[9]Unemployment!O555</f>
        <v>2249</v>
      </c>
      <c r="Z673">
        <f>[9]Unemployment!P555-[9]Unemployment!Q555</f>
        <v>1073</v>
      </c>
      <c r="AA673">
        <f>[9]Unemployment!$Q555</f>
        <v>1356</v>
      </c>
      <c r="AB673" s="2">
        <f>[8]m!$B675</f>
        <v>3.99</v>
      </c>
      <c r="AC673" s="2">
        <f>[8]m!$F675</f>
        <v>4.47</v>
      </c>
      <c r="AD673">
        <f>[9]Employment!$B555</f>
        <v>134813</v>
      </c>
      <c r="AE673" s="2">
        <f>[2]Indicators!$AB555</f>
        <v>96.432100000000005</v>
      </c>
      <c r="AF673" s="2">
        <f>[8]m!$AS675</f>
        <v>2290.9</v>
      </c>
      <c r="AG673" s="2">
        <f>[8]m!$H675</f>
        <v>5.37</v>
      </c>
      <c r="AH673" s="2">
        <f>[8]m!$I675</f>
        <v>6.32</v>
      </c>
      <c r="AI673" s="2">
        <f>[7]m!C674</f>
        <v>110795</v>
      </c>
      <c r="AJ673" s="2">
        <f>[7]m!D674</f>
        <v>174175</v>
      </c>
      <c r="AK673" s="2">
        <f>[2]Surveys_m!$AB555</f>
        <v>54.900000000000006</v>
      </c>
      <c r="AL673" s="3">
        <v>4433</v>
      </c>
      <c r="AM673">
        <f>[2]Indicators!$BB555</f>
        <v>211216</v>
      </c>
      <c r="AN673" s="2">
        <v>92.4</v>
      </c>
      <c r="AO673">
        <f>[9]Unemployment!H555</f>
        <v>451</v>
      </c>
      <c r="AP673">
        <f>[9]Unemployment!I555</f>
        <v>1139</v>
      </c>
      <c r="AQ673" s="3">
        <f>[9]LaborForce!$B554*[9]LaborForce!$C554/100</f>
        <v>150100.5</v>
      </c>
      <c r="AR673">
        <f>[9]Unemployment!$AC555</f>
        <v>311</v>
      </c>
      <c r="AS673">
        <f>[2]Indicators!BC555</f>
        <v>104.10000000000001</v>
      </c>
      <c r="AT673">
        <f>[2]Indicators!BD555</f>
        <v>101.6789</v>
      </c>
      <c r="AU673">
        <f>[2]Indicators!BE555</f>
        <v>101.70920000000001</v>
      </c>
      <c r="AV673">
        <f>[5]m!$O675</f>
        <v>221.91</v>
      </c>
    </row>
    <row r="674" spans="1:48" x14ac:dyDescent="0.25">
      <c r="A674" s="1">
        <v>38718</v>
      </c>
      <c r="B674" s="2">
        <f>[2]Indicators!G556</f>
        <v>9098.139000000001</v>
      </c>
      <c r="C674" s="2">
        <f>[2]Indicators!H556</f>
        <v>1161.1130000000001</v>
      </c>
      <c r="D674" s="2">
        <f>[2]Indicators!I556</f>
        <v>2032.548</v>
      </c>
      <c r="E674" s="2">
        <f>[2]Indicators!J556</f>
        <v>5904.4769999999999</v>
      </c>
      <c r="F674" s="2">
        <f>[2]Indicators!B556</f>
        <v>8945.1090000000004</v>
      </c>
      <c r="G674" s="2">
        <f>[2]Indicators!C556</f>
        <v>1169.662</v>
      </c>
      <c r="H674" s="2">
        <f>[2]Indicators!D556</f>
        <v>1984.027</v>
      </c>
      <c r="I674" s="2">
        <f>[2]Indicators!E556</f>
        <v>5792.058</v>
      </c>
      <c r="J674" s="2">
        <f>[2]Indicators!L556</f>
        <v>323708</v>
      </c>
      <c r="K674" s="2">
        <f>[2]Indicators!M556</f>
        <v>180040</v>
      </c>
      <c r="L674" s="2">
        <f>[2]Indicators!N556</f>
        <v>18.085000000000001</v>
      </c>
      <c r="M674" s="2">
        <f>[2]Indicators!AB556</f>
        <v>96.578500000000005</v>
      </c>
      <c r="N674" s="2">
        <f>[8]m!$C676</f>
        <v>4.29</v>
      </c>
      <c r="O674">
        <f>[9]Unemployment!$B556</f>
        <v>4.7</v>
      </c>
      <c r="P674" s="2">
        <f>[2]Surveys_m!$B556</f>
        <v>106.80000000000001</v>
      </c>
      <c r="Q674">
        <f>[5]m!$B676</f>
        <v>199.3</v>
      </c>
      <c r="R674">
        <f>[5]m!$D676</f>
        <v>203.20000000000002</v>
      </c>
      <c r="S674">
        <f>[5]m!$Q676</f>
        <v>164.3</v>
      </c>
      <c r="T674">
        <f>[6]m!B676</f>
        <v>20964</v>
      </c>
      <c r="U674" s="2">
        <f>[9]Unemployment!$F556</f>
        <v>16.900000000000002</v>
      </c>
      <c r="V674" s="2">
        <f>[9]Unemployment!$G556</f>
        <v>8.6</v>
      </c>
      <c r="W674">
        <f>[9]Unemployment!$E556</f>
        <v>7064</v>
      </c>
      <c r="X674">
        <f>[9]Unemployment!N556</f>
        <v>2527</v>
      </c>
      <c r="Y674">
        <f>[9]Unemployment!O556</f>
        <v>2194</v>
      </c>
      <c r="Z674">
        <f>[9]Unemployment!P556-[9]Unemployment!Q556</f>
        <v>1100</v>
      </c>
      <c r="AA674">
        <f>[9]Unemployment!$Q556</f>
        <v>1170</v>
      </c>
      <c r="AB674" s="2">
        <f>[8]m!$B676</f>
        <v>4.37</v>
      </c>
      <c r="AC674" s="2">
        <f>[8]m!$F676</f>
        <v>4.42</v>
      </c>
      <c r="AD674">
        <f>[9]Employment!$B556</f>
        <v>135094</v>
      </c>
      <c r="AE674" s="2">
        <f>[2]Indicators!$AB556</f>
        <v>96.578500000000005</v>
      </c>
      <c r="AF674" s="2">
        <f>[8]m!$AS676</f>
        <v>2299.2000000000003</v>
      </c>
      <c r="AG674" s="2">
        <f>[8]m!$H676</f>
        <v>5.29</v>
      </c>
      <c r="AH674" s="2">
        <f>[8]m!$I676</f>
        <v>6.24</v>
      </c>
      <c r="AI674" s="2">
        <f>[7]m!C675</f>
        <v>113410</v>
      </c>
      <c r="AJ674" s="2">
        <f>[7]m!D675</f>
        <v>177210</v>
      </c>
      <c r="AK674" s="2">
        <f>[2]Surveys_m!$AB556</f>
        <v>55</v>
      </c>
      <c r="AL674" s="3">
        <v>4244</v>
      </c>
      <c r="AM674">
        <f>[2]Indicators!$BB556</f>
        <v>200976</v>
      </c>
      <c r="AN674" s="2">
        <v>95.9</v>
      </c>
      <c r="AO674">
        <f>[9]Unemployment!H556</f>
        <v>396</v>
      </c>
      <c r="AP674">
        <f>[9]Unemployment!I556</f>
        <v>1248</v>
      </c>
      <c r="AQ674" s="3">
        <f>[9]LaborForce!$B555*[9]LaborForce!$C555/100</f>
        <v>150184.98000000001</v>
      </c>
      <c r="AR674">
        <f>[9]Unemployment!$AC556</f>
        <v>302</v>
      </c>
      <c r="AS674">
        <f>[2]Indicators!BC556</f>
        <v>104.60000000000001</v>
      </c>
      <c r="AT674">
        <f>[2]Indicators!BD556</f>
        <v>102.00240000000001</v>
      </c>
      <c r="AU674">
        <f>[2]Indicators!BE556</f>
        <v>101.9718</v>
      </c>
      <c r="AV674">
        <f>[5]m!$O676</f>
        <v>222.46</v>
      </c>
    </row>
    <row r="675" spans="1:48" x14ac:dyDescent="0.25">
      <c r="A675" s="1">
        <v>38749</v>
      </c>
      <c r="B675" s="2">
        <f>[2]Indicators!G557</f>
        <v>9123.0400000000009</v>
      </c>
      <c r="C675" s="2">
        <f>[2]Indicators!H557</f>
        <v>1142.2930000000001</v>
      </c>
      <c r="D675" s="2">
        <f>[2]Indicators!I557</f>
        <v>2032.7619999999999</v>
      </c>
      <c r="E675" s="2">
        <f>[2]Indicators!J557</f>
        <v>5947.9849999999997</v>
      </c>
      <c r="F675" s="2">
        <f>[2]Indicators!B557</f>
        <v>8966.0589999999993</v>
      </c>
      <c r="G675" s="2">
        <f>[2]Indicators!C557</f>
        <v>1152.3209999999999</v>
      </c>
      <c r="H675" s="2">
        <f>[2]Indicators!D557</f>
        <v>1991.521</v>
      </c>
      <c r="I675" s="2">
        <f>[2]Indicators!E557</f>
        <v>5822.32</v>
      </c>
      <c r="J675" s="2">
        <f>[2]Indicators!L557</f>
        <v>320678</v>
      </c>
      <c r="K675" s="2">
        <f>[2]Indicators!M557</f>
        <v>178171</v>
      </c>
      <c r="L675" s="2">
        <f>[2]Indicators!N557</f>
        <v>17.071000000000002</v>
      </c>
      <c r="M675" s="2">
        <f>[2]Indicators!AB557</f>
        <v>96.656000000000006</v>
      </c>
      <c r="N675" s="2">
        <f>[8]m!$C677</f>
        <v>4.49</v>
      </c>
      <c r="O675">
        <f>[9]Unemployment!$B557</f>
        <v>4.8000000000000007</v>
      </c>
      <c r="P675" s="2">
        <f>[2]Surveys_m!$B557</f>
        <v>102.7</v>
      </c>
      <c r="Q675">
        <f>[5]m!$B677</f>
        <v>199.4</v>
      </c>
      <c r="R675">
        <f>[5]m!$D677</f>
        <v>203.6</v>
      </c>
      <c r="S675">
        <f>[5]m!$Q677</f>
        <v>161.80000000000001</v>
      </c>
      <c r="T675">
        <f>[6]m!B677</f>
        <v>-119237</v>
      </c>
      <c r="U675" s="2">
        <f>[9]Unemployment!$F557</f>
        <v>17.8</v>
      </c>
      <c r="V675" s="2">
        <f>[9]Unemployment!$G557</f>
        <v>9.1</v>
      </c>
      <c r="W675">
        <f>[9]Unemployment!$E557</f>
        <v>7184</v>
      </c>
      <c r="X675">
        <f>[9]Unemployment!N557</f>
        <v>2577</v>
      </c>
      <c r="Y675">
        <f>[9]Unemployment!O557</f>
        <v>2088</v>
      </c>
      <c r="Z675">
        <f>[9]Unemployment!P557-[9]Unemployment!Q557</f>
        <v>1196</v>
      </c>
      <c r="AA675">
        <f>[9]Unemployment!$Q557</f>
        <v>1350</v>
      </c>
      <c r="AB675" s="2">
        <f>[8]m!$B677</f>
        <v>4.51</v>
      </c>
      <c r="AC675" s="2">
        <f>[8]m!$F677</f>
        <v>4.57</v>
      </c>
      <c r="AD675">
        <f>[9]Employment!$B557</f>
        <v>135411</v>
      </c>
      <c r="AE675" s="2">
        <f>[2]Indicators!$AB557</f>
        <v>96.656000000000006</v>
      </c>
      <c r="AF675" s="2">
        <f>[8]m!$AS677</f>
        <v>2306.5</v>
      </c>
      <c r="AG675" s="2">
        <f>[8]m!$H677</f>
        <v>5.3500000000000005</v>
      </c>
      <c r="AH675" s="2">
        <f>[8]m!$I677</f>
        <v>6.2700000000000005</v>
      </c>
      <c r="AI675" s="2">
        <f>[7]m!C676</f>
        <v>114984</v>
      </c>
      <c r="AJ675" s="2">
        <f>[7]m!D676</f>
        <v>181656</v>
      </c>
      <c r="AK675" s="2">
        <f>[2]Surveys_m!$AB557</f>
        <v>55.5</v>
      </c>
      <c r="AL675" s="3">
        <v>4392</v>
      </c>
      <c r="AM675">
        <f>[2]Indicators!$BB557</f>
        <v>204568</v>
      </c>
      <c r="AN675" s="2">
        <v>98.1</v>
      </c>
      <c r="AO675">
        <f>[9]Unemployment!H557</f>
        <v>386</v>
      </c>
      <c r="AP675">
        <f>[9]Unemployment!I557</f>
        <v>1085</v>
      </c>
      <c r="AQ675" s="3">
        <f>[9]LaborForce!$B556*[9]LaborForce!$C556/100</f>
        <v>150551.34300000002</v>
      </c>
      <c r="AR675">
        <f>[9]Unemployment!$AC557</f>
        <v>282</v>
      </c>
      <c r="AS675">
        <f>[2]Indicators!BC557</f>
        <v>104.4</v>
      </c>
      <c r="AT675">
        <f>[2]Indicators!BD557</f>
        <v>102.193</v>
      </c>
      <c r="AU675">
        <f>[2]Indicators!BE557</f>
        <v>102.1074</v>
      </c>
      <c r="AV675">
        <f>[5]m!$O677</f>
        <v>223.38</v>
      </c>
    </row>
    <row r="676" spans="1:48" x14ac:dyDescent="0.25">
      <c r="A676" s="1">
        <v>38777</v>
      </c>
      <c r="B676" s="2">
        <f>[2]Indicators!G558</f>
        <v>9157.3119999999999</v>
      </c>
      <c r="C676" s="2">
        <f>[2]Indicators!H558</f>
        <v>1148.1780000000001</v>
      </c>
      <c r="D676" s="2">
        <f>[2]Indicators!I558</f>
        <v>2026.3</v>
      </c>
      <c r="E676" s="2">
        <f>[2]Indicators!J558</f>
        <v>5982.8339999999998</v>
      </c>
      <c r="F676" s="2">
        <f>[2]Indicators!B558</f>
        <v>8986.1769999999997</v>
      </c>
      <c r="G676" s="2">
        <f>[2]Indicators!C558</f>
        <v>1160.672</v>
      </c>
      <c r="H676" s="2">
        <f>[2]Indicators!D558</f>
        <v>1982.867</v>
      </c>
      <c r="I676" s="2">
        <f>[2]Indicators!E558</f>
        <v>5842.8919999999998</v>
      </c>
      <c r="J676" s="2">
        <f>[2]Indicators!L558</f>
        <v>321762</v>
      </c>
      <c r="K676" s="2">
        <f>[2]Indicators!M558</f>
        <v>178643</v>
      </c>
      <c r="L676" s="2">
        <f>[2]Indicators!N558</f>
        <v>16.961000000000002</v>
      </c>
      <c r="M676" s="2">
        <f>[2]Indicators!AB558</f>
        <v>96.860500000000002</v>
      </c>
      <c r="N676" s="2">
        <f>[8]m!$C678</f>
        <v>4.59</v>
      </c>
      <c r="O676">
        <f>[9]Unemployment!$B558</f>
        <v>4.7</v>
      </c>
      <c r="P676" s="2">
        <f>[2]Surveys_m!$B558</f>
        <v>107.5</v>
      </c>
      <c r="Q676">
        <f>[5]m!$B678</f>
        <v>199.70000000000002</v>
      </c>
      <c r="R676">
        <f>[5]m!$D678</f>
        <v>204.3</v>
      </c>
      <c r="S676">
        <f>[5]m!$Q678</f>
        <v>162.20000000000002</v>
      </c>
      <c r="T676">
        <f>[6]m!B678</f>
        <v>-85281</v>
      </c>
      <c r="U676" s="2">
        <f>[9]Unemployment!$F558</f>
        <v>17.100000000000001</v>
      </c>
      <c r="V676" s="2">
        <f>[9]Unemployment!$G558</f>
        <v>8.7000000000000011</v>
      </c>
      <c r="W676">
        <f>[9]Unemployment!$E558</f>
        <v>7072</v>
      </c>
      <c r="X676">
        <f>[9]Unemployment!N558</f>
        <v>2659</v>
      </c>
      <c r="Y676">
        <f>[9]Unemployment!O558</f>
        <v>1999</v>
      </c>
      <c r="Z676">
        <f>[9]Unemployment!P558-[9]Unemployment!Q558</f>
        <v>1064</v>
      </c>
      <c r="AA676">
        <f>[9]Unemployment!$Q558</f>
        <v>1309</v>
      </c>
      <c r="AB676" s="2">
        <f>[8]m!$B678</f>
        <v>4.5200000000000005</v>
      </c>
      <c r="AC676" s="2">
        <f>[8]m!$F678</f>
        <v>4.72</v>
      </c>
      <c r="AD676">
        <f>[9]Employment!$B558</f>
        <v>135698</v>
      </c>
      <c r="AE676" s="2">
        <f>[2]Indicators!$AB558</f>
        <v>96.860500000000002</v>
      </c>
      <c r="AF676" s="2">
        <f>[8]m!$AS678</f>
        <v>2308.9</v>
      </c>
      <c r="AG676" s="2">
        <f>[8]m!$H678</f>
        <v>5.53</v>
      </c>
      <c r="AH676" s="2">
        <f>[8]m!$I678</f>
        <v>6.41</v>
      </c>
      <c r="AI676" s="2">
        <f>[7]m!C677</f>
        <v>116033</v>
      </c>
      <c r="AJ676" s="2">
        <f>[7]m!D677</f>
        <v>178153</v>
      </c>
      <c r="AK676" s="2">
        <f>[2]Surveys_m!$AB558</f>
        <v>54.7</v>
      </c>
      <c r="AL676" s="3">
        <v>4654</v>
      </c>
      <c r="AM676">
        <f>[2]Indicators!$BB558</f>
        <v>215570</v>
      </c>
      <c r="AN676" s="2">
        <v>96.1</v>
      </c>
      <c r="AO676">
        <f>[9]Unemployment!H558</f>
        <v>451</v>
      </c>
      <c r="AP676">
        <f>[9]Unemployment!I558</f>
        <v>1017</v>
      </c>
      <c r="AQ676" s="3">
        <f>[9]LaborForce!$B557*[9]LaborForce!$C557/100</f>
        <v>150919.45000000001</v>
      </c>
      <c r="AR676">
        <f>[9]Unemployment!$AC558</f>
        <v>293</v>
      </c>
      <c r="AS676">
        <f>[2]Indicators!BC558</f>
        <v>104.7</v>
      </c>
      <c r="AT676">
        <f>[2]Indicators!BD558</f>
        <v>102.25200000000001</v>
      </c>
      <c r="AU676">
        <f>[2]Indicators!BE558</f>
        <v>102.11750000000001</v>
      </c>
      <c r="AV676">
        <f>[5]m!$O678</f>
        <v>223.75</v>
      </c>
    </row>
    <row r="677" spans="1:48" x14ac:dyDescent="0.25">
      <c r="A677" s="1">
        <v>38808</v>
      </c>
      <c r="B677" s="2">
        <f>[2]Indicators!G559</f>
        <v>9220.5760000000009</v>
      </c>
      <c r="C677" s="2">
        <f>[2]Indicators!H559</f>
        <v>1151.5160000000001</v>
      </c>
      <c r="D677" s="2">
        <f>[2]Indicators!I559</f>
        <v>2063.165</v>
      </c>
      <c r="E677" s="2">
        <f>[2]Indicators!J559</f>
        <v>6005.8940000000002</v>
      </c>
      <c r="F677" s="2">
        <f>[2]Indicators!B559</f>
        <v>9012.43</v>
      </c>
      <c r="G677" s="2">
        <f>[2]Indicators!C559</f>
        <v>1164.471</v>
      </c>
      <c r="H677" s="2">
        <f>[2]Indicators!D559</f>
        <v>1999.4180000000001</v>
      </c>
      <c r="I677" s="2">
        <f>[2]Indicators!E559</f>
        <v>5848.7349999999997</v>
      </c>
      <c r="J677" s="2">
        <f>[2]Indicators!L559</f>
        <v>324338</v>
      </c>
      <c r="K677" s="2">
        <f>[2]Indicators!M559</f>
        <v>178990</v>
      </c>
      <c r="L677" s="2">
        <f>[2]Indicators!N559</f>
        <v>17.115000000000002</v>
      </c>
      <c r="M677" s="2">
        <f>[2]Indicators!AB559</f>
        <v>97.266900000000007</v>
      </c>
      <c r="N677" s="2">
        <f>[8]m!$C679</f>
        <v>4.79</v>
      </c>
      <c r="O677">
        <f>[9]Unemployment!$B559</f>
        <v>4.7</v>
      </c>
      <c r="P677" s="2">
        <f>[2]Surveys_m!$B559</f>
        <v>109.80000000000001</v>
      </c>
      <c r="Q677">
        <f>[5]m!$B679</f>
        <v>200.70000000000002</v>
      </c>
      <c r="R677">
        <f>[5]m!$D679</f>
        <v>204.8</v>
      </c>
      <c r="S677">
        <f>[5]m!$Q679</f>
        <v>164.3</v>
      </c>
      <c r="T677">
        <f>[6]m!B679</f>
        <v>118841</v>
      </c>
      <c r="U677" s="2">
        <f>[9]Unemployment!$F559</f>
        <v>16.7</v>
      </c>
      <c r="V677" s="2">
        <f>[9]Unemployment!$G559</f>
        <v>8.4</v>
      </c>
      <c r="W677">
        <f>[9]Unemployment!$E559</f>
        <v>7120</v>
      </c>
      <c r="X677">
        <f>[9]Unemployment!N559</f>
        <v>2665</v>
      </c>
      <c r="Y677">
        <f>[9]Unemployment!O559</f>
        <v>2142</v>
      </c>
      <c r="Z677">
        <f>[9]Unemployment!P559-[9]Unemployment!Q559</f>
        <v>1022</v>
      </c>
      <c r="AA677">
        <f>[9]Unemployment!$Q559</f>
        <v>1331</v>
      </c>
      <c r="AB677" s="2">
        <f>[8]m!$B679</f>
        <v>4.6500000000000004</v>
      </c>
      <c r="AC677" s="2">
        <f>[8]m!$F679</f>
        <v>4.99</v>
      </c>
      <c r="AD677">
        <f>[9]Employment!$B559</f>
        <v>135880</v>
      </c>
      <c r="AE677" s="2">
        <f>[2]Indicators!$AB559</f>
        <v>97.266900000000007</v>
      </c>
      <c r="AF677" s="2">
        <f>[8]m!$AS679</f>
        <v>2317.1</v>
      </c>
      <c r="AG677" s="2">
        <f>[8]m!$H679</f>
        <v>5.84</v>
      </c>
      <c r="AH677" s="2">
        <f>[8]m!$I679</f>
        <v>6.68</v>
      </c>
      <c r="AI677" s="2">
        <f>[7]m!C678</f>
        <v>118771</v>
      </c>
      <c r="AJ677" s="2">
        <f>[7]m!D678</f>
        <v>180340</v>
      </c>
      <c r="AK677" s="2">
        <f>[2]Surveys_m!$AB559</f>
        <v>55.800000000000004</v>
      </c>
      <c r="AL677" s="3">
        <v>4624</v>
      </c>
      <c r="AM677">
        <f>[2]Indicators!$BB559</f>
        <v>204722</v>
      </c>
      <c r="AN677" s="2">
        <v>94.1</v>
      </c>
      <c r="AO677">
        <f>[9]Unemployment!H559</f>
        <v>381</v>
      </c>
      <c r="AP677">
        <f>[9]Unemployment!I559</f>
        <v>928</v>
      </c>
      <c r="AQ677" s="3">
        <f>[9]LaborForce!$B558*[9]LaborForce!$C558/100</f>
        <v>150839.53900000002</v>
      </c>
      <c r="AR677">
        <f>[9]Unemployment!$AC559</f>
        <v>291</v>
      </c>
      <c r="AS677">
        <f>[2]Indicators!BC559</f>
        <v>104.5</v>
      </c>
      <c r="AT677">
        <f>[2]Indicators!BD559</f>
        <v>102.1927</v>
      </c>
      <c r="AU677">
        <f>[2]Indicators!BE559</f>
        <v>102.0163</v>
      </c>
      <c r="AV677">
        <f>[5]m!$O679</f>
        <v>224.99</v>
      </c>
    </row>
    <row r="678" spans="1:48" x14ac:dyDescent="0.25">
      <c r="A678" s="1">
        <v>38838</v>
      </c>
      <c r="B678" s="2">
        <f>[2]Indicators!G560</f>
        <v>9248.34</v>
      </c>
      <c r="C678" s="2">
        <f>[2]Indicators!H560</f>
        <v>1135.9939999999999</v>
      </c>
      <c r="D678" s="2">
        <f>[2]Indicators!I560</f>
        <v>2066.8209999999999</v>
      </c>
      <c r="E678" s="2">
        <f>[2]Indicators!J560</f>
        <v>6045.5250000000005</v>
      </c>
      <c r="F678" s="2">
        <f>[2]Indicators!B560</f>
        <v>9017.1080000000002</v>
      </c>
      <c r="G678" s="2">
        <f>[2]Indicators!C560</f>
        <v>1151.027</v>
      </c>
      <c r="H678" s="2">
        <f>[2]Indicators!D560</f>
        <v>1996.377</v>
      </c>
      <c r="I678" s="2">
        <f>[2]Indicators!E560</f>
        <v>5869.32</v>
      </c>
      <c r="J678" s="2">
        <f>[2]Indicators!L560</f>
        <v>321980</v>
      </c>
      <c r="K678" s="2">
        <f>[2]Indicators!M560</f>
        <v>177323</v>
      </c>
      <c r="L678" s="2">
        <f>[2]Indicators!N560</f>
        <v>16.709</v>
      </c>
      <c r="M678" s="2">
        <f>[2]Indicators!AB560</f>
        <v>97.087699999999998</v>
      </c>
      <c r="N678" s="2">
        <f>[8]m!$C680</f>
        <v>4.9400000000000004</v>
      </c>
      <c r="O678">
        <f>[9]Unemployment!$B560</f>
        <v>4.6000000000000005</v>
      </c>
      <c r="P678" s="2">
        <f>[2]Surveys_m!$B560</f>
        <v>104.7</v>
      </c>
      <c r="Q678">
        <f>[5]m!$B680</f>
        <v>201.3</v>
      </c>
      <c r="R678">
        <f>[5]m!$D680</f>
        <v>205.4</v>
      </c>
      <c r="S678">
        <f>[5]m!$Q680</f>
        <v>165.8</v>
      </c>
      <c r="T678">
        <f>[6]m!B680</f>
        <v>-42907</v>
      </c>
      <c r="U678" s="2">
        <f>[9]Unemployment!$F560</f>
        <v>17.100000000000001</v>
      </c>
      <c r="V678" s="2">
        <f>[9]Unemployment!$G560</f>
        <v>8.5</v>
      </c>
      <c r="W678">
        <f>[9]Unemployment!$E560</f>
        <v>6980</v>
      </c>
      <c r="X678">
        <f>[9]Unemployment!N560</f>
        <v>2545</v>
      </c>
      <c r="Y678">
        <f>[9]Unemployment!O560</f>
        <v>2189</v>
      </c>
      <c r="Z678">
        <f>[9]Unemployment!P560-[9]Unemployment!Q560</f>
        <v>970</v>
      </c>
      <c r="AA678">
        <f>[9]Unemployment!$Q560</f>
        <v>1333</v>
      </c>
      <c r="AB678" s="2">
        <f>[8]m!$B680</f>
        <v>4.74</v>
      </c>
      <c r="AC678" s="2">
        <f>[8]m!$F680</f>
        <v>5.1100000000000003</v>
      </c>
      <c r="AD678">
        <f>[9]Employment!$B560</f>
        <v>135891</v>
      </c>
      <c r="AE678" s="2">
        <f>[2]Indicators!$AB560</f>
        <v>97.087699999999998</v>
      </c>
      <c r="AF678" s="2">
        <f>[8]m!$AS680</f>
        <v>2329.4</v>
      </c>
      <c r="AG678" s="2">
        <f>[8]m!$H680</f>
        <v>5.95</v>
      </c>
      <c r="AH678" s="2">
        <f>[8]m!$I680</f>
        <v>6.75</v>
      </c>
      <c r="AI678" s="2">
        <f>[7]m!C679</f>
        <v>118913</v>
      </c>
      <c r="AJ678" s="2">
        <f>[7]m!D679</f>
        <v>180862</v>
      </c>
      <c r="AK678" s="2">
        <f>[2]Surveys_m!$AB560</f>
        <v>53.5</v>
      </c>
      <c r="AL678" s="3">
        <v>4634</v>
      </c>
      <c r="AM678">
        <f>[2]Indicators!$BB560</f>
        <v>206609</v>
      </c>
      <c r="AN678" s="2">
        <v>91.8</v>
      </c>
      <c r="AO678">
        <f>[9]Unemployment!H560</f>
        <v>323</v>
      </c>
      <c r="AP678">
        <f>[9]Unemployment!I560</f>
        <v>1066</v>
      </c>
      <c r="AQ678" s="3">
        <f>[9]LaborForce!$B559*[9]LaborForce!$C559/100</f>
        <v>150990.90800000002</v>
      </c>
      <c r="AR678">
        <f>[9]Unemployment!$AC560</f>
        <v>321</v>
      </c>
      <c r="AS678">
        <f>[2]Indicators!BC560</f>
        <v>103.8</v>
      </c>
      <c r="AT678">
        <f>[2]Indicators!BD560</f>
        <v>102.07470000000001</v>
      </c>
      <c r="AU678">
        <f>[2]Indicators!BE560</f>
        <v>101.8631</v>
      </c>
      <c r="AV678">
        <f>[5]m!$O680</f>
        <v>225.99</v>
      </c>
    </row>
    <row r="679" spans="1:48" x14ac:dyDescent="0.25">
      <c r="A679" s="1">
        <v>38869</v>
      </c>
      <c r="B679" s="2">
        <f>[2]Indicators!G561</f>
        <v>9278.8989999999994</v>
      </c>
      <c r="C679" s="2">
        <f>[2]Indicators!H561</f>
        <v>1149.922</v>
      </c>
      <c r="D679" s="2">
        <f>[2]Indicators!I561</f>
        <v>2067.5230000000001</v>
      </c>
      <c r="E679" s="2">
        <f>[2]Indicators!J561</f>
        <v>6061.4549999999999</v>
      </c>
      <c r="F679" s="2">
        <f>[2]Indicators!B561</f>
        <v>9029.9519999999993</v>
      </c>
      <c r="G679" s="2">
        <f>[2]Indicators!C561</f>
        <v>1169.845</v>
      </c>
      <c r="H679" s="2">
        <f>[2]Indicators!D561</f>
        <v>1992.3610000000001</v>
      </c>
      <c r="I679" s="2">
        <f>[2]Indicators!E561</f>
        <v>5868.143</v>
      </c>
      <c r="J679" s="2">
        <f>[2]Indicators!L561</f>
        <v>322577</v>
      </c>
      <c r="K679" s="2">
        <f>[2]Indicators!M561</f>
        <v>177105</v>
      </c>
      <c r="L679" s="2">
        <f>[2]Indicators!N561</f>
        <v>16.898</v>
      </c>
      <c r="M679" s="2">
        <f>[2]Indicators!AB561</f>
        <v>97.454000000000008</v>
      </c>
      <c r="N679" s="2">
        <f>[8]m!$C681</f>
        <v>4.99</v>
      </c>
      <c r="O679">
        <f>[9]Unemployment!$B561</f>
        <v>4.6000000000000005</v>
      </c>
      <c r="P679" s="2">
        <f>[2]Surveys_m!$B561</f>
        <v>105.4</v>
      </c>
      <c r="Q679">
        <f>[5]m!$B681</f>
        <v>201.8</v>
      </c>
      <c r="R679">
        <f>[5]m!$D681</f>
        <v>205.9</v>
      </c>
      <c r="S679">
        <f>[5]m!$Q681</f>
        <v>166.10000000000002</v>
      </c>
      <c r="T679">
        <f>[6]m!B681</f>
        <v>20517</v>
      </c>
      <c r="U679" s="2">
        <f>[9]Unemployment!$F561</f>
        <v>16.600000000000001</v>
      </c>
      <c r="V679" s="2">
        <f>[9]Unemployment!$G561</f>
        <v>7.3000000000000007</v>
      </c>
      <c r="W679">
        <f>[9]Unemployment!$E561</f>
        <v>7001</v>
      </c>
      <c r="X679">
        <f>[9]Unemployment!N561</f>
        <v>2705</v>
      </c>
      <c r="Y679">
        <f>[9]Unemployment!O561</f>
        <v>2076</v>
      </c>
      <c r="Z679">
        <f>[9]Unemployment!P561-[9]Unemployment!Q561</f>
        <v>982</v>
      </c>
      <c r="AA679">
        <f>[9]Unemployment!$Q561</f>
        <v>1145</v>
      </c>
      <c r="AB679" s="2">
        <f>[8]m!$B681</f>
        <v>4.87</v>
      </c>
      <c r="AC679" s="2">
        <f>[8]m!$F681</f>
        <v>5.1100000000000003</v>
      </c>
      <c r="AD679">
        <f>[9]Employment!$B561</f>
        <v>135971</v>
      </c>
      <c r="AE679" s="2">
        <f>[2]Indicators!$AB561</f>
        <v>97.454000000000008</v>
      </c>
      <c r="AF679" s="2">
        <f>[8]m!$AS681</f>
        <v>2331.9</v>
      </c>
      <c r="AG679" s="2">
        <f>[8]m!$H681</f>
        <v>5.89</v>
      </c>
      <c r="AH679" s="2">
        <f>[8]m!$I681</f>
        <v>6.78</v>
      </c>
      <c r="AI679" s="2">
        <f>[7]m!C680</f>
        <v>120868</v>
      </c>
      <c r="AJ679" s="2">
        <f>[7]m!D680</f>
        <v>184872</v>
      </c>
      <c r="AK679" s="2">
        <f>[2]Surveys_m!$AB561</f>
        <v>52.400000000000006</v>
      </c>
      <c r="AL679" s="3">
        <v>4442</v>
      </c>
      <c r="AM679">
        <f>[2]Indicators!$BB561</f>
        <v>209168</v>
      </c>
      <c r="AN679" s="2">
        <v>92.5</v>
      </c>
      <c r="AO679">
        <f>[9]Unemployment!H561</f>
        <v>481</v>
      </c>
      <c r="AP679">
        <f>[9]Unemployment!I561</f>
        <v>1103</v>
      </c>
      <c r="AQ679" s="3">
        <f>[9]LaborForce!$B560*[9]LaborForce!$C560/100</f>
        <v>151380.20200000002</v>
      </c>
      <c r="AR679">
        <f>[9]Unemployment!$AC561</f>
        <v>330</v>
      </c>
      <c r="AS679">
        <f>[2]Indicators!BC561</f>
        <v>104</v>
      </c>
      <c r="AT679">
        <f>[2]Indicators!BD561</f>
        <v>101.96350000000001</v>
      </c>
      <c r="AU679">
        <f>[2]Indicators!BE561</f>
        <v>101.7235</v>
      </c>
      <c r="AV679">
        <f>[5]m!$O681</f>
        <v>226.29</v>
      </c>
    </row>
    <row r="680" spans="1:48" x14ac:dyDescent="0.25">
      <c r="A680" s="1">
        <v>38899</v>
      </c>
      <c r="B680" s="2">
        <f>[2]Indicators!G562</f>
        <v>9357.398000000001</v>
      </c>
      <c r="C680" s="2">
        <f>[2]Indicators!H562</f>
        <v>1164.7570000000001</v>
      </c>
      <c r="D680" s="2">
        <f>[2]Indicators!I562</f>
        <v>2099.3989999999999</v>
      </c>
      <c r="E680" s="2">
        <f>[2]Indicators!J562</f>
        <v>6093.2420000000002</v>
      </c>
      <c r="F680" s="2">
        <f>[2]Indicators!B562</f>
        <v>9077.2510000000002</v>
      </c>
      <c r="G680" s="2">
        <f>[2]Indicators!C562</f>
        <v>1185.6469999999999</v>
      </c>
      <c r="H680" s="2">
        <f>[2]Indicators!D562</f>
        <v>2007.0029999999999</v>
      </c>
      <c r="I680" s="2">
        <f>[2]Indicators!E562</f>
        <v>5885.4380000000001</v>
      </c>
      <c r="J680" s="2">
        <f>[2]Indicators!L562</f>
        <v>325266</v>
      </c>
      <c r="K680" s="2">
        <f>[2]Indicators!M562</f>
        <v>177509</v>
      </c>
      <c r="L680" s="2">
        <f>[2]Indicators!N562</f>
        <v>17.663</v>
      </c>
      <c r="M680" s="2">
        <f>[2]Indicators!AB562</f>
        <v>97.6066</v>
      </c>
      <c r="N680" s="2">
        <f>[8]m!$C682</f>
        <v>5.24</v>
      </c>
      <c r="O680">
        <f>[9]Unemployment!$B562</f>
        <v>4.7</v>
      </c>
      <c r="P680" s="2">
        <f>[2]Surveys_m!$B562</f>
        <v>107</v>
      </c>
      <c r="Q680">
        <f>[5]m!$B682</f>
        <v>202.9</v>
      </c>
      <c r="R680">
        <f>[5]m!$D682</f>
        <v>206.3</v>
      </c>
      <c r="S680">
        <f>[5]m!$Q682</f>
        <v>166.8</v>
      </c>
      <c r="T680">
        <f>[6]m!B682</f>
        <v>-33164</v>
      </c>
      <c r="U680" s="2">
        <f>[9]Unemployment!$F562</f>
        <v>17.100000000000001</v>
      </c>
      <c r="V680" s="2">
        <f>[9]Unemployment!$G562</f>
        <v>8</v>
      </c>
      <c r="W680">
        <f>[9]Unemployment!$E562</f>
        <v>7175</v>
      </c>
      <c r="X680">
        <f>[9]Unemployment!N562</f>
        <v>2721</v>
      </c>
      <c r="Y680">
        <f>[9]Unemployment!O562</f>
        <v>2126</v>
      </c>
      <c r="Z680">
        <f>[9]Unemployment!P562-[9]Unemployment!Q562</f>
        <v>985</v>
      </c>
      <c r="AA680">
        <f>[9]Unemployment!$Q562</f>
        <v>1304</v>
      </c>
      <c r="AB680" s="2">
        <f>[8]m!$B682</f>
        <v>4.97</v>
      </c>
      <c r="AC680" s="2">
        <f>[8]m!$F682</f>
        <v>5.09</v>
      </c>
      <c r="AD680">
        <f>[9]Employment!$B562</f>
        <v>136173</v>
      </c>
      <c r="AE680" s="2">
        <f>[2]Indicators!$AB562</f>
        <v>97.6066</v>
      </c>
      <c r="AF680" s="2">
        <f>[8]m!$AS682</f>
        <v>2341</v>
      </c>
      <c r="AG680" s="2">
        <f>[8]m!$H682</f>
        <v>5.8500000000000005</v>
      </c>
      <c r="AH680" s="2">
        <f>[8]m!$I682</f>
        <v>6.76</v>
      </c>
      <c r="AI680" s="2">
        <f>[7]m!C681</f>
        <v>122397</v>
      </c>
      <c r="AJ680" s="2">
        <f>[7]m!D681</f>
        <v>185196</v>
      </c>
      <c r="AK680" s="2">
        <f>[2]Surveys_m!$AB562</f>
        <v>53.2</v>
      </c>
      <c r="AL680" s="3">
        <v>4160</v>
      </c>
      <c r="AM680">
        <f>[2]Indicators!$BB562</f>
        <v>202022</v>
      </c>
      <c r="AN680" s="2">
        <v>93.9</v>
      </c>
      <c r="AO680">
        <f>[9]Unemployment!H562</f>
        <v>428</v>
      </c>
      <c r="AP680">
        <f>[9]Unemployment!I562</f>
        <v>1094</v>
      </c>
      <c r="AQ680" s="3">
        <f>[9]LaborForce!$B561*[9]LaborForce!$C561/100</f>
        <v>151310.83200000002</v>
      </c>
      <c r="AR680">
        <f>[9]Unemployment!$AC562</f>
        <v>316</v>
      </c>
      <c r="AS680">
        <f>[2]Indicators!BC562</f>
        <v>103.5</v>
      </c>
      <c r="AT680">
        <f>[2]Indicators!BD562</f>
        <v>101.89060000000001</v>
      </c>
      <c r="AU680">
        <f>[2]Indicators!BE562</f>
        <v>101.62910000000001</v>
      </c>
      <c r="AV680">
        <f>[5]m!$O682</f>
        <v>226.17000000000002</v>
      </c>
    </row>
    <row r="681" spans="1:48" x14ac:dyDescent="0.25">
      <c r="A681" s="1">
        <v>38930</v>
      </c>
      <c r="B681" s="2">
        <f>[2]Indicators!G563</f>
        <v>9368.1610000000001</v>
      </c>
      <c r="C681" s="2">
        <f>[2]Indicators!H563</f>
        <v>1145.788</v>
      </c>
      <c r="D681" s="2">
        <f>[2]Indicators!I563</f>
        <v>2112.27</v>
      </c>
      <c r="E681" s="2">
        <f>[2]Indicators!J563</f>
        <v>6110.1030000000001</v>
      </c>
      <c r="F681" s="2">
        <f>[2]Indicators!B563</f>
        <v>9052.6239999999998</v>
      </c>
      <c r="G681" s="2">
        <f>[2]Indicators!C563</f>
        <v>1165.2370000000001</v>
      </c>
      <c r="H681" s="2">
        <f>[2]Indicators!D563</f>
        <v>2002.777</v>
      </c>
      <c r="I681" s="2">
        <f>[2]Indicators!E563</f>
        <v>5884.4920000000002</v>
      </c>
      <c r="J681" s="2">
        <f>[2]Indicators!L563</f>
        <v>325848</v>
      </c>
      <c r="K681" s="2">
        <f>[2]Indicators!M563</f>
        <v>177292</v>
      </c>
      <c r="L681" s="2">
        <f>[2]Indicators!N563</f>
        <v>16.456</v>
      </c>
      <c r="M681" s="2">
        <f>[2]Indicators!AB563</f>
        <v>97.8245</v>
      </c>
      <c r="N681" s="2">
        <f>[8]m!$C683</f>
        <v>5.25</v>
      </c>
      <c r="O681">
        <f>[9]Unemployment!$B563</f>
        <v>4.7</v>
      </c>
      <c r="P681" s="2">
        <f>[2]Surveys_m!$B563</f>
        <v>100.2</v>
      </c>
      <c r="Q681">
        <f>[5]m!$B683</f>
        <v>203.8</v>
      </c>
      <c r="R681">
        <f>[5]m!$D683</f>
        <v>206.8</v>
      </c>
      <c r="S681">
        <f>[5]m!$Q683</f>
        <v>167.9</v>
      </c>
      <c r="T681">
        <f>[6]m!B683</f>
        <v>-64717</v>
      </c>
      <c r="U681" s="2">
        <f>[9]Unemployment!$F563</f>
        <v>17.100000000000001</v>
      </c>
      <c r="V681" s="2">
        <f>[9]Unemployment!$G563</f>
        <v>8.4</v>
      </c>
      <c r="W681">
        <f>[9]Unemployment!$E563</f>
        <v>7091</v>
      </c>
      <c r="X681">
        <f>[9]Unemployment!N563</f>
        <v>2603</v>
      </c>
      <c r="Y681">
        <f>[9]Unemployment!O563</f>
        <v>2246</v>
      </c>
      <c r="Z681">
        <f>[9]Unemployment!P563-[9]Unemployment!Q563</f>
        <v>987</v>
      </c>
      <c r="AA681">
        <f>[9]Unemployment!$Q563</f>
        <v>1306</v>
      </c>
      <c r="AB681" s="2">
        <f>[8]m!$B683</f>
        <v>4.92</v>
      </c>
      <c r="AC681" s="2">
        <f>[8]m!$F683</f>
        <v>4.88</v>
      </c>
      <c r="AD681">
        <f>[9]Employment!$B563</f>
        <v>136358</v>
      </c>
      <c r="AE681" s="2">
        <f>[2]Indicators!$AB563</f>
        <v>97.8245</v>
      </c>
      <c r="AF681" s="2">
        <f>[8]m!$AS683</f>
        <v>2349.5</v>
      </c>
      <c r="AG681" s="2">
        <f>[8]m!$H683</f>
        <v>5.68</v>
      </c>
      <c r="AH681" s="2">
        <f>[8]m!$I683</f>
        <v>6.59</v>
      </c>
      <c r="AI681" s="2">
        <f>[7]m!C682</f>
        <v>120109</v>
      </c>
      <c r="AJ681" s="2">
        <f>[7]m!D682</f>
        <v>186117</v>
      </c>
      <c r="AK681" s="2">
        <f>[2]Surveys_m!$AB563</f>
        <v>52.800000000000004</v>
      </c>
      <c r="AL681" s="3">
        <v>4571</v>
      </c>
      <c r="AM681">
        <f>[2]Indicators!$BB563</f>
        <v>199753</v>
      </c>
      <c r="AN681" s="2">
        <v>92.8</v>
      </c>
      <c r="AO681">
        <f>[9]Unemployment!H563</f>
        <v>448</v>
      </c>
      <c r="AP681">
        <f>[9]Unemployment!I563</f>
        <v>1144</v>
      </c>
      <c r="AQ681" s="3">
        <f>[9]LaborForce!$B562*[9]LaborForce!$C562/100</f>
        <v>151708.554</v>
      </c>
      <c r="AR681">
        <f>[9]Unemployment!$AC563</f>
        <v>311</v>
      </c>
      <c r="AS681">
        <f>[2]Indicators!BC563</f>
        <v>103.2</v>
      </c>
      <c r="AT681">
        <f>[2]Indicators!BD563</f>
        <v>101.89290000000001</v>
      </c>
      <c r="AU681">
        <f>[2]Indicators!BE563</f>
        <v>101.61670000000001</v>
      </c>
      <c r="AV681">
        <f>[5]m!$O683</f>
        <v>225.54</v>
      </c>
    </row>
    <row r="682" spans="1:48" x14ac:dyDescent="0.25">
      <c r="A682" s="1">
        <v>38961</v>
      </c>
      <c r="B682" s="2">
        <f>[2]Indicators!G564</f>
        <v>9389.5730000000003</v>
      </c>
      <c r="C682" s="2">
        <f>[2]Indicators!H564</f>
        <v>1160.2139999999999</v>
      </c>
      <c r="D682" s="2">
        <f>[2]Indicators!I564</f>
        <v>2085.4090000000001</v>
      </c>
      <c r="E682" s="2">
        <f>[2]Indicators!J564</f>
        <v>6143.95</v>
      </c>
      <c r="F682" s="2">
        <f>[2]Indicators!B564</f>
        <v>9091.7950000000001</v>
      </c>
      <c r="G682" s="2">
        <f>[2]Indicators!C564</f>
        <v>1186.0530000000001</v>
      </c>
      <c r="H682" s="2">
        <f>[2]Indicators!D564</f>
        <v>2007.981</v>
      </c>
      <c r="I682" s="2">
        <f>[2]Indicators!E564</f>
        <v>5898.4859999999999</v>
      </c>
      <c r="J682" s="2">
        <f>[2]Indicators!L564</f>
        <v>324060</v>
      </c>
      <c r="K682" s="2">
        <f>[2]Indicators!M564</f>
        <v>177429</v>
      </c>
      <c r="L682" s="2">
        <f>[2]Indicators!N564</f>
        <v>16.966999999999999</v>
      </c>
      <c r="M682" s="2">
        <f>[2]Indicators!AB564</f>
        <v>97.688200000000009</v>
      </c>
      <c r="N682" s="2">
        <f>[8]m!$C684</f>
        <v>5.25</v>
      </c>
      <c r="O682">
        <f>[9]Unemployment!$B564</f>
        <v>4.5</v>
      </c>
      <c r="P682" s="2">
        <f>[2]Surveys_m!$B564</f>
        <v>105.9</v>
      </c>
      <c r="Q682">
        <f>[5]m!$B684</f>
        <v>202.8</v>
      </c>
      <c r="R682">
        <f>[5]m!$D684</f>
        <v>207.20000000000002</v>
      </c>
      <c r="S682">
        <f>[5]m!$Q684</f>
        <v>165.4</v>
      </c>
      <c r="T682">
        <f>[6]m!B684</f>
        <v>56167</v>
      </c>
      <c r="U682" s="2">
        <f>[9]Unemployment!$F564</f>
        <v>17.100000000000001</v>
      </c>
      <c r="V682" s="2">
        <f>[9]Unemployment!$G564</f>
        <v>8</v>
      </c>
      <c r="W682">
        <f>[9]Unemployment!$E564</f>
        <v>6847</v>
      </c>
      <c r="X682">
        <f>[9]Unemployment!N564</f>
        <v>2608</v>
      </c>
      <c r="Y682">
        <f>[9]Unemployment!O564</f>
        <v>2053</v>
      </c>
      <c r="Z682">
        <f>[9]Unemployment!P564-[9]Unemployment!Q564</f>
        <v>986</v>
      </c>
      <c r="AA682">
        <f>[9]Unemployment!$Q564</f>
        <v>1245</v>
      </c>
      <c r="AB682" s="2">
        <f>[8]m!$B684</f>
        <v>4.7700000000000005</v>
      </c>
      <c r="AC682" s="2">
        <f>[8]m!$F684</f>
        <v>4.72</v>
      </c>
      <c r="AD682">
        <f>[9]Employment!$B564</f>
        <v>136514</v>
      </c>
      <c r="AE682" s="2">
        <f>[2]Indicators!$AB564</f>
        <v>97.688200000000009</v>
      </c>
      <c r="AF682" s="2">
        <f>[8]m!$AS684</f>
        <v>2356</v>
      </c>
      <c r="AG682" s="2">
        <f>[8]m!$H684</f>
        <v>5.51</v>
      </c>
      <c r="AH682" s="2">
        <f>[8]m!$I684</f>
        <v>6.43</v>
      </c>
      <c r="AI682" s="2">
        <f>[7]m!C683</f>
        <v>122585</v>
      </c>
      <c r="AJ682" s="2">
        <f>[7]m!D683</f>
        <v>189936</v>
      </c>
      <c r="AK682" s="2">
        <f>[2]Surveys_m!$AB564</f>
        <v>51.800000000000004</v>
      </c>
      <c r="AL682" s="3">
        <v>4638</v>
      </c>
      <c r="AM682">
        <f>[2]Indicators!$BB564</f>
        <v>219425</v>
      </c>
      <c r="AN682" s="2">
        <v>91.7</v>
      </c>
      <c r="AO682">
        <f>[9]Unemployment!H564</f>
        <v>325</v>
      </c>
      <c r="AP682">
        <f>[9]Unemployment!I564</f>
        <v>975</v>
      </c>
      <c r="AQ682" s="3">
        <f>[9]LaborForce!$B563*[9]LaborForce!$C563/100</f>
        <v>151646.62000000002</v>
      </c>
      <c r="AR682">
        <f>[9]Unemployment!$AC564</f>
        <v>315</v>
      </c>
      <c r="AS682">
        <f>[2]Indicators!BC564</f>
        <v>103.9</v>
      </c>
      <c r="AT682">
        <f>[2]Indicators!BD564</f>
        <v>102.003</v>
      </c>
      <c r="AU682">
        <f>[2]Indicators!BE564</f>
        <v>101.71910000000001</v>
      </c>
      <c r="AV682">
        <f>[5]m!$O684</f>
        <v>225.1</v>
      </c>
    </row>
    <row r="683" spans="1:48" x14ac:dyDescent="0.25">
      <c r="A683" s="1">
        <v>38991</v>
      </c>
      <c r="B683" s="2">
        <f>[2]Indicators!G565</f>
        <v>9412.3790000000008</v>
      </c>
      <c r="C683" s="2">
        <f>[2]Indicators!H565</f>
        <v>1161.17</v>
      </c>
      <c r="D683" s="2">
        <f>[2]Indicators!I565</f>
        <v>2070.567</v>
      </c>
      <c r="E683" s="2">
        <f>[2]Indicators!J565</f>
        <v>6180.6419999999998</v>
      </c>
      <c r="F683" s="2">
        <f>[2]Indicators!B565</f>
        <v>9134.8809999999994</v>
      </c>
      <c r="G683" s="2">
        <f>[2]Indicators!C565</f>
        <v>1186.7540000000001</v>
      </c>
      <c r="H683" s="2">
        <f>[2]Indicators!D565</f>
        <v>2026.942</v>
      </c>
      <c r="I683" s="2">
        <f>[2]Indicators!E565</f>
        <v>5921.6239999999998</v>
      </c>
      <c r="J683" s="2">
        <f>[2]Indicators!L565</f>
        <v>323038</v>
      </c>
      <c r="K683" s="2">
        <f>[2]Indicators!M565</f>
        <v>177779</v>
      </c>
      <c r="L683" s="2">
        <f>[2]Indicators!N565</f>
        <v>16.876000000000001</v>
      </c>
      <c r="M683" s="2">
        <f>[2]Indicators!AB565</f>
        <v>97.685500000000005</v>
      </c>
      <c r="N683" s="2">
        <f>[8]m!$C685</f>
        <v>5.25</v>
      </c>
      <c r="O683">
        <f>[9]Unemployment!$B565</f>
        <v>4.4000000000000004</v>
      </c>
      <c r="P683" s="2">
        <f>[2]Surveys_m!$B565</f>
        <v>105.10000000000001</v>
      </c>
      <c r="Q683">
        <f>[5]m!$B685</f>
        <v>201.9</v>
      </c>
      <c r="R683">
        <f>[5]m!$D685</f>
        <v>207.6</v>
      </c>
      <c r="S683">
        <f>[5]m!$Q685</f>
        <v>162.20000000000002</v>
      </c>
      <c r="T683">
        <f>[6]m!B685</f>
        <v>-49321</v>
      </c>
      <c r="U683" s="2">
        <f>[9]Unemployment!$F565</f>
        <v>16.3</v>
      </c>
      <c r="V683" s="2">
        <f>[9]Unemployment!$G565</f>
        <v>7.9</v>
      </c>
      <c r="W683">
        <f>[9]Unemployment!$E565</f>
        <v>6727</v>
      </c>
      <c r="X683">
        <f>[9]Unemployment!N565</f>
        <v>2616</v>
      </c>
      <c r="Y683">
        <f>[9]Unemployment!O565</f>
        <v>2103</v>
      </c>
      <c r="Z683">
        <f>[9]Unemployment!P565-[9]Unemployment!Q565</f>
        <v>984</v>
      </c>
      <c r="AA683">
        <f>[9]Unemployment!$Q565</f>
        <v>1078</v>
      </c>
      <c r="AB683" s="2">
        <f>[8]m!$B685</f>
        <v>4.95</v>
      </c>
      <c r="AC683" s="2">
        <f>[8]m!$F685</f>
        <v>4.7300000000000004</v>
      </c>
      <c r="AD683">
        <f>[9]Employment!$B565</f>
        <v>136506</v>
      </c>
      <c r="AE683" s="2">
        <f>[2]Indicators!$AB565</f>
        <v>97.685500000000005</v>
      </c>
      <c r="AF683" s="2">
        <f>[8]m!$AS685</f>
        <v>2361</v>
      </c>
      <c r="AG683" s="2">
        <f>[8]m!$H685</f>
        <v>5.51</v>
      </c>
      <c r="AH683" s="2">
        <f>[8]m!$I685</f>
        <v>6.42</v>
      </c>
      <c r="AI683" s="2">
        <f>[7]m!C684</f>
        <v>123678</v>
      </c>
      <c r="AJ683" s="2">
        <f>[7]m!D684</f>
        <v>187989</v>
      </c>
      <c r="AK683" s="2">
        <f>[2]Surveys_m!$AB565</f>
        <v>50.5</v>
      </c>
      <c r="AL683" s="3">
        <v>4650</v>
      </c>
      <c r="AM683">
        <f>[2]Indicators!$BB565</f>
        <v>206591</v>
      </c>
      <c r="AN683" s="2">
        <v>94.8</v>
      </c>
      <c r="AO683">
        <f>[9]Unemployment!H565</f>
        <v>331</v>
      </c>
      <c r="AP683">
        <f>[9]Unemployment!I565</f>
        <v>1147</v>
      </c>
      <c r="AQ683" s="3">
        <f>[9]LaborForce!$B564*[9]LaborForce!$C564/100</f>
        <v>152044.85</v>
      </c>
      <c r="AR683">
        <f>[9]Unemployment!$AC565</f>
        <v>309</v>
      </c>
      <c r="AS683">
        <f>[2]Indicators!BC565</f>
        <v>103.9</v>
      </c>
      <c r="AT683">
        <f>[2]Indicators!BD565</f>
        <v>102.17660000000001</v>
      </c>
      <c r="AU683">
        <f>[2]Indicators!BE565</f>
        <v>101.89230000000001</v>
      </c>
      <c r="AV683">
        <f>[5]m!$O685</f>
        <v>224.74</v>
      </c>
    </row>
    <row r="684" spans="1:48" x14ac:dyDescent="0.25">
      <c r="A684" s="1">
        <v>39022</v>
      </c>
      <c r="B684" s="2">
        <f>[2]Indicators!G566</f>
        <v>9433.3119999999999</v>
      </c>
      <c r="C684" s="2">
        <f>[2]Indicators!H566</f>
        <v>1162.3120000000001</v>
      </c>
      <c r="D684" s="2">
        <f>[2]Indicators!I566</f>
        <v>2066.0950000000003</v>
      </c>
      <c r="E684" s="2">
        <f>[2]Indicators!J566</f>
        <v>6204.9049999999997</v>
      </c>
      <c r="F684" s="2">
        <f>[2]Indicators!B566</f>
        <v>9143.5949999999993</v>
      </c>
      <c r="G684" s="2">
        <f>[2]Indicators!C566</f>
        <v>1190.9770000000001</v>
      </c>
      <c r="H684" s="2">
        <f>[2]Indicators!D566</f>
        <v>2021.7830000000001</v>
      </c>
      <c r="I684" s="2">
        <f>[2]Indicators!E566</f>
        <v>5931.2349999999997</v>
      </c>
      <c r="J684" s="2">
        <f>[2]Indicators!L566</f>
        <v>323618</v>
      </c>
      <c r="K684" s="2">
        <f>[2]Indicators!M566</f>
        <v>178032</v>
      </c>
      <c r="L684" s="2">
        <f>[2]Indicators!N566</f>
        <v>16.661999999999999</v>
      </c>
      <c r="M684" s="2">
        <f>[2]Indicators!AB566</f>
        <v>97.566400000000002</v>
      </c>
      <c r="N684" s="2">
        <f>[8]m!$C686</f>
        <v>5.25</v>
      </c>
      <c r="O684">
        <f>[9]Unemployment!$B566</f>
        <v>4.5</v>
      </c>
      <c r="P684" s="2">
        <f>[2]Surveys_m!$B566</f>
        <v>105.30000000000001</v>
      </c>
      <c r="Q684">
        <f>[5]m!$B686</f>
        <v>202</v>
      </c>
      <c r="R684">
        <f>[5]m!$D686</f>
        <v>207.8</v>
      </c>
      <c r="S684">
        <f>[5]m!$Q686</f>
        <v>164.60000000000002</v>
      </c>
      <c r="T684">
        <f>[6]m!B686</f>
        <v>-73042</v>
      </c>
      <c r="U684" s="2">
        <f>[9]Unemployment!$F566</f>
        <v>16.2</v>
      </c>
      <c r="V684" s="2">
        <f>[9]Unemployment!$G566</f>
        <v>8.3000000000000007</v>
      </c>
      <c r="W684">
        <f>[9]Unemployment!$E566</f>
        <v>6872</v>
      </c>
      <c r="X684">
        <f>[9]Unemployment!N566</f>
        <v>2511</v>
      </c>
      <c r="Y684">
        <f>[9]Unemployment!O566</f>
        <v>2212</v>
      </c>
      <c r="Z684">
        <f>[9]Unemployment!P566-[9]Unemployment!Q566</f>
        <v>1028</v>
      </c>
      <c r="AA684">
        <f>[9]Unemployment!$Q566</f>
        <v>1131</v>
      </c>
      <c r="AB684" s="2">
        <f>[8]m!$B686</f>
        <v>4.9000000000000004</v>
      </c>
      <c r="AC684" s="2">
        <f>[8]m!$F686</f>
        <v>4.6000000000000005</v>
      </c>
      <c r="AD684">
        <f>[9]Employment!$B566</f>
        <v>136711</v>
      </c>
      <c r="AE684" s="2">
        <f>[2]Indicators!$AB566</f>
        <v>97.566400000000002</v>
      </c>
      <c r="AF684" s="2">
        <f>[8]m!$AS686</f>
        <v>2376.1</v>
      </c>
      <c r="AG684" s="2">
        <f>[8]m!$H686</f>
        <v>5.33</v>
      </c>
      <c r="AH684" s="2">
        <f>[8]m!$I686</f>
        <v>6.2</v>
      </c>
      <c r="AI684" s="2">
        <f>[7]m!C685</f>
        <v>125669</v>
      </c>
      <c r="AJ684" s="2">
        <f>[7]m!D685</f>
        <v>183807</v>
      </c>
      <c r="AK684" s="2">
        <f>[2]Surveys_m!$AB566</f>
        <v>50.400000000000006</v>
      </c>
      <c r="AL684" s="3">
        <v>4666</v>
      </c>
      <c r="AM684">
        <f>[2]Indicators!$BB566</f>
        <v>211187</v>
      </c>
      <c r="AN684" s="2">
        <v>91.5</v>
      </c>
      <c r="AO684">
        <f>[9]Unemployment!H566</f>
        <v>349</v>
      </c>
      <c r="AP684">
        <f>[9]Unemployment!I566</f>
        <v>1016</v>
      </c>
      <c r="AQ684" s="3">
        <f>[9]LaborForce!$B565*[9]LaborForce!$C565/100</f>
        <v>152427.01500000001</v>
      </c>
      <c r="AR684">
        <f>[9]Unemployment!$AC566</f>
        <v>328</v>
      </c>
      <c r="AS684">
        <f>[2]Indicators!BC566</f>
        <v>104</v>
      </c>
      <c r="AT684">
        <f>[2]Indicators!BD566</f>
        <v>102.3981</v>
      </c>
      <c r="AU684">
        <f>[2]Indicators!BE566</f>
        <v>102.1212</v>
      </c>
      <c r="AV684">
        <f>[5]m!$O686</f>
        <v>223.94</v>
      </c>
    </row>
    <row r="685" spans="1:48" x14ac:dyDescent="0.25">
      <c r="A685" s="1">
        <v>39052</v>
      </c>
      <c r="B685" s="2">
        <f>[2]Indicators!G567</f>
        <v>9524.8130000000001</v>
      </c>
      <c r="C685" s="2">
        <f>[2]Indicators!H567</f>
        <v>1176.4059999999999</v>
      </c>
      <c r="D685" s="2">
        <f>[2]Indicators!I567</f>
        <v>2114.2330000000002</v>
      </c>
      <c r="E685" s="2">
        <f>[2]Indicators!J567</f>
        <v>6234.1750000000002</v>
      </c>
      <c r="F685" s="2">
        <f>[2]Indicators!B567</f>
        <v>9196.4639999999999</v>
      </c>
      <c r="G685" s="2">
        <f>[2]Indicators!C567</f>
        <v>1207.9110000000001</v>
      </c>
      <c r="H685" s="2">
        <f>[2]Indicators!D567</f>
        <v>2046.883</v>
      </c>
      <c r="I685" s="2">
        <f>[2]Indicators!E567</f>
        <v>5942.9629999999997</v>
      </c>
      <c r="J685" s="2">
        <f>[2]Indicators!L567</f>
        <v>329004</v>
      </c>
      <c r="K685" s="2">
        <f>[2]Indicators!M567</f>
        <v>180287</v>
      </c>
      <c r="L685" s="2">
        <f>[2]Indicators!N567</f>
        <v>17.132999999999999</v>
      </c>
      <c r="M685" s="2">
        <f>[2]Indicators!AB567</f>
        <v>98.599500000000006</v>
      </c>
      <c r="N685" s="2">
        <f>[8]m!$C687</f>
        <v>5.24</v>
      </c>
      <c r="O685">
        <f>[9]Unemployment!$B567</f>
        <v>4.4000000000000004</v>
      </c>
      <c r="P685" s="2">
        <f>[2]Surveys_m!$B567</f>
        <v>110</v>
      </c>
      <c r="Q685">
        <f>[5]m!$B687</f>
        <v>203.1</v>
      </c>
      <c r="R685">
        <f>[5]m!$D687</f>
        <v>208.1</v>
      </c>
      <c r="S685">
        <f>[5]m!$Q687</f>
        <v>165.60000000000002</v>
      </c>
      <c r="T685">
        <f>[6]m!B687</f>
        <v>41961</v>
      </c>
      <c r="U685" s="2">
        <f>[9]Unemployment!$F567</f>
        <v>16.100000000000001</v>
      </c>
      <c r="V685" s="2">
        <f>[9]Unemployment!$G567</f>
        <v>7.5</v>
      </c>
      <c r="W685">
        <f>[9]Unemployment!$E567</f>
        <v>6762</v>
      </c>
      <c r="X685">
        <f>[9]Unemployment!N567</f>
        <v>2596</v>
      </c>
      <c r="Y685">
        <f>[9]Unemployment!O567</f>
        <v>2047</v>
      </c>
      <c r="Z685">
        <f>[9]Unemployment!P567-[9]Unemployment!Q567</f>
        <v>990</v>
      </c>
      <c r="AA685">
        <f>[9]Unemployment!$Q567</f>
        <v>1093</v>
      </c>
      <c r="AB685" s="2">
        <f>[8]m!$B687</f>
        <v>4.8899999999999997</v>
      </c>
      <c r="AC685" s="2">
        <f>[8]m!$F687</f>
        <v>4.5600000000000005</v>
      </c>
      <c r="AD685">
        <f>[9]Employment!$B567</f>
        <v>136891</v>
      </c>
      <c r="AE685" s="2">
        <f>[2]Indicators!$AB567</f>
        <v>98.599500000000006</v>
      </c>
      <c r="AF685" s="2">
        <f>[8]m!$AS687</f>
        <v>2384.9</v>
      </c>
      <c r="AG685" s="2">
        <f>[8]m!$H687</f>
        <v>5.32</v>
      </c>
      <c r="AH685" s="2">
        <f>[8]m!$I687</f>
        <v>6.22</v>
      </c>
      <c r="AI685" s="2">
        <f>[7]m!C686</f>
        <v>127347</v>
      </c>
      <c r="AJ685" s="2">
        <f>[7]m!D686</f>
        <v>184965</v>
      </c>
      <c r="AK685" s="2">
        <f>[2]Surveys_m!$AB567</f>
        <v>52</v>
      </c>
      <c r="AL685" s="3">
        <v>4656</v>
      </c>
      <c r="AM685">
        <f>[2]Indicators!$BB567</f>
        <v>219241</v>
      </c>
      <c r="AN685" s="2">
        <v>101.7</v>
      </c>
      <c r="AO685">
        <f>[9]Unemployment!H567</f>
        <v>274</v>
      </c>
      <c r="AP685">
        <f>[9]Unemployment!I567</f>
        <v>978</v>
      </c>
      <c r="AQ685" s="3">
        <f>[9]LaborForce!$B566*[9]LaborForce!$C566/100</f>
        <v>152791.712</v>
      </c>
      <c r="AR685">
        <f>[9]Unemployment!$AC567</f>
        <v>327</v>
      </c>
      <c r="AS685">
        <f>[2]Indicators!BC567</f>
        <v>104.7</v>
      </c>
      <c r="AT685">
        <f>[2]Indicators!BD567</f>
        <v>102.6365</v>
      </c>
      <c r="AU685">
        <f>[2]Indicators!BE567</f>
        <v>102.37520000000001</v>
      </c>
      <c r="AV685">
        <f>[5]m!$O687</f>
        <v>222.39000000000001</v>
      </c>
    </row>
    <row r="686" spans="1:48" x14ac:dyDescent="0.25">
      <c r="A686" s="1">
        <v>39083</v>
      </c>
      <c r="B686" s="2">
        <f>[2]Indicators!G568</f>
        <v>9561.3539999999994</v>
      </c>
      <c r="C686" s="2">
        <f>[2]Indicators!H568</f>
        <v>1176.4470000000001</v>
      </c>
      <c r="D686" s="2">
        <f>[2]Indicators!I568</f>
        <v>2108.6570000000002</v>
      </c>
      <c r="E686" s="2">
        <f>[2]Indicators!J568</f>
        <v>6276.25</v>
      </c>
      <c r="F686" s="2">
        <f>[2]Indicators!B568</f>
        <v>9204.5560000000005</v>
      </c>
      <c r="G686" s="2">
        <f>[2]Indicators!C568</f>
        <v>1210.124</v>
      </c>
      <c r="H686" s="2">
        <f>[2]Indicators!D568</f>
        <v>2041.9639999999999</v>
      </c>
      <c r="I686" s="2">
        <f>[2]Indicators!E568</f>
        <v>5953.683</v>
      </c>
      <c r="J686" s="2">
        <f>[2]Indicators!L568</f>
        <v>328042</v>
      </c>
      <c r="K686" s="2">
        <f>[2]Indicators!M568</f>
        <v>179238</v>
      </c>
      <c r="L686" s="2">
        <f>[2]Indicators!N568</f>
        <v>16.89</v>
      </c>
      <c r="M686" s="2">
        <f>[2]Indicators!AB568</f>
        <v>98.320400000000006</v>
      </c>
      <c r="N686" s="2">
        <f>[8]m!$C688</f>
        <v>5.25</v>
      </c>
      <c r="O686">
        <f>[9]Unemployment!$B568</f>
        <v>4.6000000000000005</v>
      </c>
      <c r="P686" s="2">
        <f>[2]Surveys_m!$B568</f>
        <v>110.2</v>
      </c>
      <c r="Q686">
        <f>[5]m!$B688</f>
        <v>203.37899999999999</v>
      </c>
      <c r="R686">
        <f>[5]m!$D688</f>
        <v>208.59300000000002</v>
      </c>
      <c r="S686">
        <f>[5]m!$Q688</f>
        <v>164</v>
      </c>
      <c r="T686">
        <f>[6]m!B688</f>
        <v>38236</v>
      </c>
      <c r="U686" s="2">
        <f>[9]Unemployment!$F568</f>
        <v>16.3</v>
      </c>
      <c r="V686" s="2">
        <f>[9]Unemployment!$G568</f>
        <v>8.3000000000000007</v>
      </c>
      <c r="W686">
        <f>[9]Unemployment!$E568</f>
        <v>7100</v>
      </c>
      <c r="X686">
        <f>[9]Unemployment!N568</f>
        <v>2568</v>
      </c>
      <c r="Y686">
        <f>[9]Unemployment!O568</f>
        <v>2269</v>
      </c>
      <c r="Z686">
        <f>[9]Unemployment!P568-[9]Unemployment!Q568</f>
        <v>1016</v>
      </c>
      <c r="AA686">
        <f>[9]Unemployment!$Q568</f>
        <v>1139</v>
      </c>
      <c r="AB686" s="2">
        <f>[8]m!$B688</f>
        <v>4.99</v>
      </c>
      <c r="AC686" s="2">
        <f>[8]m!$F688</f>
        <v>4.76</v>
      </c>
      <c r="AD686">
        <f>[9]Employment!$B568</f>
        <v>137094</v>
      </c>
      <c r="AE686" s="2">
        <f>[2]Indicators!$AB568</f>
        <v>98.320400000000006</v>
      </c>
      <c r="AF686" s="2">
        <f>[8]m!$AS688</f>
        <v>2389.8000000000002</v>
      </c>
      <c r="AG686" s="2">
        <f>[8]m!$H688</f>
        <v>5.4</v>
      </c>
      <c r="AH686" s="2">
        <f>[8]m!$I688</f>
        <v>6.34</v>
      </c>
      <c r="AI686" s="2">
        <f>[7]m!C687</f>
        <v>128468</v>
      </c>
      <c r="AJ686" s="2">
        <f>[7]m!D687</f>
        <v>189217</v>
      </c>
      <c r="AK686" s="2">
        <f>[2]Surveys_m!$AB568</f>
        <v>49.900000000000006</v>
      </c>
      <c r="AL686" s="3">
        <v>4538</v>
      </c>
      <c r="AM686">
        <f>[2]Indicators!$BB568</f>
        <v>206335</v>
      </c>
      <c r="AN686" s="2">
        <v>99.2</v>
      </c>
      <c r="AO686">
        <f>[9]Unemployment!H568</f>
        <v>442</v>
      </c>
      <c r="AP686">
        <f>[9]Unemployment!I568</f>
        <v>1136</v>
      </c>
      <c r="AQ686" s="3">
        <f>[9]LaborForce!$B567*[9]LaborForce!$C567/100</f>
        <v>153151.6</v>
      </c>
      <c r="AR686">
        <f>[9]Unemployment!$AC568</f>
        <v>341</v>
      </c>
      <c r="AS686">
        <f>[2]Indicators!BC568</f>
        <v>104.60000000000001</v>
      </c>
      <c r="AT686">
        <f>[2]Indicators!BD568</f>
        <v>102.8587</v>
      </c>
      <c r="AU686">
        <f>[2]Indicators!BE568</f>
        <v>102.62130000000001</v>
      </c>
      <c r="AV686">
        <f>[5]m!$O688</f>
        <v>221.31</v>
      </c>
    </row>
    <row r="687" spans="1:48" x14ac:dyDescent="0.25">
      <c r="A687" s="1">
        <v>39114</v>
      </c>
      <c r="B687" s="2">
        <f>[2]Indicators!G569</f>
        <v>9600.4660000000003</v>
      </c>
      <c r="C687" s="2">
        <f>[2]Indicators!H569</f>
        <v>1174.7270000000001</v>
      </c>
      <c r="D687" s="2">
        <f>[2]Indicators!I569</f>
        <v>2113.3339999999998</v>
      </c>
      <c r="E687" s="2">
        <f>[2]Indicators!J569</f>
        <v>6312.4040000000005</v>
      </c>
      <c r="F687" s="2">
        <f>[2]Indicators!B569</f>
        <v>9208.98</v>
      </c>
      <c r="G687" s="2">
        <f>[2]Indicators!C569</f>
        <v>1208.3310000000001</v>
      </c>
      <c r="H687" s="2">
        <f>[2]Indicators!D569</f>
        <v>2034.759</v>
      </c>
      <c r="I687" s="2">
        <f>[2]Indicators!E569</f>
        <v>5966.7260000000006</v>
      </c>
      <c r="J687" s="2">
        <f>[2]Indicators!L569</f>
        <v>329179</v>
      </c>
      <c r="K687" s="2">
        <f>[2]Indicators!M569</f>
        <v>178874</v>
      </c>
      <c r="L687" s="2">
        <f>[2]Indicators!N569</f>
        <v>17.170999999999999</v>
      </c>
      <c r="M687" s="2">
        <f>[2]Indicators!AB569</f>
        <v>99.3827</v>
      </c>
      <c r="N687" s="2">
        <f>[8]m!$C689</f>
        <v>5.26</v>
      </c>
      <c r="O687">
        <f>[9]Unemployment!$B569</f>
        <v>4.5</v>
      </c>
      <c r="P687" s="2">
        <f>[2]Surveys_m!$B569</f>
        <v>111.2</v>
      </c>
      <c r="Q687">
        <f>[5]m!$B689</f>
        <v>204.238</v>
      </c>
      <c r="R687">
        <f>[5]m!$D689</f>
        <v>209.107</v>
      </c>
      <c r="S687">
        <f>[5]m!$Q689</f>
        <v>166.8</v>
      </c>
      <c r="T687">
        <f>[6]m!B689</f>
        <v>-119993</v>
      </c>
      <c r="U687" s="2">
        <f>[9]Unemployment!$F569</f>
        <v>16.7</v>
      </c>
      <c r="V687" s="2">
        <f>[9]Unemployment!$G569</f>
        <v>8.4</v>
      </c>
      <c r="W687">
        <f>[9]Unemployment!$E569</f>
        <v>6900</v>
      </c>
      <c r="X687">
        <f>[9]Unemployment!N569</f>
        <v>2572</v>
      </c>
      <c r="Y687">
        <f>[9]Unemployment!O569</f>
        <v>2165</v>
      </c>
      <c r="Z687">
        <f>[9]Unemployment!P569-[9]Unemployment!Q569</f>
        <v>963</v>
      </c>
      <c r="AA687">
        <f>[9]Unemployment!$Q569</f>
        <v>1241</v>
      </c>
      <c r="AB687" s="2">
        <f>[8]m!$B689</f>
        <v>5.01</v>
      </c>
      <c r="AC687" s="2">
        <f>[8]m!$F689</f>
        <v>4.72</v>
      </c>
      <c r="AD687">
        <f>[9]Employment!$B569</f>
        <v>137182</v>
      </c>
      <c r="AE687" s="2">
        <f>[2]Indicators!$AB569</f>
        <v>99.3827</v>
      </c>
      <c r="AF687" s="2">
        <f>[8]m!$AS689</f>
        <v>2400.2000000000003</v>
      </c>
      <c r="AG687" s="2">
        <f>[8]m!$H689</f>
        <v>5.39</v>
      </c>
      <c r="AH687" s="2">
        <f>[8]m!$I689</f>
        <v>6.28</v>
      </c>
      <c r="AI687" s="2">
        <f>[7]m!C688</f>
        <v>129966</v>
      </c>
      <c r="AJ687" s="2">
        <f>[7]m!D688</f>
        <v>187090</v>
      </c>
      <c r="AK687" s="2">
        <f>[2]Surveys_m!$AB569</f>
        <v>52</v>
      </c>
      <c r="AL687" s="3">
        <v>4534</v>
      </c>
      <c r="AM687">
        <f>[2]Indicators!$BB569</f>
        <v>210602</v>
      </c>
      <c r="AN687" s="2">
        <v>98.5</v>
      </c>
      <c r="AO687">
        <f>[9]Unemployment!H569</f>
        <v>375</v>
      </c>
      <c r="AP687">
        <f>[9]Unemployment!I569</f>
        <v>1076</v>
      </c>
      <c r="AQ687" s="3">
        <f>[9]LaborForce!$B568*[9]LaborForce!$C568/100</f>
        <v>153042.94199999998</v>
      </c>
      <c r="AR687">
        <f>[9]Unemployment!$AC569</f>
        <v>310</v>
      </c>
      <c r="AS687">
        <f>[2]Indicators!BC569</f>
        <v>104.3</v>
      </c>
      <c r="AT687">
        <f>[2]Indicators!BD569</f>
        <v>103.09100000000001</v>
      </c>
      <c r="AU687">
        <f>[2]Indicators!BE569</f>
        <v>102.8862</v>
      </c>
      <c r="AV687">
        <f>[5]m!$O689</f>
        <v>220.46</v>
      </c>
    </row>
    <row r="688" spans="1:48" x14ac:dyDescent="0.25">
      <c r="A688" s="1">
        <v>39142</v>
      </c>
      <c r="B688" s="2">
        <f>[2]Indicators!G570</f>
        <v>9643.259</v>
      </c>
      <c r="C688" s="2">
        <f>[2]Indicators!H570</f>
        <v>1175.482</v>
      </c>
      <c r="D688" s="2">
        <f>[2]Indicators!I570</f>
        <v>2141.5259999999998</v>
      </c>
      <c r="E688" s="2">
        <f>[2]Indicators!J570</f>
        <v>6326.2510000000002</v>
      </c>
      <c r="F688" s="2">
        <f>[2]Indicators!B570</f>
        <v>9214.0969999999998</v>
      </c>
      <c r="G688" s="2">
        <f>[2]Indicators!C570</f>
        <v>1211.7540000000001</v>
      </c>
      <c r="H688" s="2">
        <f>[2]Indicators!D570</f>
        <v>2037.9080000000001</v>
      </c>
      <c r="I688" s="2">
        <f>[2]Indicators!E570</f>
        <v>5965.509</v>
      </c>
      <c r="J688" s="2">
        <f>[2]Indicators!L570</f>
        <v>331923</v>
      </c>
      <c r="K688" s="2">
        <f>[2]Indicators!M570</f>
        <v>179642</v>
      </c>
      <c r="L688" s="2">
        <f>[2]Indicators!N570</f>
        <v>16.440999999999999</v>
      </c>
      <c r="M688" s="2">
        <f>[2]Indicators!AB570</f>
        <v>99.403400000000005</v>
      </c>
      <c r="N688" s="2">
        <f>[8]m!$C690</f>
        <v>5.26</v>
      </c>
      <c r="O688">
        <f>[9]Unemployment!$B570</f>
        <v>4.4000000000000004</v>
      </c>
      <c r="P688" s="2">
        <f>[2]Surveys_m!$B570</f>
        <v>108.2</v>
      </c>
      <c r="Q688">
        <f>[5]m!$B690</f>
        <v>205.24700000000001</v>
      </c>
      <c r="R688">
        <f>[5]m!$D690</f>
        <v>209.33100000000002</v>
      </c>
      <c r="S688">
        <f>[5]m!$Q690</f>
        <v>169.3</v>
      </c>
      <c r="T688">
        <f>[6]m!B690</f>
        <v>-96270</v>
      </c>
      <c r="U688" s="2">
        <f>[9]Unemployment!$F570</f>
        <v>17.8</v>
      </c>
      <c r="V688" s="2">
        <f>[9]Unemployment!$G570</f>
        <v>9.1</v>
      </c>
      <c r="W688">
        <f>[9]Unemployment!$E570</f>
        <v>6721</v>
      </c>
      <c r="X688">
        <f>[9]Unemployment!N570</f>
        <v>2297</v>
      </c>
      <c r="Y688">
        <f>[9]Unemployment!O570</f>
        <v>2125</v>
      </c>
      <c r="Z688">
        <f>[9]Unemployment!P570-[9]Unemployment!Q570</f>
        <v>1009</v>
      </c>
      <c r="AA688">
        <f>[9]Unemployment!$Q570</f>
        <v>1240</v>
      </c>
      <c r="AB688" s="2">
        <f>[8]m!$B690</f>
        <v>4.9000000000000004</v>
      </c>
      <c r="AC688" s="2">
        <f>[8]m!$F690</f>
        <v>4.5600000000000005</v>
      </c>
      <c r="AD688">
        <f>[9]Employment!$B570</f>
        <v>137400</v>
      </c>
      <c r="AE688" s="2">
        <f>[2]Indicators!$AB570</f>
        <v>99.403400000000005</v>
      </c>
      <c r="AF688" s="2">
        <f>[8]m!$AS690</f>
        <v>2415</v>
      </c>
      <c r="AG688" s="2">
        <f>[8]m!$H690</f>
        <v>5.3</v>
      </c>
      <c r="AH688" s="2">
        <f>[8]m!$I690</f>
        <v>6.2700000000000005</v>
      </c>
      <c r="AI688" s="2">
        <f>[7]m!C689</f>
        <v>128166</v>
      </c>
      <c r="AJ688" s="2">
        <f>[7]m!D689</f>
        <v>186339</v>
      </c>
      <c r="AK688" s="2">
        <f>[2]Surveys_m!$AB570</f>
        <v>51.300000000000004</v>
      </c>
      <c r="AL688" s="3">
        <v>4808</v>
      </c>
      <c r="AM688">
        <f>[2]Indicators!$BB570</f>
        <v>221557</v>
      </c>
      <c r="AN688" s="2">
        <v>98.7</v>
      </c>
      <c r="AO688">
        <f>[9]Unemployment!H570</f>
        <v>381</v>
      </c>
      <c r="AP688">
        <f>[9]Unemployment!I570</f>
        <v>1005</v>
      </c>
      <c r="AQ688" s="3">
        <f>[9]LaborForce!$B569*[9]LaborForce!$C569/100</f>
        <v>152944.508</v>
      </c>
      <c r="AR688">
        <f>[9]Unemployment!$AC570</f>
        <v>318</v>
      </c>
      <c r="AS688">
        <f>[2]Indicators!BC570</f>
        <v>104.7</v>
      </c>
      <c r="AT688">
        <f>[2]Indicators!BD570</f>
        <v>103.3263</v>
      </c>
      <c r="AU688">
        <f>[2]Indicators!BE570</f>
        <v>103.1627</v>
      </c>
      <c r="AV688">
        <f>[5]m!$O690</f>
        <v>219.67000000000002</v>
      </c>
    </row>
    <row r="689" spans="1:48" x14ac:dyDescent="0.25">
      <c r="A689" s="1">
        <v>39173</v>
      </c>
      <c r="B689" s="2">
        <f>[2]Indicators!G571</f>
        <v>9688.8040000000001</v>
      </c>
      <c r="C689" s="2">
        <f>[2]Indicators!H571</f>
        <v>1177.586</v>
      </c>
      <c r="D689" s="2">
        <f>[2]Indicators!I571</f>
        <v>2150.5950000000003</v>
      </c>
      <c r="E689" s="2">
        <f>[2]Indicators!J571</f>
        <v>6360.6230000000005</v>
      </c>
      <c r="F689" s="2">
        <f>[2]Indicators!B571</f>
        <v>9236.741</v>
      </c>
      <c r="G689" s="2">
        <f>[2]Indicators!C571</f>
        <v>1216.9349999999999</v>
      </c>
      <c r="H689" s="2">
        <f>[2]Indicators!D571</f>
        <v>2037.058</v>
      </c>
      <c r="I689" s="2">
        <f>[2]Indicators!E571</f>
        <v>5983.9639999999999</v>
      </c>
      <c r="J689" s="2">
        <f>[2]Indicators!L571</f>
        <v>330526</v>
      </c>
      <c r="K689" s="2">
        <f>[2]Indicators!M571</f>
        <v>178268</v>
      </c>
      <c r="L689" s="2">
        <f>[2]Indicators!N571</f>
        <v>16.606000000000002</v>
      </c>
      <c r="M689" s="2">
        <f>[2]Indicators!AB571</f>
        <v>100.1666</v>
      </c>
      <c r="N689" s="2">
        <f>[8]m!$C691</f>
        <v>5.25</v>
      </c>
      <c r="O689">
        <f>[9]Unemployment!$B571</f>
        <v>4.5</v>
      </c>
      <c r="P689" s="2">
        <f>[2]Surveys_m!$B571</f>
        <v>106.30000000000001</v>
      </c>
      <c r="Q689">
        <f>[5]m!$B691</f>
        <v>206.01</v>
      </c>
      <c r="R689">
        <f>[5]m!$D691</f>
        <v>209.71700000000001</v>
      </c>
      <c r="S689">
        <f>[5]m!$Q691</f>
        <v>171.4</v>
      </c>
      <c r="T689">
        <f>[6]m!B691</f>
        <v>177674</v>
      </c>
      <c r="U689" s="2">
        <f>[9]Unemployment!$F571</f>
        <v>17</v>
      </c>
      <c r="V689" s="2">
        <f>[9]Unemployment!$G571</f>
        <v>8.6</v>
      </c>
      <c r="W689">
        <f>[9]Unemployment!$E571</f>
        <v>6836</v>
      </c>
      <c r="X689">
        <f>[9]Unemployment!N571</f>
        <v>2454</v>
      </c>
      <c r="Y689">
        <f>[9]Unemployment!O571</f>
        <v>2173</v>
      </c>
      <c r="Z689">
        <f>[9]Unemployment!P571-[9]Unemployment!Q571</f>
        <v>1075</v>
      </c>
      <c r="AA689">
        <f>[9]Unemployment!$Q571</f>
        <v>1200</v>
      </c>
      <c r="AB689" s="2">
        <f>[8]m!$B691</f>
        <v>4.79</v>
      </c>
      <c r="AC689" s="2">
        <f>[8]m!$F691</f>
        <v>4.6900000000000004</v>
      </c>
      <c r="AD689">
        <f>[9]Employment!$B571</f>
        <v>137479</v>
      </c>
      <c r="AE689" s="2">
        <f>[2]Indicators!$AB571</f>
        <v>100.1666</v>
      </c>
      <c r="AF689" s="2">
        <f>[8]m!$AS691</f>
        <v>2422.2000000000003</v>
      </c>
      <c r="AG689" s="2">
        <f>[8]m!$H691</f>
        <v>5.47</v>
      </c>
      <c r="AH689" s="2">
        <f>[8]m!$I691</f>
        <v>6.3900000000000006</v>
      </c>
      <c r="AI689" s="2">
        <f>[7]m!C690</f>
        <v>133050</v>
      </c>
      <c r="AJ689" s="2">
        <f>[7]m!D690</f>
        <v>194450</v>
      </c>
      <c r="AK689" s="2">
        <f>[2]Surveys_m!$AB571</f>
        <v>52.6</v>
      </c>
      <c r="AL689" s="3">
        <v>4622</v>
      </c>
      <c r="AM689">
        <f>[2]Indicators!$BB571</f>
        <v>224565</v>
      </c>
      <c r="AN689" s="2">
        <v>100.9</v>
      </c>
      <c r="AO689">
        <f>[9]Unemployment!H571</f>
        <v>399</v>
      </c>
      <c r="AP689">
        <f>[9]Unemployment!I571</f>
        <v>992</v>
      </c>
      <c r="AQ689" s="3">
        <f>[9]LaborForce!$B570*[9]LaborForce!$C570/100</f>
        <v>152395.72700000001</v>
      </c>
      <c r="AR689">
        <f>[9]Unemployment!$AC571</f>
        <v>305</v>
      </c>
      <c r="AS689">
        <f>[2]Indicators!BC571</f>
        <v>104.5</v>
      </c>
      <c r="AT689">
        <f>[2]Indicators!BD571</f>
        <v>103.53100000000001</v>
      </c>
      <c r="AU689">
        <f>[2]Indicators!BE571</f>
        <v>103.4171</v>
      </c>
      <c r="AV689">
        <f>[5]m!$O691</f>
        <v>218.94</v>
      </c>
    </row>
    <row r="690" spans="1:48" x14ac:dyDescent="0.25">
      <c r="A690" s="1">
        <v>39203</v>
      </c>
      <c r="B690" s="2">
        <f>[2]Indicators!G572</f>
        <v>9730.8279999999995</v>
      </c>
      <c r="C690" s="2">
        <f>[2]Indicators!H572</f>
        <v>1198.2439999999999</v>
      </c>
      <c r="D690" s="2">
        <f>[2]Indicators!I572</f>
        <v>2168.8409999999999</v>
      </c>
      <c r="E690" s="2">
        <f>[2]Indicators!J572</f>
        <v>6363.7439999999997</v>
      </c>
      <c r="F690" s="2">
        <f>[2]Indicators!B572</f>
        <v>9249.8880000000008</v>
      </c>
      <c r="G690" s="2">
        <f>[2]Indicators!C572</f>
        <v>1239.04</v>
      </c>
      <c r="H690" s="2">
        <f>[2]Indicators!D572</f>
        <v>2038.0230000000001</v>
      </c>
      <c r="I690" s="2">
        <f>[2]Indicators!E572</f>
        <v>5975.8910000000005</v>
      </c>
      <c r="J690" s="2">
        <f>[2]Indicators!L572</f>
        <v>335001</v>
      </c>
      <c r="K690" s="2">
        <f>[2]Indicators!M572</f>
        <v>179821</v>
      </c>
      <c r="L690" s="2">
        <f>[2]Indicators!N572</f>
        <v>16.658999999999999</v>
      </c>
      <c r="M690" s="2">
        <f>[2]Indicators!AB572</f>
        <v>100.1143</v>
      </c>
      <c r="N690" s="2">
        <f>[8]m!$C692</f>
        <v>5.25</v>
      </c>
      <c r="O690">
        <f>[9]Unemployment!$B572</f>
        <v>4.4000000000000004</v>
      </c>
      <c r="P690" s="2">
        <f>[2]Surveys_m!$B572</f>
        <v>108.5</v>
      </c>
      <c r="Q690">
        <f>[5]m!$B692</f>
        <v>206.81300000000002</v>
      </c>
      <c r="R690">
        <f>[5]m!$D692</f>
        <v>210.06399999999999</v>
      </c>
      <c r="S690">
        <f>[5]m!$Q692</f>
        <v>173.3</v>
      </c>
      <c r="T690">
        <f>[6]m!B692</f>
        <v>-67699</v>
      </c>
      <c r="U690" s="2">
        <f>[9]Unemployment!$F572</f>
        <v>16.7</v>
      </c>
      <c r="V690" s="2">
        <f>[9]Unemployment!$G572</f>
        <v>8.2000000000000011</v>
      </c>
      <c r="W690">
        <f>[9]Unemployment!$E572</f>
        <v>6766</v>
      </c>
      <c r="X690">
        <f>[9]Unemployment!N572</f>
        <v>2461</v>
      </c>
      <c r="Y690">
        <f>[9]Unemployment!O572</f>
        <v>2176</v>
      </c>
      <c r="Z690">
        <f>[9]Unemployment!P572-[9]Unemployment!Q572</f>
        <v>1094</v>
      </c>
      <c r="AA690">
        <f>[9]Unemployment!$Q572</f>
        <v>1133</v>
      </c>
      <c r="AB690" s="2">
        <f>[8]m!$B692</f>
        <v>4.6000000000000005</v>
      </c>
      <c r="AC690" s="2">
        <f>[8]m!$F692</f>
        <v>4.75</v>
      </c>
      <c r="AD690">
        <f>[9]Employment!$B572</f>
        <v>137620</v>
      </c>
      <c r="AE690" s="2">
        <f>[2]Indicators!$AB572</f>
        <v>100.1143</v>
      </c>
      <c r="AF690" s="2">
        <f>[8]m!$AS692</f>
        <v>2438.4</v>
      </c>
      <c r="AG690" s="2">
        <f>[8]m!$H692</f>
        <v>5.47</v>
      </c>
      <c r="AH690" s="2">
        <f>[8]m!$I692</f>
        <v>6.3900000000000006</v>
      </c>
      <c r="AI690" s="2">
        <f>[7]m!C691</f>
        <v>132443</v>
      </c>
      <c r="AJ690" s="2">
        <f>[7]m!D691</f>
        <v>192261</v>
      </c>
      <c r="AK690" s="2">
        <f>[2]Surveys_m!$AB572</f>
        <v>52.300000000000004</v>
      </c>
      <c r="AL690" s="3">
        <v>4624</v>
      </c>
      <c r="AM690">
        <f>[2]Indicators!$BB572</f>
        <v>217702</v>
      </c>
      <c r="AN690" s="2">
        <v>96.7</v>
      </c>
      <c r="AO690">
        <f>[9]Unemployment!H572</f>
        <v>368</v>
      </c>
      <c r="AP690">
        <f>[9]Unemployment!I572</f>
        <v>1038</v>
      </c>
      <c r="AQ690" s="3">
        <f>[9]LaborForce!$B571*[9]LaborForce!$C571/100</f>
        <v>152776.79999999999</v>
      </c>
      <c r="AR690">
        <f>[9]Unemployment!$AC572</f>
        <v>304</v>
      </c>
      <c r="AS690">
        <f>[2]Indicators!BC572</f>
        <v>104.60000000000001</v>
      </c>
      <c r="AT690">
        <f>[2]Indicators!BD572</f>
        <v>103.65520000000001</v>
      </c>
      <c r="AU690">
        <f>[2]Indicators!BE572</f>
        <v>103.59950000000001</v>
      </c>
      <c r="AV690">
        <f>[5]m!$O692</f>
        <v>218.34</v>
      </c>
    </row>
    <row r="691" spans="1:48" x14ac:dyDescent="0.25">
      <c r="A691" s="1">
        <v>39234</v>
      </c>
      <c r="B691" s="2">
        <f>[2]Indicators!G573</f>
        <v>9743.2100000000009</v>
      </c>
      <c r="C691" s="2">
        <f>[2]Indicators!H573</f>
        <v>1185.1130000000001</v>
      </c>
      <c r="D691" s="2">
        <f>[2]Indicators!I573</f>
        <v>2167.0950000000003</v>
      </c>
      <c r="E691" s="2">
        <f>[2]Indicators!J573</f>
        <v>6391.0029999999997</v>
      </c>
      <c r="F691" s="2">
        <f>[2]Indicators!B573</f>
        <v>9247.0069999999996</v>
      </c>
      <c r="G691" s="2">
        <f>[2]Indicators!C573</f>
        <v>1225.1680000000001</v>
      </c>
      <c r="H691" s="2">
        <f>[2]Indicators!D573</f>
        <v>2037.4170000000001</v>
      </c>
      <c r="I691" s="2">
        <f>[2]Indicators!E573</f>
        <v>5986.2489999999998</v>
      </c>
      <c r="J691" s="2">
        <f>[2]Indicators!L573</f>
        <v>331630</v>
      </c>
      <c r="K691" s="2">
        <f>[2]Indicators!M573</f>
        <v>178005</v>
      </c>
      <c r="L691" s="2">
        <f>[2]Indicators!N573</f>
        <v>16.172000000000001</v>
      </c>
      <c r="M691" s="2">
        <f>[2]Indicators!AB573</f>
        <v>100.122</v>
      </c>
      <c r="N691" s="2">
        <f>[8]m!$C693</f>
        <v>5.25</v>
      </c>
      <c r="O691">
        <f>[9]Unemployment!$B573</f>
        <v>4.6000000000000005</v>
      </c>
      <c r="P691" s="2">
        <f>[2]Surveys_m!$B573</f>
        <v>105.30000000000001</v>
      </c>
      <c r="Q691">
        <f>[5]m!$B693</f>
        <v>207.16200000000001</v>
      </c>
      <c r="R691">
        <f>[5]m!$D693</f>
        <v>210.43299999999999</v>
      </c>
      <c r="S691">
        <f>[5]m!$Q693</f>
        <v>173.8</v>
      </c>
      <c r="T691">
        <f>[6]m!B693</f>
        <v>27481</v>
      </c>
      <c r="U691" s="2">
        <f>[9]Unemployment!$F573</f>
        <v>16.5</v>
      </c>
      <c r="V691" s="2">
        <f>[9]Unemployment!$G573</f>
        <v>7.7</v>
      </c>
      <c r="W691">
        <f>[9]Unemployment!$E573</f>
        <v>6980</v>
      </c>
      <c r="X691">
        <f>[9]Unemployment!N573</f>
        <v>2549</v>
      </c>
      <c r="Y691">
        <f>[9]Unemployment!O573</f>
        <v>2131</v>
      </c>
      <c r="Z691">
        <f>[9]Unemployment!P573-[9]Unemployment!Q573</f>
        <v>1131</v>
      </c>
      <c r="AA691">
        <f>[9]Unemployment!$Q573</f>
        <v>1146</v>
      </c>
      <c r="AB691" s="2">
        <f>[8]m!$B693</f>
        <v>4.68</v>
      </c>
      <c r="AC691" s="2">
        <f>[8]m!$F693</f>
        <v>5.1000000000000005</v>
      </c>
      <c r="AD691">
        <f>[9]Employment!$B573</f>
        <v>137687</v>
      </c>
      <c r="AE691" s="2">
        <f>[2]Indicators!$AB573</f>
        <v>100.122</v>
      </c>
      <c r="AF691" s="2">
        <f>[8]m!$AS693</f>
        <v>2449</v>
      </c>
      <c r="AG691" s="2">
        <f>[8]m!$H693</f>
        <v>5.79</v>
      </c>
      <c r="AH691" s="2">
        <f>[8]m!$I693</f>
        <v>6.7</v>
      </c>
      <c r="AI691" s="2">
        <f>[7]m!C692</f>
        <v>135046</v>
      </c>
      <c r="AJ691" s="2">
        <f>[7]m!D692</f>
        <v>193858</v>
      </c>
      <c r="AK691" s="2">
        <f>[2]Surveys_m!$AB573</f>
        <v>52.400000000000006</v>
      </c>
      <c r="AL691" s="3">
        <v>4804</v>
      </c>
      <c r="AM691">
        <f>[2]Indicators!$BB573</f>
        <v>221889</v>
      </c>
      <c r="AN691" s="2">
        <v>95.2</v>
      </c>
      <c r="AO691">
        <f>[9]Unemployment!H573</f>
        <v>401</v>
      </c>
      <c r="AP691">
        <f>[9]Unemployment!I573</f>
        <v>1053</v>
      </c>
      <c r="AQ691" s="3">
        <f>[9]LaborForce!$B572*[9]LaborForce!$C572/100</f>
        <v>152930.57999999999</v>
      </c>
      <c r="AR691">
        <f>[9]Unemployment!$AC573</f>
        <v>314</v>
      </c>
      <c r="AS691">
        <f>[2]Indicators!BC573</f>
        <v>104.4</v>
      </c>
      <c r="AT691">
        <f>[2]Indicators!BD573</f>
        <v>103.67670000000001</v>
      </c>
      <c r="AU691">
        <f>[2]Indicators!BE573</f>
        <v>103.68770000000001</v>
      </c>
      <c r="AV691">
        <f>[5]m!$O693</f>
        <v>217.37</v>
      </c>
    </row>
    <row r="692" spans="1:48" x14ac:dyDescent="0.25">
      <c r="A692" s="1">
        <v>39264</v>
      </c>
      <c r="B692" s="2">
        <f>[2]Indicators!G574</f>
        <v>9775.41</v>
      </c>
      <c r="C692" s="2">
        <f>[2]Indicators!H574</f>
        <v>1181.932</v>
      </c>
      <c r="D692" s="2">
        <f>[2]Indicators!I574</f>
        <v>2189.35</v>
      </c>
      <c r="E692" s="2">
        <f>[2]Indicators!J574</f>
        <v>6404.1279999999997</v>
      </c>
      <c r="F692" s="2">
        <f>[2]Indicators!B574</f>
        <v>9261.8160000000007</v>
      </c>
      <c r="G692" s="2">
        <f>[2]Indicators!C574</f>
        <v>1225.768</v>
      </c>
      <c r="H692" s="2">
        <f>[2]Indicators!D574</f>
        <v>2052.5680000000002</v>
      </c>
      <c r="I692" s="2">
        <f>[2]Indicators!E574</f>
        <v>5985.2460000000001</v>
      </c>
      <c r="J692" s="2">
        <f>[2]Indicators!L574</f>
        <v>332663</v>
      </c>
      <c r="K692" s="2">
        <f>[2]Indicators!M574</f>
        <v>178202</v>
      </c>
      <c r="L692" s="2">
        <f>[2]Indicators!N574</f>
        <v>15.839</v>
      </c>
      <c r="M692" s="2">
        <f>[2]Indicators!AB574</f>
        <v>100.24350000000001</v>
      </c>
      <c r="N692" s="2">
        <f>[8]m!$C694</f>
        <v>5.26</v>
      </c>
      <c r="O692">
        <f>[9]Unemployment!$B574</f>
        <v>4.7</v>
      </c>
      <c r="P692" s="2">
        <f>[2]Surveys_m!$B574</f>
        <v>111.9</v>
      </c>
      <c r="Q692">
        <f>[5]m!$B694</f>
        <v>207.655</v>
      </c>
      <c r="R692">
        <f>[5]m!$D694</f>
        <v>210.83799999999999</v>
      </c>
      <c r="S692">
        <f>[5]m!$Q694</f>
        <v>175.10000000000002</v>
      </c>
      <c r="T692">
        <f>[6]m!B694</f>
        <v>-36447</v>
      </c>
      <c r="U692" s="2">
        <f>[9]Unemployment!$F574</f>
        <v>17.2</v>
      </c>
      <c r="V692" s="2">
        <f>[9]Unemployment!$G574</f>
        <v>8.7000000000000011</v>
      </c>
      <c r="W692">
        <f>[9]Unemployment!$E574</f>
        <v>7149</v>
      </c>
      <c r="X692">
        <f>[9]Unemployment!N574</f>
        <v>2500</v>
      </c>
      <c r="Y692">
        <f>[9]Unemployment!O574</f>
        <v>2206</v>
      </c>
      <c r="Z692">
        <f>[9]Unemployment!P574-[9]Unemployment!Q574</f>
        <v>1070</v>
      </c>
      <c r="AA692">
        <f>[9]Unemployment!$Q574</f>
        <v>1295</v>
      </c>
      <c r="AB692" s="2">
        <f>[8]m!$B694</f>
        <v>4.82</v>
      </c>
      <c r="AC692" s="2">
        <f>[8]m!$F694</f>
        <v>5</v>
      </c>
      <c r="AD692">
        <f>[9]Employment!$B574</f>
        <v>137638</v>
      </c>
      <c r="AE692" s="2">
        <f>[2]Indicators!$AB574</f>
        <v>100.24350000000001</v>
      </c>
      <c r="AF692" s="2">
        <f>[8]m!$AS694</f>
        <v>2461</v>
      </c>
      <c r="AG692" s="2">
        <f>[8]m!$H694</f>
        <v>5.73</v>
      </c>
      <c r="AH692" s="2">
        <f>[8]m!$I694</f>
        <v>6.65</v>
      </c>
      <c r="AI692" s="2">
        <f>[7]m!C693</f>
        <v>136561</v>
      </c>
      <c r="AJ692" s="2">
        <f>[7]m!D693</f>
        <v>195658</v>
      </c>
      <c r="AK692" s="2">
        <f>[2]Surveys_m!$AB574</f>
        <v>51.7</v>
      </c>
      <c r="AL692" s="3">
        <v>4496</v>
      </c>
      <c r="AM692">
        <f>[2]Indicators!$BB574</f>
        <v>226431</v>
      </c>
      <c r="AN692" s="2">
        <v>95.7</v>
      </c>
      <c r="AO692">
        <f>[9]Unemployment!H574</f>
        <v>367</v>
      </c>
      <c r="AP692">
        <f>[9]Unemployment!I574</f>
        <v>1009</v>
      </c>
      <c r="AQ692" s="3">
        <f>[9]LaborForce!$B573*[9]LaborForce!$C573/100</f>
        <v>153092.28</v>
      </c>
      <c r="AR692">
        <f>[9]Unemployment!$AC574</f>
        <v>318</v>
      </c>
      <c r="AS692">
        <f>[2]Indicators!BC574</f>
        <v>104.7</v>
      </c>
      <c r="AT692">
        <f>[2]Indicators!BD574</f>
        <v>103.55880000000001</v>
      </c>
      <c r="AU692">
        <f>[2]Indicators!BE574</f>
        <v>103.64460000000001</v>
      </c>
      <c r="AV692">
        <f>[5]m!$O694</f>
        <v>216.3</v>
      </c>
    </row>
    <row r="693" spans="1:48" x14ac:dyDescent="0.25">
      <c r="A693" s="1">
        <v>39295</v>
      </c>
      <c r="B693" s="2">
        <f>[2]Indicators!G575</f>
        <v>9815.5149999999994</v>
      </c>
      <c r="C693" s="2">
        <f>[2]Indicators!H575</f>
        <v>1191.818</v>
      </c>
      <c r="D693" s="2">
        <f>[2]Indicators!I575</f>
        <v>2169.085</v>
      </c>
      <c r="E693" s="2">
        <f>[2]Indicators!J575</f>
        <v>6454.6120000000001</v>
      </c>
      <c r="F693" s="2">
        <f>[2]Indicators!B575</f>
        <v>9292.9920000000002</v>
      </c>
      <c r="G693" s="2">
        <f>[2]Indicators!C575</f>
        <v>1241.383</v>
      </c>
      <c r="H693" s="2">
        <f>[2]Indicators!D575</f>
        <v>2039.614</v>
      </c>
      <c r="I693" s="2">
        <f>[2]Indicators!E575</f>
        <v>6014.9080000000004</v>
      </c>
      <c r="J693" s="2">
        <f>[2]Indicators!L575</f>
        <v>334116</v>
      </c>
      <c r="K693" s="2">
        <f>[2]Indicators!M575</f>
        <v>178829</v>
      </c>
      <c r="L693" s="2">
        <f>[2]Indicators!N575</f>
        <v>16.375</v>
      </c>
      <c r="M693" s="2">
        <f>[2]Indicators!AB575</f>
        <v>100.2324</v>
      </c>
      <c r="N693" s="2">
        <f>[8]m!$C695</f>
        <v>5.0200000000000005</v>
      </c>
      <c r="O693">
        <f>[9]Unemployment!$B575</f>
        <v>4.6000000000000005</v>
      </c>
      <c r="P693" s="2">
        <f>[2]Surveys_m!$B575</f>
        <v>105.60000000000001</v>
      </c>
      <c r="Q693">
        <f>[5]m!$B695</f>
        <v>207.68899999999999</v>
      </c>
      <c r="R693">
        <f>[5]m!$D695</f>
        <v>211.15299999999999</v>
      </c>
      <c r="S693">
        <f>[5]m!$Q695</f>
        <v>172.4</v>
      </c>
      <c r="T693">
        <f>[6]m!B695</f>
        <v>-116973</v>
      </c>
      <c r="U693" s="2">
        <f>[9]Unemployment!$F575</f>
        <v>17</v>
      </c>
      <c r="V693" s="2">
        <f>[9]Unemployment!$G575</f>
        <v>8.8000000000000007</v>
      </c>
      <c r="W693">
        <f>[9]Unemployment!$E575</f>
        <v>7085</v>
      </c>
      <c r="X693">
        <f>[9]Unemployment!N575</f>
        <v>2622</v>
      </c>
      <c r="Y693">
        <f>[9]Unemployment!O575</f>
        <v>2166</v>
      </c>
      <c r="Z693">
        <f>[9]Unemployment!P575-[9]Unemployment!Q575</f>
        <v>1087</v>
      </c>
      <c r="AA693">
        <f>[9]Unemployment!$Q575</f>
        <v>1249</v>
      </c>
      <c r="AB693" s="2">
        <f>[8]m!$B695</f>
        <v>3.91</v>
      </c>
      <c r="AC693" s="2">
        <f>[8]m!$F695</f>
        <v>4.67</v>
      </c>
      <c r="AD693">
        <f>[9]Employment!$B575</f>
        <v>137612</v>
      </c>
      <c r="AE693" s="2">
        <f>[2]Indicators!$AB575</f>
        <v>100.2324</v>
      </c>
      <c r="AF693" s="2">
        <f>[8]m!$AS695</f>
        <v>2478.6000000000004</v>
      </c>
      <c r="AG693" s="2">
        <f>[8]m!$H695</f>
        <v>5.79</v>
      </c>
      <c r="AH693" s="2">
        <f>[8]m!$I695</f>
        <v>6.65</v>
      </c>
      <c r="AI693" s="2">
        <f>[7]m!C694</f>
        <v>138018</v>
      </c>
      <c r="AJ693" s="2">
        <f>[7]m!D694</f>
        <v>197061</v>
      </c>
      <c r="AK693" s="2">
        <f>[2]Surveys_m!$AB575</f>
        <v>50.2</v>
      </c>
      <c r="AL693" s="3">
        <v>4644</v>
      </c>
      <c r="AM693">
        <f>[2]Indicators!$BB575</f>
        <v>216528</v>
      </c>
      <c r="AN693" s="2">
        <v>92.6</v>
      </c>
      <c r="AO693">
        <f>[9]Unemployment!H575</f>
        <v>392</v>
      </c>
      <c r="AP693">
        <f>[9]Unemployment!I575</f>
        <v>972</v>
      </c>
      <c r="AQ693" s="3">
        <f>[9]LaborForce!$B574*[9]LaborForce!$C574/100</f>
        <v>152794.83799999999</v>
      </c>
      <c r="AR693">
        <f>[9]Unemployment!$AC575</f>
        <v>305</v>
      </c>
      <c r="AS693">
        <f>[2]Indicators!BC575</f>
        <v>104.10000000000001</v>
      </c>
      <c r="AT693">
        <f>[2]Indicators!BD575</f>
        <v>103.2966</v>
      </c>
      <c r="AU693">
        <f>[2]Indicators!BE575</f>
        <v>103.46520000000001</v>
      </c>
      <c r="AV693">
        <f>[5]m!$O695</f>
        <v>214.63</v>
      </c>
    </row>
    <row r="694" spans="1:48" x14ac:dyDescent="0.25">
      <c r="A694" s="1">
        <v>39326</v>
      </c>
      <c r="B694" s="2">
        <f>[2]Indicators!G576</f>
        <v>9862.2289999999994</v>
      </c>
      <c r="C694" s="2">
        <f>[2]Indicators!H576</f>
        <v>1209.6279999999999</v>
      </c>
      <c r="D694" s="2">
        <f>[2]Indicators!I576</f>
        <v>2194.3740000000003</v>
      </c>
      <c r="E694" s="2">
        <f>[2]Indicators!J576</f>
        <v>6458.2280000000001</v>
      </c>
      <c r="F694" s="2">
        <f>[2]Indicators!B576</f>
        <v>9300.8989999999994</v>
      </c>
      <c r="G694" s="2">
        <f>[2]Indicators!C576</f>
        <v>1261.0889999999999</v>
      </c>
      <c r="H694" s="2">
        <f>[2]Indicators!D576</f>
        <v>2048.56</v>
      </c>
      <c r="I694" s="2">
        <f>[2]Indicators!E576</f>
        <v>5996.37</v>
      </c>
      <c r="J694" s="2">
        <f>[2]Indicators!L576</f>
        <v>338375</v>
      </c>
      <c r="K694" s="2">
        <f>[2]Indicators!M576</f>
        <v>180334</v>
      </c>
      <c r="L694" s="2">
        <f>[2]Indicators!N576</f>
        <v>16.535</v>
      </c>
      <c r="M694" s="2">
        <f>[2]Indicators!AB576</f>
        <v>100.72410000000001</v>
      </c>
      <c r="N694" s="2">
        <f>[8]m!$C696</f>
        <v>4.9400000000000004</v>
      </c>
      <c r="O694">
        <f>[9]Unemployment!$B576</f>
        <v>4.7</v>
      </c>
      <c r="P694" s="2">
        <f>[2]Surveys_m!$B576</f>
        <v>99.5</v>
      </c>
      <c r="Q694">
        <f>[5]m!$B696</f>
        <v>208.46700000000001</v>
      </c>
      <c r="R694">
        <f>[5]m!$D696</f>
        <v>211.589</v>
      </c>
      <c r="S694">
        <f>[5]m!$Q696</f>
        <v>173.5</v>
      </c>
      <c r="T694">
        <f>[6]m!B696</f>
        <v>112866</v>
      </c>
      <c r="U694" s="2">
        <f>[9]Unemployment!$F576</f>
        <v>16.3</v>
      </c>
      <c r="V694" s="2">
        <f>[9]Unemployment!$G576</f>
        <v>8.7000000000000011</v>
      </c>
      <c r="W694">
        <f>[9]Unemployment!$E576</f>
        <v>7191</v>
      </c>
      <c r="X694">
        <f>[9]Unemployment!N576</f>
        <v>2575</v>
      </c>
      <c r="Y694">
        <f>[9]Unemployment!O576</f>
        <v>2298</v>
      </c>
      <c r="Z694">
        <f>[9]Unemployment!P576-[9]Unemployment!Q576</f>
        <v>1090</v>
      </c>
      <c r="AA694">
        <f>[9]Unemployment!$Q576</f>
        <v>1271</v>
      </c>
      <c r="AB694" s="2">
        <f>[8]m!$B696</f>
        <v>3.72</v>
      </c>
      <c r="AC694" s="2">
        <f>[8]m!$F696</f>
        <v>4.5200000000000005</v>
      </c>
      <c r="AD694">
        <f>[9]Employment!$B576</f>
        <v>137681</v>
      </c>
      <c r="AE694" s="2">
        <f>[2]Indicators!$AB576</f>
        <v>100.72410000000001</v>
      </c>
      <c r="AF694" s="2">
        <f>[8]m!$AS696</f>
        <v>2490.3000000000002</v>
      </c>
      <c r="AG694" s="2">
        <f>[8]m!$H696</f>
        <v>5.74</v>
      </c>
      <c r="AH694" s="2">
        <f>[8]m!$I696</f>
        <v>6.59</v>
      </c>
      <c r="AI694" s="2">
        <f>[7]m!C695</f>
        <v>140908</v>
      </c>
      <c r="AJ694" s="2">
        <f>[7]m!D695</f>
        <v>197017</v>
      </c>
      <c r="AK694" s="2">
        <f>[2]Surveys_m!$AB576</f>
        <v>50</v>
      </c>
      <c r="AL694" s="3">
        <v>4565</v>
      </c>
      <c r="AM694">
        <f>[2]Indicators!$BB576</f>
        <v>216375</v>
      </c>
      <c r="AN694" s="2">
        <v>97.5</v>
      </c>
      <c r="AO694">
        <f>[9]Unemployment!H576</f>
        <v>276</v>
      </c>
      <c r="AP694">
        <f>[9]Unemployment!I576</f>
        <v>992</v>
      </c>
      <c r="AQ694" s="3">
        <f>[9]LaborForce!$B575*[9]LaborForce!$C575/100</f>
        <v>153424.26</v>
      </c>
      <c r="AR694">
        <f>[9]Unemployment!$AC576</f>
        <v>315</v>
      </c>
      <c r="AS694">
        <f>[2]Indicators!BC576</f>
        <v>104.10000000000001</v>
      </c>
      <c r="AT694">
        <f>[2]Indicators!BD576</f>
        <v>102.96180000000001</v>
      </c>
      <c r="AU694">
        <f>[2]Indicators!BE576</f>
        <v>103.22070000000001</v>
      </c>
      <c r="AV694">
        <f>[5]m!$O696</f>
        <v>212.73000000000002</v>
      </c>
    </row>
    <row r="695" spans="1:48" x14ac:dyDescent="0.25">
      <c r="A695" s="1">
        <v>39356</v>
      </c>
      <c r="B695" s="2">
        <f>[2]Indicators!G577</f>
        <v>9885.0259999999998</v>
      </c>
      <c r="C695" s="2">
        <f>[2]Indicators!H577</f>
        <v>1205.018</v>
      </c>
      <c r="D695" s="2">
        <f>[2]Indicators!I577</f>
        <v>2199.3870000000002</v>
      </c>
      <c r="E695" s="2">
        <f>[2]Indicators!J577</f>
        <v>6480.6210000000001</v>
      </c>
      <c r="F695" s="2">
        <f>[2]Indicators!B577</f>
        <v>9296.0879999999997</v>
      </c>
      <c r="G695" s="2">
        <f>[2]Indicators!C577</f>
        <v>1256.3430000000001</v>
      </c>
      <c r="H695" s="2">
        <f>[2]Indicators!D577</f>
        <v>2045.713</v>
      </c>
      <c r="I695" s="2">
        <f>[2]Indicators!E577</f>
        <v>5998.8990000000003</v>
      </c>
      <c r="J695" s="2">
        <f>[2]Indicators!L577</f>
        <v>337100</v>
      </c>
      <c r="K695" s="2">
        <f>[2]Indicators!M577</f>
        <v>179249</v>
      </c>
      <c r="L695" s="2">
        <f>[2]Indicators!N577</f>
        <v>16.455000000000002</v>
      </c>
      <c r="M695" s="2">
        <f>[2]Indicators!AB577</f>
        <v>100.10900000000001</v>
      </c>
      <c r="N695" s="2">
        <f>[8]m!$C697</f>
        <v>4.76</v>
      </c>
      <c r="O695">
        <f>[9]Unemployment!$B577</f>
        <v>4.7</v>
      </c>
      <c r="P695" s="2">
        <f>[2]Surveys_m!$B577</f>
        <v>95.2</v>
      </c>
      <c r="Q695">
        <f>[5]m!$B697</f>
        <v>209.15600000000001</v>
      </c>
      <c r="R695">
        <f>[5]m!$D697</f>
        <v>212.09300000000002</v>
      </c>
      <c r="S695">
        <f>[5]m!$Q697</f>
        <v>174.70000000000002</v>
      </c>
      <c r="T695">
        <f>[6]m!B697</f>
        <v>-56838</v>
      </c>
      <c r="U695" s="2">
        <f>[9]Unemployment!$F577</f>
        <v>17</v>
      </c>
      <c r="V695" s="2">
        <f>[9]Unemployment!$G577</f>
        <v>8.4</v>
      </c>
      <c r="W695">
        <f>[9]Unemployment!$E577</f>
        <v>7272</v>
      </c>
      <c r="X695">
        <f>[9]Unemployment!N577</f>
        <v>2541</v>
      </c>
      <c r="Y695">
        <f>[9]Unemployment!O577</f>
        <v>2510</v>
      </c>
      <c r="Z695">
        <f>[9]Unemployment!P577-[9]Unemployment!Q577</f>
        <v>1015</v>
      </c>
      <c r="AA695">
        <f>[9]Unemployment!$Q577</f>
        <v>1300</v>
      </c>
      <c r="AB695" s="2">
        <f>[8]m!$B697</f>
        <v>3.84</v>
      </c>
      <c r="AC695" s="2">
        <f>[8]m!$F697</f>
        <v>4.53</v>
      </c>
      <c r="AD695">
        <f>[9]Employment!$B577</f>
        <v>137772</v>
      </c>
      <c r="AE695" s="2">
        <f>[2]Indicators!$AB577</f>
        <v>100.10900000000001</v>
      </c>
      <c r="AF695" s="2">
        <f>[8]m!$AS697</f>
        <v>2501</v>
      </c>
      <c r="AG695" s="2">
        <f>[8]m!$H697</f>
        <v>5.66</v>
      </c>
      <c r="AH695" s="2">
        <f>[8]m!$I697</f>
        <v>6.48</v>
      </c>
      <c r="AI695" s="2">
        <f>[7]m!C696</f>
        <v>141752</v>
      </c>
      <c r="AJ695" s="2">
        <f>[7]m!D696</f>
        <v>198559</v>
      </c>
      <c r="AK695" s="2">
        <f>[2]Surveys_m!$AB577</f>
        <v>50.900000000000006</v>
      </c>
      <c r="AL695" s="3">
        <v>4369</v>
      </c>
      <c r="AM695">
        <f>[2]Indicators!$BB577</f>
        <v>217003</v>
      </c>
      <c r="AN695" s="2">
        <v>94</v>
      </c>
      <c r="AO695">
        <f>[9]Unemployment!H577</f>
        <v>320</v>
      </c>
      <c r="AP695">
        <f>[9]Unemployment!I577</f>
        <v>1044</v>
      </c>
      <c r="AQ695" s="3">
        <f>[9]LaborForce!$B576*[9]LaborForce!$C576/100</f>
        <v>153126.47</v>
      </c>
      <c r="AR695">
        <f>[9]Unemployment!$AC577</f>
        <v>317</v>
      </c>
      <c r="AS695">
        <f>[2]Indicators!BC577</f>
        <v>103.8</v>
      </c>
      <c r="AT695">
        <f>[2]Indicators!BD577</f>
        <v>102.6046</v>
      </c>
      <c r="AU695">
        <f>[2]Indicators!BE577</f>
        <v>102.9611</v>
      </c>
      <c r="AV695">
        <f>[5]m!$O697</f>
        <v>209.76</v>
      </c>
    </row>
    <row r="696" spans="1:48" x14ac:dyDescent="0.25">
      <c r="A696" s="1">
        <v>39387</v>
      </c>
      <c r="B696" s="2">
        <f>[2]Indicators!G578</f>
        <v>9957.9089999999997</v>
      </c>
      <c r="C696" s="2">
        <f>[2]Indicators!H578</f>
        <v>1196.6569999999999</v>
      </c>
      <c r="D696" s="2">
        <f>[2]Indicators!I578</f>
        <v>2240.3960000000002</v>
      </c>
      <c r="E696" s="2">
        <f>[2]Indicators!J578</f>
        <v>6520.8559999999998</v>
      </c>
      <c r="F696" s="2">
        <f>[2]Indicators!B578</f>
        <v>9313.9189999999999</v>
      </c>
      <c r="G696" s="2">
        <f>[2]Indicators!C578</f>
        <v>1249.271</v>
      </c>
      <c r="H696" s="2">
        <f>[2]Indicators!D578</f>
        <v>2046.0740000000001</v>
      </c>
      <c r="I696" s="2">
        <f>[2]Indicators!E578</f>
        <v>6022.5990000000002</v>
      </c>
      <c r="J696" s="2">
        <f>[2]Indicators!L578</f>
        <v>340786</v>
      </c>
      <c r="K696" s="2">
        <f>[2]Indicators!M578</f>
        <v>179514</v>
      </c>
      <c r="L696" s="2">
        <f>[2]Indicators!N578</f>
        <v>16.356999999999999</v>
      </c>
      <c r="M696" s="2">
        <f>[2]Indicators!AB578</f>
        <v>100.50320000000001</v>
      </c>
      <c r="N696" s="2">
        <f>[8]m!$C698</f>
        <v>4.49</v>
      </c>
      <c r="O696">
        <f>[9]Unemployment!$B578</f>
        <v>4.7</v>
      </c>
      <c r="P696" s="2">
        <f>[2]Surveys_m!$B578</f>
        <v>87.800000000000011</v>
      </c>
      <c r="Q696">
        <f>[5]m!$B698</f>
        <v>210.81</v>
      </c>
      <c r="R696">
        <f>[5]m!$D698</f>
        <v>212.67000000000002</v>
      </c>
      <c r="S696">
        <f>[5]m!$Q698</f>
        <v>179</v>
      </c>
      <c r="T696">
        <f>[6]m!B698</f>
        <v>-98238</v>
      </c>
      <c r="U696" s="2">
        <f>[9]Unemployment!$F578</f>
        <v>17.2</v>
      </c>
      <c r="V696" s="2">
        <f>[9]Unemployment!$G578</f>
        <v>8.7000000000000011</v>
      </c>
      <c r="W696">
        <f>[9]Unemployment!$E578</f>
        <v>7261</v>
      </c>
      <c r="X696">
        <f>[9]Unemployment!N578</f>
        <v>2641</v>
      </c>
      <c r="Y696">
        <f>[9]Unemployment!O578</f>
        <v>2247</v>
      </c>
      <c r="Z696">
        <f>[9]Unemployment!P578-[9]Unemployment!Q578</f>
        <v>1000</v>
      </c>
      <c r="AA696">
        <f>[9]Unemployment!$Q578</f>
        <v>1376</v>
      </c>
      <c r="AB696" s="2">
        <f>[8]m!$B698</f>
        <v>3.08</v>
      </c>
      <c r="AC696" s="2">
        <f>[8]m!$F698</f>
        <v>4.1500000000000004</v>
      </c>
      <c r="AD696">
        <f>[9]Employment!$B578</f>
        <v>137899</v>
      </c>
      <c r="AE696" s="2">
        <f>[2]Indicators!$AB578</f>
        <v>100.50320000000001</v>
      </c>
      <c r="AF696" s="2">
        <f>[8]m!$AS698</f>
        <v>2514.8000000000002</v>
      </c>
      <c r="AG696" s="2">
        <f>[8]m!$H698</f>
        <v>5.44</v>
      </c>
      <c r="AH696" s="2">
        <f>[8]m!$I698</f>
        <v>6.4</v>
      </c>
      <c r="AI696" s="2">
        <f>[7]m!C697</f>
        <v>144743</v>
      </c>
      <c r="AJ696" s="2">
        <f>[7]m!D697</f>
        <v>200343</v>
      </c>
      <c r="AK696" s="2">
        <f>[2]Surveys_m!$AB578</f>
        <v>51.5</v>
      </c>
      <c r="AL696" s="3">
        <v>4510</v>
      </c>
      <c r="AM696">
        <f>[2]Indicators!$BB578</f>
        <v>222428</v>
      </c>
      <c r="AN696" s="2">
        <v>92.6</v>
      </c>
      <c r="AO696">
        <f>[9]Unemployment!H578</f>
        <v>349</v>
      </c>
      <c r="AP696">
        <f>[9]Unemployment!I578</f>
        <v>1014</v>
      </c>
      <c r="AQ696" s="3">
        <f>[9]LaborForce!$B577*[9]LaborForce!$C577/100</f>
        <v>153739.74</v>
      </c>
      <c r="AR696">
        <f>[9]Unemployment!$AC578</f>
        <v>328</v>
      </c>
      <c r="AS696">
        <f>[2]Indicators!BC578</f>
        <v>103.5</v>
      </c>
      <c r="AT696">
        <f>[2]Indicators!BD578</f>
        <v>102.23690000000001</v>
      </c>
      <c r="AU696">
        <f>[2]Indicators!BE578</f>
        <v>102.6979</v>
      </c>
      <c r="AV696">
        <f>[5]m!$O698</f>
        <v>205.26</v>
      </c>
    </row>
    <row r="697" spans="1:48" x14ac:dyDescent="0.25">
      <c r="A697" s="1">
        <v>39417</v>
      </c>
      <c r="B697" s="2">
        <f>[2]Indicators!G579</f>
        <v>10003.237000000001</v>
      </c>
      <c r="C697" s="2">
        <f>[2]Indicators!H579</f>
        <v>1188.692</v>
      </c>
      <c r="D697" s="2">
        <f>[2]Indicators!I579</f>
        <v>2263.3389999999999</v>
      </c>
      <c r="E697" s="2">
        <f>[2]Indicators!J579</f>
        <v>6551.2070000000003</v>
      </c>
      <c r="F697" s="2">
        <f>[2]Indicators!B579</f>
        <v>9327.7690000000002</v>
      </c>
      <c r="G697" s="2">
        <f>[2]Indicators!C579</f>
        <v>1244.1030000000001</v>
      </c>
      <c r="H697" s="2">
        <f>[2]Indicators!D579</f>
        <v>2055.2539999999999</v>
      </c>
      <c r="I697" s="2">
        <f>[2]Indicators!E579</f>
        <v>6031.7520000000004</v>
      </c>
      <c r="J697" s="2">
        <f>[2]Indicators!L579</f>
        <v>338755</v>
      </c>
      <c r="K697" s="2">
        <f>[2]Indicators!M579</f>
        <v>178431</v>
      </c>
      <c r="L697" s="2">
        <f>[2]Indicators!N579</f>
        <v>16.04</v>
      </c>
      <c r="M697" s="2">
        <f>[2]Indicators!AB579</f>
        <v>100.67840000000001</v>
      </c>
      <c r="N697" s="2">
        <f>[8]m!$C699</f>
        <v>4.24</v>
      </c>
      <c r="O697">
        <f>[9]Unemployment!$B579</f>
        <v>5</v>
      </c>
      <c r="P697" s="2">
        <f>[2]Surveys_m!$B579</f>
        <v>90.600000000000009</v>
      </c>
      <c r="Q697">
        <f>[5]m!$B699</f>
        <v>211.416</v>
      </c>
      <c r="R697">
        <f>[5]m!$D699</f>
        <v>213.142</v>
      </c>
      <c r="S697">
        <f>[5]m!$Q699</f>
        <v>178.60000000000002</v>
      </c>
      <c r="T697">
        <f>[6]m!B699</f>
        <v>48261</v>
      </c>
      <c r="U697" s="2">
        <f>[9]Unemployment!$F579</f>
        <v>16.600000000000001</v>
      </c>
      <c r="V697" s="2">
        <f>[9]Unemployment!$G579</f>
        <v>8.4</v>
      </c>
      <c r="W697">
        <f>[9]Unemployment!$E579</f>
        <v>7664</v>
      </c>
      <c r="X697">
        <f>[9]Unemployment!N579</f>
        <v>2716</v>
      </c>
      <c r="Y697">
        <f>[9]Unemployment!O579</f>
        <v>2385</v>
      </c>
      <c r="Z697">
        <f>[9]Unemployment!P579-[9]Unemployment!Q579</f>
        <v>1180</v>
      </c>
      <c r="AA697">
        <f>[9]Unemployment!$Q579</f>
        <v>1327</v>
      </c>
      <c r="AB697" s="2">
        <f>[8]m!$B699</f>
        <v>3.29</v>
      </c>
      <c r="AC697" s="2">
        <f>[8]m!$F699</f>
        <v>4.0999999999999996</v>
      </c>
      <c r="AD697">
        <f>[9]Employment!$B579</f>
        <v>137983</v>
      </c>
      <c r="AE697" s="2">
        <f>[2]Indicators!$AB579</f>
        <v>100.67840000000001</v>
      </c>
      <c r="AF697" s="2">
        <f>[8]m!$AS699</f>
        <v>2522.5</v>
      </c>
      <c r="AG697" s="2">
        <f>[8]m!$H699</f>
        <v>5.49</v>
      </c>
      <c r="AH697" s="2">
        <f>[8]m!$I699</f>
        <v>6.65</v>
      </c>
      <c r="AI697" s="2">
        <f>[7]m!C698</f>
        <v>146427</v>
      </c>
      <c r="AJ697" s="2">
        <f>[7]m!D698</f>
        <v>205067</v>
      </c>
      <c r="AK697" s="2">
        <f>[2]Surveys_m!$AB579</f>
        <v>49</v>
      </c>
      <c r="AL697" s="3">
        <v>4378</v>
      </c>
      <c r="AM697">
        <f>[2]Indicators!$BB579</f>
        <v>229580</v>
      </c>
      <c r="AN697" s="2">
        <v>93.1</v>
      </c>
      <c r="AO697">
        <f>[9]Unemployment!H579</f>
        <v>363</v>
      </c>
      <c r="AP697">
        <f>[9]Unemployment!I579</f>
        <v>981</v>
      </c>
      <c r="AQ697" s="3">
        <f>[9]LaborForce!$B578*[9]LaborForce!$C578/100</f>
        <v>153882.96</v>
      </c>
      <c r="AR697">
        <f>[9]Unemployment!$AC579</f>
        <v>344</v>
      </c>
      <c r="AS697">
        <f>[2]Indicators!BC579</f>
        <v>103.4</v>
      </c>
      <c r="AT697">
        <f>[2]Indicators!BD579</f>
        <v>101.8857</v>
      </c>
      <c r="AU697">
        <f>[2]Indicators!BE579</f>
        <v>102.4577</v>
      </c>
      <c r="AV697">
        <f>[5]m!$O699</f>
        <v>200.67000000000002</v>
      </c>
    </row>
    <row r="698" spans="1:48" x14ac:dyDescent="0.25">
      <c r="A698" s="1">
        <v>39448</v>
      </c>
      <c r="B698" s="2">
        <f>[2]Indicators!G580</f>
        <v>10014.532999999999</v>
      </c>
      <c r="C698" s="2">
        <f>[2]Indicators!H580</f>
        <v>1178.172</v>
      </c>
      <c r="D698" s="2">
        <f>[2]Indicators!I580</f>
        <v>2259.0970000000002</v>
      </c>
      <c r="E698" s="2">
        <f>[2]Indicators!J580</f>
        <v>6577.2640000000001</v>
      </c>
      <c r="F698" s="2">
        <f>[2]Indicators!B580</f>
        <v>9310.6170000000002</v>
      </c>
      <c r="G698" s="2">
        <f>[2]Indicators!C580</f>
        <v>1232.9670000000001</v>
      </c>
      <c r="H698" s="2">
        <f>[2]Indicators!D580</f>
        <v>2039.414</v>
      </c>
      <c r="I698" s="2">
        <f>[2]Indicators!E580</f>
        <v>6040.9049999999997</v>
      </c>
      <c r="J698" s="2">
        <f>[2]Indicators!L580</f>
        <v>338980</v>
      </c>
      <c r="K698" s="2">
        <f>[2]Indicators!M580</f>
        <v>177607</v>
      </c>
      <c r="L698" s="2">
        <f>[2]Indicators!N580</f>
        <v>15.812000000000001</v>
      </c>
      <c r="M698" s="2">
        <f>[2]Indicators!AB580</f>
        <v>100.4229</v>
      </c>
      <c r="N698" s="2">
        <f>[8]m!$C700</f>
        <v>3.94</v>
      </c>
      <c r="O698">
        <f>[9]Unemployment!$B580</f>
        <v>5</v>
      </c>
      <c r="P698" s="2">
        <f>[2]Surveys_m!$B580</f>
        <v>87.300000000000011</v>
      </c>
      <c r="Q698">
        <f>[5]m!$B700</f>
        <v>212.18</v>
      </c>
      <c r="R698">
        <f>[5]m!$D700</f>
        <v>213.73500000000001</v>
      </c>
      <c r="S698">
        <f>[5]m!$Q700</f>
        <v>181</v>
      </c>
      <c r="T698">
        <f>[6]m!B700</f>
        <v>17839</v>
      </c>
      <c r="U698" s="2">
        <f>[9]Unemployment!$F580</f>
        <v>17.5</v>
      </c>
      <c r="V698" s="2">
        <f>[9]Unemployment!$G580</f>
        <v>9</v>
      </c>
      <c r="W698">
        <f>[9]Unemployment!$E580</f>
        <v>7653</v>
      </c>
      <c r="X698">
        <f>[9]Unemployment!N580</f>
        <v>2560</v>
      </c>
      <c r="Y698">
        <f>[9]Unemployment!O580</f>
        <v>2402</v>
      </c>
      <c r="Z698">
        <f>[9]Unemployment!P580-[9]Unemployment!Q580</f>
        <v>1157</v>
      </c>
      <c r="AA698">
        <f>[9]Unemployment!$Q580</f>
        <v>1383</v>
      </c>
      <c r="AB698" s="2">
        <f>[8]m!$B700</f>
        <v>1.92</v>
      </c>
      <c r="AC698" s="2">
        <f>[8]m!$F700</f>
        <v>3.74</v>
      </c>
      <c r="AD698">
        <f>[9]Employment!$B580</f>
        <v>137996</v>
      </c>
      <c r="AE698" s="2">
        <f>[2]Indicators!$AB580</f>
        <v>100.4229</v>
      </c>
      <c r="AF698" s="2">
        <f>[8]m!$AS700</f>
        <v>2529.2000000000003</v>
      </c>
      <c r="AG698" s="2">
        <f>[8]m!$H700</f>
        <v>5.33</v>
      </c>
      <c r="AH698" s="2">
        <f>[8]m!$I700</f>
        <v>6.54</v>
      </c>
      <c r="AI698" s="2">
        <f>[7]m!C699</f>
        <v>147480</v>
      </c>
      <c r="AJ698" s="2">
        <f>[7]m!D699</f>
        <v>203585</v>
      </c>
      <c r="AK698" s="2">
        <f>[2]Surveys_m!$AB580</f>
        <v>51.1</v>
      </c>
      <c r="AL698" s="3">
        <f>[9]Employment!$AZ580</f>
        <v>4392</v>
      </c>
      <c r="AM698">
        <f>[2]Indicators!$BB580</f>
        <v>221447</v>
      </c>
      <c r="AN698" s="2">
        <v>94</v>
      </c>
      <c r="AO698">
        <f>[9]Unemployment!H580</f>
        <v>467</v>
      </c>
      <c r="AP698">
        <f>[9]Unemployment!I580</f>
        <v>1262</v>
      </c>
      <c r="AQ698" s="3">
        <f>[9]LaborForce!$B579*[9]LaborForce!$C579/100</f>
        <v>153991.79200000002</v>
      </c>
      <c r="AR698">
        <f>[9]Unemployment!$AC580</f>
        <v>356</v>
      </c>
      <c r="AS698">
        <f>[2]Indicators!BC580</f>
        <v>102.8</v>
      </c>
      <c r="AT698">
        <f>[2]Indicators!BD580</f>
        <v>101.5612</v>
      </c>
      <c r="AU698">
        <f>[2]Indicators!BE580</f>
        <v>102.25060000000001</v>
      </c>
      <c r="AV698">
        <f>[5]m!$O700</f>
        <v>196.07</v>
      </c>
    </row>
    <row r="699" spans="1:48" x14ac:dyDescent="0.25">
      <c r="A699" s="1">
        <v>39479</v>
      </c>
      <c r="B699" s="2">
        <f>[2]Indicators!G581</f>
        <v>9997.2420000000002</v>
      </c>
      <c r="C699" s="2">
        <f>[2]Indicators!H581</f>
        <v>1158.4459999999999</v>
      </c>
      <c r="D699" s="2">
        <f>[2]Indicators!I581</f>
        <v>2238.607</v>
      </c>
      <c r="E699" s="2">
        <f>[2]Indicators!J581</f>
        <v>6600.1890000000003</v>
      </c>
      <c r="F699" s="2">
        <f>[2]Indicators!B581</f>
        <v>9273.148000000001</v>
      </c>
      <c r="G699" s="2">
        <f>[2]Indicators!C581</f>
        <v>1214.318</v>
      </c>
      <c r="H699" s="2">
        <f>[2]Indicators!D581</f>
        <v>2014.7550000000001</v>
      </c>
      <c r="I699" s="2">
        <f>[2]Indicators!E581</f>
        <v>6045.5010000000002</v>
      </c>
      <c r="J699" s="2">
        <f>[2]Indicators!L581</f>
        <v>335238</v>
      </c>
      <c r="K699" s="2">
        <f>[2]Indicators!M581</f>
        <v>175134</v>
      </c>
      <c r="L699" s="2">
        <f>[2]Indicators!N581</f>
        <v>15.782</v>
      </c>
      <c r="M699" s="2">
        <f>[2]Indicators!AB581</f>
        <v>100.1991</v>
      </c>
      <c r="N699" s="2">
        <f>[8]m!$C701</f>
        <v>2.98</v>
      </c>
      <c r="O699">
        <f>[9]Unemployment!$B581</f>
        <v>4.8000000000000007</v>
      </c>
      <c r="P699" s="2">
        <f>[2]Surveys_m!$B581</f>
        <v>76.400000000000006</v>
      </c>
      <c r="Q699">
        <f>[5]m!$B701</f>
        <v>212.684</v>
      </c>
      <c r="R699">
        <f>[5]m!$D701</f>
        <v>213.89099999999999</v>
      </c>
      <c r="S699">
        <f>[5]m!$Q701</f>
        <v>182.70000000000002</v>
      </c>
      <c r="T699">
        <f>[6]m!B701</f>
        <v>-175563</v>
      </c>
      <c r="U699" s="2">
        <f>[9]Unemployment!$F581</f>
        <v>16.900000000000002</v>
      </c>
      <c r="V699" s="2">
        <f>[9]Unemployment!$G581</f>
        <v>8.7000000000000011</v>
      </c>
      <c r="W699">
        <f>[9]Unemployment!$E581</f>
        <v>7441</v>
      </c>
      <c r="X699">
        <f>[9]Unemployment!N581</f>
        <v>2640</v>
      </c>
      <c r="Y699">
        <f>[9]Unemployment!O581</f>
        <v>2367</v>
      </c>
      <c r="Z699">
        <f>[9]Unemployment!P581-[9]Unemployment!Q581</f>
        <v>1112</v>
      </c>
      <c r="AA699">
        <f>[9]Unemployment!$Q581</f>
        <v>1319</v>
      </c>
      <c r="AB699" s="2">
        <f>[8]m!$B701</f>
        <v>1.81</v>
      </c>
      <c r="AC699" s="2">
        <f>[8]m!$F701</f>
        <v>3.74</v>
      </c>
      <c r="AD699">
        <f>[9]Employment!$B581</f>
        <v>137913</v>
      </c>
      <c r="AE699" s="2">
        <f>[2]Indicators!$AB581</f>
        <v>100.1991</v>
      </c>
      <c r="AF699" s="2">
        <f>[8]m!$AS701</f>
        <v>2540.7000000000003</v>
      </c>
      <c r="AG699" s="2">
        <f>[8]m!$H701</f>
        <v>5.53</v>
      </c>
      <c r="AH699" s="2">
        <f>[8]m!$I701</f>
        <v>6.82</v>
      </c>
      <c r="AI699" s="2">
        <f>[7]m!C700</f>
        <v>150436</v>
      </c>
      <c r="AJ699" s="2">
        <f>[7]m!D700</f>
        <v>210476</v>
      </c>
      <c r="AK699" s="2">
        <f>[2]Surveys_m!$AB581</f>
        <v>48.900000000000006</v>
      </c>
      <c r="AL699" s="3">
        <f>[9]Employment!$AZ581</f>
        <v>4080</v>
      </c>
      <c r="AM699">
        <f>[2]Indicators!$BB581</f>
        <v>219824</v>
      </c>
      <c r="AN699" s="2">
        <v>93.6</v>
      </c>
      <c r="AO699">
        <f>[9]Unemployment!H581</f>
        <v>396</v>
      </c>
      <c r="AP699">
        <f>[9]Unemployment!I581</f>
        <v>1189</v>
      </c>
      <c r="AQ699" s="3">
        <f>[9]LaborForce!$B580*[9]LaborForce!$C580/100</f>
        <v>153653.94</v>
      </c>
      <c r="AR699">
        <f>[9]Unemployment!$AC581</f>
        <v>351</v>
      </c>
      <c r="AS699">
        <f>[2]Indicators!BC581</f>
        <v>102.4</v>
      </c>
      <c r="AT699">
        <f>[2]Indicators!BD581</f>
        <v>101.24990000000001</v>
      </c>
      <c r="AU699">
        <f>[2]Indicators!BE581</f>
        <v>102.06280000000001</v>
      </c>
      <c r="AV699">
        <f>[5]m!$O701</f>
        <v>190.6</v>
      </c>
    </row>
    <row r="700" spans="1:48" x14ac:dyDescent="0.25">
      <c r="A700" s="1">
        <v>39508</v>
      </c>
      <c r="B700" s="2">
        <f>[2]Indicators!G582</f>
        <v>10043.764000000001</v>
      </c>
      <c r="C700" s="2">
        <f>[2]Indicators!H582</f>
        <v>1152.2840000000001</v>
      </c>
      <c r="D700" s="2">
        <f>[2]Indicators!I582</f>
        <v>2280.4369999999999</v>
      </c>
      <c r="E700" s="2">
        <f>[2]Indicators!J582</f>
        <v>6611.0439999999999</v>
      </c>
      <c r="F700" s="2">
        <f>[2]Indicators!B582</f>
        <v>9283.4570000000003</v>
      </c>
      <c r="G700" s="2">
        <f>[2]Indicators!C582</f>
        <v>1208.836</v>
      </c>
      <c r="H700" s="2">
        <f>[2]Indicators!D582</f>
        <v>2042.001</v>
      </c>
      <c r="I700" s="2">
        <f>[2]Indicators!E582</f>
        <v>6032.8379999999997</v>
      </c>
      <c r="J700" s="2">
        <f>[2]Indicators!L582</f>
        <v>336272</v>
      </c>
      <c r="K700" s="2">
        <f>[2]Indicators!M582</f>
        <v>175084</v>
      </c>
      <c r="L700" s="2">
        <f>[2]Indicators!N582</f>
        <v>15.200000000000001</v>
      </c>
      <c r="M700" s="2">
        <f>[2]Indicators!AB582</f>
        <v>99.773800000000008</v>
      </c>
      <c r="N700" s="2">
        <f>[8]m!$C702</f>
        <v>2.61</v>
      </c>
      <c r="O700">
        <f>[9]Unemployment!$B582</f>
        <v>5.1000000000000005</v>
      </c>
      <c r="P700" s="2">
        <f>[2]Surveys_m!$B582</f>
        <v>65.900000000000006</v>
      </c>
      <c r="Q700">
        <f>[5]m!$B702</f>
        <v>213.464</v>
      </c>
      <c r="R700">
        <f>[5]m!$D702</f>
        <v>214.309</v>
      </c>
      <c r="S700">
        <f>[5]m!$Q702</f>
        <v>187.9</v>
      </c>
      <c r="T700">
        <f>[6]m!B702</f>
        <v>-48212</v>
      </c>
      <c r="U700" s="2">
        <f>[9]Unemployment!$F582</f>
        <v>16.5</v>
      </c>
      <c r="V700" s="2">
        <f>[9]Unemployment!$G582</f>
        <v>8.6</v>
      </c>
      <c r="W700">
        <f>[9]Unemployment!$E582</f>
        <v>7781</v>
      </c>
      <c r="X700">
        <f>[9]Unemployment!N582</f>
        <v>2795</v>
      </c>
      <c r="Y700">
        <f>[9]Unemployment!O582</f>
        <v>2512</v>
      </c>
      <c r="Z700">
        <f>[9]Unemployment!P582-[9]Unemployment!Q582</f>
        <v>1162</v>
      </c>
      <c r="AA700">
        <f>[9]Unemployment!$Q582</f>
        <v>1314</v>
      </c>
      <c r="AB700" s="2">
        <f>[8]m!$B702</f>
        <v>1.36</v>
      </c>
      <c r="AC700" s="2">
        <f>[8]m!$F702</f>
        <v>3.5100000000000002</v>
      </c>
      <c r="AD700">
        <f>[9]Employment!$B582</f>
        <v>137841</v>
      </c>
      <c r="AE700" s="2">
        <f>[2]Indicators!$AB582</f>
        <v>99.773800000000008</v>
      </c>
      <c r="AF700" s="2">
        <f>[8]m!$AS702</f>
        <v>2554</v>
      </c>
      <c r="AG700" s="2">
        <f>[8]m!$H702</f>
        <v>5.51</v>
      </c>
      <c r="AH700" s="2">
        <f>[8]m!$I702</f>
        <v>6.8900000000000006</v>
      </c>
      <c r="AI700" s="2">
        <f>[7]m!C701</f>
        <v>152571</v>
      </c>
      <c r="AJ700" s="2">
        <f>[7]m!D701</f>
        <v>215830</v>
      </c>
      <c r="AK700" s="2">
        <f>[2]Surveys_m!$AB582</f>
        <v>49</v>
      </c>
      <c r="AL700" s="3">
        <f>[9]Employment!$AZ582</f>
        <v>4064</v>
      </c>
      <c r="AM700">
        <f>[2]Indicators!$BB582</f>
        <v>216771</v>
      </c>
      <c r="AN700" s="2">
        <v>90.2</v>
      </c>
      <c r="AO700">
        <f>[9]Unemployment!H582</f>
        <v>401</v>
      </c>
      <c r="AP700">
        <f>[9]Unemployment!I582</f>
        <v>951</v>
      </c>
      <c r="AQ700" s="3">
        <f>[9]LaborForce!$B581*[9]LaborForce!$C581/100</f>
        <v>154009.69500000001</v>
      </c>
      <c r="AR700">
        <f>[9]Unemployment!$AC582</f>
        <v>343</v>
      </c>
      <c r="AS700">
        <f>[2]Indicators!BC582</f>
        <v>102.4</v>
      </c>
      <c r="AT700">
        <f>[2]Indicators!BD582</f>
        <v>100.9222</v>
      </c>
      <c r="AU700">
        <f>[2]Indicators!BE582</f>
        <v>101.8639</v>
      </c>
      <c r="AV700">
        <f>[5]m!$O702</f>
        <v>186.12</v>
      </c>
    </row>
    <row r="701" spans="1:48" x14ac:dyDescent="0.25">
      <c r="A701" s="1">
        <v>39539</v>
      </c>
      <c r="B701" s="2">
        <f>[2]Indicators!G583</f>
        <v>10081.51</v>
      </c>
      <c r="C701" s="2">
        <f>[2]Indicators!H583</f>
        <v>1151.434</v>
      </c>
      <c r="D701" s="2">
        <f>[2]Indicators!I583</f>
        <v>2291.3090000000002</v>
      </c>
      <c r="E701" s="2">
        <f>[2]Indicators!J583</f>
        <v>6638.7660000000005</v>
      </c>
      <c r="F701" s="2">
        <f>[2]Indicators!B583</f>
        <v>9289.2620000000006</v>
      </c>
      <c r="G701" s="2">
        <f>[2]Indicators!C583</f>
        <v>1212.626</v>
      </c>
      <c r="H701" s="2">
        <f>[2]Indicators!D583</f>
        <v>2040.1980000000001</v>
      </c>
      <c r="I701" s="2">
        <f>[2]Indicators!E583</f>
        <v>6037.2139999999999</v>
      </c>
      <c r="J701" s="2">
        <f>[2]Indicators!L583</f>
        <v>337817</v>
      </c>
      <c r="K701" s="2">
        <f>[2]Indicators!M583</f>
        <v>175455</v>
      </c>
      <c r="L701" s="2">
        <f>[2]Indicators!N583</f>
        <v>14.829000000000001</v>
      </c>
      <c r="M701" s="2">
        <f>[2]Indicators!AB583</f>
        <v>98.90570000000001</v>
      </c>
      <c r="N701" s="2">
        <f>[8]m!$C703</f>
        <v>2.2800000000000002</v>
      </c>
      <c r="O701">
        <f>[9]Unemployment!$B583</f>
        <v>4.9000000000000004</v>
      </c>
      <c r="P701" s="2">
        <f>[2]Surveys_m!$B583</f>
        <v>62.800000000000004</v>
      </c>
      <c r="Q701">
        <f>[5]m!$B703</f>
        <v>214.11799999999999</v>
      </c>
      <c r="R701">
        <f>[5]m!$D703</f>
        <v>214.49600000000001</v>
      </c>
      <c r="S701">
        <f>[5]m!$Q703</f>
        <v>190.9</v>
      </c>
      <c r="T701">
        <f>[6]m!B703</f>
        <v>159282</v>
      </c>
      <c r="U701" s="2">
        <f>[9]Unemployment!$F583</f>
        <v>16.900000000000002</v>
      </c>
      <c r="V701" s="2">
        <f>[9]Unemployment!$G583</f>
        <v>9.2000000000000011</v>
      </c>
      <c r="W701">
        <f>[9]Unemployment!$E583</f>
        <v>7606</v>
      </c>
      <c r="X701">
        <f>[9]Unemployment!N583</f>
        <v>2490</v>
      </c>
      <c r="Y701">
        <f>[9]Unemployment!O583</f>
        <v>2550</v>
      </c>
      <c r="Z701">
        <f>[9]Unemployment!P583-[9]Unemployment!Q583</f>
        <v>1302</v>
      </c>
      <c r="AA701">
        <f>[9]Unemployment!$Q583</f>
        <v>1367</v>
      </c>
      <c r="AB701" s="2">
        <f>[8]m!$B703</f>
        <v>1.41</v>
      </c>
      <c r="AC701" s="2">
        <f>[8]m!$F703</f>
        <v>3.68</v>
      </c>
      <c r="AD701">
        <f>[9]Employment!$B583</f>
        <v>137656</v>
      </c>
      <c r="AE701" s="2">
        <f>[2]Indicators!$AB583</f>
        <v>98.90570000000001</v>
      </c>
      <c r="AF701" s="2">
        <f>[8]m!$AS703</f>
        <v>2567.4</v>
      </c>
      <c r="AG701" s="2">
        <f>[8]m!$H703</f>
        <v>5.55</v>
      </c>
      <c r="AH701" s="2">
        <f>[8]m!$I703</f>
        <v>6.97</v>
      </c>
      <c r="AI701" s="2">
        <f>[7]m!C702</f>
        <v>152035</v>
      </c>
      <c r="AJ701" s="2">
        <f>[7]m!D702</f>
        <v>211272</v>
      </c>
      <c r="AK701" s="2">
        <f>[2]Surveys_m!$AB583</f>
        <v>48.800000000000004</v>
      </c>
      <c r="AL701" s="3">
        <f>[9]Employment!$AZ583</f>
        <v>3673</v>
      </c>
      <c r="AM701">
        <f>[2]Indicators!$BB583</f>
        <v>217697</v>
      </c>
      <c r="AN701" s="2">
        <v>87.7</v>
      </c>
      <c r="AO701">
        <f>[9]Unemployment!H583</f>
        <v>412</v>
      </c>
      <c r="AP701">
        <f>[9]Unemployment!I583</f>
        <v>1002</v>
      </c>
      <c r="AQ701" s="3">
        <f>[9]LaborForce!$B582*[9]LaborForce!$C582/100</f>
        <v>153677.48200000002</v>
      </c>
      <c r="AR701">
        <f>[9]Unemployment!$AC583</f>
        <v>382</v>
      </c>
      <c r="AS701">
        <f>[2]Indicators!BC583</f>
        <v>102.3</v>
      </c>
      <c r="AT701">
        <f>[2]Indicators!BD583</f>
        <v>100.53200000000001</v>
      </c>
      <c r="AU701">
        <f>[2]Indicators!BE583</f>
        <v>101.60650000000001</v>
      </c>
      <c r="AV701">
        <f>[5]m!$O703</f>
        <v>183.35</v>
      </c>
    </row>
    <row r="702" spans="1:48" x14ac:dyDescent="0.25">
      <c r="A702" s="1">
        <v>39569</v>
      </c>
      <c r="B702" s="2">
        <f>[2]Indicators!G584</f>
        <v>10121.726000000001</v>
      </c>
      <c r="C702" s="2">
        <f>[2]Indicators!H584</f>
        <v>1149.2529999999999</v>
      </c>
      <c r="D702" s="2">
        <f>[2]Indicators!I584</f>
        <v>2311.2800000000002</v>
      </c>
      <c r="E702" s="2">
        <f>[2]Indicators!J584</f>
        <v>6661.192</v>
      </c>
      <c r="F702" s="2">
        <f>[2]Indicators!B584</f>
        <v>9287.6049999999996</v>
      </c>
      <c r="G702" s="2">
        <f>[2]Indicators!C584</f>
        <v>1213.395</v>
      </c>
      <c r="H702" s="2">
        <f>[2]Indicators!D584</f>
        <v>2042.5910000000001</v>
      </c>
      <c r="I702" s="2">
        <f>[2]Indicators!E584</f>
        <v>6032.518</v>
      </c>
      <c r="J702" s="2">
        <f>[2]Indicators!L584</f>
        <v>338765</v>
      </c>
      <c r="K702" s="2">
        <f>[2]Indicators!M584</f>
        <v>175039</v>
      </c>
      <c r="L702" s="2">
        <f>[2]Indicators!N584</f>
        <v>14.489000000000001</v>
      </c>
      <c r="M702" s="2">
        <f>[2]Indicators!AB584</f>
        <v>98.33550000000001</v>
      </c>
      <c r="N702" s="2">
        <f>[8]m!$C704</f>
        <v>1.98</v>
      </c>
      <c r="O702">
        <f>[9]Unemployment!$B584</f>
        <v>5.4</v>
      </c>
      <c r="P702" s="2">
        <f>[2]Surveys_m!$B584</f>
        <v>58.1</v>
      </c>
      <c r="Q702">
        <f>[5]m!$B704</f>
        <v>215.304</v>
      </c>
      <c r="R702">
        <f>[5]m!$D704</f>
        <v>214.93800000000002</v>
      </c>
      <c r="S702">
        <f>[5]m!$Q704</f>
        <v>196.60000000000002</v>
      </c>
      <c r="T702">
        <f>[6]m!B704</f>
        <v>-165927</v>
      </c>
      <c r="U702" s="2">
        <f>[9]Unemployment!$F584</f>
        <v>16.7</v>
      </c>
      <c r="V702" s="2">
        <f>[9]Unemployment!$G584</f>
        <v>7.9</v>
      </c>
      <c r="W702">
        <f>[9]Unemployment!$E584</f>
        <v>8398</v>
      </c>
      <c r="X702">
        <f>[9]Unemployment!N584</f>
        <v>3270</v>
      </c>
      <c r="Y702">
        <f>[9]Unemployment!O584</f>
        <v>2455</v>
      </c>
      <c r="Z702">
        <f>[9]Unemployment!P584-[9]Unemployment!Q584</f>
        <v>1202</v>
      </c>
      <c r="AA702">
        <f>[9]Unemployment!$Q584</f>
        <v>1571</v>
      </c>
      <c r="AB702" s="2">
        <f>[8]m!$B704</f>
        <v>1.85</v>
      </c>
      <c r="AC702" s="2">
        <f>[8]m!$F704</f>
        <v>3.88</v>
      </c>
      <c r="AD702">
        <f>[9]Employment!$B584</f>
        <v>137423</v>
      </c>
      <c r="AE702" s="2">
        <f>[2]Indicators!$AB584</f>
        <v>98.33550000000001</v>
      </c>
      <c r="AF702" s="2">
        <f>[8]m!$AS704</f>
        <v>2568.7000000000003</v>
      </c>
      <c r="AG702" s="2">
        <f>[8]m!$H704</f>
        <v>5.57</v>
      </c>
      <c r="AH702" s="2">
        <f>[8]m!$I704</f>
        <v>6.93</v>
      </c>
      <c r="AI702" s="2">
        <f>[7]m!C703</f>
        <v>156571</v>
      </c>
      <c r="AJ702" s="2">
        <f>[7]m!D703</f>
        <v>219212</v>
      </c>
      <c r="AK702" s="2">
        <f>[2]Surveys_m!$AB584</f>
        <v>48.800000000000004</v>
      </c>
      <c r="AL702" s="3">
        <f>[9]Employment!$AZ584</f>
        <v>3931</v>
      </c>
      <c r="AM702">
        <f>[2]Indicators!$BB584</f>
        <v>215278</v>
      </c>
      <c r="AN702" s="2">
        <v>88.8</v>
      </c>
      <c r="AO702">
        <f>[9]Unemployment!H584</f>
        <v>400</v>
      </c>
      <c r="AP702">
        <f>[9]Unemployment!I584</f>
        <v>1016</v>
      </c>
      <c r="AQ702" s="3">
        <f>[9]LaborForce!$B583*[9]LaborForce!$C583/100</f>
        <v>154280.70500000002</v>
      </c>
      <c r="AR702">
        <f>[9]Unemployment!$AC584</f>
        <v>374</v>
      </c>
      <c r="AS702">
        <f>[2]Indicators!BC584</f>
        <v>102.10000000000001</v>
      </c>
      <c r="AT702">
        <f>[2]Indicators!BD584</f>
        <v>99.998900000000006</v>
      </c>
      <c r="AU702">
        <f>[2]Indicators!BE584</f>
        <v>101.20870000000001</v>
      </c>
      <c r="AV702">
        <f>[5]m!$O704</f>
        <v>181.56</v>
      </c>
    </row>
    <row r="703" spans="1:48" x14ac:dyDescent="0.25">
      <c r="A703" s="1">
        <v>39600</v>
      </c>
      <c r="B703" s="2">
        <f>[2]Indicators!G585</f>
        <v>10176.223</v>
      </c>
      <c r="C703" s="2">
        <f>[2]Indicators!H585</f>
        <v>1139.0219999999999</v>
      </c>
      <c r="D703" s="2">
        <f>[2]Indicators!I585</f>
        <v>2358.2739999999999</v>
      </c>
      <c r="E703" s="2">
        <f>[2]Indicators!J585</f>
        <v>6678.9279999999999</v>
      </c>
      <c r="F703" s="2">
        <f>[2]Indicators!B585</f>
        <v>9280.4719999999998</v>
      </c>
      <c r="G703" s="2">
        <f>[2]Indicators!C585</f>
        <v>1203.3030000000001</v>
      </c>
      <c r="H703" s="2">
        <f>[2]Indicators!D585</f>
        <v>2047.7160000000001</v>
      </c>
      <c r="I703" s="2">
        <f>[2]Indicators!E585</f>
        <v>6028.83</v>
      </c>
      <c r="J703" s="2">
        <f>[2]Indicators!L585</f>
        <v>339708</v>
      </c>
      <c r="K703" s="2">
        <f>[2]Indicators!M585</f>
        <v>173956</v>
      </c>
      <c r="L703" s="2">
        <f>[2]Indicators!N585</f>
        <v>14.228</v>
      </c>
      <c r="M703" s="2">
        <f>[2]Indicators!AB585</f>
        <v>98.07050000000001</v>
      </c>
      <c r="N703" s="2">
        <f>[8]m!$C705</f>
        <v>2</v>
      </c>
      <c r="O703">
        <f>[9]Unemployment!$B585</f>
        <v>5.6000000000000005</v>
      </c>
      <c r="P703" s="2">
        <f>[2]Surveys_m!$B585</f>
        <v>51</v>
      </c>
      <c r="Q703">
        <f>[5]m!$B705</f>
        <v>217.23500000000001</v>
      </c>
      <c r="R703">
        <f>[5]m!$D705</f>
        <v>215.48600000000002</v>
      </c>
      <c r="S703">
        <f>[5]m!$Q705</f>
        <v>200.5</v>
      </c>
      <c r="T703">
        <f>[6]m!B705</f>
        <v>33547</v>
      </c>
      <c r="U703" s="2">
        <f>[9]Unemployment!$F585</f>
        <v>17.2</v>
      </c>
      <c r="V703" s="2">
        <f>[9]Unemployment!$G585</f>
        <v>9.1</v>
      </c>
      <c r="W703">
        <f>[9]Unemployment!$E585</f>
        <v>8590</v>
      </c>
      <c r="X703">
        <f>[9]Unemployment!N585</f>
        <v>2759</v>
      </c>
      <c r="Y703">
        <f>[9]Unemployment!O585</f>
        <v>3005</v>
      </c>
      <c r="Z703">
        <f>[9]Unemployment!P585-[9]Unemployment!Q585</f>
        <v>1321</v>
      </c>
      <c r="AA703">
        <f>[9]Unemployment!$Q585</f>
        <v>1589</v>
      </c>
      <c r="AB703" s="2">
        <f>[8]m!$B705</f>
        <v>1.87</v>
      </c>
      <c r="AC703" s="2">
        <f>[8]m!$F705</f>
        <v>4.0999999999999996</v>
      </c>
      <c r="AD703">
        <f>[9]Employment!$B585</f>
        <v>137245</v>
      </c>
      <c r="AE703" s="2">
        <f>[2]Indicators!$AB585</f>
        <v>98.07050000000001</v>
      </c>
      <c r="AF703" s="2">
        <f>[8]m!$AS705</f>
        <v>2576.6000000000004</v>
      </c>
      <c r="AG703" s="2">
        <f>[8]m!$H705</f>
        <v>5.68</v>
      </c>
      <c r="AH703" s="2">
        <f>[8]m!$I705</f>
        <v>7.07</v>
      </c>
      <c r="AI703" s="2">
        <f>[7]m!C704</f>
        <v>158605</v>
      </c>
      <c r="AJ703" s="2">
        <f>[7]m!D704</f>
        <v>219882</v>
      </c>
      <c r="AK703" s="2">
        <f>[2]Surveys_m!$AB585</f>
        <v>49</v>
      </c>
      <c r="AL703" s="3">
        <f>[9]Employment!$AZ585</f>
        <v>3681</v>
      </c>
      <c r="AM703">
        <f>[2]Indicators!$BB585</f>
        <v>214023</v>
      </c>
      <c r="AN703" s="2">
        <v>87.1</v>
      </c>
      <c r="AO703">
        <f>[9]Unemployment!H585</f>
        <v>420</v>
      </c>
      <c r="AP703">
        <f>[9]Unemployment!I585</f>
        <v>1137</v>
      </c>
      <c r="AQ703" s="3">
        <f>[9]LaborForce!$B584*[9]LaborForce!$C584/100</f>
        <v>154427.44700000001</v>
      </c>
      <c r="AR703">
        <f>[9]Unemployment!$AC585</f>
        <v>365</v>
      </c>
      <c r="AS703">
        <f>[2]Indicators!BC585</f>
        <v>102.2</v>
      </c>
      <c r="AT703">
        <f>[2]Indicators!BD585</f>
        <v>99.218600000000009</v>
      </c>
      <c r="AU703">
        <f>[2]Indicators!BE585</f>
        <v>100.56320000000001</v>
      </c>
      <c r="AV703">
        <f>[5]m!$O705</f>
        <v>180.52</v>
      </c>
    </row>
    <row r="704" spans="1:48" x14ac:dyDescent="0.25">
      <c r="A704" s="1">
        <v>39630</v>
      </c>
      <c r="B704" s="2">
        <f>[2]Indicators!G586</f>
        <v>10171.029</v>
      </c>
      <c r="C704" s="2">
        <f>[2]Indicators!H586</f>
        <v>1112.2540000000001</v>
      </c>
      <c r="D704" s="2">
        <f>[2]Indicators!I586</f>
        <v>2375.056</v>
      </c>
      <c r="E704" s="2">
        <f>[2]Indicators!J586</f>
        <v>6683.7190000000001</v>
      </c>
      <c r="F704" s="2">
        <f>[2]Indicators!B586</f>
        <v>9226.3680000000004</v>
      </c>
      <c r="G704" s="2">
        <f>[2]Indicators!C586</f>
        <v>1174.3689999999999</v>
      </c>
      <c r="H704" s="2">
        <f>[2]Indicators!D586</f>
        <v>2031.0710000000001</v>
      </c>
      <c r="I704" s="2">
        <f>[2]Indicators!E586</f>
        <v>6017.2880000000005</v>
      </c>
      <c r="J704" s="2">
        <f>[2]Indicators!L586</f>
        <v>337305</v>
      </c>
      <c r="K704" s="2">
        <f>[2]Indicators!M586</f>
        <v>171371</v>
      </c>
      <c r="L704" s="2">
        <f>[2]Indicators!N586</f>
        <v>12.961</v>
      </c>
      <c r="M704" s="2">
        <f>[2]Indicators!AB586</f>
        <v>97.7119</v>
      </c>
      <c r="N704" s="2">
        <f>[8]m!$C706</f>
        <v>2.0100000000000002</v>
      </c>
      <c r="O704">
        <f>[9]Unemployment!$B586</f>
        <v>5.8000000000000007</v>
      </c>
      <c r="P704" s="2">
        <f>[2]Surveys_m!$B586</f>
        <v>51.900000000000006</v>
      </c>
      <c r="Q704">
        <f>[5]m!$B706</f>
        <v>219.13300000000001</v>
      </c>
      <c r="R704">
        <f>[5]m!$D706</f>
        <v>216.09399999999999</v>
      </c>
      <c r="S704">
        <f>[5]m!$Q706</f>
        <v>205.5</v>
      </c>
      <c r="T704">
        <f>[6]m!B706</f>
        <v>-102767</v>
      </c>
      <c r="U704" s="2">
        <f>[9]Unemployment!$F586</f>
        <v>17</v>
      </c>
      <c r="V704" s="2">
        <f>[9]Unemployment!$G586</f>
        <v>9.6000000000000014</v>
      </c>
      <c r="W704">
        <f>[9]Unemployment!$E586</f>
        <v>8953</v>
      </c>
      <c r="X704">
        <f>[9]Unemployment!N586</f>
        <v>2856</v>
      </c>
      <c r="Y704">
        <f>[9]Unemployment!O586</f>
        <v>2860</v>
      </c>
      <c r="Z704">
        <f>[9]Unemployment!P586-[9]Unemployment!Q586</f>
        <v>1444</v>
      </c>
      <c r="AA704">
        <f>[9]Unemployment!$Q586</f>
        <v>1673</v>
      </c>
      <c r="AB704" s="2">
        <f>[8]m!$B706</f>
        <v>1.6500000000000001</v>
      </c>
      <c r="AC704" s="2">
        <f>[8]m!$F706</f>
        <v>4.01</v>
      </c>
      <c r="AD704">
        <f>[9]Employment!$B586</f>
        <v>137014</v>
      </c>
      <c r="AE704" s="2">
        <f>[2]Indicators!$AB586</f>
        <v>97.7119</v>
      </c>
      <c r="AF704" s="2">
        <f>[8]m!$AS706</f>
        <v>2581.5</v>
      </c>
      <c r="AG704" s="2">
        <f>[8]m!$H706</f>
        <v>5.67</v>
      </c>
      <c r="AH704" s="2">
        <f>[8]m!$I706</f>
        <v>7.16</v>
      </c>
      <c r="AI704" s="2">
        <f>[7]m!C705</f>
        <v>163598</v>
      </c>
      <c r="AJ704" s="2">
        <f>[7]m!D705</f>
        <v>223526</v>
      </c>
      <c r="AK704" s="2">
        <f>[2]Surveys_m!$AB586</f>
        <v>49.6</v>
      </c>
      <c r="AL704" s="3">
        <f>[9]Employment!$AZ586</f>
        <v>3556</v>
      </c>
      <c r="AM704">
        <f>[2]Indicators!$BB586</f>
        <v>213461</v>
      </c>
      <c r="AN704" s="2">
        <v>83.6</v>
      </c>
      <c r="AO704">
        <f>[9]Unemployment!H586</f>
        <v>461</v>
      </c>
      <c r="AP704">
        <f>[9]Unemployment!I586</f>
        <v>1112</v>
      </c>
      <c r="AQ704" s="3">
        <f>[9]LaborForce!$B585*[9]LaborForce!$C585/100</f>
        <v>154350.24</v>
      </c>
      <c r="AR704">
        <f>[9]Unemployment!$AC586</f>
        <v>395</v>
      </c>
      <c r="AS704">
        <f>[2]Indicators!BC586</f>
        <v>101.10000000000001</v>
      </c>
      <c r="AT704">
        <f>[2]Indicators!BD586</f>
        <v>98.094200000000001</v>
      </c>
      <c r="AU704">
        <f>[2]Indicators!BE586</f>
        <v>99.569800000000001</v>
      </c>
      <c r="AV704">
        <f>[5]m!$O706</f>
        <v>178.67000000000002</v>
      </c>
    </row>
    <row r="705" spans="1:48" x14ac:dyDescent="0.25">
      <c r="A705" s="1">
        <v>39661</v>
      </c>
      <c r="B705" s="2">
        <f>[2]Indicators!G587</f>
        <v>10143.813</v>
      </c>
      <c r="C705" s="2">
        <f>[2]Indicators!H587</f>
        <v>1124.3220000000001</v>
      </c>
      <c r="D705" s="2">
        <f>[2]Indicators!I587</f>
        <v>2351.4940000000001</v>
      </c>
      <c r="E705" s="2">
        <f>[2]Indicators!J587</f>
        <v>6667.9970000000003</v>
      </c>
      <c r="F705" s="2">
        <f>[2]Indicators!B587</f>
        <v>9209.7540000000008</v>
      </c>
      <c r="G705" s="2">
        <f>[2]Indicators!C587</f>
        <v>1189.2239999999999</v>
      </c>
      <c r="H705" s="2">
        <f>[2]Indicators!D587</f>
        <v>2022.9870000000001</v>
      </c>
      <c r="I705" s="2">
        <f>[2]Indicators!E587</f>
        <v>5996.6019999999999</v>
      </c>
      <c r="J705" s="2">
        <f>[2]Indicators!L587</f>
        <v>335807</v>
      </c>
      <c r="K705" s="2">
        <f>[2]Indicators!M587</f>
        <v>170941</v>
      </c>
      <c r="L705" s="2">
        <f>[2]Indicators!N587</f>
        <v>13.839</v>
      </c>
      <c r="M705" s="2">
        <f>[2]Indicators!AB587</f>
        <v>96.062700000000007</v>
      </c>
      <c r="N705" s="2">
        <f>[8]m!$C707</f>
        <v>2</v>
      </c>
      <c r="O705">
        <f>[9]Unemployment!$B587</f>
        <v>6.1000000000000005</v>
      </c>
      <c r="P705" s="2">
        <f>[2]Surveys_m!$B587</f>
        <v>58.5</v>
      </c>
      <c r="Q705">
        <f>[5]m!$B707</f>
        <v>218.78</v>
      </c>
      <c r="R705">
        <f>[5]m!$D707</f>
        <v>216.50200000000001</v>
      </c>
      <c r="S705">
        <f>[5]m!$Q707</f>
        <v>199</v>
      </c>
      <c r="T705">
        <f>[6]m!B707</f>
        <v>-111914</v>
      </c>
      <c r="U705" s="2">
        <f>[9]Unemployment!$F587</f>
        <v>17.7</v>
      </c>
      <c r="V705" s="2">
        <f>[9]Unemployment!$G587</f>
        <v>9.6000000000000014</v>
      </c>
      <c r="W705">
        <f>[9]Unemployment!$E587</f>
        <v>9489</v>
      </c>
      <c r="X705">
        <f>[9]Unemployment!N587</f>
        <v>3295</v>
      </c>
      <c r="Y705">
        <f>[9]Unemployment!O587</f>
        <v>2775</v>
      </c>
      <c r="Z705">
        <f>[9]Unemployment!P587-[9]Unemployment!Q587</f>
        <v>1566</v>
      </c>
      <c r="AA705">
        <f>[9]Unemployment!$Q587</f>
        <v>1868</v>
      </c>
      <c r="AB705" s="2">
        <f>[8]m!$B707</f>
        <v>1.69</v>
      </c>
      <c r="AC705" s="2">
        <f>[8]m!$F707</f>
        <v>3.89</v>
      </c>
      <c r="AD705">
        <f>[9]Employment!$B587</f>
        <v>136747</v>
      </c>
      <c r="AE705" s="2">
        <f>[2]Indicators!$AB587</f>
        <v>96.062700000000007</v>
      </c>
      <c r="AF705" s="2">
        <f>[8]m!$AS707</f>
        <v>2572.7000000000003</v>
      </c>
      <c r="AG705" s="2">
        <f>[8]m!$H707</f>
        <v>5.64</v>
      </c>
      <c r="AH705" s="2">
        <f>[8]m!$I707</f>
        <v>7.15</v>
      </c>
      <c r="AI705" s="2">
        <f>[7]m!C706</f>
        <v>165904</v>
      </c>
      <c r="AJ705" s="2">
        <f>[7]m!D706</f>
        <v>231647</v>
      </c>
      <c r="AK705" s="2">
        <f>[2]Surveys_m!$AB587</f>
        <v>48</v>
      </c>
      <c r="AL705" s="3">
        <f>[9]Employment!$AZ587</f>
        <v>3516</v>
      </c>
      <c r="AM705">
        <f>[2]Indicators!$BB587</f>
        <v>201715</v>
      </c>
      <c r="AN705" s="2">
        <v>80.3</v>
      </c>
      <c r="AO705">
        <f>[9]Unemployment!H587</f>
        <v>381</v>
      </c>
      <c r="AP705">
        <f>[9]Unemployment!I587</f>
        <v>1259</v>
      </c>
      <c r="AQ705" s="3">
        <f>[9]LaborForce!$B586*[9]LaborForce!$C586/100</f>
        <v>154744.72700000001</v>
      </c>
      <c r="AR705">
        <f>[9]Unemployment!$AC587</f>
        <v>447</v>
      </c>
      <c r="AS705">
        <f>[2]Indicators!BC587</f>
        <v>100.3</v>
      </c>
      <c r="AT705">
        <f>[2]Indicators!BD587</f>
        <v>96.571200000000005</v>
      </c>
      <c r="AU705">
        <f>[2]Indicators!BE587</f>
        <v>98.171599999999998</v>
      </c>
      <c r="AV705">
        <f>[5]m!$O707</f>
        <v>176.71</v>
      </c>
    </row>
    <row r="706" spans="1:48" x14ac:dyDescent="0.25">
      <c r="A706" s="1">
        <v>39692</v>
      </c>
      <c r="B706" s="2">
        <f>[2]Indicators!G588</f>
        <v>10092.496999999999</v>
      </c>
      <c r="C706" s="2">
        <f>[2]Indicators!H588</f>
        <v>1083.33</v>
      </c>
      <c r="D706" s="2">
        <f>[2]Indicators!I588</f>
        <v>2321.7780000000002</v>
      </c>
      <c r="E706" s="2">
        <f>[2]Indicators!J588</f>
        <v>6687.3890000000001</v>
      </c>
      <c r="F706" s="2">
        <f>[2]Indicators!B588</f>
        <v>9151.7690000000002</v>
      </c>
      <c r="G706" s="2">
        <f>[2]Indicators!C588</f>
        <v>1148.7350000000001</v>
      </c>
      <c r="H706" s="2">
        <f>[2]Indicators!D588</f>
        <v>1992.24</v>
      </c>
      <c r="I706" s="2">
        <f>[2]Indicators!E588</f>
        <v>6005.6170000000002</v>
      </c>
      <c r="J706" s="2">
        <f>[2]Indicators!L588</f>
        <v>329799</v>
      </c>
      <c r="K706" s="2">
        <f>[2]Indicators!M588</f>
        <v>168226</v>
      </c>
      <c r="L706" s="2">
        <f>[2]Indicators!N588</f>
        <v>12.951000000000001</v>
      </c>
      <c r="M706" s="2">
        <f>[2]Indicators!AB588</f>
        <v>92.087600000000009</v>
      </c>
      <c r="N706" s="2">
        <f>[8]m!$C708</f>
        <v>1.81</v>
      </c>
      <c r="O706">
        <f>[9]Unemployment!$B588</f>
        <v>6.2</v>
      </c>
      <c r="P706" s="2">
        <f>[2]Surveys_m!$B588</f>
        <v>61.400000000000006</v>
      </c>
      <c r="Q706">
        <f>[5]m!$B708</f>
        <v>218.852</v>
      </c>
      <c r="R706">
        <f>[5]m!$D708</f>
        <v>216.77600000000001</v>
      </c>
      <c r="S706">
        <f>[5]m!$Q708</f>
        <v>196.9</v>
      </c>
      <c r="T706">
        <f>[6]m!B708</f>
        <v>45734</v>
      </c>
      <c r="U706" s="2">
        <f>[9]Unemployment!$F588</f>
        <v>18.600000000000001</v>
      </c>
      <c r="V706" s="2">
        <f>[9]Unemployment!$G588</f>
        <v>10.3</v>
      </c>
      <c r="W706">
        <f>[9]Unemployment!$E588</f>
        <v>9557</v>
      </c>
      <c r="X706">
        <f>[9]Unemployment!N588</f>
        <v>2881</v>
      </c>
      <c r="Y706">
        <f>[9]Unemployment!O588</f>
        <v>3049</v>
      </c>
      <c r="Z706">
        <f>[9]Unemployment!P588-[9]Unemployment!Q588</f>
        <v>1612</v>
      </c>
      <c r="AA706">
        <f>[9]Unemployment!$Q588</f>
        <v>2030</v>
      </c>
      <c r="AB706" s="2">
        <f>[8]m!$B708</f>
        <v>0.9</v>
      </c>
      <c r="AC706" s="2">
        <f>[8]m!$F708</f>
        <v>3.69</v>
      </c>
      <c r="AD706">
        <f>[9]Employment!$B588</f>
        <v>136313</v>
      </c>
      <c r="AE706" s="2">
        <f>[2]Indicators!$AB588</f>
        <v>92.087600000000009</v>
      </c>
      <c r="AF706" s="2">
        <f>[8]m!$AS708</f>
        <v>2575.1000000000004</v>
      </c>
      <c r="AG706" s="2">
        <f>[8]m!$H708</f>
        <v>5.65</v>
      </c>
      <c r="AH706" s="2">
        <f>[8]m!$I708</f>
        <v>7.3100000000000005</v>
      </c>
      <c r="AI706" s="2">
        <f>[7]m!C707</f>
        <v>163356</v>
      </c>
      <c r="AJ706" s="2">
        <f>[7]m!D707</f>
        <v>224256</v>
      </c>
      <c r="AK706" s="2">
        <f>[2]Surveys_m!$AB588</f>
        <v>43.800000000000004</v>
      </c>
      <c r="AL706" s="3">
        <f>[9]Employment!$AZ588</f>
        <v>3161</v>
      </c>
      <c r="AM706">
        <f>[2]Indicators!$BB588</f>
        <v>194891</v>
      </c>
      <c r="AN706" s="2">
        <v>75.7</v>
      </c>
      <c r="AO706">
        <f>[9]Unemployment!H588</f>
        <v>467</v>
      </c>
      <c r="AP706">
        <f>[9]Unemployment!I588</f>
        <v>1137</v>
      </c>
      <c r="AQ706" s="3">
        <f>[9]LaborForce!$B587*[9]LaborForce!$C587/100</f>
        <v>154677.6</v>
      </c>
      <c r="AR706">
        <f>[9]Unemployment!$AC588</f>
        <v>443</v>
      </c>
      <c r="AS706">
        <f>[2]Indicators!BC588</f>
        <v>100.2</v>
      </c>
      <c r="AT706">
        <f>[2]Indicators!BD588</f>
        <v>94.666800000000009</v>
      </c>
      <c r="AU706">
        <f>[2]Indicators!BE588</f>
        <v>96.383400000000009</v>
      </c>
      <c r="AV706">
        <f>[5]m!$O708</f>
        <v>173.35</v>
      </c>
    </row>
    <row r="707" spans="1:48" x14ac:dyDescent="0.25">
      <c r="A707" s="1">
        <v>39722</v>
      </c>
      <c r="B707" s="2">
        <f>[2]Indicators!G589</f>
        <v>9992.1640000000007</v>
      </c>
      <c r="C707" s="2">
        <f>[2]Indicators!H589</f>
        <v>1033.3969999999999</v>
      </c>
      <c r="D707" s="2">
        <f>[2]Indicators!I589</f>
        <v>2270.404</v>
      </c>
      <c r="E707" s="2">
        <f>[2]Indicators!J589</f>
        <v>6688.3630000000003</v>
      </c>
      <c r="F707" s="2">
        <f>[2]Indicators!B589</f>
        <v>9107.4680000000008</v>
      </c>
      <c r="G707" s="2">
        <f>[2]Indicators!C589</f>
        <v>1097.556</v>
      </c>
      <c r="H707" s="2">
        <f>[2]Indicators!D589</f>
        <v>1996.934</v>
      </c>
      <c r="I707" s="2">
        <f>[2]Indicators!E589</f>
        <v>6000.2390000000005</v>
      </c>
      <c r="J707" s="2">
        <f>[2]Indicators!L589</f>
        <v>315543</v>
      </c>
      <c r="K707" s="2">
        <f>[2]Indicators!M589</f>
        <v>163065</v>
      </c>
      <c r="L707" s="2">
        <f>[2]Indicators!N589</f>
        <v>10.931000000000001</v>
      </c>
      <c r="M707" s="2">
        <f>[2]Indicators!AB589</f>
        <v>92.899900000000002</v>
      </c>
      <c r="N707" s="2">
        <f>[8]m!$C709</f>
        <v>0.97</v>
      </c>
      <c r="O707">
        <f>[9]Unemployment!$B589</f>
        <v>6.6000000000000005</v>
      </c>
      <c r="P707" s="2">
        <f>[2]Surveys_m!$B589</f>
        <v>38.800000000000004</v>
      </c>
      <c r="Q707">
        <f>[5]m!$B709</f>
        <v>216.93</v>
      </c>
      <c r="R707">
        <f>[5]m!$D709</f>
        <v>216.78700000000001</v>
      </c>
      <c r="S707">
        <f>[5]m!$Q709</f>
        <v>186.4</v>
      </c>
      <c r="T707">
        <f>[6]m!B709</f>
        <v>-155533</v>
      </c>
      <c r="U707" s="2">
        <f>[9]Unemployment!$F589</f>
        <v>19.900000000000002</v>
      </c>
      <c r="V707" s="2">
        <f>[9]Unemployment!$G589</f>
        <v>10.5</v>
      </c>
      <c r="W707">
        <f>[9]Unemployment!$E589</f>
        <v>10176</v>
      </c>
      <c r="X707">
        <f>[9]Unemployment!N589</f>
        <v>3166</v>
      </c>
      <c r="Y707">
        <f>[9]Unemployment!O589</f>
        <v>3079</v>
      </c>
      <c r="Z707">
        <f>[9]Unemployment!P589-[9]Unemployment!Q589</f>
        <v>1740</v>
      </c>
      <c r="AA707">
        <f>[9]Unemployment!$Q589</f>
        <v>2281</v>
      </c>
      <c r="AB707" s="2">
        <f>[8]m!$B709</f>
        <v>0.44</v>
      </c>
      <c r="AC707" s="2">
        <f>[8]m!$F709</f>
        <v>3.81</v>
      </c>
      <c r="AD707">
        <f>[9]Employment!$B589</f>
        <v>135804</v>
      </c>
      <c r="AE707" s="2">
        <f>[2]Indicators!$AB589</f>
        <v>92.899900000000002</v>
      </c>
      <c r="AF707" s="2">
        <f>[8]m!$AS709</f>
        <v>2571.4</v>
      </c>
      <c r="AG707" s="2">
        <f>[8]m!$H709</f>
        <v>6.28</v>
      </c>
      <c r="AH707" s="2">
        <f>[8]m!$I709</f>
        <v>8.8800000000000008</v>
      </c>
      <c r="AI707" s="2">
        <f>[7]m!C708</f>
        <v>153951</v>
      </c>
      <c r="AJ707" s="2">
        <f>[7]m!D708</f>
        <v>213442</v>
      </c>
      <c r="AK707" s="2">
        <f>[2]Surveys_m!$AB589</f>
        <v>39</v>
      </c>
      <c r="AL707" s="3">
        <f>[9]Employment!$AZ589</f>
        <v>3039</v>
      </c>
      <c r="AM707">
        <f>[2]Indicators!$BB589</f>
        <v>180396</v>
      </c>
      <c r="AN707" s="2">
        <v>73.3</v>
      </c>
      <c r="AO707">
        <f>[9]Unemployment!H589</f>
        <v>484</v>
      </c>
      <c r="AP707">
        <f>[9]Unemployment!I589</f>
        <v>1153</v>
      </c>
      <c r="AQ707" s="3">
        <f>[9]LaborForce!$B588*[9]LaborForce!$C588/100</f>
        <v>154843.92000000001</v>
      </c>
      <c r="AR707">
        <f>[9]Unemployment!$AC589</f>
        <v>483</v>
      </c>
      <c r="AS707">
        <f>[2]Indicators!BC589</f>
        <v>99.2</v>
      </c>
      <c r="AT707">
        <f>[2]Indicators!BD589</f>
        <v>92.501500000000007</v>
      </c>
      <c r="AU707">
        <f>[2]Indicators!BE589</f>
        <v>94.326000000000008</v>
      </c>
      <c r="AV707">
        <f>[5]m!$O709</f>
        <v>169.67000000000002</v>
      </c>
    </row>
    <row r="708" spans="1:48" x14ac:dyDescent="0.25">
      <c r="A708" s="1">
        <v>39753</v>
      </c>
      <c r="B708" s="2">
        <f>[2]Indicators!G590</f>
        <v>9846.9590000000007</v>
      </c>
      <c r="C708" s="2">
        <f>[2]Indicators!H590</f>
        <v>1022.08</v>
      </c>
      <c r="D708" s="2">
        <f>[2]Indicators!I590</f>
        <v>2145.3879999999999</v>
      </c>
      <c r="E708" s="2">
        <f>[2]Indicators!J590</f>
        <v>6679.491</v>
      </c>
      <c r="F708" s="2">
        <f>[2]Indicators!B590</f>
        <v>9084.5400000000009</v>
      </c>
      <c r="G708" s="2">
        <f>[2]Indicators!C590</f>
        <v>1091.1600000000001</v>
      </c>
      <c r="H708" s="2">
        <f>[2]Indicators!D590</f>
        <v>1990.26</v>
      </c>
      <c r="I708" s="2">
        <f>[2]Indicators!E590</f>
        <v>5989.7240000000002</v>
      </c>
      <c r="J708" s="2">
        <f>[2]Indicators!L590</f>
        <v>304483</v>
      </c>
      <c r="K708" s="2">
        <f>[2]Indicators!M590</f>
        <v>160859</v>
      </c>
      <c r="L708" s="2">
        <f>[2]Indicators!N590</f>
        <v>10.521000000000001</v>
      </c>
      <c r="M708" s="2">
        <f>[2]Indicators!AB590</f>
        <v>91.68480000000001</v>
      </c>
      <c r="N708" s="2">
        <f>[8]m!$C710</f>
        <v>0.39</v>
      </c>
      <c r="O708">
        <f>[9]Unemployment!$B590</f>
        <v>6.8000000000000007</v>
      </c>
      <c r="P708" s="2">
        <f>[2]Surveys_m!$B590</f>
        <v>44.7</v>
      </c>
      <c r="Q708">
        <f>[5]m!$B710</f>
        <v>213.00200000000001</v>
      </c>
      <c r="R708">
        <f>[5]m!$D710</f>
        <v>216.92099999999999</v>
      </c>
      <c r="S708">
        <f>[5]m!$Q710</f>
        <v>176.8</v>
      </c>
      <c r="T708">
        <f>[6]m!B710</f>
        <v>-125201</v>
      </c>
      <c r="U708" s="2">
        <f>[9]Unemployment!$F590</f>
        <v>18.8</v>
      </c>
      <c r="V708" s="2">
        <f>[9]Unemployment!$G590</f>
        <v>9.9</v>
      </c>
      <c r="W708">
        <f>[9]Unemployment!$E590</f>
        <v>10552</v>
      </c>
      <c r="X708">
        <f>[9]Unemployment!N590</f>
        <v>3309</v>
      </c>
      <c r="Y708">
        <f>[9]Unemployment!O590</f>
        <v>3276</v>
      </c>
      <c r="Z708">
        <f>[9]Unemployment!P590-[9]Unemployment!Q590</f>
        <v>1735</v>
      </c>
      <c r="AA708">
        <f>[9]Unemployment!$Q590</f>
        <v>2220</v>
      </c>
      <c r="AB708" s="2">
        <f>[8]m!$B710</f>
        <v>0.01</v>
      </c>
      <c r="AC708" s="2">
        <f>[8]m!$F710</f>
        <v>3.5300000000000002</v>
      </c>
      <c r="AD708">
        <f>[9]Employment!$B590</f>
        <v>135002</v>
      </c>
      <c r="AE708" s="2">
        <f>[2]Indicators!$AB590</f>
        <v>91.68480000000001</v>
      </c>
      <c r="AF708" s="2">
        <f>[8]m!$AS710</f>
        <v>2564.8000000000002</v>
      </c>
      <c r="AG708" s="2">
        <f>[8]m!$H710</f>
        <v>6.12</v>
      </c>
      <c r="AH708" s="2">
        <f>[8]m!$I710</f>
        <v>9.2100000000000009</v>
      </c>
      <c r="AI708" s="2">
        <f>[7]m!C709</f>
        <v>151503</v>
      </c>
      <c r="AJ708" s="2">
        <f>[7]m!D709</f>
        <v>211044</v>
      </c>
      <c r="AK708" s="2">
        <f>[2]Surveys_m!$AB590</f>
        <v>36.9</v>
      </c>
      <c r="AL708" s="3">
        <f>[9]Employment!$AZ590</f>
        <v>3034</v>
      </c>
      <c r="AM708">
        <f>[2]Indicators!$BB590</f>
        <v>172435</v>
      </c>
      <c r="AN708" s="2">
        <v>71.7</v>
      </c>
      <c r="AO708">
        <f>[9]Unemployment!H590</f>
        <v>608</v>
      </c>
      <c r="AP708">
        <f>[9]Unemployment!I590</f>
        <v>1339</v>
      </c>
      <c r="AQ708" s="3">
        <f>[9]LaborForce!$B589*[9]LaborForce!$C589/100</f>
        <v>154516.82399999999</v>
      </c>
      <c r="AR708">
        <f>[9]Unemployment!$AC590</f>
        <v>490</v>
      </c>
      <c r="AS708">
        <f>[2]Indicators!BC590</f>
        <v>98.5</v>
      </c>
      <c r="AT708">
        <f>[2]Indicators!BD590</f>
        <v>90.346699999999998</v>
      </c>
      <c r="AU708">
        <f>[2]Indicators!BE590</f>
        <v>92.273899999999998</v>
      </c>
      <c r="AV708">
        <f>[5]m!$O710</f>
        <v>165.95000000000002</v>
      </c>
    </row>
    <row r="709" spans="1:48" x14ac:dyDescent="0.25">
      <c r="A709" s="1">
        <v>39783</v>
      </c>
      <c r="B709" s="2">
        <f>[2]Indicators!G591</f>
        <v>9744.7990000000009</v>
      </c>
      <c r="C709" s="2">
        <f>[2]Indicators!H591</f>
        <v>1002.3290000000001</v>
      </c>
      <c r="D709" s="2">
        <f>[2]Indicators!I591</f>
        <v>2070.6579999999999</v>
      </c>
      <c r="E709" s="2">
        <f>[2]Indicators!J591</f>
        <v>6671.8119999999999</v>
      </c>
      <c r="F709" s="2">
        <f>[2]Indicators!B591</f>
        <v>9036.11</v>
      </c>
      <c r="G709" s="2">
        <f>[2]Indicators!C591</f>
        <v>1075.2160000000001</v>
      </c>
      <c r="H709" s="2">
        <f>[2]Indicators!D591</f>
        <v>1968.68</v>
      </c>
      <c r="I709" s="2">
        <f>[2]Indicators!E591</f>
        <v>5976.5569999999998</v>
      </c>
      <c r="J709" s="2">
        <f>[2]Indicators!L591</f>
        <v>295647</v>
      </c>
      <c r="K709" s="2">
        <f>[2]Indicators!M591</f>
        <v>157939</v>
      </c>
      <c r="L709" s="2">
        <f>[2]Indicators!N591</f>
        <v>10.372</v>
      </c>
      <c r="M709" s="2">
        <f>[2]Indicators!AB591</f>
        <v>89.333399999999997</v>
      </c>
      <c r="N709" s="2">
        <f>[8]m!$C711</f>
        <v>0.16</v>
      </c>
      <c r="O709">
        <f>[9]Unemployment!$B591</f>
        <v>7.3000000000000007</v>
      </c>
      <c r="P709" s="2">
        <f>[2]Surveys_m!$B591</f>
        <v>38.6</v>
      </c>
      <c r="Q709">
        <f>[5]m!$B711</f>
        <v>211.327</v>
      </c>
      <c r="R709">
        <f>[5]m!$D711</f>
        <v>216.87</v>
      </c>
      <c r="S709">
        <f>[5]m!$Q711</f>
        <v>170.9</v>
      </c>
      <c r="T709">
        <f>[6]m!B711</f>
        <v>-51754</v>
      </c>
      <c r="U709" s="2">
        <f>[9]Unemployment!$F591</f>
        <v>19.8</v>
      </c>
      <c r="V709" s="2">
        <f>[9]Unemployment!$G591</f>
        <v>10.600000000000001</v>
      </c>
      <c r="W709">
        <f>[9]Unemployment!$E591</f>
        <v>11344</v>
      </c>
      <c r="X709">
        <f>[9]Unemployment!N591</f>
        <v>3266</v>
      </c>
      <c r="Y709">
        <f>[9]Unemployment!O591</f>
        <v>3524</v>
      </c>
      <c r="Z709">
        <f>[9]Unemployment!P591-[9]Unemployment!Q591</f>
        <v>1956</v>
      </c>
      <c r="AA709">
        <f>[9]Unemployment!$Q591</f>
        <v>2614</v>
      </c>
      <c r="AB709" s="2">
        <f>[8]m!$B711</f>
        <v>0.11</v>
      </c>
      <c r="AC709" s="2">
        <f>[8]m!$F711</f>
        <v>2.42</v>
      </c>
      <c r="AD709">
        <f>[9]Employment!$B591</f>
        <v>134383</v>
      </c>
      <c r="AE709" s="2">
        <f>[2]Indicators!$AB591</f>
        <v>89.333399999999997</v>
      </c>
      <c r="AF709" s="2">
        <f>[8]m!$AS711</f>
        <v>2561.8000000000002</v>
      </c>
      <c r="AG709" s="2">
        <f>[8]m!$H711</f>
        <v>5.05</v>
      </c>
      <c r="AH709" s="2">
        <f>[8]m!$I711</f>
        <v>8.43</v>
      </c>
      <c r="AI709" s="2">
        <f>[7]m!C710</f>
        <v>142153</v>
      </c>
      <c r="AJ709" s="2">
        <f>[7]m!D710</f>
        <v>186309</v>
      </c>
      <c r="AK709" s="2">
        <f>[2]Surveys_m!$AB591</f>
        <v>33.300000000000004</v>
      </c>
      <c r="AL709" s="3">
        <f>[9]Employment!$AZ591</f>
        <v>2938</v>
      </c>
      <c r="AM709">
        <f>[2]Indicators!$BB591</f>
        <v>157739</v>
      </c>
      <c r="AN709" s="2">
        <v>65.599999999999994</v>
      </c>
      <c r="AO709">
        <f>[9]Unemployment!H591</f>
        <v>642</v>
      </c>
      <c r="AP709">
        <f>[9]Unemployment!I591</f>
        <v>1266</v>
      </c>
      <c r="AQ709" s="3">
        <f>[9]LaborForce!$B590*[9]LaborForce!$C590/100</f>
        <v>154653.03</v>
      </c>
      <c r="AR709">
        <f>[9]Unemployment!$AC591</f>
        <v>532</v>
      </c>
      <c r="AS709">
        <f>[2]Indicators!BC591</f>
        <v>98.2</v>
      </c>
      <c r="AT709">
        <f>[2]Indicators!BD591</f>
        <v>88.46350000000001</v>
      </c>
      <c r="AU709">
        <f>[2]Indicators!BE591</f>
        <v>90.493400000000008</v>
      </c>
      <c r="AV709">
        <f>[5]m!$O711</f>
        <v>162.09</v>
      </c>
    </row>
    <row r="710" spans="1:48" x14ac:dyDescent="0.25">
      <c r="A710" s="1">
        <v>39814</v>
      </c>
      <c r="B710" s="2">
        <f>[2]Indicators!G592</f>
        <v>9798.4760000000006</v>
      </c>
      <c r="C710" s="2">
        <f>[2]Indicators!H592</f>
        <v>1033.087</v>
      </c>
      <c r="D710" s="2">
        <f>[2]Indicators!I592</f>
        <v>2096.42</v>
      </c>
      <c r="E710" s="2">
        <f>[2]Indicators!J592</f>
        <v>6668.97</v>
      </c>
      <c r="F710" s="2">
        <f>[2]Indicators!B592</f>
        <v>9071.523000000001</v>
      </c>
      <c r="G710" s="2">
        <f>[2]Indicators!C592</f>
        <v>1108.741</v>
      </c>
      <c r="H710" s="2">
        <f>[2]Indicators!D592</f>
        <v>1981.4680000000001</v>
      </c>
      <c r="I710" s="2">
        <f>[2]Indicators!E592</f>
        <v>5970.4340000000002</v>
      </c>
      <c r="J710" s="2">
        <f>[2]Indicators!L592</f>
        <v>300579</v>
      </c>
      <c r="K710" s="2">
        <f>[2]Indicators!M592</f>
        <v>159904</v>
      </c>
      <c r="L710" s="2">
        <f>[2]Indicators!N592</f>
        <v>9.8659999999999997</v>
      </c>
      <c r="M710" s="2">
        <f>[2]Indicators!AB592</f>
        <v>87.451000000000008</v>
      </c>
      <c r="N710" s="2">
        <f>[8]m!$C712</f>
        <v>0.15</v>
      </c>
      <c r="O710">
        <f>[9]Unemployment!$B592</f>
        <v>7.8000000000000007</v>
      </c>
      <c r="P710" s="2">
        <f>[2]Surveys_m!$B592</f>
        <v>37.4</v>
      </c>
      <c r="Q710">
        <f>[5]m!$B712</f>
        <v>211.90299999999999</v>
      </c>
      <c r="R710">
        <f>[5]m!$D712</f>
        <v>217.28399999999999</v>
      </c>
      <c r="S710">
        <f>[5]m!$Q712</f>
        <v>171.20000000000002</v>
      </c>
      <c r="T710">
        <f>[6]m!B712</f>
        <v>-63457</v>
      </c>
      <c r="U710" s="2">
        <f>[9]Unemployment!$F592</f>
        <v>19.900000000000002</v>
      </c>
      <c r="V710" s="2">
        <f>[9]Unemployment!$G592</f>
        <v>10.700000000000001</v>
      </c>
      <c r="W710">
        <f>[9]Unemployment!$E592</f>
        <v>11984</v>
      </c>
      <c r="X710">
        <f>[9]Unemployment!N592</f>
        <v>3522</v>
      </c>
      <c r="Y710">
        <f>[9]Unemployment!O592</f>
        <v>3638</v>
      </c>
      <c r="Z710">
        <f>[9]Unemployment!P592-[9]Unemployment!Q592</f>
        <v>2080</v>
      </c>
      <c r="AA710">
        <f>[9]Unemployment!$Q592</f>
        <v>2689</v>
      </c>
      <c r="AB710" s="2">
        <f>[8]m!$B712</f>
        <v>0.24</v>
      </c>
      <c r="AC710" s="2">
        <f>[8]m!$F712</f>
        <v>2.52</v>
      </c>
      <c r="AD710">
        <f>[9]Employment!$B592</f>
        <v>133563</v>
      </c>
      <c r="AE710" s="2">
        <f>[2]Indicators!$AB592</f>
        <v>87.451000000000008</v>
      </c>
      <c r="AF710" s="2">
        <f>[8]m!$AS712</f>
        <v>2561.5</v>
      </c>
      <c r="AG710" s="2">
        <f>[8]m!$H712</f>
        <v>5.05</v>
      </c>
      <c r="AH710" s="2">
        <f>[8]m!$I712</f>
        <v>8.14</v>
      </c>
      <c r="AI710" s="2">
        <f>[7]m!C711</f>
        <v>132000</v>
      </c>
      <c r="AJ710" s="2">
        <f>[7]m!D711</f>
        <v>174126</v>
      </c>
      <c r="AK710" s="2">
        <f>[2]Surveys_m!$AB592</f>
        <v>35.700000000000003</v>
      </c>
      <c r="AL710" s="3">
        <f>[9]Employment!$AZ592</f>
        <v>2566</v>
      </c>
      <c r="AM710">
        <f>[2]Indicators!$BB592</f>
        <v>145087</v>
      </c>
      <c r="AN710" s="2">
        <v>51.1</v>
      </c>
      <c r="AO710">
        <f>[9]Unemployment!H592</f>
        <v>734</v>
      </c>
      <c r="AP710">
        <f>[9]Unemployment!I592</f>
        <v>1396</v>
      </c>
      <c r="AQ710" s="3">
        <f>[9]LaborForce!$B591*[9]LaborForce!$C591/100</f>
        <v>154223.52300000002</v>
      </c>
      <c r="AR710">
        <f>[9]Unemployment!$AC592</f>
        <v>524</v>
      </c>
      <c r="AS710">
        <f>[2]Indicators!BC592</f>
        <v>98.100000000000009</v>
      </c>
      <c r="AT710">
        <f>[2]Indicators!BD592</f>
        <v>87.055700000000002</v>
      </c>
      <c r="AU710">
        <f>[2]Indicators!BE592</f>
        <v>89.194299999999998</v>
      </c>
      <c r="AV710">
        <f>[5]m!$O712</f>
        <v>157.96</v>
      </c>
    </row>
    <row r="711" spans="1:48" x14ac:dyDescent="0.25">
      <c r="A711" s="1">
        <v>39845</v>
      </c>
      <c r="B711" s="2">
        <f>[2]Indicators!G593</f>
        <v>9796.19</v>
      </c>
      <c r="C711" s="2">
        <f>[2]Indicators!H593</f>
        <v>1022.768</v>
      </c>
      <c r="D711" s="2">
        <f>[2]Indicators!I593</f>
        <v>2126.7290000000003</v>
      </c>
      <c r="E711" s="2">
        <f>[2]Indicators!J593</f>
        <v>6646.6930000000002</v>
      </c>
      <c r="F711" s="2">
        <f>[2]Indicators!B593</f>
        <v>9042.5969999999998</v>
      </c>
      <c r="G711" s="2">
        <f>[2]Indicators!C593</f>
        <v>1096.7570000000001</v>
      </c>
      <c r="H711" s="2">
        <f>[2]Indicators!D593</f>
        <v>1985.9639999999999</v>
      </c>
      <c r="I711" s="2">
        <f>[2]Indicators!E593</f>
        <v>5947.9170000000004</v>
      </c>
      <c r="J711" s="2">
        <f>[2]Indicators!L593</f>
        <v>299791</v>
      </c>
      <c r="K711" s="2">
        <f>[2]Indicators!M593</f>
        <v>158700</v>
      </c>
      <c r="L711" s="2">
        <f>[2]Indicators!N593</f>
        <v>9.4459999999999997</v>
      </c>
      <c r="M711" s="2">
        <f>[2]Indicators!AB593</f>
        <v>86.987800000000007</v>
      </c>
      <c r="N711" s="2">
        <f>[8]m!$C713</f>
        <v>0.22</v>
      </c>
      <c r="O711">
        <f>[9]Unemployment!$B593</f>
        <v>8.2000000000000011</v>
      </c>
      <c r="P711" s="2">
        <f>[2]Surveys_m!$B593</f>
        <v>25.3</v>
      </c>
      <c r="Q711">
        <f>[5]m!$B713</f>
        <v>212.87899999999999</v>
      </c>
      <c r="R711">
        <f>[5]m!$D713</f>
        <v>217.72499999999999</v>
      </c>
      <c r="S711">
        <f>[5]m!$Q713</f>
        <v>169.3</v>
      </c>
      <c r="T711">
        <f>[6]m!B713</f>
        <v>-193859</v>
      </c>
      <c r="U711" s="2">
        <f>[9]Unemployment!$F593</f>
        <v>20.100000000000001</v>
      </c>
      <c r="V711" s="2">
        <f>[9]Unemployment!$G593</f>
        <v>11.600000000000001</v>
      </c>
      <c r="W711">
        <f>[9]Unemployment!$E593</f>
        <v>12737</v>
      </c>
      <c r="X711">
        <f>[9]Unemployment!N593</f>
        <v>3399</v>
      </c>
      <c r="Y711">
        <f>[9]Unemployment!O593</f>
        <v>3931</v>
      </c>
      <c r="Z711">
        <f>[9]Unemployment!P593-[9]Unemployment!Q593</f>
        <v>2425</v>
      </c>
      <c r="AA711">
        <f>[9]Unemployment!$Q593</f>
        <v>2982</v>
      </c>
      <c r="AB711" s="2">
        <f>[8]m!$B713</f>
        <v>0.26</v>
      </c>
      <c r="AC711" s="2">
        <f>[8]m!$F713</f>
        <v>2.87</v>
      </c>
      <c r="AD711">
        <f>[9]Employment!$B593</f>
        <v>132837</v>
      </c>
      <c r="AE711" s="2">
        <f>[2]Indicators!$AB593</f>
        <v>86.987800000000007</v>
      </c>
      <c r="AF711" s="2">
        <f>[8]m!$AS713</f>
        <v>2551.5</v>
      </c>
      <c r="AG711" s="2">
        <f>[8]m!$H713</f>
        <v>5.2700000000000005</v>
      </c>
      <c r="AH711" s="2">
        <f>[8]m!$I713</f>
        <v>8.08</v>
      </c>
      <c r="AI711" s="2">
        <f>[7]m!C712</f>
        <v>125272</v>
      </c>
      <c r="AJ711" s="2">
        <f>[7]m!D712</f>
        <v>162473</v>
      </c>
      <c r="AK711" s="2">
        <f>[2]Surveys_m!$AB593</f>
        <v>36</v>
      </c>
      <c r="AL711" s="3">
        <f>[9]Employment!$AZ593</f>
        <v>2771</v>
      </c>
      <c r="AM711">
        <f>[2]Indicators!$BB593</f>
        <v>142877</v>
      </c>
      <c r="AN711" s="2">
        <v>55.4</v>
      </c>
      <c r="AO711">
        <f>[9]Unemployment!H593</f>
        <v>731</v>
      </c>
      <c r="AP711">
        <f>[9]Unemployment!I593</f>
        <v>1320</v>
      </c>
      <c r="AQ711" s="3">
        <f>[9]LaborForce!$B592*[9]LaborForce!$C592/100</f>
        <v>154337.84100000001</v>
      </c>
      <c r="AR711">
        <f>[9]Unemployment!$AC593</f>
        <v>638</v>
      </c>
      <c r="AS711">
        <f>[2]Indicators!BC593</f>
        <v>97.7</v>
      </c>
      <c r="AT711">
        <f>[2]Indicators!BD593</f>
        <v>86.256200000000007</v>
      </c>
      <c r="AU711">
        <f>[2]Indicators!BE593</f>
        <v>88.514300000000006</v>
      </c>
      <c r="AV711">
        <f>[5]m!$O713</f>
        <v>154.61000000000001</v>
      </c>
    </row>
    <row r="712" spans="1:48" x14ac:dyDescent="0.25">
      <c r="A712" s="1">
        <v>39873</v>
      </c>
      <c r="B712" s="2">
        <f>[2]Indicators!G594</f>
        <v>9750.473</v>
      </c>
      <c r="C712" s="2">
        <f>[2]Indicators!H594</f>
        <v>1004.3720000000001</v>
      </c>
      <c r="D712" s="2">
        <f>[2]Indicators!I594</f>
        <v>2108.6930000000002</v>
      </c>
      <c r="E712" s="2">
        <f>[2]Indicators!J594</f>
        <v>6637.4080000000004</v>
      </c>
      <c r="F712" s="2">
        <f>[2]Indicators!B594</f>
        <v>9008.5329999999994</v>
      </c>
      <c r="G712" s="2">
        <f>[2]Indicators!C594</f>
        <v>1078.2060000000001</v>
      </c>
      <c r="H712" s="2">
        <f>[2]Indicators!D594</f>
        <v>1973.5640000000001</v>
      </c>
      <c r="I712" s="2">
        <f>[2]Indicators!E594</f>
        <v>5942.08</v>
      </c>
      <c r="J712" s="2">
        <f>[2]Indicators!L594</f>
        <v>294890</v>
      </c>
      <c r="K712" s="2">
        <f>[2]Indicators!M594</f>
        <v>156499</v>
      </c>
      <c r="L712" s="2">
        <f>[2]Indicators!N594</f>
        <v>9.89</v>
      </c>
      <c r="M712" s="2">
        <f>[2]Indicators!AB594</f>
        <v>85.535899999999998</v>
      </c>
      <c r="N712" s="2">
        <f>[8]m!$C714</f>
        <v>0.18</v>
      </c>
      <c r="O712">
        <f>[9]Unemployment!$B594</f>
        <v>8.6</v>
      </c>
      <c r="P712" s="2">
        <f>[2]Surveys_m!$B594</f>
        <v>26.900000000000002</v>
      </c>
      <c r="Q712">
        <f>[5]m!$B714</f>
        <v>212.572</v>
      </c>
      <c r="R712">
        <f>[5]m!$D714</f>
        <v>218.12200000000001</v>
      </c>
      <c r="S712">
        <f>[5]m!$Q714</f>
        <v>168.10000000000002</v>
      </c>
      <c r="T712">
        <f>[6]m!B714</f>
        <v>-191589</v>
      </c>
      <c r="U712" s="2">
        <f>[9]Unemployment!$F594</f>
        <v>20.900000000000002</v>
      </c>
      <c r="V712" s="2">
        <f>[9]Unemployment!$G594</f>
        <v>12.200000000000001</v>
      </c>
      <c r="W712">
        <f>[9]Unemployment!$E594</f>
        <v>13278</v>
      </c>
      <c r="X712">
        <f>[9]Unemployment!N594</f>
        <v>3377</v>
      </c>
      <c r="Y712">
        <f>[9]Unemployment!O594</f>
        <v>4056</v>
      </c>
      <c r="Z712">
        <f>[9]Unemployment!P594-[9]Unemployment!Q594</f>
        <v>2594</v>
      </c>
      <c r="AA712">
        <f>[9]Unemployment!$Q594</f>
        <v>3233</v>
      </c>
      <c r="AB712" s="2">
        <f>[8]m!$B714</f>
        <v>0.21</v>
      </c>
      <c r="AC712" s="2">
        <f>[8]m!$F714</f>
        <v>2.82</v>
      </c>
      <c r="AD712">
        <f>[9]Employment!$B594</f>
        <v>132041</v>
      </c>
      <c r="AE712" s="2">
        <f>[2]Indicators!$AB594</f>
        <v>85.535899999999998</v>
      </c>
      <c r="AF712" s="2">
        <f>[8]m!$AS714</f>
        <v>2539.2000000000003</v>
      </c>
      <c r="AG712" s="2">
        <f>[8]m!$H714</f>
        <v>5.5</v>
      </c>
      <c r="AH712" s="2">
        <f>[8]m!$I714</f>
        <v>8.42</v>
      </c>
      <c r="AI712" s="2">
        <f>[7]m!C713</f>
        <v>127001</v>
      </c>
      <c r="AJ712" s="2">
        <f>[7]m!D713</f>
        <v>154034</v>
      </c>
      <c r="AK712" s="2">
        <f>[2]Surveys_m!$AB594</f>
        <v>36.6</v>
      </c>
      <c r="AL712" s="3">
        <f>[9]Employment!$AZ594</f>
        <v>2529</v>
      </c>
      <c r="AM712">
        <f>[2]Indicators!$BB594</f>
        <v>137947</v>
      </c>
      <c r="AN712" s="2">
        <v>53</v>
      </c>
      <c r="AO712">
        <f>[9]Unemployment!H594</f>
        <v>685</v>
      </c>
      <c r="AP712">
        <f>[9]Unemployment!I594</f>
        <v>1421</v>
      </c>
      <c r="AQ712" s="3">
        <f>[9]LaborForce!$B593*[9]LaborForce!$C593/100</f>
        <v>154216.41600000003</v>
      </c>
      <c r="AR712">
        <f>[9]Unemployment!$AC594</f>
        <v>644</v>
      </c>
      <c r="AS712">
        <f>[2]Indicators!BC594</f>
        <v>97.4</v>
      </c>
      <c r="AT712">
        <f>[2]Indicators!BD594</f>
        <v>86.10260000000001</v>
      </c>
      <c r="AU712">
        <f>[2]Indicators!BE594</f>
        <v>88.494200000000006</v>
      </c>
      <c r="AV712">
        <f>[5]m!$O714</f>
        <v>151.47999999999999</v>
      </c>
    </row>
    <row r="713" spans="1:48" x14ac:dyDescent="0.25">
      <c r="A713" s="1">
        <v>39904</v>
      </c>
      <c r="B713" s="2">
        <f>[2]Indicators!G595</f>
        <v>9750.25</v>
      </c>
      <c r="C713" s="2">
        <f>[2]Indicators!H595</f>
        <v>997.58100000000002</v>
      </c>
      <c r="D713" s="2">
        <f>[2]Indicators!I595</f>
        <v>2113.2530000000002</v>
      </c>
      <c r="E713" s="2">
        <f>[2]Indicators!J595</f>
        <v>6639.4160000000002</v>
      </c>
      <c r="F713" s="2">
        <f>[2]Indicators!B595</f>
        <v>8993.0740000000005</v>
      </c>
      <c r="G713" s="2">
        <f>[2]Indicators!C595</f>
        <v>1070.1369999999999</v>
      </c>
      <c r="H713" s="2">
        <f>[2]Indicators!D595</f>
        <v>1969.88</v>
      </c>
      <c r="I713" s="2">
        <f>[2]Indicators!E595</f>
        <v>5937.241</v>
      </c>
      <c r="J713" s="2">
        <f>[2]Indicators!L595</f>
        <v>295492</v>
      </c>
      <c r="K713" s="2">
        <f>[2]Indicators!M595</f>
        <v>156649</v>
      </c>
      <c r="L713" s="2">
        <f>[2]Indicators!N595</f>
        <v>9.5440000000000005</v>
      </c>
      <c r="M713" s="2">
        <f>[2]Indicators!AB595</f>
        <v>84.7761</v>
      </c>
      <c r="N713" s="2">
        <f>[8]m!$C715</f>
        <v>0.15</v>
      </c>
      <c r="O713">
        <f>[9]Unemployment!$B595</f>
        <v>8.9</v>
      </c>
      <c r="P713" s="2">
        <f>[2]Surveys_m!$B595</f>
        <v>40.800000000000004</v>
      </c>
      <c r="Q713">
        <f>[5]m!$B715</f>
        <v>212.79900000000001</v>
      </c>
      <c r="R713">
        <f>[5]m!$D715</f>
        <v>218.614</v>
      </c>
      <c r="S713">
        <f>[5]m!$Q715</f>
        <v>169.10000000000002</v>
      </c>
      <c r="T713">
        <f>[6]m!B715</f>
        <v>-20907</v>
      </c>
      <c r="U713" s="2">
        <f>[9]Unemployment!$F595</f>
        <v>21.6</v>
      </c>
      <c r="V713" s="2">
        <f>[9]Unemployment!$G595</f>
        <v>12.9</v>
      </c>
      <c r="W713">
        <f>[9]Unemployment!$E595</f>
        <v>13734</v>
      </c>
      <c r="X713">
        <f>[9]Unemployment!N595</f>
        <v>3325</v>
      </c>
      <c r="Y713">
        <f>[9]Unemployment!O595</f>
        <v>4066</v>
      </c>
      <c r="Z713">
        <f>[9]Unemployment!P595-[9]Unemployment!Q595</f>
        <v>2598</v>
      </c>
      <c r="AA713">
        <f>[9]Unemployment!$Q595</f>
        <v>3702</v>
      </c>
      <c r="AB713" s="2">
        <f>[8]m!$B715</f>
        <v>0.14000000000000001</v>
      </c>
      <c r="AC713" s="2">
        <f>[8]m!$F715</f>
        <v>2.93</v>
      </c>
      <c r="AD713">
        <f>[9]Employment!$B595</f>
        <v>131381</v>
      </c>
      <c r="AE713" s="2">
        <f>[2]Indicators!$AB595</f>
        <v>84.7761</v>
      </c>
      <c r="AF713" s="2">
        <f>[8]m!$AS715</f>
        <v>2526.3000000000002</v>
      </c>
      <c r="AG713" s="2">
        <f>[8]m!$H715</f>
        <v>5.39</v>
      </c>
      <c r="AH713" s="2">
        <f>[8]m!$I715</f>
        <v>8.39</v>
      </c>
      <c r="AI713" s="2">
        <f>[7]m!C714</f>
        <v>126008</v>
      </c>
      <c r="AJ713" s="2">
        <f>[7]m!D714</f>
        <v>154587</v>
      </c>
      <c r="AK713" s="2">
        <f>[2]Surveys_m!$AB595</f>
        <v>39.900000000000006</v>
      </c>
      <c r="AL713" s="3">
        <f>[9]Employment!$AZ595</f>
        <v>2237</v>
      </c>
      <c r="AM713">
        <f>[2]Indicators!$BB595</f>
        <v>136136</v>
      </c>
      <c r="AN713" s="2">
        <v>49.6</v>
      </c>
      <c r="AO713">
        <f>[9]Unemployment!H595</f>
        <v>740</v>
      </c>
      <c r="AP713">
        <f>[9]Unemployment!I595</f>
        <v>1350</v>
      </c>
      <c r="AQ713" s="3">
        <f>[9]LaborForce!$B594*[9]LaborForce!$C594/100</f>
        <v>154337.77600000001</v>
      </c>
      <c r="AR713">
        <f>[9]Unemployment!$AC595</f>
        <v>659</v>
      </c>
      <c r="AS713">
        <f>[2]Indicators!BC595</f>
        <v>98.600000000000009</v>
      </c>
      <c r="AT713">
        <f>[2]Indicators!BD595</f>
        <v>86.578699999999998</v>
      </c>
      <c r="AU713">
        <f>[2]Indicators!BE595</f>
        <v>89.120200000000011</v>
      </c>
      <c r="AV713">
        <f>[5]m!$O715</f>
        <v>150.44</v>
      </c>
    </row>
    <row r="714" spans="1:48" x14ac:dyDescent="0.25">
      <c r="A714" s="1">
        <v>39934</v>
      </c>
      <c r="B714" s="2">
        <f>[2]Indicators!G596</f>
        <v>9772.6450000000004</v>
      </c>
      <c r="C714" s="2">
        <f>[2]Indicators!H596</f>
        <v>1013.2430000000001</v>
      </c>
      <c r="D714" s="2">
        <f>[2]Indicators!I596</f>
        <v>2124.962</v>
      </c>
      <c r="E714" s="2">
        <f>[2]Indicators!J596</f>
        <v>6634.4400000000005</v>
      </c>
      <c r="F714" s="2">
        <f>[2]Indicators!B596</f>
        <v>9002.402</v>
      </c>
      <c r="G714" s="2">
        <f>[2]Indicators!C596</f>
        <v>1087.71</v>
      </c>
      <c r="H714" s="2">
        <f>[2]Indicators!D596</f>
        <v>1975.5</v>
      </c>
      <c r="I714" s="2">
        <f>[2]Indicators!E596</f>
        <v>5926.1660000000002</v>
      </c>
      <c r="J714" s="2">
        <f>[2]Indicators!L596</f>
        <v>298400</v>
      </c>
      <c r="K714" s="2">
        <f>[2]Indicators!M596</f>
        <v>157796</v>
      </c>
      <c r="L714" s="2">
        <f>[2]Indicators!N596</f>
        <v>10.032999999999999</v>
      </c>
      <c r="M714" s="2">
        <f>[2]Indicators!AB596</f>
        <v>83.865800000000007</v>
      </c>
      <c r="N714" s="2">
        <f>[8]m!$C716</f>
        <v>0.18</v>
      </c>
      <c r="O714">
        <f>[9]Unemployment!$B596</f>
        <v>9.4</v>
      </c>
      <c r="P714" s="2">
        <f>[2]Surveys_m!$B596</f>
        <v>54.800000000000004</v>
      </c>
      <c r="Q714">
        <f>[5]m!$B716</f>
        <v>213.078</v>
      </c>
      <c r="R714">
        <f>[5]m!$D716</f>
        <v>218.90600000000001</v>
      </c>
      <c r="S714">
        <f>[5]m!$Q716</f>
        <v>170.8</v>
      </c>
      <c r="T714">
        <f>[6]m!B716</f>
        <v>-189651</v>
      </c>
      <c r="U714" s="2">
        <f>[9]Unemployment!$F596</f>
        <v>22.6</v>
      </c>
      <c r="V714" s="2">
        <f>[9]Unemployment!$G596</f>
        <v>14.4</v>
      </c>
      <c r="W714">
        <f>[9]Unemployment!$E596</f>
        <v>14512</v>
      </c>
      <c r="X714">
        <f>[9]Unemployment!N596</f>
        <v>3230</v>
      </c>
      <c r="Y714">
        <f>[9]Unemployment!O596</f>
        <v>4387</v>
      </c>
      <c r="Z714">
        <f>[9]Unemployment!P596-[9]Unemployment!Q596</f>
        <v>3003</v>
      </c>
      <c r="AA714">
        <f>[9]Unemployment!$Q596</f>
        <v>4005</v>
      </c>
      <c r="AB714" s="2">
        <f>[8]m!$B716</f>
        <v>0.14000000000000001</v>
      </c>
      <c r="AC714" s="2">
        <f>[8]m!$F716</f>
        <v>3.29</v>
      </c>
      <c r="AD714">
        <f>[9]Employment!$B596</f>
        <v>130995</v>
      </c>
      <c r="AE714" s="2">
        <f>[2]Indicators!$AB596</f>
        <v>83.865800000000007</v>
      </c>
      <c r="AF714" s="2">
        <f>[8]m!$AS716</f>
        <v>2520.6000000000004</v>
      </c>
      <c r="AG714" s="2">
        <f>[8]m!$H716</f>
        <v>5.54</v>
      </c>
      <c r="AH714" s="2">
        <f>[8]m!$I716</f>
        <v>8.06</v>
      </c>
      <c r="AI714" s="2">
        <f>[7]m!C715</f>
        <v>124160</v>
      </c>
      <c r="AJ714" s="2">
        <f>[7]m!D715</f>
        <v>153331</v>
      </c>
      <c r="AK714" s="2">
        <f>[2]Surveys_m!$AB596</f>
        <v>41.900000000000006</v>
      </c>
      <c r="AL714" s="3">
        <f>[9]Employment!$AZ596</f>
        <v>2366</v>
      </c>
      <c r="AM714">
        <f>[2]Indicators!$BB596</f>
        <v>140886</v>
      </c>
      <c r="AN714" s="2">
        <v>52.5</v>
      </c>
      <c r="AO714">
        <f>[9]Unemployment!H596</f>
        <v>792</v>
      </c>
      <c r="AP714">
        <f>[9]Unemployment!I596</f>
        <v>1418</v>
      </c>
      <c r="AQ714" s="3">
        <f>[9]LaborForce!$B595*[9]LaborForce!$C595/100</f>
        <v>154691.96400000001</v>
      </c>
      <c r="AR714">
        <f>[9]Unemployment!$AC596</f>
        <v>613</v>
      </c>
      <c r="AS714">
        <f>[2]Indicators!BC596</f>
        <v>99.9</v>
      </c>
      <c r="AT714">
        <f>[2]Indicators!BD596</f>
        <v>87.502700000000004</v>
      </c>
      <c r="AU714">
        <f>[2]Indicators!BE596</f>
        <v>90.20750000000001</v>
      </c>
      <c r="AV714">
        <f>[5]m!$O716</f>
        <v>151.19</v>
      </c>
    </row>
    <row r="715" spans="1:48" x14ac:dyDescent="0.25">
      <c r="A715" s="1">
        <v>39965</v>
      </c>
      <c r="B715" s="2">
        <f>[2]Indicators!G597</f>
        <v>9822.0149999999994</v>
      </c>
      <c r="C715" s="2">
        <f>[2]Indicators!H597</f>
        <v>1017.706</v>
      </c>
      <c r="D715" s="2">
        <f>[2]Indicators!I597</f>
        <v>2164.154</v>
      </c>
      <c r="E715" s="2">
        <f>[2]Indicators!J597</f>
        <v>6640.1549999999997</v>
      </c>
      <c r="F715" s="2">
        <f>[2]Indicators!B597</f>
        <v>9000.1470000000008</v>
      </c>
      <c r="G715" s="2">
        <f>[2]Indicators!C597</f>
        <v>1092.2260000000001</v>
      </c>
      <c r="H715" s="2">
        <f>[2]Indicators!D597</f>
        <v>1973.0820000000001</v>
      </c>
      <c r="I715" s="2">
        <f>[2]Indicators!E597</f>
        <v>5922.5060000000003</v>
      </c>
      <c r="J715" s="2">
        <f>[2]Indicators!L597</f>
        <v>303065</v>
      </c>
      <c r="K715" s="2">
        <f>[2]Indicators!M597</f>
        <v>158863</v>
      </c>
      <c r="L715" s="2">
        <f>[2]Indicators!N597</f>
        <v>10.066000000000001</v>
      </c>
      <c r="M715" s="2">
        <f>[2]Indicators!AB597</f>
        <v>83.5261</v>
      </c>
      <c r="N715" s="2">
        <f>[8]m!$C717</f>
        <v>0.21</v>
      </c>
      <c r="O715">
        <f>[9]Unemployment!$B597</f>
        <v>9.5</v>
      </c>
      <c r="P715" s="2">
        <f>[2]Surveys_m!$B597</f>
        <v>49.300000000000004</v>
      </c>
      <c r="Q715">
        <f>[5]m!$B717</f>
        <v>214.52700000000002</v>
      </c>
      <c r="R715">
        <f>[5]m!$D717</f>
        <v>219.22800000000001</v>
      </c>
      <c r="S715">
        <f>[5]m!$Q717</f>
        <v>174.10000000000002</v>
      </c>
      <c r="T715">
        <f>[6]m!B717</f>
        <v>-94332</v>
      </c>
      <c r="U715" s="2">
        <f>[9]Unemployment!$F597</f>
        <v>24.1</v>
      </c>
      <c r="V715" s="2">
        <f>[9]Unemployment!$G597</f>
        <v>17.400000000000002</v>
      </c>
      <c r="W715">
        <f>[9]Unemployment!$E597</f>
        <v>14776</v>
      </c>
      <c r="X715">
        <f>[9]Unemployment!N597</f>
        <v>3164</v>
      </c>
      <c r="Y715">
        <f>[9]Unemployment!O597</f>
        <v>4030</v>
      </c>
      <c r="Z715">
        <f>[9]Unemployment!P597-[9]Unemployment!Q597</f>
        <v>3429</v>
      </c>
      <c r="AA715">
        <f>[9]Unemployment!$Q597</f>
        <v>4397</v>
      </c>
      <c r="AB715" s="2">
        <f>[8]m!$B717</f>
        <v>0.19</v>
      </c>
      <c r="AC715" s="2">
        <f>[8]m!$F717</f>
        <v>3.72</v>
      </c>
      <c r="AD715">
        <f>[9]Employment!$B597</f>
        <v>130493</v>
      </c>
      <c r="AE715" s="2">
        <f>[2]Indicators!$AB597</f>
        <v>83.5261</v>
      </c>
      <c r="AF715" s="2">
        <f>[8]m!$AS717</f>
        <v>2507.9</v>
      </c>
      <c r="AG715" s="2">
        <f>[8]m!$H717</f>
        <v>5.61</v>
      </c>
      <c r="AH715" s="2">
        <f>[8]m!$I717</f>
        <v>7.5</v>
      </c>
      <c r="AI715" s="2">
        <f>[7]m!C716</f>
        <v>125678</v>
      </c>
      <c r="AJ715" s="2">
        <f>[7]m!D716</f>
        <v>151202</v>
      </c>
      <c r="AK715" s="2">
        <f>[2]Surveys_m!$AB597</f>
        <v>44.7</v>
      </c>
      <c r="AL715" s="3">
        <f>[9]Employment!$AZ597</f>
        <v>2423</v>
      </c>
      <c r="AM715">
        <f>[2]Indicators!$BB597</f>
        <v>138836</v>
      </c>
      <c r="AN715" s="2">
        <v>51.9</v>
      </c>
      <c r="AO715">
        <f>[9]Unemployment!H597</f>
        <v>793</v>
      </c>
      <c r="AP715">
        <f>[9]Unemployment!I597</f>
        <v>1383</v>
      </c>
      <c r="AQ715" s="3">
        <f>[9]LaborForce!$B596*[9]LaborForce!$C596/100</f>
        <v>154825.33499999999</v>
      </c>
      <c r="AR715">
        <f>[9]Unemployment!$AC597</f>
        <v>617</v>
      </c>
      <c r="AS715">
        <f>[2]Indicators!BC597</f>
        <v>100.60000000000001</v>
      </c>
      <c r="AT715">
        <f>[2]Indicators!BD597</f>
        <v>88.651800000000009</v>
      </c>
      <c r="AU715">
        <f>[2]Indicators!BE597</f>
        <v>91.528300000000002</v>
      </c>
      <c r="AV715">
        <f>[5]m!$O717</f>
        <v>153.35</v>
      </c>
    </row>
    <row r="716" spans="1:48" x14ac:dyDescent="0.25">
      <c r="A716" s="1">
        <v>39995</v>
      </c>
      <c r="B716" s="2">
        <f>[2]Indicators!G598</f>
        <v>9856.06</v>
      </c>
      <c r="C716" s="2">
        <f>[2]Indicators!H598</f>
        <v>1035.2840000000001</v>
      </c>
      <c r="D716" s="2">
        <f>[2]Indicators!I598</f>
        <v>2171.297</v>
      </c>
      <c r="E716" s="2">
        <f>[2]Indicators!J598</f>
        <v>6649.4790000000003</v>
      </c>
      <c r="F716" s="2">
        <f>[2]Indicators!B598</f>
        <v>9023.4699999999993</v>
      </c>
      <c r="G716" s="2">
        <f>[2]Indicators!C598</f>
        <v>1116.9570000000001</v>
      </c>
      <c r="H716" s="2">
        <f>[2]Indicators!D598</f>
        <v>1974.4390000000001</v>
      </c>
      <c r="I716" s="2">
        <f>[2]Indicators!E598</f>
        <v>5923.3580000000002</v>
      </c>
      <c r="J716" s="2">
        <f>[2]Indicators!L598</f>
        <v>303304</v>
      </c>
      <c r="K716" s="2">
        <f>[2]Indicators!M598</f>
        <v>158777</v>
      </c>
      <c r="L716" s="2">
        <f>[2]Indicators!N598</f>
        <v>11.492000000000001</v>
      </c>
      <c r="M716" s="2">
        <f>[2]Indicators!AB598</f>
        <v>84.434700000000007</v>
      </c>
      <c r="N716" s="2">
        <f>[8]m!$C718</f>
        <v>0.16</v>
      </c>
      <c r="O716">
        <f>[9]Unemployment!$B598</f>
        <v>9.5</v>
      </c>
      <c r="P716" s="2">
        <f>[2]Surveys_m!$B598</f>
        <v>47.400000000000006</v>
      </c>
      <c r="Q716">
        <f>[5]m!$B718</f>
        <v>214.78200000000001</v>
      </c>
      <c r="R716">
        <f>[5]m!$D718</f>
        <v>219.42699999999999</v>
      </c>
      <c r="S716">
        <f>[5]m!$Q718</f>
        <v>172.5</v>
      </c>
      <c r="T716">
        <f>[6]m!B718</f>
        <v>-180680</v>
      </c>
      <c r="U716" s="2">
        <f>[9]Unemployment!$F598</f>
        <v>25.200000000000003</v>
      </c>
      <c r="V716" s="2">
        <f>[9]Unemployment!$G598</f>
        <v>15.8</v>
      </c>
      <c r="W716">
        <f>[9]Unemployment!$E598</f>
        <v>14663</v>
      </c>
      <c r="X716">
        <f>[9]Unemployment!N598</f>
        <v>3150</v>
      </c>
      <c r="Y716">
        <f>[9]Unemployment!O598</f>
        <v>3587</v>
      </c>
      <c r="Z716">
        <f>[9]Unemployment!P598-[9]Unemployment!Q598</f>
        <v>2895</v>
      </c>
      <c r="AA716">
        <f>[9]Unemployment!$Q598</f>
        <v>4951</v>
      </c>
      <c r="AB716" s="2">
        <f>[8]m!$B718</f>
        <v>0.18</v>
      </c>
      <c r="AC716" s="2">
        <f>[8]m!$F718</f>
        <v>3.56</v>
      </c>
      <c r="AD716">
        <f>[9]Employment!$B598</f>
        <v>130193</v>
      </c>
      <c r="AE716" s="2">
        <f>[2]Indicators!$AB598</f>
        <v>84.434700000000007</v>
      </c>
      <c r="AF716" s="2">
        <f>[8]m!$AS718</f>
        <v>2496.6000000000004</v>
      </c>
      <c r="AG716" s="2">
        <f>[8]m!$H718</f>
        <v>5.41</v>
      </c>
      <c r="AH716" s="2">
        <f>[8]m!$I718</f>
        <v>7.09</v>
      </c>
      <c r="AI716" s="2">
        <f>[7]m!C717</f>
        <v>128183</v>
      </c>
      <c r="AJ716" s="2">
        <f>[7]m!D717</f>
        <v>154872</v>
      </c>
      <c r="AK716" s="2">
        <f>[2]Surveys_m!$AB598</f>
        <v>49</v>
      </c>
      <c r="AL716" s="3">
        <f>[9]Employment!$AZ598</f>
        <v>2112</v>
      </c>
      <c r="AM716">
        <f>[2]Indicators!$BB598</f>
        <v>150963</v>
      </c>
      <c r="AN716" s="2">
        <v>52.5</v>
      </c>
      <c r="AO716">
        <f>[9]Unemployment!H598</f>
        <v>796</v>
      </c>
      <c r="AP716">
        <f>[9]Unemployment!I598</f>
        <v>1486</v>
      </c>
      <c r="AQ716" s="3">
        <f>[9]LaborForce!$B597*[9]LaborForce!$C597/100</f>
        <v>154494.85</v>
      </c>
      <c r="AR716">
        <f>[9]Unemployment!$AC598</f>
        <v>601</v>
      </c>
      <c r="AS716">
        <f>[2]Indicators!BC598</f>
        <v>101.7</v>
      </c>
      <c r="AT716">
        <f>[2]Indicators!BD598</f>
        <v>89.855500000000006</v>
      </c>
      <c r="AU716">
        <f>[2]Indicators!BE598</f>
        <v>92.906700000000001</v>
      </c>
      <c r="AV716">
        <f>[5]m!$O718</f>
        <v>155.95000000000002</v>
      </c>
    </row>
    <row r="717" spans="1:48" x14ac:dyDescent="0.25">
      <c r="A717" s="1">
        <v>40026</v>
      </c>
      <c r="B717" s="2">
        <f>[2]Indicators!G599</f>
        <v>9974.8780000000006</v>
      </c>
      <c r="C717" s="2">
        <f>[2]Indicators!H599</f>
        <v>1102.7860000000001</v>
      </c>
      <c r="D717" s="2">
        <f>[2]Indicators!I599</f>
        <v>2201.819</v>
      </c>
      <c r="E717" s="2">
        <f>[2]Indicators!J599</f>
        <v>6670.2719999999999</v>
      </c>
      <c r="F717" s="2">
        <f>[2]Indicators!B599</f>
        <v>9104.6679999999997</v>
      </c>
      <c r="G717" s="2">
        <f>[2]Indicators!C599</f>
        <v>1193.2619999999999</v>
      </c>
      <c r="H717" s="2">
        <f>[2]Indicators!D599</f>
        <v>1984.415</v>
      </c>
      <c r="I717" s="2">
        <f>[2]Indicators!E599</f>
        <v>5929.7269999999999</v>
      </c>
      <c r="J717" s="2">
        <f>[2]Indicators!L599</f>
        <v>311629</v>
      </c>
      <c r="K717" s="2">
        <f>[2]Indicators!M599</f>
        <v>162048</v>
      </c>
      <c r="L717" s="2">
        <f>[2]Indicators!N599</f>
        <v>14.383000000000001</v>
      </c>
      <c r="M717" s="2">
        <f>[2]Indicators!AB599</f>
        <v>85.217399999999998</v>
      </c>
      <c r="N717" s="2">
        <f>[8]m!$C719</f>
        <v>0.16</v>
      </c>
      <c r="O717">
        <f>[9]Unemployment!$B599</f>
        <v>9.7000000000000011</v>
      </c>
      <c r="P717" s="2">
        <f>[2]Surveys_m!$B599</f>
        <v>54.5</v>
      </c>
      <c r="Q717">
        <f>[5]m!$B719</f>
        <v>215.51900000000001</v>
      </c>
      <c r="R717">
        <f>[5]m!$D719</f>
        <v>219.625</v>
      </c>
      <c r="S717">
        <f>[5]m!$Q719</f>
        <v>175</v>
      </c>
      <c r="T717">
        <f>[6]m!B719</f>
        <v>-103555</v>
      </c>
      <c r="U717" s="2">
        <f>[9]Unemployment!$F599</f>
        <v>25.3</v>
      </c>
      <c r="V717" s="2">
        <f>[9]Unemployment!$G599</f>
        <v>16.100000000000001</v>
      </c>
      <c r="W717">
        <f>[9]Unemployment!$E599</f>
        <v>14953</v>
      </c>
      <c r="X717">
        <f>[9]Unemployment!N599</f>
        <v>3000</v>
      </c>
      <c r="Y717">
        <f>[9]Unemployment!O599</f>
        <v>3975</v>
      </c>
      <c r="Z717">
        <f>[9]Unemployment!P599-[9]Unemployment!Q599</f>
        <v>2823</v>
      </c>
      <c r="AA717">
        <f>[9]Unemployment!$Q599</f>
        <v>5051</v>
      </c>
      <c r="AB717" s="2">
        <f>[8]m!$B719</f>
        <v>0.15</v>
      </c>
      <c r="AC717" s="2">
        <f>[8]m!$F719</f>
        <v>3.59</v>
      </c>
      <c r="AD717">
        <f>[9]Employment!$B599</f>
        <v>129962</v>
      </c>
      <c r="AE717" s="2">
        <f>[2]Indicators!$AB599</f>
        <v>85.217399999999998</v>
      </c>
      <c r="AF717" s="2">
        <f>[8]m!$AS719</f>
        <v>2491</v>
      </c>
      <c r="AG717" s="2">
        <f>[8]m!$H719</f>
        <v>5.26</v>
      </c>
      <c r="AH717" s="2">
        <f>[8]m!$I719</f>
        <v>6.58</v>
      </c>
      <c r="AI717" s="2">
        <f>[7]m!C718</f>
        <v>129888</v>
      </c>
      <c r="AJ717" s="2">
        <f>[7]m!D718</f>
        <v>163266</v>
      </c>
      <c r="AK717" s="2">
        <f>[2]Surveys_m!$AB599</f>
        <v>51.400000000000006</v>
      </c>
      <c r="AL717" s="3">
        <f>[9]Employment!$AZ599</f>
        <v>2202</v>
      </c>
      <c r="AM717">
        <f>[2]Indicators!$BB599</f>
        <v>146621</v>
      </c>
      <c r="AN717" s="2">
        <v>57.5</v>
      </c>
      <c r="AO717">
        <f>[9]Unemployment!H599</f>
        <v>758</v>
      </c>
      <c r="AP717">
        <f>[9]Unemployment!I599</f>
        <v>1512</v>
      </c>
      <c r="AQ717" s="3">
        <f>[9]LaborForce!$B598*[9]LaborForce!$C598/100</f>
        <v>154400.89800000002</v>
      </c>
      <c r="AR717">
        <f>[9]Unemployment!$AC599</f>
        <v>555</v>
      </c>
      <c r="AS717">
        <f>[2]Indicators!BC599</f>
        <v>102.5</v>
      </c>
      <c r="AT717">
        <f>[2]Indicators!BD599</f>
        <v>91.001200000000011</v>
      </c>
      <c r="AU717">
        <f>[2]Indicators!BE599</f>
        <v>94.226399999999998</v>
      </c>
      <c r="AV717">
        <f>[5]m!$O719</f>
        <v>158.07</v>
      </c>
    </row>
    <row r="718" spans="1:48" x14ac:dyDescent="0.25">
      <c r="A718" s="1">
        <v>40057</v>
      </c>
      <c r="B718" s="2">
        <f>[2]Indicators!G600</f>
        <v>9902.3040000000001</v>
      </c>
      <c r="C718" s="2">
        <f>[2]Indicators!H600</f>
        <v>1012.1950000000001</v>
      </c>
      <c r="D718" s="2">
        <f>[2]Indicators!I600</f>
        <v>2213.357</v>
      </c>
      <c r="E718" s="2">
        <f>[2]Indicators!J600</f>
        <v>6676.7510000000002</v>
      </c>
      <c r="F718" s="2">
        <f>[2]Indicators!B600</f>
        <v>9022.7420000000002</v>
      </c>
      <c r="G718" s="2">
        <f>[2]Indicators!C600</f>
        <v>1093.318</v>
      </c>
      <c r="H718" s="2">
        <f>[2]Indicators!D600</f>
        <v>1989.115</v>
      </c>
      <c r="I718" s="2">
        <f>[2]Indicators!E600</f>
        <v>5927.3969999999999</v>
      </c>
      <c r="J718" s="2">
        <f>[2]Indicators!L600</f>
        <v>303984</v>
      </c>
      <c r="K718" s="2">
        <f>[2]Indicators!M600</f>
        <v>158160</v>
      </c>
      <c r="L718" s="2">
        <f>[2]Indicators!N600</f>
        <v>9.5839999999999996</v>
      </c>
      <c r="M718" s="2">
        <f>[2]Indicators!AB600</f>
        <v>85.798299999999998</v>
      </c>
      <c r="N718" s="2">
        <f>[8]m!$C720</f>
        <v>0.15</v>
      </c>
      <c r="O718">
        <f>[9]Unemployment!$B600</f>
        <v>9.8000000000000007</v>
      </c>
      <c r="P718" s="2">
        <f>[2]Surveys_m!$B600</f>
        <v>53.400000000000006</v>
      </c>
      <c r="Q718">
        <f>[5]m!$B720</f>
        <v>215.95600000000002</v>
      </c>
      <c r="R718">
        <f>[5]m!$D720</f>
        <v>220.02</v>
      </c>
      <c r="S718">
        <f>[5]m!$Q720</f>
        <v>174.10000000000002</v>
      </c>
      <c r="T718">
        <f>[6]m!B720</f>
        <v>-45207</v>
      </c>
      <c r="U718" s="2">
        <f>[9]Unemployment!$F600</f>
        <v>26.6</v>
      </c>
      <c r="V718" s="2">
        <f>[9]Unemployment!$G600</f>
        <v>18</v>
      </c>
      <c r="W718">
        <f>[9]Unemployment!$E600</f>
        <v>15149</v>
      </c>
      <c r="X718">
        <f>[9]Unemployment!N600</f>
        <v>2887</v>
      </c>
      <c r="Y718">
        <f>[9]Unemployment!O600</f>
        <v>3797</v>
      </c>
      <c r="Z718">
        <f>[9]Unemployment!P600-[9]Unemployment!Q600</f>
        <v>2958</v>
      </c>
      <c r="AA718">
        <f>[9]Unemployment!$Q600</f>
        <v>5497</v>
      </c>
      <c r="AB718" s="2">
        <f>[8]m!$B720</f>
        <v>0.14000000000000001</v>
      </c>
      <c r="AC718" s="2">
        <f>[8]m!$F720</f>
        <v>3.4</v>
      </c>
      <c r="AD718">
        <f>[9]Employment!$B600</f>
        <v>129726</v>
      </c>
      <c r="AE718" s="2">
        <f>[2]Indicators!$AB600</f>
        <v>85.798299999999998</v>
      </c>
      <c r="AF718" s="2">
        <f>[8]m!$AS720</f>
        <v>2482.5</v>
      </c>
      <c r="AG718" s="2">
        <f>[8]m!$H720</f>
        <v>5.13</v>
      </c>
      <c r="AH718" s="2">
        <f>[8]m!$I720</f>
        <v>6.3100000000000005</v>
      </c>
      <c r="AI718" s="2">
        <f>[7]m!C719</f>
        <v>130756</v>
      </c>
      <c r="AJ718" s="2">
        <f>[7]m!D719</f>
        <v>161781</v>
      </c>
      <c r="AK718" s="2">
        <f>[2]Surveys_m!$AB600</f>
        <v>53.2</v>
      </c>
      <c r="AL718" s="3">
        <f>[9]Employment!$AZ600</f>
        <v>2464</v>
      </c>
      <c r="AM718">
        <f>[2]Indicators!$BB600</f>
        <v>149051</v>
      </c>
      <c r="AN718" s="2">
        <v>53</v>
      </c>
      <c r="AO718">
        <f>[9]Unemployment!H600</f>
        <v>706</v>
      </c>
      <c r="AP718">
        <f>[9]Unemployment!I600</f>
        <v>1513</v>
      </c>
      <c r="AQ718" s="3">
        <f>[9]LaborForce!$B599*[9]LaborForce!$C599/100</f>
        <v>153845.622</v>
      </c>
      <c r="AR718">
        <f>[9]Unemployment!$AC600</f>
        <v>564</v>
      </c>
      <c r="AS718">
        <f>[2]Indicators!BC600</f>
        <v>103.60000000000001</v>
      </c>
      <c r="AT718">
        <f>[2]Indicators!BD600</f>
        <v>92.041800000000009</v>
      </c>
      <c r="AU718">
        <f>[2]Indicators!BE600</f>
        <v>95.437899999999999</v>
      </c>
      <c r="AV718">
        <f>[5]m!$O720</f>
        <v>158.77000000000001</v>
      </c>
    </row>
    <row r="719" spans="1:48" x14ac:dyDescent="0.25">
      <c r="A719" s="1">
        <v>40087</v>
      </c>
      <c r="B719" s="2">
        <f>[2]Indicators!G601</f>
        <v>9958.0069999999996</v>
      </c>
      <c r="C719" s="2">
        <f>[2]Indicators!H601</f>
        <v>1023.37</v>
      </c>
      <c r="D719" s="2">
        <f>[2]Indicators!I601</f>
        <v>2221.7220000000002</v>
      </c>
      <c r="E719" s="2">
        <f>[2]Indicators!J601</f>
        <v>6712.9139999999998</v>
      </c>
      <c r="F719" s="2">
        <f>[2]Indicators!B601</f>
        <v>9044.6419999999998</v>
      </c>
      <c r="G719" s="2">
        <f>[2]Indicators!C601</f>
        <v>1103.1790000000001</v>
      </c>
      <c r="H719" s="2">
        <f>[2]Indicators!D601</f>
        <v>1994.847</v>
      </c>
      <c r="I719" s="2">
        <f>[2]Indicators!E601</f>
        <v>5934.9480000000003</v>
      </c>
      <c r="J719" s="2">
        <f>[2]Indicators!L601</f>
        <v>306248</v>
      </c>
      <c r="K719" s="2">
        <f>[2]Indicators!M601</f>
        <v>158843</v>
      </c>
      <c r="L719" s="2">
        <f>[2]Indicators!N601</f>
        <v>10.554</v>
      </c>
      <c r="M719" s="2">
        <f>[2]Indicators!AB601</f>
        <v>86.016300000000001</v>
      </c>
      <c r="N719" s="2">
        <f>[8]m!$C721</f>
        <v>0.12</v>
      </c>
      <c r="O719">
        <f>[9]Unemployment!$B601</f>
        <v>10.100000000000001</v>
      </c>
      <c r="P719" s="2">
        <f>[2]Surveys_m!$B601</f>
        <v>48.7</v>
      </c>
      <c r="Q719">
        <f>[5]m!$B721</f>
        <v>216.44499999999999</v>
      </c>
      <c r="R719">
        <f>[5]m!$D721</f>
        <v>220.489</v>
      </c>
      <c r="S719">
        <f>[5]m!$Q721</f>
        <v>175.20000000000002</v>
      </c>
      <c r="T719">
        <f>[6]m!B721</f>
        <v>-176363</v>
      </c>
      <c r="U719" s="2">
        <f>[9]Unemployment!$F601</f>
        <v>27.3</v>
      </c>
      <c r="V719" s="2">
        <f>[9]Unemployment!$G601</f>
        <v>18.900000000000002</v>
      </c>
      <c r="W719">
        <f>[9]Unemployment!$E601</f>
        <v>15628</v>
      </c>
      <c r="X719">
        <f>[9]Unemployment!N601</f>
        <v>3225</v>
      </c>
      <c r="Y719">
        <f>[9]Unemployment!O601</f>
        <v>3607</v>
      </c>
      <c r="Z719">
        <f>[9]Unemployment!P601-[9]Unemployment!Q601</f>
        <v>3098</v>
      </c>
      <c r="AA719">
        <f>[9]Unemployment!$Q601</f>
        <v>5649</v>
      </c>
      <c r="AB719" s="2">
        <f>[8]m!$B721</f>
        <v>0.05</v>
      </c>
      <c r="AC719" s="2">
        <f>[8]m!$F721</f>
        <v>3.39</v>
      </c>
      <c r="AD719">
        <f>[9]Employment!$B601</f>
        <v>129505</v>
      </c>
      <c r="AE719" s="2">
        <f>[2]Indicators!$AB601</f>
        <v>86.016300000000001</v>
      </c>
      <c r="AF719" s="2">
        <f>[8]m!$AS721</f>
        <v>2474.5</v>
      </c>
      <c r="AG719" s="2">
        <f>[8]m!$H721</f>
        <v>5.15</v>
      </c>
      <c r="AH719" s="2">
        <f>[8]m!$I721</f>
        <v>6.29</v>
      </c>
      <c r="AI719" s="2">
        <f>[7]m!C720</f>
        <v>135445</v>
      </c>
      <c r="AJ719" s="2">
        <f>[7]m!D720</f>
        <v>170335</v>
      </c>
      <c r="AK719" s="2">
        <f>[2]Surveys_m!$AB601</f>
        <v>55.800000000000004</v>
      </c>
      <c r="AL719" s="3">
        <f>[9]Employment!$AZ601</f>
        <v>2307</v>
      </c>
      <c r="AM719">
        <f>[2]Indicators!$BB601</f>
        <v>153034</v>
      </c>
      <c r="AN719" s="2">
        <v>52.2</v>
      </c>
      <c r="AO719">
        <f>[9]Unemployment!H601</f>
        <v>808</v>
      </c>
      <c r="AP719">
        <f>[9]Unemployment!I601</f>
        <v>1565</v>
      </c>
      <c r="AQ719" s="3">
        <f>[9]LaborForce!$B600*[9]LaborForce!$C600/100</f>
        <v>153994.05000000002</v>
      </c>
      <c r="AR719">
        <f>[9]Unemployment!$AC601</f>
        <v>548</v>
      </c>
      <c r="AS719">
        <f>[2]Indicators!BC601</f>
        <v>104</v>
      </c>
      <c r="AT719">
        <f>[2]Indicators!BD601</f>
        <v>92.9666</v>
      </c>
      <c r="AU719">
        <f>[2]Indicators!BE601</f>
        <v>96.529800000000009</v>
      </c>
      <c r="AV719">
        <f>[5]m!$O721</f>
        <v>158.68</v>
      </c>
    </row>
    <row r="720" spans="1:48" x14ac:dyDescent="0.25">
      <c r="A720" s="1">
        <v>40118</v>
      </c>
      <c r="B720" s="2">
        <f>[2]Indicators!G602</f>
        <v>9977.4989999999998</v>
      </c>
      <c r="C720" s="2">
        <f>[2]Indicators!H602</f>
        <v>1043.5160000000001</v>
      </c>
      <c r="D720" s="2">
        <f>[2]Indicators!I602</f>
        <v>2229.8870000000002</v>
      </c>
      <c r="E720" s="2">
        <f>[2]Indicators!J602</f>
        <v>6704.0960000000005</v>
      </c>
      <c r="F720" s="2">
        <f>[2]Indicators!B602</f>
        <v>9044.6839999999993</v>
      </c>
      <c r="G720" s="2">
        <f>[2]Indicators!C602</f>
        <v>1124.876</v>
      </c>
      <c r="H720" s="2">
        <f>[2]Indicators!D602</f>
        <v>1995.2640000000001</v>
      </c>
      <c r="I720" s="2">
        <f>[2]Indicators!E602</f>
        <v>5916.7930000000006</v>
      </c>
      <c r="J720" s="2">
        <f>[2]Indicators!L602</f>
        <v>310161</v>
      </c>
      <c r="K720" s="2">
        <f>[2]Indicators!M602</f>
        <v>160424</v>
      </c>
      <c r="L720" s="2">
        <f>[2]Indicators!N602</f>
        <v>11.067</v>
      </c>
      <c r="M720" s="2">
        <f>[2]Indicators!AB602</f>
        <v>86.213700000000003</v>
      </c>
      <c r="N720" s="2">
        <f>[8]m!$C722</f>
        <v>0.12</v>
      </c>
      <c r="O720">
        <f>[9]Unemployment!$B602</f>
        <v>9.9</v>
      </c>
      <c r="P720" s="2">
        <f>[2]Surveys_m!$B602</f>
        <v>50.6</v>
      </c>
      <c r="Q720">
        <f>[5]m!$B722</f>
        <v>216.95600000000002</v>
      </c>
      <c r="R720">
        <f>[5]m!$D722</f>
        <v>220.61600000000001</v>
      </c>
      <c r="S720">
        <f>[5]m!$Q722</f>
        <v>177.4</v>
      </c>
      <c r="T720">
        <f>[6]m!B722</f>
        <v>-120287</v>
      </c>
      <c r="U720" s="2">
        <f>[9]Unemployment!$F602</f>
        <v>28.8</v>
      </c>
      <c r="V720" s="2">
        <f>[9]Unemployment!$G602</f>
        <v>20.200000000000003</v>
      </c>
      <c r="W720">
        <f>[9]Unemployment!$E602</f>
        <v>15206</v>
      </c>
      <c r="X720">
        <f>[9]Unemployment!N602</f>
        <v>2767</v>
      </c>
      <c r="Y720">
        <f>[9]Unemployment!O602</f>
        <v>3475</v>
      </c>
      <c r="Z720">
        <f>[9]Unemployment!P602-[9]Unemployment!Q602</f>
        <v>2955</v>
      </c>
      <c r="AA720">
        <f>[9]Unemployment!$Q602</f>
        <v>5919</v>
      </c>
      <c r="AB720" s="2">
        <f>[8]m!$B722</f>
        <v>0.06</v>
      </c>
      <c r="AC720" s="2">
        <f>[8]m!$F722</f>
        <v>3.4</v>
      </c>
      <c r="AD720">
        <f>[9]Employment!$B602</f>
        <v>129450</v>
      </c>
      <c r="AE720" s="2">
        <f>[2]Indicators!$AB602</f>
        <v>86.213700000000003</v>
      </c>
      <c r="AF720" s="2">
        <f>[8]m!$AS722</f>
        <v>2456.2000000000003</v>
      </c>
      <c r="AG720" s="2">
        <f>[8]m!$H722</f>
        <v>5.19</v>
      </c>
      <c r="AH720" s="2">
        <f>[8]m!$I722</f>
        <v>6.32</v>
      </c>
      <c r="AI720" s="2">
        <f>[7]m!C721</f>
        <v>139422</v>
      </c>
      <c r="AJ720" s="2">
        <f>[7]m!D721</f>
        <v>172219</v>
      </c>
      <c r="AK720" s="2">
        <f>[2]Surveys_m!$AB602</f>
        <v>54.7</v>
      </c>
      <c r="AL720" s="3">
        <f>[9]Employment!$AZ602</f>
        <v>2262</v>
      </c>
      <c r="AM720">
        <f>[2]Indicators!$BB602</f>
        <v>150917</v>
      </c>
      <c r="AN720" s="2">
        <v>51.5</v>
      </c>
      <c r="AO720">
        <f>[9]Unemployment!H602</f>
        <v>861</v>
      </c>
      <c r="AP720">
        <f>[9]Unemployment!I602</f>
        <v>1462</v>
      </c>
      <c r="AQ720" s="3">
        <f>[9]LaborForce!$B601*[9]LaborForce!$C601/100</f>
        <v>153882.95000000001</v>
      </c>
      <c r="AR720">
        <f>[9]Unemployment!$AC602</f>
        <v>523</v>
      </c>
      <c r="AS720">
        <f>[2]Indicators!BC602</f>
        <v>105.10000000000001</v>
      </c>
      <c r="AT720">
        <f>[2]Indicators!BD602</f>
        <v>93.805700000000002</v>
      </c>
      <c r="AU720">
        <f>[2]Indicators!BE602</f>
        <v>97.532499999999999</v>
      </c>
      <c r="AV720">
        <f>[5]m!$O722</f>
        <v>158.33000000000001</v>
      </c>
    </row>
    <row r="721" spans="1:48" x14ac:dyDescent="0.25">
      <c r="A721" s="1">
        <v>40148</v>
      </c>
      <c r="B721" s="2">
        <f>[2]Indicators!G603</f>
        <v>10034.594999999999</v>
      </c>
      <c r="C721" s="2">
        <f>[2]Indicators!H603</f>
        <v>1049.6020000000001</v>
      </c>
      <c r="D721" s="2">
        <f>[2]Indicators!I603</f>
        <v>2241.7820000000002</v>
      </c>
      <c r="E721" s="2">
        <f>[2]Indicators!J603</f>
        <v>6743.2120000000004</v>
      </c>
      <c r="F721" s="2">
        <f>[2]Indicators!B603</f>
        <v>9091.2060000000001</v>
      </c>
      <c r="G721" s="2">
        <f>[2]Indicators!C603</f>
        <v>1134.25</v>
      </c>
      <c r="H721" s="2">
        <f>[2]Indicators!D603</f>
        <v>2002.9070000000002</v>
      </c>
      <c r="I721" s="2">
        <f>[2]Indicators!E603</f>
        <v>5946.893</v>
      </c>
      <c r="J721" s="2">
        <f>[2]Indicators!L603</f>
        <v>311924</v>
      </c>
      <c r="K721" s="2">
        <f>[2]Indicators!M603</f>
        <v>161072</v>
      </c>
      <c r="L721" s="2">
        <f>[2]Indicators!N603</f>
        <v>11.287000000000001</v>
      </c>
      <c r="M721" s="2">
        <f>[2]Indicators!AB603</f>
        <v>86.719700000000003</v>
      </c>
      <c r="N721" s="2">
        <f>[8]m!$C723</f>
        <v>0.12</v>
      </c>
      <c r="O721">
        <f>[9]Unemployment!$B603</f>
        <v>9.9</v>
      </c>
      <c r="P721" s="2">
        <f>[2]Surveys_m!$B603</f>
        <v>53.6</v>
      </c>
      <c r="Q721">
        <f>[5]m!$B723</f>
        <v>217.15800000000002</v>
      </c>
      <c r="R721">
        <f>[5]m!$D723</f>
        <v>220.78300000000002</v>
      </c>
      <c r="S721">
        <f>[5]m!$Q723</f>
        <v>178.10000000000002</v>
      </c>
      <c r="T721">
        <f>[6]m!B723</f>
        <v>-91410</v>
      </c>
      <c r="U721" s="2">
        <f>[9]Unemployment!$F603</f>
        <v>29.3</v>
      </c>
      <c r="V721" s="2">
        <f>[9]Unemployment!$G603</f>
        <v>20.400000000000002</v>
      </c>
      <c r="W721">
        <f>[9]Unemployment!$E603</f>
        <v>15212</v>
      </c>
      <c r="X721">
        <f>[9]Unemployment!N603</f>
        <v>2908</v>
      </c>
      <c r="Y721">
        <f>[9]Unemployment!O603</f>
        <v>3483</v>
      </c>
      <c r="Z721">
        <f>[9]Unemployment!P603-[9]Unemployment!Q603</f>
        <v>2780</v>
      </c>
      <c r="AA721">
        <f>[9]Unemployment!$Q603</f>
        <v>6133</v>
      </c>
      <c r="AB721" s="2">
        <f>[8]m!$B723</f>
        <v>0.06</v>
      </c>
      <c r="AC721" s="2">
        <f>[8]m!$F723</f>
        <v>3.59</v>
      </c>
      <c r="AD721">
        <f>[9]Employment!$B603</f>
        <v>129320</v>
      </c>
      <c r="AE721" s="2">
        <f>[2]Indicators!$AB603</f>
        <v>86.719700000000003</v>
      </c>
      <c r="AF721" s="2">
        <f>[8]m!$AS723</f>
        <v>2450.1</v>
      </c>
      <c r="AG721" s="2">
        <f>[8]m!$H723</f>
        <v>5.26</v>
      </c>
      <c r="AH721" s="2">
        <f>[8]m!$I723</f>
        <v>6.37</v>
      </c>
      <c r="AI721" s="2">
        <f>[7]m!C722</f>
        <v>139991</v>
      </c>
      <c r="AJ721" s="2">
        <f>[7]m!D722</f>
        <v>176284</v>
      </c>
      <c r="AK721" s="2">
        <f>[2]Surveys_m!$AB603</f>
        <v>56.400000000000006</v>
      </c>
      <c r="AL721" s="3">
        <f>[9]Employment!$AZ603</f>
        <v>2376</v>
      </c>
      <c r="AM721">
        <f>[2]Indicators!$BB603</f>
        <v>153440</v>
      </c>
      <c r="AN721" s="2">
        <v>58.1</v>
      </c>
      <c r="AO721">
        <f>[9]Unemployment!H603</f>
        <v>929</v>
      </c>
      <c r="AP721">
        <f>[9]Unemployment!I603</f>
        <v>1558</v>
      </c>
      <c r="AQ721" s="3">
        <f>[9]LaborForce!$B602*[9]LaborForce!$C602/100</f>
        <v>153289.82800000001</v>
      </c>
      <c r="AR721">
        <f>[9]Unemployment!$AC603</f>
        <v>477</v>
      </c>
      <c r="AS721">
        <f>[2]Indicators!BC603</f>
        <v>106.2</v>
      </c>
      <c r="AT721">
        <f>[2]Indicators!BD603</f>
        <v>94.576999999999998</v>
      </c>
      <c r="AU721">
        <f>[2]Indicators!BE603</f>
        <v>98.464300000000009</v>
      </c>
      <c r="AV721">
        <f>[5]m!$O723</f>
        <v>158.16</v>
      </c>
    </row>
    <row r="722" spans="1:48" x14ac:dyDescent="0.25">
      <c r="A722" s="1">
        <v>40179</v>
      </c>
      <c r="B722" s="2">
        <f>[2]Indicators!G604</f>
        <v>10054.563</v>
      </c>
      <c r="C722" s="2">
        <f>[2]Indicators!H604</f>
        <v>1042.0899999999999</v>
      </c>
      <c r="D722" s="2">
        <f>[2]Indicators!I604</f>
        <v>2269.4940000000001</v>
      </c>
      <c r="E722" s="2">
        <f>[2]Indicators!J604</f>
        <v>6742.9800000000005</v>
      </c>
      <c r="F722" s="2">
        <f>[2]Indicators!B604</f>
        <v>9086.7669999999998</v>
      </c>
      <c r="G722" s="2">
        <f>[2]Indicators!C604</f>
        <v>1127.8920000000001</v>
      </c>
      <c r="H722" s="2">
        <f>[2]Indicators!D604</f>
        <v>2010.9259999999999</v>
      </c>
      <c r="I722" s="2">
        <f>[2]Indicators!E604</f>
        <v>5939.8420000000006</v>
      </c>
      <c r="J722" s="2">
        <f>[2]Indicators!L604</f>
        <v>313304</v>
      </c>
      <c r="K722" s="2">
        <f>[2]Indicators!M604</f>
        <v>161447</v>
      </c>
      <c r="L722" s="2">
        <f>[2]Indicators!N604</f>
        <v>11.032</v>
      </c>
      <c r="M722" s="2">
        <f>[2]Indicators!AB604</f>
        <v>87.749200000000002</v>
      </c>
      <c r="N722" s="2">
        <f>[8]m!$C724</f>
        <v>0.11</v>
      </c>
      <c r="O722">
        <f>[9]Unemployment!$B604</f>
        <v>9.7000000000000011</v>
      </c>
      <c r="P722" s="2">
        <f>[2]Surveys_m!$B604</f>
        <v>56.5</v>
      </c>
      <c r="Q722">
        <f>[5]m!$B724</f>
        <v>217.458</v>
      </c>
      <c r="R722">
        <f>[5]m!$D724</f>
        <v>220.494</v>
      </c>
      <c r="S722">
        <f>[5]m!$Q724</f>
        <v>181.9</v>
      </c>
      <c r="T722">
        <f>[6]m!B724</f>
        <v>-42634</v>
      </c>
      <c r="U722" s="2">
        <f>[9]Unemployment!$F604</f>
        <v>30.5</v>
      </c>
      <c r="V722" s="2">
        <f>[9]Unemployment!$G604</f>
        <v>20</v>
      </c>
      <c r="W722">
        <f>[9]Unemployment!$E604</f>
        <v>14842</v>
      </c>
      <c r="X722">
        <f>[9]Unemployment!N604</f>
        <v>2915</v>
      </c>
      <c r="Y722">
        <f>[9]Unemployment!O604</f>
        <v>3346</v>
      </c>
      <c r="Z722">
        <f>[9]Unemployment!P604-[9]Unemployment!Q604</f>
        <v>2614</v>
      </c>
      <c r="AA722">
        <f>[9]Unemployment!$Q604</f>
        <v>6302</v>
      </c>
      <c r="AB722" s="2">
        <f>[8]m!$B724</f>
        <v>0.08</v>
      </c>
      <c r="AC722" s="2">
        <f>[8]m!$F724</f>
        <v>3.73</v>
      </c>
      <c r="AD722">
        <f>[9]Employment!$B604</f>
        <v>129281</v>
      </c>
      <c r="AE722" s="2">
        <f>[2]Indicators!$AB604</f>
        <v>87.749200000000002</v>
      </c>
      <c r="AF722" s="2">
        <f>[8]m!$AS724</f>
        <v>2445.6</v>
      </c>
      <c r="AG722" s="2">
        <f>[8]m!$H724</f>
        <v>5.26</v>
      </c>
      <c r="AH722" s="2">
        <f>[8]m!$I724</f>
        <v>6.25</v>
      </c>
      <c r="AI722" s="2">
        <f>[7]m!C723</f>
        <v>143234</v>
      </c>
      <c r="AJ722" s="2">
        <f>[7]m!D723</f>
        <v>181924</v>
      </c>
      <c r="AK722" s="2">
        <f>[2]Surveys_m!$AB604</f>
        <v>58.300000000000004</v>
      </c>
      <c r="AL722" s="3">
        <f>[9]Employment!$AZ604</f>
        <v>2411</v>
      </c>
      <c r="AM722">
        <f>[2]Indicators!$BB604</f>
        <v>160541</v>
      </c>
      <c r="AO722">
        <f>[9]Unemployment!H604</f>
        <v>1065</v>
      </c>
      <c r="AP722">
        <f>[9]Unemployment!I604</f>
        <v>1474</v>
      </c>
      <c r="AQ722" s="3">
        <f>[9]LaborForce!$B603*[9]LaborForce!$C603/100</f>
        <v>153467.136</v>
      </c>
      <c r="AR722">
        <f>[9]Unemployment!$AC604</f>
        <v>462</v>
      </c>
      <c r="AS722">
        <f>[2]Indicators!BC604</f>
        <v>106.7</v>
      </c>
      <c r="AT722">
        <f>[2]Indicators!BD604</f>
        <v>95.239500000000007</v>
      </c>
      <c r="AU722">
        <f>[2]Indicators!BE604</f>
        <v>99.282600000000002</v>
      </c>
      <c r="AV722">
        <f>[5]m!$O724</f>
        <v>157.87</v>
      </c>
    </row>
    <row r="723" spans="1:48" x14ac:dyDescent="0.25">
      <c r="A723" s="1">
        <v>40210</v>
      </c>
      <c r="B723" s="2">
        <f>[2]Indicators!G605</f>
        <v>10098.844000000001</v>
      </c>
      <c r="C723" s="2">
        <f>[2]Indicators!H605</f>
        <v>1049.701</v>
      </c>
      <c r="D723" s="2">
        <f>[2]Indicators!I605</f>
        <v>2283.0520000000001</v>
      </c>
      <c r="E723" s="2">
        <f>[2]Indicators!J605</f>
        <v>6766.0910000000003</v>
      </c>
      <c r="F723" s="2">
        <f>[2]Indicators!B605</f>
        <v>9119.1039999999994</v>
      </c>
      <c r="G723" s="2">
        <f>[2]Indicators!C605</f>
        <v>1139.4860000000001</v>
      </c>
      <c r="H723" s="2">
        <f>[2]Indicators!D605</f>
        <v>2022.855</v>
      </c>
      <c r="I723" s="2">
        <f>[2]Indicators!E605</f>
        <v>5950.125</v>
      </c>
      <c r="J723" s="2">
        <f>[2]Indicators!L605</f>
        <v>313681</v>
      </c>
      <c r="K723" s="2">
        <f>[2]Indicators!M605</f>
        <v>161843</v>
      </c>
      <c r="L723" s="2">
        <f>[2]Indicators!N605</f>
        <v>10.622</v>
      </c>
      <c r="M723" s="2">
        <f>[2]Indicators!AB605</f>
        <v>87.912900000000008</v>
      </c>
      <c r="N723" s="2">
        <f>[8]m!$C725</f>
        <v>0.13</v>
      </c>
      <c r="O723">
        <f>[9]Unemployment!$B605</f>
        <v>9.7000000000000011</v>
      </c>
      <c r="P723" s="2">
        <f>[2]Surveys_m!$B605</f>
        <v>46.400000000000006</v>
      </c>
      <c r="Q723">
        <f>[5]m!$B725</f>
        <v>217.56200000000001</v>
      </c>
      <c r="R723">
        <f>[5]m!$D725</f>
        <v>220.619</v>
      </c>
      <c r="S723">
        <f>[5]m!$Q725</f>
        <v>181</v>
      </c>
      <c r="T723">
        <f>[6]m!B725</f>
        <v>-220909</v>
      </c>
      <c r="U723" s="2">
        <f>[9]Unemployment!$F605</f>
        <v>29.8</v>
      </c>
      <c r="V723" s="2">
        <f>[9]Unemployment!$G605</f>
        <v>19.600000000000001</v>
      </c>
      <c r="W723">
        <f>[9]Unemployment!$E605</f>
        <v>14860</v>
      </c>
      <c r="X723">
        <f>[9]Unemployment!N605</f>
        <v>2729</v>
      </c>
      <c r="Y723">
        <f>[9]Unemployment!O605</f>
        <v>3380</v>
      </c>
      <c r="Z723">
        <f>[9]Unemployment!P605-[9]Unemployment!Q605</f>
        <v>2703</v>
      </c>
      <c r="AA723">
        <f>[9]Unemployment!$Q605</f>
        <v>6131</v>
      </c>
      <c r="AB723" s="2">
        <f>[8]m!$B725</f>
        <v>0.13</v>
      </c>
      <c r="AC723" s="2">
        <f>[8]m!$F725</f>
        <v>3.69</v>
      </c>
      <c r="AD723">
        <f>[9]Employment!$B605</f>
        <v>129246</v>
      </c>
      <c r="AE723" s="2">
        <f>[2]Indicators!$AB605</f>
        <v>87.912900000000008</v>
      </c>
      <c r="AF723" s="2">
        <f>[8]m!$AS725</f>
        <v>2435.7000000000003</v>
      </c>
      <c r="AG723" s="2">
        <f>[8]m!$H725</f>
        <v>5.3500000000000005</v>
      </c>
      <c r="AH723" s="2">
        <f>[8]m!$I725</f>
        <v>6.34</v>
      </c>
      <c r="AI723" s="2">
        <f>[7]m!C724</f>
        <v>143606</v>
      </c>
      <c r="AJ723" s="2">
        <f>[7]m!D724</f>
        <v>181096</v>
      </c>
      <c r="AK723" s="2">
        <f>[2]Surveys_m!$AB605</f>
        <v>57.1</v>
      </c>
      <c r="AL723" s="3">
        <f>[9]Employment!$AZ605</f>
        <v>2523</v>
      </c>
      <c r="AM723">
        <f>[2]Indicators!$BB605</f>
        <v>162952</v>
      </c>
      <c r="AO723">
        <f>[9]Unemployment!H605</f>
        <v>1204</v>
      </c>
      <c r="AP723">
        <f>[9]Unemployment!I605</f>
        <v>1323</v>
      </c>
      <c r="AQ723" s="3">
        <f>[9]LaborForce!$B604*[9]LaborForce!$C604/100</f>
        <v>153574.704</v>
      </c>
      <c r="AR723">
        <f>[9]Unemployment!$AC605</f>
        <v>501</v>
      </c>
      <c r="AS723">
        <f>[2]Indicators!BC605</f>
        <v>107.2</v>
      </c>
      <c r="AT723">
        <f>[2]Indicators!BD605</f>
        <v>95.7316</v>
      </c>
      <c r="AU723">
        <f>[2]Indicators!BE605</f>
        <v>99.922499999999999</v>
      </c>
      <c r="AV723">
        <f>[5]m!$O725</f>
        <v>156.85</v>
      </c>
    </row>
    <row r="724" spans="1:48" x14ac:dyDescent="0.25">
      <c r="A724" s="1">
        <v>40238</v>
      </c>
      <c r="B724" s="2">
        <f>[2]Indicators!G606</f>
        <v>10157.594999999999</v>
      </c>
      <c r="C724" s="2">
        <f>[2]Indicators!H606</f>
        <v>1082.2260000000001</v>
      </c>
      <c r="D724" s="2">
        <f>[2]Indicators!I606</f>
        <v>2287.7179999999998</v>
      </c>
      <c r="E724" s="2">
        <f>[2]Indicators!J606</f>
        <v>6787.6509999999998</v>
      </c>
      <c r="F724" s="2">
        <f>[2]Indicators!B606</f>
        <v>9157.7090000000007</v>
      </c>
      <c r="G724" s="2">
        <f>[2]Indicators!C606</f>
        <v>1175.019</v>
      </c>
      <c r="H724" s="2">
        <f>[2]Indicators!D606</f>
        <v>2029.595</v>
      </c>
      <c r="I724" s="2">
        <f>[2]Indicators!E606</f>
        <v>5952.3240000000005</v>
      </c>
      <c r="J724" s="2">
        <f>[2]Indicators!L606</f>
        <v>321187</v>
      </c>
      <c r="K724" s="2">
        <f>[2]Indicators!M606</f>
        <v>165376</v>
      </c>
      <c r="L724" s="2">
        <f>[2]Indicators!N606</f>
        <v>11.9</v>
      </c>
      <c r="M724" s="2">
        <f>[2]Indicators!AB606</f>
        <v>88.391500000000008</v>
      </c>
      <c r="N724" s="2">
        <f>[8]m!$C726</f>
        <v>0.16</v>
      </c>
      <c r="O724">
        <f>[9]Unemployment!$B606</f>
        <v>9.7000000000000011</v>
      </c>
      <c r="P724" s="2">
        <f>[2]Surveys_m!$B606</f>
        <v>52.300000000000004</v>
      </c>
      <c r="Q724">
        <f>[5]m!$B726</f>
        <v>217.61100000000002</v>
      </c>
      <c r="R724">
        <f>[5]m!$D726</f>
        <v>220.69499999999999</v>
      </c>
      <c r="S724">
        <f>[5]m!$Q726</f>
        <v>183.3</v>
      </c>
      <c r="T724">
        <f>[6]m!B726</f>
        <v>-65387</v>
      </c>
      <c r="U724" s="2">
        <f>[9]Unemployment!$F606</f>
        <v>31.700000000000003</v>
      </c>
      <c r="V724" s="2">
        <f>[9]Unemployment!$G606</f>
        <v>20.3</v>
      </c>
      <c r="W724">
        <f>[9]Unemployment!$E606</f>
        <v>14943</v>
      </c>
      <c r="X724">
        <f>[9]Unemployment!N606</f>
        <v>2654</v>
      </c>
      <c r="Y724">
        <f>[9]Unemployment!O606</f>
        <v>3210</v>
      </c>
      <c r="Z724">
        <f>[9]Unemployment!P606-[9]Unemployment!Q606</f>
        <v>2449</v>
      </c>
      <c r="AA724">
        <f>[9]Unemployment!$Q606</f>
        <v>6517</v>
      </c>
      <c r="AB724" s="2">
        <f>[8]m!$B726</f>
        <v>0.16</v>
      </c>
      <c r="AC724" s="2">
        <f>[8]m!$F726</f>
        <v>3.73</v>
      </c>
      <c r="AD724">
        <f>[9]Employment!$B606</f>
        <v>129438</v>
      </c>
      <c r="AE724" s="2">
        <f>[2]Indicators!$AB606</f>
        <v>88.391500000000008</v>
      </c>
      <c r="AF724" s="2">
        <f>[8]m!$AS726</f>
        <v>2426.3000000000002</v>
      </c>
      <c r="AG724" s="2">
        <f>[8]m!$H726</f>
        <v>5.2700000000000005</v>
      </c>
      <c r="AH724" s="2">
        <f>[8]m!$I726</f>
        <v>6.2700000000000005</v>
      </c>
      <c r="AI724" s="2">
        <f>[7]m!C725</f>
        <v>143974</v>
      </c>
      <c r="AJ724" s="2">
        <f>[7]m!D725</f>
        <v>184985</v>
      </c>
      <c r="AK724" s="2">
        <f>[2]Surveys_m!$AB606</f>
        <v>60.400000000000006</v>
      </c>
      <c r="AL724" s="3">
        <f>[9]Employment!$AZ606</f>
        <v>2697</v>
      </c>
      <c r="AM724">
        <f>[2]Indicators!$BB606</f>
        <v>160184</v>
      </c>
      <c r="AO724">
        <f>[9]Unemployment!H606</f>
        <v>994</v>
      </c>
      <c r="AP724">
        <f>[9]Unemployment!I606</f>
        <v>1261</v>
      </c>
      <c r="AQ724" s="3">
        <f>[9]LaborForce!$B605*[9]LaborForce!$C605/100</f>
        <v>153916.19100000002</v>
      </c>
      <c r="AR724">
        <f>[9]Unemployment!$AC606</f>
        <v>475</v>
      </c>
      <c r="AS724">
        <f>[2]Indicators!BC606</f>
        <v>108.60000000000001</v>
      </c>
      <c r="AT724">
        <f>[2]Indicators!BD606</f>
        <v>96.060600000000008</v>
      </c>
      <c r="AU724">
        <f>[2]Indicators!BE606</f>
        <v>100.3914</v>
      </c>
      <c r="AV724">
        <f>[5]m!$O726</f>
        <v>156.21</v>
      </c>
    </row>
    <row r="725" spans="1:48" x14ac:dyDescent="0.25">
      <c r="A725" s="1">
        <v>40269</v>
      </c>
      <c r="B725" s="2">
        <f>[2]Indicators!G607</f>
        <v>10169.09</v>
      </c>
      <c r="C725" s="2">
        <f>[2]Indicators!H607</f>
        <v>1074.729</v>
      </c>
      <c r="D725" s="2">
        <f>[2]Indicators!I607</f>
        <v>2279.3119999999999</v>
      </c>
      <c r="E725" s="2">
        <f>[2]Indicators!J607</f>
        <v>6815.05</v>
      </c>
      <c r="F725" s="2">
        <f>[2]Indicators!B607</f>
        <v>9164.6980000000003</v>
      </c>
      <c r="G725" s="2">
        <f>[2]Indicators!C607</f>
        <v>1169.287</v>
      </c>
      <c r="H725" s="2">
        <f>[2]Indicators!D607</f>
        <v>2026.2190000000001</v>
      </c>
      <c r="I725" s="2">
        <f>[2]Indicators!E607</f>
        <v>5967.12</v>
      </c>
      <c r="J725" s="2">
        <f>[2]Indicators!L607</f>
        <v>322993</v>
      </c>
      <c r="K725" s="2">
        <f>[2]Indicators!M607</f>
        <v>166219</v>
      </c>
      <c r="L725" s="2">
        <f>[2]Indicators!N607</f>
        <v>11.48</v>
      </c>
      <c r="M725" s="2">
        <f>[2]Indicators!AB607</f>
        <v>88.705100000000002</v>
      </c>
      <c r="N725" s="2">
        <f>[8]m!$C727</f>
        <v>0.2</v>
      </c>
      <c r="O725">
        <f>[9]Unemployment!$B607</f>
        <v>9.8000000000000007</v>
      </c>
      <c r="P725" s="2">
        <f>[2]Surveys_m!$B607</f>
        <v>57.7</v>
      </c>
      <c r="Q725">
        <f>[5]m!$B727</f>
        <v>217.625</v>
      </c>
      <c r="R725">
        <f>[5]m!$D727</f>
        <v>220.786</v>
      </c>
      <c r="S725">
        <f>[5]m!$Q727</f>
        <v>184.4</v>
      </c>
      <c r="T725">
        <f>[6]m!B727</f>
        <v>-82689</v>
      </c>
      <c r="U725" s="2">
        <f>[9]Unemployment!$F607</f>
        <v>33.1</v>
      </c>
      <c r="V725" s="2">
        <f>[9]Unemployment!$G607</f>
        <v>21.6</v>
      </c>
      <c r="W725">
        <f>[9]Unemployment!$E607</f>
        <v>15138</v>
      </c>
      <c r="X725">
        <f>[9]Unemployment!N607</f>
        <v>2695</v>
      </c>
      <c r="Y725">
        <f>[9]Unemployment!O607</f>
        <v>3000</v>
      </c>
      <c r="Z725">
        <f>[9]Unemployment!P607-[9]Unemployment!Q607</f>
        <v>2274</v>
      </c>
      <c r="AA725">
        <f>[9]Unemployment!$Q607</f>
        <v>6659</v>
      </c>
      <c r="AB725" s="2">
        <f>[8]m!$B727</f>
        <v>0.16</v>
      </c>
      <c r="AC725" s="2">
        <f>[8]m!$F727</f>
        <v>3.85</v>
      </c>
      <c r="AD725">
        <f>[9]Employment!$B607</f>
        <v>129715</v>
      </c>
      <c r="AE725" s="2">
        <f>[2]Indicators!$AB607</f>
        <v>88.705100000000002</v>
      </c>
      <c r="AF725" s="2">
        <f>[8]m!$AS727</f>
        <v>2415.8000000000002</v>
      </c>
      <c r="AG725" s="2">
        <f>[8]m!$H727</f>
        <v>5.29</v>
      </c>
      <c r="AH725" s="2">
        <f>[8]m!$I727</f>
        <v>6.25</v>
      </c>
      <c r="AI725" s="2">
        <f>[7]m!C726</f>
        <v>148922</v>
      </c>
      <c r="AJ725" s="2">
        <f>[7]m!D726</f>
        <v>190063</v>
      </c>
      <c r="AK725" s="2">
        <f>[2]Surveys_m!$AB607</f>
        <v>59.6</v>
      </c>
      <c r="AL725" s="3">
        <f>[9]Employment!$AZ607</f>
        <v>3043</v>
      </c>
      <c r="AM725">
        <f>[2]Indicators!$BB607</f>
        <v>168327</v>
      </c>
      <c r="AO725">
        <f>[9]Unemployment!H607</f>
        <v>1197</v>
      </c>
      <c r="AP725">
        <f>[9]Unemployment!I607</f>
        <v>1234</v>
      </c>
      <c r="AQ725" s="3">
        <f>[9]LaborForce!$B606*[9]LaborForce!$C606/100</f>
        <v>154501.17900000003</v>
      </c>
      <c r="AR725">
        <f>[9]Unemployment!$AC607</f>
        <v>452</v>
      </c>
      <c r="AS725">
        <f>[2]Indicators!BC607</f>
        <v>108.60000000000001</v>
      </c>
      <c r="AT725">
        <f>[2]Indicators!BD607</f>
        <v>96.173700000000011</v>
      </c>
      <c r="AU725">
        <f>[2]Indicators!BE607</f>
        <v>100.6335</v>
      </c>
      <c r="AV725">
        <f>[5]m!$O727</f>
        <v>157.36000000000001</v>
      </c>
    </row>
    <row r="726" spans="1:48" x14ac:dyDescent="0.25">
      <c r="A726" s="1">
        <v>40299</v>
      </c>
      <c r="B726" s="2">
        <f>[2]Indicators!G608</f>
        <v>10194.638000000001</v>
      </c>
      <c r="C726" s="2">
        <f>[2]Indicators!H608</f>
        <v>1072.9950000000001</v>
      </c>
      <c r="D726" s="2">
        <f>[2]Indicators!I608</f>
        <v>2265.63</v>
      </c>
      <c r="E726" s="2">
        <f>[2]Indicators!J608</f>
        <v>6856.0129999999999</v>
      </c>
      <c r="F726" s="2">
        <f>[2]Indicators!B608</f>
        <v>9192.375</v>
      </c>
      <c r="G726" s="2">
        <f>[2]Indicators!C608</f>
        <v>1170.269</v>
      </c>
      <c r="H726" s="2">
        <f>[2]Indicators!D608</f>
        <v>2028.1380000000001</v>
      </c>
      <c r="I726" s="2">
        <f>[2]Indicators!E608</f>
        <v>5991.34</v>
      </c>
      <c r="J726" s="2">
        <f>[2]Indicators!L608</f>
        <v>320633</v>
      </c>
      <c r="K726" s="2">
        <f>[2]Indicators!M608</f>
        <v>165315</v>
      </c>
      <c r="L726" s="2">
        <f>[2]Indicators!N608</f>
        <v>11.758000000000001</v>
      </c>
      <c r="M726" s="2">
        <f>[2]Indicators!AB608</f>
        <v>89.902500000000003</v>
      </c>
      <c r="N726" s="2">
        <f>[8]m!$C728</f>
        <v>0.2</v>
      </c>
      <c r="O726">
        <f>[9]Unemployment!$B608</f>
        <v>9.6000000000000014</v>
      </c>
      <c r="P726" s="2">
        <f>[2]Surveys_m!$B608</f>
        <v>62.7</v>
      </c>
      <c r="Q726">
        <f>[5]m!$B728</f>
        <v>217.32</v>
      </c>
      <c r="R726">
        <f>[5]m!$D728</f>
        <v>221.041</v>
      </c>
      <c r="S726">
        <f>[5]m!$Q728</f>
        <v>184.8</v>
      </c>
      <c r="T726">
        <f>[6]m!B728</f>
        <v>-135927</v>
      </c>
      <c r="U726" s="2">
        <f>[9]Unemployment!$F608</f>
        <v>34.300000000000004</v>
      </c>
      <c r="V726" s="2">
        <f>[9]Unemployment!$G608</f>
        <v>22.8</v>
      </c>
      <c r="W726">
        <f>[9]Unemployment!$E608</f>
        <v>14884</v>
      </c>
      <c r="X726">
        <f>[9]Unemployment!N608</f>
        <v>2763</v>
      </c>
      <c r="Y726">
        <f>[9]Unemployment!O608</f>
        <v>3060</v>
      </c>
      <c r="Z726">
        <f>[9]Unemployment!P608-[9]Unemployment!Q608</f>
        <v>2174</v>
      </c>
      <c r="AA726">
        <f>[9]Unemployment!$Q608</f>
        <v>6710</v>
      </c>
      <c r="AB726" s="2">
        <f>[8]m!$B728</f>
        <v>0.16</v>
      </c>
      <c r="AC726" s="2">
        <f>[8]m!$F728</f>
        <v>3.42</v>
      </c>
      <c r="AD726">
        <f>[9]Employment!$B608</f>
        <v>130173</v>
      </c>
      <c r="AE726" s="2">
        <f>[2]Indicators!$AB608</f>
        <v>89.902500000000003</v>
      </c>
      <c r="AF726" s="2">
        <f>[8]m!$AS728</f>
        <v>2411.1</v>
      </c>
      <c r="AG726" s="2">
        <f>[8]m!$H728</f>
        <v>4.96</v>
      </c>
      <c r="AH726" s="2">
        <f>[8]m!$I728</f>
        <v>6.05</v>
      </c>
      <c r="AI726" s="2">
        <f>[7]m!C727</f>
        <v>147732</v>
      </c>
      <c r="AJ726" s="2">
        <f>[7]m!D727</f>
        <v>189198</v>
      </c>
      <c r="AK726" s="2">
        <f>[2]Surveys_m!$AB608</f>
        <v>57.800000000000004</v>
      </c>
      <c r="AL726" s="3">
        <f>[9]Employment!$AZ608</f>
        <v>2790</v>
      </c>
      <c r="AM726">
        <f>[2]Indicators!$BB608</f>
        <v>167279</v>
      </c>
      <c r="AO726">
        <f>[9]Unemployment!H608</f>
        <v>1083</v>
      </c>
      <c r="AP726">
        <f>[9]Unemployment!I608</f>
        <v>1140</v>
      </c>
      <c r="AQ726" s="3">
        <f>[9]LaborForce!$B607*[9]LaborForce!$C607/100</f>
        <v>154136.85100000002</v>
      </c>
      <c r="AR726">
        <f>[9]Unemployment!$AC608</f>
        <v>460</v>
      </c>
      <c r="AS726">
        <f>[2]Indicators!BC608</f>
        <v>109</v>
      </c>
      <c r="AT726">
        <f>[2]Indicators!BD608</f>
        <v>96.0608</v>
      </c>
      <c r="AU726">
        <f>[2]Indicators!BE608</f>
        <v>100.63760000000001</v>
      </c>
      <c r="AV726">
        <f>[5]m!$O728</f>
        <v>159.41</v>
      </c>
    </row>
    <row r="727" spans="1:48" x14ac:dyDescent="0.25">
      <c r="A727" s="1">
        <v>40330</v>
      </c>
      <c r="B727" s="2">
        <f>[2]Indicators!G609</f>
        <v>10190.583000000001</v>
      </c>
      <c r="C727" s="2">
        <f>[2]Indicators!H609</f>
        <v>1067.415</v>
      </c>
      <c r="D727" s="2">
        <f>[2]Indicators!I609</f>
        <v>2260.0880000000002</v>
      </c>
      <c r="E727" s="2">
        <f>[2]Indicators!J609</f>
        <v>6863.0810000000001</v>
      </c>
      <c r="F727" s="2">
        <f>[2]Indicators!B609</f>
        <v>9203.6740000000009</v>
      </c>
      <c r="G727" s="2">
        <f>[2]Indicators!C609</f>
        <v>1168.222</v>
      </c>
      <c r="H727" s="2">
        <f>[2]Indicators!D609</f>
        <v>2037.9270000000001</v>
      </c>
      <c r="I727" s="2">
        <f>[2]Indicators!E609</f>
        <v>5994.4160000000002</v>
      </c>
      <c r="J727" s="2">
        <f>[2]Indicators!L609</f>
        <v>320045</v>
      </c>
      <c r="K727" s="2">
        <f>[2]Indicators!M609</f>
        <v>165413</v>
      </c>
      <c r="L727" s="2">
        <f>[2]Indicators!N609</f>
        <v>11.463000000000001</v>
      </c>
      <c r="M727" s="2">
        <f>[2]Indicators!AB609</f>
        <v>89.997</v>
      </c>
      <c r="N727" s="2">
        <f>[8]m!$C729</f>
        <v>0.18</v>
      </c>
      <c r="O727">
        <f>[9]Unemployment!$B609</f>
        <v>9.5</v>
      </c>
      <c r="P727" s="2">
        <f>[2]Surveys_m!$B609</f>
        <v>54.300000000000004</v>
      </c>
      <c r="Q727">
        <f>[5]m!$B729</f>
        <v>216.86500000000001</v>
      </c>
      <c r="R727">
        <f>[5]m!$D729</f>
        <v>221.33100000000002</v>
      </c>
      <c r="S727">
        <f>[5]m!$Q729</f>
        <v>183.5</v>
      </c>
      <c r="T727">
        <f>[6]m!B729</f>
        <v>-68422</v>
      </c>
      <c r="U727" s="2">
        <f>[9]Unemployment!$F609</f>
        <v>34.800000000000004</v>
      </c>
      <c r="V727" s="2">
        <f>[9]Unemployment!$G609</f>
        <v>25.5</v>
      </c>
      <c r="W727">
        <f>[9]Unemployment!$E609</f>
        <v>14593</v>
      </c>
      <c r="X727">
        <f>[9]Unemployment!N609</f>
        <v>2779</v>
      </c>
      <c r="Y727">
        <f>[9]Unemployment!O609</f>
        <v>3138</v>
      </c>
      <c r="Z727">
        <f>[9]Unemployment!P609-[9]Unemployment!Q609</f>
        <v>2209</v>
      </c>
      <c r="AA727">
        <f>[9]Unemployment!$Q609</f>
        <v>6691</v>
      </c>
      <c r="AB727" s="2">
        <f>[8]m!$B729</f>
        <v>0.18</v>
      </c>
      <c r="AC727" s="2">
        <f>[8]m!$F729</f>
        <v>3.2</v>
      </c>
      <c r="AD727">
        <f>[9]Employment!$B609</f>
        <v>129981</v>
      </c>
      <c r="AE727" s="2">
        <f>[2]Indicators!$AB609</f>
        <v>89.997</v>
      </c>
      <c r="AF727" s="2">
        <f>[8]m!$AS729</f>
        <v>2406.4</v>
      </c>
      <c r="AG727" s="2">
        <f>[8]m!$H729</f>
        <v>4.88</v>
      </c>
      <c r="AH727" s="2">
        <f>[8]m!$I729</f>
        <v>6.23</v>
      </c>
      <c r="AI727" s="2">
        <f>[7]m!C728</f>
        <v>152078</v>
      </c>
      <c r="AJ727" s="2">
        <f>[7]m!D728</f>
        <v>194244</v>
      </c>
      <c r="AK727" s="2">
        <f>[2]Surveys_m!$AB609</f>
        <v>55.300000000000004</v>
      </c>
      <c r="AL727" s="3">
        <f>[9]Employment!$AZ609</f>
        <v>2685</v>
      </c>
      <c r="AM727">
        <f>[2]Indicators!$BB609</f>
        <v>167002</v>
      </c>
      <c r="AO727">
        <f>[9]Unemployment!H609</f>
        <v>1207</v>
      </c>
      <c r="AP727">
        <f>[9]Unemployment!I609</f>
        <v>1384</v>
      </c>
      <c r="AQ727" s="3">
        <f>[9]LaborForce!$B608*[9]LaborForce!$C608/100</f>
        <v>153785.43</v>
      </c>
      <c r="AR727">
        <f>[9]Unemployment!$AC609</f>
        <v>464</v>
      </c>
      <c r="AS727">
        <f>[2]Indicators!BC609</f>
        <v>108.8</v>
      </c>
      <c r="AT727">
        <f>[2]Indicators!BD609</f>
        <v>95.832000000000008</v>
      </c>
      <c r="AU727">
        <f>[2]Indicators!BE609</f>
        <v>100.51830000000001</v>
      </c>
      <c r="AV727">
        <f>[5]m!$O729</f>
        <v>161.06</v>
      </c>
    </row>
    <row r="728" spans="1:48" x14ac:dyDescent="0.25">
      <c r="A728" s="1">
        <v>40360</v>
      </c>
      <c r="B728" s="2">
        <f>[2]Indicators!G610</f>
        <v>10227.880000000001</v>
      </c>
      <c r="C728" s="2">
        <f>[2]Indicators!H610</f>
        <v>1080.24</v>
      </c>
      <c r="D728" s="2">
        <f>[2]Indicators!I610</f>
        <v>2268.8490000000002</v>
      </c>
      <c r="E728" s="2">
        <f>[2]Indicators!J610</f>
        <v>6878.7910000000002</v>
      </c>
      <c r="F728" s="2">
        <f>[2]Indicators!B610</f>
        <v>9216.755000000001</v>
      </c>
      <c r="G728" s="2">
        <f>[2]Indicators!C610</f>
        <v>1186.105</v>
      </c>
      <c r="H728" s="2">
        <f>[2]Indicators!D610</f>
        <v>2027.6590000000001</v>
      </c>
      <c r="I728" s="2">
        <f>[2]Indicators!E610</f>
        <v>6002.826</v>
      </c>
      <c r="J728" s="2">
        <f>[2]Indicators!L610</f>
        <v>320747</v>
      </c>
      <c r="K728" s="2">
        <f>[2]Indicators!M610</f>
        <v>165171</v>
      </c>
      <c r="L728" s="2">
        <f>[2]Indicators!N610</f>
        <v>11.766</v>
      </c>
      <c r="M728" s="2">
        <f>[2]Indicators!AB610</f>
        <v>90.791899999999998</v>
      </c>
      <c r="N728" s="2">
        <f>[8]m!$C730</f>
        <v>0.18</v>
      </c>
      <c r="O728">
        <f>[9]Unemployment!$B610</f>
        <v>9.5</v>
      </c>
      <c r="P728" s="2">
        <f>[2]Surveys_m!$B610</f>
        <v>51</v>
      </c>
      <c r="Q728">
        <f>[5]m!$B730</f>
        <v>217.62100000000001</v>
      </c>
      <c r="R728">
        <f>[5]m!$D730</f>
        <v>221.55700000000002</v>
      </c>
      <c r="S728">
        <f>[5]m!$Q730</f>
        <v>184.10000000000002</v>
      </c>
      <c r="T728">
        <f>[6]m!B730</f>
        <v>-165043</v>
      </c>
      <c r="U728" s="2">
        <f>[9]Unemployment!$F610</f>
        <v>33.9</v>
      </c>
      <c r="V728" s="2">
        <f>[9]Unemployment!$G610</f>
        <v>21.700000000000003</v>
      </c>
      <c r="W728">
        <f>[9]Unemployment!$E610</f>
        <v>14637</v>
      </c>
      <c r="X728">
        <f>[9]Unemployment!N610</f>
        <v>2833</v>
      </c>
      <c r="Y728">
        <f>[9]Unemployment!O610</f>
        <v>3098</v>
      </c>
      <c r="Z728">
        <f>[9]Unemployment!P610-[9]Unemployment!Q610</f>
        <v>2170</v>
      </c>
      <c r="AA728">
        <f>[9]Unemployment!$Q610</f>
        <v>6539</v>
      </c>
      <c r="AB728" s="2">
        <f>[8]m!$B730</f>
        <v>0.15</v>
      </c>
      <c r="AC728" s="2">
        <f>[8]m!$F730</f>
        <v>3.0100000000000002</v>
      </c>
      <c r="AD728">
        <f>[9]Employment!$B610</f>
        <v>129932</v>
      </c>
      <c r="AE728" s="2">
        <f>[2]Indicators!$AB610</f>
        <v>90.791899999999998</v>
      </c>
      <c r="AF728" s="2">
        <f>[8]m!$AS730</f>
        <v>2399.4</v>
      </c>
      <c r="AG728" s="2">
        <f>[8]m!$H730</f>
        <v>4.72</v>
      </c>
      <c r="AH728" s="2">
        <f>[8]m!$I730</f>
        <v>6.01</v>
      </c>
      <c r="AI728" s="2">
        <f>[7]m!C729</f>
        <v>151324</v>
      </c>
      <c r="AJ728" s="2">
        <f>[7]m!D729</f>
        <v>198214</v>
      </c>
      <c r="AK728" s="2">
        <f>[2]Surveys_m!$AB610</f>
        <v>55.1</v>
      </c>
      <c r="AL728" s="3">
        <f>[9]Employment!$AZ610</f>
        <v>2848</v>
      </c>
      <c r="AM728">
        <f>[2]Indicators!$BB610</f>
        <v>172804</v>
      </c>
      <c r="AO728">
        <f>[9]Unemployment!H610</f>
        <v>1185</v>
      </c>
      <c r="AP728">
        <f>[9]Unemployment!I610</f>
        <v>1437</v>
      </c>
      <c r="AQ728" s="3">
        <f>[9]LaborForce!$B609*[9]LaborForce!$C609/100</f>
        <v>153676.94000000003</v>
      </c>
      <c r="AR728">
        <f>[9]Unemployment!$AC610</f>
        <v>472</v>
      </c>
      <c r="AS728">
        <f>[2]Indicators!BC610</f>
        <v>109</v>
      </c>
      <c r="AT728">
        <f>[2]Indicators!BD610</f>
        <v>95.642200000000003</v>
      </c>
      <c r="AU728">
        <f>[2]Indicators!BE610</f>
        <v>100.43690000000001</v>
      </c>
      <c r="AV728">
        <f>[5]m!$O730</f>
        <v>162.24</v>
      </c>
    </row>
    <row r="729" spans="1:48" x14ac:dyDescent="0.25">
      <c r="A729" s="1">
        <v>40391</v>
      </c>
      <c r="B729" s="2">
        <f>[2]Indicators!G611</f>
        <v>10286.275</v>
      </c>
      <c r="C729" s="2">
        <f>[2]Indicators!H611</f>
        <v>1082.8389999999999</v>
      </c>
      <c r="D729" s="2">
        <f>[2]Indicators!I611</f>
        <v>2309.1320000000001</v>
      </c>
      <c r="E729" s="2">
        <f>[2]Indicators!J611</f>
        <v>6894.3040000000001</v>
      </c>
      <c r="F729" s="2">
        <f>[2]Indicators!B611</f>
        <v>9254.4089999999997</v>
      </c>
      <c r="G729" s="2">
        <f>[2]Indicators!C611</f>
        <v>1187.9449999999999</v>
      </c>
      <c r="H729" s="2">
        <f>[2]Indicators!D611</f>
        <v>2054.259</v>
      </c>
      <c r="I729" s="2">
        <f>[2]Indicators!E611</f>
        <v>6011.8220000000001</v>
      </c>
      <c r="J729" s="2">
        <f>[2]Indicators!L611</f>
        <v>324572</v>
      </c>
      <c r="K729" s="2">
        <f>[2]Indicators!M611</f>
        <v>166767</v>
      </c>
      <c r="L729" s="2">
        <f>[2]Indicators!N611</f>
        <v>11.734999999999999</v>
      </c>
      <c r="M729" s="2">
        <f>[2]Indicators!AB611</f>
        <v>90.989800000000002</v>
      </c>
      <c r="N729" s="2">
        <f>[8]m!$C731</f>
        <v>0.19</v>
      </c>
      <c r="O729">
        <f>[9]Unemployment!$B611</f>
        <v>9.6000000000000014</v>
      </c>
      <c r="P729" s="2">
        <f>[2]Surveys_m!$B611</f>
        <v>53.2</v>
      </c>
      <c r="Q729">
        <f>[5]m!$B731</f>
        <v>218.06800000000001</v>
      </c>
      <c r="R729">
        <f>[5]m!$D731</f>
        <v>221.691</v>
      </c>
      <c r="S729">
        <f>[5]m!$Q731</f>
        <v>184.9</v>
      </c>
      <c r="T729">
        <f>[6]m!B731</f>
        <v>-90526</v>
      </c>
      <c r="U729" s="2">
        <f>[9]Unemployment!$F611</f>
        <v>33.5</v>
      </c>
      <c r="V729" s="2">
        <f>[9]Unemployment!$G611</f>
        <v>20.6</v>
      </c>
      <c r="W729">
        <f>[9]Unemployment!$E611</f>
        <v>14849</v>
      </c>
      <c r="X729">
        <f>[9]Unemployment!N611</f>
        <v>2756</v>
      </c>
      <c r="Y729">
        <f>[9]Unemployment!O611</f>
        <v>3604</v>
      </c>
      <c r="Z729">
        <f>[9]Unemployment!P611-[9]Unemployment!Q611</f>
        <v>2210</v>
      </c>
      <c r="AA729">
        <f>[9]Unemployment!$Q611</f>
        <v>6261</v>
      </c>
      <c r="AB729" s="2">
        <f>[8]m!$B731</f>
        <v>0.14000000000000001</v>
      </c>
      <c r="AC729" s="2">
        <f>[8]m!$F731</f>
        <v>2.7</v>
      </c>
      <c r="AD729">
        <f>[9]Employment!$B611</f>
        <v>129873</v>
      </c>
      <c r="AE729" s="2">
        <f>[2]Indicators!$AB611</f>
        <v>90.989800000000002</v>
      </c>
      <c r="AF729" s="2">
        <f>[8]m!$AS731</f>
        <v>2394.9</v>
      </c>
      <c r="AG729" s="2">
        <f>[8]m!$H731</f>
        <v>4.49</v>
      </c>
      <c r="AH729" s="2">
        <f>[8]m!$I731</f>
        <v>5.66</v>
      </c>
      <c r="AI729" s="2">
        <f>[7]m!C730</f>
        <v>154675</v>
      </c>
      <c r="AJ729" s="2">
        <f>[7]m!D730</f>
        <v>196239</v>
      </c>
      <c r="AK729" s="2">
        <f>[2]Surveys_m!$AB611</f>
        <v>55.2</v>
      </c>
      <c r="AL729" s="3">
        <f>[9]Employment!$AZ611</f>
        <v>2862</v>
      </c>
      <c r="AM729">
        <f>[2]Indicators!$BB611</f>
        <v>168590</v>
      </c>
      <c r="AO729">
        <f>[9]Unemployment!H611</f>
        <v>1110</v>
      </c>
      <c r="AP729">
        <f>[9]Unemployment!I611</f>
        <v>1260</v>
      </c>
      <c r="AQ729" s="3">
        <f>[9]LaborForce!$B610*[9]LaborForce!$C610/100</f>
        <v>154050.05300000001</v>
      </c>
      <c r="AR729">
        <f>[9]Unemployment!$AC611</f>
        <v>474</v>
      </c>
      <c r="AS729">
        <f>[2]Indicators!BC611</f>
        <v>109.10000000000001</v>
      </c>
      <c r="AT729">
        <f>[2]Indicators!BD611</f>
        <v>95.589200000000005</v>
      </c>
      <c r="AU729">
        <f>[2]Indicators!BE611</f>
        <v>100.49520000000001</v>
      </c>
      <c r="AV729">
        <f>[5]m!$O731</f>
        <v>162.01</v>
      </c>
    </row>
    <row r="730" spans="1:48" x14ac:dyDescent="0.25">
      <c r="A730" s="1">
        <v>40422</v>
      </c>
      <c r="B730" s="2">
        <f>[2]Indicators!G612</f>
        <v>10315.59</v>
      </c>
      <c r="C730" s="2">
        <f>[2]Indicators!H612</f>
        <v>1099.4370000000001</v>
      </c>
      <c r="D730" s="2">
        <f>[2]Indicators!I612</f>
        <v>2318.9389999999999</v>
      </c>
      <c r="E730" s="2">
        <f>[2]Indicators!J612</f>
        <v>6897.2139999999999</v>
      </c>
      <c r="F730" s="2">
        <f>[2]Indicators!B612</f>
        <v>9270.098</v>
      </c>
      <c r="G730" s="2">
        <f>[2]Indicators!C612</f>
        <v>1208.1200000000001</v>
      </c>
      <c r="H730" s="2">
        <f>[2]Indicators!D612</f>
        <v>2055.587</v>
      </c>
      <c r="I730" s="2">
        <f>[2]Indicators!E612</f>
        <v>6009.7150000000001</v>
      </c>
      <c r="J730" s="2">
        <f>[2]Indicators!L612</f>
        <v>327405</v>
      </c>
      <c r="K730" s="2">
        <f>[2]Indicators!M612</f>
        <v>167732</v>
      </c>
      <c r="L730" s="2">
        <f>[2]Indicators!N612</f>
        <v>12.003</v>
      </c>
      <c r="M730" s="2">
        <f>[2]Indicators!AB612</f>
        <v>91.242699999999999</v>
      </c>
      <c r="N730" s="2">
        <f>[8]m!$C732</f>
        <v>0.19</v>
      </c>
      <c r="O730">
        <f>[9]Unemployment!$B612</f>
        <v>9.6000000000000014</v>
      </c>
      <c r="P730" s="2">
        <f>[2]Surveys_m!$B612</f>
        <v>48.6</v>
      </c>
      <c r="Q730">
        <f>[5]m!$B732</f>
        <v>218.42699999999999</v>
      </c>
      <c r="R730">
        <f>[5]m!$D732</f>
        <v>221.76500000000001</v>
      </c>
      <c r="S730">
        <f>[5]m!$Q732</f>
        <v>184.9</v>
      </c>
      <c r="T730">
        <f>[6]m!B732</f>
        <v>-34607</v>
      </c>
      <c r="U730" s="2">
        <f>[9]Unemployment!$F612</f>
        <v>33.4</v>
      </c>
      <c r="V730" s="2">
        <f>[9]Unemployment!$G612</f>
        <v>20.5</v>
      </c>
      <c r="W730">
        <f>[9]Unemployment!$E612</f>
        <v>14746</v>
      </c>
      <c r="X730">
        <f>[9]Unemployment!N612</f>
        <v>2872</v>
      </c>
      <c r="Y730">
        <f>[9]Unemployment!O612</f>
        <v>3329</v>
      </c>
      <c r="Z730">
        <f>[9]Unemployment!P612-[9]Unemployment!Q612</f>
        <v>2364</v>
      </c>
      <c r="AA730">
        <f>[9]Unemployment!$Q612</f>
        <v>6153</v>
      </c>
      <c r="AB730" s="2">
        <f>[8]m!$B732</f>
        <v>0.16</v>
      </c>
      <c r="AC730" s="2">
        <f>[8]m!$F732</f>
        <v>2.65</v>
      </c>
      <c r="AD730">
        <f>[9]Employment!$B612</f>
        <v>129844</v>
      </c>
      <c r="AE730" s="2">
        <f>[2]Indicators!$AB612</f>
        <v>91.242699999999999</v>
      </c>
      <c r="AF730" s="2">
        <f>[8]m!$AS732</f>
        <v>2393.6</v>
      </c>
      <c r="AG730" s="2">
        <f>[8]m!$H732</f>
        <v>4.53</v>
      </c>
      <c r="AH730" s="2">
        <f>[8]m!$I732</f>
        <v>5.66</v>
      </c>
      <c r="AI730" s="2">
        <f>[7]m!C731</f>
        <v>154867</v>
      </c>
      <c r="AJ730" s="2">
        <f>[7]m!D731</f>
        <v>200403</v>
      </c>
      <c r="AK730" s="2">
        <f>[2]Surveys_m!$AB612</f>
        <v>55.300000000000004</v>
      </c>
      <c r="AL730" s="3">
        <f>[9]Employment!$AZ612</f>
        <v>2756</v>
      </c>
      <c r="AM730">
        <f>[2]Indicators!$BB612</f>
        <v>177491</v>
      </c>
      <c r="AO730">
        <f>[9]Unemployment!H612</f>
        <v>1209</v>
      </c>
      <c r="AP730">
        <f>[9]Unemployment!I612</f>
        <v>1340</v>
      </c>
      <c r="AQ730" s="3">
        <f>[9]LaborForce!$B611*[9]LaborForce!$C611/100</f>
        <v>154194.334</v>
      </c>
      <c r="AR730">
        <f>[9]Unemployment!$AC612</f>
        <v>468</v>
      </c>
      <c r="AS730">
        <f>[2]Indicators!BC612</f>
        <v>109.9</v>
      </c>
      <c r="AT730">
        <f>[2]Indicators!BD612</f>
        <v>95.702200000000005</v>
      </c>
      <c r="AU730">
        <f>[2]Indicators!BE612</f>
        <v>100.72280000000001</v>
      </c>
      <c r="AV730">
        <f>[5]m!$O732</f>
        <v>161</v>
      </c>
    </row>
    <row r="731" spans="1:48" x14ac:dyDescent="0.25">
      <c r="A731" s="1">
        <v>40452</v>
      </c>
      <c r="B731" s="2">
        <f>[2]Indicators!G613</f>
        <v>10377.411</v>
      </c>
      <c r="C731" s="2">
        <f>[2]Indicators!H613</f>
        <v>1123.47</v>
      </c>
      <c r="D731" s="2">
        <f>[2]Indicators!I613</f>
        <v>2342.8119999999999</v>
      </c>
      <c r="E731" s="2">
        <f>[2]Indicators!J613</f>
        <v>6911.1289999999999</v>
      </c>
      <c r="F731" s="2">
        <f>[2]Indicators!B613</f>
        <v>9305.5020000000004</v>
      </c>
      <c r="G731" s="2">
        <f>[2]Indicators!C613</f>
        <v>1237.566</v>
      </c>
      <c r="H731" s="2">
        <f>[2]Indicators!D613</f>
        <v>2062.864</v>
      </c>
      <c r="I731" s="2">
        <f>[2]Indicators!E613</f>
        <v>6013.5839999999998</v>
      </c>
      <c r="J731" s="2">
        <f>[2]Indicators!L613</f>
        <v>332126</v>
      </c>
      <c r="K731" s="2">
        <f>[2]Indicators!M613</f>
        <v>169614</v>
      </c>
      <c r="L731" s="2">
        <f>[2]Indicators!N613</f>
        <v>12.357000000000001</v>
      </c>
      <c r="M731" s="2">
        <f>[2]Indicators!AB613</f>
        <v>91.138500000000008</v>
      </c>
      <c r="N731" s="2">
        <f>[8]m!$C733</f>
        <v>0.19</v>
      </c>
      <c r="O731">
        <f>[9]Unemployment!$B613</f>
        <v>9.7000000000000011</v>
      </c>
      <c r="P731" s="2">
        <f>[2]Surveys_m!$B613</f>
        <v>49.900000000000006</v>
      </c>
      <c r="Q731">
        <f>[5]m!$B733</f>
        <v>218.97</v>
      </c>
      <c r="R731">
        <f>[5]m!$D733</f>
        <v>221.79500000000002</v>
      </c>
      <c r="S731">
        <f>[5]m!$Q733</f>
        <v>186.60000000000002</v>
      </c>
      <c r="T731">
        <f>[6]m!B733</f>
        <v>-140432</v>
      </c>
      <c r="U731" s="2">
        <f>[9]Unemployment!$F613</f>
        <v>33.9</v>
      </c>
      <c r="V731" s="2">
        <f>[9]Unemployment!$G613</f>
        <v>21.3</v>
      </c>
      <c r="W731">
        <f>[9]Unemployment!$E613</f>
        <v>14876</v>
      </c>
      <c r="X731">
        <f>[9]Unemployment!N613</f>
        <v>2659</v>
      </c>
      <c r="Y731">
        <f>[9]Unemployment!O613</f>
        <v>3427</v>
      </c>
      <c r="Z731">
        <f>[9]Unemployment!P613-[9]Unemployment!Q613</f>
        <v>2500</v>
      </c>
      <c r="AA731">
        <f>[9]Unemployment!$Q613</f>
        <v>6234</v>
      </c>
      <c r="AB731" s="2">
        <f>[8]m!$B733</f>
        <v>0.12</v>
      </c>
      <c r="AC731" s="2">
        <f>[8]m!$F733</f>
        <v>2.54</v>
      </c>
      <c r="AD731">
        <f>[9]Employment!$B613</f>
        <v>130015</v>
      </c>
      <c r="AE731" s="2">
        <f>[2]Indicators!$AB613</f>
        <v>91.138500000000008</v>
      </c>
      <c r="AF731" s="2">
        <f>[8]m!$AS733</f>
        <v>2399.5</v>
      </c>
      <c r="AG731" s="2">
        <f>[8]m!$H733</f>
        <v>4.68</v>
      </c>
      <c r="AH731" s="2">
        <f>[8]m!$I733</f>
        <v>5.72</v>
      </c>
      <c r="AI731" s="2">
        <f>[7]m!C732</f>
        <v>155652</v>
      </c>
      <c r="AJ731" s="2">
        <f>[7]m!D732</f>
        <v>199665</v>
      </c>
      <c r="AK731" s="2">
        <f>[2]Surveys_m!$AB613</f>
        <v>56.900000000000006</v>
      </c>
      <c r="AL731" s="3">
        <f>[9]Employment!$AZ613</f>
        <v>2905</v>
      </c>
      <c r="AM731">
        <f>[2]Indicators!$BB613</f>
        <v>174642</v>
      </c>
      <c r="AO731">
        <f>[9]Unemployment!H613</f>
        <v>1219</v>
      </c>
      <c r="AP731">
        <f>[9]Unemployment!I613</f>
        <v>1383</v>
      </c>
      <c r="AQ731" s="3">
        <f>[9]LaborForce!$B612*[9]LaborForce!$C612/100</f>
        <v>153851.85</v>
      </c>
      <c r="AR731">
        <f>[9]Unemployment!$AC613</f>
        <v>449</v>
      </c>
      <c r="AS731">
        <f>[2]Indicators!BC613</f>
        <v>110.10000000000001</v>
      </c>
      <c r="AT731">
        <f>[2]Indicators!BD613</f>
        <v>95.959600000000009</v>
      </c>
      <c r="AU731">
        <f>[2]Indicators!BE613</f>
        <v>101.096</v>
      </c>
      <c r="AV731">
        <f>[5]m!$O733</f>
        <v>158.88</v>
      </c>
    </row>
    <row r="732" spans="1:48" x14ac:dyDescent="0.25">
      <c r="A732" s="1">
        <v>40483</v>
      </c>
      <c r="B732" s="2">
        <f>[2]Indicators!G614</f>
        <v>10417.712</v>
      </c>
      <c r="C732" s="2">
        <f>[2]Indicators!H614</f>
        <v>1123.078</v>
      </c>
      <c r="D732" s="2">
        <f>[2]Indicators!I614</f>
        <v>2358.326</v>
      </c>
      <c r="E732" s="2">
        <f>[2]Indicators!J614</f>
        <v>6936.3069999999998</v>
      </c>
      <c r="F732" s="2">
        <f>[2]Indicators!B614</f>
        <v>9334.4060000000009</v>
      </c>
      <c r="G732" s="2">
        <f>[2]Indicators!C614</f>
        <v>1239.8869999999999</v>
      </c>
      <c r="H732" s="2">
        <f>[2]Indicators!D614</f>
        <v>2073.1840000000002</v>
      </c>
      <c r="I732" s="2">
        <f>[2]Indicators!E614</f>
        <v>6029.5990000000002</v>
      </c>
      <c r="J732" s="2">
        <f>[2]Indicators!L614</f>
        <v>334668</v>
      </c>
      <c r="K732" s="2">
        <f>[2]Indicators!M614</f>
        <v>170662</v>
      </c>
      <c r="L732" s="2">
        <f>[2]Indicators!N614</f>
        <v>12.462</v>
      </c>
      <c r="M732" s="2">
        <f>[2]Indicators!AB614</f>
        <v>91.403900000000007</v>
      </c>
      <c r="N732" s="2">
        <f>[8]m!$C734</f>
        <v>0.19</v>
      </c>
      <c r="O732">
        <f>[9]Unemployment!$B614</f>
        <v>9.8000000000000007</v>
      </c>
      <c r="P732" s="2">
        <f>[2]Surveys_m!$B614</f>
        <v>57.800000000000004</v>
      </c>
      <c r="Q732">
        <f>[5]m!$B734</f>
        <v>219.24</v>
      </c>
      <c r="R732">
        <f>[5]m!$D734</f>
        <v>222.059</v>
      </c>
      <c r="S732">
        <f>[5]m!$Q734</f>
        <v>187.70000000000002</v>
      </c>
      <c r="T732">
        <f>[6]m!B734</f>
        <v>-150394</v>
      </c>
      <c r="U732" s="2">
        <f>[9]Unemployment!$F614</f>
        <v>33.9</v>
      </c>
      <c r="V732" s="2">
        <f>[9]Unemployment!$G614</f>
        <v>21.700000000000003</v>
      </c>
      <c r="W732">
        <f>[9]Unemployment!$E614</f>
        <v>15041</v>
      </c>
      <c r="X732">
        <f>[9]Unemployment!N614</f>
        <v>2824</v>
      </c>
      <c r="Y732">
        <f>[9]Unemployment!O614</f>
        <v>3336</v>
      </c>
      <c r="Z732">
        <f>[9]Unemployment!P614-[9]Unemployment!Q614</f>
        <v>2515</v>
      </c>
      <c r="AA732">
        <f>[9]Unemployment!$Q614</f>
        <v>6328</v>
      </c>
      <c r="AB732" s="2">
        <f>[8]m!$B734</f>
        <v>0.17</v>
      </c>
      <c r="AC732" s="2">
        <f>[8]m!$F734</f>
        <v>2.7600000000000002</v>
      </c>
      <c r="AD732">
        <f>[9]Employment!$B614</f>
        <v>130108</v>
      </c>
      <c r="AE732" s="2">
        <f>[2]Indicators!$AB614</f>
        <v>91.403900000000007</v>
      </c>
      <c r="AF732" s="2">
        <f>[8]m!$AS734</f>
        <v>2402</v>
      </c>
      <c r="AG732" s="2">
        <f>[8]m!$H734</f>
        <v>4.87</v>
      </c>
      <c r="AH732" s="2">
        <f>[8]m!$I734</f>
        <v>5.92</v>
      </c>
      <c r="AI732" s="2">
        <f>[7]m!C733</f>
        <v>159503</v>
      </c>
      <c r="AJ732" s="2">
        <f>[7]m!D733</f>
        <v>198956</v>
      </c>
      <c r="AK732" s="2">
        <f>[2]Surveys_m!$AB614</f>
        <v>58.2</v>
      </c>
      <c r="AL732" s="3">
        <f>[9]Employment!$AZ614</f>
        <v>2966</v>
      </c>
      <c r="AM732">
        <f>[2]Indicators!$BB614</f>
        <v>173219</v>
      </c>
      <c r="AO732">
        <f>[9]Unemployment!H614</f>
        <v>1282</v>
      </c>
      <c r="AP732">
        <f>[9]Unemployment!I614</f>
        <v>1249</v>
      </c>
      <c r="AQ732" s="3">
        <f>[9]LaborForce!$B613*[9]LaborForce!$C613/100</f>
        <v>153971.17499999999</v>
      </c>
      <c r="AR732">
        <f>[9]Unemployment!$AC614</f>
        <v>454</v>
      </c>
      <c r="AS732">
        <f>[2]Indicators!BC614</f>
        <v>111.4</v>
      </c>
      <c r="AT732">
        <f>[2]Indicators!BD614</f>
        <v>96.350000000000009</v>
      </c>
      <c r="AU732">
        <f>[2]Indicators!BE614</f>
        <v>101.60170000000001</v>
      </c>
      <c r="AV732">
        <f>[5]m!$O734</f>
        <v>157.45000000000002</v>
      </c>
    </row>
    <row r="733" spans="1:48" x14ac:dyDescent="0.25">
      <c r="A733" s="1">
        <v>40513</v>
      </c>
      <c r="B733" s="2">
        <f>[2]Indicators!G615</f>
        <v>10456.053</v>
      </c>
      <c r="C733" s="2">
        <f>[2]Indicators!H615</f>
        <v>1127.625</v>
      </c>
      <c r="D733" s="2">
        <f>[2]Indicators!I615</f>
        <v>2374.8360000000002</v>
      </c>
      <c r="E733" s="2">
        <f>[2]Indicators!J615</f>
        <v>6953.5920000000006</v>
      </c>
      <c r="F733" s="2">
        <f>[2]Indicators!B615</f>
        <v>9345.2569999999996</v>
      </c>
      <c r="G733" s="2">
        <f>[2]Indicators!C615</f>
        <v>1249.8220000000001</v>
      </c>
      <c r="H733" s="2">
        <f>[2]Indicators!D615</f>
        <v>2066.2469999999998</v>
      </c>
      <c r="I733" s="2">
        <f>[2]Indicators!E615</f>
        <v>6039.2240000000002</v>
      </c>
      <c r="J733" s="2">
        <f>[2]Indicators!L615</f>
        <v>336854</v>
      </c>
      <c r="K733" s="2">
        <f>[2]Indicators!M615</f>
        <v>170911</v>
      </c>
      <c r="L733" s="2">
        <f>[2]Indicators!N615</f>
        <v>12.679</v>
      </c>
      <c r="M733" s="2">
        <f>[2]Indicators!AB615</f>
        <v>92.564599999999999</v>
      </c>
      <c r="N733" s="2">
        <f>[8]m!$C735</f>
        <v>0.18</v>
      </c>
      <c r="O733">
        <f>[9]Unemployment!$B615</f>
        <v>9.4</v>
      </c>
      <c r="P733" s="2">
        <f>[2]Surveys_m!$B615</f>
        <v>63.400000000000006</v>
      </c>
      <c r="Q733">
        <f>[5]m!$B735</f>
        <v>220.18600000000001</v>
      </c>
      <c r="R733">
        <f>[5]m!$D735</f>
        <v>222.21</v>
      </c>
      <c r="S733">
        <f>[5]m!$Q735</f>
        <v>189.70000000000002</v>
      </c>
      <c r="T733">
        <f>[6]m!B735</f>
        <v>-78134</v>
      </c>
      <c r="U733" s="2">
        <f>[9]Unemployment!$F615</f>
        <v>34.200000000000003</v>
      </c>
      <c r="V733" s="2">
        <f>[9]Unemployment!$G615</f>
        <v>22.400000000000002</v>
      </c>
      <c r="W733">
        <f>[9]Unemployment!$E615</f>
        <v>14485</v>
      </c>
      <c r="X733">
        <f>[9]Unemployment!N615</f>
        <v>2725</v>
      </c>
      <c r="Y733">
        <f>[9]Unemployment!O615</f>
        <v>3184</v>
      </c>
      <c r="Z733">
        <f>[9]Unemployment!P615-[9]Unemployment!Q615</f>
        <v>2206</v>
      </c>
      <c r="AA733">
        <f>[9]Unemployment!$Q615</f>
        <v>6441</v>
      </c>
      <c r="AB733" s="2">
        <f>[8]m!$B735</f>
        <v>0.12</v>
      </c>
      <c r="AC733" s="2">
        <f>[8]m!$F735</f>
        <v>3.29</v>
      </c>
      <c r="AD733">
        <f>[9]Employment!$B615</f>
        <v>130260</v>
      </c>
      <c r="AE733" s="2">
        <f>[2]Indicators!$AB615</f>
        <v>92.564599999999999</v>
      </c>
      <c r="AF733" s="2">
        <f>[8]m!$AS735</f>
        <v>2408.3000000000002</v>
      </c>
      <c r="AG733" s="2">
        <f>[8]m!$H735</f>
        <v>5.0200000000000005</v>
      </c>
      <c r="AH733" s="2">
        <f>[8]m!$I735</f>
        <v>6.1000000000000005</v>
      </c>
      <c r="AI733" s="2">
        <f>[7]m!C734</f>
        <v>161238</v>
      </c>
      <c r="AJ733" s="2">
        <f>[7]m!D734</f>
        <v>200081</v>
      </c>
      <c r="AK733" s="2">
        <f>[2]Surveys_m!$AB615</f>
        <v>58.5</v>
      </c>
      <c r="AL733" s="3">
        <f>[9]Employment!$AZ615</f>
        <v>2921</v>
      </c>
      <c r="AM733">
        <f>[2]Indicators!$BB615</f>
        <v>172067</v>
      </c>
      <c r="AO733">
        <f>[9]Unemployment!H615</f>
        <v>1318</v>
      </c>
      <c r="AP733">
        <f>[9]Unemployment!I615</f>
        <v>1291</v>
      </c>
      <c r="AQ733" s="3">
        <f>[9]LaborForce!$B614*[9]LaborForce!$C614/100</f>
        <v>153605.62699999998</v>
      </c>
      <c r="AR733">
        <f>[9]Unemployment!$AC615</f>
        <v>439</v>
      </c>
      <c r="AS733">
        <f>[2]Indicators!BC615</f>
        <v>112.3</v>
      </c>
      <c r="AT733">
        <f>[2]Indicators!BD615</f>
        <v>96.805599999999998</v>
      </c>
      <c r="AU733">
        <f>[2]Indicators!BE615</f>
        <v>102.1679</v>
      </c>
      <c r="AV733">
        <f>[5]m!$O735</f>
        <v>155.97999999999999</v>
      </c>
    </row>
    <row r="734" spans="1:48" x14ac:dyDescent="0.25">
      <c r="A734" s="1">
        <v>40544</v>
      </c>
      <c r="B734" s="2">
        <f>IF(ISNUMBER([2]Indicators!G616),[2]Indicators!G616,"")</f>
        <v>10498.027</v>
      </c>
      <c r="C734" s="2">
        <f>[2]Indicators!H616</f>
        <v>1139.931</v>
      </c>
      <c r="D734" s="2">
        <f>[2]Indicators!I616</f>
        <v>2406.0889999999999</v>
      </c>
      <c r="E734" s="2">
        <f>[2]Indicators!J616</f>
        <v>6952.0070000000005</v>
      </c>
      <c r="F734" s="2">
        <f>[2]Indicators!B616</f>
        <v>9348.6080000000002</v>
      </c>
      <c r="G734" s="2">
        <f>[2]Indicators!C616</f>
        <v>1262.7760000000001</v>
      </c>
      <c r="H734" s="2">
        <f>[2]Indicators!D616</f>
        <v>2070.7739999999999</v>
      </c>
      <c r="I734" s="2">
        <f>[2]Indicators!E616</f>
        <v>6027.7840000000006</v>
      </c>
      <c r="J734" s="2">
        <f>[2]Indicators!L616</f>
        <v>339647</v>
      </c>
      <c r="K734" s="2">
        <f>[2]Indicators!M616</f>
        <v>171561</v>
      </c>
      <c r="L734" s="2">
        <f>[2]Indicators!N616</f>
        <v>12.894</v>
      </c>
      <c r="M734" s="2">
        <f>[2]Indicators!AB616</f>
        <v>92.794899999999998</v>
      </c>
      <c r="N734" s="2">
        <f>[8]m!$C736</f>
        <v>0.17</v>
      </c>
      <c r="O734">
        <f>[9]Unemployment!$B616</f>
        <v>9</v>
      </c>
      <c r="P734" s="2">
        <f>[2]Surveys_m!$B616</f>
        <v>64.8</v>
      </c>
      <c r="Q734">
        <f>[5]m!$B736</f>
        <v>221.06200000000001</v>
      </c>
      <c r="R734">
        <f>[5]m!$D736</f>
        <v>222.58700000000002</v>
      </c>
      <c r="S734">
        <f>[5]m!$Q736</f>
        <v>192.70000000000002</v>
      </c>
      <c r="T734">
        <f>[6]m!B736</f>
        <v>-49796</v>
      </c>
      <c r="U734" s="2">
        <f>[9]Unemployment!$F616</f>
        <v>36.9</v>
      </c>
      <c r="V734" s="2">
        <f>[9]Unemployment!$G616</f>
        <v>21.8</v>
      </c>
      <c r="W734">
        <f>[9]Unemployment!$E616</f>
        <v>13863</v>
      </c>
      <c r="X734">
        <f>[9]Unemployment!N616</f>
        <v>2678</v>
      </c>
      <c r="Y734">
        <f>[9]Unemployment!O616</f>
        <v>3016</v>
      </c>
      <c r="Z734">
        <f>[9]Unemployment!P616-[9]Unemployment!Q616</f>
        <v>2285</v>
      </c>
      <c r="AA734">
        <f>[9]Unemployment!$Q616</f>
        <v>6210</v>
      </c>
      <c r="AB734" s="2">
        <f>[8]m!$B736</f>
        <v>0.15</v>
      </c>
      <c r="AC734" s="2">
        <f>[8]m!$F736</f>
        <v>3.39</v>
      </c>
      <c r="AD734">
        <f>[9]Employment!$B616</f>
        <v>130328</v>
      </c>
      <c r="AE734" s="2">
        <f>[2]Indicators!$AB616</f>
        <v>92.794899999999998</v>
      </c>
      <c r="AF734" s="2">
        <f>[8]m!$AS736</f>
        <v>2408.9</v>
      </c>
      <c r="AG734" s="2">
        <f>[8]m!$H736</f>
        <v>5.04</v>
      </c>
      <c r="AH734" s="2">
        <f>[8]m!$I736</f>
        <v>6.09</v>
      </c>
      <c r="AI734" s="2">
        <f>[7]m!C735</f>
        <v>164006</v>
      </c>
      <c r="AJ734" s="2">
        <f>[7]m!D735</f>
        <v>204459</v>
      </c>
      <c r="AK734" s="2">
        <f>[2]Surveys_m!$AB616</f>
        <v>60.800000000000004</v>
      </c>
      <c r="AL734" s="3">
        <f>[9]Employment!$AZ616</f>
        <v>2741</v>
      </c>
      <c r="AM734">
        <f>[2]Indicators!$BB616</f>
        <v>177973</v>
      </c>
      <c r="AO734">
        <f>[9]Unemployment!H616</f>
        <v>993</v>
      </c>
      <c r="AP734">
        <f>[9]Unemployment!I616</f>
        <v>1807</v>
      </c>
      <c r="AQ734" s="3">
        <f>[9]LaborForce!$B615*[9]LaborForce!$C615/100</f>
        <v>153247.96799999999</v>
      </c>
      <c r="AR734">
        <f>[9]Unemployment!$AC616</f>
        <v>418</v>
      </c>
      <c r="AS734">
        <f>[2]Indicators!BC616</f>
        <v>112.5</v>
      </c>
      <c r="AT734">
        <f>[2]Indicators!BD616</f>
        <v>97.236400000000003</v>
      </c>
      <c r="AU734">
        <f>[2]Indicators!BE616</f>
        <v>102.7008</v>
      </c>
      <c r="AV734">
        <f>[5]m!$O736</f>
        <v>154.26</v>
      </c>
    </row>
    <row r="735" spans="1:48" x14ac:dyDescent="0.25">
      <c r="A735" s="1">
        <v>40575</v>
      </c>
      <c r="B735" s="2">
        <f>IF(ISNUMBER([2]Indicators!G617),[2]Indicators!G617,"")</f>
        <v>10577.732</v>
      </c>
      <c r="C735" s="2">
        <f>[2]Indicators!H617</f>
        <v>1162.576</v>
      </c>
      <c r="D735" s="2">
        <f>[2]Indicators!I617</f>
        <v>2440.7269999999999</v>
      </c>
      <c r="E735" s="2">
        <f>[2]Indicators!J617</f>
        <v>6974.4290000000001</v>
      </c>
      <c r="F735" s="2">
        <f>[2]Indicators!B617</f>
        <v>9382.121000000001</v>
      </c>
      <c r="G735" s="2">
        <f>[2]Indicators!C617</f>
        <v>1285.2270000000001</v>
      </c>
      <c r="H735" s="2">
        <f>[2]Indicators!D617</f>
        <v>2079.2950000000001</v>
      </c>
      <c r="I735" s="2">
        <f>[2]Indicators!E617</f>
        <v>6034.2449999999999</v>
      </c>
      <c r="J735" s="2">
        <f>[2]Indicators!L617</f>
        <v>343733</v>
      </c>
      <c r="K735" s="2">
        <f>[2]Indicators!M617</f>
        <v>172783</v>
      </c>
      <c r="L735" s="2">
        <f>[2]Indicators!N617</f>
        <v>13.505000000000001</v>
      </c>
      <c r="M735" s="2">
        <f>[2]Indicators!AB617</f>
        <v>92.4512</v>
      </c>
      <c r="N735" s="2">
        <f>[8]m!$C737</f>
        <v>0.16</v>
      </c>
      <c r="O735">
        <f>[9]Unemployment!$B617</f>
        <v>8.9</v>
      </c>
      <c r="P735" s="2">
        <f>[2]Surveys_m!$B617</f>
        <v>72</v>
      </c>
      <c r="Q735">
        <f>[5]m!$B737</f>
        <v>222.27</v>
      </c>
      <c r="R735">
        <f>[5]m!$D737</f>
        <v>223.029</v>
      </c>
      <c r="S735">
        <f>[5]m!$Q737</f>
        <v>195.8</v>
      </c>
      <c r="T735">
        <f>[6]m!B737</f>
        <v>-222507</v>
      </c>
      <c r="U735" s="2">
        <f>[9]Unemployment!$F617</f>
        <v>37.1</v>
      </c>
      <c r="V735" s="2">
        <f>[9]Unemployment!$G617</f>
        <v>21.200000000000003</v>
      </c>
      <c r="W735">
        <f>[9]Unemployment!$E617</f>
        <v>13673</v>
      </c>
      <c r="X735">
        <f>[9]Unemployment!N617</f>
        <v>2390</v>
      </c>
      <c r="Y735">
        <f>[9]Unemployment!O617</f>
        <v>3094</v>
      </c>
      <c r="Z735">
        <f>[9]Unemployment!P617-[9]Unemployment!Q617</f>
        <v>2179</v>
      </c>
      <c r="AA735">
        <f>[9]Unemployment!$Q617</f>
        <v>5993</v>
      </c>
      <c r="AB735" s="2">
        <f>[8]m!$B737</f>
        <v>0.15</v>
      </c>
      <c r="AC735" s="2">
        <f>[8]m!$F737</f>
        <v>3.58</v>
      </c>
      <c r="AD735">
        <f>[9]Employment!$B617</f>
        <v>130563</v>
      </c>
      <c r="AE735" s="2">
        <f>[2]Indicators!$AB617</f>
        <v>92.4512</v>
      </c>
      <c r="AF735" s="2">
        <f>[8]m!$AS737</f>
        <v>2417.1</v>
      </c>
      <c r="AG735" s="2">
        <f>[8]m!$H737</f>
        <v>5.22</v>
      </c>
      <c r="AH735" s="2">
        <f>[8]m!$I737</f>
        <v>6.15</v>
      </c>
      <c r="AI735" s="2">
        <f>[7]m!C736</f>
        <v>167849</v>
      </c>
      <c r="AJ735" s="2">
        <f>[7]m!D736</f>
        <v>215707</v>
      </c>
      <c r="AK735" s="2">
        <f>[2]Surveys_m!$AB617</f>
        <v>61.400000000000006</v>
      </c>
      <c r="AL735" s="3">
        <f>[9]Employment!$AZ617</f>
        <v>3025</v>
      </c>
      <c r="AM735">
        <f>[2]Indicators!$BB617</f>
        <v>179099</v>
      </c>
      <c r="AO735">
        <f>[9]Unemployment!H617</f>
        <v>1020</v>
      </c>
      <c r="AP735">
        <f>[9]Unemployment!I617</f>
        <v>1710</v>
      </c>
      <c r="AQ735" s="3">
        <f>[9]LaborForce!$B616*[9]LaborForce!$C616/100</f>
        <v>153342.342</v>
      </c>
      <c r="AR735">
        <f>[9]Unemployment!$AC617</f>
        <v>424</v>
      </c>
      <c r="AS735">
        <f>[2]Indicators!BC617</f>
        <v>113.5</v>
      </c>
      <c r="AT735">
        <f>[2]Indicators!BD617</f>
        <v>97.546599999999998</v>
      </c>
      <c r="AU735">
        <f>[2]Indicators!BE617</f>
        <v>103.1028</v>
      </c>
      <c r="AV735">
        <f>[5]m!$O737</f>
        <v>152.36000000000001</v>
      </c>
    </row>
    <row r="736" spans="1:48" x14ac:dyDescent="0.25">
      <c r="A736" s="1">
        <v>40603</v>
      </c>
      <c r="B736" s="2">
        <f>IF(ISNUMBER([2]Indicators!G618),[2]Indicators!G618,"")</f>
        <v>10639.241</v>
      </c>
      <c r="C736" s="2">
        <f>IF(ISNUMBER([2]Indicators!H618),[2]Indicators!H618,"")</f>
        <v>1160.953</v>
      </c>
      <c r="D736" s="2">
        <f>IF(ISNUMBER([2]Indicators!I618),[2]Indicators!I618,"")</f>
        <v>2466.4369999999999</v>
      </c>
      <c r="E736" s="2">
        <f>IF(ISNUMBER([2]Indicators!J618),[2]Indicators!J618,"")</f>
        <v>7011.8519999999999</v>
      </c>
      <c r="F736" s="2">
        <f>[2]Indicators!B618</f>
        <v>9399.4889999999996</v>
      </c>
      <c r="G736" s="2">
        <f>[2]Indicators!C618</f>
        <v>1284.0720000000001</v>
      </c>
      <c r="H736" s="2">
        <f>[2]Indicators!D618</f>
        <v>2076.23</v>
      </c>
      <c r="I736" s="2">
        <f>[2]Indicators!E618</f>
        <v>6055.2330000000002</v>
      </c>
      <c r="J736" s="2">
        <f>[2]Indicators!L618</f>
        <v>346195</v>
      </c>
      <c r="K736" s="2">
        <f>[2]Indicators!M618</f>
        <v>173144</v>
      </c>
      <c r="L736" s="2">
        <f>[2]Indicators!N618</f>
        <v>13.290000000000001</v>
      </c>
      <c r="M736" s="2">
        <f>[2]Indicators!AB618</f>
        <v>93.088800000000006</v>
      </c>
      <c r="N736" s="2">
        <f>[8]m!$C738</f>
        <v>0.14000000000000001</v>
      </c>
      <c r="O736">
        <f>[9]Unemployment!$B618</f>
        <v>8.8000000000000007</v>
      </c>
      <c r="P736" s="2">
        <f>[2]Surveys_m!$B618</f>
        <v>63.800000000000004</v>
      </c>
      <c r="Q736">
        <f>[5]m!$B738</f>
        <v>223.49</v>
      </c>
      <c r="R736">
        <f>[5]m!$D738</f>
        <v>223.33100000000002</v>
      </c>
      <c r="S736">
        <f>[5]m!$Q738</f>
        <v>199.20000000000002</v>
      </c>
      <c r="T736">
        <f>[6]m!B738</f>
        <v>-188153</v>
      </c>
      <c r="U736" s="2">
        <f>[9]Unemployment!$F618</f>
        <v>39</v>
      </c>
      <c r="V736" s="2">
        <f>[9]Unemployment!$G618</f>
        <v>21.700000000000003</v>
      </c>
      <c r="W736">
        <f>[9]Unemployment!$E618</f>
        <v>13542</v>
      </c>
      <c r="X736">
        <f>[9]Unemployment!N618</f>
        <v>2449</v>
      </c>
      <c r="Y736">
        <f>[9]Unemployment!O618</f>
        <v>2914</v>
      </c>
      <c r="Z736">
        <f>[9]Unemployment!P618-[9]Unemployment!Q618</f>
        <v>1956</v>
      </c>
      <c r="AA736">
        <f>[9]Unemployment!$Q618</f>
        <v>6122</v>
      </c>
      <c r="AB736" s="2">
        <f>[8]m!$B738</f>
        <v>0.09</v>
      </c>
      <c r="AC736" s="2">
        <f>[8]m!$F738</f>
        <v>3.41</v>
      </c>
      <c r="AD736">
        <f>[9]Employment!$B618</f>
        <v>130757</v>
      </c>
      <c r="AE736" s="2">
        <f>[2]Indicators!$AB618</f>
        <v>93.088800000000006</v>
      </c>
      <c r="AF736" s="2">
        <f>[8]m!$AS738</f>
        <v>2421.5</v>
      </c>
      <c r="AG736" s="2">
        <f>[8]m!$H738</f>
        <v>5.13</v>
      </c>
      <c r="AH736" s="2">
        <f>[8]m!$I738</f>
        <v>6.03</v>
      </c>
      <c r="AI736" s="2">
        <f>[7]m!C737</f>
        <v>165727</v>
      </c>
      <c r="AJ736" s="2">
        <f>[7]m!D737</f>
        <v>211444</v>
      </c>
      <c r="AK736" s="2">
        <f>[2]Surveys_m!$AB618</f>
        <v>61.2</v>
      </c>
      <c r="AL736" s="3">
        <f>[9]Employment!$AZ618</f>
        <v>3123</v>
      </c>
      <c r="AM736">
        <f>[2]Indicators!$BB618</f>
        <v>186578</v>
      </c>
      <c r="AO736">
        <f>[9]Unemployment!H618</f>
        <v>921</v>
      </c>
      <c r="AP736">
        <f>[9]Unemployment!I618</f>
        <v>1513</v>
      </c>
      <c r="AQ736" s="3">
        <f>[9]LaborForce!$B617*[9]LaborForce!$C617/100</f>
        <v>153438</v>
      </c>
      <c r="AR736">
        <f>[9]Unemployment!$AC618</f>
        <v>375</v>
      </c>
      <c r="AS736">
        <f>[2]Indicators!BC618</f>
        <v>114.3</v>
      </c>
      <c r="AT736">
        <f>[2]Indicators!BD618</f>
        <v>97.69980000000001</v>
      </c>
      <c r="AU736">
        <f>[2]Indicators!BE618</f>
        <v>103.34410000000001</v>
      </c>
      <c r="AV736">
        <f>[5]m!$O738</f>
        <v>150.89000000000001</v>
      </c>
    </row>
    <row r="737" spans="1:48" x14ac:dyDescent="0.25">
      <c r="A737" s="1">
        <v>40634</v>
      </c>
      <c r="B737" s="2">
        <f>IF(ISNUMBER([2]Indicators!G619),[2]Indicators!G619,"")</f>
        <v>10669.621000000001</v>
      </c>
      <c r="C737" s="2">
        <f>IF(ISNUMBER([2]Indicators!H619),[2]Indicators!H619,"")</f>
        <v>1157.7260000000001</v>
      </c>
      <c r="D737" s="2">
        <f>IF(ISNUMBER([2]Indicators!I619),[2]Indicators!I619,"")</f>
        <v>2489.3620000000001</v>
      </c>
      <c r="E737" s="2">
        <f>IF(ISNUMBER([2]Indicators!J619),[2]Indicators!J619,"")</f>
        <v>7022.5320000000002</v>
      </c>
      <c r="F737" s="2">
        <f>[2]Indicators!B619</f>
        <v>9394.2080000000005</v>
      </c>
      <c r="G737" s="2">
        <f>[2]Indicators!C619</f>
        <v>1277.2919999999999</v>
      </c>
      <c r="H737" s="2">
        <f>[2]Indicators!D619</f>
        <v>2078.81</v>
      </c>
      <c r="I737" s="2">
        <f>[2]Indicators!E619</f>
        <v>6052.7260000000006</v>
      </c>
      <c r="J737" s="2">
        <f>[2]Indicators!L619</f>
        <v>347316</v>
      </c>
      <c r="K737" s="2">
        <f>[2]Indicators!M619</f>
        <v>172749</v>
      </c>
      <c r="L737" s="2">
        <f>[2]Indicators!N619</f>
        <v>13.401</v>
      </c>
      <c r="M737" s="2">
        <f>[2]Indicators!AB619</f>
        <v>92.708200000000005</v>
      </c>
      <c r="N737" s="2">
        <f>[8]m!$C739</f>
        <v>0.1</v>
      </c>
      <c r="O737">
        <f>[9]Unemployment!$B619</f>
        <v>9</v>
      </c>
      <c r="P737" s="2">
        <f>[2]Surveys_m!$B619</f>
        <v>66</v>
      </c>
      <c r="Q737">
        <f>[5]m!$B739</f>
        <v>224.43299999999999</v>
      </c>
      <c r="R737">
        <f>[5]m!$D739</f>
        <v>223.745</v>
      </c>
      <c r="S737">
        <f>[5]m!$Q739</f>
        <v>203.10000000000002</v>
      </c>
      <c r="T737">
        <f>[6]m!B739</f>
        <v>-40387</v>
      </c>
      <c r="U737" s="2">
        <f>[9]Unemployment!$F619</f>
        <v>38.300000000000004</v>
      </c>
      <c r="V737" s="2">
        <f>[9]Unemployment!$G619</f>
        <v>20.700000000000003</v>
      </c>
      <c r="W737">
        <f>[9]Unemployment!$E619</f>
        <v>13747</v>
      </c>
      <c r="X737">
        <f>[9]Unemployment!N619</f>
        <v>2691</v>
      </c>
      <c r="Y737">
        <f>[9]Unemployment!O619</f>
        <v>2907</v>
      </c>
      <c r="Z737">
        <f>[9]Unemployment!P619-[9]Unemployment!Q619</f>
        <v>2006</v>
      </c>
      <c r="AA737">
        <f>[9]Unemployment!$Q619</f>
        <v>5839</v>
      </c>
      <c r="AB737" s="2">
        <f>[8]m!$B739</f>
        <v>0.04</v>
      </c>
      <c r="AC737" s="2">
        <f>[8]m!$F739</f>
        <v>3.46</v>
      </c>
      <c r="AD737">
        <f>[9]Employment!$B619</f>
        <v>130974</v>
      </c>
      <c r="AE737" s="2">
        <f>[2]Indicators!$AB619</f>
        <v>92.708200000000005</v>
      </c>
      <c r="AF737" s="2">
        <f>[8]m!$AS739</f>
        <v>2425.2000000000003</v>
      </c>
      <c r="AG737" s="2">
        <f>[8]m!$H739</f>
        <v>5.16</v>
      </c>
      <c r="AH737" s="2">
        <f>[8]m!$I739</f>
        <v>6.0200000000000005</v>
      </c>
      <c r="AI737" s="2">
        <f>[7]m!C738</f>
        <v>173981</v>
      </c>
      <c r="AJ737" s="2">
        <f>[7]m!D738</f>
        <v>220378</v>
      </c>
      <c r="AK737" s="2">
        <f>[2]Surveys_m!$AB619</f>
        <v>60.400000000000006</v>
      </c>
      <c r="AL737" s="3">
        <f>[9]Employment!$AZ619</f>
        <v>2953</v>
      </c>
      <c r="AM737">
        <f>[2]Indicators!$BB619</f>
        <v>181571</v>
      </c>
      <c r="AO737">
        <f>[9]Unemployment!H619</f>
        <v>989</v>
      </c>
      <c r="AP737">
        <f>[9]Unemployment!I619</f>
        <v>1477</v>
      </c>
      <c r="AQ737" s="3">
        <f>[9]LaborForce!$B618*[9]LaborForce!$C618/100</f>
        <v>153531.73200000002</v>
      </c>
      <c r="AR737">
        <f>[9]Unemployment!$AC619</f>
        <v>385</v>
      </c>
      <c r="AS737">
        <f>[2]Indicators!BC619</f>
        <v>114</v>
      </c>
      <c r="AT737">
        <f>[2]Indicators!BD619</f>
        <v>97.696899999999999</v>
      </c>
      <c r="AU737">
        <f>[2]Indicators!BE619</f>
        <v>103.3927</v>
      </c>
      <c r="AV737">
        <f>[5]m!$O739</f>
        <v>151.82</v>
      </c>
    </row>
    <row r="738" spans="1:48" x14ac:dyDescent="0.25">
      <c r="A738" s="1">
        <v>40664</v>
      </c>
      <c r="B738" s="2">
        <f>IF(ISNUMBER([2]Indicators!G620),[2]Indicators!G620,"")</f>
        <v>10690.133</v>
      </c>
      <c r="C738" s="2">
        <f>IF(ISNUMBER([2]Indicators!H620),[2]Indicators!H620,"")</f>
        <v>1144.357</v>
      </c>
      <c r="D738" s="2">
        <f>IF(ISNUMBER([2]Indicators!I620),[2]Indicators!I620,"")</f>
        <v>2481.1030000000001</v>
      </c>
      <c r="E738" s="2">
        <f>IF(ISNUMBER([2]Indicators!J620),[2]Indicators!J620,"")</f>
        <v>7064.6720000000005</v>
      </c>
      <c r="F738" s="2">
        <f>[2]Indicators!B620</f>
        <v>9395.6640000000007</v>
      </c>
      <c r="G738" s="2">
        <f>[2]Indicators!C620</f>
        <v>1261.1210000000001</v>
      </c>
      <c r="H738" s="2">
        <f>[2]Indicators!D620</f>
        <v>2073.1999999999998</v>
      </c>
      <c r="I738" s="2">
        <f>[2]Indicators!E620</f>
        <v>6072.567</v>
      </c>
      <c r="J738" s="2">
        <f>[2]Indicators!L620</f>
        <v>346741</v>
      </c>
      <c r="K738" s="2">
        <f>[2]Indicators!M620</f>
        <v>172382</v>
      </c>
      <c r="L738" s="2">
        <f>[2]Indicators!N620</f>
        <v>11.993</v>
      </c>
      <c r="M738" s="2">
        <f>[2]Indicators!AB620</f>
        <v>92.961100000000002</v>
      </c>
      <c r="N738" s="2">
        <f>[8]m!$C740</f>
        <v>0.09</v>
      </c>
      <c r="O738">
        <f>[9]Unemployment!$B620</f>
        <v>9.1</v>
      </c>
      <c r="P738" s="2">
        <f>[2]Surveys_m!$B620</f>
        <v>61.7</v>
      </c>
      <c r="Q738">
        <f>[5]m!$B740</f>
        <v>224.804</v>
      </c>
      <c r="R738">
        <f>[5]m!$D740</f>
        <v>224.387</v>
      </c>
      <c r="S738">
        <f>[5]m!$Q740</f>
        <v>204.10000000000002</v>
      </c>
      <c r="T738">
        <f>[6]m!B740</f>
        <v>-57641</v>
      </c>
      <c r="U738" s="2">
        <f>[9]Unemployment!$F620</f>
        <v>39.700000000000003</v>
      </c>
      <c r="V738" s="2">
        <f>[9]Unemployment!$G620</f>
        <v>22</v>
      </c>
      <c r="W738">
        <f>[9]Unemployment!$E620</f>
        <v>13914</v>
      </c>
      <c r="X738">
        <f>[9]Unemployment!N620</f>
        <v>2664</v>
      </c>
      <c r="Y738">
        <f>[9]Unemployment!O620</f>
        <v>2892</v>
      </c>
      <c r="Z738">
        <f>[9]Unemployment!P620-[9]Unemployment!Q620</f>
        <v>1984</v>
      </c>
      <c r="AA738">
        <f>[9]Unemployment!$Q620</f>
        <v>6200</v>
      </c>
      <c r="AB738" s="2">
        <f>[8]m!$B740</f>
        <v>0.06</v>
      </c>
      <c r="AC738" s="2">
        <f>[8]m!$F740</f>
        <v>3.17</v>
      </c>
      <c r="AD738">
        <f>[9]Employment!$B620</f>
        <v>131027</v>
      </c>
      <c r="AE738" s="2">
        <f>[2]Indicators!$AB620</f>
        <v>92.961100000000002</v>
      </c>
      <c r="AF738" s="2">
        <f>[8]m!$AS740</f>
        <v>2431.2000000000003</v>
      </c>
      <c r="AG738" s="2">
        <f>[8]m!$H740</f>
        <v>4.96</v>
      </c>
      <c r="AH738" s="2">
        <f>[8]m!$I740</f>
        <v>5.78</v>
      </c>
      <c r="AI738" s="2">
        <f>[7]m!C739</f>
        <v>176267</v>
      </c>
      <c r="AJ738" s="2">
        <f>[7]m!D739</f>
        <v>219509</v>
      </c>
      <c r="AK738" s="2">
        <f>[2]Surveys_m!$AB620</f>
        <v>53.5</v>
      </c>
      <c r="AL738" s="3">
        <f>[9]Employment!$AZ620</f>
        <v>3034</v>
      </c>
      <c r="AM738">
        <f>[2]Indicators!$BB620</f>
        <v>184508</v>
      </c>
      <c r="AO738">
        <f>[9]Unemployment!H620</f>
        <v>822</v>
      </c>
      <c r="AP738">
        <f>[9]Unemployment!I620</f>
        <v>1384</v>
      </c>
      <c r="AQ738" s="3">
        <f>[9]LaborForce!$B619*[9]LaborForce!$C619/100</f>
        <v>153638.94600000003</v>
      </c>
      <c r="AR738">
        <f>[9]Unemployment!$AC620</f>
        <v>478</v>
      </c>
      <c r="AS738">
        <f>[2]Indicators!BC620</f>
        <v>114.8</v>
      </c>
      <c r="AT738">
        <f>[2]Indicators!BD620</f>
        <v>97.564400000000006</v>
      </c>
      <c r="AU738">
        <f>[2]Indicators!BE620</f>
        <v>103.3831</v>
      </c>
      <c r="AV738">
        <f>[5]m!$O740</f>
        <v>153.31</v>
      </c>
    </row>
    <row r="739" spans="1:48" x14ac:dyDescent="0.25">
      <c r="A739" s="1">
        <v>40695</v>
      </c>
      <c r="B739" s="2">
        <f>IF(ISNUMBER([2]Indicators!G621),[2]Indicators!G621,"")</f>
        <v>10668.352000000001</v>
      </c>
      <c r="C739" s="2">
        <f>IF(ISNUMBER([2]Indicators!H621),[2]Indicators!H621,"")</f>
        <v>1129.2909999999999</v>
      </c>
      <c r="D739" s="2">
        <f>IF(ISNUMBER([2]Indicators!I621),[2]Indicators!I621,"")</f>
        <v>2466.3110000000001</v>
      </c>
      <c r="E739" s="2">
        <f>IF(ISNUMBER([2]Indicators!J621),[2]Indicators!J621,"")</f>
        <v>7072.75</v>
      </c>
      <c r="F739" s="2">
        <f>[2]Indicators!B621</f>
        <v>9388.3590000000004</v>
      </c>
      <c r="G739" s="2">
        <f>[2]Indicators!C621</f>
        <v>1242.0989999999999</v>
      </c>
      <c r="H739" s="2">
        <f>[2]Indicators!D621</f>
        <v>2077.6579999999999</v>
      </c>
      <c r="I739" s="2">
        <f>[2]Indicators!E621</f>
        <v>6075.7170000000006</v>
      </c>
      <c r="J739" s="2">
        <f>[2]Indicators!L621</f>
        <v>347349</v>
      </c>
      <c r="K739" s="2">
        <f>[2]Indicators!M621</f>
        <v>173106</v>
      </c>
      <c r="L739" s="2">
        <f>[2]Indicators!N621</f>
        <v>11.819000000000001</v>
      </c>
      <c r="M739" s="2">
        <f>[2]Indicators!AB621</f>
        <v>92.984999999999999</v>
      </c>
      <c r="N739" s="2">
        <f>[8]m!$C741</f>
        <v>0.09</v>
      </c>
      <c r="O739">
        <f>[9]Unemployment!$B621</f>
        <v>9.2000000000000011</v>
      </c>
      <c r="P739" s="2">
        <f>[2]Surveys_m!$B621</f>
        <v>57.6</v>
      </c>
      <c r="Q739">
        <f>[5]m!$B741</f>
        <v>224.304</v>
      </c>
      <c r="R739">
        <f>[5]m!$D741</f>
        <v>224.958</v>
      </c>
      <c r="S739">
        <f>[5]m!$Q741</f>
        <v>204</v>
      </c>
      <c r="T739">
        <f>[6]m!B741</f>
        <v>-43080</v>
      </c>
      <c r="U739" s="2">
        <f>[9]Unemployment!$F621</f>
        <v>39.900000000000006</v>
      </c>
      <c r="V739" s="2">
        <f>[9]Unemployment!$G621</f>
        <v>22.5</v>
      </c>
      <c r="W739">
        <f>[9]Unemployment!$E621</f>
        <v>14087</v>
      </c>
      <c r="X739">
        <f>[9]Unemployment!N621</f>
        <v>3076</v>
      </c>
      <c r="Y739">
        <f>[9]Unemployment!O621</f>
        <v>2972</v>
      </c>
      <c r="Z739">
        <f>[9]Unemployment!P621-[9]Unemployment!Q621</f>
        <v>1836</v>
      </c>
      <c r="AA739">
        <f>[9]Unemployment!$Q621</f>
        <v>6289</v>
      </c>
      <c r="AB739" s="2">
        <f>[8]m!$B741</f>
        <v>0.03</v>
      </c>
      <c r="AC739" s="2">
        <f>[8]m!$F741</f>
        <v>3</v>
      </c>
      <c r="AD739">
        <f>[9]Employment!$B621</f>
        <v>131047</v>
      </c>
      <c r="AE739" s="2">
        <f>[2]Indicators!$AB621</f>
        <v>92.984999999999999</v>
      </c>
      <c r="AF739" s="2">
        <f>[8]m!$AS741</f>
        <v>2442.5</v>
      </c>
      <c r="AG739" s="2">
        <f>[8]m!$H741</f>
        <v>4.99</v>
      </c>
      <c r="AH739" s="2">
        <f>[8]m!$I741</f>
        <v>5.75</v>
      </c>
      <c r="AI739" s="2">
        <f>[7]m!C740</f>
        <v>175673</v>
      </c>
      <c r="AJ739" s="2">
        <f>[7]m!D740</f>
        <v>225855</v>
      </c>
      <c r="AK739" s="2">
        <f>[2]Surveys_m!$AB621</f>
        <v>55.300000000000004</v>
      </c>
      <c r="AL739" s="3">
        <f>[9]Employment!$AZ621</f>
        <v>3169</v>
      </c>
      <c r="AM739">
        <f>[2]Indicators!$BB621</f>
        <v>182967</v>
      </c>
      <c r="AO739">
        <f>[9]Unemployment!H621</f>
        <v>982</v>
      </c>
      <c r="AP739">
        <f>[9]Unemployment!I621</f>
        <v>1698</v>
      </c>
      <c r="AQ739" s="3">
        <f>[9]LaborForce!$B620*[9]LaborForce!$C620/100</f>
        <v>153512.44900000002</v>
      </c>
      <c r="AR739">
        <f>[9]Unemployment!$AC621</f>
        <v>426</v>
      </c>
      <c r="AS739">
        <f>[2]Indicators!BC621</f>
        <v>115.2</v>
      </c>
      <c r="AT739">
        <f>[2]Indicators!BD621</f>
        <v>97.334600000000009</v>
      </c>
      <c r="AU739" t="str">
        <f>[2]Indicators!BE621</f>
        <v>NA</v>
      </c>
      <c r="AV739">
        <f>[5]m!$O741</f>
        <v>154.70000000000002</v>
      </c>
    </row>
    <row r="740" spans="1:48" x14ac:dyDescent="0.25">
      <c r="A740" s="1">
        <v>40725</v>
      </c>
      <c r="B740" s="2">
        <f>IF(ISNUMBER([2]Indicators!G622),[2]Indicators!G622,"")</f>
        <v>10764.424000000001</v>
      </c>
      <c r="C740" s="2">
        <f>IF(ISNUMBER([2]Indicators!H622),[2]Indicators!H622,"")</f>
        <v>1154.221</v>
      </c>
      <c r="D740" s="2">
        <f>IF(ISNUMBER([2]Indicators!I622),[2]Indicators!I622,"")</f>
        <v>2489.1170000000002</v>
      </c>
      <c r="E740" s="2">
        <f>IF(ISNUMBER([2]Indicators!J622),[2]Indicators!J622,"")</f>
        <v>7121.0860000000002</v>
      </c>
      <c r="F740" s="2">
        <f>[2]Indicators!B622</f>
        <v>9437.2620000000006</v>
      </c>
      <c r="G740" s="2">
        <f>[2]Indicators!C622</f>
        <v>1270.3520000000001</v>
      </c>
      <c r="H740" s="2">
        <f>[2]Indicators!D622</f>
        <v>2075.5520000000001</v>
      </c>
      <c r="I740" s="2">
        <f>[2]Indicators!E622</f>
        <v>6103.62</v>
      </c>
      <c r="J740" s="2">
        <f>[2]Indicators!L622</f>
        <v>348967</v>
      </c>
      <c r="K740" s="2">
        <f>[2]Indicators!M622</f>
        <v>172977</v>
      </c>
      <c r="L740" s="2">
        <f>[2]Indicators!N622</f>
        <v>12.509</v>
      </c>
      <c r="M740" s="2">
        <f>[2]Indicators!AB622</f>
        <v>93.967800000000011</v>
      </c>
      <c r="N740" s="2">
        <f>[8]m!$C742</f>
        <v>7.0000000000000007E-2</v>
      </c>
      <c r="O740">
        <f>[9]Unemployment!$B622</f>
        <v>9.1</v>
      </c>
      <c r="P740" s="2">
        <f>[2]Surveys_m!$B622</f>
        <v>59.2</v>
      </c>
      <c r="Q740">
        <f>[5]m!$B742</f>
        <v>225.42500000000001</v>
      </c>
      <c r="R740">
        <f>[5]m!$D742</f>
        <v>225.46299999999999</v>
      </c>
      <c r="S740">
        <f>[5]m!$Q742</f>
        <v>204.60000000000002</v>
      </c>
      <c r="T740">
        <f>[6]m!B742</f>
        <v>-129376</v>
      </c>
      <c r="U740" s="2">
        <f>[9]Unemployment!$F622</f>
        <v>40.400000000000006</v>
      </c>
      <c r="V740" s="2">
        <f>[9]Unemployment!$G622</f>
        <v>21.200000000000003</v>
      </c>
      <c r="W740">
        <f>[9]Unemployment!$E622</f>
        <v>13931</v>
      </c>
      <c r="X740">
        <f>[9]Unemployment!N622</f>
        <v>2689</v>
      </c>
      <c r="Y740">
        <f>[9]Unemployment!O622</f>
        <v>3088</v>
      </c>
      <c r="Z740">
        <f>[9]Unemployment!P622-[9]Unemployment!Q622</f>
        <v>1965</v>
      </c>
      <c r="AA740">
        <f>[9]Unemployment!$Q622</f>
        <v>6185</v>
      </c>
      <c r="AB740" s="2">
        <f>[8]m!$B742</f>
        <v>0.1</v>
      </c>
      <c r="AC740" s="2">
        <f>[8]m!$F742</f>
        <v>3</v>
      </c>
      <c r="AD740">
        <f>[9]Employment!$B622</f>
        <v>131132</v>
      </c>
      <c r="AE740" s="2">
        <f>[2]Indicators!$AB622</f>
        <v>93.967800000000011</v>
      </c>
      <c r="AF740" s="2">
        <f>[8]m!$AS742</f>
        <v>2454.5</v>
      </c>
      <c r="AG740" s="2">
        <f>[8]m!$H742</f>
        <v>4.93</v>
      </c>
      <c r="AH740" s="2">
        <f>[8]m!$I742</f>
        <v>5.76</v>
      </c>
      <c r="AI740" s="2">
        <f>[7]m!C741</f>
        <v>171802</v>
      </c>
      <c r="AJ740" s="2">
        <f>[7]m!D741</f>
        <v>223372</v>
      </c>
      <c r="AK740" s="2">
        <f>[2]Surveys_m!$AB622</f>
        <v>50.900000000000006</v>
      </c>
      <c r="AL740" s="3">
        <f>[9]Employment!$AZ622</f>
        <v>3228</v>
      </c>
      <c r="AM740">
        <f>[2]Indicators!$BB622</f>
        <v>191899</v>
      </c>
      <c r="AO740">
        <f>[9]Unemployment!H622</f>
        <v>1119</v>
      </c>
      <c r="AP740">
        <f>[9]Unemployment!I622</f>
        <v>1667</v>
      </c>
      <c r="AQ740" s="3">
        <f>[9]LaborForce!$B621*[9]LaborForce!$C621/100</f>
        <v>153149.76900000003</v>
      </c>
      <c r="AR740">
        <f>[9]Unemployment!$AC622</f>
        <v>427</v>
      </c>
      <c r="AS740">
        <f>[2]Indicators!BC622</f>
        <v>115.9</v>
      </c>
      <c r="AT740" t="str">
        <f>[2]Indicators!BD622</f>
        <v>NA</v>
      </c>
      <c r="AU740" t="str">
        <f>[2]Indicators!BE622</f>
        <v>NA</v>
      </c>
      <c r="AV740">
        <f>[5]m!$O742</f>
        <v>155.99</v>
      </c>
    </row>
    <row r="741" spans="1:48" x14ac:dyDescent="0.25">
      <c r="A741" s="1">
        <v>40756</v>
      </c>
      <c r="B741" s="2">
        <f>IF(ISNUMBER([2]Indicators!G623),[2]Indicators!G623,"")</f>
        <v>10788.591</v>
      </c>
      <c r="C741" s="2">
        <f>IF(ISNUMBER([2]Indicators!H623),[2]Indicators!H623,"")</f>
        <v>1141.375</v>
      </c>
      <c r="D741" s="2">
        <f>IF(ISNUMBER([2]Indicators!I623),[2]Indicators!I623,"")</f>
        <v>2503.5080000000003</v>
      </c>
      <c r="E741" s="2">
        <f>IF(ISNUMBER([2]Indicators!J623),[2]Indicators!J623,"")</f>
        <v>7143.7089999999998</v>
      </c>
      <c r="F741" s="2">
        <f>[2]Indicators!B623</f>
        <v>9433.4830000000002</v>
      </c>
      <c r="G741" s="2">
        <f>[2]Indicators!C623</f>
        <v>1258.068</v>
      </c>
      <c r="H741" s="2">
        <f>[2]Indicators!D623</f>
        <v>2073.5590000000002</v>
      </c>
      <c r="I741" s="2">
        <f>[2]Indicators!E623</f>
        <v>6111.5330000000004</v>
      </c>
      <c r="J741" s="2">
        <f>[2]Indicators!L623</f>
        <v>349905</v>
      </c>
      <c r="K741" s="2">
        <f>[2]Indicators!M623</f>
        <v>172821</v>
      </c>
      <c r="L741" s="2">
        <f>[2]Indicators!N623</f>
        <v>12.429</v>
      </c>
      <c r="M741" s="2">
        <f>[2]Indicators!AB623</f>
        <v>94.010100000000008</v>
      </c>
      <c r="N741" s="2">
        <f>[8]m!$C743</f>
        <v>0.1</v>
      </c>
      <c r="O741">
        <f>[9]Unemployment!$B623</f>
        <v>9.1</v>
      </c>
      <c r="P741" s="2">
        <f>[2]Surveys_m!$B623</f>
        <v>45.2</v>
      </c>
      <c r="Q741">
        <f>[5]m!$B743</f>
        <v>226.268</v>
      </c>
      <c r="R741">
        <f>[5]m!$D743</f>
        <v>226.01400000000001</v>
      </c>
      <c r="S741">
        <f>[5]m!$Q743</f>
        <v>203.20000000000002</v>
      </c>
      <c r="T741">
        <f>[6]m!B743</f>
        <v>-134143</v>
      </c>
      <c r="U741" s="2">
        <f>[9]Unemployment!$F623</f>
        <v>40.300000000000004</v>
      </c>
      <c r="V741" s="2">
        <f>[9]Unemployment!$G623</f>
        <v>21.8</v>
      </c>
      <c r="W741">
        <f>[9]Unemployment!$E623</f>
        <v>13967</v>
      </c>
      <c r="X741">
        <f>[9]Unemployment!N623</f>
        <v>2755</v>
      </c>
      <c r="Y741">
        <f>[9]Unemployment!O623</f>
        <v>3050</v>
      </c>
      <c r="Z741">
        <f>[9]Unemployment!P623-[9]Unemployment!Q623</f>
        <v>2239</v>
      </c>
      <c r="AA741">
        <f>[9]Unemployment!$Q623</f>
        <v>6034</v>
      </c>
      <c r="AB741" s="2">
        <f>[8]m!$B743</f>
        <v>0.02</v>
      </c>
      <c r="AC741" s="2">
        <f>[8]m!$F743</f>
        <v>2.3000000000000003</v>
      </c>
      <c r="AD741">
        <f>[9]Employment!$B623</f>
        <v>131132</v>
      </c>
      <c r="AE741" s="2">
        <f>[2]Indicators!$AB623</f>
        <v>94.010100000000008</v>
      </c>
      <c r="AF741" s="2" t="str">
        <f>[8]m!$AS743</f>
        <v>NA</v>
      </c>
      <c r="AG741" s="2">
        <f>[8]m!$H743</f>
        <v>4.37</v>
      </c>
      <c r="AH741" s="2">
        <f>[8]m!$I743</f>
        <v>5.36</v>
      </c>
      <c r="AI741" s="2">
        <f>[7]m!C742</f>
        <v>177706</v>
      </c>
      <c r="AJ741" s="2">
        <f>[7]m!D742</f>
        <v>223331</v>
      </c>
      <c r="AK741" s="2">
        <f>[2]Surveys_m!$AB623</f>
        <v>50.6</v>
      </c>
      <c r="AL741" s="3" t="str">
        <f>[9]Employment!$AZ623</f>
        <v>NA</v>
      </c>
      <c r="AM741">
        <f>[2]Indicators!$BB623</f>
        <v>191720</v>
      </c>
      <c r="AO741">
        <f>[9]Unemployment!H623</f>
        <v>977</v>
      </c>
      <c r="AP741">
        <f>[9]Unemployment!I623</f>
        <v>1598</v>
      </c>
      <c r="AQ741" s="3">
        <f>[9]LaborForce!$B622*[9]LaborForce!$C622/100</f>
        <v>153517.44</v>
      </c>
      <c r="AR741">
        <f>[9]Unemployment!$AC623</f>
        <v>402</v>
      </c>
      <c r="AS741">
        <f>[2]Indicators!BC623</f>
        <v>116.2</v>
      </c>
      <c r="AT741" t="str">
        <f>[2]Indicators!BD623</f>
        <v>NA</v>
      </c>
      <c r="AU741" t="str">
        <f>[2]Indicators!BE623</f>
        <v>NA</v>
      </c>
      <c r="AV741">
        <f>[5]m!$O743</f>
        <v>156.36000000000001</v>
      </c>
    </row>
    <row r="742" spans="1:48" x14ac:dyDescent="0.25">
      <c r="A742" s="1">
        <v>40787</v>
      </c>
      <c r="B742" s="2">
        <f>IF(ISNUMBER([2]Indicators!G624),[2]Indicators!G624,"")</f>
        <v>10857.313</v>
      </c>
      <c r="C742" s="2">
        <f>IF(ISNUMBER([2]Indicators!H624),[2]Indicators!H624,"")</f>
        <v>1166.1010000000001</v>
      </c>
      <c r="D742" s="2">
        <f>IF(ISNUMBER([2]Indicators!I624),[2]Indicators!I624,"")</f>
        <v>2530.837</v>
      </c>
      <c r="E742" s="2">
        <f>IF(ISNUMBER([2]Indicators!J624),[2]Indicators!J624,"")</f>
        <v>7160.375</v>
      </c>
      <c r="F742" s="2">
        <f>[2]Indicators!B624</f>
        <v>9477.8050000000003</v>
      </c>
      <c r="G742" s="2">
        <f>[2]Indicators!C624</f>
        <v>1290.537</v>
      </c>
      <c r="H742" s="2">
        <f>[2]Indicators!D624</f>
        <v>2083.846</v>
      </c>
      <c r="I742" s="2">
        <f>[2]Indicators!E624</f>
        <v>6119.1270000000004</v>
      </c>
      <c r="J742" s="2">
        <f>[2]Indicators!L624</f>
        <v>353826</v>
      </c>
      <c r="K742" s="2">
        <f>[2]Indicators!M624</f>
        <v>174251</v>
      </c>
      <c r="L742" s="2">
        <f>[2]Indicators!N624</f>
        <v>13.396000000000001</v>
      </c>
      <c r="M742" s="2">
        <f>[2]Indicators!AB624</f>
        <v>94.185100000000006</v>
      </c>
      <c r="N742" s="2" t="str">
        <f>[8]m!$C744</f>
        <v>NA</v>
      </c>
      <c r="O742" t="str">
        <f>[9]Unemployment!$B624</f>
        <v>NA</v>
      </c>
      <c r="P742" s="2">
        <f>[2]Surveys_m!$B624</f>
        <v>46.400000000000006</v>
      </c>
      <c r="Q742">
        <f>[5]m!$B744</f>
        <v>226.95500000000001</v>
      </c>
      <c r="R742">
        <f>[5]m!$D744</f>
        <v>226.137</v>
      </c>
      <c r="S742">
        <f>[5]m!$Q744</f>
        <v>204</v>
      </c>
      <c r="T742">
        <f>[6]m!B744</f>
        <v>-64569</v>
      </c>
      <c r="U742" s="2" t="str">
        <f>[9]Unemployment!$F624</f>
        <v>NA</v>
      </c>
      <c r="V742" s="2" t="str">
        <f>[9]Unemployment!$G624</f>
        <v>NA</v>
      </c>
      <c r="W742" t="str">
        <f>[9]Unemployment!$E624</f>
        <v>NA</v>
      </c>
      <c r="X742" t="str">
        <f>[9]Unemployment!N624</f>
        <v>NA</v>
      </c>
      <c r="Y742" t="str">
        <f>[9]Unemployment!O624</f>
        <v>NA</v>
      </c>
      <c r="Z742" t="e">
        <f>[9]Unemployment!P624-[9]Unemployment!Q624</f>
        <v>#VALUE!</v>
      </c>
      <c r="AA742" t="str">
        <f>[9]Unemployment!$Q624</f>
        <v>NA</v>
      </c>
      <c r="AB742" s="2">
        <f>[8]m!$B744</f>
        <v>0.01</v>
      </c>
      <c r="AC742" s="2" t="str">
        <f>[8]m!$F744</f>
        <v>NA</v>
      </c>
      <c r="AD742" t="str">
        <f>[9]Employment!$B624</f>
        <v>NA</v>
      </c>
      <c r="AE742" s="2">
        <f>[2]Indicators!$AB624</f>
        <v>94.185100000000006</v>
      </c>
      <c r="AF742" s="2" t="str">
        <f>[8]m!$AS744</f>
        <v>NA</v>
      </c>
      <c r="AG742" s="2" t="str">
        <f>[8]m!$H744</f>
        <v>NA</v>
      </c>
      <c r="AH742" s="2" t="str">
        <f>[8]m!$I744</f>
        <v>NA</v>
      </c>
      <c r="AI742" s="2">
        <f>[7]m!C743</f>
        <v>177611</v>
      </c>
      <c r="AJ742" s="2">
        <f>[7]m!D743</f>
        <v>223220</v>
      </c>
      <c r="AK742" s="2">
        <f>[2]Surveys_m!$AB624</f>
        <v>51.6</v>
      </c>
      <c r="AL742" s="3" t="str">
        <f>[9]Employment!$AZ624</f>
        <v>NA</v>
      </c>
      <c r="AM742">
        <f>[2]Indicators!$BB624</f>
        <v>189941</v>
      </c>
      <c r="AO742" t="str">
        <f>[9]Unemployment!H624</f>
        <v>NA</v>
      </c>
      <c r="AP742" t="str">
        <f>[9]Unemployment!I624</f>
        <v>NA</v>
      </c>
      <c r="AQ742" s="3" t="e">
        <f>[9]LaborForce!$B623*[9]LaborForce!$C623/100</f>
        <v>#VALUE!</v>
      </c>
      <c r="AR742">
        <f>[9]Unemployment!$AC624</f>
        <v>412</v>
      </c>
      <c r="AS742">
        <f>[2]Indicators!BC624</f>
        <v>116.4</v>
      </c>
      <c r="AT742" t="str">
        <f>[2]Indicators!BD624</f>
        <v>NA</v>
      </c>
      <c r="AU742" t="str">
        <f>[2]Indicators!BE624</f>
        <v>NA</v>
      </c>
      <c r="AV742" t="str">
        <f>[5]m!$O744</f>
        <v>NA</v>
      </c>
    </row>
    <row r="743" spans="1:48" x14ac:dyDescent="0.25">
      <c r="A743" s="1">
        <v>40817</v>
      </c>
      <c r="B743" s="2" t="str">
        <f>IF(ISNUMBER([2]Indicators!G625),[2]Indicators!G625,"")</f>
        <v/>
      </c>
      <c r="C743" s="2" t="str">
        <f>IF(ISNUMBER([2]Indicators!H625),[2]Indicators!H625,"")</f>
        <v/>
      </c>
      <c r="D743" s="2" t="str">
        <f>IF(ISNUMBER([2]Indicators!I625),[2]Indicators!I625,"")</f>
        <v/>
      </c>
      <c r="E743" s="2" t="str">
        <f>IF(ISNUMBER([2]Indicators!J625),[2]Indicators!J625,"")</f>
        <v/>
      </c>
      <c r="F743" s="2" t="str">
        <f>[2]Indicators!B625</f>
        <v>NA</v>
      </c>
      <c r="G743" s="2" t="str">
        <f>[2]Indicators!C625</f>
        <v>NA</v>
      </c>
      <c r="H743" s="2" t="str">
        <f>[2]Indicators!D625</f>
        <v>NA</v>
      </c>
      <c r="I743" s="2" t="str">
        <f>[2]Indicators!E625</f>
        <v>NA</v>
      </c>
      <c r="J743" s="2" t="str">
        <f>[2]Indicators!L625</f>
        <v>NA</v>
      </c>
      <c r="K743" s="2" t="str">
        <f>[2]Indicators!M625</f>
        <v>NA</v>
      </c>
      <c r="L743" s="2">
        <f>[2]Indicators!N625</f>
        <v>13.556000000000001</v>
      </c>
      <c r="M743" s="2" t="str">
        <f>[2]Indicators!AB625</f>
        <v>NA</v>
      </c>
      <c r="N743" s="2">
        <f>[8]m!$C745</f>
        <v>0</v>
      </c>
      <c r="O743">
        <f>[9]Unemployment!$B625</f>
        <v>0</v>
      </c>
      <c r="P743" s="2">
        <f>[2]Surveys_m!$B625</f>
        <v>39.800000000000004</v>
      </c>
      <c r="Q743" t="str">
        <f>[5]m!$B745</f>
        <v>NA</v>
      </c>
      <c r="R743" t="str">
        <f>[5]m!$D745</f>
        <v>NA</v>
      </c>
      <c r="S743" t="str">
        <f>[5]m!$Q745</f>
        <v>NA</v>
      </c>
      <c r="T743" t="str">
        <f>[6]m!B745</f>
        <v>NA</v>
      </c>
      <c r="U743" s="2">
        <f>[9]Unemployment!$F625</f>
        <v>0</v>
      </c>
      <c r="V743" s="2">
        <f>[9]Unemployment!$G625</f>
        <v>0</v>
      </c>
      <c r="W743">
        <f>[9]Unemployment!$E625</f>
        <v>0</v>
      </c>
      <c r="X743">
        <f>[9]Unemployment!N625</f>
        <v>0</v>
      </c>
      <c r="Y743">
        <f>[9]Unemployment!O625</f>
        <v>0</v>
      </c>
      <c r="Z743">
        <f>[9]Unemployment!P625-[9]Unemployment!Q625</f>
        <v>0</v>
      </c>
      <c r="AA743">
        <f>[9]Unemployment!$Q625</f>
        <v>0</v>
      </c>
      <c r="AB743" s="2">
        <f>[8]m!$B745</f>
        <v>0</v>
      </c>
      <c r="AC743" s="2">
        <f>[8]m!$F745</f>
        <v>0</v>
      </c>
      <c r="AD743">
        <f>[9]Employment!$B625</f>
        <v>0</v>
      </c>
      <c r="AE743" s="2" t="str">
        <f>[2]Indicators!$AB625</f>
        <v>NA</v>
      </c>
      <c r="AF743" s="2">
        <f>[8]m!$AS745</f>
        <v>0</v>
      </c>
      <c r="AG743" s="2">
        <f>[8]m!$H745</f>
        <v>0</v>
      </c>
      <c r="AH743" s="2">
        <f>[8]m!$I745</f>
        <v>0</v>
      </c>
      <c r="AI743" s="2" t="str">
        <f>[7]m!C744</f>
        <v>NA</v>
      </c>
      <c r="AJ743" s="2" t="str">
        <f>[7]m!D744</f>
        <v>NA</v>
      </c>
      <c r="AK743" s="2">
        <f>[2]Surveys_m!$AB625</f>
        <v>50.800000000000004</v>
      </c>
      <c r="AL743" s="3">
        <f>[9]Employment!$AZ625</f>
        <v>0</v>
      </c>
      <c r="AM743" t="str">
        <f>[2]Indicators!$BB625</f>
        <v>NA</v>
      </c>
      <c r="AO743">
        <f>[9]Unemployment!H625</f>
        <v>0</v>
      </c>
      <c r="AP743">
        <f>[9]Unemployment!I625</f>
        <v>0</v>
      </c>
      <c r="AQ743" s="3">
        <f>[9]LaborForce!$B624*[9]LaborForce!$C624/100</f>
        <v>0</v>
      </c>
      <c r="AR743">
        <f>[9]Unemployment!$AC625</f>
        <v>0</v>
      </c>
      <c r="AS743" t="str">
        <f>[2]Indicators!BC625</f>
        <v>NA</v>
      </c>
      <c r="AT743" t="str">
        <f>[2]Indicators!BD625</f>
        <v>NA</v>
      </c>
      <c r="AU743" t="str">
        <f>[2]Indicators!BE625</f>
        <v>NA</v>
      </c>
      <c r="AV743" t="str">
        <f>[5]m!$O745</f>
        <v>NA</v>
      </c>
    </row>
    <row r="744" spans="1:48" x14ac:dyDescent="0.25">
      <c r="A744" s="1">
        <v>40848</v>
      </c>
      <c r="B744" s="2" t="str">
        <f>IF(ISNUMBER([2]Indicators!G626),[2]Indicators!G626,"")</f>
        <v/>
      </c>
      <c r="C744" s="2" t="str">
        <f>IF(ISNUMBER([2]Indicators!H626),[2]Indicators!H626,"")</f>
        <v/>
      </c>
      <c r="D744" s="2" t="str">
        <f>IF(ISNUMBER([2]Indicators!I626),[2]Indicators!I626,"")</f>
        <v/>
      </c>
      <c r="E744" s="2" t="str">
        <f>IF(ISNUMBER([2]Indicators!J626),[2]Indicators!J626,"")</f>
        <v/>
      </c>
      <c r="F744" s="2"/>
      <c r="G744" s="2"/>
      <c r="H744" s="2"/>
      <c r="I744" s="2"/>
      <c r="J744" s="2"/>
      <c r="K744" s="2"/>
      <c r="L744" s="2"/>
      <c r="M744" s="2"/>
      <c r="N744" s="2"/>
      <c r="P744" s="2"/>
      <c r="U744" s="2"/>
      <c r="V744" s="2"/>
      <c r="AB744" s="2"/>
      <c r="AC744" s="2"/>
      <c r="AE744" s="2"/>
      <c r="AF744" s="2"/>
      <c r="AG744" s="2"/>
      <c r="AH744" s="2"/>
      <c r="AI744" s="2"/>
      <c r="AJ744" s="2"/>
      <c r="AK744" s="2"/>
      <c r="AL744" s="3"/>
      <c r="AQ744" s="3"/>
    </row>
    <row r="745" spans="1:48" x14ac:dyDescent="0.25">
      <c r="A745" s="1">
        <v>40878</v>
      </c>
      <c r="B745" s="2" t="str">
        <f>IF(ISNUMBER([2]Indicators!G627),[2]Indicators!G627,"")</f>
        <v/>
      </c>
      <c r="C745" s="2" t="str">
        <f>IF(ISNUMBER([2]Indicators!H627),[2]Indicators!H627,"")</f>
        <v/>
      </c>
      <c r="D745" s="2" t="str">
        <f>IF(ISNUMBER([2]Indicators!I627),[2]Indicators!I627,"")</f>
        <v/>
      </c>
      <c r="E745" s="2" t="str">
        <f>IF(ISNUMBER([2]Indicators!J627),[2]Indicators!J627,"")</f>
        <v/>
      </c>
      <c r="F745" s="2"/>
      <c r="G745" s="2"/>
      <c r="H745" s="2"/>
      <c r="I745" s="2"/>
      <c r="J745" s="2"/>
      <c r="K745" s="2"/>
      <c r="L745" s="2"/>
      <c r="M745" s="2"/>
      <c r="N745" s="2"/>
      <c r="P745" s="2"/>
      <c r="U745" s="2"/>
      <c r="V745" s="2"/>
      <c r="AB745" s="2"/>
      <c r="AC745" s="2"/>
      <c r="AE745" s="2"/>
      <c r="AF745" s="2"/>
      <c r="AG745" s="2"/>
      <c r="AH745" s="2"/>
      <c r="AI745" s="2"/>
      <c r="AJ745" s="2"/>
      <c r="AK745" s="2"/>
      <c r="AL745" s="3"/>
      <c r="AQ745" s="3"/>
    </row>
    <row r="746" spans="1:48" x14ac:dyDescent="0.25">
      <c r="A746" s="1">
        <v>40909</v>
      </c>
      <c r="B746" s="2" t="str">
        <f>IF(ISNUMBER([2]Indicators!G628),[2]Indicators!G628,"")</f>
        <v/>
      </c>
      <c r="C746" s="2" t="str">
        <f>IF(ISNUMBER([2]Indicators!H628),[2]Indicators!H628,"")</f>
        <v/>
      </c>
      <c r="D746" s="2" t="str">
        <f>IF(ISNUMBER([2]Indicators!I628),[2]Indicators!I628,"")</f>
        <v/>
      </c>
      <c r="E746" s="2" t="str">
        <f>IF(ISNUMBER([2]Indicators!J628),[2]Indicators!J628,"")</f>
        <v/>
      </c>
    </row>
    <row r="747" spans="1:48" x14ac:dyDescent="0.25">
      <c r="A747" s="1">
        <v>40940</v>
      </c>
      <c r="B747" s="2" t="str">
        <f>IF(ISNUMBER([2]Indicators!G629),[2]Indicators!G629,"")</f>
        <v/>
      </c>
      <c r="C747" s="2" t="str">
        <f>IF(ISNUMBER([2]Indicators!H629),[2]Indicators!H629,"")</f>
        <v/>
      </c>
      <c r="D747" s="2" t="str">
        <f>IF(ISNUMBER([2]Indicators!I629),[2]Indicators!I629,"")</f>
        <v/>
      </c>
      <c r="E747" s="2" t="str">
        <f>IF(ISNUMBER([2]Indicators!J629),[2]Indicators!J629,"")</f>
        <v/>
      </c>
    </row>
    <row r="748" spans="1:48" x14ac:dyDescent="0.25">
      <c r="A748" s="1">
        <v>40969</v>
      </c>
      <c r="B748" s="2" t="str">
        <f>IF(ISNUMBER([2]Indicators!G630),[2]Indicators!G630,"")</f>
        <v/>
      </c>
    </row>
    <row r="749" spans="1:48" x14ac:dyDescent="0.25">
      <c r="A749" s="1">
        <v>41000</v>
      </c>
      <c r="B749" s="2" t="str">
        <f>IF(ISNUMBER([2]Indicators!G631),[2]Indicators!G631,"")</f>
        <v/>
      </c>
    </row>
    <row r="750" spans="1:48" x14ac:dyDescent="0.25">
      <c r="A750" s="1">
        <v>41030</v>
      </c>
    </row>
    <row r="751" spans="1:48" x14ac:dyDescent="0.25">
      <c r="A751" s="1">
        <v>41061</v>
      </c>
    </row>
    <row r="752" spans="1:48" x14ac:dyDescent="0.25">
      <c r="A752" s="1">
        <v>41091</v>
      </c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RATS_q</vt:lpstr>
      <vt:lpstr>RATS_m</vt:lpstr>
    </vt:vector>
  </TitlesOfParts>
  <Company>Kiel Economics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Dovern</dc:creator>
  <cp:lastModifiedBy>Jonas Dovern</cp:lastModifiedBy>
  <dcterms:created xsi:type="dcterms:W3CDTF">2011-11-09T10:21:26Z</dcterms:created>
  <dcterms:modified xsi:type="dcterms:W3CDTF">2011-11-09T10:24:56Z</dcterms:modified>
</cp:coreProperties>
</file>