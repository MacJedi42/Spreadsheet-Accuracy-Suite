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Override PartName="/xl/theme/theme1.xml" ContentType="application/vnd.openxmlformats-officedocument.theme+xml"/>
  <Override PartName="/docProps/app.xml" ContentType="application/vnd.openxmlformats-officedocument.extended-properties+xml"/>
  <Default Extension="rels" ContentType="application/vnd.openxmlformats-package.relationships+xml"/>
  <Override PartName="/xl/sharedStrings.xml" ContentType="application/vnd.openxmlformats-officedocument.spreadsheetml.sharedStrings+xml"/>
  <Default Extension="bin" ContentType="application/vnd.openxmlformats-officedocument.oleObject"/>
  <Override PartName="/xl/drawings/drawing1.xml" ContentType="application/vnd.openxmlformats-officedocument.drawing+xml"/>
  <Default Extension="jpeg" ContentType="image/jpeg"/>
  <Default Extension="vml" ContentType="application/vnd.openxmlformats-officedocument.vmlDrawing"/>
  <Override PartName="/xl/calcChain.xml" ContentType="application/vnd.openxmlformats-officedocument.spreadsheetml.calcChain+xml"/>
  <Default Extension="pict" ContentType="image/pict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20" yWindow="0" windowWidth="21600" windowHeight="15920" tabRatio="500"/>
  </bookViews>
  <sheets>
    <sheet name="Trials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D34" i="1"/>
  <c r="E34"/>
  <c r="F34"/>
  <c r="G34"/>
  <c r="I34"/>
  <c r="J34"/>
  <c r="H34"/>
  <c r="H33"/>
  <c r="D33"/>
  <c r="E33"/>
  <c r="F33"/>
  <c r="G33"/>
  <c r="I33"/>
  <c r="J33"/>
  <c r="I32"/>
  <c r="J32"/>
  <c r="D32"/>
  <c r="E32"/>
  <c r="F32"/>
  <c r="G32"/>
  <c r="H30"/>
  <c r="H29"/>
  <c r="H28"/>
  <c r="D35"/>
  <c r="E35"/>
  <c r="F35"/>
  <c r="G35"/>
  <c r="I35"/>
  <c r="D31"/>
  <c r="E31"/>
  <c r="F31"/>
  <c r="G31"/>
  <c r="I31"/>
  <c r="D30"/>
  <c r="E30"/>
  <c r="F30"/>
  <c r="G30"/>
  <c r="I30"/>
  <c r="D29"/>
  <c r="E29"/>
  <c r="F29"/>
  <c r="G29"/>
  <c r="I29"/>
  <c r="D28"/>
  <c r="E28"/>
  <c r="F28"/>
  <c r="G28"/>
  <c r="I28"/>
  <c r="H27"/>
  <c r="D27"/>
  <c r="E27"/>
  <c r="F27"/>
  <c r="G27"/>
  <c r="I27"/>
  <c r="H26"/>
  <c r="D26"/>
  <c r="E26"/>
  <c r="F26"/>
  <c r="G26"/>
  <c r="I26"/>
  <c r="H25"/>
  <c r="D25"/>
  <c r="E25"/>
  <c r="F25"/>
  <c r="G25"/>
  <c r="I25"/>
  <c r="H24"/>
  <c r="D24"/>
  <c r="E24"/>
  <c r="F24"/>
  <c r="G24"/>
  <c r="I24"/>
  <c r="H23"/>
  <c r="D23"/>
  <c r="E23"/>
  <c r="F23"/>
  <c r="G23"/>
  <c r="I23"/>
  <c r="H22"/>
  <c r="D22"/>
  <c r="E22"/>
  <c r="F22"/>
  <c r="G22"/>
  <c r="I22"/>
  <c r="H21"/>
  <c r="D21"/>
  <c r="E21"/>
  <c r="F21"/>
  <c r="G21"/>
  <c r="I21"/>
  <c r="H20"/>
  <c r="D20"/>
  <c r="E20"/>
  <c r="F20"/>
  <c r="G20"/>
  <c r="I20"/>
  <c r="H19"/>
  <c r="D19"/>
  <c r="E19"/>
  <c r="F19"/>
  <c r="G19"/>
  <c r="I19"/>
  <c r="H18"/>
  <c r="D18"/>
  <c r="E18"/>
  <c r="F18"/>
  <c r="G18"/>
  <c r="I18"/>
  <c r="H17"/>
  <c r="D17"/>
  <c r="E17"/>
  <c r="F17"/>
  <c r="G17"/>
  <c r="I17"/>
  <c r="H16"/>
  <c r="D16"/>
  <c r="E16"/>
  <c r="F16"/>
  <c r="G16"/>
  <c r="I16"/>
  <c r="H15"/>
  <c r="D15"/>
  <c r="E15"/>
  <c r="F15"/>
  <c r="G15"/>
  <c r="I15"/>
  <c r="H14"/>
  <c r="D14"/>
  <c r="E14"/>
  <c r="F14"/>
  <c r="G14"/>
  <c r="I14"/>
  <c r="H13"/>
  <c r="D13"/>
  <c r="E13"/>
  <c r="F13"/>
  <c r="G13"/>
  <c r="I13"/>
  <c r="H12"/>
  <c r="D12"/>
  <c r="E12"/>
  <c r="F12"/>
  <c r="G12"/>
  <c r="I12"/>
  <c r="H11"/>
  <c r="D11"/>
  <c r="E11"/>
  <c r="F11"/>
  <c r="G11"/>
  <c r="I11"/>
  <c r="H10"/>
  <c r="D10"/>
  <c r="E10"/>
  <c r="F10"/>
  <c r="G10"/>
  <c r="I10"/>
  <c r="H9"/>
  <c r="D9"/>
  <c r="E9"/>
  <c r="F9"/>
  <c r="G9"/>
  <c r="I9"/>
  <c r="H8"/>
  <c r="D8"/>
  <c r="E8"/>
  <c r="F8"/>
  <c r="G8"/>
  <c r="I8"/>
  <c r="H7"/>
  <c r="D7"/>
  <c r="E7"/>
  <c r="F7"/>
  <c r="G7"/>
  <c r="I7"/>
  <c r="H6"/>
  <c r="D6"/>
  <c r="E6"/>
  <c r="F6"/>
  <c r="G6"/>
  <c r="I6"/>
  <c r="H5"/>
  <c r="D5"/>
  <c r="E5"/>
  <c r="F5"/>
  <c r="G5"/>
  <c r="I5"/>
  <c r="H4"/>
  <c r="D4"/>
  <c r="E4"/>
  <c r="F4"/>
  <c r="G4"/>
  <c r="I4"/>
  <c r="H3"/>
  <c r="D3"/>
  <c r="E3"/>
  <c r="F3"/>
  <c r="G3"/>
  <c r="I3"/>
  <c r="I38"/>
  <c r="J26"/>
  <c r="J25"/>
  <c r="J24"/>
  <c r="J23"/>
  <c r="I36"/>
  <c r="I37"/>
  <c r="J35"/>
  <c r="J31"/>
  <c r="J30"/>
  <c r="J29"/>
  <c r="J28"/>
  <c r="J27"/>
  <c r="J22"/>
  <c r="J21"/>
  <c r="J20"/>
  <c r="J19"/>
  <c r="J6"/>
  <c r="J7"/>
  <c r="J8"/>
  <c r="J9"/>
  <c r="J10"/>
  <c r="J11"/>
  <c r="J12"/>
  <c r="J13"/>
  <c r="J14"/>
  <c r="J15"/>
  <c r="J3"/>
  <c r="J4"/>
  <c r="J5"/>
  <c r="J16"/>
  <c r="J17"/>
  <c r="J18"/>
  <c r="J36"/>
</calcChain>
</file>

<file path=xl/sharedStrings.xml><?xml version="1.0" encoding="utf-8"?>
<sst xmlns="http://schemas.openxmlformats.org/spreadsheetml/2006/main" count="30" uniqueCount="30">
  <si>
    <t xml:space="preserve">     difficult to obtain because of visibility and the lack of a firm target.</t>
    <phoneticPr fontId="5" type="noConversion"/>
  </si>
  <si>
    <t xml:space="preserve"> 3. The calipers used to measure diameter are high precision.</t>
    <phoneticPr fontId="5" type="noConversion"/>
  </si>
  <si>
    <t xml:space="preserve"> 4. The diagram below illustrates the common measurement scenario.</t>
    <phoneticPr fontId="5" type="noConversion"/>
  </si>
  <si>
    <t xml:space="preserve">     The measurer can't see the exact edges of the widest part of the trunk, i.e.</t>
    <phoneticPr fontId="5" type="noConversion"/>
  </si>
  <si>
    <t xml:space="preserve">     the full diameter. Using the sine-based formula shown below,</t>
    <phoneticPr fontId="5" type="noConversion"/>
  </si>
  <si>
    <t xml:space="preserve">     the measurer still captures the full diameter. The assumption of circularity is important.</t>
    <phoneticPr fontId="5" type="noConversion"/>
  </si>
  <si>
    <t xml:space="preserve"> passing through its center will include the eye of the measurer.</t>
    <phoneticPr fontId="5" type="noConversion"/>
  </si>
  <si>
    <t>5. For a flat surface, the formula for width is:</t>
    <phoneticPr fontId="5" type="noConversion"/>
  </si>
  <si>
    <t xml:space="preserve"> where a is the angle computed as is the difference in azimuths taken to the left and right edges of the surface,</t>
    <phoneticPr fontId="5" type="noConversion"/>
  </si>
  <si>
    <t xml:space="preserve"> and D is the TP 360 distance to the center of the surface.</t>
    <phoneticPr fontId="5" type="noConversion"/>
  </si>
  <si>
    <t xml:space="preserve"> In this case, the measurer must be postioned such that a plane perpendicular to the flat surface and  </t>
    <phoneticPr fontId="5" type="noConversion"/>
  </si>
  <si>
    <t xml:space="preserve">Formula </t>
    <phoneticPr fontId="5" type="noConversion"/>
  </si>
  <si>
    <t>TP 360 distance to front center of tree</t>
    <phoneticPr fontId="5" type="noConversion"/>
  </si>
  <si>
    <t>Notes:</t>
    <phoneticPr fontId="5" type="noConversion"/>
  </si>
  <si>
    <t>Diff as pct of actual</t>
    <phoneticPr fontId="5" type="noConversion"/>
  </si>
  <si>
    <t>Diameter Measurements using distance and azimuth of TP 360</t>
    <phoneticPr fontId="5" type="noConversion"/>
  </si>
  <si>
    <t>angle in radians</t>
    <phoneticPr fontId="5" type="noConversion"/>
  </si>
  <si>
    <t>Actual diameter measured with calipers</t>
    <phoneticPr fontId="5" type="noConversion"/>
  </si>
  <si>
    <t>TP 360 azimuth left side</t>
    <phoneticPr fontId="5" type="noConversion"/>
  </si>
  <si>
    <t>TP 360 azimuth right side</t>
    <phoneticPr fontId="5" type="noConversion"/>
  </si>
  <si>
    <t>computed angle in degrees</t>
    <phoneticPr fontId="5" type="noConversion"/>
  </si>
  <si>
    <t>Range-IN</t>
    <phoneticPr fontId="5" type="noConversion"/>
  </si>
  <si>
    <t>Avg Ft  =&gt;</t>
    <phoneticPr fontId="5" type="noConversion"/>
  </si>
  <si>
    <t>Avg In  =&gt;</t>
    <phoneticPr fontId="5" type="noConversion"/>
  </si>
  <si>
    <t>sine  of angle</t>
    <phoneticPr fontId="5" type="noConversion"/>
  </si>
  <si>
    <t>Sine-based computed diameter</t>
    <phoneticPr fontId="5" type="noConversion"/>
  </si>
  <si>
    <t>sine-based difference abs(computed - calipers)</t>
    <phoneticPr fontId="5" type="noConversion"/>
  </si>
  <si>
    <t xml:space="preserve"> 1. Measurements are in chronological order</t>
    <phoneticPr fontId="5" type="noConversion"/>
  </si>
  <si>
    <t xml:space="preserve"> 2. This method was developed because laser returns</t>
    <phoneticPr fontId="5" type="noConversion"/>
  </si>
  <si>
    <t xml:space="preserve">     from the edges of a trunk using the ML routine are</t>
    <phoneticPr fontId="5" type="noConversion"/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</si>
</sst>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0.0000"/>
  </numFmts>
  <fonts count="7">
    <font>
      <sz val="10"/>
      <name val="Verdana"/>
    </font>
    <font>
      <b/>
      <sz val="10"/>
      <name val="Verdana"/>
    </font>
    <font>
      <b/>
      <sz val="10"/>
      <name val="Verdana"/>
    </font>
    <font>
      <b/>
      <sz val="10"/>
      <name val="Verdana"/>
    </font>
    <font>
      <b/>
      <sz val="10"/>
      <name val="Verdana"/>
    </font>
    <font>
      <sz val="8"/>
      <name val="Verdana"/>
    </font>
    <font>
      <b/>
      <sz val="14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2" borderId="6" xfId="0" applyNumberFormat="1" applyFill="1" applyBorder="1"/>
    <xf numFmtId="164" fontId="0" fillId="2" borderId="8" xfId="0" applyNumberForma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164" fontId="0" fillId="0" borderId="0" xfId="0" applyNumberFormat="1"/>
    <xf numFmtId="0" fontId="4" fillId="2" borderId="13" xfId="0" applyFont="1" applyFill="1" applyBorder="1"/>
    <xf numFmtId="164" fontId="4" fillId="2" borderId="13" xfId="0" applyNumberFormat="1" applyFont="1" applyFill="1" applyBorder="1"/>
    <xf numFmtId="164" fontId="4" fillId="2" borderId="2" xfId="0" applyNumberFormat="1" applyFont="1" applyFill="1" applyBorder="1"/>
    <xf numFmtId="0" fontId="4" fillId="2" borderId="1" xfId="0" applyFont="1" applyFill="1" applyBorder="1" applyAlignment="1">
      <alignment horizontal="right" wrapText="1"/>
    </xf>
    <xf numFmtId="164" fontId="4" fillId="2" borderId="1" xfId="0" applyNumberFormat="1" applyFont="1" applyFill="1" applyBorder="1" applyAlignment="1">
      <alignment horizontal="right" wrapText="1"/>
    </xf>
    <xf numFmtId="164" fontId="4" fillId="2" borderId="2" xfId="0" applyNumberFormat="1" applyFont="1" applyFill="1" applyBorder="1" applyAlignment="1">
      <alignment horizontal="right" wrapText="1"/>
    </xf>
    <xf numFmtId="0" fontId="0" fillId="0" borderId="0" xfId="0" applyAlignment="1">
      <alignment horizontal="right" wrapText="1"/>
    </xf>
    <xf numFmtId="10" fontId="4" fillId="2" borderId="2" xfId="0" applyNumberFormat="1" applyFont="1" applyFill="1" applyBorder="1"/>
    <xf numFmtId="10" fontId="4" fillId="2" borderId="2" xfId="0" applyNumberFormat="1" applyFont="1" applyFill="1" applyBorder="1" applyAlignment="1">
      <alignment horizontal="right" wrapText="1"/>
    </xf>
    <xf numFmtId="10" fontId="0" fillId="2" borderId="6" xfId="0" applyNumberFormat="1" applyFill="1" applyBorder="1"/>
    <xf numFmtId="10" fontId="0" fillId="2" borderId="11" xfId="0" applyNumberFormat="1" applyFill="1" applyBorder="1"/>
    <xf numFmtId="10" fontId="0" fillId="0" borderId="0" xfId="0" applyNumberFormat="1"/>
    <xf numFmtId="165" fontId="4" fillId="2" borderId="12" xfId="0" applyNumberFormat="1" applyFont="1" applyFill="1" applyBorder="1"/>
    <xf numFmtId="165" fontId="4" fillId="2" borderId="1" xfId="0" applyNumberFormat="1" applyFont="1" applyFill="1" applyBorder="1" applyAlignment="1">
      <alignment horizontal="right" wrapText="1"/>
    </xf>
    <xf numFmtId="165" fontId="0" fillId="0" borderId="0" xfId="0" applyNumberFormat="1"/>
    <xf numFmtId="2" fontId="4" fillId="2" borderId="13" xfId="0" applyNumberFormat="1" applyFont="1" applyFill="1" applyBorder="1"/>
    <xf numFmtId="2" fontId="4" fillId="2" borderId="1" xfId="0" applyNumberFormat="1" applyFont="1" applyFill="1" applyBorder="1" applyAlignment="1">
      <alignment horizontal="right" wrapText="1"/>
    </xf>
    <xf numFmtId="2" fontId="0" fillId="2" borderId="7" xfId="0" applyNumberFormat="1" applyFill="1" applyBorder="1"/>
    <xf numFmtId="2" fontId="0" fillId="2" borderId="9" xfId="0" applyNumberFormat="1" applyFill="1" applyBorder="1"/>
    <xf numFmtId="2" fontId="0" fillId="0" borderId="0" xfId="0" applyNumberFormat="1"/>
    <xf numFmtId="165" fontId="0" fillId="3" borderId="7" xfId="0" applyNumberFormat="1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3" borderId="6" xfId="0" applyFill="1" applyBorder="1" applyProtection="1">
      <protection locked="0"/>
    </xf>
    <xf numFmtId="165" fontId="0" fillId="3" borderId="9" xfId="0" applyNumberFormat="1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3" borderId="11" xfId="0" applyFill="1" applyBorder="1" applyProtection="1">
      <protection locked="0"/>
    </xf>
    <xf numFmtId="164" fontId="0" fillId="3" borderId="6" xfId="0" applyNumberFormat="1" applyFill="1" applyBorder="1" applyProtection="1">
      <protection locked="0"/>
    </xf>
    <xf numFmtId="165" fontId="0" fillId="3" borderId="3" xfId="0" applyNumberFormat="1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0" fillId="3" borderId="5" xfId="0" applyFill="1" applyBorder="1" applyProtection="1">
      <protection locked="0"/>
    </xf>
    <xf numFmtId="2" fontId="0" fillId="2" borderId="3" xfId="0" applyNumberFormat="1" applyFill="1" applyBorder="1"/>
    <xf numFmtId="164" fontId="0" fillId="2" borderId="4" xfId="0" applyNumberFormat="1" applyFill="1" applyBorder="1"/>
    <xf numFmtId="164" fontId="0" fillId="2" borderId="5" xfId="0" applyNumberFormat="1" applyFill="1" applyBorder="1"/>
    <xf numFmtId="164" fontId="0" fillId="3" borderId="5" xfId="0" applyNumberFormat="1" applyFill="1" applyBorder="1" applyProtection="1">
      <protection locked="0"/>
    </xf>
    <xf numFmtId="10" fontId="0" fillId="2" borderId="5" xfId="0" applyNumberFormat="1" applyFill="1" applyBorder="1"/>
    <xf numFmtId="164" fontId="4" fillId="2" borderId="14" xfId="0" applyNumberFormat="1" applyFont="1" applyFill="1" applyBorder="1"/>
    <xf numFmtId="10" fontId="4" fillId="2" borderId="14" xfId="0" applyNumberFormat="1" applyFont="1" applyFill="1" applyBorder="1"/>
    <xf numFmtId="0" fontId="3" fillId="2" borderId="1" xfId="0" applyFont="1" applyFill="1" applyBorder="1"/>
    <xf numFmtId="0" fontId="3" fillId="2" borderId="14" xfId="0" applyFont="1" applyFill="1" applyBorder="1"/>
    <xf numFmtId="0" fontId="3" fillId="0" borderId="0" xfId="0" applyFont="1"/>
    <xf numFmtId="166" fontId="4" fillId="2" borderId="13" xfId="0" applyNumberFormat="1" applyFont="1" applyFill="1" applyBorder="1"/>
    <xf numFmtId="166" fontId="4" fillId="2" borderId="2" xfId="0" applyNumberFormat="1" applyFont="1" applyFill="1" applyBorder="1" applyAlignment="1">
      <alignment horizontal="right" wrapText="1"/>
    </xf>
    <xf numFmtId="166" fontId="0" fillId="2" borderId="15" xfId="0" applyNumberFormat="1" applyFill="1" applyBorder="1"/>
    <xf numFmtId="166" fontId="0" fillId="2" borderId="16" xfId="0" applyNumberFormat="1" applyFill="1" applyBorder="1"/>
    <xf numFmtId="166" fontId="0" fillId="2" borderId="14" xfId="0" applyNumberFormat="1" applyFill="1" applyBorder="1"/>
    <xf numFmtId="166" fontId="0" fillId="0" borderId="0" xfId="0" applyNumberFormat="1"/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center" wrapText="1"/>
    </xf>
    <xf numFmtId="165" fontId="2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5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6" Type="http://schemas.openxmlformats.org/officeDocument/2006/relationships/image" Target="../media/image6.pict"/><Relationship Id="rId4" Type="http://schemas.openxmlformats.org/officeDocument/2006/relationships/image" Target="../media/image4.pict"/><Relationship Id="rId1" Type="http://schemas.openxmlformats.org/officeDocument/2006/relationships/image" Target="../media/image1.pict"/><Relationship Id="rId2" Type="http://schemas.openxmlformats.org/officeDocument/2006/relationships/image" Target="../media/image2.pict"/><Relationship Id="rId3" Type="http://schemas.openxmlformats.org/officeDocument/2006/relationships/image" Target="../media/image3.pict"/><Relationship Id="rId5" Type="http://schemas.openxmlformats.org/officeDocument/2006/relationships/image" Target="../media/image5.pic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52</xdr:row>
      <xdr:rowOff>12700</xdr:rowOff>
    </xdr:from>
    <xdr:to>
      <xdr:col>8</xdr:col>
      <xdr:colOff>866648</xdr:colOff>
      <xdr:row>67</xdr:row>
      <xdr:rowOff>139700</xdr:rowOff>
    </xdr:to>
    <xdr:sp macro="" textlink="">
      <xdr:nvSpPr>
        <xdr:cNvPr id="48" name="Oval 47"/>
        <xdr:cNvSpPr/>
      </xdr:nvSpPr>
      <xdr:spPr>
        <a:xfrm>
          <a:off x="6451600" y="9131300"/>
          <a:ext cx="2898648" cy="2895600"/>
        </a:xfrm>
        <a:prstGeom prst="ellipse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5</xdr:col>
      <xdr:colOff>101601</xdr:colOff>
      <xdr:row>55</xdr:row>
      <xdr:rowOff>38097</xdr:rowOff>
    </xdr:from>
    <xdr:to>
      <xdr:col>7</xdr:col>
      <xdr:colOff>482602</xdr:colOff>
      <xdr:row>77</xdr:row>
      <xdr:rowOff>3</xdr:rowOff>
    </xdr:to>
    <xdr:cxnSp macro="">
      <xdr:nvCxnSpPr>
        <xdr:cNvPr id="49" name="Straight Connector 48"/>
        <xdr:cNvCxnSpPr/>
      </xdr:nvCxnSpPr>
      <xdr:spPr>
        <a:xfrm rot="16200000" flipH="1">
          <a:off x="3708399" y="10299699"/>
          <a:ext cx="3657606" cy="190500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446022</xdr:colOff>
      <xdr:row>47</xdr:row>
      <xdr:rowOff>101600</xdr:rowOff>
    </xdr:from>
    <xdr:to>
      <xdr:col>7</xdr:col>
      <xdr:colOff>469899</xdr:colOff>
      <xdr:row>76</xdr:row>
      <xdr:rowOff>114300</xdr:rowOff>
    </xdr:to>
    <xdr:cxnSp macro="">
      <xdr:nvCxnSpPr>
        <xdr:cNvPr id="50" name="Straight Connector 49"/>
        <xdr:cNvCxnSpPr/>
      </xdr:nvCxnSpPr>
      <xdr:spPr>
        <a:xfrm rot="16200000" flipH="1">
          <a:off x="4001261" y="10554461"/>
          <a:ext cx="4927600" cy="2387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469900</xdr:colOff>
      <xdr:row>52</xdr:row>
      <xdr:rowOff>152400</xdr:rowOff>
    </xdr:from>
    <xdr:to>
      <xdr:col>9</xdr:col>
      <xdr:colOff>609600</xdr:colOff>
      <xdr:row>76</xdr:row>
      <xdr:rowOff>152400</xdr:rowOff>
    </xdr:to>
    <xdr:cxnSp macro="">
      <xdr:nvCxnSpPr>
        <xdr:cNvPr id="51" name="Straight Connector 50"/>
        <xdr:cNvCxnSpPr/>
      </xdr:nvCxnSpPr>
      <xdr:spPr>
        <a:xfrm rot="5400000">
          <a:off x="5562600" y="9956800"/>
          <a:ext cx="4025900" cy="21971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71</xdr:row>
      <xdr:rowOff>15286</xdr:rowOff>
    </xdr:from>
    <xdr:to>
      <xdr:col>7</xdr:col>
      <xdr:colOff>603768</xdr:colOff>
      <xdr:row>73</xdr:row>
      <xdr:rowOff>75186</xdr:rowOff>
    </xdr:to>
    <xdr:sp macro="" textlink="">
      <xdr:nvSpPr>
        <xdr:cNvPr id="54" name="Arc 53"/>
        <xdr:cNvSpPr/>
      </xdr:nvSpPr>
      <xdr:spPr>
        <a:xfrm rot="20705610">
          <a:off x="5168901" y="12105686"/>
          <a:ext cx="1441967" cy="390100"/>
        </a:xfrm>
        <a:prstGeom prst="arc">
          <a:avLst>
            <a:gd name="adj1" fmla="val 18095746"/>
            <a:gd name="adj2" fmla="val 21137373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/>
        </a:p>
      </xdr:txBody>
    </xdr:sp>
    <xdr:clientData/>
  </xdr:twoCellAnchor>
  <xdr:twoCellAnchor>
    <xdr:from>
      <xdr:col>6</xdr:col>
      <xdr:colOff>152400</xdr:colOff>
      <xdr:row>63</xdr:row>
      <xdr:rowOff>152400</xdr:rowOff>
    </xdr:from>
    <xdr:to>
      <xdr:col>8</xdr:col>
      <xdr:colOff>698500</xdr:colOff>
      <xdr:row>63</xdr:row>
      <xdr:rowOff>153988</xdr:rowOff>
    </xdr:to>
    <xdr:cxnSp macro="">
      <xdr:nvCxnSpPr>
        <xdr:cNvPr id="68" name="Straight Connector 67"/>
        <xdr:cNvCxnSpPr/>
      </xdr:nvCxnSpPr>
      <xdr:spPr>
        <a:xfrm>
          <a:off x="5321300" y="10858500"/>
          <a:ext cx="2336800" cy="158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60</xdr:row>
      <xdr:rowOff>0</xdr:rowOff>
    </xdr:from>
    <xdr:to>
      <xdr:col>7</xdr:col>
      <xdr:colOff>457200</xdr:colOff>
      <xdr:row>64</xdr:row>
      <xdr:rowOff>0</xdr:rowOff>
    </xdr:to>
    <xdr:cxnSp macro="">
      <xdr:nvCxnSpPr>
        <xdr:cNvPr id="79" name="Straight Connector 78"/>
        <xdr:cNvCxnSpPr/>
      </xdr:nvCxnSpPr>
      <xdr:spPr>
        <a:xfrm flipV="1">
          <a:off x="5321300" y="10210800"/>
          <a:ext cx="1143000" cy="6604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660400</xdr:colOff>
      <xdr:row>59</xdr:row>
      <xdr:rowOff>139700</xdr:rowOff>
    </xdr:from>
    <xdr:to>
      <xdr:col>8</xdr:col>
      <xdr:colOff>841248</xdr:colOff>
      <xdr:row>59</xdr:row>
      <xdr:rowOff>160338</xdr:rowOff>
    </xdr:to>
    <xdr:cxnSp macro="">
      <xdr:nvCxnSpPr>
        <xdr:cNvPr id="82" name="Straight Connector 81"/>
        <xdr:cNvCxnSpPr/>
      </xdr:nvCxnSpPr>
      <xdr:spPr>
        <a:xfrm flipV="1">
          <a:off x="5143500" y="10185400"/>
          <a:ext cx="2657348" cy="2063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Equation6.bin"/><Relationship Id="rId4" Type="http://schemas.openxmlformats.org/officeDocument/2006/relationships/oleObject" Target="../embeddings/Microsoft_Equation2.bin"/><Relationship Id="rId5" Type="http://schemas.openxmlformats.org/officeDocument/2006/relationships/oleObject" Target="../embeddings/Microsoft_Equation3.bin"/><Relationship Id="rId7" Type="http://schemas.openxmlformats.org/officeDocument/2006/relationships/oleObject" Target="../embeddings/Microsoft_Equation5.bin"/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Microsoft_Equation1.bin"/><Relationship Id="rId6" Type="http://schemas.openxmlformats.org/officeDocument/2006/relationships/oleObject" Target="../embeddings/Microsoft_Equation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86"/>
  <sheetViews>
    <sheetView showGridLines="0" tabSelected="1" topLeftCell="A2" workbookViewId="0">
      <selection activeCell="B35" sqref="B35"/>
    </sheetView>
  </sheetViews>
  <sheetFormatPr baseColWidth="10" defaultRowHeight="13"/>
  <cols>
    <col min="1" max="1" width="10.7109375" style="20"/>
    <col min="2" max="2" width="9.5703125" customWidth="1"/>
    <col min="4" max="4" width="10.7109375" style="25"/>
    <col min="5" max="5" width="8.7109375" style="5" customWidth="1"/>
    <col min="6" max="6" width="7.7109375" style="51" customWidth="1"/>
    <col min="7" max="7" width="9.42578125" style="5" customWidth="1"/>
    <col min="9" max="9" width="12.42578125" customWidth="1"/>
    <col min="10" max="10" width="8.140625" style="17" customWidth="1"/>
    <col min="12" max="12" width="3.5703125" customWidth="1"/>
  </cols>
  <sheetData>
    <row r="1" spans="1:10" ht="14" thickBot="1">
      <c r="A1" s="18" t="s">
        <v>15</v>
      </c>
      <c r="B1" s="6"/>
      <c r="C1" s="6"/>
      <c r="D1" s="21"/>
      <c r="E1" s="7"/>
      <c r="F1" s="46"/>
      <c r="G1" s="8"/>
      <c r="H1" s="8"/>
      <c r="I1" s="8"/>
      <c r="J1" s="13"/>
    </row>
    <row r="2" spans="1:10" s="12" customFormat="1" ht="66" thickBot="1">
      <c r="A2" s="19" t="s">
        <v>12</v>
      </c>
      <c r="B2" s="9" t="s">
        <v>18</v>
      </c>
      <c r="C2" s="9" t="s">
        <v>19</v>
      </c>
      <c r="D2" s="22" t="s">
        <v>20</v>
      </c>
      <c r="E2" s="10" t="s">
        <v>16</v>
      </c>
      <c r="F2" s="47" t="s">
        <v>24</v>
      </c>
      <c r="G2" s="11" t="s">
        <v>25</v>
      </c>
      <c r="H2" s="11" t="s">
        <v>17</v>
      </c>
      <c r="I2" s="11" t="s">
        <v>26</v>
      </c>
      <c r="J2" s="14" t="s">
        <v>14</v>
      </c>
    </row>
    <row r="3" spans="1:10">
      <c r="A3" s="33">
        <v>85.5</v>
      </c>
      <c r="B3" s="34">
        <v>230.8</v>
      </c>
      <c r="C3" s="35">
        <v>232.1</v>
      </c>
      <c r="D3" s="36">
        <f t="shared" ref="D3:D18" si="0">IF(ISBLANK(A3)," ",IF(C3-B3&gt;180,(360-C3+B3)/2,(C3-B3))/2)</f>
        <v>0.64999999999999147</v>
      </c>
      <c r="E3" s="37">
        <f t="shared" ref="E3:E18" si="1">IF(ISBLANK(A3)," ",D3*PI()/180)</f>
        <v>1.1344640137962993E-2</v>
      </c>
      <c r="F3" s="48">
        <f>IF(ISBLANK(C3)," ",SIN(E3))</f>
        <v>1.1344396795372158E-2</v>
      </c>
      <c r="G3" s="38">
        <f t="shared" ref="G3:G35" si="2">IF(ISBLANK(A3)," ",2*A3*F3/(1-F3))</f>
        <v>1.9621512746407084</v>
      </c>
      <c r="H3" s="39">
        <f>25.3/12</f>
        <v>2.1083333333333334</v>
      </c>
      <c r="I3" s="38">
        <f>IF(ISBLANK(H3)," ",ABS(G3-H3))</f>
        <v>0.14618205869262502</v>
      </c>
      <c r="J3" s="40">
        <f t="shared" ref="J3:J18" si="3">IF(ISBLANK(H3)," ",I3/H3)</f>
        <v>6.9335363806778669E-2</v>
      </c>
    </row>
    <row r="4" spans="1:10">
      <c r="A4" s="26">
        <v>104</v>
      </c>
      <c r="B4" s="27">
        <v>211.1</v>
      </c>
      <c r="C4" s="28">
        <v>212.1</v>
      </c>
      <c r="D4" s="23">
        <f t="shared" si="0"/>
        <v>0.5</v>
      </c>
      <c r="E4" s="2">
        <f t="shared" si="1"/>
        <v>8.7266462599716477E-3</v>
      </c>
      <c r="F4" s="49">
        <f t="shared" ref="F4:F35" si="4">IF(ISBLANK(C4)," ",SIN(E4))</f>
        <v>8.7265354983739347E-3</v>
      </c>
      <c r="G4" s="1">
        <f t="shared" si="2"/>
        <v>1.8310985299847105</v>
      </c>
      <c r="H4" s="32">
        <f>22.6/12</f>
        <v>1.8833333333333335</v>
      </c>
      <c r="I4" s="1">
        <f t="shared" ref="I4:I35" si="5">IF(ISBLANK(H4)," ",ABS(G4-H4))</f>
        <v>5.2234803348623071E-2</v>
      </c>
      <c r="J4" s="15">
        <f t="shared" si="3"/>
        <v>2.7735293813428177E-2</v>
      </c>
    </row>
    <row r="5" spans="1:10">
      <c r="A5" s="26">
        <v>86.5</v>
      </c>
      <c r="B5" s="27">
        <v>280.60000000000002</v>
      </c>
      <c r="C5" s="28">
        <v>282.2</v>
      </c>
      <c r="D5" s="23">
        <f t="shared" si="0"/>
        <v>0.79999999999998295</v>
      </c>
      <c r="E5" s="2">
        <f t="shared" si="1"/>
        <v>1.3962634015954338E-2</v>
      </c>
      <c r="F5" s="49">
        <f t="shared" si="4"/>
        <v>1.3962180339144974E-2</v>
      </c>
      <c r="G5" s="1">
        <f t="shared" si="2"/>
        <v>2.4496597904356956</v>
      </c>
      <c r="H5" s="32">
        <f>30.6/12</f>
        <v>2.5500000000000003</v>
      </c>
      <c r="I5" s="1">
        <f t="shared" si="5"/>
        <v>0.10034020956430467</v>
      </c>
      <c r="J5" s="15">
        <f t="shared" si="3"/>
        <v>3.9349101789923395E-2</v>
      </c>
    </row>
    <row r="6" spans="1:10">
      <c r="A6" s="26">
        <v>80</v>
      </c>
      <c r="B6" s="27">
        <v>279.39999999999998</v>
      </c>
      <c r="C6" s="28">
        <v>281.10000000000002</v>
      </c>
      <c r="D6" s="23">
        <f t="shared" si="0"/>
        <v>0.85000000000002274</v>
      </c>
      <c r="E6" s="2">
        <f t="shared" si="1"/>
        <v>1.4835298641952198E-2</v>
      </c>
      <c r="F6" s="49">
        <f t="shared" si="4"/>
        <v>1.4834754474138801E-2</v>
      </c>
      <c r="G6" s="1">
        <f t="shared" si="2"/>
        <v>2.4093021212855001</v>
      </c>
      <c r="H6" s="32">
        <f>30.6/12</f>
        <v>2.5500000000000003</v>
      </c>
      <c r="I6" s="1">
        <f t="shared" si="5"/>
        <v>0.14069787871450012</v>
      </c>
      <c r="J6" s="15">
        <f t="shared" si="3"/>
        <v>5.5175638711568671E-2</v>
      </c>
    </row>
    <row r="7" spans="1:10">
      <c r="A7" s="26">
        <v>45</v>
      </c>
      <c r="B7" s="27">
        <v>283</v>
      </c>
      <c r="C7" s="28">
        <v>284.8</v>
      </c>
      <c r="D7" s="23">
        <f t="shared" si="0"/>
        <v>0.90000000000000568</v>
      </c>
      <c r="E7" s="2">
        <f t="shared" si="1"/>
        <v>1.5707963267949064E-2</v>
      </c>
      <c r="F7" s="49">
        <f t="shared" si="4"/>
        <v>1.5707317311820772E-2</v>
      </c>
      <c r="G7" s="1">
        <f t="shared" si="2"/>
        <v>1.4362176849705504</v>
      </c>
      <c r="H7" s="32">
        <f>16.7/12</f>
        <v>1.3916666666666666</v>
      </c>
      <c r="I7" s="1">
        <f t="shared" si="5"/>
        <v>4.4551018303883749E-2</v>
      </c>
      <c r="J7" s="15">
        <f t="shared" si="3"/>
        <v>3.2012707763269761E-2</v>
      </c>
    </row>
    <row r="8" spans="1:10">
      <c r="A8" s="26">
        <v>43</v>
      </c>
      <c r="B8" s="27">
        <v>273.5</v>
      </c>
      <c r="C8" s="28">
        <v>274.7</v>
      </c>
      <c r="D8" s="23">
        <f t="shared" si="0"/>
        <v>0.59999999999999432</v>
      </c>
      <c r="E8" s="2">
        <f t="shared" si="1"/>
        <v>1.0471975511965879E-2</v>
      </c>
      <c r="F8" s="49">
        <f t="shared" si="4"/>
        <v>1.0471784116245695E-2</v>
      </c>
      <c r="G8" s="1">
        <f t="shared" si="2"/>
        <v>0.91010384498517971</v>
      </c>
      <c r="H8" s="32">
        <f>10.3/12</f>
        <v>0.85833333333333339</v>
      </c>
      <c r="I8" s="1">
        <f t="shared" si="5"/>
        <v>5.1770511651846318E-2</v>
      </c>
      <c r="J8" s="15">
        <f t="shared" si="3"/>
        <v>6.0315159206034544E-2</v>
      </c>
    </row>
    <row r="9" spans="1:10">
      <c r="A9" s="26">
        <v>46</v>
      </c>
      <c r="B9" s="27">
        <v>147.19999999999999</v>
      </c>
      <c r="C9" s="28">
        <v>149.9</v>
      </c>
      <c r="D9" s="23">
        <f t="shared" si="0"/>
        <v>1.3500000000000085</v>
      </c>
      <c r="E9" s="2">
        <f t="shared" si="1"/>
        <v>2.3561944901923596E-2</v>
      </c>
      <c r="F9" s="49">
        <f t="shared" si="4"/>
        <v>2.3559764833610299E-2</v>
      </c>
      <c r="G9" s="1">
        <f t="shared" si="2"/>
        <v>2.2197962421353896</v>
      </c>
      <c r="H9" s="32">
        <f>27.15/12</f>
        <v>2.2624999999999997</v>
      </c>
      <c r="I9" s="1">
        <f t="shared" si="5"/>
        <v>4.2703757864610115E-2</v>
      </c>
      <c r="J9" s="15">
        <f t="shared" si="3"/>
        <v>1.8874589111429887E-2</v>
      </c>
    </row>
    <row r="10" spans="1:10">
      <c r="A10" s="26">
        <v>65</v>
      </c>
      <c r="B10" s="27">
        <v>150.69999999999999</v>
      </c>
      <c r="C10" s="28">
        <v>152.69999999999999</v>
      </c>
      <c r="D10" s="23">
        <f t="shared" si="0"/>
        <v>1</v>
      </c>
      <c r="E10" s="2">
        <f t="shared" si="1"/>
        <v>1.7453292519943295E-2</v>
      </c>
      <c r="F10" s="49">
        <f t="shared" si="4"/>
        <v>1.7452406437283512E-2</v>
      </c>
      <c r="G10" s="1">
        <f t="shared" si="2"/>
        <v>2.3091124050491474</v>
      </c>
      <c r="H10" s="32">
        <f>27.15/12</f>
        <v>2.2624999999999997</v>
      </c>
      <c r="I10" s="1">
        <f t="shared" si="5"/>
        <v>4.6612405049147654E-2</v>
      </c>
      <c r="J10" s="15">
        <f t="shared" si="3"/>
        <v>2.0602167977523827E-2</v>
      </c>
    </row>
    <row r="11" spans="1:10">
      <c r="A11" s="26">
        <v>70.5</v>
      </c>
      <c r="B11" s="27">
        <v>150</v>
      </c>
      <c r="C11" s="28">
        <v>151.69999999999999</v>
      </c>
      <c r="D11" s="23">
        <f t="shared" si="0"/>
        <v>0.84999999999999432</v>
      </c>
      <c r="E11" s="2">
        <f t="shared" si="1"/>
        <v>1.4835298641951702E-2</v>
      </c>
      <c r="F11" s="49">
        <f t="shared" si="4"/>
        <v>1.4834754474138305E-2</v>
      </c>
      <c r="G11" s="1">
        <f t="shared" si="2"/>
        <v>2.1231974943827749</v>
      </c>
      <c r="H11" s="32">
        <f t="shared" ref="H11:H12" si="6">27.15/12</f>
        <v>2.2624999999999997</v>
      </c>
      <c r="I11" s="1">
        <f t="shared" si="5"/>
        <v>0.13930250561722479</v>
      </c>
      <c r="J11" s="15">
        <f t="shared" si="3"/>
        <v>6.1570168228607648E-2</v>
      </c>
    </row>
    <row r="12" spans="1:10">
      <c r="A12" s="26">
        <v>39</v>
      </c>
      <c r="B12" s="27">
        <v>144.69999999999999</v>
      </c>
      <c r="C12" s="28">
        <v>147.9</v>
      </c>
      <c r="D12" s="23">
        <f t="shared" si="0"/>
        <v>1.6000000000000085</v>
      </c>
      <c r="E12" s="2">
        <f t="shared" si="1"/>
        <v>2.7925268031909419E-2</v>
      </c>
      <c r="F12" s="49">
        <f t="shared" si="4"/>
        <v>2.7921638723569026E-2</v>
      </c>
      <c r="G12" s="1">
        <f t="shared" si="2"/>
        <v>2.2404447081597527</v>
      </c>
      <c r="H12" s="32">
        <f t="shared" si="6"/>
        <v>2.2624999999999997</v>
      </c>
      <c r="I12" s="1">
        <f t="shared" si="5"/>
        <v>2.2055291840247016E-2</v>
      </c>
      <c r="J12" s="15">
        <f t="shared" si="3"/>
        <v>9.7481952885069695E-3</v>
      </c>
    </row>
    <row r="13" spans="1:10">
      <c r="A13" s="26">
        <v>50</v>
      </c>
      <c r="B13" s="27">
        <v>144.5</v>
      </c>
      <c r="C13" s="28">
        <v>146.69999999999999</v>
      </c>
      <c r="D13" s="23">
        <f t="shared" si="0"/>
        <v>1.0999999999999943</v>
      </c>
      <c r="E13" s="2">
        <f t="shared" si="1"/>
        <v>1.9198621771937527E-2</v>
      </c>
      <c r="F13" s="49">
        <f t="shared" si="4"/>
        <v>1.9197442399689568E-2</v>
      </c>
      <c r="G13" s="1">
        <f t="shared" si="2"/>
        <v>1.957319773580033</v>
      </c>
      <c r="H13" s="32">
        <f>24/12</f>
        <v>2</v>
      </c>
      <c r="I13" s="1">
        <f t="shared" si="5"/>
        <v>4.2680226419967049E-2</v>
      </c>
      <c r="J13" s="15">
        <f t="shared" si="3"/>
        <v>2.1340113209983524E-2</v>
      </c>
    </row>
    <row r="14" spans="1:10">
      <c r="A14" s="26">
        <v>57</v>
      </c>
      <c r="B14" s="27">
        <v>141.6</v>
      </c>
      <c r="C14" s="28">
        <v>143.5</v>
      </c>
      <c r="D14" s="23">
        <f t="shared" si="0"/>
        <v>0.95000000000000284</v>
      </c>
      <c r="E14" s="2">
        <f t="shared" si="1"/>
        <v>1.6580627893946178E-2</v>
      </c>
      <c r="F14" s="49">
        <f t="shared" si="4"/>
        <v>1.6579868187697574E-2</v>
      </c>
      <c r="G14" s="1">
        <f t="shared" si="2"/>
        <v>1.9219709992252556</v>
      </c>
      <c r="H14" s="32">
        <f t="shared" ref="H14:H15" si="7">24/12</f>
        <v>2</v>
      </c>
      <c r="I14" s="1">
        <f t="shared" si="5"/>
        <v>7.8029000774744395E-2</v>
      </c>
      <c r="J14" s="15">
        <f t="shared" si="3"/>
        <v>3.9014500387372197E-2</v>
      </c>
    </row>
    <row r="15" spans="1:10">
      <c r="A15" s="26">
        <v>66</v>
      </c>
      <c r="B15" s="27">
        <v>148.19999999999999</v>
      </c>
      <c r="C15" s="28">
        <v>149.9</v>
      </c>
      <c r="D15" s="23">
        <f t="shared" si="0"/>
        <v>0.85000000000000853</v>
      </c>
      <c r="E15" s="2">
        <f t="shared" si="1"/>
        <v>1.4835298641951948E-2</v>
      </c>
      <c r="F15" s="49">
        <f t="shared" si="4"/>
        <v>1.4834754474138552E-2</v>
      </c>
      <c r="G15" s="1">
        <f t="shared" si="2"/>
        <v>1.9876742500605038</v>
      </c>
      <c r="H15" s="32">
        <f t="shared" si="7"/>
        <v>2</v>
      </c>
      <c r="I15" s="1">
        <f t="shared" si="5"/>
        <v>1.23257499394962E-2</v>
      </c>
      <c r="J15" s="15">
        <f t="shared" si="3"/>
        <v>6.1628749697481E-3</v>
      </c>
    </row>
    <row r="16" spans="1:10">
      <c r="A16" s="26">
        <v>23</v>
      </c>
      <c r="B16" s="27">
        <v>5.6</v>
      </c>
      <c r="C16" s="28">
        <v>10.4</v>
      </c>
      <c r="D16" s="23">
        <f t="shared" si="0"/>
        <v>2.4000000000000004</v>
      </c>
      <c r="E16" s="2">
        <f t="shared" si="1"/>
        <v>4.1887902047863912E-2</v>
      </c>
      <c r="F16" s="49">
        <f t="shared" si="4"/>
        <v>4.187565372919963E-2</v>
      </c>
      <c r="G16" s="1">
        <f t="shared" si="2"/>
        <v>2.0104698091021551</v>
      </c>
      <c r="H16" s="32">
        <f>24.2/12</f>
        <v>2.0166666666666666</v>
      </c>
      <c r="I16" s="1">
        <f t="shared" si="5"/>
        <v>6.1968575645114932E-3</v>
      </c>
      <c r="J16" s="15">
        <f t="shared" si="3"/>
        <v>3.0728219328156167E-3</v>
      </c>
    </row>
    <row r="17" spans="1:10">
      <c r="A17" s="26">
        <v>50</v>
      </c>
      <c r="B17" s="27">
        <v>2.6</v>
      </c>
      <c r="C17" s="28">
        <v>4.7</v>
      </c>
      <c r="D17" s="23">
        <f t="shared" si="0"/>
        <v>1.05</v>
      </c>
      <c r="E17" s="2">
        <f t="shared" si="1"/>
        <v>1.8325957145940461E-2</v>
      </c>
      <c r="F17" s="49">
        <f t="shared" si="4"/>
        <v>1.8324931396102796E-2</v>
      </c>
      <c r="G17" s="1">
        <f t="shared" si="2"/>
        <v>1.8667002944430329</v>
      </c>
      <c r="H17" s="32">
        <f t="shared" ref="H17:H18" si="8">24.2/12</f>
        <v>2.0166666666666666</v>
      </c>
      <c r="I17" s="1">
        <f t="shared" si="5"/>
        <v>0.14996637222363374</v>
      </c>
      <c r="J17" s="15">
        <f t="shared" si="3"/>
        <v>7.4363490358826653E-2</v>
      </c>
    </row>
    <row r="18" spans="1:10">
      <c r="A18" s="26">
        <v>65</v>
      </c>
      <c r="B18" s="27">
        <v>0.6</v>
      </c>
      <c r="C18" s="28">
        <v>2.4</v>
      </c>
      <c r="D18" s="23">
        <f t="shared" si="0"/>
        <v>0.89999999999999991</v>
      </c>
      <c r="E18" s="2">
        <f t="shared" si="1"/>
        <v>1.5707963267948963E-2</v>
      </c>
      <c r="F18" s="49">
        <f t="shared" si="4"/>
        <v>1.5707317311820672E-2</v>
      </c>
      <c r="G18" s="1">
        <f t="shared" si="2"/>
        <v>2.0745366560685596</v>
      </c>
      <c r="H18" s="32">
        <f t="shared" si="8"/>
        <v>2.0166666666666666</v>
      </c>
      <c r="I18" s="1">
        <f t="shared" si="5"/>
        <v>5.7869989401893029E-2</v>
      </c>
      <c r="J18" s="15">
        <f t="shared" si="3"/>
        <v>2.8695862513335387E-2</v>
      </c>
    </row>
    <row r="19" spans="1:10">
      <c r="A19" s="26">
        <v>50</v>
      </c>
      <c r="B19" s="27">
        <v>281.2</v>
      </c>
      <c r="C19" s="28">
        <v>282.39999999999998</v>
      </c>
      <c r="D19" s="23">
        <f t="shared" ref="D19:D35" si="9">IF(ISBLANK(A19)," ",IF(C19-B19&gt;180,(360-C19+B19)/2,(C19-B19))/2)</f>
        <v>0.59999999999999432</v>
      </c>
      <c r="E19" s="2">
        <f t="shared" ref="E19:E35" si="10">IF(ISBLANK(A19)," ",D19*PI()/180)</f>
        <v>1.0471975511965879E-2</v>
      </c>
      <c r="F19" s="49">
        <f t="shared" si="4"/>
        <v>1.0471784116245695E-2</v>
      </c>
      <c r="G19" s="1">
        <f t="shared" si="2"/>
        <v>1.0582602848664879</v>
      </c>
      <c r="H19" s="32">
        <f>13.4/12</f>
        <v>1.1166666666666667</v>
      </c>
      <c r="I19" s="1">
        <f t="shared" si="5"/>
        <v>5.8406381800178764E-2</v>
      </c>
      <c r="J19" s="15">
        <f t="shared" ref="J19:J35" si="11">IF(ISBLANK(H19)," ",I19/H19)</f>
        <v>5.2304222507622775E-2</v>
      </c>
    </row>
    <row r="20" spans="1:10">
      <c r="A20" s="26">
        <v>52.5</v>
      </c>
      <c r="B20" s="27">
        <v>274.39999999999998</v>
      </c>
      <c r="C20" s="28">
        <v>275.5</v>
      </c>
      <c r="D20" s="23">
        <f t="shared" si="9"/>
        <v>0.55000000000001137</v>
      </c>
      <c r="E20" s="2">
        <f t="shared" si="10"/>
        <v>9.5993108859690115E-3</v>
      </c>
      <c r="F20" s="49">
        <f t="shared" si="4"/>
        <v>9.5991634624003393E-3</v>
      </c>
      <c r="G20" s="1">
        <f t="shared" si="2"/>
        <v>1.017681050306515</v>
      </c>
      <c r="H20" s="32">
        <f t="shared" ref="H20:H22" si="12">13.4/12</f>
        <v>1.1166666666666667</v>
      </c>
      <c r="I20" s="1">
        <f t="shared" si="5"/>
        <v>9.8985616360151685E-2</v>
      </c>
      <c r="J20" s="15">
        <f t="shared" si="11"/>
        <v>8.8643835546404495E-2</v>
      </c>
    </row>
    <row r="21" spans="1:10">
      <c r="A21" s="26">
        <v>45</v>
      </c>
      <c r="B21" s="27">
        <v>280.8</v>
      </c>
      <c r="C21" s="28">
        <v>282.2</v>
      </c>
      <c r="D21" s="23">
        <f t="shared" si="9"/>
        <v>0.69999999999998863</v>
      </c>
      <c r="E21" s="2">
        <f t="shared" si="10"/>
        <v>1.2217304763960109E-2</v>
      </c>
      <c r="F21" s="49">
        <f t="shared" si="4"/>
        <v>1.2217000835246971E-2</v>
      </c>
      <c r="G21" s="1">
        <f t="shared" si="2"/>
        <v>1.1131291752358212</v>
      </c>
      <c r="H21" s="32">
        <f t="shared" si="12"/>
        <v>1.1166666666666667</v>
      </c>
      <c r="I21" s="1">
        <f t="shared" si="5"/>
        <v>3.5374914308454741E-3</v>
      </c>
      <c r="J21" s="15">
        <f t="shared" si="11"/>
        <v>3.1679027738914694E-3</v>
      </c>
    </row>
    <row r="22" spans="1:10">
      <c r="A22" s="26">
        <v>65</v>
      </c>
      <c r="B22" s="27">
        <v>274</v>
      </c>
      <c r="C22" s="28">
        <v>274.89999999999998</v>
      </c>
      <c r="D22" s="23">
        <f t="shared" si="9"/>
        <v>0.44999999999998863</v>
      </c>
      <c r="E22" s="2">
        <f t="shared" si="10"/>
        <v>7.853981633974284E-3</v>
      </c>
      <c r="F22" s="49">
        <f t="shared" si="4"/>
        <v>7.8539008887111347E-3</v>
      </c>
      <c r="G22" s="1">
        <f t="shared" si="2"/>
        <v>1.0290894823323007</v>
      </c>
      <c r="H22" s="32">
        <f t="shared" si="12"/>
        <v>1.1166666666666667</v>
      </c>
      <c r="I22" s="1">
        <f t="shared" si="5"/>
        <v>8.7577184334366009E-2</v>
      </c>
      <c r="J22" s="15">
        <f t="shared" si="11"/>
        <v>7.842732925465612E-2</v>
      </c>
    </row>
    <row r="23" spans="1:10">
      <c r="A23" s="26">
        <v>105</v>
      </c>
      <c r="B23" s="27">
        <v>312.10000000000002</v>
      </c>
      <c r="C23" s="28">
        <v>313.2</v>
      </c>
      <c r="D23" s="23">
        <f t="shared" ref="D23:D26" si="13">IF(ISBLANK(A23)," ",IF(C23-B23&gt;180,(360-C23+B23)/2,(C23-B23))/2)</f>
        <v>0.54999999999998295</v>
      </c>
      <c r="E23" s="2">
        <f t="shared" ref="E23:E26" si="14">IF(ISBLANK(A23)," ",D23*PI()/180)</f>
        <v>9.5993108859685154E-3</v>
      </c>
      <c r="F23" s="49">
        <f t="shared" si="4"/>
        <v>9.5991634623998432E-3</v>
      </c>
      <c r="G23" s="1">
        <f t="shared" si="2"/>
        <v>2.0353621006129239</v>
      </c>
      <c r="H23" s="32">
        <f>25.1/12</f>
        <v>2.0916666666666668</v>
      </c>
      <c r="I23" s="1">
        <f t="shared" si="5"/>
        <v>5.6304566053742899E-2</v>
      </c>
      <c r="J23" s="15">
        <f t="shared" ref="J23:J26" si="15">IF(ISBLANK(H23)," ",I23/H23)</f>
        <v>2.6918517635255566E-2</v>
      </c>
    </row>
    <row r="24" spans="1:10">
      <c r="A24" s="26">
        <v>99</v>
      </c>
      <c r="B24" s="27">
        <v>310.89999999999998</v>
      </c>
      <c r="C24" s="28">
        <v>312.10000000000002</v>
      </c>
      <c r="D24" s="23">
        <f t="shared" si="13"/>
        <v>0.60000000000002274</v>
      </c>
      <c r="E24" s="2">
        <f t="shared" si="14"/>
        <v>1.0471975511966373E-2</v>
      </c>
      <c r="F24" s="49">
        <f t="shared" si="4"/>
        <v>1.0471784116246189E-2</v>
      </c>
      <c r="G24" s="1">
        <f t="shared" si="2"/>
        <v>2.0953553640357461</v>
      </c>
      <c r="H24" s="32">
        <f>25.1/12</f>
        <v>2.0916666666666668</v>
      </c>
      <c r="I24" s="1">
        <f t="shared" si="5"/>
        <v>3.6886973690792857E-3</v>
      </c>
      <c r="J24" s="15">
        <f t="shared" si="15"/>
        <v>1.7635206545398975E-3</v>
      </c>
    </row>
    <row r="25" spans="1:10">
      <c r="A25" s="26">
        <v>107</v>
      </c>
      <c r="B25" s="27">
        <v>310.7</v>
      </c>
      <c r="C25" s="28">
        <v>311.8</v>
      </c>
      <c r="D25" s="23">
        <f t="shared" si="13"/>
        <v>0.55000000000001137</v>
      </c>
      <c r="E25" s="2">
        <f t="shared" si="14"/>
        <v>9.5993108859690115E-3</v>
      </c>
      <c r="F25" s="49">
        <f t="shared" si="4"/>
        <v>9.5991634624003393E-3</v>
      </c>
      <c r="G25" s="1">
        <f t="shared" si="2"/>
        <v>2.0741309025294687</v>
      </c>
      <c r="H25" s="32">
        <f>25.1/12</f>
        <v>2.0916666666666668</v>
      </c>
      <c r="I25" s="1">
        <f t="shared" si="5"/>
        <v>1.753576413719804E-2</v>
      </c>
      <c r="J25" s="15">
        <f t="shared" si="15"/>
        <v>8.3836322568277485E-3</v>
      </c>
    </row>
    <row r="26" spans="1:10">
      <c r="A26" s="26">
        <v>47</v>
      </c>
      <c r="B26" s="27">
        <v>295.8</v>
      </c>
      <c r="C26" s="28">
        <v>297.3</v>
      </c>
      <c r="D26" s="23">
        <f t="shared" si="13"/>
        <v>0.75</v>
      </c>
      <c r="E26" s="2">
        <f t="shared" si="14"/>
        <v>1.3089969389957471E-2</v>
      </c>
      <c r="F26" s="49">
        <f t="shared" si="4"/>
        <v>1.308959557134444E-2</v>
      </c>
      <c r="G26" s="1">
        <f t="shared" si="2"/>
        <v>1.246741323411922</v>
      </c>
      <c r="H26" s="32">
        <f>13/12</f>
        <v>1.0833333333333333</v>
      </c>
      <c r="I26" s="1">
        <f t="shared" si="5"/>
        <v>0.16340799007858875</v>
      </c>
      <c r="J26" s="15">
        <f t="shared" si="15"/>
        <v>0.15083814468792808</v>
      </c>
    </row>
    <row r="27" spans="1:10">
      <c r="A27" s="26">
        <v>42</v>
      </c>
      <c r="B27" s="27">
        <v>293.3</v>
      </c>
      <c r="C27" s="28">
        <v>294.7</v>
      </c>
      <c r="D27" s="23">
        <f t="shared" si="9"/>
        <v>0.69999999999998863</v>
      </c>
      <c r="E27" s="2">
        <f t="shared" si="10"/>
        <v>1.2217304763960109E-2</v>
      </c>
      <c r="F27" s="49">
        <f t="shared" si="4"/>
        <v>1.2217000835246971E-2</v>
      </c>
      <c r="G27" s="1">
        <f t="shared" si="2"/>
        <v>1.0389205635534331</v>
      </c>
      <c r="H27" s="32">
        <f>13/12</f>
        <v>1.0833333333333333</v>
      </c>
      <c r="I27" s="1">
        <f t="shared" si="5"/>
        <v>4.4412769779900163E-2</v>
      </c>
      <c r="J27" s="15">
        <f t="shared" si="11"/>
        <v>4.0996402873754001E-2</v>
      </c>
    </row>
    <row r="28" spans="1:10">
      <c r="A28" s="26">
        <v>70</v>
      </c>
      <c r="B28" s="27">
        <v>246.5</v>
      </c>
      <c r="C28" s="28">
        <v>248.3</v>
      </c>
      <c r="D28" s="23">
        <f t="shared" si="9"/>
        <v>0.90000000000000568</v>
      </c>
      <c r="E28" s="2">
        <f t="shared" si="10"/>
        <v>1.5707963267949064E-2</v>
      </c>
      <c r="F28" s="49">
        <f t="shared" si="4"/>
        <v>1.5707317311820772E-2</v>
      </c>
      <c r="G28" s="1">
        <f t="shared" si="2"/>
        <v>2.2341163988430788</v>
      </c>
      <c r="H28" s="32">
        <f>26.1/12</f>
        <v>2.1750000000000003</v>
      </c>
      <c r="I28" s="1">
        <f t="shared" si="5"/>
        <v>5.911639884307851E-2</v>
      </c>
      <c r="J28" s="15">
        <f t="shared" si="11"/>
        <v>2.7179953491070576E-2</v>
      </c>
    </row>
    <row r="29" spans="1:10">
      <c r="A29" s="26">
        <v>75</v>
      </c>
      <c r="B29" s="27">
        <v>248.5</v>
      </c>
      <c r="C29" s="28">
        <v>250.2</v>
      </c>
      <c r="D29" s="23">
        <f t="shared" si="9"/>
        <v>0.84999999999999432</v>
      </c>
      <c r="E29" s="2">
        <f t="shared" si="10"/>
        <v>1.4835298641951702E-2</v>
      </c>
      <c r="F29" s="49">
        <f t="shared" si="4"/>
        <v>1.4834754474138305E-2</v>
      </c>
      <c r="G29" s="1">
        <f t="shared" si="2"/>
        <v>2.2587207387050796</v>
      </c>
      <c r="H29" s="32">
        <f t="shared" ref="H29:H30" si="16">26.1/12</f>
        <v>2.1750000000000003</v>
      </c>
      <c r="I29" s="1">
        <f t="shared" si="5"/>
        <v>8.3720738705079345E-2</v>
      </c>
      <c r="J29" s="15">
        <f t="shared" si="11"/>
        <v>3.849229365750774E-2</v>
      </c>
    </row>
    <row r="30" spans="1:10">
      <c r="A30" s="26">
        <v>80</v>
      </c>
      <c r="B30" s="27">
        <v>248.3</v>
      </c>
      <c r="C30" s="28">
        <v>249.9</v>
      </c>
      <c r="D30" s="23">
        <f t="shared" si="9"/>
        <v>0.79999999999999716</v>
      </c>
      <c r="E30" s="2">
        <f t="shared" si="10"/>
        <v>1.3962634015954586E-2</v>
      </c>
      <c r="F30" s="49">
        <f t="shared" si="4"/>
        <v>1.3962180339145222E-2</v>
      </c>
      <c r="G30" s="1">
        <f t="shared" si="2"/>
        <v>2.2655813090735166</v>
      </c>
      <c r="H30" s="32">
        <f t="shared" si="16"/>
        <v>2.1750000000000003</v>
      </c>
      <c r="I30" s="1">
        <f t="shared" si="5"/>
        <v>9.0581309073516358E-2</v>
      </c>
      <c r="J30" s="15">
        <f t="shared" si="11"/>
        <v>4.1646578884375333E-2</v>
      </c>
    </row>
    <row r="31" spans="1:10">
      <c r="A31" s="26">
        <v>104</v>
      </c>
      <c r="B31" s="27">
        <v>256.3</v>
      </c>
      <c r="C31" s="28">
        <v>257.5</v>
      </c>
      <c r="D31" s="23">
        <f t="shared" si="9"/>
        <v>0.59999999999999432</v>
      </c>
      <c r="E31" s="2">
        <f t="shared" si="10"/>
        <v>1.0471975511965879E-2</v>
      </c>
      <c r="F31" s="49">
        <f t="shared" si="4"/>
        <v>1.0471784116245695E-2</v>
      </c>
      <c r="G31" s="1">
        <f t="shared" si="2"/>
        <v>2.2011813925222952</v>
      </c>
      <c r="H31" s="32">
        <v>2.1749999999999998</v>
      </c>
      <c r="I31" s="1">
        <f t="shared" si="5"/>
        <v>2.6181392522295344E-2</v>
      </c>
      <c r="J31" s="15">
        <f t="shared" si="11"/>
        <v>1.2037421849331193E-2</v>
      </c>
    </row>
    <row r="32" spans="1:10">
      <c r="A32" s="26">
        <v>110</v>
      </c>
      <c r="B32" s="27">
        <v>257.10000000000002</v>
      </c>
      <c r="C32" s="28">
        <v>258.3</v>
      </c>
      <c r="D32" s="23">
        <f t="shared" ref="D32:D33" si="17">IF(ISBLANK(A32)," ",IF(C32-B32&gt;180,(360-C32+B32)/2,(C32-B32))/2)</f>
        <v>0.59999999999999432</v>
      </c>
      <c r="E32" s="2">
        <f t="shared" ref="E32:E33" si="18">IF(ISBLANK(A32)," ",D32*PI()/180)</f>
        <v>1.0471975511965879E-2</v>
      </c>
      <c r="F32" s="49">
        <f t="shared" ref="F32:F33" si="19">IF(ISBLANK(C32)," ",SIN(E32))</f>
        <v>1.0471784116245695E-2</v>
      </c>
      <c r="G32" s="1">
        <f t="shared" ref="G32:G33" si="20">IF(ISBLANK(A32)," ",2*A32*F32/(1-F32))</f>
        <v>2.3281726267062739</v>
      </c>
      <c r="H32" s="32">
        <v>2.1749999999999998</v>
      </c>
      <c r="I32" s="1">
        <f t="shared" ref="I32:I33" si="21">IF(ISBLANK(H32)," ",ABS(G32-H32))</f>
        <v>0.15317262670627407</v>
      </c>
      <c r="J32" s="15">
        <f t="shared" ref="J32:J33" si="22">IF(ISBLANK(H32)," ",I32/H32)</f>
        <v>7.0424196186792687E-2</v>
      </c>
    </row>
    <row r="33" spans="1:10">
      <c r="A33" s="26">
        <v>77</v>
      </c>
      <c r="B33" s="27">
        <v>216.8</v>
      </c>
      <c r="C33" s="28">
        <v>218.3</v>
      </c>
      <c r="D33" s="23">
        <f t="shared" si="17"/>
        <v>0.75</v>
      </c>
      <c r="E33" s="2">
        <f t="shared" si="18"/>
        <v>1.3089969389957471E-2</v>
      </c>
      <c r="F33" s="49">
        <f t="shared" si="19"/>
        <v>1.308959557134444E-2</v>
      </c>
      <c r="G33" s="1">
        <f t="shared" si="20"/>
        <v>2.0425336575046384</v>
      </c>
      <c r="H33" s="32">
        <f>24.3/12</f>
        <v>2.0249999999999999</v>
      </c>
      <c r="I33" s="1">
        <f t="shared" si="21"/>
        <v>1.7533657504638533E-2</v>
      </c>
      <c r="J33" s="15">
        <f t="shared" si="22"/>
        <v>8.6585962985869305E-3</v>
      </c>
    </row>
    <row r="34" spans="1:10">
      <c r="A34" s="26">
        <v>72</v>
      </c>
      <c r="B34" s="27">
        <v>217.5</v>
      </c>
      <c r="C34" s="28">
        <v>219.1</v>
      </c>
      <c r="D34" s="23">
        <f t="shared" ref="D34" si="23">IF(ISBLANK(A34)," ",IF(C34-B34&gt;180,(360-C34+B34)/2,(C34-B34))/2)</f>
        <v>0.79999999999999716</v>
      </c>
      <c r="E34" s="2">
        <f t="shared" ref="E34" si="24">IF(ISBLANK(A34)," ",D34*PI()/180)</f>
        <v>1.3962634015954586E-2</v>
      </c>
      <c r="F34" s="49">
        <f t="shared" ref="F34" si="25">IF(ISBLANK(C34)," ",SIN(E34))</f>
        <v>1.3962180339145222E-2</v>
      </c>
      <c r="G34" s="1">
        <f t="shared" ref="G34" si="26">IF(ISBLANK(A34)," ",2*A34*F34/(1-F34))</f>
        <v>2.0390231781661647</v>
      </c>
      <c r="H34" s="32">
        <f>24.3/12</f>
        <v>2.0249999999999999</v>
      </c>
      <c r="I34" s="1">
        <f t="shared" ref="I34" si="27">IF(ISBLANK(H34)," ",ABS(G34-H34))</f>
        <v>1.4023178166164829E-2</v>
      </c>
      <c r="J34" s="15">
        <f t="shared" ref="J34" si="28">IF(ISBLANK(H34)," ",I34/H34)</f>
        <v>6.9250262548962126E-3</v>
      </c>
    </row>
    <row r="35" spans="1:10" ht="14" thickBot="1">
      <c r="A35" s="29">
        <v>108</v>
      </c>
      <c r="B35" s="30">
        <v>257</v>
      </c>
      <c r="C35" s="31">
        <v>258.10000000000002</v>
      </c>
      <c r="D35" s="24">
        <f t="shared" si="9"/>
        <v>0.55000000000001137</v>
      </c>
      <c r="E35" s="3">
        <f t="shared" si="10"/>
        <v>9.5993108859690115E-3</v>
      </c>
      <c r="F35" s="50">
        <f t="shared" si="4"/>
        <v>9.5991634624003393E-3</v>
      </c>
      <c r="G35" s="4">
        <f t="shared" si="2"/>
        <v>2.0935153034876883</v>
      </c>
      <c r="H35" s="32">
        <v>2.1749999999999998</v>
      </c>
      <c r="I35" s="4">
        <f t="shared" si="5"/>
        <v>8.1484696512311494E-2</v>
      </c>
      <c r="J35" s="16">
        <f t="shared" si="11"/>
        <v>3.746422828152253E-2</v>
      </c>
    </row>
    <row r="36" spans="1:10" ht="14" thickBot="1">
      <c r="H36" s="43" t="s">
        <v>22</v>
      </c>
      <c r="I36" s="41">
        <f>AVERAGE(I3:I35)</f>
        <v>6.6460275646929329E-2</v>
      </c>
      <c r="J36" s="42">
        <f>AVERAGE(J3:J35)</f>
        <v>3.8231510671639886E-2</v>
      </c>
    </row>
    <row r="37" spans="1:10" ht="14" thickBot="1">
      <c r="H37" s="44" t="s">
        <v>23</v>
      </c>
      <c r="I37" s="41">
        <f>I36*12</f>
        <v>0.79752330776315195</v>
      </c>
    </row>
    <row r="38" spans="1:10" ht="14" thickBot="1">
      <c r="B38" s="45" t="s">
        <v>13</v>
      </c>
      <c r="H38" s="44" t="s">
        <v>21</v>
      </c>
      <c r="I38" s="41">
        <f>ABS(MAX(I3:I35)-MIN(I3:I35))*12</f>
        <v>1.9184459837729193</v>
      </c>
    </row>
    <row r="39" spans="1:10">
      <c r="B39" s="45" t="s">
        <v>27</v>
      </c>
    </row>
    <row r="40" spans="1:10">
      <c r="B40" s="45" t="s">
        <v>28</v>
      </c>
    </row>
    <row r="41" spans="1:10">
      <c r="B41" s="45" t="s">
        <v>29</v>
      </c>
    </row>
    <row r="42" spans="1:10">
      <c r="B42" s="45" t="s">
        <v>0</v>
      </c>
    </row>
    <row r="43" spans="1:10">
      <c r="B43" s="45" t="s">
        <v>1</v>
      </c>
    </row>
    <row r="44" spans="1:10">
      <c r="B44" s="54" t="s">
        <v>2</v>
      </c>
    </row>
    <row r="45" spans="1:10">
      <c r="B45" s="45" t="s">
        <v>3</v>
      </c>
    </row>
    <row r="46" spans="1:10">
      <c r="B46" s="55" t="s">
        <v>4</v>
      </c>
    </row>
    <row r="47" spans="1:10">
      <c r="B47" s="54" t="s">
        <v>5</v>
      </c>
    </row>
    <row r="48" spans="1:10">
      <c r="I48" s="45"/>
    </row>
    <row r="49" spans="3:9">
      <c r="I49" s="45"/>
    </row>
    <row r="50" spans="3:9">
      <c r="I50" s="45"/>
    </row>
    <row r="51" spans="3:9" ht="18">
      <c r="C51" s="53" t="s">
        <v>11</v>
      </c>
      <c r="I51" s="45"/>
    </row>
    <row r="52" spans="3:9" ht="18">
      <c r="D52" s="52"/>
    </row>
    <row r="67" spans="1:3" ht="18">
      <c r="C67" s="52"/>
    </row>
    <row r="78" spans="1:3">
      <c r="B78" s="45" t="s">
        <v>7</v>
      </c>
    </row>
    <row r="80" spans="1:3">
      <c r="A80"/>
    </row>
    <row r="81" spans="1:2">
      <c r="A81"/>
    </row>
    <row r="82" spans="1:2">
      <c r="A82"/>
    </row>
    <row r="83" spans="1:2">
      <c r="B83" s="45" t="s">
        <v>8</v>
      </c>
    </row>
    <row r="84" spans="1:2">
      <c r="B84" s="45" t="s">
        <v>9</v>
      </c>
    </row>
    <row r="85" spans="1:2">
      <c r="B85" s="45" t="s">
        <v>10</v>
      </c>
    </row>
    <row r="86" spans="1:2">
      <c r="B86" s="45" t="s">
        <v>6</v>
      </c>
    </row>
  </sheetData>
  <phoneticPr fontId="5" type="noConversion"/>
  <pageMargins left="0.75" right="0.75" top="1" bottom="1" header="0.5" footer="0.5"/>
  <pageSetup orientation="portrait" horizontalDpi="4294967292" verticalDpi="4294967292"/>
  <drawing r:id="rId1"/>
  <legacyDrawing r:id="rId2"/>
  <oleObjects>
    <oleObject progId="Equation.3" shapeId="1032" r:id="rId3"/>
    <oleObject progId="Equation.3" shapeId="1034" r:id="rId4"/>
    <oleObject progId="Equation.3" shapeId="1035" r:id="rId5"/>
    <oleObject progId="Equation.3" shapeId="1036" r:id="rId6"/>
    <oleObject progId="Equation.3" shapeId="1037" r:id="rId7"/>
    <oleObject progId="Equation.3" shapeId="1039" r:id="rId8"/>
  </oleObject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T. Leverett</dc:creator>
  <cp:lastModifiedBy>Robert T. Leverett</cp:lastModifiedBy>
  <dcterms:created xsi:type="dcterms:W3CDTF">2011-11-05T14:14:33Z</dcterms:created>
  <dcterms:modified xsi:type="dcterms:W3CDTF">2011-11-07T21:04:26Z</dcterms:modified>
</cp:coreProperties>
</file>