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2" windowHeight="876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10" i="1" l="1"/>
  <c r="E11" i="1"/>
  <c r="E2" i="1"/>
  <c r="E9" i="1" l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<sst xmlns="http://schemas.openxmlformats.org/spreadsheetml/2006/main" count="32" uniqueCount="22">
  <si>
    <t>Program</t>
  </si>
  <si>
    <t>POSSEL</t>
  </si>
  <si>
    <t>POSSEL_S</t>
  </si>
  <si>
    <t>POSSELD</t>
  </si>
  <si>
    <t>POSSELD2</t>
  </si>
  <si>
    <t>POSSELDS</t>
  </si>
  <si>
    <t>DEPLETE</t>
  </si>
  <si>
    <t>DEPLETES</t>
  </si>
  <si>
    <t>DEPLETE05</t>
  </si>
  <si>
    <t>DEPLETE025</t>
  </si>
  <si>
    <t>4mL/min</t>
  </si>
  <si>
    <t>1mL/min</t>
  </si>
  <si>
    <t>0.5mL/min</t>
  </si>
  <si>
    <t>0.25mL/min</t>
  </si>
  <si>
    <t>Flow Rate of Sample Column #1</t>
  </si>
  <si>
    <t>Flow Rate of Sample Column #2</t>
  </si>
  <si>
    <t>POSSELWB**</t>
  </si>
  <si>
    <t>**Program automatically dilutes sample 3:1</t>
  </si>
  <si>
    <t>you must know the incubation time of the Microbeads or other reagents needed and add that time.</t>
  </si>
  <si>
    <t xml:space="preserve">*None of these times including the autolabeling.  To judge time per sample with autolabeling, </t>
  </si>
  <si>
    <t>Time for separation*Including 2.5min for QRinse between samples</t>
  </si>
  <si>
    <t>Volume of Sample (in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</si>
</sst>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9" sqref="E9"/>
    </sheetView>
  </sheetViews>
  <sheetFormatPr defaultRowHeight="14.4" x14ac:dyDescent="0.3"/>
  <cols>
    <col min="1" max="1" width="16.5546875" customWidth="1"/>
    <col min="2" max="2" width="20.33203125" customWidth="1"/>
    <col min="3" max="3" width="26.109375" customWidth="1"/>
    <col min="4" max="5" width="24.88671875" customWidth="1"/>
  </cols>
  <sheetData>
    <row r="1" spans="1:5" s="1" customFormat="1" ht="60.75" thickBot="1" x14ac:dyDescent="0.3">
      <c r="A1" s="3" t="s">
        <v>0</v>
      </c>
      <c r="B1" s="4" t="s">
        <v>14</v>
      </c>
      <c r="C1" s="4" t="s">
        <v>15</v>
      </c>
      <c r="D1" s="4" t="s">
        <v>21</v>
      </c>
      <c r="E1" s="5" t="s">
        <v>20</v>
      </c>
    </row>
    <row r="2" spans="1:5" ht="15" x14ac:dyDescent="0.25">
      <c r="A2" s="6" t="s">
        <v>1</v>
      </c>
      <c r="B2" s="6" t="s">
        <v>10</v>
      </c>
      <c r="C2" s="6"/>
      <c r="D2" s="7">
        <v>1</v>
      </c>
      <c r="E2" s="7">
        <f>(D2*0.25)+3+2.5</f>
        <v>5.75</v>
      </c>
    </row>
    <row r="3" spans="1:5" ht="15" x14ac:dyDescent="0.25">
      <c r="A3" s="8" t="s">
        <v>2</v>
      </c>
      <c r="B3" s="8" t="s">
        <v>11</v>
      </c>
      <c r="C3" s="8"/>
      <c r="D3" s="9">
        <v>1</v>
      </c>
      <c r="E3" s="9">
        <f>(D3*1)+3+2.5</f>
        <v>6.5</v>
      </c>
    </row>
    <row r="4" spans="1:5" ht="15" x14ac:dyDescent="0.25">
      <c r="A4" s="8" t="s">
        <v>3</v>
      </c>
      <c r="B4" s="8" t="s">
        <v>10</v>
      </c>
      <c r="C4" s="8" t="s">
        <v>11</v>
      </c>
      <c r="D4" s="9">
        <v>1</v>
      </c>
      <c r="E4" s="9">
        <f>(D4*0.25)+(D4*1)+3+2.5</f>
        <v>6.75</v>
      </c>
    </row>
    <row r="5" spans="1:5" ht="15" x14ac:dyDescent="0.25">
      <c r="A5" s="8" t="s">
        <v>4</v>
      </c>
      <c r="B5" s="8" t="s">
        <v>10</v>
      </c>
      <c r="C5" s="8" t="s">
        <v>10</v>
      </c>
      <c r="D5" s="9">
        <v>1</v>
      </c>
      <c r="E5" s="9">
        <f>(D5*0.25)+(D5*0.25)+3+2.5</f>
        <v>6</v>
      </c>
    </row>
    <row r="6" spans="1:5" ht="15" x14ac:dyDescent="0.25">
      <c r="A6" s="8" t="s">
        <v>5</v>
      </c>
      <c r="B6" s="8" t="s">
        <v>11</v>
      </c>
      <c r="C6" s="8" t="s">
        <v>11</v>
      </c>
      <c r="D6" s="9">
        <v>1</v>
      </c>
      <c r="E6" s="9">
        <f>(D6*1)+(D6*1)+3+2.5</f>
        <v>7.5</v>
      </c>
    </row>
    <row r="7" spans="1:5" ht="15" x14ac:dyDescent="0.25">
      <c r="A7" s="8" t="s">
        <v>16</v>
      </c>
      <c r="B7" s="8" t="s">
        <v>10</v>
      </c>
      <c r="C7" s="8" t="s">
        <v>10</v>
      </c>
      <c r="D7" s="9">
        <v>1</v>
      </c>
      <c r="E7" s="9">
        <f>((D7*3)/5) +9+4.5</f>
        <v>14.1</v>
      </c>
    </row>
    <row r="8" spans="1:5" ht="15" x14ac:dyDescent="0.25">
      <c r="A8" s="8" t="s">
        <v>6</v>
      </c>
      <c r="B8" s="8" t="s">
        <v>10</v>
      </c>
      <c r="C8" s="8"/>
      <c r="D8" s="9">
        <v>1</v>
      </c>
      <c r="E8" s="9">
        <f>(D8*0.25)+3+2.5</f>
        <v>5.75</v>
      </c>
    </row>
    <row r="9" spans="1:5" ht="15" x14ac:dyDescent="0.25">
      <c r="A9" s="8" t="s">
        <v>7</v>
      </c>
      <c r="B9" s="8" t="s">
        <v>11</v>
      </c>
      <c r="C9" s="8"/>
      <c r="D9" s="9">
        <v>1</v>
      </c>
      <c r="E9" s="9">
        <f>(D9*1)+3+2.5</f>
        <v>6.5</v>
      </c>
    </row>
    <row r="10" spans="1:5" ht="15" x14ac:dyDescent="0.25">
      <c r="A10" s="8" t="s">
        <v>8</v>
      </c>
      <c r="B10" s="8" t="s">
        <v>12</v>
      </c>
      <c r="C10" s="8"/>
      <c r="D10" s="9">
        <v>1</v>
      </c>
      <c r="E10" s="9">
        <f>(D10*2)+3+2.5</f>
        <v>7.5</v>
      </c>
    </row>
    <row r="11" spans="1:5" ht="15" x14ac:dyDescent="0.25">
      <c r="A11" s="8" t="s">
        <v>9</v>
      </c>
      <c r="B11" s="8" t="s">
        <v>13</v>
      </c>
      <c r="C11" s="8"/>
      <c r="D11" s="9">
        <v>1</v>
      </c>
      <c r="E11" s="9">
        <f>(D11*4)+3+2.5</f>
        <v>9.5</v>
      </c>
    </row>
    <row r="12" spans="1:5" ht="15" x14ac:dyDescent="0.25">
      <c r="A12" t="s">
        <v>17</v>
      </c>
    </row>
    <row r="13" spans="1:5" ht="15" x14ac:dyDescent="0.25">
      <c r="A13" s="2" t="s">
        <v>19</v>
      </c>
    </row>
    <row r="14" spans="1:5" ht="15" x14ac:dyDescent="0.25">
      <c r="A14" s="2" t="s">
        <v>18</v>
      </c>
    </row>
  </sheetData>
  <pageMargins left="0.7" right="0.7" top="0.75" bottom="0.75" header="0.3" footer="0.3"/>
  <pageSetup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Miltenyi Biotec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Stillwell</dc:creator>
  <cp:lastModifiedBy>Lesa Campbell</cp:lastModifiedBy>
  <dcterms:created xsi:type="dcterms:W3CDTF">2014-03-07T20:17:12Z</dcterms:created>
  <dcterms:modified xsi:type="dcterms:W3CDTF">2014-03-10T16:55:40Z</dcterms:modified>
</cp:coreProperties>
</file>