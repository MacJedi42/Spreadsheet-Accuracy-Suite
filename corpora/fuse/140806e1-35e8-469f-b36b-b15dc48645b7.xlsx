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externalLinks/externalLink2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3955" windowHeight="11055" tabRatio="0"/>
  </bookViews>
  <sheets>
    <sheet name="Totals" sheetId="1" r:id="rId1"/>
  </sheets>
  <externalReferences>
    <externalReference r:id="rId2"/>
    <externalReference r:id="rId3"/>
  </externalReferences>
  <calcPr calcId="145621"/>
</workbook>
</file>

<file path=xl/calcChain.xml><?xml version="1.0" encoding="utf-8"?>
<calcChain xmlns="http://schemas.openxmlformats.org/spreadsheetml/2006/main">
  <c r="O35" i="1" l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5" i="1"/>
  <c r="O21" i="1" s="1"/>
  <c r="P5" i="1"/>
  <c r="P21" i="1" s="1"/>
  <c r="O6" i="1"/>
  <c r="O22" i="1" s="1"/>
  <c r="P6" i="1"/>
  <c r="P22" i="1" s="1"/>
  <c r="O7" i="1"/>
  <c r="O23" i="1" s="1"/>
  <c r="P7" i="1"/>
  <c r="P23" i="1" s="1"/>
  <c r="O8" i="1"/>
  <c r="O24" i="1" s="1"/>
  <c r="P8" i="1"/>
  <c r="P24" i="1" s="1"/>
  <c r="O9" i="1"/>
  <c r="O25" i="1" s="1"/>
  <c r="P9" i="1"/>
  <c r="P25" i="1" s="1"/>
  <c r="O10" i="1"/>
  <c r="O26" i="1" s="1"/>
  <c r="P10" i="1"/>
  <c r="P26" i="1" s="1"/>
  <c r="O11" i="1"/>
  <c r="O27" i="1" s="1"/>
  <c r="P11" i="1"/>
  <c r="P27" i="1" s="1"/>
  <c r="O12" i="1"/>
  <c r="O28" i="1" s="1"/>
  <c r="P12" i="1"/>
  <c r="P28" i="1" s="1"/>
  <c r="O13" i="1"/>
  <c r="O29" i="1" s="1"/>
  <c r="P13" i="1"/>
  <c r="P29" i="1" s="1"/>
  <c r="O14" i="1"/>
  <c r="P14" i="1"/>
  <c r="P44" i="1" l="1"/>
  <c r="N14" i="1" l="1"/>
  <c r="M14" i="1"/>
  <c r="L14" i="1"/>
  <c r="K14" i="1"/>
  <c r="J14" i="1"/>
  <c r="I14" i="1"/>
  <c r="H14" i="1"/>
  <c r="G14" i="1"/>
  <c r="F14" i="1"/>
  <c r="E14" i="1"/>
  <c r="D14" i="1"/>
  <c r="C14" i="1"/>
  <c r="B14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N9" i="1"/>
  <c r="M9" i="1"/>
  <c r="L9" i="1"/>
  <c r="K9" i="1"/>
  <c r="J9" i="1"/>
  <c r="I9" i="1"/>
  <c r="H9" i="1"/>
  <c r="G9" i="1"/>
  <c r="F9" i="1"/>
  <c r="E9" i="1"/>
  <c r="D9" i="1"/>
  <c r="C9" i="1"/>
  <c r="B9" i="1"/>
  <c r="N8" i="1"/>
  <c r="M8" i="1"/>
  <c r="L8" i="1"/>
  <c r="K8" i="1"/>
  <c r="J8" i="1"/>
  <c r="I8" i="1"/>
  <c r="H8" i="1"/>
  <c r="G8" i="1"/>
  <c r="F8" i="1"/>
  <c r="E8" i="1"/>
  <c r="D8" i="1"/>
  <c r="C8" i="1"/>
  <c r="B8" i="1"/>
  <c r="N7" i="1"/>
  <c r="M7" i="1"/>
  <c r="L7" i="1"/>
  <c r="K7" i="1"/>
  <c r="J7" i="1"/>
  <c r="I7" i="1"/>
  <c r="H7" i="1"/>
  <c r="G7" i="1"/>
  <c r="F7" i="1"/>
  <c r="E7" i="1"/>
  <c r="D7" i="1"/>
  <c r="C7" i="1"/>
  <c r="B7" i="1"/>
  <c r="N6" i="1"/>
  <c r="M6" i="1"/>
  <c r="L6" i="1"/>
  <c r="K6" i="1"/>
  <c r="J6" i="1"/>
  <c r="I6" i="1"/>
  <c r="H6" i="1"/>
  <c r="G6" i="1"/>
  <c r="F6" i="1"/>
  <c r="E6" i="1"/>
  <c r="D6" i="1"/>
  <c r="C6" i="1"/>
  <c r="B6" i="1"/>
  <c r="N5" i="1"/>
  <c r="M5" i="1"/>
  <c r="L5" i="1"/>
  <c r="K5" i="1"/>
  <c r="J5" i="1"/>
  <c r="I5" i="1"/>
  <c r="H5" i="1"/>
  <c r="G5" i="1"/>
  <c r="F5" i="1"/>
  <c r="E5" i="1"/>
  <c r="D5" i="1"/>
  <c r="C5" i="1"/>
  <c r="B5" i="1"/>
  <c r="O44" i="1" l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B21" i="1" l="1"/>
  <c r="M21" i="1" l="1"/>
  <c r="K21" i="1"/>
  <c r="I21" i="1"/>
  <c r="G21" i="1"/>
  <c r="E21" i="1"/>
  <c r="C21" i="1"/>
  <c r="N21" i="1"/>
  <c r="L21" i="1"/>
  <c r="J21" i="1"/>
  <c r="H21" i="1"/>
  <c r="F21" i="1"/>
  <c r="D21" i="1"/>
  <c r="M29" i="1"/>
  <c r="K29" i="1"/>
  <c r="I29" i="1"/>
  <c r="G29" i="1"/>
  <c r="E29" i="1"/>
  <c r="C29" i="1"/>
  <c r="M28" i="1"/>
  <c r="K28" i="1"/>
  <c r="I28" i="1"/>
  <c r="G28" i="1"/>
  <c r="E28" i="1"/>
  <c r="C28" i="1"/>
  <c r="M27" i="1"/>
  <c r="K27" i="1"/>
  <c r="I27" i="1"/>
  <c r="G27" i="1"/>
  <c r="E27" i="1"/>
  <c r="C27" i="1"/>
  <c r="M26" i="1"/>
  <c r="K26" i="1"/>
  <c r="I26" i="1"/>
  <c r="G26" i="1"/>
  <c r="E26" i="1"/>
  <c r="C26" i="1"/>
  <c r="M25" i="1"/>
  <c r="K25" i="1"/>
  <c r="I25" i="1"/>
  <c r="G25" i="1"/>
  <c r="E25" i="1"/>
  <c r="C25" i="1"/>
  <c r="M24" i="1"/>
  <c r="K24" i="1"/>
  <c r="I24" i="1"/>
  <c r="G24" i="1"/>
  <c r="E24" i="1"/>
  <c r="C24" i="1"/>
  <c r="M23" i="1"/>
  <c r="K23" i="1"/>
  <c r="I23" i="1"/>
  <c r="G23" i="1"/>
  <c r="E23" i="1"/>
  <c r="C23" i="1"/>
  <c r="M22" i="1"/>
  <c r="K22" i="1"/>
  <c r="I22" i="1"/>
  <c r="G22" i="1"/>
  <c r="E22" i="1"/>
  <c r="C22" i="1"/>
  <c r="N29" i="1"/>
  <c r="L29" i="1"/>
  <c r="J29" i="1"/>
  <c r="H29" i="1"/>
  <c r="F29" i="1"/>
  <c r="D29" i="1"/>
  <c r="B29" i="1"/>
  <c r="N28" i="1"/>
  <c r="L28" i="1"/>
  <c r="J28" i="1"/>
  <c r="H28" i="1"/>
  <c r="F28" i="1"/>
  <c r="D28" i="1"/>
  <c r="B28" i="1"/>
  <c r="N27" i="1"/>
  <c r="L27" i="1"/>
  <c r="J27" i="1"/>
  <c r="H27" i="1"/>
  <c r="F27" i="1"/>
  <c r="D27" i="1"/>
  <c r="B27" i="1"/>
  <c r="N26" i="1"/>
  <c r="L26" i="1"/>
  <c r="J26" i="1"/>
  <c r="H26" i="1"/>
  <c r="F26" i="1"/>
  <c r="D26" i="1"/>
  <c r="B26" i="1"/>
  <c r="N25" i="1"/>
  <c r="L25" i="1"/>
  <c r="J25" i="1"/>
  <c r="H25" i="1"/>
  <c r="F25" i="1"/>
  <c r="D25" i="1"/>
  <c r="B25" i="1"/>
  <c r="N24" i="1"/>
  <c r="L24" i="1"/>
  <c r="J24" i="1"/>
  <c r="H24" i="1"/>
  <c r="F24" i="1"/>
  <c r="D24" i="1"/>
  <c r="B24" i="1"/>
  <c r="N23" i="1"/>
  <c r="L23" i="1"/>
  <c r="J23" i="1"/>
  <c r="H23" i="1"/>
  <c r="F23" i="1"/>
  <c r="D23" i="1"/>
  <c r="B23" i="1"/>
  <c r="N22" i="1"/>
  <c r="L22" i="1"/>
  <c r="J22" i="1"/>
  <c r="H22" i="1"/>
  <c r="F22" i="1"/>
  <c r="D22" i="1"/>
  <c r="B22" i="1"/>
</calcChain>
</file>

<file path=xl/sharedStrings.xml><?xml version="1.0" encoding="utf-8"?>
<sst xmlns="http://schemas.openxmlformats.org/spreadsheetml/2006/main" count="103" uniqueCount="41">
  <si>
    <t>AY07-08</t>
  </si>
  <si>
    <t>AY08-09</t>
  </si>
  <si>
    <t>AY09-10</t>
  </si>
  <si>
    <t>AY10-11</t>
  </si>
  <si>
    <t>AY11-12</t>
  </si>
  <si>
    <t>Academic Year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</si>
  <si>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</si>
  <si>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</si>
  <si>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</si>
  <si>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</si>
  <si>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</si>
  <si>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</si>
  <si>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</si>
  <si>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</si>
  <si>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</si>
  <si>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</si>
  <si>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</si>
  <si>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</si>
  <si>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</si>
  <si>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</si>
  <si>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</si>
  <si>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</si>
  <si>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</si>
  <si>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</si>
  <si>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</si>
  <si>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</si>
  <si>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</si>
  <si>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</si>
  <si>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</si>
  <si>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>Unknown</t>
  </si>
  <si>
    <t>Term Total</t>
  </si>
  <si>
    <t>% of Total</t>
  </si>
  <si>
    <t>Credit Headcount % of Total</t>
  </si>
  <si>
    <t>Success Rate</t>
  </si>
  <si>
    <t>Term Average</t>
  </si>
  <si>
    <t>Headcount Of Credit Graded Students</t>
  </si>
  <si>
    <r>
      <t xml:space="preserve">Success rate </t>
    </r>
    <r>
      <rPr>
        <sz val="9"/>
        <color rgb="FF000000"/>
        <rFont val="Calibri"/>
        <family val="2"/>
      </rPr>
      <t xml:space="preserve">= # of “A, B, C, CR &amp; P” grades divided by (the # of all grades) “A, B, C, CR, P, D, F, NC, NP, I and W” </t>
    </r>
  </si>
  <si>
    <r>
      <rPr>
        <b/>
        <sz val="11"/>
        <color rgb="FFC00000"/>
        <rFont val="Calibri"/>
        <family val="2"/>
        <scheme val="minor"/>
      </rPr>
      <t xml:space="preserve">Ethnic </t>
    </r>
    <r>
      <rPr>
        <b/>
        <sz val="11"/>
        <color theme="1"/>
        <rFont val="Calibri"/>
        <family val="2"/>
        <scheme val="minor"/>
      </rPr>
      <t>Groups</t>
    </r>
  </si>
  <si>
    <r>
      <rPr>
        <b/>
        <sz val="11"/>
        <color rgb="FFC00000"/>
        <rFont val="Calibri"/>
        <family val="2"/>
        <scheme val="minor"/>
      </rPr>
      <t>Ethnic</t>
    </r>
    <r>
      <rPr>
        <b/>
        <sz val="11"/>
        <color theme="1"/>
        <rFont val="Calibri"/>
        <family val="2"/>
        <scheme val="minor"/>
      </rPr>
      <t xml:space="preserve"> Groups</t>
    </r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</si>
  <si>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district totals exclude dual enrollment data</t>
    </r>
  </si>
  <si>
    <r>
      <rPr>
        <b/>
        <sz val="12"/>
        <rFont val="Calibri"/>
        <family val="2"/>
        <scheme val="minor"/>
      </rPr>
      <t>MSJC SJC Total</t>
    </r>
    <r>
      <rPr>
        <b/>
        <sz val="12"/>
        <color theme="5" tint="-0.249977111117893"/>
        <rFont val="Calibri"/>
        <family val="2"/>
        <scheme val="minor"/>
      </rPr>
      <t xml:space="preserve"> by Ethnic Groups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</si>
</sst>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C0000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1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/>
    <xf numFmtId="0" fontId="17" fillId="0" borderId="26" xfId="45" applyFont="1" applyBorder="1" applyAlignment="1">
      <alignment horizontal="center" vertical="center"/>
    </xf>
    <xf numFmtId="164" fontId="25" fillId="0" borderId="23" xfId="1" applyNumberFormat="1" applyFont="1" applyBorder="1" applyAlignment="1" applyProtection="1">
      <alignment horizontal="center" vertical="center"/>
    </xf>
    <xf numFmtId="165" fontId="25" fillId="0" borderId="18" xfId="1" applyNumberFormat="1" applyFont="1" applyBorder="1" applyAlignment="1" applyProtection="1">
      <alignment horizontal="center" vertical="center"/>
    </xf>
    <xf numFmtId="165" fontId="25" fillId="0" borderId="17" xfId="1" applyNumberFormat="1" applyFont="1" applyBorder="1" applyAlignment="1" applyProtection="1">
      <alignment horizontal="center" vertical="center"/>
    </xf>
    <xf numFmtId="165" fontId="25" fillId="0" borderId="23" xfId="1" applyNumberFormat="1" applyFont="1" applyBorder="1" applyAlignment="1" applyProtection="1">
      <alignment horizontal="center" vertical="center"/>
    </xf>
    <xf numFmtId="0" fontId="17" fillId="0" borderId="32" xfId="45" applyFont="1" applyBorder="1" applyAlignment="1">
      <alignment horizontal="center" vertical="center"/>
    </xf>
    <xf numFmtId="3" fontId="0" fillId="0" borderId="0" xfId="0" applyNumberFormat="1"/>
    <xf numFmtId="10" fontId="0" fillId="0" borderId="0" xfId="2" applyNumberFormat="1" applyFont="1"/>
    <xf numFmtId="164" fontId="0" fillId="0" borderId="0" xfId="0" applyNumberFormat="1"/>
    <xf numFmtId="0" fontId="27" fillId="0" borderId="27" xfId="47" applyFont="1" applyBorder="1" applyAlignment="1" applyProtection="1"/>
    <xf numFmtId="0" fontId="27" fillId="0" borderId="28" xfId="47" applyFont="1" applyBorder="1" applyAlignment="1" applyProtection="1"/>
    <xf numFmtId="0" fontId="27" fillId="0" borderId="34" xfId="47" applyFont="1" applyBorder="1" applyAlignment="1" applyProtection="1"/>
    <xf numFmtId="0" fontId="27" fillId="0" borderId="12" xfId="47" applyFont="1" applyFill="1" applyBorder="1" applyAlignment="1" applyProtection="1"/>
    <xf numFmtId="9" fontId="25" fillId="0" borderId="22" xfId="1" applyNumberFormat="1" applyFont="1" applyBorder="1" applyAlignment="1" applyProtection="1">
      <alignment horizontal="center" vertical="center"/>
    </xf>
    <xf numFmtId="0" fontId="29" fillId="0" borderId="0" xfId="0" applyFont="1" applyAlignment="1">
      <alignment vertical="center"/>
    </xf>
    <xf numFmtId="0" fontId="27" fillId="0" borderId="38" xfId="47" applyFont="1" applyBorder="1" applyAlignment="1" applyProtection="1"/>
    <xf numFmtId="0" fontId="27" fillId="0" borderId="26" xfId="47" applyFont="1" applyBorder="1" applyAlignment="1" applyProtection="1"/>
    <xf numFmtId="0" fontId="31" fillId="0" borderId="26" xfId="47" applyFont="1" applyBorder="1" applyAlignment="1" applyProtection="1">
      <alignment horizontal="center" vertical="center"/>
    </xf>
    <xf numFmtId="164" fontId="25" fillId="0" borderId="37" xfId="1" applyNumberFormat="1" applyFont="1" applyBorder="1" applyAlignment="1" applyProtection="1">
      <alignment horizontal="center" vertical="center"/>
    </xf>
    <xf numFmtId="164" fontId="25" fillId="0" borderId="22" xfId="1" applyNumberFormat="1" applyFont="1" applyBorder="1" applyAlignment="1" applyProtection="1">
      <alignment horizontal="center" vertical="center"/>
    </xf>
    <xf numFmtId="165" fontId="25" fillId="0" borderId="16" xfId="1" applyNumberFormat="1" applyFont="1" applyBorder="1" applyAlignment="1" applyProtection="1">
      <alignment horizontal="center" vertical="center"/>
    </xf>
    <xf numFmtId="165" fontId="25" fillId="0" borderId="37" xfId="1" applyNumberFormat="1" applyFont="1" applyBorder="1" applyAlignment="1" applyProtection="1">
      <alignment horizontal="center" vertical="center"/>
    </xf>
    <xf numFmtId="165" fontId="25" fillId="0" borderId="20" xfId="1" applyNumberFormat="1" applyFont="1" applyBorder="1" applyAlignment="1" applyProtection="1">
      <alignment horizontal="center" vertical="center"/>
    </xf>
    <xf numFmtId="165" fontId="25" fillId="0" borderId="19" xfId="1" applyNumberFormat="1" applyFont="1" applyBorder="1" applyAlignment="1" applyProtection="1">
      <alignment horizontal="center" vertical="center"/>
    </xf>
    <xf numFmtId="0" fontId="32" fillId="0" borderId="0" xfId="58" applyFont="1"/>
    <xf numFmtId="165" fontId="25" fillId="0" borderId="39" xfId="1" applyNumberFormat="1" applyFont="1" applyBorder="1" applyAlignment="1" applyProtection="1">
      <alignment horizontal="center" vertical="center"/>
    </xf>
    <xf numFmtId="165" fontId="25" fillId="0" borderId="22" xfId="1" applyNumberFormat="1" applyFont="1" applyBorder="1" applyAlignment="1" applyProtection="1">
      <alignment horizontal="center" vertical="center"/>
    </xf>
    <xf numFmtId="165" fontId="25" fillId="0" borderId="21" xfId="1" applyNumberFormat="1" applyFont="1" applyBorder="1" applyAlignment="1" applyProtection="1">
      <alignment horizontal="center" vertical="center"/>
    </xf>
    <xf numFmtId="165" fontId="25" fillId="0" borderId="40" xfId="1" applyNumberFormat="1" applyFont="1" applyBorder="1" applyAlignment="1" applyProtection="1">
      <alignment horizontal="center" vertical="center"/>
    </xf>
    <xf numFmtId="165" fontId="25" fillId="0" borderId="41" xfId="1" applyNumberFormat="1" applyFont="1" applyBorder="1" applyAlignment="1" applyProtection="1">
      <alignment horizontal="center" vertical="center"/>
    </xf>
    <xf numFmtId="165" fontId="25" fillId="0" borderId="15" xfId="1" applyNumberFormat="1" applyFont="1" applyBorder="1" applyAlignment="1" applyProtection="1">
      <alignment horizontal="center" vertical="center"/>
    </xf>
    <xf numFmtId="165" fontId="25" fillId="0" borderId="42" xfId="1" applyNumberFormat="1" applyFont="1" applyBorder="1" applyAlignment="1" applyProtection="1">
      <alignment horizontal="center" vertical="center"/>
    </xf>
    <xf numFmtId="165" fontId="25" fillId="0" borderId="43" xfId="1" applyNumberFormat="1" applyFont="1" applyBorder="1" applyAlignment="1" applyProtection="1">
      <alignment horizontal="center" vertical="center"/>
    </xf>
    <xf numFmtId="0" fontId="24" fillId="33" borderId="51" xfId="45" applyFont="1" applyFill="1" applyBorder="1" applyAlignment="1">
      <alignment horizontal="center" vertical="center"/>
    </xf>
    <xf numFmtId="0" fontId="24" fillId="33" borderId="52" xfId="45" applyFont="1" applyFill="1" applyBorder="1" applyAlignment="1">
      <alignment horizontal="center" vertical="center"/>
    </xf>
    <xf numFmtId="0" fontId="24" fillId="33" borderId="53" xfId="45" applyFont="1" applyFill="1" applyBorder="1" applyAlignment="1">
      <alignment horizontal="center" vertical="center"/>
    </xf>
    <xf numFmtId="0" fontId="23" fillId="34" borderId="54" xfId="45" applyFont="1" applyFill="1" applyBorder="1" applyAlignment="1">
      <alignment horizontal="center" vertical="center"/>
    </xf>
    <xf numFmtId="0" fontId="23" fillId="34" borderId="52" xfId="45" applyFont="1" applyFill="1" applyBorder="1" applyAlignment="1">
      <alignment horizontal="center" vertical="center"/>
    </xf>
    <xf numFmtId="0" fontId="23" fillId="34" borderId="53" xfId="45" applyFont="1" applyFill="1" applyBorder="1" applyAlignment="1">
      <alignment horizontal="center" vertical="center"/>
    </xf>
    <xf numFmtId="0" fontId="24" fillId="33" borderId="54" xfId="45" applyFont="1" applyFill="1" applyBorder="1" applyAlignment="1">
      <alignment horizontal="center" vertical="center"/>
    </xf>
    <xf numFmtId="0" fontId="24" fillId="33" borderId="55" xfId="45" applyFont="1" applyFill="1" applyBorder="1" applyAlignment="1">
      <alignment horizontal="center" vertical="center"/>
    </xf>
    <xf numFmtId="0" fontId="23" fillId="34" borderId="51" xfId="45" applyFont="1" applyFill="1" applyBorder="1" applyAlignment="1">
      <alignment horizontal="center" vertical="center"/>
    </xf>
    <xf numFmtId="9" fontId="27" fillId="0" borderId="44" xfId="1" applyNumberFormat="1" applyFont="1" applyBorder="1" applyAlignment="1" applyProtection="1">
      <alignment horizontal="center" vertical="center"/>
    </xf>
    <xf numFmtId="9" fontId="25" fillId="0" borderId="56" xfId="1" applyNumberFormat="1" applyFont="1" applyBorder="1" applyAlignment="1" applyProtection="1">
      <alignment horizontal="center" vertical="center"/>
    </xf>
    <xf numFmtId="164" fontId="25" fillId="0" borderId="19" xfId="1" applyNumberFormat="1" applyFont="1" applyBorder="1" applyAlignment="1" applyProtection="1">
      <alignment horizontal="center" vertical="center"/>
    </xf>
    <xf numFmtId="164" fontId="25" fillId="0" borderId="39" xfId="1" applyNumberFormat="1" applyFont="1" applyBorder="1" applyAlignment="1" applyProtection="1">
      <alignment horizontal="center" vertical="center"/>
    </xf>
    <xf numFmtId="164" fontId="25" fillId="0" borderId="20" xfId="1" applyNumberFormat="1" applyFont="1" applyBorder="1" applyAlignment="1" applyProtection="1">
      <alignment horizontal="center" vertical="center"/>
    </xf>
    <xf numFmtId="0" fontId="24" fillId="33" borderId="36" xfId="45" applyFont="1" applyFill="1" applyBorder="1" applyAlignment="1">
      <alignment horizontal="center" vertical="center"/>
    </xf>
    <xf numFmtId="0" fontId="24" fillId="33" borderId="48" xfId="45" applyFont="1" applyFill="1" applyBorder="1" applyAlignment="1">
      <alignment horizontal="center" vertical="center"/>
    </xf>
    <xf numFmtId="0" fontId="24" fillId="33" borderId="35" xfId="45" applyFont="1" applyFill="1" applyBorder="1" applyAlignment="1">
      <alignment horizontal="center" vertical="center"/>
    </xf>
    <xf numFmtId="0" fontId="24" fillId="33" borderId="50" xfId="45" applyFont="1" applyFill="1" applyBorder="1" applyAlignment="1">
      <alignment horizontal="center" vertical="center"/>
    </xf>
    <xf numFmtId="0" fontId="23" fillId="35" borderId="10" xfId="10" applyFont="1" applyFill="1" applyBorder="1" applyAlignment="1">
      <alignment horizontal="center" vertical="center" wrapText="1"/>
    </xf>
    <xf numFmtId="0" fontId="23" fillId="35" borderId="11" xfId="10" applyFont="1" applyFill="1" applyBorder="1" applyAlignment="1">
      <alignment horizontal="center" vertical="center" wrapText="1"/>
    </xf>
    <xf numFmtId="0" fontId="23" fillId="35" borderId="12" xfId="10" applyFont="1" applyFill="1" applyBorder="1" applyAlignment="1">
      <alignment horizontal="center" vertical="center" wrapText="1"/>
    </xf>
    <xf numFmtId="0" fontId="23" fillId="34" borderId="36" xfId="45" applyFont="1" applyFill="1" applyBorder="1" applyAlignment="1">
      <alignment horizontal="center" vertical="center"/>
    </xf>
    <xf numFmtId="0" fontId="23" fillId="34" borderId="48" xfId="45" applyFont="1" applyFill="1" applyBorder="1" applyAlignment="1">
      <alignment horizontal="center" vertical="center"/>
    </xf>
    <xf numFmtId="0" fontId="23" fillId="34" borderId="35" xfId="45" applyFont="1" applyFill="1" applyBorder="1" applyAlignment="1">
      <alignment horizontal="center" vertical="center"/>
    </xf>
    <xf numFmtId="0" fontId="23" fillId="34" borderId="50" xfId="45" applyFont="1" applyFill="1" applyBorder="1" applyAlignment="1">
      <alignment horizontal="center" vertical="center"/>
    </xf>
    <xf numFmtId="0" fontId="24" fillId="33" borderId="49" xfId="45" applyFont="1" applyFill="1" applyBorder="1" applyAlignment="1">
      <alignment horizontal="center" vertical="center"/>
    </xf>
    <xf numFmtId="0" fontId="20" fillId="35" borderId="25" xfId="45" applyFont="1" applyFill="1" applyBorder="1" applyAlignment="1">
      <alignment horizontal="center"/>
    </xf>
    <xf numFmtId="0" fontId="20" fillId="35" borderId="0" xfId="45" applyFont="1" applyFill="1" applyBorder="1" applyAlignment="1">
      <alignment horizontal="center"/>
    </xf>
    <xf numFmtId="0" fontId="20" fillId="35" borderId="24" xfId="45" applyFont="1" applyFill="1" applyBorder="1" applyAlignment="1">
      <alignment horizontal="center"/>
    </xf>
    <xf numFmtId="0" fontId="20" fillId="35" borderId="13" xfId="45" applyFont="1" applyFill="1" applyBorder="1" applyAlignment="1">
      <alignment horizontal="center"/>
    </xf>
    <xf numFmtId="0" fontId="20" fillId="35" borderId="14" xfId="45" applyFont="1" applyFill="1" applyBorder="1" applyAlignment="1">
      <alignment horizontal="center"/>
    </xf>
    <xf numFmtId="0" fontId="28" fillId="35" borderId="10" xfId="10" applyFont="1" applyFill="1" applyBorder="1" applyAlignment="1">
      <alignment horizontal="center" vertical="center" wrapText="1"/>
    </xf>
    <xf numFmtId="0" fontId="28" fillId="35" borderId="11" xfId="10" applyFont="1" applyFill="1" applyBorder="1" applyAlignment="1">
      <alignment horizontal="center" vertical="center" wrapText="1"/>
    </xf>
    <xf numFmtId="0" fontId="28" fillId="35" borderId="12" xfId="10" applyFont="1" applyFill="1" applyBorder="1" applyAlignment="1">
      <alignment horizontal="center" vertical="center" wrapText="1"/>
    </xf>
    <xf numFmtId="0" fontId="20" fillId="35" borderId="29" xfId="45" applyFont="1" applyFill="1" applyBorder="1" applyAlignment="1">
      <alignment horizontal="center"/>
    </xf>
    <xf numFmtId="0" fontId="20" fillId="35" borderId="30" xfId="45" applyFont="1" applyFill="1" applyBorder="1" applyAlignment="1">
      <alignment horizontal="center"/>
    </xf>
    <xf numFmtId="0" fontId="20" fillId="35" borderId="31" xfId="45" applyFont="1" applyFill="1" applyBorder="1" applyAlignment="1">
      <alignment horizontal="center"/>
    </xf>
    <xf numFmtId="3" fontId="31" fillId="0" borderId="44" xfId="1" applyNumberFormat="1" applyFont="1" applyFill="1" applyBorder="1" applyAlignment="1" applyProtection="1">
      <alignment horizontal="center" vertical="center"/>
    </xf>
    <xf numFmtId="3" fontId="31" fillId="0" borderId="45" xfId="1" applyNumberFormat="1" applyFont="1" applyFill="1" applyBorder="1" applyAlignment="1" applyProtection="1">
      <alignment horizontal="center" vertical="center"/>
    </xf>
    <xf numFmtId="3" fontId="31" fillId="0" borderId="46" xfId="1" applyNumberFormat="1" applyFont="1" applyFill="1" applyBorder="1" applyAlignment="1" applyProtection="1">
      <alignment horizontal="center" vertical="center"/>
    </xf>
    <xf numFmtId="3" fontId="31" fillId="0" borderId="33" xfId="1" applyNumberFormat="1" applyFont="1" applyFill="1" applyBorder="1" applyAlignment="1" applyProtection="1">
      <alignment horizontal="center" vertical="center"/>
    </xf>
    <xf numFmtId="3" fontId="31" fillId="0" borderId="47" xfId="1" applyNumberFormat="1" applyFont="1" applyFill="1" applyBorder="1" applyAlignment="1" applyProtection="1">
      <alignment horizontal="center" vertical="center"/>
    </xf>
  </cellXfs>
  <cellStyles count="115">
    <cellStyle name="20% - Accent1" xfId="21" builtinId="30" customBuiltin="1"/>
    <cellStyle name="20% - Accent1 2" xfId="76"/>
    <cellStyle name="20% - Accent2" xfId="25" builtinId="34" customBuiltin="1"/>
    <cellStyle name="20% - Accent2 2" xfId="80"/>
    <cellStyle name="20% - Accent3" xfId="29" builtinId="38" customBuiltin="1"/>
    <cellStyle name="20% - Accent3 2" xfId="84"/>
    <cellStyle name="20% - Accent4" xfId="33" builtinId="42" customBuiltin="1"/>
    <cellStyle name="20% - Accent4 2" xfId="88"/>
    <cellStyle name="20% - Accent5" xfId="37" builtinId="46" customBuiltin="1"/>
    <cellStyle name="20% - Accent5 2" xfId="92"/>
    <cellStyle name="20% - Accent6" xfId="41" builtinId="50" customBuiltin="1"/>
    <cellStyle name="20% - Accent6 2" xfId="96"/>
    <cellStyle name="40% - Accent1" xfId="22" builtinId="31" customBuiltin="1"/>
    <cellStyle name="40% - Accent1 2" xfId="77"/>
    <cellStyle name="40% - Accent2" xfId="26" builtinId="35" customBuiltin="1"/>
    <cellStyle name="40% - Accent2 2" xfId="81"/>
    <cellStyle name="40% - Accent3" xfId="30" builtinId="39" customBuiltin="1"/>
    <cellStyle name="40% - Accent3 2" xfId="85"/>
    <cellStyle name="40% - Accent4" xfId="34" builtinId="43" customBuiltin="1"/>
    <cellStyle name="40% - Accent4 2" xfId="89"/>
    <cellStyle name="40% - Accent5" xfId="38" builtinId="47" customBuiltin="1"/>
    <cellStyle name="40% - Accent5 2" xfId="93"/>
    <cellStyle name="40% - Accent6" xfId="42" builtinId="51" customBuiltin="1"/>
    <cellStyle name="40% - Accent6 2" xfId="97"/>
    <cellStyle name="60% - Accent1" xfId="23" builtinId="32" customBuiltin="1"/>
    <cellStyle name="60% - Accent1 2" xfId="78"/>
    <cellStyle name="60% - Accent2" xfId="27" builtinId="36" customBuiltin="1"/>
    <cellStyle name="60% - Accent2 2" xfId="82"/>
    <cellStyle name="60% - Accent3" xfId="31" builtinId="40" customBuiltin="1"/>
    <cellStyle name="60% - Accent3 2" xfId="86"/>
    <cellStyle name="60% - Accent4" xfId="35" builtinId="44" customBuiltin="1"/>
    <cellStyle name="60% - Accent4 2" xfId="90"/>
    <cellStyle name="60% - Accent5" xfId="39" builtinId="48" customBuiltin="1"/>
    <cellStyle name="60% - Accent5 2" xfId="94"/>
    <cellStyle name="60% - Accent6" xfId="43" builtinId="52" customBuiltin="1"/>
    <cellStyle name="60% - Accent6 2" xfId="98"/>
    <cellStyle name="Accent1" xfId="20" builtinId="29" customBuiltin="1"/>
    <cellStyle name="Accent1 2" xfId="75"/>
    <cellStyle name="Accent2" xfId="24" builtinId="33" customBuiltin="1"/>
    <cellStyle name="Accent2 2" xfId="79"/>
    <cellStyle name="Accent3" xfId="28" builtinId="37" customBuiltin="1"/>
    <cellStyle name="Accent3 2" xfId="83"/>
    <cellStyle name="Accent4" xfId="32" builtinId="41" customBuiltin="1"/>
    <cellStyle name="Accent4 2" xfId="87"/>
    <cellStyle name="Accent5" xfId="36" builtinId="45" customBuiltin="1"/>
    <cellStyle name="Accent5 2" xfId="91"/>
    <cellStyle name="Accent6" xfId="40" builtinId="49" customBuiltin="1"/>
    <cellStyle name="Accent6 2" xfId="95"/>
    <cellStyle name="Bad" xfId="9" builtinId="27" customBuiltin="1"/>
    <cellStyle name="Bad 2" xfId="64"/>
    <cellStyle name="Calculation" xfId="13" builtinId="22" customBuiltin="1"/>
    <cellStyle name="Calculation 2" xfId="68"/>
    <cellStyle name="Check Cell" xfId="15" builtinId="23" customBuiltin="1"/>
    <cellStyle name="Check Cell 2" xfId="70"/>
    <cellStyle name="Comma" xfId="1" builtinId="3"/>
    <cellStyle name="Comma 2" xfId="50"/>
    <cellStyle name="Comma 2 2" xfId="53"/>
    <cellStyle name="Comma 3" xfId="99"/>
    <cellStyle name="Explanatory Text" xfId="18" builtinId="53" customBuiltin="1"/>
    <cellStyle name="Explanatory Text 2" xfId="73"/>
    <cellStyle name="Good" xfId="8" builtinId="26" customBuiltin="1"/>
    <cellStyle name="Good 2" xfId="63"/>
    <cellStyle name="Heading 1" xfId="4" builtinId="16" customBuiltin="1"/>
    <cellStyle name="Heading 1 2" xfId="59"/>
    <cellStyle name="Heading 2" xfId="5" builtinId="17" customBuiltin="1"/>
    <cellStyle name="Heading 2 2" xfId="60"/>
    <cellStyle name="Heading 3" xfId="6" builtinId="18" customBuiltin="1"/>
    <cellStyle name="Heading 3 2" xfId="61"/>
    <cellStyle name="Heading 4" xfId="7" builtinId="19" customBuiltin="1"/>
    <cellStyle name="Heading 4 2" xfId="62"/>
    <cellStyle name="Hyperlink" xfId="47" builtinId="8"/>
    <cellStyle name="Hyperlink 2" xfId="51"/>
    <cellStyle name="Input" xfId="11" builtinId="20" customBuiltin="1"/>
    <cellStyle name="Input 2" xfId="66"/>
    <cellStyle name="Linked Cell" xfId="14" builtinId="24" customBuiltin="1"/>
    <cellStyle name="Linked Cell 2" xfId="69"/>
    <cellStyle name="Neutral" xfId="10" builtinId="28" customBuiltin="1"/>
    <cellStyle name="Neutral 2" xfId="54"/>
    <cellStyle name="Neutral 3" xfId="65"/>
    <cellStyle name="Normal" xfId="0" builtinId="0"/>
    <cellStyle name="Normal 2" xfId="45"/>
    <cellStyle name="Normal 2 2" xfId="49"/>
    <cellStyle name="Normal 2 2 2" xfId="52"/>
    <cellStyle name="Normal 3" xfId="44"/>
    <cellStyle name="Normal 3 2" xfId="55"/>
    <cellStyle name="Normal 3 2 2" xfId="105"/>
    <cellStyle name="Normal 3 3" xfId="107"/>
    <cellStyle name="Normal 3 4" xfId="113"/>
    <cellStyle name="Normal 3 5" xfId="109"/>
    <cellStyle name="Normal 3 6" xfId="100"/>
    <cellStyle name="Normal 4" xfId="58"/>
    <cellStyle name="Normal 5" xfId="103"/>
    <cellStyle name="Normal 6" xfId="104"/>
    <cellStyle name="Normal 7" xfId="110"/>
    <cellStyle name="Normal 8" xfId="112"/>
    <cellStyle name="Normal 9" xfId="57"/>
    <cellStyle name="Note" xfId="17" builtinId="10" customBuiltin="1"/>
    <cellStyle name="Note 2" xfId="46"/>
    <cellStyle name="Note 3" xfId="72"/>
    <cellStyle name="Output" xfId="12" builtinId="21" customBuiltin="1"/>
    <cellStyle name="Output 2" xfId="67"/>
    <cellStyle name="Percent" xfId="2" builtinId="5"/>
    <cellStyle name="Percent 2" xfId="48"/>
    <cellStyle name="Percent 2 2" xfId="56"/>
    <cellStyle name="Percent 2 2 2" xfId="106"/>
    <cellStyle name="Percent 2 3" xfId="108"/>
    <cellStyle name="Percent 2 4" xfId="114"/>
    <cellStyle name="Percent 2 5" xfId="111"/>
    <cellStyle name="Percent 2 6" xfId="101"/>
    <cellStyle name="Percent 3" xfId="102"/>
    <cellStyle name="Title" xfId="3" builtinId="15" customBuiltin="1"/>
    <cellStyle name="Total" xfId="19" builtinId="25" customBuiltin="1"/>
    <cellStyle name="Total 2" xfId="74"/>
    <cellStyle name="Warning Text" xfId="16" builtinId="11" customBuiltin="1"/>
    <cellStyle name="Warning Text 2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Master%20Data%20Program/SJC%20Service%20Area/Demographics/All%20Students/Unduplicated%20Headcount/edit/sort.ethnic.headcount.demographic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uccess.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ethnic graded seats"/>
      <sheetName val="non-credit graded seats"/>
      <sheetName val="Sheet3"/>
      <sheetName val="sort.ethnic.headcount"/>
    </sheetNames>
    <sheetDataSet>
      <sheetData sheetId="0">
        <row r="1">
          <cell r="A1" t="str">
            <v>Ethnic Groups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Ethnic Groups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White</v>
          </cell>
          <cell r="B4">
            <v>476</v>
          </cell>
          <cell r="C4">
            <v>2194</v>
          </cell>
          <cell r="D4">
            <v>2059</v>
          </cell>
          <cell r="E4">
            <v>531</v>
          </cell>
          <cell r="F4">
            <v>2150</v>
          </cell>
          <cell r="G4">
            <v>2359</v>
          </cell>
          <cell r="H4">
            <v>379</v>
          </cell>
          <cell r="I4">
            <v>2430</v>
          </cell>
          <cell r="J4">
            <v>2429</v>
          </cell>
          <cell r="K4">
            <v>232</v>
          </cell>
          <cell r="L4">
            <v>2114</v>
          </cell>
          <cell r="M4">
            <v>2039</v>
          </cell>
          <cell r="N4">
            <v>44</v>
          </cell>
          <cell r="O4">
            <v>1923</v>
          </cell>
          <cell r="P4">
            <v>1904</v>
          </cell>
        </row>
        <row r="5">
          <cell r="A5" t="str">
            <v>Hispanic</v>
          </cell>
          <cell r="B5">
            <v>456</v>
          </cell>
          <cell r="C5">
            <v>1703</v>
          </cell>
          <cell r="D5">
            <v>1685</v>
          </cell>
          <cell r="E5">
            <v>589</v>
          </cell>
          <cell r="F5">
            <v>1932</v>
          </cell>
          <cell r="G5">
            <v>2201</v>
          </cell>
          <cell r="H5">
            <v>448</v>
          </cell>
          <cell r="I5">
            <v>2378</v>
          </cell>
          <cell r="J5">
            <v>2373</v>
          </cell>
          <cell r="K5">
            <v>283</v>
          </cell>
          <cell r="L5">
            <v>2229</v>
          </cell>
          <cell r="M5">
            <v>2194</v>
          </cell>
          <cell r="N5">
            <v>46</v>
          </cell>
          <cell r="O5">
            <v>2235</v>
          </cell>
          <cell r="P5">
            <v>2414</v>
          </cell>
        </row>
        <row r="6">
          <cell r="A6" t="str">
            <v>African American</v>
          </cell>
          <cell r="B6">
            <v>160</v>
          </cell>
          <cell r="C6">
            <v>485</v>
          </cell>
          <cell r="D6">
            <v>469</v>
          </cell>
          <cell r="E6">
            <v>222</v>
          </cell>
          <cell r="F6">
            <v>546</v>
          </cell>
          <cell r="G6">
            <v>615</v>
          </cell>
          <cell r="H6">
            <v>183</v>
          </cell>
          <cell r="I6">
            <v>665</v>
          </cell>
          <cell r="J6">
            <v>686</v>
          </cell>
          <cell r="K6">
            <v>127</v>
          </cell>
          <cell r="L6">
            <v>503</v>
          </cell>
          <cell r="M6">
            <v>554</v>
          </cell>
          <cell r="N6">
            <v>73</v>
          </cell>
          <cell r="O6">
            <v>512</v>
          </cell>
          <cell r="P6">
            <v>545</v>
          </cell>
        </row>
        <row r="7">
          <cell r="A7" t="str">
            <v>Asian</v>
          </cell>
          <cell r="B7">
            <v>27</v>
          </cell>
          <cell r="C7">
            <v>104</v>
          </cell>
          <cell r="D7">
            <v>94</v>
          </cell>
          <cell r="E7">
            <v>35</v>
          </cell>
          <cell r="F7">
            <v>118</v>
          </cell>
          <cell r="G7">
            <v>135</v>
          </cell>
          <cell r="H7">
            <v>34</v>
          </cell>
          <cell r="I7">
            <v>131</v>
          </cell>
          <cell r="J7">
            <v>130</v>
          </cell>
          <cell r="K7">
            <v>16</v>
          </cell>
          <cell r="L7">
            <v>103</v>
          </cell>
          <cell r="M7">
            <v>102</v>
          </cell>
          <cell r="N7">
            <v>2</v>
          </cell>
          <cell r="O7">
            <v>97</v>
          </cell>
          <cell r="P7">
            <v>88</v>
          </cell>
        </row>
        <row r="8">
          <cell r="A8" t="str">
            <v>Native American</v>
          </cell>
          <cell r="B8">
            <v>18</v>
          </cell>
          <cell r="C8">
            <v>68</v>
          </cell>
          <cell r="D8">
            <v>76</v>
          </cell>
          <cell r="E8">
            <v>23</v>
          </cell>
          <cell r="F8">
            <v>99</v>
          </cell>
          <cell r="G8">
            <v>106</v>
          </cell>
          <cell r="H8">
            <v>16</v>
          </cell>
          <cell r="I8">
            <v>100</v>
          </cell>
          <cell r="J8">
            <v>92</v>
          </cell>
          <cell r="K8">
            <v>9</v>
          </cell>
          <cell r="L8">
            <v>74</v>
          </cell>
          <cell r="M8">
            <v>67</v>
          </cell>
          <cell r="N8">
            <v>3</v>
          </cell>
          <cell r="O8">
            <v>56</v>
          </cell>
          <cell r="P8">
            <v>42</v>
          </cell>
        </row>
        <row r="9">
          <cell r="A9" t="str">
            <v>Filipino</v>
          </cell>
          <cell r="B9">
            <v>37</v>
          </cell>
          <cell r="C9">
            <v>137</v>
          </cell>
          <cell r="D9">
            <v>114</v>
          </cell>
          <cell r="E9">
            <v>41</v>
          </cell>
          <cell r="F9">
            <v>128</v>
          </cell>
          <cell r="G9">
            <v>107</v>
          </cell>
          <cell r="H9">
            <v>25</v>
          </cell>
          <cell r="I9">
            <v>131</v>
          </cell>
          <cell r="J9">
            <v>135</v>
          </cell>
          <cell r="K9">
            <v>20</v>
          </cell>
          <cell r="L9">
            <v>125</v>
          </cell>
          <cell r="M9">
            <v>109</v>
          </cell>
          <cell r="N9">
            <v>1</v>
          </cell>
          <cell r="O9">
            <v>103</v>
          </cell>
          <cell r="P9">
            <v>89</v>
          </cell>
        </row>
        <row r="10">
          <cell r="A10" t="str">
            <v>Pacific Islander</v>
          </cell>
          <cell r="B10">
            <v>12</v>
          </cell>
          <cell r="C10">
            <v>25</v>
          </cell>
          <cell r="D10">
            <v>39</v>
          </cell>
          <cell r="E10">
            <v>16</v>
          </cell>
          <cell r="F10">
            <v>56</v>
          </cell>
          <cell r="G10">
            <v>60</v>
          </cell>
          <cell r="H10">
            <v>10</v>
          </cell>
          <cell r="I10">
            <v>55</v>
          </cell>
          <cell r="J10">
            <v>45</v>
          </cell>
          <cell r="K10">
            <v>9</v>
          </cell>
          <cell r="L10">
            <v>41</v>
          </cell>
          <cell r="M10">
            <v>33</v>
          </cell>
          <cell r="N10">
            <v>5</v>
          </cell>
          <cell r="O10">
            <v>29</v>
          </cell>
          <cell r="P10">
            <v>27</v>
          </cell>
        </row>
        <row r="11">
          <cell r="A11" t="str">
            <v>Multi-Race</v>
          </cell>
          <cell r="B11">
            <v>16</v>
          </cell>
          <cell r="C11">
            <v>80</v>
          </cell>
          <cell r="D11">
            <v>61</v>
          </cell>
          <cell r="E11">
            <v>32</v>
          </cell>
          <cell r="F11">
            <v>87</v>
          </cell>
          <cell r="G11">
            <v>100</v>
          </cell>
          <cell r="H11">
            <v>19</v>
          </cell>
          <cell r="I11">
            <v>123</v>
          </cell>
          <cell r="J11">
            <v>168</v>
          </cell>
          <cell r="K11">
            <v>29</v>
          </cell>
          <cell r="L11">
            <v>193</v>
          </cell>
          <cell r="M11">
            <v>182</v>
          </cell>
          <cell r="N11">
            <v>10</v>
          </cell>
          <cell r="O11">
            <v>213</v>
          </cell>
          <cell r="P11">
            <v>244</v>
          </cell>
        </row>
        <row r="12">
          <cell r="A12" t="str">
            <v>Unknown</v>
          </cell>
          <cell r="B12">
            <v>74</v>
          </cell>
          <cell r="C12">
            <v>356</v>
          </cell>
          <cell r="D12">
            <v>385</v>
          </cell>
          <cell r="E12">
            <v>121</v>
          </cell>
          <cell r="F12">
            <v>469</v>
          </cell>
          <cell r="G12">
            <v>488</v>
          </cell>
          <cell r="H12">
            <v>102</v>
          </cell>
          <cell r="I12">
            <v>551</v>
          </cell>
          <cell r="J12">
            <v>468</v>
          </cell>
          <cell r="K12">
            <v>61</v>
          </cell>
          <cell r="L12">
            <v>344</v>
          </cell>
          <cell r="M12">
            <v>302</v>
          </cell>
          <cell r="N12">
            <v>4</v>
          </cell>
          <cell r="O12">
            <v>226</v>
          </cell>
          <cell r="P12">
            <v>193</v>
          </cell>
        </row>
        <row r="13">
          <cell r="A13" t="str">
            <v>Term Total</v>
          </cell>
          <cell r="B13">
            <v>1276</v>
          </cell>
          <cell r="C13">
            <v>5152</v>
          </cell>
          <cell r="D13">
            <v>4982</v>
          </cell>
          <cell r="E13">
            <v>1610</v>
          </cell>
          <cell r="F13">
            <v>5585</v>
          </cell>
          <cell r="G13">
            <v>6171</v>
          </cell>
          <cell r="H13">
            <v>1216</v>
          </cell>
          <cell r="I13">
            <v>6564</v>
          </cell>
          <cell r="J13">
            <v>6526</v>
          </cell>
          <cell r="K13">
            <v>786</v>
          </cell>
          <cell r="L13">
            <v>5726</v>
          </cell>
          <cell r="M13">
            <v>5582</v>
          </cell>
          <cell r="N13">
            <v>188</v>
          </cell>
          <cell r="O13">
            <v>5394</v>
          </cell>
          <cell r="P13">
            <v>5546</v>
          </cell>
        </row>
      </sheetData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ccess rates"/>
      <sheetName val="graded seats"/>
      <sheetName val="success seats"/>
      <sheetName val="success.rate"/>
      <sheetName val="credit ethnic success seats"/>
    </sheetNames>
    <sheetDataSet>
      <sheetData sheetId="0">
        <row r="1">
          <cell r="A1" t="str">
            <v>Ethnic Groups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Ethnic Groups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White</v>
          </cell>
          <cell r="B4">
            <v>0.83176100628930816</v>
          </cell>
          <cell r="C4">
            <v>0.65805896277168063</v>
          </cell>
          <cell r="D4">
            <v>0.65116279069767447</v>
          </cell>
          <cell r="E4">
            <v>0.83427762039660058</v>
          </cell>
          <cell r="F4">
            <v>0.68162574089754446</v>
          </cell>
          <cell r="G4">
            <v>0.68108751736455642</v>
          </cell>
          <cell r="H4">
            <v>0.84166666666666667</v>
          </cell>
          <cell r="I4">
            <v>0.66974681204952868</v>
          </cell>
          <cell r="J4">
            <v>0.68123488934350007</v>
          </cell>
          <cell r="K4">
            <v>0.86734693877551017</v>
          </cell>
          <cell r="L4">
            <v>0.74743589743589745</v>
          </cell>
          <cell r="M4">
            <v>0.69906976744186045</v>
          </cell>
          <cell r="N4">
            <v>0.96969696969696972</v>
          </cell>
          <cell r="O4">
            <v>0.73929282868525892</v>
          </cell>
          <cell r="P4">
            <v>0.70597127739984877</v>
          </cell>
        </row>
        <row r="5">
          <cell r="A5" t="str">
            <v>Hispanic</v>
          </cell>
          <cell r="B5">
            <v>0.81683168316831678</v>
          </cell>
          <cell r="C5">
            <v>0.63362512873326471</v>
          </cell>
          <cell r="D5">
            <v>0.61921143159566028</v>
          </cell>
          <cell r="E5">
            <v>0.81795195954487987</v>
          </cell>
          <cell r="F5">
            <v>0.60894220283533262</v>
          </cell>
          <cell r="G5">
            <v>0.634603871482738</v>
          </cell>
          <cell r="H5">
            <v>0.79658119658119653</v>
          </cell>
          <cell r="I5">
            <v>0.63778834301813703</v>
          </cell>
          <cell r="J5">
            <v>0.61992753623188401</v>
          </cell>
          <cell r="K5">
            <v>0.80585106382978722</v>
          </cell>
          <cell r="L5">
            <v>0.69747405521832784</v>
          </cell>
          <cell r="M5">
            <v>0.6591468416735029</v>
          </cell>
          <cell r="N5">
            <v>0.94871794871794868</v>
          </cell>
          <cell r="O5">
            <v>0.70292542233209721</v>
          </cell>
          <cell r="P5">
            <v>0.67629094947251522</v>
          </cell>
        </row>
        <row r="6">
          <cell r="A6" t="str">
            <v>African American</v>
          </cell>
          <cell r="B6">
            <v>0.80575539568345322</v>
          </cell>
          <cell r="C6">
            <v>0.47906976744186047</v>
          </cell>
          <cell r="D6">
            <v>0.53484729835552081</v>
          </cell>
          <cell r="E6">
            <v>0.75572519083969469</v>
          </cell>
          <cell r="F6">
            <v>0.47770270270270271</v>
          </cell>
          <cell r="G6">
            <v>0.47701492537313434</v>
          </cell>
          <cell r="H6">
            <v>0.77743902439024393</v>
          </cell>
          <cell r="I6">
            <v>0.54707520891364902</v>
          </cell>
          <cell r="J6">
            <v>0.52065217391304353</v>
          </cell>
          <cell r="K6">
            <v>0.8540540540540541</v>
          </cell>
          <cell r="L6">
            <v>0.63084112149532712</v>
          </cell>
          <cell r="M6">
            <v>0.56871035940803383</v>
          </cell>
          <cell r="N6">
            <v>0.9642857142857143</v>
          </cell>
          <cell r="O6">
            <v>0.59188544152744627</v>
          </cell>
          <cell r="P6">
            <v>0.53709428129829984</v>
          </cell>
        </row>
        <row r="7">
          <cell r="A7" t="str">
            <v>Asian</v>
          </cell>
          <cell r="B7">
            <v>0.84375</v>
          </cell>
          <cell r="C7">
            <v>0.68055555555555558</v>
          </cell>
          <cell r="D7">
            <v>0.73184357541899436</v>
          </cell>
          <cell r="E7">
            <v>0.76744186046511631</v>
          </cell>
          <cell r="F7">
            <v>0.70270270270270274</v>
          </cell>
          <cell r="G7">
            <v>0.76838235294117652</v>
          </cell>
          <cell r="H7">
            <v>0.93023255813953487</v>
          </cell>
          <cell r="I7">
            <v>0.67142857142857137</v>
          </cell>
          <cell r="J7">
            <v>0.73664122137404575</v>
          </cell>
          <cell r="K7">
            <v>0.81818181818181823</v>
          </cell>
          <cell r="L7">
            <v>0.77727272727272723</v>
          </cell>
          <cell r="M7">
            <v>0.79439252336448596</v>
          </cell>
          <cell r="N7">
            <v>1</v>
          </cell>
          <cell r="O7">
            <v>0.75384615384615383</v>
          </cell>
          <cell r="P7">
            <v>0.79670329670329665</v>
          </cell>
        </row>
        <row r="8">
          <cell r="A8" t="str">
            <v>Native American</v>
          </cell>
          <cell r="B8">
            <v>0.625</v>
          </cell>
          <cell r="C8">
            <v>0.51948051948051943</v>
          </cell>
          <cell r="D8">
            <v>0.57062146892655363</v>
          </cell>
          <cell r="E8">
            <v>0.88888888888888884</v>
          </cell>
          <cell r="F8">
            <v>0.58974358974358976</v>
          </cell>
          <cell r="G8">
            <v>0.62995594713656389</v>
          </cell>
          <cell r="H8">
            <v>0.72222222222222221</v>
          </cell>
          <cell r="I8">
            <v>0.68161434977578472</v>
          </cell>
          <cell r="J8">
            <v>0.6333333333333333</v>
          </cell>
          <cell r="K8">
            <v>0.90909090909090906</v>
          </cell>
          <cell r="L8">
            <v>0.67222222222222228</v>
          </cell>
          <cell r="M8">
            <v>0.71165644171779141</v>
          </cell>
          <cell r="N8">
            <v>1</v>
          </cell>
          <cell r="O8">
            <v>0.69465648854961837</v>
          </cell>
          <cell r="P8">
            <v>0.68468468468468469</v>
          </cell>
        </row>
        <row r="9">
          <cell r="A9" t="str">
            <v>Filipino</v>
          </cell>
          <cell r="B9">
            <v>0.86956521739130432</v>
          </cell>
          <cell r="C9">
            <v>0.71268656716417911</v>
          </cell>
          <cell r="D9">
            <v>0.63318777292576423</v>
          </cell>
          <cell r="E9">
            <v>0.86274509803921573</v>
          </cell>
          <cell r="F9">
            <v>0.67600000000000005</v>
          </cell>
          <cell r="G9">
            <v>0.71232876712328763</v>
          </cell>
          <cell r="H9">
            <v>0.93548387096774188</v>
          </cell>
          <cell r="I9">
            <v>0.70342205323193918</v>
          </cell>
          <cell r="J9">
            <v>0.76727272727272722</v>
          </cell>
          <cell r="K9">
            <v>0.95652173913043481</v>
          </cell>
          <cell r="L9">
            <v>0.82799999999999996</v>
          </cell>
          <cell r="M9">
            <v>0.78222222222222226</v>
          </cell>
          <cell r="N9">
            <v>1</v>
          </cell>
          <cell r="O9">
            <v>0.8</v>
          </cell>
          <cell r="P9">
            <v>0.78494623655913975</v>
          </cell>
        </row>
        <row r="10">
          <cell r="A10" t="str">
            <v>Pacific Islander</v>
          </cell>
          <cell r="B10">
            <v>0.94117647058823528</v>
          </cell>
          <cell r="C10">
            <v>0.55405405405405406</v>
          </cell>
          <cell r="D10">
            <v>0.6097560975609756</v>
          </cell>
          <cell r="E10">
            <v>0.90566037735849059</v>
          </cell>
          <cell r="F10">
            <v>0.5901639344262295</v>
          </cell>
          <cell r="G10">
            <v>0.52298850574712641</v>
          </cell>
          <cell r="H10">
            <v>1</v>
          </cell>
          <cell r="I10">
            <v>0.55625000000000002</v>
          </cell>
          <cell r="J10">
            <v>0.63157894736842102</v>
          </cell>
          <cell r="K10">
            <v>0.8666666666666667</v>
          </cell>
          <cell r="L10">
            <v>0.68518518518518523</v>
          </cell>
          <cell r="M10">
            <v>0.57777777777777772</v>
          </cell>
          <cell r="N10">
            <v>1</v>
          </cell>
          <cell r="O10">
            <v>0.69230769230769229</v>
          </cell>
          <cell r="P10">
            <v>0.68852459016393441</v>
          </cell>
        </row>
        <row r="11">
          <cell r="A11" t="str">
            <v>Multi-Race</v>
          </cell>
          <cell r="B11">
            <v>0.75</v>
          </cell>
          <cell r="C11">
            <v>0.41578947368421054</v>
          </cell>
          <cell r="D11">
            <v>0.59740259740259738</v>
          </cell>
          <cell r="E11">
            <v>0.78688524590163933</v>
          </cell>
          <cell r="F11">
            <v>0.47619047619047616</v>
          </cell>
          <cell r="G11">
            <v>0.52336448598130836</v>
          </cell>
          <cell r="H11">
            <v>0.91176470588235292</v>
          </cell>
          <cell r="I11">
            <v>0.60493827160493829</v>
          </cell>
          <cell r="J11">
            <v>0.5736434108527132</v>
          </cell>
          <cell r="K11">
            <v>0.81818181818181823</v>
          </cell>
          <cell r="L11">
            <v>0.64516129032258063</v>
          </cell>
          <cell r="M11">
            <v>0.65756823821339949</v>
          </cell>
          <cell r="N11">
            <v>1</v>
          </cell>
          <cell r="O11">
            <v>0.64574898785425106</v>
          </cell>
          <cell r="P11">
            <v>0.60491493383742911</v>
          </cell>
        </row>
        <row r="12">
          <cell r="A12" t="str">
            <v>Unknown</v>
          </cell>
          <cell r="B12">
            <v>0.74257425742574257</v>
          </cell>
          <cell r="C12">
            <v>0.7048346055979644</v>
          </cell>
          <cell r="D12">
            <v>0.67447306791569084</v>
          </cell>
          <cell r="E12">
            <v>0.8306010928961749</v>
          </cell>
          <cell r="F12">
            <v>0.70250896057347667</v>
          </cell>
          <cell r="G12">
            <v>0.69500438212094651</v>
          </cell>
          <cell r="H12">
            <v>0.86524822695035464</v>
          </cell>
          <cell r="I12">
            <v>0.67438271604938271</v>
          </cell>
          <cell r="J12">
            <v>0.72151898734177211</v>
          </cell>
          <cell r="K12">
            <v>0.85542168674698793</v>
          </cell>
          <cell r="L12">
            <v>0.74817518248175185</v>
          </cell>
          <cell r="M12">
            <v>0.73099415204678364</v>
          </cell>
          <cell r="N12">
            <v>1</v>
          </cell>
          <cell r="O12">
            <v>0.74784482758620685</v>
          </cell>
          <cell r="P12">
            <v>0.73182957393483705</v>
          </cell>
        </row>
        <row r="13">
          <cell r="A13" t="str">
            <v>Term Total</v>
          </cell>
          <cell r="B13">
            <v>0.81575963718820865</v>
          </cell>
          <cell r="C13">
            <v>0.62811712572769141</v>
          </cell>
          <cell r="D13">
            <v>0.62688876752230116</v>
          </cell>
          <cell r="E13">
            <v>0.81542461005199307</v>
          </cell>
          <cell r="F13">
            <v>0.62878613603251288</v>
          </cell>
          <cell r="G13">
            <v>0.63806183796163751</v>
          </cell>
          <cell r="H13">
            <v>0.82121573301549466</v>
          </cell>
          <cell r="I13">
            <v>0.64234333484544104</v>
          </cell>
          <cell r="J13">
            <v>0.64090006618133688</v>
          </cell>
          <cell r="K13">
            <v>0.84165067178502884</v>
          </cell>
          <cell r="L13">
            <v>0.71364157432174247</v>
          </cell>
          <cell r="M13">
            <v>0.67124616130596415</v>
          </cell>
          <cell r="N13">
            <v>0.96666666666666667</v>
          </cell>
          <cell r="O13">
            <v>0.70517860194838489</v>
          </cell>
          <cell r="P13">
            <v>0.67347947914949724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tabSelected="1" zoomScaleNormal="100" workbookViewId="0">
      <selection activeCell="T17" sqref="T17"/>
    </sheetView>
  </sheetViews>
  <sheetFormatPr defaultRowHeight="15" x14ac:dyDescent="0.25"/>
  <cols>
    <col min="1" max="1" width="16.425781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7109375" bestFit="1" customWidth="1"/>
    <col min="15" max="15" width="7.5703125" bestFit="1" customWidth="1"/>
    <col min="16" max="16" width="6.5703125" bestFit="1" customWidth="1"/>
  </cols>
  <sheetData>
    <row r="1" spans="1:16" ht="15.75" x14ac:dyDescent="0.25">
      <c r="A1" s="53"/>
      <c r="B1" s="61" t="s">
        <v>35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3"/>
    </row>
    <row r="2" spans="1:16" ht="16.5" thickBot="1" x14ac:dyDescent="0.3">
      <c r="A2" s="54"/>
      <c r="B2" s="61" t="s">
        <v>40</v>
      </c>
      <c r="C2" s="62"/>
      <c r="D2" s="62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5"/>
    </row>
    <row r="3" spans="1:16" ht="15.75" thickBot="1" x14ac:dyDescent="0.3">
      <c r="A3" s="55"/>
      <c r="B3" s="49" t="s">
        <v>0</v>
      </c>
      <c r="C3" s="50"/>
      <c r="D3" s="51"/>
      <c r="E3" s="59" t="s">
        <v>1</v>
      </c>
      <c r="F3" s="57"/>
      <c r="G3" s="58"/>
      <c r="H3" s="52" t="s">
        <v>2</v>
      </c>
      <c r="I3" s="50"/>
      <c r="J3" s="60"/>
      <c r="K3" s="56" t="s">
        <v>3</v>
      </c>
      <c r="L3" s="57"/>
      <c r="M3" s="58"/>
      <c r="N3" s="52" t="s">
        <v>4</v>
      </c>
      <c r="O3" s="50"/>
      <c r="P3" s="51"/>
    </row>
    <row r="4" spans="1:16" ht="15.75" thickBot="1" x14ac:dyDescent="0.3">
      <c r="A4" s="2" t="s">
        <v>37</v>
      </c>
      <c r="B4" s="35" t="s">
        <v>6</v>
      </c>
      <c r="C4" s="36" t="s">
        <v>7</v>
      </c>
      <c r="D4" s="37" t="s">
        <v>8</v>
      </c>
      <c r="E4" s="38" t="s">
        <v>9</v>
      </c>
      <c r="F4" s="39" t="s">
        <v>10</v>
      </c>
      <c r="G4" s="40" t="s">
        <v>11</v>
      </c>
      <c r="H4" s="41" t="s">
        <v>12</v>
      </c>
      <c r="I4" s="36" t="s">
        <v>13</v>
      </c>
      <c r="J4" s="42" t="s">
        <v>14</v>
      </c>
      <c r="K4" s="43" t="s">
        <v>15</v>
      </c>
      <c r="L4" s="39" t="s">
        <v>16</v>
      </c>
      <c r="M4" s="40" t="s">
        <v>17</v>
      </c>
      <c r="N4" s="41" t="s">
        <v>18</v>
      </c>
      <c r="O4" s="36" t="s">
        <v>19</v>
      </c>
      <c r="P4" s="37" t="s">
        <v>20</v>
      </c>
    </row>
    <row r="5" spans="1:16" x14ac:dyDescent="0.25">
      <c r="A5" s="17" t="s">
        <v>21</v>
      </c>
      <c r="B5" s="21">
        <f>VLOOKUP($A5,'[1]credit ethnic graded seats'!$A:$P,HLOOKUP(B$4,'[1]credit ethnic graded seats'!$1:$2,2,FALSE),FALSE)</f>
        <v>476</v>
      </c>
      <c r="C5" s="20">
        <f>VLOOKUP($A5,'[1]credit ethnic graded seats'!$A:$P,HLOOKUP(C$4,'[1]credit ethnic graded seats'!$1:$2,2,FALSE),FALSE)</f>
        <v>2194</v>
      </c>
      <c r="D5" s="3">
        <f>VLOOKUP($A5,'[1]credit ethnic graded seats'!$A:$P,HLOOKUP(D$4,'[1]credit ethnic graded seats'!$1:$2,2,FALSE),FALSE)</f>
        <v>2059</v>
      </c>
      <c r="E5" s="21">
        <f>VLOOKUP($A5,'[1]credit ethnic graded seats'!$A:$P,HLOOKUP(E$4,'[1]credit ethnic graded seats'!$1:$2,2,FALSE),FALSE)</f>
        <v>531</v>
      </c>
      <c r="F5" s="20">
        <f>VLOOKUP($A5,'[1]credit ethnic graded seats'!$A:$P,HLOOKUP(F$4,'[1]credit ethnic graded seats'!$1:$2,2,FALSE),FALSE)</f>
        <v>2150</v>
      </c>
      <c r="G5" s="3">
        <f>VLOOKUP($A5,'[1]credit ethnic graded seats'!$A:$P,HLOOKUP(G$4,'[1]credit ethnic graded seats'!$1:$2,2,FALSE),FALSE)</f>
        <v>2359</v>
      </c>
      <c r="H5" s="21">
        <f>VLOOKUP($A5,'[1]credit ethnic graded seats'!$A:$P,HLOOKUP(H$4,'[1]credit ethnic graded seats'!$1:$2,2,FALSE),FALSE)</f>
        <v>379</v>
      </c>
      <c r="I5" s="20">
        <f>VLOOKUP($A5,'[1]credit ethnic graded seats'!$A:$P,HLOOKUP(I$4,'[1]credit ethnic graded seats'!$1:$2,2,FALSE),FALSE)</f>
        <v>2430</v>
      </c>
      <c r="J5" s="3">
        <f>VLOOKUP($A5,'[1]credit ethnic graded seats'!$A:$P,HLOOKUP(J$4,'[1]credit ethnic graded seats'!$1:$2,2,FALSE),FALSE)</f>
        <v>2429</v>
      </c>
      <c r="K5" s="21">
        <f>VLOOKUP($A5,'[1]credit ethnic graded seats'!$A:$P,HLOOKUP(K$4,'[1]credit ethnic graded seats'!$1:$2,2,FALSE),FALSE)</f>
        <v>232</v>
      </c>
      <c r="L5" s="20">
        <f>VLOOKUP($A5,'[1]credit ethnic graded seats'!$A:$P,HLOOKUP(L$4,'[1]credit ethnic graded seats'!$1:$2,2,FALSE),FALSE)</f>
        <v>2114</v>
      </c>
      <c r="M5" s="3">
        <f>VLOOKUP($A5,'[1]credit ethnic graded seats'!$A:$P,HLOOKUP(M$4,'[1]credit ethnic graded seats'!$1:$2,2,FALSE),FALSE)</f>
        <v>2039</v>
      </c>
      <c r="N5" s="21">
        <f>VLOOKUP($A5,'[1]credit ethnic graded seats'!$A:$P,HLOOKUP(N$4,'[1]credit ethnic graded seats'!$1:$2,2,FALSE),FALSE)</f>
        <v>44</v>
      </c>
      <c r="O5" s="21">
        <f>VLOOKUP($A5,'[1]credit ethnic graded seats'!$A:$P,HLOOKUP(O$4,'[1]credit ethnic graded seats'!$1:$2,2,FALSE),FALSE)</f>
        <v>1923</v>
      </c>
      <c r="P5" s="21">
        <f>VLOOKUP($A5,'[1]credit ethnic graded seats'!$A:$P,HLOOKUP(P$4,'[1]credit ethnic graded seats'!$1:$2,2,FALSE),FALSE)</f>
        <v>1904</v>
      </c>
    </row>
    <row r="6" spans="1:16" x14ac:dyDescent="0.25">
      <c r="A6" s="12" t="s">
        <v>22</v>
      </c>
      <c r="B6" s="21">
        <f>VLOOKUP($A6,'[1]credit ethnic graded seats'!$A:$P,HLOOKUP(B$4,'[1]credit ethnic graded seats'!$1:$2,2,FALSE),FALSE)</f>
        <v>456</v>
      </c>
      <c r="C6" s="20">
        <f>VLOOKUP($A6,'[1]credit ethnic graded seats'!$A:$P,HLOOKUP(C$4,'[1]credit ethnic graded seats'!$1:$2,2,FALSE),FALSE)</f>
        <v>1703</v>
      </c>
      <c r="D6" s="3">
        <f>VLOOKUP($A6,'[1]credit ethnic graded seats'!$A:$P,HLOOKUP(D$4,'[1]credit ethnic graded seats'!$1:$2,2,FALSE),FALSE)</f>
        <v>1685</v>
      </c>
      <c r="E6" s="21">
        <f>VLOOKUP($A6,'[1]credit ethnic graded seats'!$A:$P,HLOOKUP(E$4,'[1]credit ethnic graded seats'!$1:$2,2,FALSE),FALSE)</f>
        <v>589</v>
      </c>
      <c r="F6" s="20">
        <f>VLOOKUP($A6,'[1]credit ethnic graded seats'!$A:$P,HLOOKUP(F$4,'[1]credit ethnic graded seats'!$1:$2,2,FALSE),FALSE)</f>
        <v>1932</v>
      </c>
      <c r="G6" s="3">
        <f>VLOOKUP($A6,'[1]credit ethnic graded seats'!$A:$P,HLOOKUP(G$4,'[1]credit ethnic graded seats'!$1:$2,2,FALSE),FALSE)</f>
        <v>2201</v>
      </c>
      <c r="H6" s="21">
        <f>VLOOKUP($A6,'[1]credit ethnic graded seats'!$A:$P,HLOOKUP(H$4,'[1]credit ethnic graded seats'!$1:$2,2,FALSE),FALSE)</f>
        <v>448</v>
      </c>
      <c r="I6" s="20">
        <f>VLOOKUP($A6,'[1]credit ethnic graded seats'!$A:$P,HLOOKUP(I$4,'[1]credit ethnic graded seats'!$1:$2,2,FALSE),FALSE)</f>
        <v>2378</v>
      </c>
      <c r="J6" s="3">
        <f>VLOOKUP($A6,'[1]credit ethnic graded seats'!$A:$P,HLOOKUP(J$4,'[1]credit ethnic graded seats'!$1:$2,2,FALSE),FALSE)</f>
        <v>2373</v>
      </c>
      <c r="K6" s="21">
        <f>VLOOKUP($A6,'[1]credit ethnic graded seats'!$A:$P,HLOOKUP(K$4,'[1]credit ethnic graded seats'!$1:$2,2,FALSE),FALSE)</f>
        <v>283</v>
      </c>
      <c r="L6" s="20">
        <f>VLOOKUP($A6,'[1]credit ethnic graded seats'!$A:$P,HLOOKUP(L$4,'[1]credit ethnic graded seats'!$1:$2,2,FALSE),FALSE)</f>
        <v>2229</v>
      </c>
      <c r="M6" s="3">
        <f>VLOOKUP($A6,'[1]credit ethnic graded seats'!$A:$P,HLOOKUP(M$4,'[1]credit ethnic graded seats'!$1:$2,2,FALSE),FALSE)</f>
        <v>2194</v>
      </c>
      <c r="N6" s="21">
        <f>VLOOKUP($A6,'[1]credit ethnic graded seats'!$A:$P,HLOOKUP(N$4,'[1]credit ethnic graded seats'!$1:$2,2,FALSE),FALSE)</f>
        <v>46</v>
      </c>
      <c r="O6" s="21">
        <f>VLOOKUP($A6,'[1]credit ethnic graded seats'!$A:$P,HLOOKUP(O$4,'[1]credit ethnic graded seats'!$1:$2,2,FALSE),FALSE)</f>
        <v>2235</v>
      </c>
      <c r="P6" s="21">
        <f>VLOOKUP($A6,'[1]credit ethnic graded seats'!$A:$P,HLOOKUP(P$4,'[1]credit ethnic graded seats'!$1:$2,2,FALSE),FALSE)</f>
        <v>2414</v>
      </c>
    </row>
    <row r="7" spans="1:16" x14ac:dyDescent="0.25">
      <c r="A7" s="12" t="s">
        <v>23</v>
      </c>
      <c r="B7" s="21">
        <f>VLOOKUP($A7,'[1]credit ethnic graded seats'!$A:$P,HLOOKUP(B$4,'[1]credit ethnic graded seats'!$1:$2,2,FALSE),FALSE)</f>
        <v>160</v>
      </c>
      <c r="C7" s="20">
        <f>VLOOKUP($A7,'[1]credit ethnic graded seats'!$A:$P,HLOOKUP(C$4,'[1]credit ethnic graded seats'!$1:$2,2,FALSE),FALSE)</f>
        <v>485</v>
      </c>
      <c r="D7" s="3">
        <f>VLOOKUP($A7,'[1]credit ethnic graded seats'!$A:$P,HLOOKUP(D$4,'[1]credit ethnic graded seats'!$1:$2,2,FALSE),FALSE)</f>
        <v>469</v>
      </c>
      <c r="E7" s="21">
        <f>VLOOKUP($A7,'[1]credit ethnic graded seats'!$A:$P,HLOOKUP(E$4,'[1]credit ethnic graded seats'!$1:$2,2,FALSE),FALSE)</f>
        <v>222</v>
      </c>
      <c r="F7" s="20">
        <f>VLOOKUP($A7,'[1]credit ethnic graded seats'!$A:$P,HLOOKUP(F$4,'[1]credit ethnic graded seats'!$1:$2,2,FALSE),FALSE)</f>
        <v>546</v>
      </c>
      <c r="G7" s="3">
        <f>VLOOKUP($A7,'[1]credit ethnic graded seats'!$A:$P,HLOOKUP(G$4,'[1]credit ethnic graded seats'!$1:$2,2,FALSE),FALSE)</f>
        <v>615</v>
      </c>
      <c r="H7" s="21">
        <f>VLOOKUP($A7,'[1]credit ethnic graded seats'!$A:$P,HLOOKUP(H$4,'[1]credit ethnic graded seats'!$1:$2,2,FALSE),FALSE)</f>
        <v>183</v>
      </c>
      <c r="I7" s="20">
        <f>VLOOKUP($A7,'[1]credit ethnic graded seats'!$A:$P,HLOOKUP(I$4,'[1]credit ethnic graded seats'!$1:$2,2,FALSE),FALSE)</f>
        <v>665</v>
      </c>
      <c r="J7" s="3">
        <f>VLOOKUP($A7,'[1]credit ethnic graded seats'!$A:$P,HLOOKUP(J$4,'[1]credit ethnic graded seats'!$1:$2,2,FALSE),FALSE)</f>
        <v>686</v>
      </c>
      <c r="K7" s="21">
        <f>VLOOKUP($A7,'[1]credit ethnic graded seats'!$A:$P,HLOOKUP(K$4,'[1]credit ethnic graded seats'!$1:$2,2,FALSE),FALSE)</f>
        <v>127</v>
      </c>
      <c r="L7" s="20">
        <f>VLOOKUP($A7,'[1]credit ethnic graded seats'!$A:$P,HLOOKUP(L$4,'[1]credit ethnic graded seats'!$1:$2,2,FALSE),FALSE)</f>
        <v>503</v>
      </c>
      <c r="M7" s="3">
        <f>VLOOKUP($A7,'[1]credit ethnic graded seats'!$A:$P,HLOOKUP(M$4,'[1]credit ethnic graded seats'!$1:$2,2,FALSE),FALSE)</f>
        <v>554</v>
      </c>
      <c r="N7" s="21">
        <f>VLOOKUP($A7,'[1]credit ethnic graded seats'!$A:$P,HLOOKUP(N$4,'[1]credit ethnic graded seats'!$1:$2,2,FALSE),FALSE)</f>
        <v>73</v>
      </c>
      <c r="O7" s="21">
        <f>VLOOKUP($A7,'[1]credit ethnic graded seats'!$A:$P,HLOOKUP(O$4,'[1]credit ethnic graded seats'!$1:$2,2,FALSE),FALSE)</f>
        <v>512</v>
      </c>
      <c r="P7" s="21">
        <f>VLOOKUP($A7,'[1]credit ethnic graded seats'!$A:$P,HLOOKUP(P$4,'[1]credit ethnic graded seats'!$1:$2,2,FALSE),FALSE)</f>
        <v>545</v>
      </c>
    </row>
    <row r="8" spans="1:16" x14ac:dyDescent="0.25">
      <c r="A8" s="12" t="s">
        <v>24</v>
      </c>
      <c r="B8" s="21">
        <f>VLOOKUP($A8,'[1]credit ethnic graded seats'!$A:$P,HLOOKUP(B$4,'[1]credit ethnic graded seats'!$1:$2,2,FALSE),FALSE)</f>
        <v>27</v>
      </c>
      <c r="C8" s="20">
        <f>VLOOKUP($A8,'[1]credit ethnic graded seats'!$A:$P,HLOOKUP(C$4,'[1]credit ethnic graded seats'!$1:$2,2,FALSE),FALSE)</f>
        <v>104</v>
      </c>
      <c r="D8" s="3">
        <f>VLOOKUP($A8,'[1]credit ethnic graded seats'!$A:$P,HLOOKUP(D$4,'[1]credit ethnic graded seats'!$1:$2,2,FALSE),FALSE)</f>
        <v>94</v>
      </c>
      <c r="E8" s="21">
        <f>VLOOKUP($A8,'[1]credit ethnic graded seats'!$A:$P,HLOOKUP(E$4,'[1]credit ethnic graded seats'!$1:$2,2,FALSE),FALSE)</f>
        <v>35</v>
      </c>
      <c r="F8" s="20">
        <f>VLOOKUP($A8,'[1]credit ethnic graded seats'!$A:$P,HLOOKUP(F$4,'[1]credit ethnic graded seats'!$1:$2,2,FALSE),FALSE)</f>
        <v>118</v>
      </c>
      <c r="G8" s="3">
        <f>VLOOKUP($A8,'[1]credit ethnic graded seats'!$A:$P,HLOOKUP(G$4,'[1]credit ethnic graded seats'!$1:$2,2,FALSE),FALSE)</f>
        <v>135</v>
      </c>
      <c r="H8" s="21">
        <f>VLOOKUP($A8,'[1]credit ethnic graded seats'!$A:$P,HLOOKUP(H$4,'[1]credit ethnic graded seats'!$1:$2,2,FALSE),FALSE)</f>
        <v>34</v>
      </c>
      <c r="I8" s="20">
        <f>VLOOKUP($A8,'[1]credit ethnic graded seats'!$A:$P,HLOOKUP(I$4,'[1]credit ethnic graded seats'!$1:$2,2,FALSE),FALSE)</f>
        <v>131</v>
      </c>
      <c r="J8" s="3">
        <f>VLOOKUP($A8,'[1]credit ethnic graded seats'!$A:$P,HLOOKUP(J$4,'[1]credit ethnic graded seats'!$1:$2,2,FALSE),FALSE)</f>
        <v>130</v>
      </c>
      <c r="K8" s="21">
        <f>VLOOKUP($A8,'[1]credit ethnic graded seats'!$A:$P,HLOOKUP(K$4,'[1]credit ethnic graded seats'!$1:$2,2,FALSE),FALSE)</f>
        <v>16</v>
      </c>
      <c r="L8" s="20">
        <f>VLOOKUP($A8,'[1]credit ethnic graded seats'!$A:$P,HLOOKUP(L$4,'[1]credit ethnic graded seats'!$1:$2,2,FALSE),FALSE)</f>
        <v>103</v>
      </c>
      <c r="M8" s="3">
        <f>VLOOKUP($A8,'[1]credit ethnic graded seats'!$A:$P,HLOOKUP(M$4,'[1]credit ethnic graded seats'!$1:$2,2,FALSE),FALSE)</f>
        <v>102</v>
      </c>
      <c r="N8" s="21">
        <f>VLOOKUP($A8,'[1]credit ethnic graded seats'!$A:$P,HLOOKUP(N$4,'[1]credit ethnic graded seats'!$1:$2,2,FALSE),FALSE)</f>
        <v>2</v>
      </c>
      <c r="O8" s="21">
        <f>VLOOKUP($A8,'[1]credit ethnic graded seats'!$A:$P,HLOOKUP(O$4,'[1]credit ethnic graded seats'!$1:$2,2,FALSE),FALSE)</f>
        <v>97</v>
      </c>
      <c r="P8" s="21">
        <f>VLOOKUP($A8,'[1]credit ethnic graded seats'!$A:$P,HLOOKUP(P$4,'[1]credit ethnic graded seats'!$1:$2,2,FALSE),FALSE)</f>
        <v>88</v>
      </c>
    </row>
    <row r="9" spans="1:16" x14ac:dyDescent="0.25">
      <c r="A9" s="12" t="s">
        <v>25</v>
      </c>
      <c r="B9" s="21">
        <f>VLOOKUP($A9,'[1]credit ethnic graded seats'!$A:$P,HLOOKUP(B$4,'[1]credit ethnic graded seats'!$1:$2,2,FALSE),FALSE)</f>
        <v>18</v>
      </c>
      <c r="C9" s="20">
        <f>VLOOKUP($A9,'[1]credit ethnic graded seats'!$A:$P,HLOOKUP(C$4,'[1]credit ethnic graded seats'!$1:$2,2,FALSE),FALSE)</f>
        <v>68</v>
      </c>
      <c r="D9" s="3">
        <f>VLOOKUP($A9,'[1]credit ethnic graded seats'!$A:$P,HLOOKUP(D$4,'[1]credit ethnic graded seats'!$1:$2,2,FALSE),FALSE)</f>
        <v>76</v>
      </c>
      <c r="E9" s="21">
        <f>VLOOKUP($A9,'[1]credit ethnic graded seats'!$A:$P,HLOOKUP(E$4,'[1]credit ethnic graded seats'!$1:$2,2,FALSE),FALSE)</f>
        <v>23</v>
      </c>
      <c r="F9" s="20">
        <f>VLOOKUP($A9,'[1]credit ethnic graded seats'!$A:$P,HLOOKUP(F$4,'[1]credit ethnic graded seats'!$1:$2,2,FALSE),FALSE)</f>
        <v>99</v>
      </c>
      <c r="G9" s="3">
        <f>VLOOKUP($A9,'[1]credit ethnic graded seats'!$A:$P,HLOOKUP(G$4,'[1]credit ethnic graded seats'!$1:$2,2,FALSE),FALSE)</f>
        <v>106</v>
      </c>
      <c r="H9" s="21">
        <f>VLOOKUP($A9,'[1]credit ethnic graded seats'!$A:$P,HLOOKUP(H$4,'[1]credit ethnic graded seats'!$1:$2,2,FALSE),FALSE)</f>
        <v>16</v>
      </c>
      <c r="I9" s="20">
        <f>VLOOKUP($A9,'[1]credit ethnic graded seats'!$A:$P,HLOOKUP(I$4,'[1]credit ethnic graded seats'!$1:$2,2,FALSE),FALSE)</f>
        <v>100</v>
      </c>
      <c r="J9" s="3">
        <f>VLOOKUP($A9,'[1]credit ethnic graded seats'!$A:$P,HLOOKUP(J$4,'[1]credit ethnic graded seats'!$1:$2,2,FALSE),FALSE)</f>
        <v>92</v>
      </c>
      <c r="K9" s="21">
        <f>VLOOKUP($A9,'[1]credit ethnic graded seats'!$A:$P,HLOOKUP(K$4,'[1]credit ethnic graded seats'!$1:$2,2,FALSE),FALSE)</f>
        <v>9</v>
      </c>
      <c r="L9" s="20">
        <f>VLOOKUP($A9,'[1]credit ethnic graded seats'!$A:$P,HLOOKUP(L$4,'[1]credit ethnic graded seats'!$1:$2,2,FALSE),FALSE)</f>
        <v>74</v>
      </c>
      <c r="M9" s="3">
        <f>VLOOKUP($A9,'[1]credit ethnic graded seats'!$A:$P,HLOOKUP(M$4,'[1]credit ethnic graded seats'!$1:$2,2,FALSE),FALSE)</f>
        <v>67</v>
      </c>
      <c r="N9" s="21">
        <f>VLOOKUP($A9,'[1]credit ethnic graded seats'!$A:$P,HLOOKUP(N$4,'[1]credit ethnic graded seats'!$1:$2,2,FALSE),FALSE)</f>
        <v>3</v>
      </c>
      <c r="O9" s="21">
        <f>VLOOKUP($A9,'[1]credit ethnic graded seats'!$A:$P,HLOOKUP(O$4,'[1]credit ethnic graded seats'!$1:$2,2,FALSE),FALSE)</f>
        <v>56</v>
      </c>
      <c r="P9" s="21">
        <f>VLOOKUP($A9,'[1]credit ethnic graded seats'!$A:$P,HLOOKUP(P$4,'[1]credit ethnic graded seats'!$1:$2,2,FALSE),FALSE)</f>
        <v>42</v>
      </c>
    </row>
    <row r="10" spans="1:16" x14ac:dyDescent="0.25">
      <c r="A10" s="12" t="s">
        <v>26</v>
      </c>
      <c r="B10" s="21">
        <f>VLOOKUP($A10,'[1]credit ethnic graded seats'!$A:$P,HLOOKUP(B$4,'[1]credit ethnic graded seats'!$1:$2,2,FALSE),FALSE)</f>
        <v>37</v>
      </c>
      <c r="C10" s="20">
        <f>VLOOKUP($A10,'[1]credit ethnic graded seats'!$A:$P,HLOOKUP(C$4,'[1]credit ethnic graded seats'!$1:$2,2,FALSE),FALSE)</f>
        <v>137</v>
      </c>
      <c r="D10" s="3">
        <f>VLOOKUP($A10,'[1]credit ethnic graded seats'!$A:$P,HLOOKUP(D$4,'[1]credit ethnic graded seats'!$1:$2,2,FALSE),FALSE)</f>
        <v>114</v>
      </c>
      <c r="E10" s="21">
        <f>VLOOKUP($A10,'[1]credit ethnic graded seats'!$A:$P,HLOOKUP(E$4,'[1]credit ethnic graded seats'!$1:$2,2,FALSE),FALSE)</f>
        <v>41</v>
      </c>
      <c r="F10" s="20">
        <f>VLOOKUP($A10,'[1]credit ethnic graded seats'!$A:$P,HLOOKUP(F$4,'[1]credit ethnic graded seats'!$1:$2,2,FALSE),FALSE)</f>
        <v>128</v>
      </c>
      <c r="G10" s="3">
        <f>VLOOKUP($A10,'[1]credit ethnic graded seats'!$A:$P,HLOOKUP(G$4,'[1]credit ethnic graded seats'!$1:$2,2,FALSE),FALSE)</f>
        <v>107</v>
      </c>
      <c r="H10" s="21">
        <f>VLOOKUP($A10,'[1]credit ethnic graded seats'!$A:$P,HLOOKUP(H$4,'[1]credit ethnic graded seats'!$1:$2,2,FALSE),FALSE)</f>
        <v>25</v>
      </c>
      <c r="I10" s="20">
        <f>VLOOKUP($A10,'[1]credit ethnic graded seats'!$A:$P,HLOOKUP(I$4,'[1]credit ethnic graded seats'!$1:$2,2,FALSE),FALSE)</f>
        <v>131</v>
      </c>
      <c r="J10" s="3">
        <f>VLOOKUP($A10,'[1]credit ethnic graded seats'!$A:$P,HLOOKUP(J$4,'[1]credit ethnic graded seats'!$1:$2,2,FALSE),FALSE)</f>
        <v>135</v>
      </c>
      <c r="K10" s="21">
        <f>VLOOKUP($A10,'[1]credit ethnic graded seats'!$A:$P,HLOOKUP(K$4,'[1]credit ethnic graded seats'!$1:$2,2,FALSE),FALSE)</f>
        <v>20</v>
      </c>
      <c r="L10" s="20">
        <f>VLOOKUP($A10,'[1]credit ethnic graded seats'!$A:$P,HLOOKUP(L$4,'[1]credit ethnic graded seats'!$1:$2,2,FALSE),FALSE)</f>
        <v>125</v>
      </c>
      <c r="M10" s="3">
        <f>VLOOKUP($A10,'[1]credit ethnic graded seats'!$A:$P,HLOOKUP(M$4,'[1]credit ethnic graded seats'!$1:$2,2,FALSE),FALSE)</f>
        <v>109</v>
      </c>
      <c r="N10" s="21">
        <f>VLOOKUP($A10,'[1]credit ethnic graded seats'!$A:$P,HLOOKUP(N$4,'[1]credit ethnic graded seats'!$1:$2,2,FALSE),FALSE)</f>
        <v>1</v>
      </c>
      <c r="O10" s="21">
        <f>VLOOKUP($A10,'[1]credit ethnic graded seats'!$A:$P,HLOOKUP(O$4,'[1]credit ethnic graded seats'!$1:$2,2,FALSE),FALSE)</f>
        <v>103</v>
      </c>
      <c r="P10" s="21">
        <f>VLOOKUP($A10,'[1]credit ethnic graded seats'!$A:$P,HLOOKUP(P$4,'[1]credit ethnic graded seats'!$1:$2,2,FALSE),FALSE)</f>
        <v>89</v>
      </c>
    </row>
    <row r="11" spans="1:16" x14ac:dyDescent="0.25">
      <c r="A11" s="12" t="s">
        <v>27</v>
      </c>
      <c r="B11" s="21">
        <f>VLOOKUP($A11,'[1]credit ethnic graded seats'!$A:$P,HLOOKUP(B$4,'[1]credit ethnic graded seats'!$1:$2,2,FALSE),FALSE)</f>
        <v>12</v>
      </c>
      <c r="C11" s="20">
        <f>VLOOKUP($A11,'[1]credit ethnic graded seats'!$A:$P,HLOOKUP(C$4,'[1]credit ethnic graded seats'!$1:$2,2,FALSE),FALSE)</f>
        <v>25</v>
      </c>
      <c r="D11" s="3">
        <f>VLOOKUP($A11,'[1]credit ethnic graded seats'!$A:$P,HLOOKUP(D$4,'[1]credit ethnic graded seats'!$1:$2,2,FALSE),FALSE)</f>
        <v>39</v>
      </c>
      <c r="E11" s="21">
        <f>VLOOKUP($A11,'[1]credit ethnic graded seats'!$A:$P,HLOOKUP(E$4,'[1]credit ethnic graded seats'!$1:$2,2,FALSE),FALSE)</f>
        <v>16</v>
      </c>
      <c r="F11" s="20">
        <f>VLOOKUP($A11,'[1]credit ethnic graded seats'!$A:$P,HLOOKUP(F$4,'[1]credit ethnic graded seats'!$1:$2,2,FALSE),FALSE)</f>
        <v>56</v>
      </c>
      <c r="G11" s="3">
        <f>VLOOKUP($A11,'[1]credit ethnic graded seats'!$A:$P,HLOOKUP(G$4,'[1]credit ethnic graded seats'!$1:$2,2,FALSE),FALSE)</f>
        <v>60</v>
      </c>
      <c r="H11" s="21">
        <f>VLOOKUP($A11,'[1]credit ethnic graded seats'!$A:$P,HLOOKUP(H$4,'[1]credit ethnic graded seats'!$1:$2,2,FALSE),FALSE)</f>
        <v>10</v>
      </c>
      <c r="I11" s="20">
        <f>VLOOKUP($A11,'[1]credit ethnic graded seats'!$A:$P,HLOOKUP(I$4,'[1]credit ethnic graded seats'!$1:$2,2,FALSE),FALSE)</f>
        <v>55</v>
      </c>
      <c r="J11" s="3">
        <f>VLOOKUP($A11,'[1]credit ethnic graded seats'!$A:$P,HLOOKUP(J$4,'[1]credit ethnic graded seats'!$1:$2,2,FALSE),FALSE)</f>
        <v>45</v>
      </c>
      <c r="K11" s="21">
        <f>VLOOKUP($A11,'[1]credit ethnic graded seats'!$A:$P,HLOOKUP(K$4,'[1]credit ethnic graded seats'!$1:$2,2,FALSE),FALSE)</f>
        <v>9</v>
      </c>
      <c r="L11" s="20">
        <f>VLOOKUP($A11,'[1]credit ethnic graded seats'!$A:$P,HLOOKUP(L$4,'[1]credit ethnic graded seats'!$1:$2,2,FALSE),FALSE)</f>
        <v>41</v>
      </c>
      <c r="M11" s="3">
        <f>VLOOKUP($A11,'[1]credit ethnic graded seats'!$A:$P,HLOOKUP(M$4,'[1]credit ethnic graded seats'!$1:$2,2,FALSE),FALSE)</f>
        <v>33</v>
      </c>
      <c r="N11" s="21">
        <f>VLOOKUP($A11,'[1]credit ethnic graded seats'!$A:$P,HLOOKUP(N$4,'[1]credit ethnic graded seats'!$1:$2,2,FALSE),FALSE)</f>
        <v>5</v>
      </c>
      <c r="O11" s="21">
        <f>VLOOKUP($A11,'[1]credit ethnic graded seats'!$A:$P,HLOOKUP(O$4,'[1]credit ethnic graded seats'!$1:$2,2,FALSE),FALSE)</f>
        <v>29</v>
      </c>
      <c r="P11" s="21">
        <f>VLOOKUP($A11,'[1]credit ethnic graded seats'!$A:$P,HLOOKUP(P$4,'[1]credit ethnic graded seats'!$1:$2,2,FALSE),FALSE)</f>
        <v>27</v>
      </c>
    </row>
    <row r="12" spans="1:16" x14ac:dyDescent="0.25">
      <c r="A12" s="12" t="s">
        <v>28</v>
      </c>
      <c r="B12" s="21">
        <f>VLOOKUP($A12,'[1]credit ethnic graded seats'!$A:$P,HLOOKUP(B$4,'[1]credit ethnic graded seats'!$1:$2,2,FALSE),FALSE)</f>
        <v>16</v>
      </c>
      <c r="C12" s="20">
        <f>VLOOKUP($A12,'[1]credit ethnic graded seats'!$A:$P,HLOOKUP(C$4,'[1]credit ethnic graded seats'!$1:$2,2,FALSE),FALSE)</f>
        <v>80</v>
      </c>
      <c r="D12" s="3">
        <f>VLOOKUP($A12,'[1]credit ethnic graded seats'!$A:$P,HLOOKUP(D$4,'[1]credit ethnic graded seats'!$1:$2,2,FALSE),FALSE)</f>
        <v>61</v>
      </c>
      <c r="E12" s="21">
        <f>VLOOKUP($A12,'[1]credit ethnic graded seats'!$A:$P,HLOOKUP(E$4,'[1]credit ethnic graded seats'!$1:$2,2,FALSE),FALSE)</f>
        <v>32</v>
      </c>
      <c r="F12" s="20">
        <f>VLOOKUP($A12,'[1]credit ethnic graded seats'!$A:$P,HLOOKUP(F$4,'[1]credit ethnic graded seats'!$1:$2,2,FALSE),FALSE)</f>
        <v>87</v>
      </c>
      <c r="G12" s="3">
        <f>VLOOKUP($A12,'[1]credit ethnic graded seats'!$A:$P,HLOOKUP(G$4,'[1]credit ethnic graded seats'!$1:$2,2,FALSE),FALSE)</f>
        <v>100</v>
      </c>
      <c r="H12" s="21">
        <f>VLOOKUP($A12,'[1]credit ethnic graded seats'!$A:$P,HLOOKUP(H$4,'[1]credit ethnic graded seats'!$1:$2,2,FALSE),FALSE)</f>
        <v>19</v>
      </c>
      <c r="I12" s="20">
        <f>VLOOKUP($A12,'[1]credit ethnic graded seats'!$A:$P,HLOOKUP(I$4,'[1]credit ethnic graded seats'!$1:$2,2,FALSE),FALSE)</f>
        <v>123</v>
      </c>
      <c r="J12" s="3">
        <f>VLOOKUP($A12,'[1]credit ethnic graded seats'!$A:$P,HLOOKUP(J$4,'[1]credit ethnic graded seats'!$1:$2,2,FALSE),FALSE)</f>
        <v>168</v>
      </c>
      <c r="K12" s="21">
        <f>VLOOKUP($A12,'[1]credit ethnic graded seats'!$A:$P,HLOOKUP(K$4,'[1]credit ethnic graded seats'!$1:$2,2,FALSE),FALSE)</f>
        <v>29</v>
      </c>
      <c r="L12" s="20">
        <f>VLOOKUP($A12,'[1]credit ethnic graded seats'!$A:$P,HLOOKUP(L$4,'[1]credit ethnic graded seats'!$1:$2,2,FALSE),FALSE)</f>
        <v>193</v>
      </c>
      <c r="M12" s="3">
        <f>VLOOKUP($A12,'[1]credit ethnic graded seats'!$A:$P,HLOOKUP(M$4,'[1]credit ethnic graded seats'!$1:$2,2,FALSE),FALSE)</f>
        <v>182</v>
      </c>
      <c r="N12" s="21">
        <f>VLOOKUP($A12,'[1]credit ethnic graded seats'!$A:$P,HLOOKUP(N$4,'[1]credit ethnic graded seats'!$1:$2,2,FALSE),FALSE)</f>
        <v>10</v>
      </c>
      <c r="O12" s="21">
        <f>VLOOKUP($A12,'[1]credit ethnic graded seats'!$A:$P,HLOOKUP(O$4,'[1]credit ethnic graded seats'!$1:$2,2,FALSE),FALSE)</f>
        <v>213</v>
      </c>
      <c r="P12" s="21">
        <f>VLOOKUP($A12,'[1]credit ethnic graded seats'!$A:$P,HLOOKUP(P$4,'[1]credit ethnic graded seats'!$1:$2,2,FALSE),FALSE)</f>
        <v>244</v>
      </c>
    </row>
    <row r="13" spans="1:16" ht="15.75" thickBot="1" x14ac:dyDescent="0.3">
      <c r="A13" s="13" t="s">
        <v>29</v>
      </c>
      <c r="B13" s="21">
        <f>VLOOKUP($A13,'[1]credit ethnic graded seats'!$A:$P,HLOOKUP(B$4,'[1]credit ethnic graded seats'!$1:$2,2,FALSE),FALSE)</f>
        <v>74</v>
      </c>
      <c r="C13" s="20">
        <f>VLOOKUP($A13,'[1]credit ethnic graded seats'!$A:$P,HLOOKUP(C$4,'[1]credit ethnic graded seats'!$1:$2,2,FALSE),FALSE)</f>
        <v>356</v>
      </c>
      <c r="D13" s="3">
        <f>VLOOKUP($A13,'[1]credit ethnic graded seats'!$A:$P,HLOOKUP(D$4,'[1]credit ethnic graded seats'!$1:$2,2,FALSE),FALSE)</f>
        <v>385</v>
      </c>
      <c r="E13" s="21">
        <f>VLOOKUP($A13,'[1]credit ethnic graded seats'!$A:$P,HLOOKUP(E$4,'[1]credit ethnic graded seats'!$1:$2,2,FALSE),FALSE)</f>
        <v>121</v>
      </c>
      <c r="F13" s="20">
        <f>VLOOKUP($A13,'[1]credit ethnic graded seats'!$A:$P,HLOOKUP(F$4,'[1]credit ethnic graded seats'!$1:$2,2,FALSE),FALSE)</f>
        <v>469</v>
      </c>
      <c r="G13" s="3">
        <f>VLOOKUP($A13,'[1]credit ethnic graded seats'!$A:$P,HLOOKUP(G$4,'[1]credit ethnic graded seats'!$1:$2,2,FALSE),FALSE)</f>
        <v>488</v>
      </c>
      <c r="H13" s="21">
        <f>VLOOKUP($A13,'[1]credit ethnic graded seats'!$A:$P,HLOOKUP(H$4,'[1]credit ethnic graded seats'!$1:$2,2,FALSE),FALSE)</f>
        <v>102</v>
      </c>
      <c r="I13" s="20">
        <f>VLOOKUP($A13,'[1]credit ethnic graded seats'!$A:$P,HLOOKUP(I$4,'[1]credit ethnic graded seats'!$1:$2,2,FALSE),FALSE)</f>
        <v>551</v>
      </c>
      <c r="J13" s="3">
        <f>VLOOKUP($A13,'[1]credit ethnic graded seats'!$A:$P,HLOOKUP(J$4,'[1]credit ethnic graded seats'!$1:$2,2,FALSE),FALSE)</f>
        <v>468</v>
      </c>
      <c r="K13" s="21">
        <f>VLOOKUP($A13,'[1]credit ethnic graded seats'!$A:$P,HLOOKUP(K$4,'[1]credit ethnic graded seats'!$1:$2,2,FALSE),FALSE)</f>
        <v>61</v>
      </c>
      <c r="L13" s="20">
        <f>VLOOKUP($A13,'[1]credit ethnic graded seats'!$A:$P,HLOOKUP(L$4,'[1]credit ethnic graded seats'!$1:$2,2,FALSE),FALSE)</f>
        <v>344</v>
      </c>
      <c r="M13" s="3">
        <f>VLOOKUP($A13,'[1]credit ethnic graded seats'!$A:$P,HLOOKUP(M$4,'[1]credit ethnic graded seats'!$1:$2,2,FALSE),FALSE)</f>
        <v>302</v>
      </c>
      <c r="N13" s="21">
        <f>VLOOKUP($A13,'[1]credit ethnic graded seats'!$A:$P,HLOOKUP(N$4,'[1]credit ethnic graded seats'!$1:$2,2,FALSE),FALSE)</f>
        <v>4</v>
      </c>
      <c r="O13" s="21">
        <f>VLOOKUP($A13,'[1]credit ethnic graded seats'!$A:$P,HLOOKUP(O$4,'[1]credit ethnic graded seats'!$1:$2,2,FALSE),FALSE)</f>
        <v>226</v>
      </c>
      <c r="P13" s="21">
        <f>VLOOKUP($A13,'[1]credit ethnic graded seats'!$A:$P,HLOOKUP(P$4,'[1]credit ethnic graded seats'!$1:$2,2,FALSE),FALSE)</f>
        <v>193</v>
      </c>
    </row>
    <row r="14" spans="1:16" ht="15.75" thickBot="1" x14ac:dyDescent="0.3">
      <c r="A14" s="18" t="s">
        <v>30</v>
      </c>
      <c r="B14" s="46">
        <f>VLOOKUP($A14,'[1]credit ethnic graded seats'!$A:$P,HLOOKUP(B$4,'[1]credit ethnic graded seats'!$1:$2,2,FALSE),FALSE)</f>
        <v>1276</v>
      </c>
      <c r="C14" s="47">
        <f>VLOOKUP($A14,'[1]credit ethnic graded seats'!$A:$P,HLOOKUP(C$4,'[1]credit ethnic graded seats'!$1:$2,2,FALSE),FALSE)</f>
        <v>5152</v>
      </c>
      <c r="D14" s="48">
        <f>VLOOKUP($A14,'[1]credit ethnic graded seats'!$A:$P,HLOOKUP(D$4,'[1]credit ethnic graded seats'!$1:$2,2,FALSE),FALSE)</f>
        <v>4982</v>
      </c>
      <c r="E14" s="46">
        <f>VLOOKUP($A14,'[1]credit ethnic graded seats'!$A:$P,HLOOKUP(E$4,'[1]credit ethnic graded seats'!$1:$2,2,FALSE),FALSE)</f>
        <v>1610</v>
      </c>
      <c r="F14" s="47">
        <f>VLOOKUP($A14,'[1]credit ethnic graded seats'!$A:$P,HLOOKUP(F$4,'[1]credit ethnic graded seats'!$1:$2,2,FALSE),FALSE)</f>
        <v>5585</v>
      </c>
      <c r="G14" s="48">
        <f>VLOOKUP($A14,'[1]credit ethnic graded seats'!$A:$P,HLOOKUP(G$4,'[1]credit ethnic graded seats'!$1:$2,2,FALSE),FALSE)</f>
        <v>6171</v>
      </c>
      <c r="H14" s="46">
        <f>VLOOKUP($A14,'[1]credit ethnic graded seats'!$A:$P,HLOOKUP(H$4,'[1]credit ethnic graded seats'!$1:$2,2,FALSE),FALSE)</f>
        <v>1216</v>
      </c>
      <c r="I14" s="47">
        <f>VLOOKUP($A14,'[1]credit ethnic graded seats'!$A:$P,HLOOKUP(I$4,'[1]credit ethnic graded seats'!$1:$2,2,FALSE),FALSE)</f>
        <v>6564</v>
      </c>
      <c r="J14" s="48">
        <f>VLOOKUP($A14,'[1]credit ethnic graded seats'!$A:$P,HLOOKUP(J$4,'[1]credit ethnic graded seats'!$1:$2,2,FALSE),FALSE)</f>
        <v>6526</v>
      </c>
      <c r="K14" s="46">
        <f>VLOOKUP($A14,'[1]credit ethnic graded seats'!$A:$P,HLOOKUP(K$4,'[1]credit ethnic graded seats'!$1:$2,2,FALSE),FALSE)</f>
        <v>786</v>
      </c>
      <c r="L14" s="47">
        <f>VLOOKUP($A14,'[1]credit ethnic graded seats'!$A:$P,HLOOKUP(L$4,'[1]credit ethnic graded seats'!$1:$2,2,FALSE),FALSE)</f>
        <v>5726</v>
      </c>
      <c r="M14" s="48">
        <f>VLOOKUP($A14,'[1]credit ethnic graded seats'!$A:$P,HLOOKUP(M$4,'[1]credit ethnic graded seats'!$1:$2,2,FALSE),FALSE)</f>
        <v>5582</v>
      </c>
      <c r="N14" s="46">
        <f>VLOOKUP($A14,'[1]credit ethnic graded seats'!$A:$P,HLOOKUP(N$4,'[1]credit ethnic graded seats'!$1:$2,2,FALSE),FALSE)</f>
        <v>188</v>
      </c>
      <c r="O14" s="46">
        <f>VLOOKUP($A14,'[1]credit ethnic graded seats'!$A:$P,HLOOKUP(O$4,'[1]credit ethnic graded seats'!$1:$2,2,FALSE),FALSE)</f>
        <v>5394</v>
      </c>
      <c r="P14" s="46">
        <f>VLOOKUP($A14,'[1]credit ethnic graded seats'!$A:$P,HLOOKUP(P$4,'[1]credit ethnic graded seats'!$1:$2,2,FALSE),FALSE)</f>
        <v>5546</v>
      </c>
    </row>
    <row r="15" spans="1:16" ht="15.75" thickBot="1" x14ac:dyDescent="0.3">
      <c r="A15" s="19" t="s">
        <v>5</v>
      </c>
      <c r="B15" s="72">
        <v>7858</v>
      </c>
      <c r="C15" s="73"/>
      <c r="D15" s="74"/>
      <c r="E15" s="72">
        <v>9192</v>
      </c>
      <c r="F15" s="73"/>
      <c r="G15" s="73"/>
      <c r="H15" s="73">
        <v>9871</v>
      </c>
      <c r="I15" s="73"/>
      <c r="J15" s="75"/>
      <c r="K15" s="72">
        <v>8204</v>
      </c>
      <c r="L15" s="73"/>
      <c r="M15" s="75"/>
      <c r="N15" s="76"/>
      <c r="O15" s="73"/>
      <c r="P15" s="75"/>
    </row>
    <row r="16" spans="1:16" ht="15.75" thickBot="1" x14ac:dyDescent="0.3">
      <c r="A16" s="1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ht="15.75" x14ac:dyDescent="0.25">
      <c r="A17" s="66" t="s">
        <v>31</v>
      </c>
      <c r="B17" s="69" t="s">
        <v>32</v>
      </c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1"/>
    </row>
    <row r="18" spans="1:16" ht="16.5" thickBot="1" x14ac:dyDescent="0.3">
      <c r="A18" s="67"/>
      <c r="B18" s="61" t="s">
        <v>40</v>
      </c>
      <c r="C18" s="62"/>
      <c r="D18" s="62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5"/>
    </row>
    <row r="19" spans="1:16" ht="15.75" thickBot="1" x14ac:dyDescent="0.3">
      <c r="A19" s="68"/>
      <c r="B19" s="49" t="s">
        <v>0</v>
      </c>
      <c r="C19" s="50"/>
      <c r="D19" s="51"/>
      <c r="E19" s="59" t="s">
        <v>1</v>
      </c>
      <c r="F19" s="57"/>
      <c r="G19" s="58"/>
      <c r="H19" s="52" t="s">
        <v>2</v>
      </c>
      <c r="I19" s="50"/>
      <c r="J19" s="60"/>
      <c r="K19" s="56" t="s">
        <v>3</v>
      </c>
      <c r="L19" s="57"/>
      <c r="M19" s="58"/>
      <c r="N19" s="52" t="s">
        <v>4</v>
      </c>
      <c r="O19" s="50"/>
      <c r="P19" s="51"/>
    </row>
    <row r="20" spans="1:16" ht="15.75" thickBot="1" x14ac:dyDescent="0.3">
      <c r="A20" s="7" t="s">
        <v>38</v>
      </c>
      <c r="B20" s="35" t="s">
        <v>6</v>
      </c>
      <c r="C20" s="36" t="s">
        <v>7</v>
      </c>
      <c r="D20" s="37" t="s">
        <v>8</v>
      </c>
      <c r="E20" s="38" t="s">
        <v>9</v>
      </c>
      <c r="F20" s="39" t="s">
        <v>10</v>
      </c>
      <c r="G20" s="40" t="s">
        <v>11</v>
      </c>
      <c r="H20" s="41" t="s">
        <v>12</v>
      </c>
      <c r="I20" s="36" t="s">
        <v>13</v>
      </c>
      <c r="J20" s="42" t="s">
        <v>14</v>
      </c>
      <c r="K20" s="43" t="s">
        <v>15</v>
      </c>
      <c r="L20" s="39" t="s">
        <v>16</v>
      </c>
      <c r="M20" s="40" t="s">
        <v>17</v>
      </c>
      <c r="N20" s="41" t="s">
        <v>18</v>
      </c>
      <c r="O20" s="36" t="s">
        <v>19</v>
      </c>
      <c r="P20" s="37" t="s">
        <v>20</v>
      </c>
    </row>
    <row r="21" spans="1:16" x14ac:dyDescent="0.25">
      <c r="A21" s="11" t="s">
        <v>21</v>
      </c>
      <c r="B21" s="4">
        <f>B5/B$14</f>
        <v>0.37304075235109718</v>
      </c>
      <c r="C21" s="22">
        <f t="shared" ref="C21:N21" si="0">C5/C$14</f>
        <v>0.42585403726708076</v>
      </c>
      <c r="D21" s="29">
        <f t="shared" si="0"/>
        <v>0.41328783621035731</v>
      </c>
      <c r="E21" s="4">
        <f t="shared" si="0"/>
        <v>0.32981366459627331</v>
      </c>
      <c r="F21" s="22">
        <f t="shared" si="0"/>
        <v>0.38495971351835273</v>
      </c>
      <c r="G21" s="5">
        <f t="shared" si="0"/>
        <v>0.38227191703127533</v>
      </c>
      <c r="H21" s="32">
        <f t="shared" si="0"/>
        <v>0.31167763157894735</v>
      </c>
      <c r="I21" s="22">
        <f t="shared" si="0"/>
        <v>0.37020109689213893</v>
      </c>
      <c r="J21" s="29">
        <f t="shared" si="0"/>
        <v>0.37220349371743794</v>
      </c>
      <c r="K21" s="4">
        <f t="shared" si="0"/>
        <v>0.2951653944020356</v>
      </c>
      <c r="L21" s="22">
        <f t="shared" si="0"/>
        <v>0.36919315403422981</v>
      </c>
      <c r="M21" s="5">
        <f t="shared" si="0"/>
        <v>0.36528126119670368</v>
      </c>
      <c r="N21" s="32">
        <f t="shared" si="0"/>
        <v>0.23404255319148937</v>
      </c>
      <c r="O21" s="32">
        <f t="shared" ref="O21:P21" si="1">O5/O$14</f>
        <v>0.3565072302558398</v>
      </c>
      <c r="P21" s="32">
        <f t="shared" si="1"/>
        <v>0.3433104940497656</v>
      </c>
    </row>
    <row r="22" spans="1:16" x14ac:dyDescent="0.25">
      <c r="A22" s="12" t="s">
        <v>22</v>
      </c>
      <c r="B22" s="28">
        <f t="shared" ref="B22:N22" si="2">B6/B$14</f>
        <v>0.35736677115987459</v>
      </c>
      <c r="C22" s="23">
        <f t="shared" si="2"/>
        <v>0.33055124223602483</v>
      </c>
      <c r="D22" s="30">
        <f t="shared" si="2"/>
        <v>0.33821758329987955</v>
      </c>
      <c r="E22" s="28">
        <f t="shared" si="2"/>
        <v>0.3658385093167702</v>
      </c>
      <c r="F22" s="23">
        <f t="shared" si="2"/>
        <v>0.3459265890778872</v>
      </c>
      <c r="G22" s="6">
        <f t="shared" si="2"/>
        <v>0.35666828714957055</v>
      </c>
      <c r="H22" s="33">
        <f t="shared" si="2"/>
        <v>0.36842105263157893</v>
      </c>
      <c r="I22" s="23">
        <f t="shared" si="2"/>
        <v>0.36227909811090797</v>
      </c>
      <c r="J22" s="30">
        <f t="shared" si="2"/>
        <v>0.36362243334354888</v>
      </c>
      <c r="K22" s="28">
        <f t="shared" si="2"/>
        <v>0.36005089058524176</v>
      </c>
      <c r="L22" s="23">
        <f t="shared" si="2"/>
        <v>0.38927698218651763</v>
      </c>
      <c r="M22" s="6">
        <f t="shared" si="2"/>
        <v>0.39304908634897884</v>
      </c>
      <c r="N22" s="33">
        <f t="shared" si="2"/>
        <v>0.24468085106382978</v>
      </c>
      <c r="O22" s="33">
        <f t="shared" ref="O22:P22" si="3">O6/O$14</f>
        <v>0.41434927697441604</v>
      </c>
      <c r="P22" s="33">
        <f t="shared" si="3"/>
        <v>0.43526866209880993</v>
      </c>
    </row>
    <row r="23" spans="1:16" x14ac:dyDescent="0.25">
      <c r="A23" s="12" t="s">
        <v>23</v>
      </c>
      <c r="B23" s="28">
        <f t="shared" ref="B23:N23" si="4">B7/B$14</f>
        <v>0.12539184952978055</v>
      </c>
      <c r="C23" s="23">
        <f t="shared" si="4"/>
        <v>9.4138198757763969E-2</v>
      </c>
      <c r="D23" s="30">
        <f t="shared" si="4"/>
        <v>9.4138900040144524E-2</v>
      </c>
      <c r="E23" s="28">
        <f t="shared" si="4"/>
        <v>0.13788819875776398</v>
      </c>
      <c r="F23" s="23">
        <f t="shared" si="4"/>
        <v>9.7761862130707256E-2</v>
      </c>
      <c r="G23" s="6">
        <f t="shared" si="4"/>
        <v>9.9659698590179868E-2</v>
      </c>
      <c r="H23" s="33">
        <f t="shared" si="4"/>
        <v>0.15049342105263158</v>
      </c>
      <c r="I23" s="23">
        <f t="shared" si="4"/>
        <v>0.10131017672151127</v>
      </c>
      <c r="J23" s="30">
        <f t="shared" si="4"/>
        <v>0.10511798958014097</v>
      </c>
      <c r="K23" s="28">
        <f t="shared" si="4"/>
        <v>0.16157760814249364</v>
      </c>
      <c r="L23" s="23">
        <f t="shared" si="4"/>
        <v>8.7844917918267554E-2</v>
      </c>
      <c r="M23" s="6">
        <f t="shared" si="4"/>
        <v>9.9247581512002872E-2</v>
      </c>
      <c r="N23" s="33">
        <f t="shared" si="4"/>
        <v>0.38829787234042551</v>
      </c>
      <c r="O23" s="33">
        <f t="shared" ref="O23:P23" si="5">O7/O$14</f>
        <v>9.4920281794586572E-2</v>
      </c>
      <c r="P23" s="33">
        <f t="shared" si="5"/>
        <v>9.826902271907681E-2</v>
      </c>
    </row>
    <row r="24" spans="1:16" x14ac:dyDescent="0.25">
      <c r="A24" s="12" t="s">
        <v>24</v>
      </c>
      <c r="B24" s="28">
        <f t="shared" ref="B24:N24" si="6">B8/B$14</f>
        <v>2.115987460815047E-2</v>
      </c>
      <c r="C24" s="23">
        <f t="shared" si="6"/>
        <v>2.0186335403726708E-2</v>
      </c>
      <c r="D24" s="30">
        <f t="shared" si="6"/>
        <v>1.8867924528301886E-2</v>
      </c>
      <c r="E24" s="28">
        <f t="shared" si="6"/>
        <v>2.1739130434782608E-2</v>
      </c>
      <c r="F24" s="23">
        <f t="shared" si="6"/>
        <v>2.1128021486123544E-2</v>
      </c>
      <c r="G24" s="6">
        <f t="shared" si="6"/>
        <v>2.1876519202722412E-2</v>
      </c>
      <c r="H24" s="33">
        <f t="shared" si="6"/>
        <v>2.7960526315789474E-2</v>
      </c>
      <c r="I24" s="23">
        <f t="shared" si="6"/>
        <v>1.9957343083485679E-2</v>
      </c>
      <c r="J24" s="30">
        <f t="shared" si="6"/>
        <v>1.9920318725099601E-2</v>
      </c>
      <c r="K24" s="28">
        <f t="shared" si="6"/>
        <v>2.0356234096692113E-2</v>
      </c>
      <c r="L24" s="23">
        <f t="shared" si="6"/>
        <v>1.798812434509256E-2</v>
      </c>
      <c r="M24" s="6">
        <f t="shared" si="6"/>
        <v>1.8273020422787532E-2</v>
      </c>
      <c r="N24" s="33">
        <f t="shared" si="6"/>
        <v>1.0638297872340425E-2</v>
      </c>
      <c r="O24" s="33">
        <f t="shared" ref="O24:P24" si="7">O8/O$14</f>
        <v>1.7982944011865034E-2</v>
      </c>
      <c r="P24" s="33">
        <f t="shared" si="7"/>
        <v>1.5867291741795887E-2</v>
      </c>
    </row>
    <row r="25" spans="1:16" x14ac:dyDescent="0.25">
      <c r="A25" s="12" t="s">
        <v>25</v>
      </c>
      <c r="B25" s="28">
        <f t="shared" ref="B25:N25" si="8">B9/B$14</f>
        <v>1.4106583072100314E-2</v>
      </c>
      <c r="C25" s="23">
        <f t="shared" si="8"/>
        <v>1.3198757763975156E-2</v>
      </c>
      <c r="D25" s="30">
        <f t="shared" si="8"/>
        <v>1.5254917703733441E-2</v>
      </c>
      <c r="E25" s="28">
        <f t="shared" si="8"/>
        <v>1.4285714285714285E-2</v>
      </c>
      <c r="F25" s="23">
        <f t="shared" si="8"/>
        <v>1.7726051924798567E-2</v>
      </c>
      <c r="G25" s="6">
        <f t="shared" si="8"/>
        <v>1.7177118781396855E-2</v>
      </c>
      <c r="H25" s="33">
        <f t="shared" si="8"/>
        <v>1.3157894736842105E-2</v>
      </c>
      <c r="I25" s="23">
        <f t="shared" si="8"/>
        <v>1.5234613040828763E-2</v>
      </c>
      <c r="J25" s="30">
        <f t="shared" si="8"/>
        <v>1.4097456328532026E-2</v>
      </c>
      <c r="K25" s="28">
        <f t="shared" si="8"/>
        <v>1.1450381679389313E-2</v>
      </c>
      <c r="L25" s="23">
        <f t="shared" si="8"/>
        <v>1.2923506811037374E-2</v>
      </c>
      <c r="M25" s="6">
        <f t="shared" si="8"/>
        <v>1.2002866356144752E-2</v>
      </c>
      <c r="N25" s="33">
        <f t="shared" si="8"/>
        <v>1.5957446808510637E-2</v>
      </c>
      <c r="O25" s="33">
        <f t="shared" ref="O25:P25" si="9">O9/O$14</f>
        <v>1.0381905821282907E-2</v>
      </c>
      <c r="P25" s="33">
        <f t="shared" si="9"/>
        <v>7.5730256040389471E-3</v>
      </c>
    </row>
    <row r="26" spans="1:16" x14ac:dyDescent="0.25">
      <c r="A26" s="12" t="s">
        <v>26</v>
      </c>
      <c r="B26" s="28">
        <f t="shared" ref="B26:N26" si="10">B10/B$14</f>
        <v>2.8996865203761754E-2</v>
      </c>
      <c r="C26" s="23">
        <f t="shared" si="10"/>
        <v>2.65916149068323E-2</v>
      </c>
      <c r="D26" s="30">
        <f t="shared" si="10"/>
        <v>2.2882376555600159E-2</v>
      </c>
      <c r="E26" s="28">
        <f t="shared" si="10"/>
        <v>2.546583850931677E-2</v>
      </c>
      <c r="F26" s="23">
        <f t="shared" si="10"/>
        <v>2.2918531781557745E-2</v>
      </c>
      <c r="G26" s="6">
        <f t="shared" si="10"/>
        <v>1.7339167071787391E-2</v>
      </c>
      <c r="H26" s="33">
        <f t="shared" si="10"/>
        <v>2.0559210526315791E-2</v>
      </c>
      <c r="I26" s="23">
        <f t="shared" si="10"/>
        <v>1.9957343083485679E-2</v>
      </c>
      <c r="J26" s="30">
        <f t="shared" si="10"/>
        <v>2.0686484829911124E-2</v>
      </c>
      <c r="K26" s="28">
        <f t="shared" si="10"/>
        <v>2.5445292620865138E-2</v>
      </c>
      <c r="L26" s="23">
        <f t="shared" si="10"/>
        <v>2.1830247991617185E-2</v>
      </c>
      <c r="M26" s="6">
        <f t="shared" si="10"/>
        <v>1.9527051236116089E-2</v>
      </c>
      <c r="N26" s="33">
        <f t="shared" si="10"/>
        <v>5.3191489361702126E-3</v>
      </c>
      <c r="O26" s="33">
        <f t="shared" ref="O26:P26" si="11">O10/O$14</f>
        <v>1.9095291064145346E-2</v>
      </c>
      <c r="P26" s="33">
        <f t="shared" si="11"/>
        <v>1.6047601875225387E-2</v>
      </c>
    </row>
    <row r="27" spans="1:16" x14ac:dyDescent="0.25">
      <c r="A27" s="12" t="s">
        <v>27</v>
      </c>
      <c r="B27" s="28">
        <f t="shared" ref="B27:N27" si="12">B11/B$14</f>
        <v>9.4043887147335428E-3</v>
      </c>
      <c r="C27" s="23">
        <f t="shared" si="12"/>
        <v>4.8524844720496891E-3</v>
      </c>
      <c r="D27" s="30">
        <f t="shared" si="12"/>
        <v>7.8281814532316345E-3</v>
      </c>
      <c r="E27" s="28">
        <f t="shared" si="12"/>
        <v>9.9378881987577643E-3</v>
      </c>
      <c r="F27" s="23">
        <f t="shared" si="12"/>
        <v>1.0026857654431513E-2</v>
      </c>
      <c r="G27" s="6">
        <f t="shared" si="12"/>
        <v>9.7228974234321829E-3</v>
      </c>
      <c r="H27" s="33">
        <f t="shared" si="12"/>
        <v>8.2236842105263153E-3</v>
      </c>
      <c r="I27" s="23">
        <f t="shared" si="12"/>
        <v>8.3790371724558194E-3</v>
      </c>
      <c r="J27" s="30">
        <f t="shared" si="12"/>
        <v>6.895494943303708E-3</v>
      </c>
      <c r="K27" s="28">
        <f t="shared" si="12"/>
        <v>1.1450381679389313E-2</v>
      </c>
      <c r="L27" s="23">
        <f t="shared" si="12"/>
        <v>7.1603213412504366E-3</v>
      </c>
      <c r="M27" s="6">
        <f t="shared" si="12"/>
        <v>5.911859548548907E-3</v>
      </c>
      <c r="N27" s="33">
        <f t="shared" si="12"/>
        <v>2.6595744680851064E-2</v>
      </c>
      <c r="O27" s="33">
        <f t="shared" ref="O27:P27" si="13">O11/O$14</f>
        <v>5.3763440860215058E-3</v>
      </c>
      <c r="P27" s="33">
        <f t="shared" si="13"/>
        <v>4.8683736025964663E-3</v>
      </c>
    </row>
    <row r="28" spans="1:16" x14ac:dyDescent="0.25">
      <c r="A28" s="12" t="s">
        <v>28</v>
      </c>
      <c r="B28" s="28">
        <f t="shared" ref="B28:N28" si="14">B12/B$14</f>
        <v>1.2539184952978056E-2</v>
      </c>
      <c r="C28" s="23">
        <f t="shared" si="14"/>
        <v>1.5527950310559006E-2</v>
      </c>
      <c r="D28" s="30">
        <f t="shared" si="14"/>
        <v>1.2244078683259736E-2</v>
      </c>
      <c r="E28" s="28">
        <f t="shared" si="14"/>
        <v>1.9875776397515529E-2</v>
      </c>
      <c r="F28" s="23">
        <f t="shared" si="14"/>
        <v>1.5577439570277529E-2</v>
      </c>
      <c r="G28" s="6">
        <f t="shared" si="14"/>
        <v>1.6204829039053639E-2</v>
      </c>
      <c r="H28" s="33">
        <f t="shared" si="14"/>
        <v>1.5625E-2</v>
      </c>
      <c r="I28" s="23">
        <f t="shared" si="14"/>
        <v>1.8738574040219377E-2</v>
      </c>
      <c r="J28" s="30">
        <f t="shared" si="14"/>
        <v>2.5743181121667177E-2</v>
      </c>
      <c r="K28" s="28">
        <f t="shared" si="14"/>
        <v>3.689567430025445E-2</v>
      </c>
      <c r="L28" s="23">
        <f t="shared" si="14"/>
        <v>3.3705902899056936E-2</v>
      </c>
      <c r="M28" s="6">
        <f t="shared" si="14"/>
        <v>3.2604801146542454E-2</v>
      </c>
      <c r="N28" s="33">
        <f t="shared" si="14"/>
        <v>5.3191489361702128E-2</v>
      </c>
      <c r="O28" s="33">
        <f t="shared" ref="O28:P28" si="15">O12/O$14</f>
        <v>3.9488320355951054E-2</v>
      </c>
      <c r="P28" s="33">
        <f t="shared" si="15"/>
        <v>4.3995672556797691E-2</v>
      </c>
    </row>
    <row r="29" spans="1:16" ht="15.75" thickBot="1" x14ac:dyDescent="0.3">
      <c r="A29" s="13" t="s">
        <v>29</v>
      </c>
      <c r="B29" s="25">
        <f t="shared" ref="B29:N29" si="16">B13/B$14</f>
        <v>5.7993730407523508E-2</v>
      </c>
      <c r="C29" s="27">
        <f t="shared" si="16"/>
        <v>6.9099378881987583E-2</v>
      </c>
      <c r="D29" s="31">
        <f t="shared" si="16"/>
        <v>7.7278201525491766E-2</v>
      </c>
      <c r="E29" s="25">
        <f t="shared" si="16"/>
        <v>7.515527950310559E-2</v>
      </c>
      <c r="F29" s="27">
        <f t="shared" si="16"/>
        <v>8.3974932855863924E-2</v>
      </c>
      <c r="G29" s="24">
        <f t="shared" si="16"/>
        <v>7.9079565710581751E-2</v>
      </c>
      <c r="H29" s="34">
        <f t="shared" si="16"/>
        <v>8.3881578947368418E-2</v>
      </c>
      <c r="I29" s="27">
        <f t="shared" si="16"/>
        <v>8.3942717854966487E-2</v>
      </c>
      <c r="J29" s="31">
        <f t="shared" si="16"/>
        <v>7.1713147410358571E-2</v>
      </c>
      <c r="K29" s="25">
        <f t="shared" si="16"/>
        <v>7.7608142493638677E-2</v>
      </c>
      <c r="L29" s="27">
        <f t="shared" si="16"/>
        <v>6.0076842472930492E-2</v>
      </c>
      <c r="M29" s="24">
        <f t="shared" si="16"/>
        <v>5.4102472232174847E-2</v>
      </c>
      <c r="N29" s="34">
        <f t="shared" si="16"/>
        <v>2.1276595744680851E-2</v>
      </c>
      <c r="O29" s="34">
        <f t="shared" ref="O29:P29" si="17">O13/O$14</f>
        <v>4.1898405635891735E-2</v>
      </c>
      <c r="P29" s="34">
        <f t="shared" si="17"/>
        <v>3.4799855751893254E-2</v>
      </c>
    </row>
    <row r="30" spans="1:16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.75" x14ac:dyDescent="0.25">
      <c r="A31" s="66" t="s">
        <v>33</v>
      </c>
      <c r="B31" s="69" t="s">
        <v>33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1"/>
    </row>
    <row r="32" spans="1:16" ht="16.5" thickBot="1" x14ac:dyDescent="0.3">
      <c r="A32" s="67"/>
      <c r="B32" s="61" t="s">
        <v>40</v>
      </c>
      <c r="C32" s="62"/>
      <c r="D32" s="62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5"/>
    </row>
    <row r="33" spans="1:16" ht="15.75" thickBot="1" x14ac:dyDescent="0.3">
      <c r="A33" s="68"/>
      <c r="B33" s="49" t="s">
        <v>0</v>
      </c>
      <c r="C33" s="50"/>
      <c r="D33" s="51"/>
      <c r="E33" s="59" t="s">
        <v>1</v>
      </c>
      <c r="F33" s="57"/>
      <c r="G33" s="58"/>
      <c r="H33" s="52" t="s">
        <v>2</v>
      </c>
      <c r="I33" s="50"/>
      <c r="J33" s="60"/>
      <c r="K33" s="56" t="s">
        <v>3</v>
      </c>
      <c r="L33" s="57"/>
      <c r="M33" s="58"/>
      <c r="N33" s="52" t="s">
        <v>4</v>
      </c>
      <c r="O33" s="50"/>
      <c r="P33" s="51"/>
    </row>
    <row r="34" spans="1:16" ht="15.75" thickBot="1" x14ac:dyDescent="0.3">
      <c r="A34" s="2" t="s">
        <v>37</v>
      </c>
      <c r="B34" s="35" t="s">
        <v>6</v>
      </c>
      <c r="C34" s="36" t="s">
        <v>7</v>
      </c>
      <c r="D34" s="37" t="s">
        <v>8</v>
      </c>
      <c r="E34" s="38" t="s">
        <v>9</v>
      </c>
      <c r="F34" s="39" t="s">
        <v>10</v>
      </c>
      <c r="G34" s="40" t="s">
        <v>11</v>
      </c>
      <c r="H34" s="35" t="s">
        <v>12</v>
      </c>
      <c r="I34" s="36" t="s">
        <v>13</v>
      </c>
      <c r="J34" s="37" t="s">
        <v>14</v>
      </c>
      <c r="K34" s="43" t="s">
        <v>15</v>
      </c>
      <c r="L34" s="39" t="s">
        <v>16</v>
      </c>
      <c r="M34" s="40" t="s">
        <v>17</v>
      </c>
      <c r="N34" s="35" t="s">
        <v>18</v>
      </c>
      <c r="O34" s="36" t="s">
        <v>19</v>
      </c>
      <c r="P34" s="37" t="s">
        <v>20</v>
      </c>
    </row>
    <row r="35" spans="1:16" x14ac:dyDescent="0.25">
      <c r="A35" s="11" t="s">
        <v>21</v>
      </c>
      <c r="B35" s="15">
        <f>VLOOKUP($A35,'[2]success rates'!$A:$P,HLOOKUP(B$34,'[2]success rates'!$1:$2,2,FALSE),FALSE)</f>
        <v>0.83176100628930816</v>
      </c>
      <c r="C35" s="15">
        <f>VLOOKUP($A35,'[2]success rates'!$A:$P,HLOOKUP(C$34,'[2]success rates'!$1:$2,2,FALSE),FALSE)</f>
        <v>0.65805896277168063</v>
      </c>
      <c r="D35" s="15">
        <f>VLOOKUP($A35,'[2]success rates'!$A:$P,HLOOKUP(D$34,'[2]success rates'!$1:$2,2,FALSE),FALSE)</f>
        <v>0.65116279069767447</v>
      </c>
      <c r="E35" s="15">
        <f>VLOOKUP($A35,'[2]success rates'!$A:$P,HLOOKUP(E$34,'[2]success rates'!$1:$2,2,FALSE),FALSE)</f>
        <v>0.83427762039660058</v>
      </c>
      <c r="F35" s="15">
        <f>VLOOKUP($A35,'[2]success rates'!$A:$P,HLOOKUP(F$34,'[2]success rates'!$1:$2,2,FALSE),FALSE)</f>
        <v>0.68162574089754446</v>
      </c>
      <c r="G35" s="15">
        <f>VLOOKUP($A35,'[2]success rates'!$A:$P,HLOOKUP(G$34,'[2]success rates'!$1:$2,2,FALSE),FALSE)</f>
        <v>0.68108751736455642</v>
      </c>
      <c r="H35" s="15">
        <f>VLOOKUP($A35,'[2]success rates'!$A:$P,HLOOKUP(H$34,'[2]success rates'!$1:$2,2,FALSE),FALSE)</f>
        <v>0.84166666666666667</v>
      </c>
      <c r="I35" s="15">
        <f>VLOOKUP($A35,'[2]success rates'!$A:$P,HLOOKUP(I$34,'[2]success rates'!$1:$2,2,FALSE),FALSE)</f>
        <v>0.66974681204952868</v>
      </c>
      <c r="J35" s="15">
        <f>VLOOKUP($A35,'[2]success rates'!$A:$P,HLOOKUP(J$34,'[2]success rates'!$1:$2,2,FALSE),FALSE)</f>
        <v>0.68123488934350007</v>
      </c>
      <c r="K35" s="15">
        <f>VLOOKUP($A35,'[2]success rates'!$A:$P,HLOOKUP(K$34,'[2]success rates'!$1:$2,2,FALSE),FALSE)</f>
        <v>0.86734693877551017</v>
      </c>
      <c r="L35" s="15">
        <f>VLOOKUP($A35,'[2]success rates'!$A:$P,HLOOKUP(L$34,'[2]success rates'!$1:$2,2,FALSE),FALSE)</f>
        <v>0.74743589743589745</v>
      </c>
      <c r="M35" s="15">
        <f>VLOOKUP($A35,'[2]success rates'!$A:$P,HLOOKUP(M$34,'[2]success rates'!$1:$2,2,FALSE),FALSE)</f>
        <v>0.69906976744186045</v>
      </c>
      <c r="N35" s="15">
        <f>VLOOKUP($A35,'[2]success rates'!$A:$P,HLOOKUP(N$34,'[2]success rates'!$1:$2,2,FALSE),FALSE)</f>
        <v>0.96969696969696972</v>
      </c>
      <c r="O35" s="15">
        <f>VLOOKUP($A35,'[2]success rates'!$A:$P,HLOOKUP(O$34,'[2]success rates'!$1:$2,2,FALSE),FALSE)</f>
        <v>0.73929282868525892</v>
      </c>
      <c r="P35" s="15">
        <f>VLOOKUP($A35,'[2]success rates'!$A:$P,HLOOKUP(P$34,'[2]success rates'!$1:$2,2,FALSE),FALSE)</f>
        <v>0.70597127739984877</v>
      </c>
    </row>
    <row r="36" spans="1:16" x14ac:dyDescent="0.25">
      <c r="A36" s="12" t="s">
        <v>22</v>
      </c>
      <c r="B36" s="15">
        <f>VLOOKUP($A36,'[2]success rates'!$A:$P,HLOOKUP(B$34,'[2]success rates'!$1:$2,2,FALSE),FALSE)</f>
        <v>0.81683168316831678</v>
      </c>
      <c r="C36" s="15">
        <f>VLOOKUP($A36,'[2]success rates'!$A:$P,HLOOKUP(C$34,'[2]success rates'!$1:$2,2,FALSE),FALSE)</f>
        <v>0.63362512873326471</v>
      </c>
      <c r="D36" s="15">
        <f>VLOOKUP($A36,'[2]success rates'!$A:$P,HLOOKUP(D$34,'[2]success rates'!$1:$2,2,FALSE),FALSE)</f>
        <v>0.61921143159566028</v>
      </c>
      <c r="E36" s="15">
        <f>VLOOKUP($A36,'[2]success rates'!$A:$P,HLOOKUP(E$34,'[2]success rates'!$1:$2,2,FALSE),FALSE)</f>
        <v>0.81795195954487987</v>
      </c>
      <c r="F36" s="15">
        <f>VLOOKUP($A36,'[2]success rates'!$A:$P,HLOOKUP(F$34,'[2]success rates'!$1:$2,2,FALSE),FALSE)</f>
        <v>0.60894220283533262</v>
      </c>
      <c r="G36" s="15">
        <f>VLOOKUP($A36,'[2]success rates'!$A:$P,HLOOKUP(G$34,'[2]success rates'!$1:$2,2,FALSE),FALSE)</f>
        <v>0.634603871482738</v>
      </c>
      <c r="H36" s="15">
        <f>VLOOKUP($A36,'[2]success rates'!$A:$P,HLOOKUP(H$34,'[2]success rates'!$1:$2,2,FALSE),FALSE)</f>
        <v>0.79658119658119653</v>
      </c>
      <c r="I36" s="15">
        <f>VLOOKUP($A36,'[2]success rates'!$A:$P,HLOOKUP(I$34,'[2]success rates'!$1:$2,2,FALSE),FALSE)</f>
        <v>0.63778834301813703</v>
      </c>
      <c r="J36" s="15">
        <f>VLOOKUP($A36,'[2]success rates'!$A:$P,HLOOKUP(J$34,'[2]success rates'!$1:$2,2,FALSE),FALSE)</f>
        <v>0.61992753623188401</v>
      </c>
      <c r="K36" s="15">
        <f>VLOOKUP($A36,'[2]success rates'!$A:$P,HLOOKUP(K$34,'[2]success rates'!$1:$2,2,FALSE),FALSE)</f>
        <v>0.80585106382978722</v>
      </c>
      <c r="L36" s="15">
        <f>VLOOKUP($A36,'[2]success rates'!$A:$P,HLOOKUP(L$34,'[2]success rates'!$1:$2,2,FALSE),FALSE)</f>
        <v>0.69747405521832784</v>
      </c>
      <c r="M36" s="15">
        <f>VLOOKUP($A36,'[2]success rates'!$A:$P,HLOOKUP(M$34,'[2]success rates'!$1:$2,2,FALSE),FALSE)</f>
        <v>0.6591468416735029</v>
      </c>
      <c r="N36" s="15">
        <f>VLOOKUP($A36,'[2]success rates'!$A:$P,HLOOKUP(N$34,'[2]success rates'!$1:$2,2,FALSE),FALSE)</f>
        <v>0.94871794871794868</v>
      </c>
      <c r="O36" s="15">
        <f>VLOOKUP($A36,'[2]success rates'!$A:$P,HLOOKUP(O$34,'[2]success rates'!$1:$2,2,FALSE),FALSE)</f>
        <v>0.70292542233209721</v>
      </c>
      <c r="P36" s="15">
        <f>VLOOKUP($A36,'[2]success rates'!$A:$P,HLOOKUP(P$34,'[2]success rates'!$1:$2,2,FALSE),FALSE)</f>
        <v>0.67629094947251522</v>
      </c>
    </row>
    <row r="37" spans="1:16" x14ac:dyDescent="0.25">
      <c r="A37" s="12" t="s">
        <v>23</v>
      </c>
      <c r="B37" s="15">
        <f>VLOOKUP($A37,'[2]success rates'!$A:$P,HLOOKUP(B$34,'[2]success rates'!$1:$2,2,FALSE),FALSE)</f>
        <v>0.80575539568345322</v>
      </c>
      <c r="C37" s="15">
        <f>VLOOKUP($A37,'[2]success rates'!$A:$P,HLOOKUP(C$34,'[2]success rates'!$1:$2,2,FALSE),FALSE)</f>
        <v>0.47906976744186047</v>
      </c>
      <c r="D37" s="15">
        <f>VLOOKUP($A37,'[2]success rates'!$A:$P,HLOOKUP(D$34,'[2]success rates'!$1:$2,2,FALSE),FALSE)</f>
        <v>0.53484729835552081</v>
      </c>
      <c r="E37" s="15">
        <f>VLOOKUP($A37,'[2]success rates'!$A:$P,HLOOKUP(E$34,'[2]success rates'!$1:$2,2,FALSE),FALSE)</f>
        <v>0.75572519083969469</v>
      </c>
      <c r="F37" s="15">
        <f>VLOOKUP($A37,'[2]success rates'!$A:$P,HLOOKUP(F$34,'[2]success rates'!$1:$2,2,FALSE),FALSE)</f>
        <v>0.47770270270270271</v>
      </c>
      <c r="G37" s="15">
        <f>VLOOKUP($A37,'[2]success rates'!$A:$P,HLOOKUP(G$34,'[2]success rates'!$1:$2,2,FALSE),FALSE)</f>
        <v>0.47701492537313434</v>
      </c>
      <c r="H37" s="15">
        <f>VLOOKUP($A37,'[2]success rates'!$A:$P,HLOOKUP(H$34,'[2]success rates'!$1:$2,2,FALSE),FALSE)</f>
        <v>0.77743902439024393</v>
      </c>
      <c r="I37" s="15">
        <f>VLOOKUP($A37,'[2]success rates'!$A:$P,HLOOKUP(I$34,'[2]success rates'!$1:$2,2,FALSE),FALSE)</f>
        <v>0.54707520891364902</v>
      </c>
      <c r="J37" s="15">
        <f>VLOOKUP($A37,'[2]success rates'!$A:$P,HLOOKUP(J$34,'[2]success rates'!$1:$2,2,FALSE),FALSE)</f>
        <v>0.52065217391304353</v>
      </c>
      <c r="K37" s="15">
        <f>VLOOKUP($A37,'[2]success rates'!$A:$P,HLOOKUP(K$34,'[2]success rates'!$1:$2,2,FALSE),FALSE)</f>
        <v>0.8540540540540541</v>
      </c>
      <c r="L37" s="15">
        <f>VLOOKUP($A37,'[2]success rates'!$A:$P,HLOOKUP(L$34,'[2]success rates'!$1:$2,2,FALSE),FALSE)</f>
        <v>0.63084112149532712</v>
      </c>
      <c r="M37" s="15">
        <f>VLOOKUP($A37,'[2]success rates'!$A:$P,HLOOKUP(M$34,'[2]success rates'!$1:$2,2,FALSE),FALSE)</f>
        <v>0.56871035940803383</v>
      </c>
      <c r="N37" s="15">
        <f>VLOOKUP($A37,'[2]success rates'!$A:$P,HLOOKUP(N$34,'[2]success rates'!$1:$2,2,FALSE),FALSE)</f>
        <v>0.9642857142857143</v>
      </c>
      <c r="O37" s="15">
        <f>VLOOKUP($A37,'[2]success rates'!$A:$P,HLOOKUP(O$34,'[2]success rates'!$1:$2,2,FALSE),FALSE)</f>
        <v>0.59188544152744627</v>
      </c>
      <c r="P37" s="15">
        <f>VLOOKUP($A37,'[2]success rates'!$A:$P,HLOOKUP(P$34,'[2]success rates'!$1:$2,2,FALSE),FALSE)</f>
        <v>0.53709428129829984</v>
      </c>
    </row>
    <row r="38" spans="1:16" x14ac:dyDescent="0.25">
      <c r="A38" s="12" t="s">
        <v>24</v>
      </c>
      <c r="B38" s="15">
        <f>VLOOKUP($A38,'[2]success rates'!$A:$P,HLOOKUP(B$34,'[2]success rates'!$1:$2,2,FALSE),FALSE)</f>
        <v>0.84375</v>
      </c>
      <c r="C38" s="15">
        <f>VLOOKUP($A38,'[2]success rates'!$A:$P,HLOOKUP(C$34,'[2]success rates'!$1:$2,2,FALSE),FALSE)</f>
        <v>0.68055555555555558</v>
      </c>
      <c r="D38" s="15">
        <f>VLOOKUP($A38,'[2]success rates'!$A:$P,HLOOKUP(D$34,'[2]success rates'!$1:$2,2,FALSE),FALSE)</f>
        <v>0.73184357541899436</v>
      </c>
      <c r="E38" s="15">
        <f>VLOOKUP($A38,'[2]success rates'!$A:$P,HLOOKUP(E$34,'[2]success rates'!$1:$2,2,FALSE),FALSE)</f>
        <v>0.76744186046511631</v>
      </c>
      <c r="F38" s="15">
        <f>VLOOKUP($A38,'[2]success rates'!$A:$P,HLOOKUP(F$34,'[2]success rates'!$1:$2,2,FALSE),FALSE)</f>
        <v>0.70270270270270274</v>
      </c>
      <c r="G38" s="15">
        <f>VLOOKUP($A38,'[2]success rates'!$A:$P,HLOOKUP(G$34,'[2]success rates'!$1:$2,2,FALSE),FALSE)</f>
        <v>0.76838235294117652</v>
      </c>
      <c r="H38" s="15">
        <f>VLOOKUP($A38,'[2]success rates'!$A:$P,HLOOKUP(H$34,'[2]success rates'!$1:$2,2,FALSE),FALSE)</f>
        <v>0.93023255813953487</v>
      </c>
      <c r="I38" s="15">
        <f>VLOOKUP($A38,'[2]success rates'!$A:$P,HLOOKUP(I$34,'[2]success rates'!$1:$2,2,FALSE),FALSE)</f>
        <v>0.67142857142857137</v>
      </c>
      <c r="J38" s="15">
        <f>VLOOKUP($A38,'[2]success rates'!$A:$P,HLOOKUP(J$34,'[2]success rates'!$1:$2,2,FALSE),FALSE)</f>
        <v>0.73664122137404575</v>
      </c>
      <c r="K38" s="15">
        <f>VLOOKUP($A38,'[2]success rates'!$A:$P,HLOOKUP(K$34,'[2]success rates'!$1:$2,2,FALSE),FALSE)</f>
        <v>0.81818181818181823</v>
      </c>
      <c r="L38" s="15">
        <f>VLOOKUP($A38,'[2]success rates'!$A:$P,HLOOKUP(L$34,'[2]success rates'!$1:$2,2,FALSE),FALSE)</f>
        <v>0.77727272727272723</v>
      </c>
      <c r="M38" s="15">
        <f>VLOOKUP($A38,'[2]success rates'!$A:$P,HLOOKUP(M$34,'[2]success rates'!$1:$2,2,FALSE),FALSE)</f>
        <v>0.79439252336448596</v>
      </c>
      <c r="N38" s="15">
        <f>VLOOKUP($A38,'[2]success rates'!$A:$P,HLOOKUP(N$34,'[2]success rates'!$1:$2,2,FALSE),FALSE)</f>
        <v>1</v>
      </c>
      <c r="O38" s="15">
        <f>VLOOKUP($A38,'[2]success rates'!$A:$P,HLOOKUP(O$34,'[2]success rates'!$1:$2,2,FALSE),FALSE)</f>
        <v>0.75384615384615383</v>
      </c>
      <c r="P38" s="15">
        <f>VLOOKUP($A38,'[2]success rates'!$A:$P,HLOOKUP(P$34,'[2]success rates'!$1:$2,2,FALSE),FALSE)</f>
        <v>0.79670329670329665</v>
      </c>
    </row>
    <row r="39" spans="1:16" x14ac:dyDescent="0.25">
      <c r="A39" s="12" t="s">
        <v>25</v>
      </c>
      <c r="B39" s="15">
        <f>VLOOKUP($A39,'[2]success rates'!$A:$P,HLOOKUP(B$34,'[2]success rates'!$1:$2,2,FALSE),FALSE)</f>
        <v>0.625</v>
      </c>
      <c r="C39" s="15">
        <f>VLOOKUP($A39,'[2]success rates'!$A:$P,HLOOKUP(C$34,'[2]success rates'!$1:$2,2,FALSE),FALSE)</f>
        <v>0.51948051948051943</v>
      </c>
      <c r="D39" s="15">
        <f>VLOOKUP($A39,'[2]success rates'!$A:$P,HLOOKUP(D$34,'[2]success rates'!$1:$2,2,FALSE),FALSE)</f>
        <v>0.57062146892655363</v>
      </c>
      <c r="E39" s="15">
        <f>VLOOKUP($A39,'[2]success rates'!$A:$P,HLOOKUP(E$34,'[2]success rates'!$1:$2,2,FALSE),FALSE)</f>
        <v>0.88888888888888884</v>
      </c>
      <c r="F39" s="15">
        <f>VLOOKUP($A39,'[2]success rates'!$A:$P,HLOOKUP(F$34,'[2]success rates'!$1:$2,2,FALSE),FALSE)</f>
        <v>0.58974358974358976</v>
      </c>
      <c r="G39" s="15">
        <f>VLOOKUP($A39,'[2]success rates'!$A:$P,HLOOKUP(G$34,'[2]success rates'!$1:$2,2,FALSE),FALSE)</f>
        <v>0.62995594713656389</v>
      </c>
      <c r="H39" s="15">
        <f>VLOOKUP($A39,'[2]success rates'!$A:$P,HLOOKUP(H$34,'[2]success rates'!$1:$2,2,FALSE),FALSE)</f>
        <v>0.72222222222222221</v>
      </c>
      <c r="I39" s="15">
        <f>VLOOKUP($A39,'[2]success rates'!$A:$P,HLOOKUP(I$34,'[2]success rates'!$1:$2,2,FALSE),FALSE)</f>
        <v>0.68161434977578472</v>
      </c>
      <c r="J39" s="15">
        <f>VLOOKUP($A39,'[2]success rates'!$A:$P,HLOOKUP(J$34,'[2]success rates'!$1:$2,2,FALSE),FALSE)</f>
        <v>0.6333333333333333</v>
      </c>
      <c r="K39" s="15">
        <f>VLOOKUP($A39,'[2]success rates'!$A:$P,HLOOKUP(K$34,'[2]success rates'!$1:$2,2,FALSE),FALSE)</f>
        <v>0.90909090909090906</v>
      </c>
      <c r="L39" s="15">
        <f>VLOOKUP($A39,'[2]success rates'!$A:$P,HLOOKUP(L$34,'[2]success rates'!$1:$2,2,FALSE),FALSE)</f>
        <v>0.67222222222222228</v>
      </c>
      <c r="M39" s="15">
        <f>VLOOKUP($A39,'[2]success rates'!$A:$P,HLOOKUP(M$34,'[2]success rates'!$1:$2,2,FALSE),FALSE)</f>
        <v>0.71165644171779141</v>
      </c>
      <c r="N39" s="15">
        <f>VLOOKUP($A39,'[2]success rates'!$A:$P,HLOOKUP(N$34,'[2]success rates'!$1:$2,2,FALSE),FALSE)</f>
        <v>1</v>
      </c>
      <c r="O39" s="15">
        <f>VLOOKUP($A39,'[2]success rates'!$A:$P,HLOOKUP(O$34,'[2]success rates'!$1:$2,2,FALSE),FALSE)</f>
        <v>0.69465648854961837</v>
      </c>
      <c r="P39" s="15">
        <f>VLOOKUP($A39,'[2]success rates'!$A:$P,HLOOKUP(P$34,'[2]success rates'!$1:$2,2,FALSE),FALSE)</f>
        <v>0.68468468468468469</v>
      </c>
    </row>
    <row r="40" spans="1:16" x14ac:dyDescent="0.25">
      <c r="A40" s="12" t="s">
        <v>26</v>
      </c>
      <c r="B40" s="15">
        <f>VLOOKUP($A40,'[2]success rates'!$A:$P,HLOOKUP(B$34,'[2]success rates'!$1:$2,2,FALSE),FALSE)</f>
        <v>0.86956521739130432</v>
      </c>
      <c r="C40" s="15">
        <f>VLOOKUP($A40,'[2]success rates'!$A:$P,HLOOKUP(C$34,'[2]success rates'!$1:$2,2,FALSE),FALSE)</f>
        <v>0.71268656716417911</v>
      </c>
      <c r="D40" s="15">
        <f>VLOOKUP($A40,'[2]success rates'!$A:$P,HLOOKUP(D$34,'[2]success rates'!$1:$2,2,FALSE),FALSE)</f>
        <v>0.63318777292576423</v>
      </c>
      <c r="E40" s="15">
        <f>VLOOKUP($A40,'[2]success rates'!$A:$P,HLOOKUP(E$34,'[2]success rates'!$1:$2,2,FALSE),FALSE)</f>
        <v>0.86274509803921573</v>
      </c>
      <c r="F40" s="15">
        <f>VLOOKUP($A40,'[2]success rates'!$A:$P,HLOOKUP(F$34,'[2]success rates'!$1:$2,2,FALSE),FALSE)</f>
        <v>0.67600000000000005</v>
      </c>
      <c r="G40" s="15">
        <f>VLOOKUP($A40,'[2]success rates'!$A:$P,HLOOKUP(G$34,'[2]success rates'!$1:$2,2,FALSE),FALSE)</f>
        <v>0.71232876712328763</v>
      </c>
      <c r="H40" s="15">
        <f>VLOOKUP($A40,'[2]success rates'!$A:$P,HLOOKUP(H$34,'[2]success rates'!$1:$2,2,FALSE),FALSE)</f>
        <v>0.93548387096774188</v>
      </c>
      <c r="I40" s="15">
        <f>VLOOKUP($A40,'[2]success rates'!$A:$P,HLOOKUP(I$34,'[2]success rates'!$1:$2,2,FALSE),FALSE)</f>
        <v>0.70342205323193918</v>
      </c>
      <c r="J40" s="15">
        <f>VLOOKUP($A40,'[2]success rates'!$A:$P,HLOOKUP(J$34,'[2]success rates'!$1:$2,2,FALSE),FALSE)</f>
        <v>0.76727272727272722</v>
      </c>
      <c r="K40" s="15">
        <f>VLOOKUP($A40,'[2]success rates'!$A:$P,HLOOKUP(K$34,'[2]success rates'!$1:$2,2,FALSE),FALSE)</f>
        <v>0.95652173913043481</v>
      </c>
      <c r="L40" s="15">
        <f>VLOOKUP($A40,'[2]success rates'!$A:$P,HLOOKUP(L$34,'[2]success rates'!$1:$2,2,FALSE),FALSE)</f>
        <v>0.82799999999999996</v>
      </c>
      <c r="M40" s="15">
        <f>VLOOKUP($A40,'[2]success rates'!$A:$P,HLOOKUP(M$34,'[2]success rates'!$1:$2,2,FALSE),FALSE)</f>
        <v>0.78222222222222226</v>
      </c>
      <c r="N40" s="15">
        <f>VLOOKUP($A40,'[2]success rates'!$A:$P,HLOOKUP(N$34,'[2]success rates'!$1:$2,2,FALSE),FALSE)</f>
        <v>1</v>
      </c>
      <c r="O40" s="15">
        <f>VLOOKUP($A40,'[2]success rates'!$A:$P,HLOOKUP(O$34,'[2]success rates'!$1:$2,2,FALSE),FALSE)</f>
        <v>0.8</v>
      </c>
      <c r="P40" s="15">
        <f>VLOOKUP($A40,'[2]success rates'!$A:$P,HLOOKUP(P$34,'[2]success rates'!$1:$2,2,FALSE),FALSE)</f>
        <v>0.78494623655913975</v>
      </c>
    </row>
    <row r="41" spans="1:16" x14ac:dyDescent="0.25">
      <c r="A41" s="12" t="s">
        <v>27</v>
      </c>
      <c r="B41" s="15">
        <f>VLOOKUP($A41,'[2]success rates'!$A:$P,HLOOKUP(B$34,'[2]success rates'!$1:$2,2,FALSE),FALSE)</f>
        <v>0.94117647058823528</v>
      </c>
      <c r="C41" s="15">
        <f>VLOOKUP($A41,'[2]success rates'!$A:$P,HLOOKUP(C$34,'[2]success rates'!$1:$2,2,FALSE),FALSE)</f>
        <v>0.55405405405405406</v>
      </c>
      <c r="D41" s="15">
        <f>VLOOKUP($A41,'[2]success rates'!$A:$P,HLOOKUP(D$34,'[2]success rates'!$1:$2,2,FALSE),FALSE)</f>
        <v>0.6097560975609756</v>
      </c>
      <c r="E41" s="15">
        <f>VLOOKUP($A41,'[2]success rates'!$A:$P,HLOOKUP(E$34,'[2]success rates'!$1:$2,2,FALSE),FALSE)</f>
        <v>0.90566037735849059</v>
      </c>
      <c r="F41" s="15">
        <f>VLOOKUP($A41,'[2]success rates'!$A:$P,HLOOKUP(F$34,'[2]success rates'!$1:$2,2,FALSE),FALSE)</f>
        <v>0.5901639344262295</v>
      </c>
      <c r="G41" s="15">
        <f>VLOOKUP($A41,'[2]success rates'!$A:$P,HLOOKUP(G$34,'[2]success rates'!$1:$2,2,FALSE),FALSE)</f>
        <v>0.52298850574712641</v>
      </c>
      <c r="H41" s="15">
        <f>VLOOKUP($A41,'[2]success rates'!$A:$P,HLOOKUP(H$34,'[2]success rates'!$1:$2,2,FALSE),FALSE)</f>
        <v>1</v>
      </c>
      <c r="I41" s="15">
        <f>VLOOKUP($A41,'[2]success rates'!$A:$P,HLOOKUP(I$34,'[2]success rates'!$1:$2,2,FALSE),FALSE)</f>
        <v>0.55625000000000002</v>
      </c>
      <c r="J41" s="15">
        <f>VLOOKUP($A41,'[2]success rates'!$A:$P,HLOOKUP(J$34,'[2]success rates'!$1:$2,2,FALSE),FALSE)</f>
        <v>0.63157894736842102</v>
      </c>
      <c r="K41" s="15">
        <f>VLOOKUP($A41,'[2]success rates'!$A:$P,HLOOKUP(K$34,'[2]success rates'!$1:$2,2,FALSE),FALSE)</f>
        <v>0.8666666666666667</v>
      </c>
      <c r="L41" s="15">
        <f>VLOOKUP($A41,'[2]success rates'!$A:$P,HLOOKUP(L$34,'[2]success rates'!$1:$2,2,FALSE),FALSE)</f>
        <v>0.68518518518518523</v>
      </c>
      <c r="M41" s="15">
        <f>VLOOKUP($A41,'[2]success rates'!$A:$P,HLOOKUP(M$34,'[2]success rates'!$1:$2,2,FALSE),FALSE)</f>
        <v>0.57777777777777772</v>
      </c>
      <c r="N41" s="15">
        <f>VLOOKUP($A41,'[2]success rates'!$A:$P,HLOOKUP(N$34,'[2]success rates'!$1:$2,2,FALSE),FALSE)</f>
        <v>1</v>
      </c>
      <c r="O41" s="15">
        <f>VLOOKUP($A41,'[2]success rates'!$A:$P,HLOOKUP(O$34,'[2]success rates'!$1:$2,2,FALSE),FALSE)</f>
        <v>0.69230769230769229</v>
      </c>
      <c r="P41" s="15">
        <f>VLOOKUP($A41,'[2]success rates'!$A:$P,HLOOKUP(P$34,'[2]success rates'!$1:$2,2,FALSE),FALSE)</f>
        <v>0.68852459016393441</v>
      </c>
    </row>
    <row r="42" spans="1:16" x14ac:dyDescent="0.25">
      <c r="A42" s="12" t="s">
        <v>28</v>
      </c>
      <c r="B42" s="15">
        <f>VLOOKUP($A42,'[2]success rates'!$A:$P,HLOOKUP(B$34,'[2]success rates'!$1:$2,2,FALSE),FALSE)</f>
        <v>0.75</v>
      </c>
      <c r="C42" s="15">
        <f>VLOOKUP($A42,'[2]success rates'!$A:$P,HLOOKUP(C$34,'[2]success rates'!$1:$2,2,FALSE),FALSE)</f>
        <v>0.41578947368421054</v>
      </c>
      <c r="D42" s="15">
        <f>VLOOKUP($A42,'[2]success rates'!$A:$P,HLOOKUP(D$34,'[2]success rates'!$1:$2,2,FALSE),FALSE)</f>
        <v>0.59740259740259738</v>
      </c>
      <c r="E42" s="15">
        <f>VLOOKUP($A42,'[2]success rates'!$A:$P,HLOOKUP(E$34,'[2]success rates'!$1:$2,2,FALSE),FALSE)</f>
        <v>0.78688524590163933</v>
      </c>
      <c r="F42" s="15">
        <f>VLOOKUP($A42,'[2]success rates'!$A:$P,HLOOKUP(F$34,'[2]success rates'!$1:$2,2,FALSE),FALSE)</f>
        <v>0.47619047619047616</v>
      </c>
      <c r="G42" s="15">
        <f>VLOOKUP($A42,'[2]success rates'!$A:$P,HLOOKUP(G$34,'[2]success rates'!$1:$2,2,FALSE),FALSE)</f>
        <v>0.52336448598130836</v>
      </c>
      <c r="H42" s="15">
        <f>VLOOKUP($A42,'[2]success rates'!$A:$P,HLOOKUP(H$34,'[2]success rates'!$1:$2,2,FALSE),FALSE)</f>
        <v>0.91176470588235292</v>
      </c>
      <c r="I42" s="15">
        <f>VLOOKUP($A42,'[2]success rates'!$A:$P,HLOOKUP(I$34,'[2]success rates'!$1:$2,2,FALSE),FALSE)</f>
        <v>0.60493827160493829</v>
      </c>
      <c r="J42" s="15">
        <f>VLOOKUP($A42,'[2]success rates'!$A:$P,HLOOKUP(J$34,'[2]success rates'!$1:$2,2,FALSE),FALSE)</f>
        <v>0.5736434108527132</v>
      </c>
      <c r="K42" s="15">
        <f>VLOOKUP($A42,'[2]success rates'!$A:$P,HLOOKUP(K$34,'[2]success rates'!$1:$2,2,FALSE),FALSE)</f>
        <v>0.81818181818181823</v>
      </c>
      <c r="L42" s="15">
        <f>VLOOKUP($A42,'[2]success rates'!$A:$P,HLOOKUP(L$34,'[2]success rates'!$1:$2,2,FALSE),FALSE)</f>
        <v>0.64516129032258063</v>
      </c>
      <c r="M42" s="15">
        <f>VLOOKUP($A42,'[2]success rates'!$A:$P,HLOOKUP(M$34,'[2]success rates'!$1:$2,2,FALSE),FALSE)</f>
        <v>0.65756823821339949</v>
      </c>
      <c r="N42" s="15">
        <f>VLOOKUP($A42,'[2]success rates'!$A:$P,HLOOKUP(N$34,'[2]success rates'!$1:$2,2,FALSE),FALSE)</f>
        <v>1</v>
      </c>
      <c r="O42" s="15">
        <f>VLOOKUP($A42,'[2]success rates'!$A:$P,HLOOKUP(O$34,'[2]success rates'!$1:$2,2,FALSE),FALSE)</f>
        <v>0.64574898785425106</v>
      </c>
      <c r="P42" s="15">
        <f>VLOOKUP($A42,'[2]success rates'!$A:$P,HLOOKUP(P$34,'[2]success rates'!$1:$2,2,FALSE),FALSE)</f>
        <v>0.60491493383742911</v>
      </c>
    </row>
    <row r="43" spans="1:16" ht="15.75" thickBot="1" x14ac:dyDescent="0.3">
      <c r="A43" s="13" t="s">
        <v>29</v>
      </c>
      <c r="B43" s="45">
        <f>VLOOKUP($A43,'[2]success rates'!$A:$P,HLOOKUP(B$34,'[2]success rates'!$1:$2,2,FALSE),FALSE)</f>
        <v>0.74257425742574257</v>
      </c>
      <c r="C43" s="45">
        <f>VLOOKUP($A43,'[2]success rates'!$A:$P,HLOOKUP(C$34,'[2]success rates'!$1:$2,2,FALSE),FALSE)</f>
        <v>0.7048346055979644</v>
      </c>
      <c r="D43" s="45">
        <f>VLOOKUP($A43,'[2]success rates'!$A:$P,HLOOKUP(D$34,'[2]success rates'!$1:$2,2,FALSE),FALSE)</f>
        <v>0.67447306791569084</v>
      </c>
      <c r="E43" s="45">
        <f>VLOOKUP($A43,'[2]success rates'!$A:$P,HLOOKUP(E$34,'[2]success rates'!$1:$2,2,FALSE),FALSE)</f>
        <v>0.8306010928961749</v>
      </c>
      <c r="F43" s="45">
        <f>VLOOKUP($A43,'[2]success rates'!$A:$P,HLOOKUP(F$34,'[2]success rates'!$1:$2,2,FALSE),FALSE)</f>
        <v>0.70250896057347667</v>
      </c>
      <c r="G43" s="45">
        <f>VLOOKUP($A43,'[2]success rates'!$A:$P,HLOOKUP(G$34,'[2]success rates'!$1:$2,2,FALSE),FALSE)</f>
        <v>0.69500438212094651</v>
      </c>
      <c r="H43" s="45">
        <f>VLOOKUP($A43,'[2]success rates'!$A:$P,HLOOKUP(H$34,'[2]success rates'!$1:$2,2,FALSE),FALSE)</f>
        <v>0.86524822695035464</v>
      </c>
      <c r="I43" s="45">
        <f>VLOOKUP($A43,'[2]success rates'!$A:$P,HLOOKUP(I$34,'[2]success rates'!$1:$2,2,FALSE),FALSE)</f>
        <v>0.67438271604938271</v>
      </c>
      <c r="J43" s="45">
        <f>VLOOKUP($A43,'[2]success rates'!$A:$P,HLOOKUP(J$34,'[2]success rates'!$1:$2,2,FALSE),FALSE)</f>
        <v>0.72151898734177211</v>
      </c>
      <c r="K43" s="45">
        <f>VLOOKUP($A43,'[2]success rates'!$A:$P,HLOOKUP(K$34,'[2]success rates'!$1:$2,2,FALSE),FALSE)</f>
        <v>0.85542168674698793</v>
      </c>
      <c r="L43" s="45">
        <f>VLOOKUP($A43,'[2]success rates'!$A:$P,HLOOKUP(L$34,'[2]success rates'!$1:$2,2,FALSE),FALSE)</f>
        <v>0.74817518248175185</v>
      </c>
      <c r="M43" s="45">
        <f>VLOOKUP($A43,'[2]success rates'!$A:$P,HLOOKUP(M$34,'[2]success rates'!$1:$2,2,FALSE),FALSE)</f>
        <v>0.73099415204678364</v>
      </c>
      <c r="N43" s="45">
        <f>VLOOKUP($A43,'[2]success rates'!$A:$P,HLOOKUP(N$34,'[2]success rates'!$1:$2,2,FALSE),FALSE)</f>
        <v>1</v>
      </c>
      <c r="O43" s="45">
        <f>VLOOKUP($A43,'[2]success rates'!$A:$P,HLOOKUP(O$34,'[2]success rates'!$1:$2,2,FALSE),FALSE)</f>
        <v>0.74784482758620685</v>
      </c>
      <c r="P43" s="45">
        <f>VLOOKUP($A43,'[2]success rates'!$A:$P,HLOOKUP(P$34,'[2]success rates'!$1:$2,2,FALSE),FALSE)</f>
        <v>0.73182957393483705</v>
      </c>
    </row>
    <row r="44" spans="1:16" ht="15.75" thickBot="1" x14ac:dyDescent="0.3">
      <c r="A44" s="14" t="s">
        <v>34</v>
      </c>
      <c r="B44" s="44">
        <f>VLOOKUP('[2]success rates'!$A$13,'[2]success rates'!$A:$P,HLOOKUP(B$34,'[2]success rates'!$1:$2,2,FALSE),FALSE)</f>
        <v>0.81575963718820865</v>
      </c>
      <c r="C44" s="44">
        <f>VLOOKUP('[2]success rates'!$A$13,'[2]success rates'!$A:$P,HLOOKUP(C$34,'[2]success rates'!$1:$2,2,FALSE),FALSE)</f>
        <v>0.62811712572769141</v>
      </c>
      <c r="D44" s="44">
        <f>VLOOKUP('[2]success rates'!$A$13,'[2]success rates'!$A:$P,HLOOKUP(D$34,'[2]success rates'!$1:$2,2,FALSE),FALSE)</f>
        <v>0.62688876752230116</v>
      </c>
      <c r="E44" s="44">
        <f>VLOOKUP('[2]success rates'!$A$13,'[2]success rates'!$A:$P,HLOOKUP(E$34,'[2]success rates'!$1:$2,2,FALSE),FALSE)</f>
        <v>0.81542461005199307</v>
      </c>
      <c r="F44" s="44">
        <f>VLOOKUP('[2]success rates'!$A$13,'[2]success rates'!$A:$P,HLOOKUP(F$34,'[2]success rates'!$1:$2,2,FALSE),FALSE)</f>
        <v>0.62878613603251288</v>
      </c>
      <c r="G44" s="44">
        <f>VLOOKUP('[2]success rates'!$A$13,'[2]success rates'!$A:$P,HLOOKUP(G$34,'[2]success rates'!$1:$2,2,FALSE),FALSE)</f>
        <v>0.63806183796163751</v>
      </c>
      <c r="H44" s="44">
        <f>VLOOKUP('[2]success rates'!$A$13,'[2]success rates'!$A:$P,HLOOKUP(H$34,'[2]success rates'!$1:$2,2,FALSE),FALSE)</f>
        <v>0.82121573301549466</v>
      </c>
      <c r="I44" s="44">
        <f>VLOOKUP('[2]success rates'!$A$13,'[2]success rates'!$A:$P,HLOOKUP(I$34,'[2]success rates'!$1:$2,2,FALSE),FALSE)</f>
        <v>0.64234333484544104</v>
      </c>
      <c r="J44" s="44">
        <f>VLOOKUP('[2]success rates'!$A$13,'[2]success rates'!$A:$P,HLOOKUP(J$34,'[2]success rates'!$1:$2,2,FALSE),FALSE)</f>
        <v>0.64090006618133688</v>
      </c>
      <c r="K44" s="44">
        <f>VLOOKUP('[2]success rates'!$A$13,'[2]success rates'!$A:$P,HLOOKUP(K$34,'[2]success rates'!$1:$2,2,FALSE),FALSE)</f>
        <v>0.84165067178502884</v>
      </c>
      <c r="L44" s="44">
        <f>VLOOKUP('[2]success rates'!$A$13,'[2]success rates'!$A:$P,HLOOKUP(L$34,'[2]success rates'!$1:$2,2,FALSE),FALSE)</f>
        <v>0.71364157432174247</v>
      </c>
      <c r="M44" s="44">
        <f>VLOOKUP('[2]success rates'!$A$13,'[2]success rates'!$A:$P,HLOOKUP(M$34,'[2]success rates'!$1:$2,2,FALSE),FALSE)</f>
        <v>0.67124616130596415</v>
      </c>
      <c r="N44" s="44">
        <f>VLOOKUP('[2]success rates'!$A$13,'[2]success rates'!$A:$P,HLOOKUP(N$34,'[2]success rates'!$1:$2,2,FALSE),FALSE)</f>
        <v>0.96666666666666667</v>
      </c>
      <c r="O44" s="44">
        <f>VLOOKUP('[2]success rates'!$A$13,'[2]success rates'!$A:$P,HLOOKUP(O$34,'[2]success rates'!$1:$2,2,FALSE),FALSE)</f>
        <v>0.70517860194838489</v>
      </c>
      <c r="P44" s="44">
        <f>VLOOKUP('[2]success rates'!$A$13,'[2]success rates'!$A:$P,HLOOKUP(P$34,'[2]success rates'!$1:$2,2,FALSE),FALSE)</f>
        <v>0.67347947914949724</v>
      </c>
    </row>
    <row r="45" spans="1:16" x14ac:dyDescent="0.25">
      <c r="A45" s="16" t="s">
        <v>36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26" t="s">
        <v>39</v>
      </c>
    </row>
    <row r="52" spans="1:16" x14ac:dyDescent="0.25">
      <c r="A52" s="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1"/>
      <c r="O52" s="8"/>
      <c r="P52" s="1"/>
    </row>
    <row r="53" spans="1:16" x14ac:dyDescent="0.25">
      <c r="A53" s="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 x14ac:dyDescent="0.25">
      <c r="A54" s="1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1"/>
    </row>
    <row r="56" spans="1:16" x14ac:dyDescent="0.25">
      <c r="A56" s="1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"/>
    </row>
    <row r="57" spans="1:16" x14ac:dyDescent="0.25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1"/>
    </row>
  </sheetData>
  <mergeCells count="29">
    <mergeCell ref="B15:D15"/>
    <mergeCell ref="E15:G15"/>
    <mergeCell ref="H15:J15"/>
    <mergeCell ref="K15:M15"/>
    <mergeCell ref="N15:P15"/>
    <mergeCell ref="A31:A33"/>
    <mergeCell ref="B31:P31"/>
    <mergeCell ref="B32:P32"/>
    <mergeCell ref="B33:D33"/>
    <mergeCell ref="E33:G33"/>
    <mergeCell ref="H33:J33"/>
    <mergeCell ref="K33:M33"/>
    <mergeCell ref="N33:P33"/>
    <mergeCell ref="A17:A19"/>
    <mergeCell ref="B17:P17"/>
    <mergeCell ref="B18:P18"/>
    <mergeCell ref="B19:D19"/>
    <mergeCell ref="E19:G19"/>
    <mergeCell ref="H19:J19"/>
    <mergeCell ref="K19:M19"/>
    <mergeCell ref="N19:P19"/>
    <mergeCell ref="B3:D3"/>
    <mergeCell ref="N3:P3"/>
    <mergeCell ref="A1:A3"/>
    <mergeCell ref="K3:M3"/>
    <mergeCell ref="E3:G3"/>
    <mergeCell ref="H3:J3"/>
    <mergeCell ref="B1:P1"/>
    <mergeCell ref="B2:P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C1107DE-649F-42BB-9A23-CA5ED3542338}"/>
</file>

<file path=customXml/itemProps2.xml><?xml version="1.0" encoding="utf-8"?>
<ds:datastoreItem xmlns:ds="http://schemas.openxmlformats.org/officeDocument/2006/customXml" ds:itemID="{2E477DBF-5A68-43C1-A431-4708EA73988B}"/>
</file>

<file path=customXml/itemProps3.xml><?xml version="1.0" encoding="utf-8"?>
<ds:datastoreItem xmlns:ds="http://schemas.openxmlformats.org/officeDocument/2006/customXml" ds:itemID="{B9BB7456-7ABF-4BF1-A246-CF72BB6732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2012-03-22T20:23:25Z</dcterms:created>
  <dcterms:modified xsi:type="dcterms:W3CDTF">2012-08-14T15:53:37Z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