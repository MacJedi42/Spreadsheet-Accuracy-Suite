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2416"/>
  <workbookPr autoCompressPictures="0"/>
  <bookViews>
    <workbookView xWindow="220" yWindow="0" windowWidth="29340" windowHeight="20940"/>
  </bookViews>
  <sheets>
    <sheet name="Project Summary" sheetId="9" r:id="rId1"/>
    <sheet name="New Budget Costs" sheetId="2" r:id="rId2"/>
    <sheet name="Personnel Opportunity Costs" sheetId="13" r:id="rId3"/>
    <sheet name="TCO Instructions" sheetId="14" r:id="rId4"/>
  </sheets>
  <definedNames>
    <definedName name="_xlnm.Print_Area" localSheetId="2">'Personnel Opportunity Costs'!$A$1:$L$23</definedName>
    <definedName name="_xlnm.Print_Area" localSheetId="0">'Project Summary'!$A$1:$C$51</definedName>
    <definedName name="_xlnm.Print_Titles" localSheetId="1">'New Budget Costs'!$1:$5</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B1" i="2" l="1"/>
  <c r="B12" i="9"/>
  <c r="B13" i="9"/>
  <c r="B14" i="9"/>
  <c r="B15" i="9"/>
  <c r="B16" i="9"/>
  <c r="B17" i="9"/>
  <c r="B18" i="9"/>
  <c r="B19" i="9"/>
  <c r="B20" i="9"/>
  <c r="B22" i="9"/>
  <c r="B24" i="9"/>
  <c r="A19" i="9"/>
  <c r="A18" i="9"/>
  <c r="A17" i="9"/>
  <c r="A16" i="9"/>
  <c r="A15" i="9"/>
  <c r="A14" i="9"/>
  <c r="A13" i="9"/>
  <c r="A12" i="9"/>
  <c r="G20" i="13"/>
  <c r="G12" i="13"/>
  <c r="G23" i="13"/>
  <c r="H20" i="13"/>
  <c r="H12" i="13"/>
  <c r="H23" i="13"/>
  <c r="I20" i="13"/>
  <c r="I12" i="13"/>
  <c r="I23" i="13"/>
  <c r="J20" i="13"/>
  <c r="J12" i="13"/>
  <c r="J23" i="13"/>
  <c r="K20" i="13"/>
  <c r="K12" i="13"/>
  <c r="K23" i="13"/>
  <c r="F15" i="13"/>
  <c r="L15" i="13"/>
  <c r="F16" i="13"/>
  <c r="L16" i="13"/>
  <c r="F17" i="13"/>
  <c r="L17" i="13"/>
  <c r="F18" i="13"/>
  <c r="L18" i="13"/>
  <c r="F19" i="13"/>
  <c r="L19" i="13"/>
  <c r="L20" i="13"/>
  <c r="F7" i="13"/>
  <c r="L7" i="13"/>
  <c r="F8" i="13"/>
  <c r="L8" i="13"/>
  <c r="F9" i="13"/>
  <c r="L9" i="13"/>
  <c r="F10" i="13"/>
  <c r="L10" i="13"/>
  <c r="F11" i="13"/>
  <c r="L11" i="13"/>
  <c r="L12" i="13"/>
  <c r="L23" i="13"/>
  <c r="F20" i="13"/>
  <c r="F12" i="13"/>
  <c r="F23" i="13"/>
  <c r="F1" i="13"/>
  <c r="B2" i="13"/>
  <c r="B1" i="13"/>
  <c r="L61" i="2"/>
  <c r="G61" i="2"/>
  <c r="H61" i="2"/>
  <c r="I61" i="2"/>
  <c r="J61" i="2"/>
  <c r="K61" i="2"/>
  <c r="F61" i="2"/>
  <c r="F40" i="2"/>
  <c r="F41" i="2"/>
  <c r="F42" i="2"/>
  <c r="L40" i="2"/>
  <c r="L41" i="2"/>
  <c r="L42" i="2"/>
  <c r="F43" i="2"/>
  <c r="G43" i="2"/>
  <c r="H43" i="2"/>
  <c r="I43" i="2"/>
  <c r="J43" i="2"/>
  <c r="K43" i="2"/>
  <c r="L43" i="2"/>
  <c r="L39" i="2"/>
  <c r="F39" i="2"/>
  <c r="F32" i="2"/>
  <c r="F33" i="2"/>
  <c r="F34" i="2"/>
  <c r="F35" i="2"/>
  <c r="F36" i="2"/>
  <c r="F24" i="2"/>
  <c r="F25" i="2"/>
  <c r="F26" i="2"/>
  <c r="F27" i="2"/>
  <c r="F28" i="2"/>
  <c r="F16" i="2"/>
  <c r="F17" i="2"/>
  <c r="F18" i="2"/>
  <c r="F19" i="2"/>
  <c r="F20" i="2"/>
  <c r="F7" i="2"/>
  <c r="F9" i="2"/>
  <c r="F10" i="2"/>
  <c r="F11" i="2"/>
  <c r="F12" i="2"/>
  <c r="F63" i="2"/>
  <c r="L63" i="2"/>
  <c r="L32" i="2"/>
  <c r="L33" i="2"/>
  <c r="L34" i="2"/>
  <c r="L35" i="2"/>
  <c r="L36" i="2"/>
  <c r="L24" i="2"/>
  <c r="L25" i="2"/>
  <c r="L26" i="2"/>
  <c r="L27" i="2"/>
  <c r="L28" i="2"/>
  <c r="L16" i="2"/>
  <c r="L17" i="2"/>
  <c r="L18" i="2"/>
  <c r="L19" i="2"/>
  <c r="L20" i="2"/>
  <c r="L7" i="2"/>
  <c r="L9" i="2"/>
  <c r="L10" i="2"/>
  <c r="L11" i="2"/>
  <c r="L12" i="2"/>
  <c r="L66" i="2"/>
  <c r="B9" i="9"/>
  <c r="K66" i="2"/>
  <c r="B8" i="9"/>
  <c r="J66" i="2"/>
  <c r="B7" i="9"/>
  <c r="I66" i="2"/>
  <c r="B6" i="9"/>
  <c r="H66" i="2"/>
  <c r="B5" i="9"/>
  <c r="F66" i="2"/>
  <c r="G66" i="2"/>
  <c r="B4" i="9"/>
  <c r="B44" i="9"/>
  <c r="B36" i="9"/>
  <c r="B26" i="9"/>
  <c r="G63" i="2"/>
  <c r="H63" i="2"/>
  <c r="I63" i="2"/>
  <c r="J59" i="2"/>
  <c r="J36" i="2"/>
  <c r="J28" i="2"/>
  <c r="J20" i="2"/>
  <c r="J12" i="2"/>
  <c r="J63" i="2"/>
  <c r="K63" i="2"/>
  <c r="F23" i="2"/>
  <c r="F8" i="2"/>
  <c r="L8" i="2"/>
  <c r="F55" i="2"/>
  <c r="L55" i="2"/>
  <c r="F56" i="2"/>
  <c r="L56" i="2"/>
  <c r="F57" i="2"/>
  <c r="L57" i="2"/>
  <c r="F58" i="2"/>
  <c r="L58" i="2"/>
  <c r="F54" i="2"/>
  <c r="L54" i="2"/>
  <c r="G59" i="2"/>
  <c r="H59" i="2"/>
  <c r="I59" i="2"/>
  <c r="K59" i="2"/>
  <c r="F59" i="2"/>
  <c r="F50" i="2"/>
  <c r="L50" i="2"/>
  <c r="F47" i="2"/>
  <c r="L47" i="2"/>
  <c r="F48" i="2"/>
  <c r="L48" i="2"/>
  <c r="F49" i="2"/>
  <c r="L49" i="2"/>
  <c r="G51" i="2"/>
  <c r="H51" i="2"/>
  <c r="I51" i="2"/>
  <c r="J51" i="2"/>
  <c r="K51" i="2"/>
  <c r="F46" i="2"/>
  <c r="L46" i="2"/>
  <c r="G36" i="2"/>
  <c r="H36" i="2"/>
  <c r="I36" i="2"/>
  <c r="K36" i="2"/>
  <c r="F31" i="2"/>
  <c r="L31" i="2"/>
  <c r="G28" i="2"/>
  <c r="H28" i="2"/>
  <c r="I28" i="2"/>
  <c r="K28" i="2"/>
  <c r="G20" i="2"/>
  <c r="H20" i="2"/>
  <c r="I20" i="2"/>
  <c r="K20" i="2"/>
  <c r="F15" i="2"/>
  <c r="G12" i="2"/>
  <c r="H12" i="2"/>
  <c r="I12" i="2"/>
  <c r="K12" i="2"/>
  <c r="F51" i="2"/>
  <c r="L23" i="2"/>
  <c r="L15" i="2"/>
  <c r="L59" i="2"/>
  <c r="L51" i="2"/>
</calcChain>
</file>

<file path=xl/sharedStrings.xml><?xml version="1.0" encoding="utf-8"?>
<sst xmlns="http://schemas.openxmlformats.org/spreadsheetml/2006/main" count="133" uniqueCount="114">
  <si>
    <t>Project Name</t>
  </si>
  <si>
    <t>Costs</t>
  </si>
  <si>
    <t>Five Year Total Costs</t>
  </si>
  <si>
    <t>Option 1:</t>
  </si>
  <si>
    <t>Category</t>
  </si>
  <si>
    <t>Sub Category</t>
  </si>
  <si>
    <t>Description</t>
  </si>
  <si>
    <t>Unit Price</t>
  </si>
  <si>
    <t>Units Rqd</t>
  </si>
  <si>
    <t>Implementation</t>
  </si>
  <si>
    <t>Year 1</t>
  </si>
  <si>
    <t>Year 2</t>
  </si>
  <si>
    <t>Year 3</t>
  </si>
  <si>
    <t>Year 4</t>
  </si>
  <si>
    <t>Year 5</t>
  </si>
  <si>
    <t>Total 5 Year Costs</t>
  </si>
  <si>
    <t>Solution Type:</t>
  </si>
  <si>
    <t>&lt;&lt;choose Cloud, Traditional or Hybrid Cloud/Traditional&gt;&gt;</t>
  </si>
  <si>
    <t>Annual Cost Growth Rate:</t>
  </si>
  <si>
    <t>Contingency %:</t>
  </si>
  <si>
    <t>Server and Network Hardware</t>
  </si>
  <si>
    <t>Individual Hardware and Peripherals Subtotal</t>
  </si>
  <si>
    <t>Server and Network Hardware Subtotal</t>
  </si>
  <si>
    <t>Temporary Help</t>
  </si>
  <si>
    <t>Software or Subscriptions</t>
  </si>
  <si>
    <t>Software or Subscriptions Subtotal</t>
  </si>
  <si>
    <t>Project Contingency</t>
  </si>
  <si>
    <t>Contingency Year</t>
  </si>
  <si>
    <t>Required Project Budget</t>
  </si>
  <si>
    <t>Service Advertising and Rollout</t>
  </si>
  <si>
    <t>Service Advertising and Rollout Subtotal</t>
  </si>
  <si>
    <t>Project Total Before Contingency</t>
  </si>
  <si>
    <t>Positive Features</t>
  </si>
  <si>
    <t>Areas of Concern</t>
  </si>
  <si>
    <t>X</t>
  </si>
  <si>
    <t>Implementation and Year 1</t>
  </si>
  <si>
    <t>Desried Project Outcomes</t>
  </si>
  <si>
    <t>Individual User Hardware and Peripherals</t>
  </si>
  <si>
    <t>Fully loaded cost (salary+ Fringe)</t>
  </si>
  <si>
    <t>x</t>
  </si>
  <si>
    <t>New University of Idaho Personnel</t>
  </si>
  <si>
    <t>New University of Idaho Personnel Subtotal</t>
  </si>
  <si>
    <t xml:space="preserve">External Consulting </t>
  </si>
  <si>
    <t>Training</t>
  </si>
  <si>
    <t>ITS Personnel</t>
  </si>
  <si>
    <t>Hourly Rate</t>
  </si>
  <si>
    <t>Hours Rdq</t>
  </si>
  <si>
    <t>Opportunity Cost for Existing Personnel To Work on the Project</t>
  </si>
  <si>
    <t>Department Personnel</t>
  </si>
  <si>
    <t>Department Personnel Subtotal</t>
  </si>
  <si>
    <t>ITS Personnel Subtotal</t>
  </si>
  <si>
    <t>Project Personnel Opportunity Costs</t>
  </si>
  <si>
    <t>5 Year New Budget Costs</t>
  </si>
  <si>
    <t>Total 5 Year New Budget Costs</t>
  </si>
  <si>
    <t>5 Year Personnel Opportunity Costs</t>
  </si>
  <si>
    <t>Total Project Cost to UI</t>
  </si>
  <si>
    <t>&lt;&lt; the name from the AGIT project form&gt;&gt;</t>
  </si>
  <si>
    <t>Project:</t>
  </si>
  <si>
    <t>External Consulting Subtotal</t>
  </si>
  <si>
    <t>Training Subtotal</t>
  </si>
  <si>
    <t>Time for line personnel to implement system</t>
  </si>
  <si>
    <t>Time for technical personnel to implement system</t>
  </si>
  <si>
    <t>Time for management to coordinate system implemenation</t>
  </si>
  <si>
    <t>Network setup and facilitation</t>
  </si>
  <si>
    <t>Server exploration and maintenance</t>
  </si>
  <si>
    <t>Security</t>
  </si>
  <si>
    <t>Developer/DBA time</t>
  </si>
  <si>
    <t>Customer support and help desk added load</t>
  </si>
  <si>
    <t>Servers for PRD and PPRD</t>
  </si>
  <si>
    <t>Storage</t>
  </si>
  <si>
    <t>Racks/Switches/Cabeling/Environmentals</t>
  </si>
  <si>
    <t>Desktops/laptops/tablets</t>
  </si>
  <si>
    <t>Specialized hardware (card readers, scanners, etc.0</t>
  </si>
  <si>
    <t>Printers</t>
  </si>
  <si>
    <t>Database/application server licesens</t>
  </si>
  <si>
    <t>Software licenses</t>
  </si>
  <si>
    <t>Subscription costs</t>
  </si>
  <si>
    <t>Development tools</t>
  </si>
  <si>
    <t>Monitoring tools</t>
  </si>
  <si>
    <t>Development</t>
  </si>
  <si>
    <t>Functional support</t>
  </si>
  <si>
    <t>Project management</t>
  </si>
  <si>
    <t>Technical training</t>
  </si>
  <si>
    <t>Functional training</t>
  </si>
  <si>
    <t>Business process review</t>
  </si>
  <si>
    <t>New FTE in functional offices</t>
  </si>
  <si>
    <t>NEW FTE in ITS</t>
  </si>
  <si>
    <t>Backfill for functional employees as they work on implementation</t>
  </si>
  <si>
    <t>Websites</t>
  </si>
  <si>
    <t>Posters/table tents</t>
  </si>
  <si>
    <t>Videos</t>
  </si>
  <si>
    <t>End user training</t>
  </si>
  <si>
    <t>Administration training</t>
  </si>
  <si>
    <t>Number</t>
  </si>
  <si>
    <t>Step</t>
  </si>
  <si>
    <t>Start with the tab entitled "New Budget Costs"</t>
  </si>
  <si>
    <t>The cost subcategories are only there as examples - replace or add as needed</t>
  </si>
  <si>
    <t>Costs on this sheet should be net new costs because of the project</t>
  </si>
  <si>
    <t xml:space="preserve"> - time spent by existing personnel should be included in the "Personnel Oppportunity Cost" sheet</t>
  </si>
  <si>
    <t>Fill in the "annual cost growth rate" field - consider it inflation, how mush you think costs will rise each year, particulalry on salaries and software costs</t>
  </si>
  <si>
    <t xml:space="preserve"> - you will have to manually use this field in calculations but it will provide consistency</t>
  </si>
  <si>
    <t>Fill in the "Contingency %" field</t>
  </si>
  <si>
    <t xml:space="preserve"> - the more unknowns, the higher this percentage should be. Start with at least 10%</t>
  </si>
  <si>
    <t>Fill in all the implementation and yearly costs you can think of.  Be thorough and be conservative.</t>
  </si>
  <si>
    <t xml:space="preserve">Make sure to mark years with an "X" in the "Contingency Year" field if you think that major upgrades or other risk factors will occur in that year.  This will not put contingency on the salaries categoriesbut will in others. </t>
  </si>
  <si>
    <t>Really think through usage. For instance, scale hardware, software or subscriptions based on expected growth.</t>
  </si>
  <si>
    <t>Now go to the "Personnel Opportuinty Costs" tab</t>
  </si>
  <si>
    <t xml:space="preserve">For both the functional area sponsoring the project and ITS, list the existing positions that will have to devote time to the project. </t>
  </si>
  <si>
    <t>Use a fully loaded rate (salary plus fringe) and put in either hours or percentages of time.</t>
  </si>
  <si>
    <t>Check all calculations and totals on both tabs</t>
  </si>
  <si>
    <t>On the "Project Summary" tab</t>
  </si>
  <si>
    <t>Fill in the project title, which will carry to other sheets</t>
  </si>
  <si>
    <t>Check totals for correctness</t>
  </si>
  <si>
    <t>Fill in major concerns, positive features and desired outcomes.  If these duplicate areas in the AGIT project form, reference that form and don't fill out these sections.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</si>
</sst>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_(&quot;$&quot;* #,##0_);_(&quot;$&quot;* \(#,##0\);_(&quot;$&quot;* &quot;-&quot;??_);_(@_)"/>
  </numFmts>
  <fonts count="7" x14ac:knownFonts="1">
    <font>
      <sz val="11"/>
      <color theme="1"/>
      <name val="Calibri"/>
      <family val="2"/>
      <scheme val="minor"/>
    </font>
    <font>
      <sz val="11"/>
      <color theme="1"/>
      <name val="Calibri"/>
      <family val="2"/>
      <scheme val="minor"/>
    </font>
    <font>
      <b/>
      <sz val="11"/>
      <color theme="1"/>
      <name val="Calibri"/>
      <family val="2"/>
      <scheme val="minor"/>
    </font>
    <font>
      <b/>
      <i/>
      <sz val="11"/>
      <color theme="1"/>
      <name val="Calibri"/>
      <family val="2"/>
      <scheme val="minor"/>
    </font>
    <font>
      <u/>
      <sz val="11"/>
      <color theme="10"/>
      <name val="Calibri"/>
      <family val="2"/>
      <scheme val="minor"/>
    </font>
    <font>
      <u/>
      <sz val="11"/>
      <color theme="11"/>
      <name val="Calibri"/>
      <family val="2"/>
      <scheme val="minor"/>
    </font>
    <font>
      <sz val="8"/>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tint="-0.34998626667073579"/>
        <bgColor indexed="64"/>
      </patternFill>
    </fill>
  </fills>
  <borders count="15">
    <border>
      <left/>
      <right/>
      <top/>
      <bottom/>
      <diagonal/>
    </border>
    <border>
      <left/>
      <right/>
      <top style="thin">
        <color auto="1"/>
      </top>
      <bottom style="double">
        <color auto="1"/>
      </bottom>
      <diagonal/>
    </border>
    <border>
      <left/>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19">
    <xf numFmtId="0" fontId="0" fillId="0" borderId="0"/>
    <xf numFmtId="44"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cellStyleXfs>
  <cellXfs count="53">
    <xf numFmtId="0" fontId="0" fillId="0" borderId="0" xfId="0"/>
    <xf numFmtId="0" fontId="0" fillId="0" borderId="0" xfId="0" applyAlignment="1">
      <alignment vertical="top" wrapText="1"/>
    </xf>
    <xf numFmtId="0" fontId="2" fillId="0" borderId="0" xfId="0" applyFont="1" applyAlignment="1">
      <alignment vertical="top" wrapText="1"/>
    </xf>
    <xf numFmtId="164" fontId="0" fillId="0" borderId="0" xfId="1" applyNumberFormat="1" applyFont="1"/>
    <xf numFmtId="0" fontId="2" fillId="0" borderId="0" xfId="0" applyFont="1"/>
    <xf numFmtId="164" fontId="2" fillId="0" borderId="0" xfId="1" applyNumberFormat="1" applyFont="1"/>
    <xf numFmtId="164" fontId="2" fillId="0" borderId="0" xfId="1" applyNumberFormat="1" applyFont="1" applyAlignment="1">
      <alignment horizontal="center"/>
    </xf>
    <xf numFmtId="9" fontId="0" fillId="0" borderId="0" xfId="0" applyNumberFormat="1"/>
    <xf numFmtId="9" fontId="0" fillId="0" borderId="0" xfId="2" applyFont="1" applyAlignment="1">
      <alignment horizontal="center"/>
    </xf>
    <xf numFmtId="0" fontId="3" fillId="0" borderId="0" xfId="0" applyFont="1"/>
    <xf numFmtId="0" fontId="0" fillId="0" borderId="0" xfId="0" applyFont="1"/>
    <xf numFmtId="164" fontId="1" fillId="0" borderId="0" xfId="1" applyNumberFormat="1" applyFont="1"/>
    <xf numFmtId="164" fontId="3" fillId="0" borderId="0" xfId="1" applyNumberFormat="1" applyFont="1"/>
    <xf numFmtId="0" fontId="3" fillId="2" borderId="0" xfId="0" applyFont="1" applyFill="1"/>
    <xf numFmtId="164" fontId="3" fillId="2" borderId="0" xfId="1" applyNumberFormat="1" applyFont="1" applyFill="1"/>
    <xf numFmtId="0" fontId="3" fillId="3" borderId="0" xfId="0" applyFont="1" applyFill="1"/>
    <xf numFmtId="164" fontId="3" fillId="3" borderId="0" xfId="1" applyNumberFormat="1" applyFont="1" applyFill="1"/>
    <xf numFmtId="0" fontId="0" fillId="2" borderId="0" xfId="0" applyFill="1"/>
    <xf numFmtId="164" fontId="0" fillId="2" borderId="0" xfId="1" applyNumberFormat="1" applyFont="1" applyFill="1"/>
    <xf numFmtId="164" fontId="2" fillId="2" borderId="0" xfId="1" applyNumberFormat="1" applyFont="1" applyFill="1"/>
    <xf numFmtId="0" fontId="3" fillId="4" borderId="1" xfId="0" applyFont="1" applyFill="1" applyBorder="1"/>
    <xf numFmtId="164" fontId="3" fillId="4" borderId="1" xfId="1" applyNumberFormat="1" applyFont="1" applyFill="1" applyBorder="1"/>
    <xf numFmtId="0" fontId="3" fillId="3" borderId="2" xfId="0" applyFont="1" applyFill="1" applyBorder="1"/>
    <xf numFmtId="164" fontId="3" fillId="3" borderId="2" xfId="1" applyNumberFormat="1" applyFont="1" applyFill="1" applyBorder="1"/>
    <xf numFmtId="164" fontId="0" fillId="0" borderId="0" xfId="1" applyNumberFormat="1" applyFont="1" applyAlignment="1">
      <alignment vertical="top" wrapText="1"/>
    </xf>
    <xf numFmtId="0" fontId="2" fillId="0" borderId="3" xfId="0" applyFont="1" applyBorder="1" applyAlignment="1">
      <alignment vertical="top" wrapText="1"/>
    </xf>
    <xf numFmtId="0" fontId="0" fillId="0" borderId="5" xfId="0" applyBorder="1" applyAlignment="1">
      <alignment vertical="top" wrapText="1"/>
    </xf>
    <xf numFmtId="0" fontId="0" fillId="0" borderId="7" xfId="0" applyBorder="1" applyAlignment="1">
      <alignment vertical="top" wrapText="1"/>
    </xf>
    <xf numFmtId="0" fontId="2" fillId="0" borderId="0" xfId="0" applyFont="1" applyAlignment="1">
      <alignment horizontal="center" vertical="top" wrapText="1"/>
    </xf>
    <xf numFmtId="0" fontId="0" fillId="0" borderId="0" xfId="0" applyAlignment="1">
      <alignment horizontal="left" vertical="top" wrapText="1"/>
    </xf>
    <xf numFmtId="0" fontId="0" fillId="0" borderId="0" xfId="0" applyAlignment="1">
      <alignment horizontal="left" vertical="top"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0" fontId="0" fillId="0" borderId="5" xfId="0" applyBorder="1" applyAlignment="1">
      <alignment horizontal="center" vertical="top" wrapText="1"/>
    </xf>
    <xf numFmtId="0" fontId="0" fillId="0" borderId="6" xfId="0" applyBorder="1" applyAlignment="1">
      <alignment horizontal="center" vertical="top" wrapText="1"/>
    </xf>
    <xf numFmtId="0" fontId="0" fillId="0" borderId="7" xfId="0" applyBorder="1" applyAlignment="1">
      <alignment horizontal="center" vertical="top" wrapText="1"/>
    </xf>
    <xf numFmtId="0" fontId="0" fillId="0" borderId="8" xfId="0" applyBorder="1" applyAlignment="1">
      <alignment horizontal="center" vertical="top" wrapText="1"/>
    </xf>
    <xf numFmtId="164" fontId="2" fillId="0" borderId="0" xfId="1" applyNumberFormat="1" applyFont="1" applyAlignment="1">
      <alignment horizontal="center" vertical="top"/>
    </xf>
    <xf numFmtId="0" fontId="2" fillId="0" borderId="0" xfId="0" applyFont="1" applyAlignment="1">
      <alignment horizontal="center" vertical="top"/>
    </xf>
    <xf numFmtId="164" fontId="0" fillId="0" borderId="0" xfId="1" applyNumberFormat="1" applyFont="1" applyAlignment="1">
      <alignment horizontal="center"/>
    </xf>
    <xf numFmtId="0" fontId="2" fillId="0" borderId="1" xfId="0" applyFont="1" applyBorder="1" applyAlignment="1">
      <alignment vertical="top" wrapText="1"/>
    </xf>
    <xf numFmtId="164" fontId="0" fillId="0" borderId="1" xfId="1" applyNumberFormat="1" applyFont="1" applyBorder="1" applyAlignment="1">
      <alignment vertical="top" wrapText="1"/>
    </xf>
    <xf numFmtId="0" fontId="2" fillId="0" borderId="2" xfId="0" applyFont="1" applyBorder="1" applyAlignment="1">
      <alignment vertical="top" wrapText="1"/>
    </xf>
    <xf numFmtId="164" fontId="0" fillId="0" borderId="2" xfId="1" applyNumberFormat="1" applyFont="1" applyBorder="1" applyAlignment="1">
      <alignment vertical="top" wrapText="1"/>
    </xf>
    <xf numFmtId="0" fontId="0" fillId="0" borderId="11" xfId="0" applyBorder="1" applyAlignment="1">
      <alignment vertical="top" wrapText="1"/>
    </xf>
    <xf numFmtId="164" fontId="0" fillId="0" borderId="12" xfId="1" applyNumberFormat="1" applyFont="1" applyBorder="1" applyAlignment="1">
      <alignment vertical="top" wrapText="1"/>
    </xf>
    <xf numFmtId="0" fontId="2" fillId="3" borderId="13" xfId="0" applyFont="1" applyFill="1" applyBorder="1" applyAlignment="1">
      <alignment vertical="top" wrapText="1"/>
    </xf>
    <xf numFmtId="164" fontId="0" fillId="3" borderId="14" xfId="1" applyNumberFormat="1" applyFont="1" applyFill="1" applyBorder="1" applyAlignment="1">
      <alignment vertical="top" wrapText="1"/>
    </xf>
    <xf numFmtId="0" fontId="0" fillId="0" borderId="11" xfId="0" applyFont="1" applyBorder="1" applyAlignment="1">
      <alignment vertical="top" wrapText="1"/>
    </xf>
    <xf numFmtId="0" fontId="2" fillId="3" borderId="9" xfId="0" applyFont="1" applyFill="1" applyBorder="1" applyAlignment="1">
      <alignment vertical="top" wrapText="1"/>
    </xf>
    <xf numFmtId="0" fontId="2" fillId="3" borderId="10" xfId="0" applyFont="1" applyFill="1" applyBorder="1" applyAlignment="1">
      <alignment horizontal="center" vertical="top" wrapText="1"/>
    </xf>
    <xf numFmtId="164" fontId="0" fillId="3" borderId="10" xfId="1" applyNumberFormat="1" applyFont="1" applyFill="1" applyBorder="1" applyAlignment="1">
      <alignment vertical="top" wrapText="1"/>
    </xf>
    <xf numFmtId="0" fontId="0" fillId="0" borderId="0" xfId="0" applyAlignment="1">
      <alignment horizontal="center" vertical="top" wrapText="1"/>
    </xf>
  </cellXfs>
  <cellStyles count="19">
    <cellStyle name="Currency" xfId="1" builtinId="4"/>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 Id="rId8"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5</a:t>
            </a:r>
            <a:r>
              <a:rPr lang="en-US" baseline="0"/>
              <a:t> Year Budgetary Costs By Year</a:t>
            </a:r>
            <a:endParaRPr lang="en-US"/>
          </a:p>
        </c:rich>
      </c:tx>
      <c:layout/>
      <c:overlay val="0"/>
    </c:title>
    <c:autoTitleDeleted val="0"/>
    <c:view3D>
      <c:rotX val="75"/>
      <c:rotY val="0"/>
      <c:rAngAx val="0"/>
      <c:perspective val="30"/>
    </c:view3D>
    <c:floor>
      <c:thickness val="0"/>
    </c:floor>
    <c:sideWall>
      <c:thickness val="0"/>
    </c:sideWall>
    <c:backWall>
      <c:thickness val="0"/>
    </c:backWall>
    <c:plotArea>
      <c:layout/>
      <c:pie3DChart>
        <c:varyColors val="1"/>
        <c:ser>
          <c:idx val="0"/>
          <c:order val="0"/>
          <c:dLbls>
            <c:showLegendKey val="0"/>
            <c:showVal val="1"/>
            <c:showCatName val="0"/>
            <c:showSerName val="0"/>
            <c:showPercent val="0"/>
            <c:showBubbleSize val="0"/>
            <c:showLeaderLines val="1"/>
          </c:dLbls>
          <c:cat>
            <c:strRef>
              <c:f>'Project Summary'!$A$4:$A$8</c:f>
              <c:strCache>
                <c:ptCount val="5"/>
                <c:pt idx="0">
                  <c:v>Implementation and Year 1</c:v>
                </c:pt>
                <c:pt idx="1">
                  <c:v>Year 2</c:v>
                </c:pt>
                <c:pt idx="2">
                  <c:v>Year 3</c:v>
                </c:pt>
                <c:pt idx="3">
                  <c:v>Year 4</c:v>
                </c:pt>
                <c:pt idx="4">
                  <c:v>Year 5</c:v>
                </c:pt>
              </c:strCache>
            </c:strRef>
          </c:cat>
          <c:val>
            <c:numRef>
              <c:f>'Project Summary'!$B$4:$B$8</c:f>
              <c:numCache>
                <c:formatCode>_("$"* #,##0_);_("$"* \(#,##0\);_("$"* "-"??_);_(@_)</c:formatCode>
                <c:ptCount val="5"/>
                <c:pt idx="0">
                  <c:v>14.5</c:v>
                </c:pt>
                <c:pt idx="1">
                  <c:v>7.0</c:v>
                </c:pt>
                <c:pt idx="2">
                  <c:v>7.0</c:v>
                </c:pt>
                <c:pt idx="3">
                  <c:v>7.5</c:v>
                </c:pt>
                <c:pt idx="4">
                  <c:v>7.0</c:v>
                </c:pt>
              </c:numCache>
            </c:numRef>
          </c:val>
        </c:ser>
        <c:dLbls>
          <c:showLegendKey val="0"/>
          <c:showVal val="0"/>
          <c:showCatName val="0"/>
          <c:showSerName val="0"/>
          <c:showPercent val="0"/>
          <c:showBubbleSize val="0"/>
          <c:showLeaderLines val="1"/>
        </c:dLbls>
      </c:pie3DChart>
    </c:plotArea>
    <c:legend>
      <c:legendPos val="r"/>
      <c:layout/>
      <c:overlay val="0"/>
    </c:legend>
    <c:plotVisOnly val="1"/>
    <c:dispBlanksAs val="gap"/>
    <c:showDLblsOverMax val="0"/>
  </c:chart>
  <c:printSettings>
    <c:headerFooter/>
    <c:pageMargins b="1.0" l="0.75" r="0.75" t="1.0"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171866</xdr:colOff>
      <xdr:row>2</xdr:row>
      <xdr:rowOff>45283</xdr:rowOff>
    </xdr:from>
    <xdr:to>
      <xdr:col>2</xdr:col>
      <xdr:colOff>4018196</xdr:colOff>
      <xdr:row>23</xdr:row>
      <xdr:rowOff>83279</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C51"/>
  <sheetViews>
    <sheetView tabSelected="1" workbookViewId="0">
      <selection activeCell="B58" sqref="B58"/>
    </sheetView>
  </sheetViews>
  <sheetFormatPr baseColWidth="10" defaultColWidth="8.83203125" defaultRowHeight="14" x14ac:dyDescent="0"/>
  <cols>
    <col min="1" max="1" width="44.1640625" style="1" customWidth="1"/>
    <col min="2" max="2" width="49.5" style="1" customWidth="1"/>
    <col min="3" max="3" width="55.1640625" style="1" customWidth="1"/>
    <col min="4" max="16384" width="8.83203125" style="1"/>
  </cols>
  <sheetData>
    <row r="1" spans="1:3">
      <c r="A1" s="2" t="s">
        <v>0</v>
      </c>
      <c r="B1" s="30" t="s">
        <v>56</v>
      </c>
      <c r="C1" s="30"/>
    </row>
    <row r="2" spans="1:3" ht="14" customHeight="1">
      <c r="A2" s="2"/>
    </row>
    <row r="3" spans="1:3">
      <c r="A3" s="49" t="s">
        <v>1</v>
      </c>
      <c r="B3" s="50"/>
      <c r="C3" s="28"/>
    </row>
    <row r="4" spans="1:3">
      <c r="A4" s="44" t="s">
        <v>35</v>
      </c>
      <c r="B4" s="45">
        <f>'New Budget Costs'!F66+'New Budget Costs'!G66</f>
        <v>14.5</v>
      </c>
      <c r="C4" s="24"/>
    </row>
    <row r="5" spans="1:3">
      <c r="A5" s="44" t="s">
        <v>11</v>
      </c>
      <c r="B5" s="45">
        <f>'New Budget Costs'!H66</f>
        <v>7</v>
      </c>
      <c r="C5" s="24"/>
    </row>
    <row r="6" spans="1:3">
      <c r="A6" s="44" t="s">
        <v>12</v>
      </c>
      <c r="B6" s="45">
        <f>'New Budget Costs'!I66</f>
        <v>7</v>
      </c>
    </row>
    <row r="7" spans="1:3">
      <c r="A7" s="44" t="s">
        <v>13</v>
      </c>
      <c r="B7" s="45">
        <f>'New Budget Costs'!J66</f>
        <v>7.5</v>
      </c>
    </row>
    <row r="8" spans="1:3">
      <c r="A8" s="44" t="s">
        <v>14</v>
      </c>
      <c r="B8" s="45">
        <f>'New Budget Costs'!K66</f>
        <v>7</v>
      </c>
    </row>
    <row r="9" spans="1:3">
      <c r="A9" s="46" t="s">
        <v>2</v>
      </c>
      <c r="B9" s="47">
        <f>'New Budget Costs'!L66</f>
        <v>43</v>
      </c>
    </row>
    <row r="10" spans="1:3">
      <c r="A10" s="2"/>
    </row>
    <row r="11" spans="1:3">
      <c r="A11" s="49" t="s">
        <v>52</v>
      </c>
      <c r="B11" s="51"/>
    </row>
    <row r="12" spans="1:3">
      <c r="A12" s="48" t="str">
        <f>'New Budget Costs'!A12</f>
        <v>Server and Network Hardware Subtotal</v>
      </c>
      <c r="B12" s="45">
        <f>'New Budget Costs'!L12</f>
        <v>6</v>
      </c>
    </row>
    <row r="13" spans="1:3">
      <c r="A13" s="48" t="str">
        <f>'New Budget Costs'!A20</f>
        <v>Individual Hardware and Peripherals Subtotal</v>
      </c>
      <c r="B13" s="45">
        <f>'New Budget Costs'!L20</f>
        <v>6</v>
      </c>
    </row>
    <row r="14" spans="1:3">
      <c r="A14" s="48" t="str">
        <f>'New Budget Costs'!A28</f>
        <v>Software or Subscriptions Subtotal</v>
      </c>
      <c r="B14" s="45">
        <f>'New Budget Costs'!L28</f>
        <v>6</v>
      </c>
    </row>
    <row r="15" spans="1:3">
      <c r="A15" s="48" t="str">
        <f>'New Budget Costs'!A36</f>
        <v>External Consulting Subtotal</v>
      </c>
      <c r="B15" s="45">
        <f>'New Budget Costs'!L36</f>
        <v>6</v>
      </c>
    </row>
    <row r="16" spans="1:3">
      <c r="A16" s="48" t="str">
        <f>'New Budget Costs'!A43</f>
        <v>Training Subtotal</v>
      </c>
      <c r="B16" s="45">
        <f>'New Budget Costs'!L43</f>
        <v>6</v>
      </c>
    </row>
    <row r="17" spans="1:3">
      <c r="A17" s="48" t="str">
        <f>'New Budget Costs'!A51</f>
        <v>New University of Idaho Personnel Subtotal</v>
      </c>
      <c r="B17" s="45">
        <f>'New Budget Costs'!L51</f>
        <v>6</v>
      </c>
    </row>
    <row r="18" spans="1:3">
      <c r="A18" s="48" t="str">
        <f>'New Budget Costs'!A59</f>
        <v>Service Advertising and Rollout Subtotal</v>
      </c>
      <c r="B18" s="45">
        <f>'New Budget Costs'!L59</f>
        <v>6</v>
      </c>
    </row>
    <row r="19" spans="1:3">
      <c r="A19" s="48" t="str">
        <f>'New Budget Costs'!A63</f>
        <v>Project Contingency</v>
      </c>
      <c r="B19" s="45">
        <f>'New Budget Costs'!L63</f>
        <v>1</v>
      </c>
    </row>
    <row r="20" spans="1:3">
      <c r="A20" s="46" t="s">
        <v>53</v>
      </c>
      <c r="B20" s="47">
        <f>'New Budget Costs'!L66</f>
        <v>43</v>
      </c>
    </row>
    <row r="21" spans="1:3">
      <c r="A21" s="2"/>
      <c r="B21" s="24"/>
    </row>
    <row r="22" spans="1:3">
      <c r="A22" s="42" t="s">
        <v>54</v>
      </c>
      <c r="B22" s="43">
        <f>'Personnel Opportunity Costs'!L23</f>
        <v>12</v>
      </c>
    </row>
    <row r="23" spans="1:3">
      <c r="A23" s="2"/>
      <c r="B23" s="24"/>
    </row>
    <row r="24" spans="1:3" ht="15" thickBot="1">
      <c r="A24" s="40" t="s">
        <v>55</v>
      </c>
      <c r="B24" s="41">
        <f>B22+B20</f>
        <v>55</v>
      </c>
    </row>
    <row r="25" spans="1:3" ht="16" thickTop="1" thickBot="1"/>
    <row r="26" spans="1:3">
      <c r="A26" s="25" t="s">
        <v>36</v>
      </c>
      <c r="B26" s="31" t="str">
        <f>'New Budget Costs'!B1</f>
        <v>&lt;&lt; the name from the AGIT project form&gt;&gt;</v>
      </c>
      <c r="C26" s="32"/>
    </row>
    <row r="27" spans="1:3">
      <c r="A27" s="26"/>
      <c r="B27" s="33"/>
      <c r="C27" s="34"/>
    </row>
    <row r="28" spans="1:3">
      <c r="A28" s="26"/>
      <c r="B28" s="33"/>
      <c r="C28" s="34"/>
    </row>
    <row r="29" spans="1:3">
      <c r="A29" s="26"/>
      <c r="B29" s="33"/>
      <c r="C29" s="34"/>
    </row>
    <row r="30" spans="1:3">
      <c r="A30" s="26"/>
      <c r="B30" s="33"/>
      <c r="C30" s="34"/>
    </row>
    <row r="31" spans="1:3">
      <c r="A31" s="26"/>
      <c r="B31" s="33"/>
      <c r="C31" s="34"/>
    </row>
    <row r="32" spans="1:3">
      <c r="A32" s="26"/>
      <c r="B32" s="33"/>
      <c r="C32" s="34"/>
    </row>
    <row r="33" spans="1:3">
      <c r="A33" s="26"/>
      <c r="B33" s="33"/>
      <c r="C33" s="34"/>
    </row>
    <row r="34" spans="1:3">
      <c r="A34" s="26"/>
      <c r="B34" s="33"/>
      <c r="C34" s="34"/>
    </row>
    <row r="35" spans="1:3" ht="15" thickBot="1">
      <c r="A35" s="27"/>
      <c r="B35" s="35"/>
      <c r="C35" s="36"/>
    </row>
    <row r="36" spans="1:3">
      <c r="A36" s="25" t="s">
        <v>32</v>
      </c>
      <c r="B36" s="31" t="str">
        <f>'New Budget Costs'!B1</f>
        <v>&lt;&lt; the name from the AGIT project form&gt;&gt;</v>
      </c>
      <c r="C36" s="32"/>
    </row>
    <row r="37" spans="1:3">
      <c r="A37" s="26"/>
      <c r="B37" s="33"/>
      <c r="C37" s="34"/>
    </row>
    <row r="38" spans="1:3">
      <c r="A38" s="26"/>
      <c r="B38" s="33"/>
      <c r="C38" s="34"/>
    </row>
    <row r="39" spans="1:3">
      <c r="A39" s="26"/>
      <c r="B39" s="33"/>
      <c r="C39" s="34"/>
    </row>
    <row r="40" spans="1:3">
      <c r="A40" s="26"/>
      <c r="B40" s="33"/>
      <c r="C40" s="34"/>
    </row>
    <row r="41" spans="1:3">
      <c r="A41" s="26"/>
      <c r="B41" s="33"/>
      <c r="C41" s="34"/>
    </row>
    <row r="42" spans="1:3">
      <c r="A42" s="26"/>
      <c r="B42" s="33"/>
      <c r="C42" s="34"/>
    </row>
    <row r="43" spans="1:3" ht="15" thickBot="1">
      <c r="A43" s="27"/>
      <c r="B43" s="35"/>
      <c r="C43" s="36"/>
    </row>
    <row r="44" spans="1:3">
      <c r="A44" s="25" t="s">
        <v>33</v>
      </c>
      <c r="B44" s="31" t="str">
        <f>'New Budget Costs'!B1</f>
        <v>&lt;&lt; the name from the AGIT project form&gt;&gt;</v>
      </c>
      <c r="C44" s="32"/>
    </row>
    <row r="45" spans="1:3">
      <c r="A45" s="26"/>
      <c r="B45" s="33"/>
      <c r="C45" s="34"/>
    </row>
    <row r="46" spans="1:3">
      <c r="A46" s="26"/>
      <c r="B46" s="33"/>
      <c r="C46" s="34"/>
    </row>
    <row r="47" spans="1:3">
      <c r="A47" s="26"/>
      <c r="B47" s="33"/>
      <c r="C47" s="34"/>
    </row>
    <row r="48" spans="1:3">
      <c r="A48" s="26"/>
      <c r="B48" s="33"/>
      <c r="C48" s="34"/>
    </row>
    <row r="49" spans="1:3">
      <c r="A49" s="26"/>
      <c r="B49" s="33"/>
      <c r="C49" s="34"/>
    </row>
    <row r="50" spans="1:3">
      <c r="A50" s="26"/>
      <c r="B50" s="33"/>
      <c r="C50" s="34"/>
    </row>
    <row r="51" spans="1:3" ht="15" thickBot="1">
      <c r="A51" s="27"/>
      <c r="B51" s="35"/>
      <c r="C51" s="36"/>
    </row>
  </sheetData>
  <mergeCells count="27">
    <mergeCell ref="B27:C27"/>
    <mergeCell ref="B51:C51"/>
    <mergeCell ref="B40:C40"/>
    <mergeCell ref="B41:C41"/>
    <mergeCell ref="B42:C42"/>
    <mergeCell ref="B43:C43"/>
    <mergeCell ref="B44:C44"/>
    <mergeCell ref="B45:C45"/>
    <mergeCell ref="B46:C46"/>
    <mergeCell ref="B47:C47"/>
    <mergeCell ref="B48:C48"/>
    <mergeCell ref="B49:C49"/>
    <mergeCell ref="B50:C50"/>
    <mergeCell ref="B39:C39"/>
    <mergeCell ref="B28:C28"/>
    <mergeCell ref="B29:C29"/>
    <mergeCell ref="B30:C30"/>
    <mergeCell ref="B31:C31"/>
    <mergeCell ref="B32:C32"/>
    <mergeCell ref="B33:C33"/>
    <mergeCell ref="B34:C34"/>
    <mergeCell ref="B35:C35"/>
    <mergeCell ref="B36:C36"/>
    <mergeCell ref="B37:C37"/>
    <mergeCell ref="B38:C38"/>
    <mergeCell ref="B26:C26"/>
    <mergeCell ref="B1:C1"/>
  </mergeCells>
  <phoneticPr fontId="6" type="noConversion"/>
  <pageMargins left="0.75" right="0.75" top="1" bottom="1" header="0.5" footer="0.5"/>
  <pageSetup scale="65" orientation="landscape" horizontalDpi="4294967292" verticalDpi="4294967292"/>
  <headerFooter>
    <oddHeader>&amp;C&amp;"Calibri,Bold"&amp;14&amp;K000000&amp;A</oddHeader>
    <oddFooter>&amp;L&amp;"Calibri,Regular"&amp;K000000&amp;F&amp;C&amp;"Calibri,Regular"&amp;K000000Printed: &amp;D  &amp;T&amp;R&amp;"Calibri,Regular"&amp;K000000Page &amp;P of &amp;N</oddFooter>
  </headerFooter>
  <drawing r:id="rId1"/>
  <extLst>
    <ext xmlns:mx="http://schemas.microsoft.com/office/mac/excel/2008/main" uri="{64002731-A6B0-56B0-2670-7721B7C09600}">
      <mx:PLV Mode="0" OnePage="0" WScale="86"/>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L67"/>
  <sheetViews>
    <sheetView tabSelected="1" zoomScale="125" zoomScaleNormal="125" zoomScalePageLayoutView="125" workbookViewId="0">
      <pane xSplit="2" ySplit="5" topLeftCell="C30" activePane="bottomRight" state="frozen"/>
      <selection activeCell="B58" sqref="B58"/>
      <selection pane="topRight" activeCell="B58" sqref="B58"/>
      <selection pane="bottomLeft" activeCell="B58" sqref="B58"/>
      <selection pane="bottomRight" activeCell="B58" sqref="B58"/>
    </sheetView>
  </sheetViews>
  <sheetFormatPr baseColWidth="10" defaultColWidth="8.83203125" defaultRowHeight="14" x14ac:dyDescent="0"/>
  <cols>
    <col min="2" max="2" width="19.5" customWidth="1"/>
    <col min="3" max="3" width="27.5" customWidth="1"/>
    <col min="4" max="4" width="13.5" customWidth="1"/>
    <col min="5" max="5" width="13.6640625" customWidth="1"/>
    <col min="6" max="11" width="15.6640625" style="3" customWidth="1"/>
    <col min="12" max="12" width="15.6640625" style="5" customWidth="1"/>
  </cols>
  <sheetData>
    <row r="1" spans="1:12">
      <c r="A1" s="4" t="s">
        <v>57</v>
      </c>
      <c r="B1" t="str">
        <f>'Project Summary'!B1:C1</f>
        <v>&lt;&lt; the name from the AGIT project form&gt;&gt;</v>
      </c>
      <c r="D1" s="4" t="s">
        <v>16</v>
      </c>
      <c r="F1" s="3" t="s">
        <v>17</v>
      </c>
    </row>
    <row r="2" spans="1:12">
      <c r="C2" s="7"/>
      <c r="D2" s="4" t="s">
        <v>18</v>
      </c>
      <c r="F2" s="8">
        <v>0.03</v>
      </c>
      <c r="G2" s="5" t="s">
        <v>19</v>
      </c>
      <c r="H2" s="8">
        <v>0.1</v>
      </c>
    </row>
    <row r="3" spans="1:12">
      <c r="C3" s="7"/>
      <c r="D3" s="4"/>
      <c r="F3" s="8"/>
      <c r="G3" s="5"/>
      <c r="H3" s="8"/>
    </row>
    <row r="4" spans="1:12">
      <c r="D4" s="38" t="s">
        <v>9</v>
      </c>
      <c r="E4" s="38"/>
      <c r="F4" s="37" t="s">
        <v>1</v>
      </c>
      <c r="G4" s="37"/>
      <c r="H4" s="37"/>
      <c r="I4" s="37"/>
      <c r="J4" s="37"/>
      <c r="K4" s="37"/>
    </row>
    <row r="5" spans="1:12" s="4" customFormat="1">
      <c r="A5" s="4" t="s">
        <v>4</v>
      </c>
      <c r="B5" s="4" t="s">
        <v>5</v>
      </c>
      <c r="C5" s="4" t="s">
        <v>6</v>
      </c>
      <c r="D5" s="4" t="s">
        <v>7</v>
      </c>
      <c r="E5" s="4" t="s">
        <v>8</v>
      </c>
      <c r="F5" s="5" t="s">
        <v>9</v>
      </c>
      <c r="G5" s="6" t="s">
        <v>10</v>
      </c>
      <c r="H5" s="6" t="s">
        <v>11</v>
      </c>
      <c r="I5" s="6" t="s">
        <v>12</v>
      </c>
      <c r="J5" s="6" t="s">
        <v>13</v>
      </c>
      <c r="K5" s="6" t="s">
        <v>14</v>
      </c>
      <c r="L5" s="5" t="s">
        <v>15</v>
      </c>
    </row>
    <row r="6" spans="1:12">
      <c r="A6" s="13" t="s">
        <v>20</v>
      </c>
      <c r="B6" s="17"/>
      <c r="C6" s="17"/>
      <c r="D6" s="17"/>
      <c r="E6" s="17"/>
      <c r="F6" s="18"/>
      <c r="G6" s="18"/>
      <c r="H6" s="18"/>
      <c r="I6" s="18"/>
      <c r="J6" s="18"/>
      <c r="K6" s="18"/>
      <c r="L6" s="19"/>
    </row>
    <row r="7" spans="1:12">
      <c r="B7" t="s">
        <v>68</v>
      </c>
      <c r="D7">
        <v>1</v>
      </c>
      <c r="E7">
        <v>1</v>
      </c>
      <c r="F7" s="3">
        <f t="shared" ref="F7:F11" si="0">D7*E7</f>
        <v>1</v>
      </c>
      <c r="G7" s="3">
        <v>1</v>
      </c>
      <c r="H7" s="3">
        <v>1</v>
      </c>
      <c r="I7" s="3">
        <v>1</v>
      </c>
      <c r="J7" s="3">
        <v>1</v>
      </c>
      <c r="K7" s="3">
        <v>1</v>
      </c>
      <c r="L7" s="5">
        <f t="shared" ref="L7:L11" si="1">SUM(F7:K7)</f>
        <v>6</v>
      </c>
    </row>
    <row r="8" spans="1:12">
      <c r="B8" t="s">
        <v>69</v>
      </c>
      <c r="D8">
        <v>0</v>
      </c>
      <c r="E8">
        <v>0</v>
      </c>
      <c r="F8" s="3">
        <f t="shared" ref="F8" si="2">D8*E8</f>
        <v>0</v>
      </c>
      <c r="G8" s="3">
        <v>0</v>
      </c>
      <c r="H8" s="3">
        <v>0</v>
      </c>
      <c r="I8" s="3">
        <v>0</v>
      </c>
      <c r="J8" s="3">
        <v>0</v>
      </c>
      <c r="K8" s="3">
        <v>0</v>
      </c>
      <c r="L8" s="5">
        <f t="shared" ref="L8" si="3">SUM(F8:K8)</f>
        <v>0</v>
      </c>
    </row>
    <row r="9" spans="1:12">
      <c r="B9" t="s">
        <v>70</v>
      </c>
      <c r="D9">
        <v>0</v>
      </c>
      <c r="E9">
        <v>0</v>
      </c>
      <c r="F9" s="3">
        <f t="shared" si="0"/>
        <v>0</v>
      </c>
      <c r="G9" s="3">
        <v>0</v>
      </c>
      <c r="H9" s="3">
        <v>0</v>
      </c>
      <c r="I9" s="3">
        <v>0</v>
      </c>
      <c r="J9" s="3">
        <v>0</v>
      </c>
      <c r="K9" s="3">
        <v>0</v>
      </c>
      <c r="L9" s="5">
        <f t="shared" si="1"/>
        <v>0</v>
      </c>
    </row>
    <row r="10" spans="1:12">
      <c r="D10">
        <v>0</v>
      </c>
      <c r="E10">
        <v>0</v>
      </c>
      <c r="F10" s="3">
        <f t="shared" si="0"/>
        <v>0</v>
      </c>
      <c r="G10" s="3">
        <v>0</v>
      </c>
      <c r="H10" s="3">
        <v>0</v>
      </c>
      <c r="I10" s="3">
        <v>0</v>
      </c>
      <c r="J10" s="3">
        <v>0</v>
      </c>
      <c r="K10" s="3">
        <v>0</v>
      </c>
      <c r="L10" s="5">
        <f t="shared" si="1"/>
        <v>0</v>
      </c>
    </row>
    <row r="11" spans="1:12">
      <c r="D11">
        <v>0</v>
      </c>
      <c r="E11">
        <v>0</v>
      </c>
      <c r="F11" s="3">
        <f t="shared" si="0"/>
        <v>0</v>
      </c>
      <c r="G11" s="3">
        <v>0</v>
      </c>
      <c r="H11" s="3">
        <v>0</v>
      </c>
      <c r="I11" s="3">
        <v>0</v>
      </c>
      <c r="J11" s="3">
        <v>0</v>
      </c>
      <c r="K11" s="3">
        <v>0</v>
      </c>
      <c r="L11" s="5">
        <f t="shared" si="1"/>
        <v>0</v>
      </c>
    </row>
    <row r="12" spans="1:12" s="9" customFormat="1">
      <c r="A12" s="13" t="s">
        <v>22</v>
      </c>
      <c r="B12" s="13"/>
      <c r="C12" s="13"/>
      <c r="D12" s="13"/>
      <c r="E12" s="13"/>
      <c r="F12" s="14">
        <f>SUM(F6:F11)</f>
        <v>1</v>
      </c>
      <c r="G12" s="14">
        <f t="shared" ref="G12:L12" si="4">SUM(G6:G11)</f>
        <v>1</v>
      </c>
      <c r="H12" s="14">
        <f t="shared" si="4"/>
        <v>1</v>
      </c>
      <c r="I12" s="14">
        <f t="shared" si="4"/>
        <v>1</v>
      </c>
      <c r="J12" s="14">
        <f t="shared" si="4"/>
        <v>1</v>
      </c>
      <c r="K12" s="14">
        <f t="shared" si="4"/>
        <v>1</v>
      </c>
      <c r="L12" s="14">
        <f t="shared" si="4"/>
        <v>6</v>
      </c>
    </row>
    <row r="14" spans="1:12">
      <c r="A14" s="13" t="s">
        <v>37</v>
      </c>
      <c r="B14" s="17"/>
      <c r="C14" s="17"/>
      <c r="D14" s="17"/>
      <c r="E14" s="17"/>
      <c r="F14" s="18"/>
      <c r="G14" s="18"/>
      <c r="H14" s="18"/>
      <c r="I14" s="18"/>
      <c r="J14" s="18"/>
      <c r="K14" s="18"/>
      <c r="L14" s="19"/>
    </row>
    <row r="15" spans="1:12">
      <c r="B15" t="s">
        <v>71</v>
      </c>
      <c r="D15">
        <v>1</v>
      </c>
      <c r="E15">
        <v>1</v>
      </c>
      <c r="F15" s="3">
        <f>E15*D15</f>
        <v>1</v>
      </c>
      <c r="G15" s="3">
        <v>1</v>
      </c>
      <c r="H15" s="3">
        <v>1</v>
      </c>
      <c r="I15" s="3">
        <v>1</v>
      </c>
      <c r="J15" s="3">
        <v>1</v>
      </c>
      <c r="K15" s="3">
        <v>1</v>
      </c>
      <c r="L15" s="5">
        <f>SUM(F15:K15)</f>
        <v>6</v>
      </c>
    </row>
    <row r="16" spans="1:12">
      <c r="B16" t="s">
        <v>72</v>
      </c>
      <c r="D16">
        <v>0</v>
      </c>
      <c r="E16">
        <v>0</v>
      </c>
      <c r="F16" s="3">
        <f t="shared" ref="F16:F19" si="5">E16*D16</f>
        <v>0</v>
      </c>
      <c r="G16" s="3">
        <v>0</v>
      </c>
      <c r="H16" s="3">
        <v>0</v>
      </c>
      <c r="I16" s="3">
        <v>0</v>
      </c>
      <c r="J16" s="3">
        <v>0</v>
      </c>
      <c r="K16" s="3">
        <v>0</v>
      </c>
      <c r="L16" s="5">
        <f t="shared" ref="L16:L19" si="6">SUM(F16:K16)</f>
        <v>0</v>
      </c>
    </row>
    <row r="17" spans="1:12">
      <c r="B17" t="s">
        <v>73</v>
      </c>
      <c r="D17">
        <v>0</v>
      </c>
      <c r="E17">
        <v>0</v>
      </c>
      <c r="F17" s="3">
        <f t="shared" si="5"/>
        <v>0</v>
      </c>
      <c r="G17" s="3">
        <v>0</v>
      </c>
      <c r="H17" s="3">
        <v>0</v>
      </c>
      <c r="I17" s="3">
        <v>0</v>
      </c>
      <c r="J17" s="3">
        <v>0</v>
      </c>
      <c r="K17" s="3">
        <v>0</v>
      </c>
      <c r="L17" s="5">
        <f t="shared" si="6"/>
        <v>0</v>
      </c>
    </row>
    <row r="18" spans="1:12">
      <c r="D18">
        <v>0</v>
      </c>
      <c r="E18">
        <v>0</v>
      </c>
      <c r="F18" s="3">
        <f t="shared" si="5"/>
        <v>0</v>
      </c>
      <c r="G18" s="3">
        <v>0</v>
      </c>
      <c r="H18" s="3">
        <v>0</v>
      </c>
      <c r="I18" s="3">
        <v>0</v>
      </c>
      <c r="J18" s="3">
        <v>0</v>
      </c>
      <c r="K18" s="3">
        <v>0</v>
      </c>
      <c r="L18" s="5">
        <f t="shared" si="6"/>
        <v>0</v>
      </c>
    </row>
    <row r="19" spans="1:12">
      <c r="D19">
        <v>0</v>
      </c>
      <c r="E19">
        <v>0</v>
      </c>
      <c r="F19" s="3">
        <f t="shared" si="5"/>
        <v>0</v>
      </c>
      <c r="G19" s="3">
        <v>0</v>
      </c>
      <c r="H19" s="3">
        <v>0</v>
      </c>
      <c r="I19" s="3">
        <v>0</v>
      </c>
      <c r="J19" s="3">
        <v>0</v>
      </c>
      <c r="K19" s="3">
        <v>0</v>
      </c>
      <c r="L19" s="5">
        <f t="shared" si="6"/>
        <v>0</v>
      </c>
    </row>
    <row r="20" spans="1:12" s="9" customFormat="1">
      <c r="A20" s="13" t="s">
        <v>21</v>
      </c>
      <c r="B20" s="13"/>
      <c r="C20" s="13"/>
      <c r="D20" s="13"/>
      <c r="E20" s="13"/>
      <c r="F20" s="14">
        <f>SUM(F15:F19)</f>
        <v>1</v>
      </c>
      <c r="G20" s="14">
        <f t="shared" ref="G20:L20" si="7">SUM(G15:G19)</f>
        <v>1</v>
      </c>
      <c r="H20" s="14">
        <f t="shared" si="7"/>
        <v>1</v>
      </c>
      <c r="I20" s="14">
        <f t="shared" si="7"/>
        <v>1</v>
      </c>
      <c r="J20" s="14">
        <f t="shared" si="7"/>
        <v>1</v>
      </c>
      <c r="K20" s="14">
        <f t="shared" si="7"/>
        <v>1</v>
      </c>
      <c r="L20" s="14">
        <f t="shared" si="7"/>
        <v>6</v>
      </c>
    </row>
    <row r="22" spans="1:12" s="9" customFormat="1">
      <c r="A22" s="13" t="s">
        <v>24</v>
      </c>
      <c r="B22" s="13"/>
      <c r="C22" s="13"/>
      <c r="D22" s="13"/>
      <c r="E22" s="13"/>
      <c r="F22" s="14"/>
      <c r="G22" s="14"/>
      <c r="H22" s="14"/>
      <c r="I22" s="14"/>
      <c r="J22" s="14"/>
      <c r="K22" s="14"/>
      <c r="L22" s="14"/>
    </row>
    <row r="23" spans="1:12">
      <c r="B23" t="s">
        <v>74</v>
      </c>
      <c r="D23">
        <v>1</v>
      </c>
      <c r="E23">
        <v>1</v>
      </c>
      <c r="F23" s="3">
        <f>E23*D23</f>
        <v>1</v>
      </c>
      <c r="G23" s="3">
        <v>1</v>
      </c>
      <c r="H23" s="3">
        <v>1</v>
      </c>
      <c r="I23" s="3">
        <v>1</v>
      </c>
      <c r="J23" s="3">
        <v>1</v>
      </c>
      <c r="K23" s="3">
        <v>1</v>
      </c>
      <c r="L23" s="5">
        <f>SUM(F23:K23)</f>
        <v>6</v>
      </c>
    </row>
    <row r="24" spans="1:12">
      <c r="B24" t="s">
        <v>75</v>
      </c>
      <c r="D24">
        <v>0</v>
      </c>
      <c r="E24">
        <v>0</v>
      </c>
      <c r="F24" s="3">
        <f t="shared" ref="F24:F27" si="8">E24*D24</f>
        <v>0</v>
      </c>
      <c r="G24" s="3">
        <v>0</v>
      </c>
      <c r="H24" s="3">
        <v>0</v>
      </c>
      <c r="I24" s="3">
        <v>0</v>
      </c>
      <c r="J24" s="3">
        <v>0</v>
      </c>
      <c r="K24" s="3">
        <v>0</v>
      </c>
      <c r="L24" s="5">
        <f t="shared" ref="L24:L27" si="9">SUM(F24:K24)</f>
        <v>0</v>
      </c>
    </row>
    <row r="25" spans="1:12">
      <c r="B25" t="s">
        <v>76</v>
      </c>
      <c r="D25">
        <v>0</v>
      </c>
      <c r="E25">
        <v>0</v>
      </c>
      <c r="F25" s="3">
        <f t="shared" si="8"/>
        <v>0</v>
      </c>
      <c r="G25" s="3">
        <v>0</v>
      </c>
      <c r="H25" s="3">
        <v>0</v>
      </c>
      <c r="I25" s="3">
        <v>0</v>
      </c>
      <c r="J25" s="3">
        <v>0</v>
      </c>
      <c r="K25" s="3">
        <v>0</v>
      </c>
      <c r="L25" s="5">
        <f t="shared" si="9"/>
        <v>0</v>
      </c>
    </row>
    <row r="26" spans="1:12">
      <c r="B26" t="s">
        <v>77</v>
      </c>
      <c r="D26">
        <v>0</v>
      </c>
      <c r="E26">
        <v>0</v>
      </c>
      <c r="F26" s="3">
        <f t="shared" si="8"/>
        <v>0</v>
      </c>
      <c r="G26" s="3">
        <v>0</v>
      </c>
      <c r="H26" s="3">
        <v>0</v>
      </c>
      <c r="I26" s="3">
        <v>0</v>
      </c>
      <c r="J26" s="3">
        <v>0</v>
      </c>
      <c r="K26" s="3">
        <v>0</v>
      </c>
      <c r="L26" s="5">
        <f t="shared" si="9"/>
        <v>0</v>
      </c>
    </row>
    <row r="27" spans="1:12">
      <c r="B27" t="s">
        <v>78</v>
      </c>
      <c r="D27">
        <v>0</v>
      </c>
      <c r="E27">
        <v>0</v>
      </c>
      <c r="F27" s="3">
        <f t="shared" si="8"/>
        <v>0</v>
      </c>
      <c r="G27" s="3">
        <v>0</v>
      </c>
      <c r="H27" s="3">
        <v>0</v>
      </c>
      <c r="I27" s="3">
        <v>0</v>
      </c>
      <c r="J27" s="3">
        <v>0</v>
      </c>
      <c r="K27" s="3">
        <v>0</v>
      </c>
      <c r="L27" s="5">
        <f t="shared" si="9"/>
        <v>0</v>
      </c>
    </row>
    <row r="28" spans="1:12" s="9" customFormat="1">
      <c r="A28" s="13" t="s">
        <v>25</v>
      </c>
      <c r="B28" s="13"/>
      <c r="C28" s="13"/>
      <c r="D28" s="13"/>
      <c r="E28" s="13"/>
      <c r="F28" s="14">
        <f>SUM(F23:F27)</f>
        <v>1</v>
      </c>
      <c r="G28" s="14">
        <f t="shared" ref="G28:L28" si="10">SUM(G23:G27)</f>
        <v>1</v>
      </c>
      <c r="H28" s="14">
        <f t="shared" si="10"/>
        <v>1</v>
      </c>
      <c r="I28" s="14">
        <f t="shared" si="10"/>
        <v>1</v>
      </c>
      <c r="J28" s="14">
        <f t="shared" si="10"/>
        <v>1</v>
      </c>
      <c r="K28" s="14">
        <f t="shared" si="10"/>
        <v>1</v>
      </c>
      <c r="L28" s="14">
        <f t="shared" si="10"/>
        <v>6</v>
      </c>
    </row>
    <row r="30" spans="1:12" s="9" customFormat="1">
      <c r="A30" s="13" t="s">
        <v>42</v>
      </c>
      <c r="B30" s="13"/>
      <c r="C30" s="13"/>
      <c r="D30" s="13"/>
      <c r="E30" s="13"/>
      <c r="F30" s="14"/>
      <c r="G30" s="14"/>
      <c r="H30" s="14"/>
      <c r="I30" s="14"/>
      <c r="J30" s="14"/>
      <c r="K30" s="14"/>
      <c r="L30" s="14"/>
    </row>
    <row r="31" spans="1:12">
      <c r="B31" t="s">
        <v>79</v>
      </c>
      <c r="D31">
        <v>1</v>
      </c>
      <c r="E31">
        <v>1</v>
      </c>
      <c r="F31" s="3">
        <f>E31*D31</f>
        <v>1</v>
      </c>
      <c r="G31" s="3">
        <v>1</v>
      </c>
      <c r="H31" s="3">
        <v>1</v>
      </c>
      <c r="I31" s="3">
        <v>1</v>
      </c>
      <c r="J31" s="3">
        <v>1</v>
      </c>
      <c r="K31" s="3">
        <v>1</v>
      </c>
      <c r="L31" s="5">
        <f>SUM(F31:K31)</f>
        <v>6</v>
      </c>
    </row>
    <row r="32" spans="1:12">
      <c r="B32" t="s">
        <v>80</v>
      </c>
      <c r="D32">
        <v>0</v>
      </c>
      <c r="E32">
        <v>0</v>
      </c>
      <c r="F32" s="3">
        <f t="shared" ref="F32:F35" si="11">E32*D32</f>
        <v>0</v>
      </c>
      <c r="G32" s="3">
        <v>0</v>
      </c>
      <c r="H32" s="3">
        <v>0</v>
      </c>
      <c r="I32" s="3">
        <v>0</v>
      </c>
      <c r="J32" s="3">
        <v>0</v>
      </c>
      <c r="K32" s="3">
        <v>0</v>
      </c>
      <c r="L32" s="5">
        <f t="shared" ref="L32:L35" si="12">SUM(F32:K32)</f>
        <v>0</v>
      </c>
    </row>
    <row r="33" spans="1:12">
      <c r="B33" t="s">
        <v>81</v>
      </c>
      <c r="D33">
        <v>0</v>
      </c>
      <c r="E33">
        <v>0</v>
      </c>
      <c r="F33" s="3">
        <f t="shared" si="11"/>
        <v>0</v>
      </c>
      <c r="G33" s="3">
        <v>0</v>
      </c>
      <c r="H33" s="3">
        <v>0</v>
      </c>
      <c r="I33" s="3">
        <v>0</v>
      </c>
      <c r="J33" s="3">
        <v>0</v>
      </c>
      <c r="K33" s="3">
        <v>0</v>
      </c>
      <c r="L33" s="5">
        <f t="shared" si="12"/>
        <v>0</v>
      </c>
    </row>
    <row r="34" spans="1:12">
      <c r="B34" t="s">
        <v>84</v>
      </c>
      <c r="D34">
        <v>0</v>
      </c>
      <c r="E34">
        <v>0</v>
      </c>
      <c r="F34" s="3">
        <f t="shared" si="11"/>
        <v>0</v>
      </c>
      <c r="G34" s="3">
        <v>0</v>
      </c>
      <c r="H34" s="3">
        <v>0</v>
      </c>
      <c r="I34" s="3">
        <v>0</v>
      </c>
      <c r="J34" s="3">
        <v>0</v>
      </c>
      <c r="K34" s="3">
        <v>0</v>
      </c>
      <c r="L34" s="5">
        <f t="shared" si="12"/>
        <v>0</v>
      </c>
    </row>
    <row r="35" spans="1:12">
      <c r="D35">
        <v>0</v>
      </c>
      <c r="E35">
        <v>0</v>
      </c>
      <c r="F35" s="3">
        <f t="shared" si="11"/>
        <v>0</v>
      </c>
      <c r="G35" s="3">
        <v>0</v>
      </c>
      <c r="H35" s="3">
        <v>0</v>
      </c>
      <c r="I35" s="3">
        <v>0</v>
      </c>
      <c r="J35" s="3">
        <v>0</v>
      </c>
      <c r="K35" s="3">
        <v>0</v>
      </c>
      <c r="L35" s="5">
        <f t="shared" si="12"/>
        <v>0</v>
      </c>
    </row>
    <row r="36" spans="1:12" s="9" customFormat="1">
      <c r="A36" s="13" t="s">
        <v>58</v>
      </c>
      <c r="B36" s="13"/>
      <c r="C36" s="13"/>
      <c r="D36" s="13"/>
      <c r="E36" s="13"/>
      <c r="F36" s="14">
        <f>SUM(F31:F35)</f>
        <v>1</v>
      </c>
      <c r="G36" s="14">
        <f t="shared" ref="G36:L36" si="13">SUM(G31:G35)</f>
        <v>1</v>
      </c>
      <c r="H36" s="14">
        <f t="shared" si="13"/>
        <v>1</v>
      </c>
      <c r="I36" s="14">
        <f t="shared" si="13"/>
        <v>1</v>
      </c>
      <c r="J36" s="14">
        <f t="shared" si="13"/>
        <v>1</v>
      </c>
      <c r="K36" s="14">
        <f t="shared" si="13"/>
        <v>1</v>
      </c>
      <c r="L36" s="14">
        <f t="shared" si="13"/>
        <v>6</v>
      </c>
    </row>
    <row r="38" spans="1:12" s="9" customFormat="1">
      <c r="A38" s="13" t="s">
        <v>43</v>
      </c>
      <c r="B38" s="13"/>
      <c r="C38" s="13"/>
      <c r="D38" s="13"/>
      <c r="E38" s="13"/>
      <c r="F38" s="14"/>
      <c r="G38" s="14"/>
      <c r="H38" s="14"/>
      <c r="I38" s="14"/>
      <c r="J38" s="14"/>
      <c r="K38" s="14"/>
      <c r="L38" s="14"/>
    </row>
    <row r="39" spans="1:12">
      <c r="B39" t="s">
        <v>82</v>
      </c>
      <c r="D39">
        <v>1</v>
      </c>
      <c r="E39">
        <v>1</v>
      </c>
      <c r="F39" s="3">
        <f>E39*D39</f>
        <v>1</v>
      </c>
      <c r="G39" s="3">
        <v>1</v>
      </c>
      <c r="H39" s="3">
        <v>1</v>
      </c>
      <c r="I39" s="3">
        <v>1</v>
      </c>
      <c r="J39" s="3">
        <v>1</v>
      </c>
      <c r="K39" s="3">
        <v>1</v>
      </c>
      <c r="L39" s="5">
        <f>SUM(F39:K39)</f>
        <v>6</v>
      </c>
    </row>
    <row r="40" spans="1:12">
      <c r="B40" t="s">
        <v>83</v>
      </c>
      <c r="F40" s="3">
        <f t="shared" ref="F40:F42" si="14">E40*D40</f>
        <v>0</v>
      </c>
      <c r="G40" s="3">
        <v>0</v>
      </c>
      <c r="H40" s="3">
        <v>0</v>
      </c>
      <c r="I40" s="3">
        <v>0</v>
      </c>
      <c r="J40" s="3">
        <v>0</v>
      </c>
      <c r="K40" s="3">
        <v>0</v>
      </c>
      <c r="L40" s="5">
        <f t="shared" ref="L40:L42" si="15">SUM(F40:K40)</f>
        <v>0</v>
      </c>
    </row>
    <row r="41" spans="1:12">
      <c r="B41" t="s">
        <v>91</v>
      </c>
      <c r="F41" s="3">
        <f t="shared" si="14"/>
        <v>0</v>
      </c>
      <c r="G41" s="3">
        <v>0</v>
      </c>
      <c r="H41" s="3">
        <v>0</v>
      </c>
      <c r="I41" s="3">
        <v>0</v>
      </c>
      <c r="J41" s="3">
        <v>0</v>
      </c>
      <c r="K41" s="3">
        <v>0</v>
      </c>
      <c r="L41" s="5">
        <f t="shared" si="15"/>
        <v>0</v>
      </c>
    </row>
    <row r="42" spans="1:12">
      <c r="B42" t="s">
        <v>92</v>
      </c>
      <c r="F42" s="3">
        <f t="shared" si="14"/>
        <v>0</v>
      </c>
      <c r="G42" s="3">
        <v>0</v>
      </c>
      <c r="H42" s="3">
        <v>0</v>
      </c>
      <c r="I42" s="3">
        <v>0</v>
      </c>
      <c r="J42" s="3">
        <v>0</v>
      </c>
      <c r="K42" s="3">
        <v>0</v>
      </c>
      <c r="L42" s="5">
        <f t="shared" si="15"/>
        <v>0</v>
      </c>
    </row>
    <row r="43" spans="1:12" s="9" customFormat="1">
      <c r="A43" s="13" t="s">
        <v>59</v>
      </c>
      <c r="B43" s="13"/>
      <c r="C43" s="13"/>
      <c r="D43" s="13"/>
      <c r="E43" s="13"/>
      <c r="F43" s="14">
        <f>SUM(F39:F42)</f>
        <v>1</v>
      </c>
      <c r="G43" s="14">
        <f t="shared" ref="G43:K43" si="16">SUM(G39:G42)</f>
        <v>1</v>
      </c>
      <c r="H43" s="14">
        <f t="shared" si="16"/>
        <v>1</v>
      </c>
      <c r="I43" s="14">
        <f t="shared" si="16"/>
        <v>1</v>
      </c>
      <c r="J43" s="14">
        <f t="shared" si="16"/>
        <v>1</v>
      </c>
      <c r="K43" s="14">
        <f t="shared" si="16"/>
        <v>1</v>
      </c>
      <c r="L43" s="14">
        <f>SUM(F43:K43)</f>
        <v>6</v>
      </c>
    </row>
    <row r="45" spans="1:12" s="9" customFormat="1">
      <c r="A45" s="13" t="s">
        <v>40</v>
      </c>
      <c r="B45" s="13"/>
      <c r="C45" s="13"/>
      <c r="D45" s="13"/>
      <c r="E45" s="13"/>
      <c r="F45" s="14"/>
      <c r="G45" s="14"/>
      <c r="H45" s="14"/>
      <c r="I45" s="14"/>
      <c r="J45" s="14"/>
      <c r="K45" s="14"/>
      <c r="L45" s="14"/>
    </row>
    <row r="46" spans="1:12">
      <c r="B46" t="s">
        <v>23</v>
      </c>
      <c r="D46">
        <v>1</v>
      </c>
      <c r="E46">
        <v>1</v>
      </c>
      <c r="F46" s="3">
        <f>E46*D46</f>
        <v>1</v>
      </c>
      <c r="G46" s="3">
        <v>1</v>
      </c>
      <c r="H46" s="3">
        <v>1</v>
      </c>
      <c r="I46" s="3">
        <v>1</v>
      </c>
      <c r="J46" s="3">
        <v>1</v>
      </c>
      <c r="K46" s="3">
        <v>1</v>
      </c>
      <c r="L46" s="5">
        <f>SUM(F46:K46)</f>
        <v>6</v>
      </c>
    </row>
    <row r="47" spans="1:12">
      <c r="B47" t="s">
        <v>85</v>
      </c>
      <c r="C47" t="s">
        <v>38</v>
      </c>
      <c r="D47">
        <v>0</v>
      </c>
      <c r="E47">
        <v>0</v>
      </c>
      <c r="F47" s="3">
        <f t="shared" ref="F47:F50" si="17">E47*D47</f>
        <v>0</v>
      </c>
      <c r="G47" s="3">
        <v>0</v>
      </c>
      <c r="H47" s="3">
        <v>0</v>
      </c>
      <c r="I47" s="3">
        <v>0</v>
      </c>
      <c r="J47" s="3">
        <v>0</v>
      </c>
      <c r="K47" s="3">
        <v>0</v>
      </c>
      <c r="L47" s="5">
        <f t="shared" ref="L47:L50" si="18">SUM(F47:K47)</f>
        <v>0</v>
      </c>
    </row>
    <row r="48" spans="1:12">
      <c r="B48" t="s">
        <v>86</v>
      </c>
      <c r="D48">
        <v>0</v>
      </c>
      <c r="E48">
        <v>0</v>
      </c>
      <c r="F48" s="3">
        <f t="shared" si="17"/>
        <v>0</v>
      </c>
      <c r="G48" s="3">
        <v>0</v>
      </c>
      <c r="H48" s="3">
        <v>0</v>
      </c>
      <c r="I48" s="3">
        <v>0</v>
      </c>
      <c r="J48" s="3">
        <v>0</v>
      </c>
      <c r="K48" s="3">
        <v>0</v>
      </c>
      <c r="L48" s="5">
        <f t="shared" si="18"/>
        <v>0</v>
      </c>
    </row>
    <row r="49" spans="1:12">
      <c r="B49" t="s">
        <v>87</v>
      </c>
      <c r="D49">
        <v>0</v>
      </c>
      <c r="E49">
        <v>0</v>
      </c>
      <c r="F49" s="3">
        <f t="shared" si="17"/>
        <v>0</v>
      </c>
      <c r="G49" s="3">
        <v>0</v>
      </c>
      <c r="H49" s="3">
        <v>0</v>
      </c>
      <c r="I49" s="3">
        <v>0</v>
      </c>
      <c r="J49" s="3">
        <v>0</v>
      </c>
      <c r="K49" s="3">
        <v>0</v>
      </c>
      <c r="L49" s="5">
        <f t="shared" si="18"/>
        <v>0</v>
      </c>
    </row>
    <row r="50" spans="1:12">
      <c r="D50">
        <v>0</v>
      </c>
      <c r="E50">
        <v>0</v>
      </c>
      <c r="F50" s="3">
        <f t="shared" si="17"/>
        <v>0</v>
      </c>
      <c r="G50" s="3">
        <v>0</v>
      </c>
      <c r="H50" s="3">
        <v>0</v>
      </c>
      <c r="I50" s="3">
        <v>0</v>
      </c>
      <c r="J50" s="3">
        <v>0</v>
      </c>
      <c r="K50" s="3">
        <v>0</v>
      </c>
      <c r="L50" s="5">
        <f t="shared" si="18"/>
        <v>0</v>
      </c>
    </row>
    <row r="51" spans="1:12" s="9" customFormat="1">
      <c r="A51" s="13" t="s">
        <v>41</v>
      </c>
      <c r="B51" s="13"/>
      <c r="C51" s="13"/>
      <c r="D51" s="13"/>
      <c r="E51" s="13"/>
      <c r="F51" s="14">
        <f>SUM(F46:F50)</f>
        <v>1</v>
      </c>
      <c r="G51" s="14">
        <f t="shared" ref="G51:L51" si="19">SUM(G46:G50)</f>
        <v>1</v>
      </c>
      <c r="H51" s="14">
        <f t="shared" si="19"/>
        <v>1</v>
      </c>
      <c r="I51" s="14">
        <f t="shared" si="19"/>
        <v>1</v>
      </c>
      <c r="J51" s="14">
        <f t="shared" si="19"/>
        <v>1</v>
      </c>
      <c r="K51" s="14">
        <f t="shared" si="19"/>
        <v>1</v>
      </c>
      <c r="L51" s="14">
        <f t="shared" si="19"/>
        <v>6</v>
      </c>
    </row>
    <row r="52" spans="1:12" s="9" customFormat="1">
      <c r="F52" s="12"/>
      <c r="G52" s="12"/>
      <c r="H52" s="12"/>
      <c r="I52" s="12"/>
      <c r="J52" s="12"/>
      <c r="K52" s="12"/>
      <c r="L52" s="12"/>
    </row>
    <row r="53" spans="1:12" s="9" customFormat="1">
      <c r="A53" s="13" t="s">
        <v>29</v>
      </c>
      <c r="B53" s="13"/>
      <c r="C53" s="13"/>
      <c r="D53" s="13"/>
      <c r="E53" s="13"/>
      <c r="F53" s="14"/>
      <c r="G53" s="14"/>
      <c r="H53" s="14"/>
      <c r="I53" s="14"/>
      <c r="J53" s="14"/>
      <c r="K53" s="14"/>
      <c r="L53" s="14"/>
    </row>
    <row r="54" spans="1:12" s="10" customFormat="1">
      <c r="B54" s="10" t="s">
        <v>88</v>
      </c>
      <c r="D54" s="10">
        <v>1</v>
      </c>
      <c r="E54" s="10">
        <v>1</v>
      </c>
      <c r="F54" s="11">
        <f>E54*D54</f>
        <v>1</v>
      </c>
      <c r="G54" s="11">
        <v>1</v>
      </c>
      <c r="H54" s="11">
        <v>1</v>
      </c>
      <c r="I54" s="11">
        <v>1</v>
      </c>
      <c r="J54" s="11">
        <v>1</v>
      </c>
      <c r="K54" s="11">
        <v>1</v>
      </c>
      <c r="L54" s="5">
        <f>SUM(F54:K54)</f>
        <v>6</v>
      </c>
    </row>
    <row r="55" spans="1:12" s="10" customFormat="1">
      <c r="B55" s="10" t="s">
        <v>89</v>
      </c>
      <c r="D55" s="10">
        <v>0</v>
      </c>
      <c r="E55" s="10">
        <v>0</v>
      </c>
      <c r="F55" s="11">
        <f t="shared" ref="F55:F58" si="20">E55*D55</f>
        <v>0</v>
      </c>
      <c r="G55" s="11">
        <v>0</v>
      </c>
      <c r="H55" s="11">
        <v>0</v>
      </c>
      <c r="I55" s="11">
        <v>0</v>
      </c>
      <c r="J55" s="11">
        <v>0</v>
      </c>
      <c r="K55" s="11">
        <v>0</v>
      </c>
      <c r="L55" s="5">
        <f t="shared" ref="L55:L58" si="21">SUM(F55:K55)</f>
        <v>0</v>
      </c>
    </row>
    <row r="56" spans="1:12" s="10" customFormat="1">
      <c r="B56" s="10" t="s">
        <v>90</v>
      </c>
      <c r="D56" s="10">
        <v>0</v>
      </c>
      <c r="E56" s="10">
        <v>0</v>
      </c>
      <c r="F56" s="11">
        <f t="shared" si="20"/>
        <v>0</v>
      </c>
      <c r="G56" s="11">
        <v>0</v>
      </c>
      <c r="H56" s="11">
        <v>0</v>
      </c>
      <c r="I56" s="11">
        <v>0</v>
      </c>
      <c r="J56" s="11">
        <v>0</v>
      </c>
      <c r="K56" s="11">
        <v>0</v>
      </c>
      <c r="L56" s="5">
        <f t="shared" si="21"/>
        <v>0</v>
      </c>
    </row>
    <row r="57" spans="1:12" s="10" customFormat="1">
      <c r="D57" s="10">
        <v>0</v>
      </c>
      <c r="E57" s="10">
        <v>0</v>
      </c>
      <c r="F57" s="11">
        <f t="shared" si="20"/>
        <v>0</v>
      </c>
      <c r="G57" s="11">
        <v>0</v>
      </c>
      <c r="H57" s="11">
        <v>0</v>
      </c>
      <c r="I57" s="11">
        <v>0</v>
      </c>
      <c r="J57" s="11">
        <v>0</v>
      </c>
      <c r="K57" s="11">
        <v>0</v>
      </c>
      <c r="L57" s="5">
        <f t="shared" si="21"/>
        <v>0</v>
      </c>
    </row>
    <row r="58" spans="1:12" s="10" customFormat="1">
      <c r="D58" s="10">
        <v>0</v>
      </c>
      <c r="E58" s="10">
        <v>0</v>
      </c>
      <c r="F58" s="11">
        <f t="shared" si="20"/>
        <v>0</v>
      </c>
      <c r="G58" s="11">
        <v>0</v>
      </c>
      <c r="H58" s="11">
        <v>0</v>
      </c>
      <c r="I58" s="11">
        <v>0</v>
      </c>
      <c r="J58" s="11">
        <v>0</v>
      </c>
      <c r="K58" s="11">
        <v>0</v>
      </c>
      <c r="L58" s="5">
        <f t="shared" si="21"/>
        <v>0</v>
      </c>
    </row>
    <row r="59" spans="1:12" s="9" customFormat="1">
      <c r="A59" s="13" t="s">
        <v>30</v>
      </c>
      <c r="B59" s="13"/>
      <c r="C59" s="13"/>
      <c r="D59" s="13"/>
      <c r="E59" s="13"/>
      <c r="F59" s="14">
        <f>SUM(F54:F58)</f>
        <v>1</v>
      </c>
      <c r="G59" s="14">
        <f t="shared" ref="G59:L59" si="22">SUM(G54:G58)</f>
        <v>1</v>
      </c>
      <c r="H59" s="14">
        <f t="shared" si="22"/>
        <v>1</v>
      </c>
      <c r="I59" s="14">
        <f t="shared" si="22"/>
        <v>1</v>
      </c>
      <c r="J59" s="14">
        <f t="shared" si="22"/>
        <v>1</v>
      </c>
      <c r="K59" s="14">
        <f t="shared" si="22"/>
        <v>1</v>
      </c>
      <c r="L59" s="14">
        <f t="shared" si="22"/>
        <v>6</v>
      </c>
    </row>
    <row r="61" spans="1:12" s="9" customFormat="1">
      <c r="A61" s="22" t="s">
        <v>31</v>
      </c>
      <c r="B61" s="22"/>
      <c r="C61" s="22"/>
      <c r="D61" s="22"/>
      <c r="E61" s="22"/>
      <c r="F61" s="23">
        <f>F59+F51+F43+F36+F28+F20+F12</f>
        <v>7</v>
      </c>
      <c r="G61" s="23">
        <f t="shared" ref="G61:L61" si="23">G59+G51+G43+G36+G28+G20+G12</f>
        <v>7</v>
      </c>
      <c r="H61" s="23">
        <f t="shared" si="23"/>
        <v>7</v>
      </c>
      <c r="I61" s="23">
        <f t="shared" si="23"/>
        <v>7</v>
      </c>
      <c r="J61" s="23">
        <f t="shared" si="23"/>
        <v>7</v>
      </c>
      <c r="K61" s="23">
        <f t="shared" si="23"/>
        <v>7</v>
      </c>
      <c r="L61" s="23">
        <f t="shared" si="23"/>
        <v>42</v>
      </c>
    </row>
    <row r="63" spans="1:12" s="9" customFormat="1">
      <c r="A63" s="15" t="s">
        <v>26</v>
      </c>
      <c r="B63" s="15"/>
      <c r="C63" s="15"/>
      <c r="D63" s="15"/>
      <c r="E63" s="15"/>
      <c r="F63" s="16">
        <f>IF(F64="X",$H$2*(F59+F36+F28+F20+F12),0)</f>
        <v>0.5</v>
      </c>
      <c r="G63" s="16">
        <f t="shared" ref="G63:K63" si="24">IF(G64="X",$H$2*(G59+G36+G28+G20+G12),0)</f>
        <v>0</v>
      </c>
      <c r="H63" s="16">
        <f t="shared" si="24"/>
        <v>0</v>
      </c>
      <c r="I63" s="16">
        <f t="shared" si="24"/>
        <v>0</v>
      </c>
      <c r="J63" s="16">
        <f t="shared" si="24"/>
        <v>0.5</v>
      </c>
      <c r="K63" s="16">
        <f t="shared" si="24"/>
        <v>0</v>
      </c>
      <c r="L63" s="16">
        <f>SUM(F63:K63)</f>
        <v>1</v>
      </c>
    </row>
    <row r="64" spans="1:12">
      <c r="B64" t="s">
        <v>27</v>
      </c>
      <c r="F64" s="39" t="s">
        <v>39</v>
      </c>
      <c r="G64" s="39"/>
      <c r="H64" s="39"/>
      <c r="I64" s="39"/>
      <c r="J64" s="39" t="s">
        <v>34</v>
      </c>
      <c r="K64" s="39"/>
    </row>
    <row r="66" spans="1:12" s="9" customFormat="1" ht="15" thickBot="1">
      <c r="A66" s="20" t="s">
        <v>28</v>
      </c>
      <c r="B66" s="20"/>
      <c r="C66" s="20"/>
      <c r="D66" s="20"/>
      <c r="E66" s="20"/>
      <c r="F66" s="21">
        <f>F61+F63</f>
        <v>7.5</v>
      </c>
      <c r="G66" s="21">
        <f t="shared" ref="G66:L66" si="25">G61+G63</f>
        <v>7</v>
      </c>
      <c r="H66" s="21">
        <f t="shared" si="25"/>
        <v>7</v>
      </c>
      <c r="I66" s="21">
        <f t="shared" si="25"/>
        <v>7</v>
      </c>
      <c r="J66" s="21">
        <f t="shared" si="25"/>
        <v>7.5</v>
      </c>
      <c r="K66" s="21">
        <f t="shared" si="25"/>
        <v>7</v>
      </c>
      <c r="L66" s="21">
        <f t="shared" si="25"/>
        <v>43</v>
      </c>
    </row>
    <row r="67" spans="1:12" ht="15" thickTop="1"/>
  </sheetData>
  <mergeCells count="2">
    <mergeCell ref="F4:K4"/>
    <mergeCell ref="D4:E4"/>
  </mergeCells>
  <phoneticPr fontId="6" type="noConversion"/>
  <pageMargins left="0.7" right="0.7" top="0.75" bottom="0.75" header="0.3" footer="0.3"/>
  <pageSetup scale="59" fitToHeight="0" orientation="landscape" verticalDpi="0"/>
  <headerFooter>
    <oddHeader>&amp;C&amp;"-,Bold"&amp;14AGIT &amp;A</oddHeader>
    <oddFooter xml:space="preserve">&amp;L&amp;F&amp;CPrinted: &amp;D  &amp;T&amp;RPage &amp;P of &amp;N </oddFooter>
  </headerFooter>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L23"/>
  <sheetViews>
    <sheetView tabSelected="1" zoomScale="75" zoomScaleNormal="75" zoomScalePageLayoutView="75" workbookViewId="0">
      <selection activeCell="B58" sqref="B58"/>
    </sheetView>
  </sheetViews>
  <sheetFormatPr baseColWidth="10" defaultColWidth="8.83203125" defaultRowHeight="14" x14ac:dyDescent="0"/>
  <cols>
    <col min="2" max="2" width="19.5" customWidth="1"/>
    <col min="3" max="3" width="27.5" customWidth="1"/>
    <col min="4" max="4" width="13.5" customWidth="1"/>
    <col min="5" max="5" width="13.6640625" customWidth="1"/>
    <col min="6" max="11" width="15.6640625" style="3" customWidth="1"/>
    <col min="12" max="12" width="15.6640625" style="5" customWidth="1"/>
  </cols>
  <sheetData>
    <row r="1" spans="1:12">
      <c r="A1" s="4" t="s">
        <v>3</v>
      </c>
      <c r="B1" t="str">
        <f>'New Budget Costs'!B1</f>
        <v>&lt;&lt; the name from the AGIT project form&gt;&gt;</v>
      </c>
      <c r="D1" s="4" t="s">
        <v>16</v>
      </c>
      <c r="F1" s="3" t="str">
        <f>'New Budget Costs'!F1</f>
        <v>&lt;&lt;choose Cloud, Traditional or Hybrid Cloud/Traditional&gt;&gt;</v>
      </c>
    </row>
    <row r="2" spans="1:12">
      <c r="B2">
        <f>'New Budget Costs'!B2</f>
        <v>0</v>
      </c>
      <c r="C2" s="7"/>
      <c r="D2" s="4" t="s">
        <v>18</v>
      </c>
      <c r="F2" s="8">
        <v>0.03</v>
      </c>
      <c r="G2" s="5"/>
      <c r="H2" s="8"/>
    </row>
    <row r="3" spans="1:12">
      <c r="C3" s="7"/>
      <c r="D3" s="4"/>
      <c r="F3" s="8"/>
      <c r="G3" s="5"/>
      <c r="H3" s="8"/>
    </row>
    <row r="4" spans="1:12">
      <c r="D4" s="38" t="s">
        <v>9</v>
      </c>
      <c r="E4" s="38"/>
      <c r="F4" s="37" t="s">
        <v>47</v>
      </c>
      <c r="G4" s="37"/>
      <c r="H4" s="37"/>
      <c r="I4" s="37"/>
      <c r="J4" s="37"/>
      <c r="K4" s="37"/>
    </row>
    <row r="5" spans="1:12" s="4" customFormat="1">
      <c r="A5" s="4" t="s">
        <v>4</v>
      </c>
      <c r="B5" s="4" t="s">
        <v>5</v>
      </c>
      <c r="C5" s="4" t="s">
        <v>6</v>
      </c>
      <c r="D5" s="4" t="s">
        <v>45</v>
      </c>
      <c r="E5" s="4" t="s">
        <v>46</v>
      </c>
      <c r="F5" s="5" t="s">
        <v>9</v>
      </c>
      <c r="G5" s="6" t="s">
        <v>10</v>
      </c>
      <c r="H5" s="6" t="s">
        <v>11</v>
      </c>
      <c r="I5" s="6" t="s">
        <v>12</v>
      </c>
      <c r="J5" s="6" t="s">
        <v>13</v>
      </c>
      <c r="K5" s="6" t="s">
        <v>14</v>
      </c>
      <c r="L5" s="5" t="s">
        <v>15</v>
      </c>
    </row>
    <row r="6" spans="1:12">
      <c r="A6" s="13" t="s">
        <v>48</v>
      </c>
      <c r="B6" s="17"/>
      <c r="C6" s="17"/>
      <c r="D6" s="17"/>
      <c r="E6" s="17"/>
      <c r="F6" s="18"/>
      <c r="G6" s="18"/>
      <c r="H6" s="18"/>
      <c r="I6" s="18"/>
      <c r="J6" s="18"/>
      <c r="K6" s="18"/>
      <c r="L6" s="19"/>
    </row>
    <row r="7" spans="1:12">
      <c r="B7" t="s">
        <v>60</v>
      </c>
      <c r="D7">
        <v>1</v>
      </c>
      <c r="E7">
        <v>1</v>
      </c>
      <c r="F7" s="3">
        <f t="shared" ref="F7:F11" si="0">D7*E7</f>
        <v>1</v>
      </c>
      <c r="G7" s="3">
        <v>1</v>
      </c>
      <c r="H7" s="3">
        <v>1</v>
      </c>
      <c r="I7" s="3">
        <v>1</v>
      </c>
      <c r="J7" s="3">
        <v>1</v>
      </c>
      <c r="K7" s="3">
        <v>1</v>
      </c>
      <c r="L7" s="5">
        <f t="shared" ref="L7:L11" si="1">SUM(F7:K7)</f>
        <v>6</v>
      </c>
    </row>
    <row r="8" spans="1:12">
      <c r="B8" t="s">
        <v>61</v>
      </c>
      <c r="D8">
        <v>0</v>
      </c>
      <c r="E8">
        <v>0</v>
      </c>
      <c r="F8" s="3">
        <f t="shared" si="0"/>
        <v>0</v>
      </c>
      <c r="G8" s="3">
        <v>0</v>
      </c>
      <c r="H8" s="3">
        <v>0</v>
      </c>
      <c r="I8" s="3">
        <v>0</v>
      </c>
      <c r="J8" s="3">
        <v>0</v>
      </c>
      <c r="K8" s="3">
        <v>0</v>
      </c>
      <c r="L8" s="5">
        <f t="shared" ref="L8" si="2">SUM(F8:K8)</f>
        <v>0</v>
      </c>
    </row>
    <row r="9" spans="1:12">
      <c r="B9" t="s">
        <v>62</v>
      </c>
      <c r="D9">
        <v>0</v>
      </c>
      <c r="E9">
        <v>0</v>
      </c>
      <c r="F9" s="3">
        <f t="shared" si="0"/>
        <v>0</v>
      </c>
      <c r="G9" s="3">
        <v>0</v>
      </c>
      <c r="H9" s="3">
        <v>0</v>
      </c>
      <c r="I9" s="3">
        <v>0</v>
      </c>
      <c r="J9" s="3">
        <v>0</v>
      </c>
      <c r="K9" s="3">
        <v>0</v>
      </c>
      <c r="L9" s="5">
        <f t="shared" si="1"/>
        <v>0</v>
      </c>
    </row>
    <row r="10" spans="1:12">
      <c r="D10">
        <v>0</v>
      </c>
      <c r="E10">
        <v>0</v>
      </c>
      <c r="F10" s="3">
        <f t="shared" si="0"/>
        <v>0</v>
      </c>
      <c r="G10" s="3">
        <v>0</v>
      </c>
      <c r="H10" s="3">
        <v>0</v>
      </c>
      <c r="I10" s="3">
        <v>0</v>
      </c>
      <c r="J10" s="3">
        <v>0</v>
      </c>
      <c r="K10" s="3">
        <v>0</v>
      </c>
      <c r="L10" s="5">
        <f t="shared" si="1"/>
        <v>0</v>
      </c>
    </row>
    <row r="11" spans="1:12">
      <c r="D11">
        <v>0</v>
      </c>
      <c r="E11">
        <v>0</v>
      </c>
      <c r="F11" s="3">
        <f t="shared" si="0"/>
        <v>0</v>
      </c>
      <c r="G11" s="3">
        <v>0</v>
      </c>
      <c r="H11" s="3">
        <v>0</v>
      </c>
      <c r="I11" s="3">
        <v>0</v>
      </c>
      <c r="J11" s="3">
        <v>0</v>
      </c>
      <c r="K11" s="3">
        <v>0</v>
      </c>
      <c r="L11" s="5">
        <f t="shared" si="1"/>
        <v>0</v>
      </c>
    </row>
    <row r="12" spans="1:12" s="9" customFormat="1">
      <c r="A12" s="13" t="s">
        <v>49</v>
      </c>
      <c r="B12" s="13"/>
      <c r="C12" s="13"/>
      <c r="D12" s="13"/>
      <c r="E12" s="13"/>
      <c r="F12" s="14">
        <f>SUM(F6:F11)</f>
        <v>1</v>
      </c>
      <c r="G12" s="14">
        <f t="shared" ref="G12:L12" si="3">SUM(G6:G11)</f>
        <v>1</v>
      </c>
      <c r="H12" s="14">
        <f t="shared" si="3"/>
        <v>1</v>
      </c>
      <c r="I12" s="14">
        <f t="shared" si="3"/>
        <v>1</v>
      </c>
      <c r="J12" s="14">
        <f t="shared" si="3"/>
        <v>1</v>
      </c>
      <c r="K12" s="14">
        <f t="shared" si="3"/>
        <v>1</v>
      </c>
      <c r="L12" s="14">
        <f t="shared" si="3"/>
        <v>6</v>
      </c>
    </row>
    <row r="14" spans="1:12">
      <c r="A14" s="13" t="s">
        <v>44</v>
      </c>
      <c r="B14" s="17"/>
      <c r="C14" s="17"/>
      <c r="D14" s="17"/>
      <c r="E14" s="17"/>
      <c r="F14" s="18"/>
      <c r="G14" s="18"/>
      <c r="H14" s="18"/>
      <c r="I14" s="18"/>
      <c r="J14" s="18"/>
      <c r="K14" s="18"/>
      <c r="L14" s="19"/>
    </row>
    <row r="15" spans="1:12">
      <c r="B15" t="s">
        <v>63</v>
      </c>
      <c r="D15">
        <v>1</v>
      </c>
      <c r="E15">
        <v>1</v>
      </c>
      <c r="F15" s="3">
        <f>E15*D15</f>
        <v>1</v>
      </c>
      <c r="G15" s="3">
        <v>1</v>
      </c>
      <c r="H15" s="3">
        <v>1</v>
      </c>
      <c r="I15" s="3">
        <v>1</v>
      </c>
      <c r="J15" s="3">
        <v>1</v>
      </c>
      <c r="K15" s="3">
        <v>1</v>
      </c>
      <c r="L15" s="5">
        <f>SUM(F15:K15)</f>
        <v>6</v>
      </c>
    </row>
    <row r="16" spans="1:12">
      <c r="B16" t="s">
        <v>64</v>
      </c>
      <c r="D16">
        <v>0</v>
      </c>
      <c r="E16">
        <v>0</v>
      </c>
      <c r="F16" s="3">
        <f t="shared" ref="F16:F19" si="4">E16*D16</f>
        <v>0</v>
      </c>
      <c r="G16" s="3">
        <v>0</v>
      </c>
      <c r="H16" s="3">
        <v>0</v>
      </c>
      <c r="I16" s="3">
        <v>0</v>
      </c>
      <c r="J16" s="3">
        <v>0</v>
      </c>
      <c r="K16" s="3">
        <v>0</v>
      </c>
      <c r="L16" s="5">
        <f t="shared" ref="L16:L19" si="5">SUM(F16:K16)</f>
        <v>0</v>
      </c>
    </row>
    <row r="17" spans="1:12">
      <c r="B17" t="s">
        <v>65</v>
      </c>
      <c r="D17">
        <v>0</v>
      </c>
      <c r="E17">
        <v>0</v>
      </c>
      <c r="F17" s="3">
        <f t="shared" si="4"/>
        <v>0</v>
      </c>
      <c r="G17" s="3">
        <v>0</v>
      </c>
      <c r="H17" s="3">
        <v>0</v>
      </c>
      <c r="I17" s="3">
        <v>0</v>
      </c>
      <c r="J17" s="3">
        <v>0</v>
      </c>
      <c r="K17" s="3">
        <v>0</v>
      </c>
      <c r="L17" s="5">
        <f t="shared" si="5"/>
        <v>0</v>
      </c>
    </row>
    <row r="18" spans="1:12">
      <c r="B18" t="s">
        <v>66</v>
      </c>
      <c r="D18">
        <v>0</v>
      </c>
      <c r="E18">
        <v>0</v>
      </c>
      <c r="F18" s="3">
        <f t="shared" si="4"/>
        <v>0</v>
      </c>
      <c r="G18" s="3">
        <v>0</v>
      </c>
      <c r="H18" s="3">
        <v>0</v>
      </c>
      <c r="I18" s="3">
        <v>0</v>
      </c>
      <c r="J18" s="3">
        <v>0</v>
      </c>
      <c r="K18" s="3">
        <v>0</v>
      </c>
      <c r="L18" s="5">
        <f t="shared" si="5"/>
        <v>0</v>
      </c>
    </row>
    <row r="19" spans="1:12">
      <c r="B19" t="s">
        <v>67</v>
      </c>
      <c r="D19">
        <v>0</v>
      </c>
      <c r="E19">
        <v>0</v>
      </c>
      <c r="F19" s="3">
        <f t="shared" si="4"/>
        <v>0</v>
      </c>
      <c r="G19" s="3">
        <v>0</v>
      </c>
      <c r="H19" s="3">
        <v>0</v>
      </c>
      <c r="I19" s="3">
        <v>0</v>
      </c>
      <c r="J19" s="3">
        <v>0</v>
      </c>
      <c r="K19" s="3">
        <v>0</v>
      </c>
      <c r="L19" s="5">
        <f t="shared" si="5"/>
        <v>0</v>
      </c>
    </row>
    <row r="20" spans="1:12" s="9" customFormat="1">
      <c r="A20" s="13" t="s">
        <v>50</v>
      </c>
      <c r="B20" s="13"/>
      <c r="C20" s="13"/>
      <c r="D20" s="13"/>
      <c r="E20" s="13"/>
      <c r="F20" s="14">
        <f>SUM(F15:F19)</f>
        <v>1</v>
      </c>
      <c r="G20" s="14">
        <f t="shared" ref="G20:L20" si="6">SUM(G15:G19)</f>
        <v>1</v>
      </c>
      <c r="H20" s="14">
        <f t="shared" si="6"/>
        <v>1</v>
      </c>
      <c r="I20" s="14">
        <f t="shared" si="6"/>
        <v>1</v>
      </c>
      <c r="J20" s="14">
        <f t="shared" si="6"/>
        <v>1</v>
      </c>
      <c r="K20" s="14">
        <f t="shared" si="6"/>
        <v>1</v>
      </c>
      <c r="L20" s="14">
        <f t="shared" si="6"/>
        <v>6</v>
      </c>
    </row>
    <row r="23" spans="1:12" s="9" customFormat="1">
      <c r="A23" s="22" t="s">
        <v>51</v>
      </c>
      <c r="B23" s="22"/>
      <c r="C23" s="22"/>
      <c r="D23" s="22"/>
      <c r="E23" s="22"/>
      <c r="F23" s="23">
        <f>F20+F12</f>
        <v>2</v>
      </c>
      <c r="G23" s="23">
        <f t="shared" ref="G23:L23" si="7">G20+G12</f>
        <v>2</v>
      </c>
      <c r="H23" s="23">
        <f t="shared" si="7"/>
        <v>2</v>
      </c>
      <c r="I23" s="23">
        <f t="shared" si="7"/>
        <v>2</v>
      </c>
      <c r="J23" s="23">
        <f t="shared" si="7"/>
        <v>2</v>
      </c>
      <c r="K23" s="23">
        <f t="shared" si="7"/>
        <v>2</v>
      </c>
      <c r="L23" s="23">
        <f t="shared" si="7"/>
        <v>12</v>
      </c>
    </row>
  </sheetData>
  <mergeCells count="2">
    <mergeCell ref="D4:E4"/>
    <mergeCell ref="F4:K4"/>
  </mergeCells>
  <phoneticPr fontId="6" type="noConversion"/>
  <pageMargins left="0.75" right="0.75" top="1" bottom="1" header="0.5" footer="0.5"/>
  <pageSetup scale="59" fitToHeight="0" orientation="landscape" horizontalDpi="4294967292" verticalDpi="4294967292"/>
  <headerFooter>
    <oddHeader>&amp;C&amp;"Calibri,Bold"&amp;14&amp;K000000&amp;A</oddHeader>
    <oddFooter>&amp;L&amp;"Calibri,Regular"&amp;K000000&amp;F&amp;C&amp;"Calibri,Regular"&amp;K000000Printed: &amp;D  &amp;T&amp;R&amp;"Calibri,Regular"&amp;K000000Page &amp;P of &amp;N</oddFooter>
  </headerFooter>
  <extLst>
    <ext xmlns:mx="http://schemas.microsoft.com/office/mac/excel/2008/main" uri="{64002731-A6B0-56B0-2670-7721B7C09600}">
      <mx:PLV Mode="0" OnePage="0" WScale="10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workbookViewId="0">
      <selection activeCell="B58" sqref="B58"/>
    </sheetView>
  </sheetViews>
  <sheetFormatPr baseColWidth="10" defaultRowHeight="14" x14ac:dyDescent="0"/>
  <cols>
    <col min="1" max="1" width="10.83203125" style="52"/>
    <col min="2" max="2" width="75.6640625" style="29" customWidth="1"/>
    <col min="3" max="16384" width="10.83203125" style="29"/>
  </cols>
  <sheetData>
    <row r="1" spans="1:2">
      <c r="A1" s="52" t="s">
        <v>93</v>
      </c>
      <c r="B1" s="29" t="s">
        <v>94</v>
      </c>
    </row>
    <row r="2" spans="1:2">
      <c r="A2" s="52">
        <v>1</v>
      </c>
      <c r="B2" s="29" t="s">
        <v>95</v>
      </c>
    </row>
    <row r="3" spans="1:2">
      <c r="B3" s="29" t="s">
        <v>96</v>
      </c>
    </row>
    <row r="4" spans="1:2">
      <c r="B4" s="29" t="s">
        <v>97</v>
      </c>
    </row>
    <row r="5" spans="1:2">
      <c r="B5" s="29" t="s">
        <v>98</v>
      </c>
    </row>
    <row r="6" spans="1:2" ht="28">
      <c r="B6" s="29" t="s">
        <v>99</v>
      </c>
    </row>
    <row r="7" spans="1:2">
      <c r="B7" s="29" t="s">
        <v>100</v>
      </c>
    </row>
    <row r="8" spans="1:2">
      <c r="B8" s="29" t="s">
        <v>101</v>
      </c>
    </row>
    <row r="9" spans="1:2">
      <c r="B9" s="29" t="s">
        <v>102</v>
      </c>
    </row>
    <row r="10" spans="1:2">
      <c r="B10" s="29" t="s">
        <v>103</v>
      </c>
    </row>
    <row r="11" spans="1:2" ht="42">
      <c r="B11" s="29" t="s">
        <v>104</v>
      </c>
    </row>
    <row r="12" spans="1:2" ht="28">
      <c r="B12" s="29" t="s">
        <v>105</v>
      </c>
    </row>
    <row r="13" spans="1:2">
      <c r="A13" s="52">
        <v>2</v>
      </c>
      <c r="B13" s="29" t="s">
        <v>106</v>
      </c>
    </row>
    <row r="14" spans="1:2" ht="28">
      <c r="B14" s="29" t="s">
        <v>107</v>
      </c>
    </row>
    <row r="15" spans="1:2">
      <c r="B15" s="29" t="s">
        <v>108</v>
      </c>
    </row>
    <row r="16" spans="1:2">
      <c r="A16" s="52">
        <v>3</v>
      </c>
      <c r="B16" s="29" t="s">
        <v>109</v>
      </c>
    </row>
    <row r="17" spans="1:2">
      <c r="A17" s="52">
        <v>4</v>
      </c>
      <c r="B17" s="29" t="s">
        <v>110</v>
      </c>
    </row>
    <row r="18" spans="1:2">
      <c r="B18" s="29" t="s">
        <v>111</v>
      </c>
    </row>
    <row r="19" spans="1:2">
      <c r="B19" s="29" t="s">
        <v>112</v>
      </c>
    </row>
    <row r="20" spans="1:2" ht="28">
      <c r="B20" s="29" t="s">
        <v>113</v>
      </c>
    </row>
  </sheetData>
  <phoneticPr fontId="6" type="noConversion"/>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Project Summary</vt:lpstr>
      <vt:lpstr>New Budget Costs</vt:lpstr>
      <vt:lpstr>Personnel Opportunity Costs</vt:lpstr>
      <vt:lpstr>TCO Instructions</vt:lpstr>
    </vt:vector>
  </TitlesOfParts>
  <Company>University of Idaho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Ewart, Daniel</dc:creator>
  <cp:lastModifiedBy>Dan Ewart</cp:lastModifiedBy>
  <cp:lastPrinted>2012-09-13T06:56:18Z</cp:lastPrinted>
  <dcterms:created xsi:type="dcterms:W3CDTF">2012-04-24T00:33:09Z</dcterms:created>
  <dcterms:modified xsi:type="dcterms:W3CDTF">2012-09-13T06:56:30Z</dcterms:modified>
</cp:coreProperties>
</file>