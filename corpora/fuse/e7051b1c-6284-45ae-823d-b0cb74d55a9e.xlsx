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135" windowWidth="20535" windowHeight="9465"/>
  </bookViews>
  <sheets>
    <sheet name="Notes" sheetId="9" r:id="rId1"/>
    <sheet name="Teams" sheetId="1" r:id="rId2"/>
    <sheet name="Matches" sheetId="2" r:id="rId3"/>
    <sheet name="Online Results" sheetId="6" r:id="rId4"/>
    <sheet name="Enter Team Data Here" sheetId="7" r:id="rId5"/>
  </sheets>
  <definedNames>
    <definedName name="matchresults_1" localSheetId="3">'Online Results'!$L$1:$U$153</definedName>
    <definedName name="rankings" localSheetId="3">'Online Results'!$A$1:$J$103</definedName>
  </definedNames>
  <calcPr calcId="124519"/>
</workbook>
</file>

<file path=xl/calcChain.xml><?xml version="1.0" encoding="utf-8"?>
<calcChain xmlns="http://schemas.openxmlformats.org/spreadsheetml/2006/main">
  <c r="C189" i="7"/>
  <c r="C190"/>
  <c r="D190" s="1"/>
  <c r="D189"/>
  <c r="D188"/>
  <c r="N149" i="2"/>
  <c r="O149"/>
  <c r="N150"/>
  <c r="O150"/>
  <c r="N151"/>
  <c r="O151"/>
  <c r="C187" i="7"/>
  <c r="D187" s="1"/>
  <c r="C188"/>
  <c r="O2" i="2"/>
  <c r="Q2" s="1"/>
  <c r="O3"/>
  <c r="Q3" s="1"/>
  <c r="O4"/>
  <c r="Q4" s="1"/>
  <c r="O5"/>
  <c r="Q5" s="1"/>
  <c r="O6"/>
  <c r="Q6" s="1"/>
  <c r="O7"/>
  <c r="Q7" s="1"/>
  <c r="O8"/>
  <c r="Q8" s="1"/>
  <c r="O9"/>
  <c r="Q9" s="1"/>
  <c r="O10"/>
  <c r="Q10" s="1"/>
  <c r="O11"/>
  <c r="Q11" s="1"/>
  <c r="O12"/>
  <c r="Q12" s="1"/>
  <c r="O13"/>
  <c r="Q13" s="1"/>
  <c r="O14"/>
  <c r="Q14" s="1"/>
  <c r="O15"/>
  <c r="Q15" s="1"/>
  <c r="O16"/>
  <c r="Q16" s="1"/>
  <c r="O17"/>
  <c r="Q17" s="1"/>
  <c r="O18"/>
  <c r="Q18" s="1"/>
  <c r="O19"/>
  <c r="Q19" s="1"/>
  <c r="O20"/>
  <c r="Q20" s="1"/>
  <c r="O21"/>
  <c r="Q21" s="1"/>
  <c r="O22"/>
  <c r="Q22" s="1"/>
  <c r="O23"/>
  <c r="Q23" s="1"/>
  <c r="O24"/>
  <c r="Q24" s="1"/>
  <c r="O25"/>
  <c r="Q25" s="1"/>
  <c r="O26"/>
  <c r="Q26" s="1"/>
  <c r="O27"/>
  <c r="Q27" s="1"/>
  <c r="O28"/>
  <c r="Q28" s="1"/>
  <c r="O29"/>
  <c r="Q29" s="1"/>
  <c r="O30"/>
  <c r="Q30" s="1"/>
  <c r="O31"/>
  <c r="Q31" s="1"/>
  <c r="O32"/>
  <c r="Q32" s="1"/>
  <c r="O33"/>
  <c r="Q33" s="1"/>
  <c r="O34"/>
  <c r="Q34" s="1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52"/>
  <c r="N3"/>
  <c r="P3" s="1"/>
  <c r="N4"/>
  <c r="P4" s="1"/>
  <c r="N5"/>
  <c r="P5" s="1"/>
  <c r="N6"/>
  <c r="P6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52"/>
  <c r="N2"/>
  <c r="P2" s="1"/>
  <c r="F3" i="7"/>
  <c r="F4"/>
  <c r="H4" s="1"/>
  <c r="F5"/>
  <c r="F6"/>
  <c r="H6" s="1"/>
  <c r="F7"/>
  <c r="H7" s="1"/>
  <c r="F8"/>
  <c r="H8" s="1"/>
  <c r="F9"/>
  <c r="F10"/>
  <c r="F11"/>
  <c r="F12"/>
  <c r="H12" s="1"/>
  <c r="F13"/>
  <c r="H13" s="1"/>
  <c r="F14"/>
  <c r="H14" s="1"/>
  <c r="F15"/>
  <c r="G15" s="1"/>
  <c r="F16"/>
  <c r="H16" s="1"/>
  <c r="F17"/>
  <c r="F18"/>
  <c r="F19"/>
  <c r="F20"/>
  <c r="H20" s="1"/>
  <c r="F21"/>
  <c r="H21" s="1"/>
  <c r="F22"/>
  <c r="H22" s="1"/>
  <c r="F23"/>
  <c r="H23" s="1"/>
  <c r="F24"/>
  <c r="H24" s="1"/>
  <c r="F25"/>
  <c r="H25" s="1"/>
  <c r="F26"/>
  <c r="F27"/>
  <c r="F28"/>
  <c r="H28" s="1"/>
  <c r="F29"/>
  <c r="H29" s="1"/>
  <c r="F30"/>
  <c r="H30" s="1"/>
  <c r="F31"/>
  <c r="F32"/>
  <c r="H32" s="1"/>
  <c r="F33"/>
  <c r="F34"/>
  <c r="F35"/>
  <c r="F36"/>
  <c r="H36" s="1"/>
  <c r="F37"/>
  <c r="F38"/>
  <c r="H38" s="1"/>
  <c r="F39"/>
  <c r="H39" s="1"/>
  <c r="F40"/>
  <c r="H40" s="1"/>
  <c r="F41"/>
  <c r="F42"/>
  <c r="H42" s="1"/>
  <c r="F43"/>
  <c r="F44"/>
  <c r="H44" s="1"/>
  <c r="F45"/>
  <c r="H45" s="1"/>
  <c r="F46"/>
  <c r="H46" s="1"/>
  <c r="F47"/>
  <c r="F48"/>
  <c r="H48" s="1"/>
  <c r="F49"/>
  <c r="F50"/>
  <c r="F51"/>
  <c r="F52"/>
  <c r="H52" s="1"/>
  <c r="F53"/>
  <c r="G53" s="1"/>
  <c r="F54"/>
  <c r="H54" s="1"/>
  <c r="F55"/>
  <c r="H55" s="1"/>
  <c r="F56"/>
  <c r="H56" s="1"/>
  <c r="F57"/>
  <c r="H57" s="1"/>
  <c r="F58"/>
  <c r="F59"/>
  <c r="F60"/>
  <c r="H60" s="1"/>
  <c r="F61"/>
  <c r="H61" s="1"/>
  <c r="F62"/>
  <c r="H62" s="1"/>
  <c r="F63"/>
  <c r="F64"/>
  <c r="H64" s="1"/>
  <c r="F65"/>
  <c r="F66"/>
  <c r="H66" s="1"/>
  <c r="F67"/>
  <c r="F68"/>
  <c r="H68" s="1"/>
  <c r="F69"/>
  <c r="F70"/>
  <c r="H70" s="1"/>
  <c r="F71"/>
  <c r="F72"/>
  <c r="H72" s="1"/>
  <c r="F73"/>
  <c r="H73" s="1"/>
  <c r="F74"/>
  <c r="F75"/>
  <c r="F76"/>
  <c r="H76" s="1"/>
  <c r="F77"/>
  <c r="H77" s="1"/>
  <c r="F78"/>
  <c r="H78" s="1"/>
  <c r="F79"/>
  <c r="G79" s="1"/>
  <c r="F80"/>
  <c r="H80" s="1"/>
  <c r="F81"/>
  <c r="F82"/>
  <c r="H82" s="1"/>
  <c r="F83"/>
  <c r="F84"/>
  <c r="H84" s="1"/>
  <c r="F85"/>
  <c r="H85" s="1"/>
  <c r="F86"/>
  <c r="F87"/>
  <c r="H87" s="1"/>
  <c r="F88"/>
  <c r="H88" s="1"/>
  <c r="F89"/>
  <c r="H89" s="1"/>
  <c r="F90"/>
  <c r="H90" s="1"/>
  <c r="F91"/>
  <c r="F92"/>
  <c r="G92" s="1"/>
  <c r="F93"/>
  <c r="H93" s="1"/>
  <c r="F94"/>
  <c r="G94" s="1"/>
  <c r="F95"/>
  <c r="G95" s="1"/>
  <c r="F96"/>
  <c r="H96" s="1"/>
  <c r="F97"/>
  <c r="F98"/>
  <c r="F99"/>
  <c r="F100"/>
  <c r="G100" s="1"/>
  <c r="F101"/>
  <c r="G101" s="1"/>
  <c r="F2"/>
  <c r="G2" s="1"/>
  <c r="B2" i="2"/>
  <c r="C2"/>
  <c r="D2"/>
  <c r="E2"/>
  <c r="F2"/>
  <c r="G2"/>
  <c r="H2"/>
  <c r="B3"/>
  <c r="C3"/>
  <c r="D3"/>
  <c r="E3"/>
  <c r="F3"/>
  <c r="G3"/>
  <c r="H3"/>
  <c r="B4"/>
  <c r="C4"/>
  <c r="D4"/>
  <c r="E4"/>
  <c r="F4"/>
  <c r="G4"/>
  <c r="H4"/>
  <c r="B5"/>
  <c r="C5"/>
  <c r="D5"/>
  <c r="E5"/>
  <c r="F5"/>
  <c r="G5"/>
  <c r="H5"/>
  <c r="B6"/>
  <c r="C6"/>
  <c r="D6"/>
  <c r="E6"/>
  <c r="F6"/>
  <c r="G6"/>
  <c r="H6"/>
  <c r="B7"/>
  <c r="C7"/>
  <c r="D7"/>
  <c r="E7"/>
  <c r="F7"/>
  <c r="G7"/>
  <c r="H7"/>
  <c r="B8"/>
  <c r="C8"/>
  <c r="D8"/>
  <c r="E8"/>
  <c r="F8"/>
  <c r="G8"/>
  <c r="H8"/>
  <c r="B9"/>
  <c r="C9"/>
  <c r="D9"/>
  <c r="E9"/>
  <c r="F9"/>
  <c r="G9"/>
  <c r="H9"/>
  <c r="B10"/>
  <c r="C10"/>
  <c r="D10"/>
  <c r="E10"/>
  <c r="F10"/>
  <c r="G10"/>
  <c r="H10"/>
  <c r="B11"/>
  <c r="C11"/>
  <c r="D11"/>
  <c r="E11"/>
  <c r="F11"/>
  <c r="G11"/>
  <c r="H11"/>
  <c r="B12"/>
  <c r="C12"/>
  <c r="D12"/>
  <c r="E12"/>
  <c r="F12"/>
  <c r="G12"/>
  <c r="H12"/>
  <c r="B13"/>
  <c r="C13"/>
  <c r="D13"/>
  <c r="E13"/>
  <c r="F13"/>
  <c r="G13"/>
  <c r="H13"/>
  <c r="B14"/>
  <c r="C14"/>
  <c r="D14"/>
  <c r="E14"/>
  <c r="F14"/>
  <c r="G14"/>
  <c r="H14"/>
  <c r="B15"/>
  <c r="C15"/>
  <c r="D15"/>
  <c r="E15"/>
  <c r="F15"/>
  <c r="G15"/>
  <c r="H15"/>
  <c r="B16"/>
  <c r="C16"/>
  <c r="D16"/>
  <c r="E16"/>
  <c r="F16"/>
  <c r="G16"/>
  <c r="H16"/>
  <c r="B17"/>
  <c r="C17"/>
  <c r="D17"/>
  <c r="E17"/>
  <c r="F17"/>
  <c r="G17"/>
  <c r="H17"/>
  <c r="B18"/>
  <c r="C18"/>
  <c r="D18"/>
  <c r="E18"/>
  <c r="F18"/>
  <c r="G18"/>
  <c r="H18"/>
  <c r="B19"/>
  <c r="C19"/>
  <c r="D19"/>
  <c r="E19"/>
  <c r="F19"/>
  <c r="G19"/>
  <c r="H19"/>
  <c r="B20"/>
  <c r="C20"/>
  <c r="D20"/>
  <c r="E20"/>
  <c r="F20"/>
  <c r="G20"/>
  <c r="H20"/>
  <c r="B21"/>
  <c r="C21"/>
  <c r="D21"/>
  <c r="E21"/>
  <c r="F21"/>
  <c r="G21"/>
  <c r="H21"/>
  <c r="B22"/>
  <c r="C22"/>
  <c r="D22"/>
  <c r="E22"/>
  <c r="F22"/>
  <c r="G22"/>
  <c r="H22"/>
  <c r="B23"/>
  <c r="C23"/>
  <c r="D23"/>
  <c r="E23"/>
  <c r="F23"/>
  <c r="G23"/>
  <c r="H23"/>
  <c r="B24"/>
  <c r="C24"/>
  <c r="D24"/>
  <c r="E24"/>
  <c r="F24"/>
  <c r="G24"/>
  <c r="H24"/>
  <c r="B25"/>
  <c r="C25"/>
  <c r="D25"/>
  <c r="E25"/>
  <c r="F25"/>
  <c r="G25"/>
  <c r="H25"/>
  <c r="B26"/>
  <c r="C26"/>
  <c r="D26"/>
  <c r="E26"/>
  <c r="F26"/>
  <c r="G26"/>
  <c r="H26"/>
  <c r="B27"/>
  <c r="C27"/>
  <c r="D27"/>
  <c r="E27"/>
  <c r="F27"/>
  <c r="G27"/>
  <c r="H27"/>
  <c r="B28"/>
  <c r="C28"/>
  <c r="D28"/>
  <c r="E28"/>
  <c r="F28"/>
  <c r="G28"/>
  <c r="H28"/>
  <c r="B29"/>
  <c r="C29"/>
  <c r="D29"/>
  <c r="E29"/>
  <c r="F29"/>
  <c r="G29"/>
  <c r="H29"/>
  <c r="B30"/>
  <c r="C30"/>
  <c r="D30"/>
  <c r="E30"/>
  <c r="F30"/>
  <c r="G30"/>
  <c r="H30"/>
  <c r="B31"/>
  <c r="C31"/>
  <c r="D31"/>
  <c r="E31"/>
  <c r="F31"/>
  <c r="G31"/>
  <c r="H31"/>
  <c r="B32"/>
  <c r="C32"/>
  <c r="D32"/>
  <c r="E32"/>
  <c r="F32"/>
  <c r="G32"/>
  <c r="H32"/>
  <c r="B33"/>
  <c r="C33"/>
  <c r="D33"/>
  <c r="E33"/>
  <c r="F33"/>
  <c r="G33"/>
  <c r="H33"/>
  <c r="B34"/>
  <c r="C34"/>
  <c r="D34"/>
  <c r="E34"/>
  <c r="F34"/>
  <c r="G34"/>
  <c r="H34"/>
  <c r="B35"/>
  <c r="C35"/>
  <c r="D35"/>
  <c r="E35"/>
  <c r="F35"/>
  <c r="G35"/>
  <c r="H35"/>
  <c r="B36"/>
  <c r="C36"/>
  <c r="D36"/>
  <c r="E36"/>
  <c r="F36"/>
  <c r="G36"/>
  <c r="H36"/>
  <c r="B37"/>
  <c r="C37"/>
  <c r="D37"/>
  <c r="E37"/>
  <c r="F37"/>
  <c r="G37"/>
  <c r="H37"/>
  <c r="B38"/>
  <c r="C38"/>
  <c r="D38"/>
  <c r="E38"/>
  <c r="F38"/>
  <c r="G38"/>
  <c r="H38"/>
  <c r="B39"/>
  <c r="C39"/>
  <c r="D39"/>
  <c r="E39"/>
  <c r="F39"/>
  <c r="G39"/>
  <c r="H39"/>
  <c r="B40"/>
  <c r="C40"/>
  <c r="D40"/>
  <c r="E40"/>
  <c r="F40"/>
  <c r="G40"/>
  <c r="H40"/>
  <c r="B41"/>
  <c r="C41"/>
  <c r="D41"/>
  <c r="E41"/>
  <c r="F41"/>
  <c r="G41"/>
  <c r="H41"/>
  <c r="B42"/>
  <c r="C42"/>
  <c r="D42"/>
  <c r="E42"/>
  <c r="F42"/>
  <c r="G42"/>
  <c r="H42"/>
  <c r="B43"/>
  <c r="C43"/>
  <c r="D43"/>
  <c r="E43"/>
  <c r="F43"/>
  <c r="G43"/>
  <c r="H43"/>
  <c r="B44"/>
  <c r="C44"/>
  <c r="D44"/>
  <c r="E44"/>
  <c r="F44"/>
  <c r="G44"/>
  <c r="H44"/>
  <c r="B45"/>
  <c r="C45"/>
  <c r="D45"/>
  <c r="E45"/>
  <c r="F45"/>
  <c r="G45"/>
  <c r="H45"/>
  <c r="B46"/>
  <c r="C46"/>
  <c r="D46"/>
  <c r="E46"/>
  <c r="F46"/>
  <c r="G46"/>
  <c r="H46"/>
  <c r="B47"/>
  <c r="C47"/>
  <c r="D47"/>
  <c r="E47"/>
  <c r="F47"/>
  <c r="G47"/>
  <c r="H47"/>
  <c r="B48"/>
  <c r="C48"/>
  <c r="D48"/>
  <c r="E48"/>
  <c r="F48"/>
  <c r="G48"/>
  <c r="H48"/>
  <c r="B49"/>
  <c r="C49"/>
  <c r="D49"/>
  <c r="E49"/>
  <c r="F49"/>
  <c r="G49"/>
  <c r="H49"/>
  <c r="B50"/>
  <c r="C50"/>
  <c r="D50"/>
  <c r="E50"/>
  <c r="F50"/>
  <c r="G50"/>
  <c r="H50"/>
  <c r="B51"/>
  <c r="C51"/>
  <c r="D51"/>
  <c r="E51"/>
  <c r="F51"/>
  <c r="G51"/>
  <c r="H51"/>
  <c r="B52"/>
  <c r="C52"/>
  <c r="D52"/>
  <c r="E52"/>
  <c r="F52"/>
  <c r="G52"/>
  <c r="H52"/>
  <c r="B53"/>
  <c r="C53"/>
  <c r="D53"/>
  <c r="E53"/>
  <c r="F53"/>
  <c r="G53"/>
  <c r="H53"/>
  <c r="B54"/>
  <c r="C54"/>
  <c r="D54"/>
  <c r="E54"/>
  <c r="F54"/>
  <c r="G54"/>
  <c r="H54"/>
  <c r="B55"/>
  <c r="C55"/>
  <c r="D55"/>
  <c r="E55"/>
  <c r="F55"/>
  <c r="G55"/>
  <c r="H55"/>
  <c r="B56"/>
  <c r="C56"/>
  <c r="D56"/>
  <c r="E56"/>
  <c r="F56"/>
  <c r="G56"/>
  <c r="H56"/>
  <c r="B57"/>
  <c r="C57"/>
  <c r="D57"/>
  <c r="E57"/>
  <c r="F57"/>
  <c r="G57"/>
  <c r="H57"/>
  <c r="B58"/>
  <c r="C58"/>
  <c r="D58"/>
  <c r="E58"/>
  <c r="F58"/>
  <c r="G58"/>
  <c r="H58"/>
  <c r="B59"/>
  <c r="C59"/>
  <c r="D59"/>
  <c r="E59"/>
  <c r="F59"/>
  <c r="G59"/>
  <c r="H59"/>
  <c r="B60"/>
  <c r="C60"/>
  <c r="D60"/>
  <c r="E60"/>
  <c r="F60"/>
  <c r="G60"/>
  <c r="H60"/>
  <c r="B61"/>
  <c r="C61"/>
  <c r="D61"/>
  <c r="E61"/>
  <c r="F61"/>
  <c r="G61"/>
  <c r="H61"/>
  <c r="B62"/>
  <c r="C62"/>
  <c r="D62"/>
  <c r="E62"/>
  <c r="F62"/>
  <c r="G62"/>
  <c r="H62"/>
  <c r="B63"/>
  <c r="C63"/>
  <c r="D63"/>
  <c r="E63"/>
  <c r="F63"/>
  <c r="G63"/>
  <c r="H63"/>
  <c r="B64"/>
  <c r="C64"/>
  <c r="D64"/>
  <c r="E64"/>
  <c r="F64"/>
  <c r="G64"/>
  <c r="H64"/>
  <c r="B65"/>
  <c r="C65"/>
  <c r="D65"/>
  <c r="E65"/>
  <c r="F65"/>
  <c r="G65"/>
  <c r="H65"/>
  <c r="B66"/>
  <c r="C66"/>
  <c r="D66"/>
  <c r="E66"/>
  <c r="F66"/>
  <c r="G66"/>
  <c r="H66"/>
  <c r="B67"/>
  <c r="C67"/>
  <c r="D67"/>
  <c r="E67"/>
  <c r="F67"/>
  <c r="G67"/>
  <c r="H67"/>
  <c r="B68"/>
  <c r="C68"/>
  <c r="D68"/>
  <c r="E68"/>
  <c r="F68"/>
  <c r="G68"/>
  <c r="H68"/>
  <c r="B69"/>
  <c r="C69"/>
  <c r="D69"/>
  <c r="E69"/>
  <c r="F69"/>
  <c r="G69"/>
  <c r="H69"/>
  <c r="B70"/>
  <c r="C70"/>
  <c r="D70"/>
  <c r="E70"/>
  <c r="F70"/>
  <c r="G70"/>
  <c r="H70"/>
  <c r="B71"/>
  <c r="C71"/>
  <c r="D71"/>
  <c r="E71"/>
  <c r="F71"/>
  <c r="G71"/>
  <c r="H71"/>
  <c r="B72"/>
  <c r="C72"/>
  <c r="D72"/>
  <c r="E72"/>
  <c r="F72"/>
  <c r="G72"/>
  <c r="H72"/>
  <c r="B73"/>
  <c r="C73"/>
  <c r="D73"/>
  <c r="E73"/>
  <c r="F73"/>
  <c r="G73"/>
  <c r="H73"/>
  <c r="B74"/>
  <c r="C74"/>
  <c r="D74"/>
  <c r="E74"/>
  <c r="F74"/>
  <c r="G74"/>
  <c r="H74"/>
  <c r="B75"/>
  <c r="C75"/>
  <c r="D75"/>
  <c r="E75"/>
  <c r="F75"/>
  <c r="G75"/>
  <c r="H75"/>
  <c r="B76"/>
  <c r="C76"/>
  <c r="D76"/>
  <c r="E76"/>
  <c r="F76"/>
  <c r="G76"/>
  <c r="H76"/>
  <c r="B77"/>
  <c r="C77"/>
  <c r="D77"/>
  <c r="E77"/>
  <c r="F77"/>
  <c r="G77"/>
  <c r="H77"/>
  <c r="B78"/>
  <c r="C78"/>
  <c r="D78"/>
  <c r="E78"/>
  <c r="F78"/>
  <c r="G78"/>
  <c r="H78"/>
  <c r="B79"/>
  <c r="C79"/>
  <c r="D79"/>
  <c r="E79"/>
  <c r="F79"/>
  <c r="G79"/>
  <c r="H79"/>
  <c r="B80"/>
  <c r="C80"/>
  <c r="D80"/>
  <c r="E80"/>
  <c r="F80"/>
  <c r="G80"/>
  <c r="H80"/>
  <c r="B81"/>
  <c r="C81"/>
  <c r="D81"/>
  <c r="E81"/>
  <c r="F81"/>
  <c r="G81"/>
  <c r="H81"/>
  <c r="B82"/>
  <c r="C82"/>
  <c r="D82"/>
  <c r="E82"/>
  <c r="F82"/>
  <c r="G82"/>
  <c r="H82"/>
  <c r="B83"/>
  <c r="C83"/>
  <c r="D83"/>
  <c r="E83"/>
  <c r="F83"/>
  <c r="G83"/>
  <c r="H83"/>
  <c r="B84"/>
  <c r="C84"/>
  <c r="D84"/>
  <c r="E84"/>
  <c r="F84"/>
  <c r="G84"/>
  <c r="H84"/>
  <c r="B85"/>
  <c r="C85"/>
  <c r="D85"/>
  <c r="E85"/>
  <c r="F85"/>
  <c r="G85"/>
  <c r="H85"/>
  <c r="B86"/>
  <c r="C86"/>
  <c r="D86"/>
  <c r="E86"/>
  <c r="F86"/>
  <c r="G86"/>
  <c r="H86"/>
  <c r="B87"/>
  <c r="C87"/>
  <c r="D87"/>
  <c r="E87"/>
  <c r="F87"/>
  <c r="G87"/>
  <c r="H87"/>
  <c r="B88"/>
  <c r="C88"/>
  <c r="D88"/>
  <c r="E88"/>
  <c r="F88"/>
  <c r="G88"/>
  <c r="H88"/>
  <c r="B89"/>
  <c r="C89"/>
  <c r="D89"/>
  <c r="E89"/>
  <c r="F89"/>
  <c r="G89"/>
  <c r="H89"/>
  <c r="B90"/>
  <c r="C90"/>
  <c r="D90"/>
  <c r="E90"/>
  <c r="F90"/>
  <c r="G90"/>
  <c r="H90"/>
  <c r="B91"/>
  <c r="C91"/>
  <c r="D91"/>
  <c r="E91"/>
  <c r="F91"/>
  <c r="G91"/>
  <c r="H91"/>
  <c r="B92"/>
  <c r="C92"/>
  <c r="D92"/>
  <c r="E92"/>
  <c r="F92"/>
  <c r="G92"/>
  <c r="H92"/>
  <c r="B93"/>
  <c r="C93"/>
  <c r="D93"/>
  <c r="E93"/>
  <c r="F93"/>
  <c r="G93"/>
  <c r="H93"/>
  <c r="B94"/>
  <c r="C94"/>
  <c r="D94"/>
  <c r="E94"/>
  <c r="F94"/>
  <c r="G94"/>
  <c r="H94"/>
  <c r="B95"/>
  <c r="C95"/>
  <c r="D95"/>
  <c r="E95"/>
  <c r="F95"/>
  <c r="G95"/>
  <c r="H95"/>
  <c r="B96"/>
  <c r="C96"/>
  <c r="D96"/>
  <c r="E96"/>
  <c r="F96"/>
  <c r="G96"/>
  <c r="H96"/>
  <c r="B97"/>
  <c r="C97"/>
  <c r="D97"/>
  <c r="E97"/>
  <c r="F97"/>
  <c r="G97"/>
  <c r="H97"/>
  <c r="B98"/>
  <c r="C98"/>
  <c r="D98"/>
  <c r="E98"/>
  <c r="F98"/>
  <c r="G98"/>
  <c r="H98"/>
  <c r="B99"/>
  <c r="C99"/>
  <c r="D99"/>
  <c r="E99"/>
  <c r="F99"/>
  <c r="G99"/>
  <c r="H99"/>
  <c r="B100"/>
  <c r="C100"/>
  <c r="D100"/>
  <c r="E100"/>
  <c r="F100"/>
  <c r="G100"/>
  <c r="H100"/>
  <c r="B101"/>
  <c r="C101"/>
  <c r="D101"/>
  <c r="E101"/>
  <c r="F101"/>
  <c r="G101"/>
  <c r="H101"/>
  <c r="B102"/>
  <c r="C102"/>
  <c r="D102"/>
  <c r="E102"/>
  <c r="F102"/>
  <c r="G102"/>
  <c r="H102"/>
  <c r="B103"/>
  <c r="C103"/>
  <c r="D103"/>
  <c r="E103"/>
  <c r="F103"/>
  <c r="G103"/>
  <c r="H103"/>
  <c r="B104"/>
  <c r="C104"/>
  <c r="D104"/>
  <c r="E104"/>
  <c r="F104"/>
  <c r="G104"/>
  <c r="H104"/>
  <c r="B105"/>
  <c r="C105"/>
  <c r="D105"/>
  <c r="E105"/>
  <c r="F105"/>
  <c r="G105"/>
  <c r="H105"/>
  <c r="B106"/>
  <c r="C106"/>
  <c r="D106"/>
  <c r="E106"/>
  <c r="F106"/>
  <c r="G106"/>
  <c r="H106"/>
  <c r="B107"/>
  <c r="C107"/>
  <c r="D107"/>
  <c r="E107"/>
  <c r="F107"/>
  <c r="G107"/>
  <c r="H107"/>
  <c r="B108"/>
  <c r="C108"/>
  <c r="D108"/>
  <c r="E108"/>
  <c r="F108"/>
  <c r="G108"/>
  <c r="H108"/>
  <c r="B109"/>
  <c r="C109"/>
  <c r="D109"/>
  <c r="E109"/>
  <c r="F109"/>
  <c r="G109"/>
  <c r="H109"/>
  <c r="B110"/>
  <c r="C110"/>
  <c r="D110"/>
  <c r="E110"/>
  <c r="F110"/>
  <c r="G110"/>
  <c r="H110"/>
  <c r="B111"/>
  <c r="C111"/>
  <c r="D111"/>
  <c r="E111"/>
  <c r="F111"/>
  <c r="G111"/>
  <c r="H111"/>
  <c r="B112"/>
  <c r="C112"/>
  <c r="D112"/>
  <c r="E112"/>
  <c r="F112"/>
  <c r="G112"/>
  <c r="H112"/>
  <c r="B113"/>
  <c r="C113"/>
  <c r="D113"/>
  <c r="E113"/>
  <c r="F113"/>
  <c r="G113"/>
  <c r="H113"/>
  <c r="B114"/>
  <c r="C114"/>
  <c r="D114"/>
  <c r="E114"/>
  <c r="F114"/>
  <c r="G114"/>
  <c r="H114"/>
  <c r="B115"/>
  <c r="C115"/>
  <c r="D115"/>
  <c r="E115"/>
  <c r="F115"/>
  <c r="G115"/>
  <c r="H115"/>
  <c r="B116"/>
  <c r="C116"/>
  <c r="D116"/>
  <c r="E116"/>
  <c r="F116"/>
  <c r="G116"/>
  <c r="H116"/>
  <c r="B117"/>
  <c r="C117"/>
  <c r="D117"/>
  <c r="E117"/>
  <c r="F117"/>
  <c r="G117"/>
  <c r="H117"/>
  <c r="B118"/>
  <c r="C118"/>
  <c r="D118"/>
  <c r="E118"/>
  <c r="F118"/>
  <c r="G118"/>
  <c r="H118"/>
  <c r="B119"/>
  <c r="C119"/>
  <c r="D119"/>
  <c r="E119"/>
  <c r="F119"/>
  <c r="G119"/>
  <c r="H119"/>
  <c r="B120"/>
  <c r="C120"/>
  <c r="D120"/>
  <c r="E120"/>
  <c r="F120"/>
  <c r="G120"/>
  <c r="H120"/>
  <c r="B121"/>
  <c r="C121"/>
  <c r="D121"/>
  <c r="E121"/>
  <c r="F121"/>
  <c r="G121"/>
  <c r="H121"/>
  <c r="B122"/>
  <c r="C122"/>
  <c r="D122"/>
  <c r="E122"/>
  <c r="F122"/>
  <c r="G122"/>
  <c r="H122"/>
  <c r="B123"/>
  <c r="C123"/>
  <c r="D123"/>
  <c r="E123"/>
  <c r="F123"/>
  <c r="G123"/>
  <c r="H123"/>
  <c r="B124"/>
  <c r="C124"/>
  <c r="D124"/>
  <c r="E124"/>
  <c r="F124"/>
  <c r="G124"/>
  <c r="H124"/>
  <c r="B125"/>
  <c r="C125"/>
  <c r="D125"/>
  <c r="E125"/>
  <c r="F125"/>
  <c r="G125"/>
  <c r="H125"/>
  <c r="B126"/>
  <c r="C126"/>
  <c r="D126"/>
  <c r="E126"/>
  <c r="F126"/>
  <c r="G126"/>
  <c r="H126"/>
  <c r="B127"/>
  <c r="C127"/>
  <c r="D127"/>
  <c r="E127"/>
  <c r="F127"/>
  <c r="G127"/>
  <c r="H127"/>
  <c r="B128"/>
  <c r="C128"/>
  <c r="D128"/>
  <c r="E128"/>
  <c r="F128"/>
  <c r="G128"/>
  <c r="H128"/>
  <c r="B129"/>
  <c r="C129"/>
  <c r="D129"/>
  <c r="E129"/>
  <c r="F129"/>
  <c r="G129"/>
  <c r="H129"/>
  <c r="B130"/>
  <c r="C130"/>
  <c r="D130"/>
  <c r="E130"/>
  <c r="F130"/>
  <c r="G130"/>
  <c r="H130"/>
  <c r="B131"/>
  <c r="C131"/>
  <c r="D131"/>
  <c r="E131"/>
  <c r="F131"/>
  <c r="G131"/>
  <c r="H131"/>
  <c r="B132"/>
  <c r="C132"/>
  <c r="D132"/>
  <c r="E132"/>
  <c r="F132"/>
  <c r="G132"/>
  <c r="H132"/>
  <c r="B133"/>
  <c r="C133"/>
  <c r="D133"/>
  <c r="E133"/>
  <c r="F133"/>
  <c r="G133"/>
  <c r="H133"/>
  <c r="B134"/>
  <c r="C134"/>
  <c r="D134"/>
  <c r="E134"/>
  <c r="F134"/>
  <c r="G134"/>
  <c r="H134"/>
  <c r="B135"/>
  <c r="C135"/>
  <c r="D135"/>
  <c r="E135"/>
  <c r="F135"/>
  <c r="G135"/>
  <c r="H135"/>
  <c r="B136"/>
  <c r="C136"/>
  <c r="D136"/>
  <c r="E136"/>
  <c r="F136"/>
  <c r="G136"/>
  <c r="H136"/>
  <c r="B137"/>
  <c r="C137"/>
  <c r="D137"/>
  <c r="E137"/>
  <c r="F137"/>
  <c r="G137"/>
  <c r="H137"/>
  <c r="B138"/>
  <c r="C138"/>
  <c r="D138"/>
  <c r="E138"/>
  <c r="F138"/>
  <c r="G138"/>
  <c r="H138"/>
  <c r="B139"/>
  <c r="C139"/>
  <c r="D139"/>
  <c r="E139"/>
  <c r="F139"/>
  <c r="G139"/>
  <c r="H139"/>
  <c r="B140"/>
  <c r="C140"/>
  <c r="D140"/>
  <c r="E140"/>
  <c r="F140"/>
  <c r="G140"/>
  <c r="H140"/>
  <c r="B141"/>
  <c r="C141"/>
  <c r="D141"/>
  <c r="E141"/>
  <c r="F141"/>
  <c r="G141"/>
  <c r="H141"/>
  <c r="B142"/>
  <c r="C142"/>
  <c r="D142"/>
  <c r="E142"/>
  <c r="F142"/>
  <c r="G142"/>
  <c r="H142"/>
  <c r="B143"/>
  <c r="C143"/>
  <c r="D143"/>
  <c r="E143"/>
  <c r="F143"/>
  <c r="G143"/>
  <c r="H143"/>
  <c r="B144"/>
  <c r="C144"/>
  <c r="D144"/>
  <c r="E144"/>
  <c r="F144"/>
  <c r="G144"/>
  <c r="H144"/>
  <c r="B145"/>
  <c r="C145"/>
  <c r="D145"/>
  <c r="E145"/>
  <c r="F145"/>
  <c r="G145"/>
  <c r="H145"/>
  <c r="B146"/>
  <c r="C146"/>
  <c r="D146"/>
  <c r="E146"/>
  <c r="F146"/>
  <c r="G146"/>
  <c r="H146"/>
  <c r="B147"/>
  <c r="C147"/>
  <c r="D147"/>
  <c r="E147"/>
  <c r="F147"/>
  <c r="G147"/>
  <c r="H147"/>
  <c r="B148"/>
  <c r="C148"/>
  <c r="D148"/>
  <c r="E148"/>
  <c r="F148"/>
  <c r="G148"/>
  <c r="H148"/>
  <c r="B149"/>
  <c r="C149"/>
  <c r="D149"/>
  <c r="E149"/>
  <c r="F149"/>
  <c r="G149"/>
  <c r="H149"/>
  <c r="B150"/>
  <c r="C150"/>
  <c r="D150"/>
  <c r="E150"/>
  <c r="F150"/>
  <c r="G150"/>
  <c r="H150"/>
  <c r="B151"/>
  <c r="C151"/>
  <c r="D151"/>
  <c r="E151"/>
  <c r="F151"/>
  <c r="G151"/>
  <c r="H151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2"/>
  <c r="D103" i="7"/>
  <c r="C2"/>
  <c r="D2" s="1"/>
  <c r="C186"/>
  <c r="C185"/>
  <c r="D185" s="1"/>
  <c r="C184"/>
  <c r="C183"/>
  <c r="D183" s="1"/>
  <c r="C182"/>
  <c r="C181"/>
  <c r="D181" s="1"/>
  <c r="C180"/>
  <c r="C179"/>
  <c r="D179" s="1"/>
  <c r="C178"/>
  <c r="D178" s="1"/>
  <c r="C177"/>
  <c r="D177" s="1"/>
  <c r="C176"/>
  <c r="D176" s="1"/>
  <c r="C175"/>
  <c r="D175" s="1"/>
  <c r="C174"/>
  <c r="C173"/>
  <c r="D173" s="1"/>
  <c r="C172"/>
  <c r="D172" s="1"/>
  <c r="C171"/>
  <c r="C170"/>
  <c r="C169"/>
  <c r="C168"/>
  <c r="D168" s="1"/>
  <c r="C167"/>
  <c r="D167" s="1"/>
  <c r="C166"/>
  <c r="C165"/>
  <c r="C164"/>
  <c r="D164" s="1"/>
  <c r="C163"/>
  <c r="C162"/>
  <c r="D162" s="1"/>
  <c r="C161"/>
  <c r="C160"/>
  <c r="D160" s="1"/>
  <c r="D161" s="1"/>
  <c r="C159"/>
  <c r="C158"/>
  <c r="D158" s="1"/>
  <c r="D159" s="1"/>
  <c r="C157"/>
  <c r="D157" s="1"/>
  <c r="C156"/>
  <c r="D156" s="1"/>
  <c r="C155"/>
  <c r="D155" s="1"/>
  <c r="C154"/>
  <c r="C153"/>
  <c r="C152"/>
  <c r="C151"/>
  <c r="C150"/>
  <c r="C149"/>
  <c r="D149" s="1"/>
  <c r="D150" s="1"/>
  <c r="C148"/>
  <c r="C147"/>
  <c r="D147" s="1"/>
  <c r="D148" s="1"/>
  <c r="C146"/>
  <c r="C145"/>
  <c r="D145" s="1"/>
  <c r="D146" s="1"/>
  <c r="C144"/>
  <c r="C143"/>
  <c r="C142"/>
  <c r="D142" s="1"/>
  <c r="C141"/>
  <c r="D141" s="1"/>
  <c r="C140"/>
  <c r="C139"/>
  <c r="D139" s="1"/>
  <c r="D140" s="1"/>
  <c r="C138"/>
  <c r="C137"/>
  <c r="C136"/>
  <c r="C135"/>
  <c r="C134"/>
  <c r="D134" s="1"/>
  <c r="D135" s="1"/>
  <c r="C133"/>
  <c r="C132"/>
  <c r="D132" s="1"/>
  <c r="D133" s="1"/>
  <c r="C131"/>
  <c r="C130"/>
  <c r="C129"/>
  <c r="C128"/>
  <c r="C127"/>
  <c r="C126"/>
  <c r="C125"/>
  <c r="C124"/>
  <c r="C123"/>
  <c r="D123" s="1"/>
  <c r="C122"/>
  <c r="D122" s="1"/>
  <c r="C121"/>
  <c r="C120"/>
  <c r="D120" s="1"/>
  <c r="C119"/>
  <c r="C118"/>
  <c r="D118" s="1"/>
  <c r="D119" s="1"/>
  <c r="C117"/>
  <c r="C116"/>
  <c r="D116" s="1"/>
  <c r="D117" s="1"/>
  <c r="C115"/>
  <c r="D115" s="1"/>
  <c r="C114"/>
  <c r="C113"/>
  <c r="C112"/>
  <c r="C111"/>
  <c r="C110"/>
  <c r="C109"/>
  <c r="D109" s="1"/>
  <c r="D110" s="1"/>
  <c r="D111" s="1"/>
  <c r="C108"/>
  <c r="C107"/>
  <c r="C106"/>
  <c r="C105"/>
  <c r="C104"/>
  <c r="C103"/>
  <c r="C102"/>
  <c r="D102" s="1"/>
  <c r="C101"/>
  <c r="D101" s="1"/>
  <c r="C100"/>
  <c r="D100" s="1"/>
  <c r="C99"/>
  <c r="D99" s="1"/>
  <c r="C98"/>
  <c r="C97"/>
  <c r="C96"/>
  <c r="C95"/>
  <c r="C94"/>
  <c r="C93"/>
  <c r="D93" s="1"/>
  <c r="C92"/>
  <c r="C91"/>
  <c r="C90"/>
  <c r="C89"/>
  <c r="C88"/>
  <c r="C87"/>
  <c r="D87" s="1"/>
  <c r="D88" s="1"/>
  <c r="D89" s="1"/>
  <c r="C86"/>
  <c r="C85"/>
  <c r="C84"/>
  <c r="D84" s="1"/>
  <c r="D85" s="1"/>
  <c r="D86" s="1"/>
  <c r="C83"/>
  <c r="C82"/>
  <c r="D82" s="1"/>
  <c r="C81"/>
  <c r="C80"/>
  <c r="D80" s="1"/>
  <c r="C79"/>
  <c r="C78"/>
  <c r="C77"/>
  <c r="D77" s="1"/>
  <c r="C76"/>
  <c r="C75"/>
  <c r="D75" s="1"/>
  <c r="D76" s="1"/>
  <c r="C74"/>
  <c r="C73"/>
  <c r="C72"/>
  <c r="C71"/>
  <c r="C70"/>
  <c r="C69"/>
  <c r="C68"/>
  <c r="C67"/>
  <c r="D67" s="1"/>
  <c r="C66"/>
  <c r="C65"/>
  <c r="C64"/>
  <c r="C63"/>
  <c r="D63" s="1"/>
  <c r="D64" s="1"/>
  <c r="C62"/>
  <c r="C61"/>
  <c r="C60"/>
  <c r="C59"/>
  <c r="D59" s="1"/>
  <c r="C58"/>
  <c r="C57"/>
  <c r="D57" s="1"/>
  <c r="C56"/>
  <c r="D56" s="1"/>
  <c r="C55"/>
  <c r="C54"/>
  <c r="C53"/>
  <c r="D53" s="1"/>
  <c r="C52"/>
  <c r="C51"/>
  <c r="D51" s="1"/>
  <c r="D52" s="1"/>
  <c r="C50"/>
  <c r="C49"/>
  <c r="C48"/>
  <c r="D48" s="1"/>
  <c r="D49" s="1"/>
  <c r="D50" s="1"/>
  <c r="C47"/>
  <c r="C46"/>
  <c r="C45"/>
  <c r="C44"/>
  <c r="C43"/>
  <c r="D43" s="1"/>
  <c r="D44" s="1"/>
  <c r="D45" s="1"/>
  <c r="C42"/>
  <c r="C41"/>
  <c r="C40"/>
  <c r="C39"/>
  <c r="C38"/>
  <c r="D38" s="1"/>
  <c r="D39" s="1"/>
  <c r="C37"/>
  <c r="D37" s="1"/>
  <c r="C36"/>
  <c r="C35"/>
  <c r="C34"/>
  <c r="C33"/>
  <c r="C32"/>
  <c r="C31"/>
  <c r="D31" s="1"/>
  <c r="D32" s="1"/>
  <c r="C30"/>
  <c r="C29"/>
  <c r="C28"/>
  <c r="C27"/>
  <c r="C26"/>
  <c r="C25"/>
  <c r="C24"/>
  <c r="D24" s="1"/>
  <c r="D25" s="1"/>
  <c r="C23"/>
  <c r="C22"/>
  <c r="D22" s="1"/>
  <c r="D23" s="1"/>
  <c r="C21"/>
  <c r="C20"/>
  <c r="C19"/>
  <c r="D19" s="1"/>
  <c r="C18"/>
  <c r="D18" s="1"/>
  <c r="C17"/>
  <c r="C16"/>
  <c r="C15"/>
  <c r="D15" s="1"/>
  <c r="C14"/>
  <c r="C13"/>
  <c r="C12"/>
  <c r="C11"/>
  <c r="C10"/>
  <c r="D10" s="1"/>
  <c r="C9"/>
  <c r="C8"/>
  <c r="C7"/>
  <c r="C6"/>
  <c r="D6" s="1"/>
  <c r="D7" s="1"/>
  <c r="D8" s="1"/>
  <c r="C5"/>
  <c r="C4"/>
  <c r="C3"/>
  <c r="D3" s="1"/>
  <c r="D4" s="1"/>
  <c r="D94" l="1"/>
  <c r="D95" s="1"/>
  <c r="D96" s="1"/>
  <c r="D33"/>
  <c r="D34" s="1"/>
  <c r="D16"/>
  <c r="D17" s="1"/>
  <c r="D20"/>
  <c r="D60"/>
  <c r="D124"/>
  <c r="D180"/>
  <c r="D9"/>
  <c r="D46"/>
  <c r="D47" s="1"/>
  <c r="D136"/>
  <c r="D137" s="1"/>
  <c r="D138" s="1"/>
  <c r="D104"/>
  <c r="D105" s="1"/>
  <c r="D106" s="1"/>
  <c r="D107" s="1"/>
  <c r="D108" s="1"/>
  <c r="D26"/>
  <c r="D27" s="1"/>
  <c r="D28" s="1"/>
  <c r="D29" s="1"/>
  <c r="D30" s="1"/>
  <c r="D58"/>
  <c r="D165"/>
  <c r="D166" s="1"/>
  <c r="D35"/>
  <c r="D36" s="1"/>
  <c r="D65"/>
  <c r="D66" s="1"/>
  <c r="D90"/>
  <c r="D91" s="1"/>
  <c r="D92" s="1"/>
  <c r="D143"/>
  <c r="D144" s="1"/>
  <c r="D151"/>
  <c r="D152" s="1"/>
  <c r="D153" s="1"/>
  <c r="D154" s="1"/>
  <c r="D70"/>
  <c r="D71" s="1"/>
  <c r="D72" s="1"/>
  <c r="D182"/>
  <c r="D11"/>
  <c r="D12" s="1"/>
  <c r="D13" s="1"/>
  <c r="D14" s="1"/>
  <c r="D68"/>
  <c r="D69" s="1"/>
  <c r="D83"/>
  <c r="D163"/>
  <c r="D54"/>
  <c r="D55" s="1"/>
  <c r="D61"/>
  <c r="D62" s="1"/>
  <c r="D125"/>
  <c r="D126" s="1"/>
  <c r="D127" s="1"/>
  <c r="D128" s="1"/>
  <c r="D129" s="1"/>
  <c r="D130" s="1"/>
  <c r="D131" s="1"/>
  <c r="D40"/>
  <c r="D41" s="1"/>
  <c r="D42" s="1"/>
  <c r="D112"/>
  <c r="D184"/>
  <c r="G99"/>
  <c r="G91"/>
  <c r="G37"/>
  <c r="D174"/>
  <c r="G71"/>
  <c r="D5"/>
  <c r="G86"/>
  <c r="D78"/>
  <c r="D79" s="1"/>
  <c r="G81"/>
  <c r="G65"/>
  <c r="G33"/>
  <c r="G98"/>
  <c r="G74"/>
  <c r="G50"/>
  <c r="G34"/>
  <c r="G10"/>
  <c r="D169"/>
  <c r="D170" s="1"/>
  <c r="D171" s="1"/>
  <c r="D81"/>
  <c r="D121"/>
  <c r="D97"/>
  <c r="D98" s="1"/>
  <c r="D113"/>
  <c r="D114" s="1"/>
  <c r="D73"/>
  <c r="D74" s="1"/>
  <c r="D21"/>
  <c r="R87"/>
  <c r="S66"/>
  <c r="M30" i="2"/>
  <c r="M22"/>
  <c r="M14"/>
  <c r="M6"/>
  <c r="K27"/>
  <c r="M19"/>
  <c r="M3"/>
  <c r="M11"/>
  <c r="M32"/>
  <c r="M24"/>
  <c r="M16"/>
  <c r="M8"/>
  <c r="M34"/>
  <c r="M26"/>
  <c r="M18"/>
  <c r="M10"/>
  <c r="M29"/>
  <c r="M5"/>
  <c r="M21"/>
  <c r="M13"/>
  <c r="K11"/>
  <c r="M27"/>
  <c r="K33"/>
  <c r="K25"/>
  <c r="K17"/>
  <c r="K9"/>
  <c r="K19"/>
  <c r="K3"/>
  <c r="K28"/>
  <c r="K20"/>
  <c r="K12"/>
  <c r="K4"/>
  <c r="M20"/>
  <c r="K31"/>
  <c r="K23"/>
  <c r="K15"/>
  <c r="K7"/>
  <c r="K32"/>
  <c r="K24"/>
  <c r="K16"/>
  <c r="K8"/>
  <c r="M31"/>
  <c r="M23"/>
  <c r="M15"/>
  <c r="M7"/>
  <c r="M4"/>
  <c r="M2"/>
  <c r="M33"/>
  <c r="M25"/>
  <c r="L3" i="7" s="1"/>
  <c r="M17" i="2"/>
  <c r="M9"/>
  <c r="M28"/>
  <c r="M12"/>
  <c r="K34"/>
  <c r="K26"/>
  <c r="K18"/>
  <c r="K10"/>
  <c r="K2"/>
  <c r="K21"/>
  <c r="K30"/>
  <c r="K22"/>
  <c r="K14"/>
  <c r="K6"/>
  <c r="K29"/>
  <c r="K5"/>
  <c r="K13"/>
  <c r="B95" i="1"/>
  <c r="B19"/>
  <c r="B81"/>
  <c r="B74"/>
  <c r="H74" s="1"/>
  <c r="H17" i="7"/>
  <c r="H49"/>
  <c r="G20"/>
  <c r="H9"/>
  <c r="G9"/>
  <c r="G49"/>
  <c r="H65"/>
  <c r="G97"/>
  <c r="G17"/>
  <c r="G41"/>
  <c r="G89"/>
  <c r="B42" i="1" s="1"/>
  <c r="G18" i="7"/>
  <c r="G16"/>
  <c r="H98"/>
  <c r="G56"/>
  <c r="G66"/>
  <c r="H79"/>
  <c r="H33"/>
  <c r="H15"/>
  <c r="G73"/>
  <c r="G25"/>
  <c r="H81"/>
  <c r="H34"/>
  <c r="G32"/>
  <c r="H41"/>
  <c r="G57"/>
  <c r="G7"/>
  <c r="H97"/>
  <c r="H47"/>
  <c r="H2"/>
  <c r="H37"/>
  <c r="H5"/>
  <c r="G5"/>
  <c r="G38"/>
  <c r="G69"/>
  <c r="G21"/>
  <c r="G8"/>
  <c r="G93"/>
  <c r="G85"/>
  <c r="H101"/>
  <c r="H69"/>
  <c r="G45"/>
  <c r="G77"/>
  <c r="G29"/>
  <c r="G13"/>
  <c r="H53"/>
  <c r="G61"/>
  <c r="G78"/>
  <c r="G30"/>
  <c r="G14"/>
  <c r="G42"/>
  <c r="H95"/>
  <c r="H50"/>
  <c r="H31"/>
  <c r="G26"/>
  <c r="G90"/>
  <c r="G58"/>
  <c r="H26"/>
  <c r="G82"/>
  <c r="G31"/>
  <c r="H74"/>
  <c r="H10"/>
  <c r="H58"/>
  <c r="H63"/>
  <c r="H18"/>
  <c r="G55"/>
  <c r="D186"/>
  <c r="G63"/>
  <c r="G84"/>
  <c r="G39"/>
  <c r="G76"/>
  <c r="G64"/>
  <c r="G40"/>
  <c r="G12"/>
  <c r="H71"/>
  <c r="G23"/>
  <c r="G87"/>
  <c r="B70" i="1" s="1"/>
  <c r="G80" i="7"/>
  <c r="G24"/>
  <c r="G88"/>
  <c r="B12" i="1" s="1"/>
  <c r="G47" i="7"/>
  <c r="G72"/>
  <c r="G60"/>
  <c r="G48"/>
  <c r="G4"/>
  <c r="G68"/>
  <c r="G22"/>
  <c r="G96"/>
  <c r="G70"/>
  <c r="B89" i="1" s="1"/>
  <c r="G52" i="7"/>
  <c r="G6"/>
  <c r="G62"/>
  <c r="G44"/>
  <c r="G54"/>
  <c r="G36"/>
  <c r="G46"/>
  <c r="G28"/>
  <c r="H99"/>
  <c r="H91"/>
  <c r="H83"/>
  <c r="H75"/>
  <c r="H67"/>
  <c r="H59"/>
  <c r="H51"/>
  <c r="H43"/>
  <c r="H35"/>
  <c r="H27"/>
  <c r="H19"/>
  <c r="H11"/>
  <c r="H100"/>
  <c r="H92"/>
  <c r="G83"/>
  <c r="G75"/>
  <c r="G67"/>
  <c r="G59"/>
  <c r="G51"/>
  <c r="G43"/>
  <c r="G35"/>
  <c r="G27"/>
  <c r="G19"/>
  <c r="B8" i="1" s="1"/>
  <c r="G11" i="7"/>
  <c r="H3"/>
  <c r="H94"/>
  <c r="H86"/>
  <c r="G3"/>
  <c r="B24" i="1" l="1"/>
  <c r="H24" s="1"/>
  <c r="B52"/>
  <c r="H52" s="1"/>
  <c r="B66"/>
  <c r="H66" s="1"/>
  <c r="B73"/>
  <c r="H73" s="1"/>
  <c r="B30"/>
  <c r="H30" s="1"/>
  <c r="B32"/>
  <c r="H32" s="1"/>
  <c r="B4"/>
  <c r="H4" s="1"/>
  <c r="B79"/>
  <c r="H79" s="1"/>
  <c r="B54"/>
  <c r="H54" s="1"/>
  <c r="B22"/>
  <c r="H22" s="1"/>
  <c r="B28"/>
  <c r="H28" s="1"/>
  <c r="B99"/>
  <c r="B21"/>
  <c r="H21" s="1"/>
  <c r="B67"/>
  <c r="B68"/>
  <c r="B53"/>
  <c r="H53" s="1"/>
  <c r="B82"/>
  <c r="H82" s="1"/>
  <c r="B98"/>
  <c r="H98" s="1"/>
  <c r="B6"/>
  <c r="B34"/>
  <c r="H34" s="1"/>
  <c r="B80"/>
  <c r="B10"/>
  <c r="H10" s="1"/>
  <c r="B46"/>
  <c r="B40"/>
  <c r="H40" s="1"/>
  <c r="B9"/>
  <c r="B44"/>
  <c r="H44" s="1"/>
  <c r="B37"/>
  <c r="B86"/>
  <c r="H86" s="1"/>
  <c r="B3"/>
  <c r="B25"/>
  <c r="B5"/>
  <c r="B20"/>
  <c r="H20" s="1"/>
  <c r="B93"/>
  <c r="B18"/>
  <c r="H18" s="1"/>
  <c r="B77"/>
  <c r="B61"/>
  <c r="B84"/>
  <c r="B58"/>
  <c r="B26"/>
  <c r="B41"/>
  <c r="H41" s="1"/>
  <c r="B36"/>
  <c r="B88"/>
  <c r="B71"/>
  <c r="B13"/>
  <c r="H13" s="1"/>
  <c r="B62"/>
  <c r="B55"/>
  <c r="H55" s="1"/>
  <c r="B15"/>
  <c r="B2"/>
  <c r="H2" s="1"/>
  <c r="B101"/>
  <c r="H101" s="1"/>
  <c r="B31"/>
  <c r="B7"/>
  <c r="B17"/>
  <c r="B65"/>
  <c r="B48"/>
  <c r="B50"/>
  <c r="B59"/>
  <c r="H59" s="1"/>
  <c r="B90"/>
  <c r="H90" s="1"/>
  <c r="B83"/>
  <c r="B91"/>
  <c r="B92"/>
  <c r="B16"/>
  <c r="B47"/>
  <c r="B57"/>
  <c r="B64"/>
  <c r="B100"/>
  <c r="B11"/>
  <c r="H11" s="1"/>
  <c r="B85"/>
  <c r="B72"/>
  <c r="B45"/>
  <c r="B76"/>
  <c r="B94"/>
  <c r="B38"/>
  <c r="B51"/>
  <c r="B43"/>
  <c r="I144" i="2" s="1"/>
  <c r="P144" s="1"/>
  <c r="B56" i="1"/>
  <c r="B96"/>
  <c r="B14"/>
  <c r="B97"/>
  <c r="B60"/>
  <c r="B33"/>
  <c r="B49"/>
  <c r="B78"/>
  <c r="B23"/>
  <c r="B39"/>
  <c r="B35"/>
  <c r="H35" s="1"/>
  <c r="B63"/>
  <c r="B27"/>
  <c r="B87"/>
  <c r="B75"/>
  <c r="B69"/>
  <c r="H95"/>
  <c r="H12"/>
  <c r="H81"/>
  <c r="H70"/>
  <c r="H8"/>
  <c r="H89"/>
  <c r="H42"/>
  <c r="H19"/>
  <c r="B29"/>
  <c r="T32" i="2" l="1"/>
  <c r="I56"/>
  <c r="P56" s="1"/>
  <c r="I104"/>
  <c r="P104" s="1"/>
  <c r="I11"/>
  <c r="I151"/>
  <c r="P151" s="1"/>
  <c r="J37"/>
  <c r="Q37" s="1"/>
  <c r="J118"/>
  <c r="Q118" s="1"/>
  <c r="S149"/>
  <c r="S97"/>
  <c r="J90"/>
  <c r="Q90" s="1"/>
  <c r="S26"/>
  <c r="T12"/>
  <c r="J138"/>
  <c r="Q138" s="1"/>
  <c r="I122"/>
  <c r="P122" s="1"/>
  <c r="S95"/>
  <c r="I26"/>
  <c r="S56"/>
  <c r="J34"/>
  <c r="J70"/>
  <c r="Q70" s="1"/>
  <c r="J12"/>
  <c r="T29"/>
  <c r="T145"/>
  <c r="I131"/>
  <c r="P131" s="1"/>
  <c r="T22"/>
  <c r="J147"/>
  <c r="Q147" s="1"/>
  <c r="S67"/>
  <c r="T147"/>
  <c r="I25"/>
  <c r="T7"/>
  <c r="S5"/>
  <c r="I19"/>
  <c r="I138"/>
  <c r="P138" s="1"/>
  <c r="H48" i="1"/>
  <c r="I75" i="2"/>
  <c r="P75" s="1"/>
  <c r="H80" i="1"/>
  <c r="T89" i="2"/>
  <c r="H67" i="1"/>
  <c r="S111" i="2"/>
  <c r="S39"/>
  <c r="I39"/>
  <c r="P39" s="1"/>
  <c r="H25" i="1"/>
  <c r="T128" i="2"/>
  <c r="I98"/>
  <c r="P98" s="1"/>
  <c r="I111"/>
  <c r="P111" s="1"/>
  <c r="J95"/>
  <c r="Q95" s="1"/>
  <c r="J29"/>
  <c r="T114"/>
  <c r="I67"/>
  <c r="P67" s="1"/>
  <c r="T115"/>
  <c r="T141"/>
  <c r="S82"/>
  <c r="I108"/>
  <c r="P108" s="1"/>
  <c r="J144"/>
  <c r="Q144" s="1"/>
  <c r="K144" s="1"/>
  <c r="S11"/>
  <c r="S63"/>
  <c r="T138"/>
  <c r="I65"/>
  <c r="P65" s="1"/>
  <c r="I6"/>
  <c r="H9" i="1"/>
  <c r="J111" i="2"/>
  <c r="Q111" s="1"/>
  <c r="I130"/>
  <c r="P130" s="1"/>
  <c r="I63"/>
  <c r="P63" s="1"/>
  <c r="J31"/>
  <c r="J74"/>
  <c r="Q74" s="1"/>
  <c r="S48"/>
  <c r="S122"/>
  <c r="H68" i="1"/>
  <c r="H93"/>
  <c r="I70" i="2"/>
  <c r="P70" s="1"/>
  <c r="I95"/>
  <c r="P95" s="1"/>
  <c r="J119"/>
  <c r="Q119" s="1"/>
  <c r="S98"/>
  <c r="J83"/>
  <c r="Q83" s="1"/>
  <c r="T71"/>
  <c r="H46" i="1"/>
  <c r="H45"/>
  <c r="J128" i="2"/>
  <c r="Q128" s="1"/>
  <c r="S78"/>
  <c r="S47"/>
  <c r="I116"/>
  <c r="P116" s="1"/>
  <c r="H99" i="1"/>
  <c r="H6"/>
  <c r="J141" i="2"/>
  <c r="Q141" s="1"/>
  <c r="J103"/>
  <c r="Q103" s="1"/>
  <c r="T31"/>
  <c r="T118"/>
  <c r="I47"/>
  <c r="P47" s="1"/>
  <c r="I57"/>
  <c r="P57" s="1"/>
  <c r="H37" i="1"/>
  <c r="J53" i="2"/>
  <c r="Q53" s="1"/>
  <c r="I133"/>
  <c r="P133" s="1"/>
  <c r="T68"/>
  <c r="S116"/>
  <c r="I36"/>
  <c r="P36" s="1"/>
  <c r="I21"/>
  <c r="I5"/>
  <c r="S57"/>
  <c r="T48"/>
  <c r="I150"/>
  <c r="P150" s="1"/>
  <c r="S2"/>
  <c r="H77" i="1"/>
  <c r="T63" i="2"/>
  <c r="S137"/>
  <c r="I90"/>
  <c r="P90" s="1"/>
  <c r="J56"/>
  <c r="Q56" s="1"/>
  <c r="K56" s="1"/>
  <c r="I97"/>
  <c r="P97" s="1"/>
  <c r="S130"/>
  <c r="H5" i="1"/>
  <c r="S19" i="2"/>
  <c r="J21"/>
  <c r="J106"/>
  <c r="Q106" s="1"/>
  <c r="T14"/>
  <c r="T33"/>
  <c r="T86"/>
  <c r="J115"/>
  <c r="Q115" s="1"/>
  <c r="J64"/>
  <c r="Q64" s="1"/>
  <c r="I53"/>
  <c r="P53" s="1"/>
  <c r="J23"/>
  <c r="T37"/>
  <c r="I17"/>
  <c r="J81"/>
  <c r="Q81" s="1"/>
  <c r="S112"/>
  <c r="S138"/>
  <c r="T2"/>
  <c r="T53"/>
  <c r="S81"/>
  <c r="S113"/>
  <c r="H88" i="1"/>
  <c r="J32" i="2"/>
  <c r="I147"/>
  <c r="P147" s="1"/>
  <c r="J41"/>
  <c r="Q41" s="1"/>
  <c r="S109"/>
  <c r="I49"/>
  <c r="P49" s="1"/>
  <c r="H15" i="1"/>
  <c r="T4" i="2"/>
  <c r="S25"/>
  <c r="T64"/>
  <c r="H7" i="1"/>
  <c r="J14" i="2"/>
  <c r="I123"/>
  <c r="P123" s="1"/>
  <c r="T50"/>
  <c r="J94"/>
  <c r="Q94" s="1"/>
  <c r="J117"/>
  <c r="Q117" s="1"/>
  <c r="S21"/>
  <c r="S36"/>
  <c r="S49"/>
  <c r="T83"/>
  <c r="S123"/>
  <c r="S147"/>
  <c r="H58" i="1"/>
  <c r="I120" i="2"/>
  <c r="P120" s="1"/>
  <c r="H71" i="1"/>
  <c r="J89" i="2"/>
  <c r="Q89" s="1"/>
  <c r="J66"/>
  <c r="Q66" s="1"/>
  <c r="S9"/>
  <c r="J6"/>
  <c r="J120"/>
  <c r="Q120" s="1"/>
  <c r="J76"/>
  <c r="Q76" s="1"/>
  <c r="T100"/>
  <c r="J142"/>
  <c r="Q142" s="1"/>
  <c r="I78"/>
  <c r="P78" s="1"/>
  <c r="J63"/>
  <c r="Q63" s="1"/>
  <c r="J46"/>
  <c r="Q46" s="1"/>
  <c r="I146"/>
  <c r="P146" s="1"/>
  <c r="J133"/>
  <c r="Q133" s="1"/>
  <c r="T130"/>
  <c r="S17"/>
  <c r="T144"/>
  <c r="I109"/>
  <c r="P109" s="1"/>
  <c r="J2"/>
  <c r="J48"/>
  <c r="Q48" s="1"/>
  <c r="I2"/>
  <c r="H3" i="1"/>
  <c r="T46" i="2"/>
  <c r="T56"/>
  <c r="I143"/>
  <c r="P143" s="1"/>
  <c r="H31" i="1"/>
  <c r="H85"/>
  <c r="J86" i="2"/>
  <c r="Q86" s="1"/>
  <c r="J100"/>
  <c r="Q100" s="1"/>
  <c r="J78"/>
  <c r="Q78" s="1"/>
  <c r="J149"/>
  <c r="Q149" s="1"/>
  <c r="S120"/>
  <c r="I54"/>
  <c r="P54" s="1"/>
  <c r="T78"/>
  <c r="T11"/>
  <c r="T41"/>
  <c r="T94"/>
  <c r="S150"/>
  <c r="I32"/>
  <c r="I81"/>
  <c r="P81" s="1"/>
  <c r="J4"/>
  <c r="I126"/>
  <c r="P126" s="1"/>
  <c r="S12"/>
  <c r="T21"/>
  <c r="S74"/>
  <c r="T142"/>
  <c r="I82"/>
  <c r="P82" s="1"/>
  <c r="I74"/>
  <c r="P74" s="1"/>
  <c r="I60"/>
  <c r="P60" s="1"/>
  <c r="J123"/>
  <c r="Q123" s="1"/>
  <c r="S20"/>
  <c r="S70"/>
  <c r="T103"/>
  <c r="I127"/>
  <c r="P127" s="1"/>
  <c r="H84" i="1"/>
  <c r="H26"/>
  <c r="I113" i="2"/>
  <c r="P113" s="1"/>
  <c r="J22"/>
  <c r="J11"/>
  <c r="S6"/>
  <c r="S18"/>
  <c r="T81"/>
  <c r="S131"/>
  <c r="H36" i="1"/>
  <c r="I20" i="2"/>
  <c r="H50" i="1"/>
  <c r="J50" i="2"/>
  <c r="Q50" s="1"/>
  <c r="J61"/>
  <c r="Q61" s="1"/>
  <c r="S41"/>
  <c r="T51"/>
  <c r="T66"/>
  <c r="S146"/>
  <c r="I137"/>
  <c r="P137" s="1"/>
  <c r="H65" i="1"/>
  <c r="J7" i="2"/>
  <c r="J25"/>
  <c r="S46"/>
  <c r="S99"/>
  <c r="J62"/>
  <c r="Q62" s="1"/>
  <c r="J145"/>
  <c r="Q145" s="1"/>
  <c r="T87"/>
  <c r="I37"/>
  <c r="P37" s="1"/>
  <c r="I112"/>
  <c r="P112" s="1"/>
  <c r="I18"/>
  <c r="S32"/>
  <c r="T76"/>
  <c r="S115"/>
  <c r="I139"/>
  <c r="P139" s="1"/>
  <c r="I51"/>
  <c r="P51" s="1"/>
  <c r="J108"/>
  <c r="Q108" s="1"/>
  <c r="J51"/>
  <c r="Q51" s="1"/>
  <c r="J60"/>
  <c r="Q60" s="1"/>
  <c r="J39"/>
  <c r="Q39" s="1"/>
  <c r="S51"/>
  <c r="S86"/>
  <c r="T123"/>
  <c r="S139"/>
  <c r="H17" i="1"/>
  <c r="H62"/>
  <c r="J33" i="2"/>
  <c r="J96"/>
  <c r="Q96" s="1"/>
  <c r="J9"/>
  <c r="I12"/>
  <c r="I61"/>
  <c r="P61" s="1"/>
  <c r="J87"/>
  <c r="Q87" s="1"/>
  <c r="I86"/>
  <c r="P86" s="1"/>
  <c r="S61"/>
  <c r="T70"/>
  <c r="T96"/>
  <c r="I115"/>
  <c r="H61" i="1"/>
  <c r="T108" i="2"/>
  <c r="S37"/>
  <c r="S3"/>
  <c r="I76"/>
  <c r="P76" s="1"/>
  <c r="S44"/>
  <c r="J129"/>
  <c r="Q129" s="1"/>
  <c r="I48"/>
  <c r="P48" s="1"/>
  <c r="J68"/>
  <c r="Q68" s="1"/>
  <c r="H16" i="1"/>
  <c r="J71" i="2"/>
  <c r="Q71" s="1"/>
  <c r="M56"/>
  <c r="S91"/>
  <c r="T106"/>
  <c r="S14"/>
  <c r="H60" i="1"/>
  <c r="T45" i="2"/>
  <c r="S108"/>
  <c r="T129"/>
  <c r="I41"/>
  <c r="P41" s="1"/>
  <c r="H14" i="1"/>
  <c r="J130" i="2"/>
  <c r="Q130" s="1"/>
  <c r="I24"/>
  <c r="S60"/>
  <c r="S69"/>
  <c r="T133"/>
  <c r="S143"/>
  <c r="S151"/>
  <c r="S79"/>
  <c r="H75" i="1"/>
  <c r="T38" i="2"/>
  <c r="T9"/>
  <c r="T26"/>
  <c r="S75"/>
  <c r="T82"/>
  <c r="T139"/>
  <c r="J114"/>
  <c r="Q114" s="1"/>
  <c r="J57"/>
  <c r="Q57" s="1"/>
  <c r="T6"/>
  <c r="T120"/>
  <c r="S141"/>
  <c r="H69" i="1"/>
  <c r="I14" i="2"/>
  <c r="H49" i="1"/>
  <c r="J151" i="2"/>
  <c r="Q151" s="1"/>
  <c r="K151" s="1"/>
  <c r="S4"/>
  <c r="T17"/>
  <c r="T25"/>
  <c r="T77"/>
  <c r="I46"/>
  <c r="P46" s="1"/>
  <c r="I141"/>
  <c r="P141" s="1"/>
  <c r="I4"/>
  <c r="T61"/>
  <c r="T84"/>
  <c r="S8"/>
  <c r="T15"/>
  <c r="T57"/>
  <c r="T135"/>
  <c r="S142"/>
  <c r="I50"/>
  <c r="P50" s="1"/>
  <c r="H51" i="1"/>
  <c r="T43" i="2"/>
  <c r="T65"/>
  <c r="S88"/>
  <c r="H39" i="1"/>
  <c r="I85" i="2"/>
  <c r="P85" s="1"/>
  <c r="I30"/>
  <c r="J126"/>
  <c r="Q126" s="1"/>
  <c r="J121"/>
  <c r="Q121" s="1"/>
  <c r="T74"/>
  <c r="S133"/>
  <c r="I102"/>
  <c r="J125"/>
  <c r="Q125" s="1"/>
  <c r="S23"/>
  <c r="I77"/>
  <c r="P77" s="1"/>
  <c r="I23"/>
  <c r="H47" i="1"/>
  <c r="J27" i="2"/>
  <c r="J45"/>
  <c r="Q45" s="1"/>
  <c r="S31"/>
  <c r="S38"/>
  <c r="J102"/>
  <c r="Q102" s="1"/>
  <c r="I38"/>
  <c r="P38" s="1"/>
  <c r="I73"/>
  <c r="P73" s="1"/>
  <c r="S77"/>
  <c r="H78" i="1"/>
  <c r="S10" i="2"/>
  <c r="T55"/>
  <c r="T19"/>
  <c r="S53"/>
  <c r="T91"/>
  <c r="S100"/>
  <c r="S144"/>
  <c r="I45"/>
  <c r="I136"/>
  <c r="P136" s="1"/>
  <c r="I83"/>
  <c r="J140"/>
  <c r="Q140" s="1"/>
  <c r="J122"/>
  <c r="Q122" s="1"/>
  <c r="J143"/>
  <c r="J82"/>
  <c r="Q82" s="1"/>
  <c r="S7"/>
  <c r="T18"/>
  <c r="T23"/>
  <c r="S45"/>
  <c r="S64"/>
  <c r="T90"/>
  <c r="T97"/>
  <c r="T107"/>
  <c r="S129"/>
  <c r="I28"/>
  <c r="I145"/>
  <c r="I31"/>
  <c r="I3"/>
  <c r="H96" i="1"/>
  <c r="I69" i="2"/>
  <c r="J77"/>
  <c r="S128"/>
  <c r="I94"/>
  <c r="I107"/>
  <c r="P107" s="1"/>
  <c r="S28"/>
  <c r="J3"/>
  <c r="J110"/>
  <c r="Q110" s="1"/>
  <c r="J107"/>
  <c r="T34"/>
  <c r="S54"/>
  <c r="S87"/>
  <c r="S102"/>
  <c r="T109"/>
  <c r="S118"/>
  <c r="T125"/>
  <c r="I55"/>
  <c r="I128"/>
  <c r="J97"/>
  <c r="J112"/>
  <c r="Q112" s="1"/>
  <c r="J91"/>
  <c r="Q91" s="1"/>
  <c r="J36"/>
  <c r="Q36" s="1"/>
  <c r="J30"/>
  <c r="J38"/>
  <c r="Q38" s="1"/>
  <c r="J109"/>
  <c r="S103"/>
  <c r="S127"/>
  <c r="I124"/>
  <c r="P124" s="1"/>
  <c r="I103"/>
  <c r="H43" i="1"/>
  <c r="H64"/>
  <c r="T39" i="2"/>
  <c r="T60"/>
  <c r="T80"/>
  <c r="S94"/>
  <c r="S124"/>
  <c r="T150"/>
  <c r="I87"/>
  <c r="I8"/>
  <c r="J105"/>
  <c r="Q105" s="1"/>
  <c r="J99"/>
  <c r="Q99" s="1"/>
  <c r="J80"/>
  <c r="Q80" s="1"/>
  <c r="S16"/>
  <c r="J98"/>
  <c r="T27"/>
  <c r="T44"/>
  <c r="S55"/>
  <c r="S73"/>
  <c r="S83"/>
  <c r="T102"/>
  <c r="T140"/>
  <c r="S145"/>
  <c r="I58"/>
  <c r="P58" s="1"/>
  <c r="I35"/>
  <c r="P35" s="1"/>
  <c r="H92" i="1"/>
  <c r="I88" i="2"/>
  <c r="P88" s="1"/>
  <c r="J84"/>
  <c r="Q84" s="1"/>
  <c r="J8"/>
  <c r="J18"/>
  <c r="J55"/>
  <c r="Q55" s="1"/>
  <c r="J72"/>
  <c r="Q72" s="1"/>
  <c r="S15"/>
  <c r="S58"/>
  <c r="S121"/>
  <c r="T127"/>
  <c r="T132"/>
  <c r="T151"/>
  <c r="I9"/>
  <c r="I79"/>
  <c r="I99"/>
  <c r="P99" s="1"/>
  <c r="I91"/>
  <c r="H72" i="1"/>
  <c r="J135" i="2"/>
  <c r="Q135" s="1"/>
  <c r="J132"/>
  <c r="J127"/>
  <c r="H63" i="1"/>
  <c r="J65" i="2"/>
  <c r="T30"/>
  <c r="T36"/>
  <c r="T52"/>
  <c r="T69"/>
  <c r="S76"/>
  <c r="T99"/>
  <c r="S107"/>
  <c r="T112"/>
  <c r="I72"/>
  <c r="I89"/>
  <c r="H23" i="1"/>
  <c r="I118" i="2"/>
  <c r="H56" i="1"/>
  <c r="J150" i="2"/>
  <c r="Q150" s="1"/>
  <c r="J17"/>
  <c r="J44"/>
  <c r="Q44" s="1"/>
  <c r="S30"/>
  <c r="S40"/>
  <c r="S125"/>
  <c r="T137"/>
  <c r="I100"/>
  <c r="I10"/>
  <c r="J139"/>
  <c r="S35"/>
  <c r="T111"/>
  <c r="T124"/>
  <c r="I16"/>
  <c r="I125"/>
  <c r="I34"/>
  <c r="S66"/>
  <c r="T95"/>
  <c r="T104"/>
  <c r="T116"/>
  <c r="T121"/>
  <c r="S134"/>
  <c r="T146"/>
  <c r="H87" i="1"/>
  <c r="I129" i="2"/>
  <c r="I84"/>
  <c r="P84" s="1"/>
  <c r="I119"/>
  <c r="P119" s="1"/>
  <c r="H94" i="1"/>
  <c r="H100"/>
  <c r="I42" i="2"/>
  <c r="P42" s="1"/>
  <c r="I142"/>
  <c r="I64"/>
  <c r="I7"/>
  <c r="J59"/>
  <c r="Q59" s="1"/>
  <c r="J75"/>
  <c r="J49"/>
  <c r="J92"/>
  <c r="Q92" s="1"/>
  <c r="J43"/>
  <c r="Q43" s="1"/>
  <c r="J137"/>
  <c r="J26"/>
  <c r="J116"/>
  <c r="J88"/>
  <c r="Q88" s="1"/>
  <c r="J28"/>
  <c r="S52"/>
  <c r="T149"/>
  <c r="X149" s="1"/>
  <c r="I110"/>
  <c r="J136"/>
  <c r="J13"/>
  <c r="T13"/>
  <c r="S34"/>
  <c r="S43"/>
  <c r="T59"/>
  <c r="S68"/>
  <c r="T72"/>
  <c r="S85"/>
  <c r="S89"/>
  <c r="T93"/>
  <c r="T110"/>
  <c r="S119"/>
  <c r="S132"/>
  <c r="T136"/>
  <c r="I132"/>
  <c r="P132" s="1"/>
  <c r="H27" i="1"/>
  <c r="I140" i="2"/>
  <c r="I44"/>
  <c r="P44" s="1"/>
  <c r="I135"/>
  <c r="P135" s="1"/>
  <c r="I149"/>
  <c r="I121"/>
  <c r="I43"/>
  <c r="P43" s="1"/>
  <c r="J85"/>
  <c r="Q85" s="1"/>
  <c r="J93"/>
  <c r="Q93" s="1"/>
  <c r="J69"/>
  <c r="Q69" s="1"/>
  <c r="J20"/>
  <c r="H38" i="1"/>
  <c r="S27" i="2"/>
  <c r="I52"/>
  <c r="J47"/>
  <c r="S22"/>
  <c r="T47"/>
  <c r="T85"/>
  <c r="I62"/>
  <c r="S59"/>
  <c r="S93"/>
  <c r="T148"/>
  <c r="I71"/>
  <c r="I68"/>
  <c r="I101"/>
  <c r="I22"/>
  <c r="I15"/>
  <c r="H76" i="1"/>
  <c r="H83"/>
  <c r="J124" i="2"/>
  <c r="J52"/>
  <c r="Q52" s="1"/>
  <c r="J134"/>
  <c r="Q134" s="1"/>
  <c r="J113"/>
  <c r="I134"/>
  <c r="P134" s="1"/>
  <c r="I40"/>
  <c r="J42"/>
  <c r="Q42" s="1"/>
  <c r="H97" i="1"/>
  <c r="J146" i="2"/>
  <c r="T5"/>
  <c r="T98"/>
  <c r="I27"/>
  <c r="I105"/>
  <c r="I92"/>
  <c r="P92" s="1"/>
  <c r="S72"/>
  <c r="S110"/>
  <c r="S114"/>
  <c r="S140"/>
  <c r="T16"/>
  <c r="T20"/>
  <c r="S29"/>
  <c r="S33"/>
  <c r="S42"/>
  <c r="S50"/>
  <c r="T58"/>
  <c r="T62"/>
  <c r="S80"/>
  <c r="S84"/>
  <c r="T92"/>
  <c r="S101"/>
  <c r="T105"/>
  <c r="T113"/>
  <c r="T122"/>
  <c r="T126"/>
  <c r="S135"/>
  <c r="T143"/>
  <c r="I13"/>
  <c r="H33" i="1"/>
  <c r="I66" i="2"/>
  <c r="I114"/>
  <c r="I29"/>
  <c r="I93"/>
  <c r="P93" s="1"/>
  <c r="I106"/>
  <c r="J73"/>
  <c r="J67"/>
  <c r="J19"/>
  <c r="J16"/>
  <c r="J104"/>
  <c r="J35"/>
  <c r="J15"/>
  <c r="J101"/>
  <c r="Q101" s="1"/>
  <c r="J148"/>
  <c r="Q148" s="1"/>
  <c r="I59"/>
  <c r="P59" s="1"/>
  <c r="J5"/>
  <c r="T8"/>
  <c r="S13"/>
  <c r="T42"/>
  <c r="T67"/>
  <c r="T88"/>
  <c r="T101"/>
  <c r="S106"/>
  <c r="S24"/>
  <c r="T28"/>
  <c r="T49"/>
  <c r="S62"/>
  <c r="T75"/>
  <c r="T79"/>
  <c r="S92"/>
  <c r="S105"/>
  <c r="T117"/>
  <c r="S126"/>
  <c r="T134"/>
  <c r="I33"/>
  <c r="I80"/>
  <c r="P80" s="1"/>
  <c r="H57" i="1"/>
  <c r="H91"/>
  <c r="J79" i="2"/>
  <c r="J58"/>
  <c r="Q58" s="1"/>
  <c r="J10"/>
  <c r="J40"/>
  <c r="J54"/>
  <c r="J131"/>
  <c r="J24"/>
  <c r="I96"/>
  <c r="I117"/>
  <c r="P117" s="1"/>
  <c r="I148"/>
  <c r="P148" s="1"/>
  <c r="S96"/>
  <c r="H29" i="1"/>
  <c r="T10" i="2"/>
  <c r="T131"/>
  <c r="S148"/>
  <c r="T40"/>
  <c r="S117"/>
  <c r="T54"/>
  <c r="S71"/>
  <c r="L4"/>
  <c r="R46" i="7" s="1"/>
  <c r="X32" i="2" l="1"/>
  <c r="M138"/>
  <c r="K37"/>
  <c r="L37" s="1"/>
  <c r="R11"/>
  <c r="X22"/>
  <c r="X97"/>
  <c r="K90"/>
  <c r="R34"/>
  <c r="X26"/>
  <c r="R21"/>
  <c r="X63"/>
  <c r="K122"/>
  <c r="X47"/>
  <c r="X12"/>
  <c r="X95"/>
  <c r="K138"/>
  <c r="L138" s="1"/>
  <c r="S91" i="7" s="1"/>
  <c r="M111" i="2"/>
  <c r="R22"/>
  <c r="X115"/>
  <c r="X56"/>
  <c r="R37"/>
  <c r="R12"/>
  <c r="X33"/>
  <c r="R111"/>
  <c r="M81"/>
  <c r="X89"/>
  <c r="M37"/>
  <c r="M147"/>
  <c r="X48"/>
  <c r="X114"/>
  <c r="X39"/>
  <c r="K81"/>
  <c r="L81" s="1"/>
  <c r="M70"/>
  <c r="X29"/>
  <c r="R19"/>
  <c r="X145"/>
  <c r="R138"/>
  <c r="X113"/>
  <c r="X139"/>
  <c r="X147"/>
  <c r="X98"/>
  <c r="X83"/>
  <c r="R97"/>
  <c r="X128"/>
  <c r="X9"/>
  <c r="X49"/>
  <c r="X111"/>
  <c r="R14"/>
  <c r="X82"/>
  <c r="M41"/>
  <c r="M39"/>
  <c r="K111"/>
  <c r="L111" s="1"/>
  <c r="R63"/>
  <c r="X81"/>
  <c r="R128"/>
  <c r="X7"/>
  <c r="M108"/>
  <c r="R25"/>
  <c r="X68"/>
  <c r="X67"/>
  <c r="K95"/>
  <c r="L95" s="1"/>
  <c r="K63"/>
  <c r="X11"/>
  <c r="X141"/>
  <c r="X108"/>
  <c r="R95"/>
  <c r="X112"/>
  <c r="X14"/>
  <c r="X71"/>
  <c r="R29"/>
  <c r="X122"/>
  <c r="R23"/>
  <c r="K147"/>
  <c r="X138"/>
  <c r="X5"/>
  <c r="M90"/>
  <c r="M144"/>
  <c r="R2"/>
  <c r="V2" s="1"/>
  <c r="R6"/>
  <c r="X96"/>
  <c r="K112"/>
  <c r="L112" s="1"/>
  <c r="X130"/>
  <c r="R144"/>
  <c r="R70"/>
  <c r="X118"/>
  <c r="M63"/>
  <c r="N4" i="7" s="1"/>
  <c r="K70" i="2"/>
  <c r="L70" s="1"/>
  <c r="X78"/>
  <c r="M95"/>
  <c r="R39"/>
  <c r="R115"/>
  <c r="X150"/>
  <c r="R31"/>
  <c r="R50"/>
  <c r="X20"/>
  <c r="K150"/>
  <c r="K36"/>
  <c r="L36" s="1"/>
  <c r="X31"/>
  <c r="K51"/>
  <c r="R56"/>
  <c r="R90"/>
  <c r="X64"/>
  <c r="M135"/>
  <c r="M123"/>
  <c r="M40" i="7" s="1"/>
  <c r="X2" i="2"/>
  <c r="Y2" s="1"/>
  <c r="X116"/>
  <c r="X57"/>
  <c r="R81"/>
  <c r="X50"/>
  <c r="R32"/>
  <c r="X46"/>
  <c r="K120"/>
  <c r="Q101" i="7" s="1"/>
  <c r="X37" i="2"/>
  <c r="X41"/>
  <c r="X94"/>
  <c r="X18"/>
  <c r="X61"/>
  <c r="X146"/>
  <c r="X109"/>
  <c r="X19"/>
  <c r="R53"/>
  <c r="X123"/>
  <c r="X137"/>
  <c r="R123"/>
  <c r="X53"/>
  <c r="K123"/>
  <c r="X4"/>
  <c r="M48"/>
  <c r="M86"/>
  <c r="X100"/>
  <c r="K39"/>
  <c r="L39" s="1"/>
  <c r="R147"/>
  <c r="X25"/>
  <c r="K76"/>
  <c r="L76" s="1"/>
  <c r="X51"/>
  <c r="X131"/>
  <c r="R78"/>
  <c r="X86"/>
  <c r="M60"/>
  <c r="M78"/>
  <c r="R33"/>
  <c r="R127"/>
  <c r="K126"/>
  <c r="L126" s="1"/>
  <c r="X142"/>
  <c r="K82"/>
  <c r="L82" s="1"/>
  <c r="R133"/>
  <c r="X17"/>
  <c r="X120"/>
  <c r="M61"/>
  <c r="X70"/>
  <c r="X21"/>
  <c r="R41"/>
  <c r="K78"/>
  <c r="R51"/>
  <c r="R120"/>
  <c r="R4"/>
  <c r="M120"/>
  <c r="L101" i="7" s="1"/>
  <c r="X92" i="2"/>
  <c r="X66"/>
  <c r="X103"/>
  <c r="X144"/>
  <c r="M57"/>
  <c r="X36"/>
  <c r="R60"/>
  <c r="X74"/>
  <c r="M51"/>
  <c r="M148"/>
  <c r="X88"/>
  <c r="X143"/>
  <c r="R61"/>
  <c r="X102"/>
  <c r="K60"/>
  <c r="L60" s="1"/>
  <c r="X6"/>
  <c r="R18"/>
  <c r="R108"/>
  <c r="R74"/>
  <c r="K41"/>
  <c r="L41" s="1"/>
  <c r="X99"/>
  <c r="K86"/>
  <c r="L86" s="1"/>
  <c r="S98" i="7" s="1"/>
  <c r="R86" i="2"/>
  <c r="K61"/>
  <c r="X87"/>
  <c r="X45"/>
  <c r="X84"/>
  <c r="K108"/>
  <c r="L108" s="1"/>
  <c r="X76"/>
  <c r="P115"/>
  <c r="K115" s="1"/>
  <c r="X91"/>
  <c r="M126"/>
  <c r="X79"/>
  <c r="M76"/>
  <c r="R130"/>
  <c r="M122"/>
  <c r="I100" i="7" s="1"/>
  <c r="M59" i="2"/>
  <c r="X72"/>
  <c r="X124"/>
  <c r="R76"/>
  <c r="X44"/>
  <c r="X77"/>
  <c r="M112"/>
  <c r="K48"/>
  <c r="L48" s="1"/>
  <c r="R48"/>
  <c r="X23"/>
  <c r="X15"/>
  <c r="R112"/>
  <c r="X106"/>
  <c r="M151"/>
  <c r="K46"/>
  <c r="M46"/>
  <c r="K58"/>
  <c r="L58" s="1"/>
  <c r="M58"/>
  <c r="K99"/>
  <c r="M99"/>
  <c r="K50"/>
  <c r="M50"/>
  <c r="K141"/>
  <c r="L141" s="1"/>
  <c r="M141"/>
  <c r="M150"/>
  <c r="K99" i="7" s="1"/>
  <c r="M42" i="2"/>
  <c r="K117"/>
  <c r="L117" s="1"/>
  <c r="M117"/>
  <c r="K93"/>
  <c r="M93"/>
  <c r="K80"/>
  <c r="L80" s="1"/>
  <c r="M80"/>
  <c r="R46"/>
  <c r="X135"/>
  <c r="X16"/>
  <c r="M88"/>
  <c r="M36"/>
  <c r="K43"/>
  <c r="M43"/>
  <c r="K44"/>
  <c r="L44" s="1"/>
  <c r="M44"/>
  <c r="K74"/>
  <c r="M74"/>
  <c r="K130"/>
  <c r="L130" s="1"/>
  <c r="M130"/>
  <c r="K84"/>
  <c r="L84" s="1"/>
  <c r="M84"/>
  <c r="K53"/>
  <c r="L53" s="1"/>
  <c r="M53"/>
  <c r="R126"/>
  <c r="X52"/>
  <c r="X140"/>
  <c r="M82"/>
  <c r="K134"/>
  <c r="L134" s="1"/>
  <c r="M134"/>
  <c r="K119"/>
  <c r="M119"/>
  <c r="K133"/>
  <c r="M133"/>
  <c r="R24"/>
  <c r="R150"/>
  <c r="M92"/>
  <c r="X27"/>
  <c r="X43"/>
  <c r="X151"/>
  <c r="M38"/>
  <c r="M85"/>
  <c r="X8"/>
  <c r="K57"/>
  <c r="R119"/>
  <c r="X75"/>
  <c r="X133"/>
  <c r="K85"/>
  <c r="X38"/>
  <c r="X42"/>
  <c r="X132"/>
  <c r="X60"/>
  <c r="X129"/>
  <c r="R57"/>
  <c r="X69"/>
  <c r="R36"/>
  <c r="X28"/>
  <c r="R141"/>
  <c r="K135"/>
  <c r="L135" s="1"/>
  <c r="S50" i="7" s="1"/>
  <c r="R17" i="2"/>
  <c r="R82"/>
  <c r="R38"/>
  <c r="K59"/>
  <c r="L59" s="1"/>
  <c r="K92"/>
  <c r="R85"/>
  <c r="K148"/>
  <c r="K42"/>
  <c r="K88"/>
  <c r="R151"/>
  <c r="X107"/>
  <c r="K38"/>
  <c r="P101"/>
  <c r="Q139"/>
  <c r="R98"/>
  <c r="Q98"/>
  <c r="R143"/>
  <c r="Q143"/>
  <c r="Q40"/>
  <c r="R106"/>
  <c r="P106"/>
  <c r="R62"/>
  <c r="P62"/>
  <c r="R118"/>
  <c r="P118"/>
  <c r="Q132"/>
  <c r="M132" s="1"/>
  <c r="R45"/>
  <c r="P45"/>
  <c r="R54"/>
  <c r="Q54"/>
  <c r="R73"/>
  <c r="Q73"/>
  <c r="K73" s="1"/>
  <c r="R105"/>
  <c r="P105"/>
  <c r="R40"/>
  <c r="P40"/>
  <c r="R149"/>
  <c r="P149"/>
  <c r="R75"/>
  <c r="Q75"/>
  <c r="Q127"/>
  <c r="P79"/>
  <c r="Q109"/>
  <c r="P55"/>
  <c r="Q107"/>
  <c r="K107" s="1"/>
  <c r="P69"/>
  <c r="R27"/>
  <c r="X125"/>
  <c r="R122"/>
  <c r="X55"/>
  <c r="R116"/>
  <c r="Q116"/>
  <c r="R131"/>
  <c r="Q131"/>
  <c r="R49"/>
  <c r="Q49"/>
  <c r="R66"/>
  <c r="P66"/>
  <c r="P52"/>
  <c r="Q97"/>
  <c r="R102"/>
  <c r="P102"/>
  <c r="R96"/>
  <c r="P96"/>
  <c r="R114"/>
  <c r="P114"/>
  <c r="R124"/>
  <c r="Q124"/>
  <c r="K124" s="1"/>
  <c r="L124" s="1"/>
  <c r="R71"/>
  <c r="P71"/>
  <c r="R100"/>
  <c r="P100"/>
  <c r="R91"/>
  <c r="P91"/>
  <c r="R94"/>
  <c r="P94"/>
  <c r="R83"/>
  <c r="P83"/>
  <c r="R104"/>
  <c r="Q104"/>
  <c r="Q146"/>
  <c r="P68"/>
  <c r="R136"/>
  <c r="Q136"/>
  <c r="K136" s="1"/>
  <c r="R137"/>
  <c r="Q137"/>
  <c r="R142"/>
  <c r="P142"/>
  <c r="R72"/>
  <c r="P72"/>
  <c r="R103"/>
  <c r="P103"/>
  <c r="R80"/>
  <c r="X13"/>
  <c r="X127"/>
  <c r="R113"/>
  <c r="Q113"/>
  <c r="R67"/>
  <c r="Q67"/>
  <c r="P121"/>
  <c r="P128"/>
  <c r="R77"/>
  <c r="Q77"/>
  <c r="K77" s="1"/>
  <c r="R79"/>
  <c r="Q79"/>
  <c r="R145"/>
  <c r="P145"/>
  <c r="R47"/>
  <c r="Q47"/>
  <c r="R110"/>
  <c r="P110"/>
  <c r="R125"/>
  <c r="P125"/>
  <c r="R65"/>
  <c r="Q65"/>
  <c r="R35"/>
  <c r="Q35"/>
  <c r="K35" s="1"/>
  <c r="P140"/>
  <c r="R64"/>
  <c r="P64"/>
  <c r="P129"/>
  <c r="R89"/>
  <c r="P89"/>
  <c r="R87"/>
  <c r="P87"/>
  <c r="X110"/>
  <c r="L30"/>
  <c r="X40"/>
  <c r="R107"/>
  <c r="R7"/>
  <c r="X93"/>
  <c r="R44"/>
  <c r="X121"/>
  <c r="R55"/>
  <c r="R129"/>
  <c r="R109"/>
  <c r="R69"/>
  <c r="R9"/>
  <c r="X30"/>
  <c r="R139"/>
  <c r="R3"/>
  <c r="R30"/>
  <c r="X105"/>
  <c r="R59"/>
  <c r="R20"/>
  <c r="R132"/>
  <c r="R8"/>
  <c r="X85"/>
  <c r="X62"/>
  <c r="X34"/>
  <c r="R28"/>
  <c r="R68"/>
  <c r="R42"/>
  <c r="X80"/>
  <c r="R15"/>
  <c r="X59"/>
  <c r="X134"/>
  <c r="R99"/>
  <c r="X58"/>
  <c r="R134"/>
  <c r="R5"/>
  <c r="R135"/>
  <c r="R88"/>
  <c r="R10"/>
  <c r="X126"/>
  <c r="R43"/>
  <c r="L17"/>
  <c r="X101"/>
  <c r="R92"/>
  <c r="R13"/>
  <c r="R84"/>
  <c r="X117"/>
  <c r="R146"/>
  <c r="R121"/>
  <c r="R52"/>
  <c r="R140"/>
  <c r="R93"/>
  <c r="N88" i="7"/>
  <c r="R26" i="2"/>
  <c r="R58"/>
  <c r="R16"/>
  <c r="R101"/>
  <c r="L28"/>
  <c r="R117"/>
  <c r="R148"/>
  <c r="K89" i="7"/>
  <c r="X10" i="2"/>
  <c r="X148"/>
  <c r="X54"/>
  <c r="M52" i="7"/>
  <c r="N84"/>
  <c r="M91"/>
  <c r="L20" i="2"/>
  <c r="T19" i="7" s="1"/>
  <c r="L5" i="2"/>
  <c r="L31"/>
  <c r="L21"/>
  <c r="L151"/>
  <c r="L56"/>
  <c r="L16"/>
  <c r="L33"/>
  <c r="L27"/>
  <c r="L11"/>
  <c r="Q89" i="7"/>
  <c r="L32" i="2"/>
  <c r="T88" i="7" s="1"/>
  <c r="L14" i="2"/>
  <c r="L23"/>
  <c r="L7"/>
  <c r="L8"/>
  <c r="L18"/>
  <c r="L26"/>
  <c r="L12"/>
  <c r="L15"/>
  <c r="L10"/>
  <c r="L144"/>
  <c r="L25"/>
  <c r="R3" i="7" s="1"/>
  <c r="L6" i="2"/>
  <c r="L22"/>
  <c r="L13"/>
  <c r="L2"/>
  <c r="M48" i="7" l="1"/>
  <c r="P69"/>
  <c r="P2"/>
  <c r="R78"/>
  <c r="L122" i="2"/>
  <c r="T51" i="7" s="1"/>
  <c r="O100"/>
  <c r="K101"/>
  <c r="T44"/>
  <c r="R96"/>
  <c r="T45"/>
  <c r="Q6"/>
  <c r="M53"/>
  <c r="K78"/>
  <c r="K6"/>
  <c r="R17"/>
  <c r="T98"/>
  <c r="Q78"/>
  <c r="S9"/>
  <c r="Q99"/>
  <c r="L30"/>
  <c r="L147" i="2"/>
  <c r="T85" i="7" s="1"/>
  <c r="N99"/>
  <c r="R20"/>
  <c r="T75"/>
  <c r="R97"/>
  <c r="T73"/>
  <c r="R84"/>
  <c r="T4"/>
  <c r="R53"/>
  <c r="R81"/>
  <c r="S52"/>
  <c r="R90"/>
  <c r="S96"/>
  <c r="S94"/>
  <c r="L97"/>
  <c r="L50"/>
  <c r="L78" i="2"/>
  <c r="T92" i="7" s="1"/>
  <c r="O20"/>
  <c r="J56"/>
  <c r="P101"/>
  <c r="U2" i="2"/>
  <c r="W2" s="1"/>
  <c r="L120"/>
  <c r="R101" i="7" s="1"/>
  <c r="L63" i="2"/>
  <c r="P56" i="7"/>
  <c r="P91"/>
  <c r="L51" i="2"/>
  <c r="R76" i="7" s="1"/>
  <c r="K91"/>
  <c r="L92" i="2"/>
  <c r="M92" i="7"/>
  <c r="L123" i="2"/>
  <c r="S40" i="7" s="1"/>
  <c r="L61" i="2"/>
  <c r="J101" i="7"/>
  <c r="O91"/>
  <c r="M115" i="2"/>
  <c r="L115"/>
  <c r="S59" i="7" s="1"/>
  <c r="N92"/>
  <c r="K96"/>
  <c r="L54"/>
  <c r="J69"/>
  <c r="L133" i="2"/>
  <c r="L50"/>
  <c r="M107"/>
  <c r="L42"/>
  <c r="S53" i="7" s="1"/>
  <c r="M136" i="2"/>
  <c r="K84" i="7" s="1"/>
  <c r="L43" i="2"/>
  <c r="Q84" i="7"/>
  <c r="K87" i="2"/>
  <c r="Q92" i="7" s="1"/>
  <c r="M87" i="2"/>
  <c r="K92" i="7" s="1"/>
  <c r="K47" i="2"/>
  <c r="M47"/>
  <c r="K128"/>
  <c r="Q4" i="7" s="1"/>
  <c r="M128" i="2"/>
  <c r="M89" i="7" s="1"/>
  <c r="K116" i="2"/>
  <c r="M116"/>
  <c r="K140"/>
  <c r="M140"/>
  <c r="K72"/>
  <c r="P46" i="7" s="1"/>
  <c r="M72" i="2"/>
  <c r="J46" i="7" s="1"/>
  <c r="K68" i="2"/>
  <c r="O25" i="7" s="1"/>
  <c r="M68" i="2"/>
  <c r="K97" i="7" s="1"/>
  <c r="K94" i="2"/>
  <c r="Q14" i="7" s="1"/>
  <c r="M94" i="2"/>
  <c r="K97"/>
  <c r="L97" s="1"/>
  <c r="M97"/>
  <c r="K79"/>
  <c r="P90" i="7" s="1"/>
  <c r="M79" i="2"/>
  <c r="K45"/>
  <c r="M45"/>
  <c r="M58" i="7" s="1"/>
  <c r="M7"/>
  <c r="M40" i="2"/>
  <c r="M5" i="7" s="1"/>
  <c r="M124" i="2"/>
  <c r="L75" i="7" s="1"/>
  <c r="K105" i="2"/>
  <c r="M105"/>
  <c r="K110"/>
  <c r="L110" s="1"/>
  <c r="S41" i="7" s="1"/>
  <c r="M110" i="2"/>
  <c r="K131"/>
  <c r="Q93" i="7" s="1"/>
  <c r="M131" i="2"/>
  <c r="J60" i="7" s="1"/>
  <c r="K109" i="2"/>
  <c r="M109"/>
  <c r="K106"/>
  <c r="M106"/>
  <c r="L96" i="7" s="1"/>
  <c r="K101" i="2"/>
  <c r="M101"/>
  <c r="K64"/>
  <c r="P41" i="7" s="1"/>
  <c r="M64" i="2"/>
  <c r="J41" i="7" s="1"/>
  <c r="K113" i="2"/>
  <c r="O39" i="7" s="1"/>
  <c r="M113" i="2"/>
  <c r="M32" i="7" s="1"/>
  <c r="K103" i="2"/>
  <c r="O54" i="7" s="1"/>
  <c r="M103" i="2"/>
  <c r="K83"/>
  <c r="M83"/>
  <c r="K71"/>
  <c r="M71"/>
  <c r="I13" i="7" s="1"/>
  <c r="K102" i="2"/>
  <c r="M102"/>
  <c r="I85" i="7" s="1"/>
  <c r="K149" i="2"/>
  <c r="Q95" i="7" s="1"/>
  <c r="M149" i="2"/>
  <c r="K95" i="7" s="1"/>
  <c r="K54" i="2"/>
  <c r="M54"/>
  <c r="K139"/>
  <c r="Q73" i="7" s="1"/>
  <c r="M139" i="2"/>
  <c r="L46"/>
  <c r="S20" i="7" s="1"/>
  <c r="K132" i="2"/>
  <c r="M77"/>
  <c r="K55" i="7" s="1"/>
  <c r="M73" i="2"/>
  <c r="K142"/>
  <c r="M142"/>
  <c r="K146"/>
  <c r="M146"/>
  <c r="K91"/>
  <c r="L91" s="1"/>
  <c r="M91"/>
  <c r="N10" i="7" s="1"/>
  <c r="K114" i="2"/>
  <c r="M114"/>
  <c r="K52"/>
  <c r="O23" i="7" s="1"/>
  <c r="M52" i="2"/>
  <c r="L77" i="7" s="1"/>
  <c r="K69" i="2"/>
  <c r="O99" i="7" s="1"/>
  <c r="M69" i="2"/>
  <c r="K127"/>
  <c r="M127"/>
  <c r="K143"/>
  <c r="P10" i="7" s="1"/>
  <c r="M143" i="2"/>
  <c r="J10" i="7" s="1"/>
  <c r="K125" i="2"/>
  <c r="M125"/>
  <c r="K49"/>
  <c r="M49"/>
  <c r="K55"/>
  <c r="M55"/>
  <c r="K62"/>
  <c r="M62"/>
  <c r="N100" i="7" s="1"/>
  <c r="K67" i="2"/>
  <c r="Q30" i="7" s="1"/>
  <c r="M67" i="2"/>
  <c r="K30" i="7" s="1"/>
  <c r="K137" i="2"/>
  <c r="M137"/>
  <c r="K104"/>
  <c r="M104"/>
  <c r="J65" i="7" s="1"/>
  <c r="K100" i="2"/>
  <c r="L100" s="1"/>
  <c r="S86" i="7" s="1"/>
  <c r="M100" i="2"/>
  <c r="K31" i="7" s="1"/>
  <c r="K96" i="2"/>
  <c r="M96"/>
  <c r="K75"/>
  <c r="O82" i="7" s="1"/>
  <c r="M75" i="2"/>
  <c r="M11" i="7" s="1"/>
  <c r="K98" i="2"/>
  <c r="M98"/>
  <c r="K83" i="7" s="1"/>
  <c r="L38" i="2"/>
  <c r="R30" i="7" s="1"/>
  <c r="K129" i="2"/>
  <c r="O12" i="7" s="1"/>
  <c r="M129" i="2"/>
  <c r="I12" i="7" s="1"/>
  <c r="K89" i="2"/>
  <c r="P55" i="7" s="1"/>
  <c r="M89" i="2"/>
  <c r="N36" i="7" s="1"/>
  <c r="K65" i="2"/>
  <c r="M65"/>
  <c r="K145"/>
  <c r="M145"/>
  <c r="M13" i="7" s="1"/>
  <c r="K121" i="2"/>
  <c r="M121"/>
  <c r="K66"/>
  <c r="M66"/>
  <c r="K118"/>
  <c r="O15" i="7" s="1"/>
  <c r="M118" i="2"/>
  <c r="K64" i="7" s="1"/>
  <c r="L74" i="2"/>
  <c r="M35"/>
  <c r="P87" i="7"/>
  <c r="L107" i="2"/>
  <c r="L38" i="7"/>
  <c r="L87"/>
  <c r="K40" i="2"/>
  <c r="L57"/>
  <c r="I32" i="7"/>
  <c r="J62"/>
  <c r="L24" i="2"/>
  <c r="L77"/>
  <c r="L150"/>
  <c r="Q91" i="7"/>
  <c r="O41"/>
  <c r="Q96"/>
  <c r="K16"/>
  <c r="L85" i="2"/>
  <c r="L19"/>
  <c r="L34"/>
  <c r="L93"/>
  <c r="L9"/>
  <c r="K60" i="7"/>
  <c r="L99" i="2"/>
  <c r="I94" i="7"/>
  <c r="L88" i="2"/>
  <c r="J51" i="7"/>
  <c r="L29" i="2"/>
  <c r="O71" i="7"/>
  <c r="I39"/>
  <c r="O38"/>
  <c r="O94"/>
  <c r="L148" i="2"/>
  <c r="I62" i="7"/>
  <c r="L3" i="2"/>
  <c r="T84" i="7" s="1"/>
  <c r="O62" l="1"/>
  <c r="Q94"/>
  <c r="N49"/>
  <c r="K29"/>
  <c r="I91"/>
  <c r="O17"/>
  <c r="R75"/>
  <c r="K100"/>
  <c r="I10"/>
  <c r="I22"/>
  <c r="L45"/>
  <c r="T50"/>
  <c r="K44"/>
  <c r="O10"/>
  <c r="I20"/>
  <c r="N24"/>
  <c r="Q97"/>
  <c r="I17"/>
  <c r="N14"/>
  <c r="N95"/>
  <c r="M65"/>
  <c r="L82"/>
  <c r="Q44"/>
  <c r="J2"/>
  <c r="N96"/>
  <c r="N101"/>
  <c r="I71"/>
  <c r="L100"/>
  <c r="K94"/>
  <c r="M60"/>
  <c r="Q86"/>
  <c r="P68"/>
  <c r="M22"/>
  <c r="Q29"/>
  <c r="Q100"/>
  <c r="P60"/>
  <c r="J55"/>
  <c r="P94"/>
  <c r="I15"/>
  <c r="M23"/>
  <c r="N74"/>
  <c r="O58"/>
  <c r="M88"/>
  <c r="J94"/>
  <c r="I83"/>
  <c r="O83"/>
  <c r="O19"/>
  <c r="M68"/>
  <c r="I58"/>
  <c r="K17"/>
  <c r="J71"/>
  <c r="Q87"/>
  <c r="K41"/>
  <c r="K23"/>
  <c r="N61"/>
  <c r="N41"/>
  <c r="N9"/>
  <c r="S42"/>
  <c r="P25"/>
  <c r="P8"/>
  <c r="P82"/>
  <c r="Q36"/>
  <c r="I78"/>
  <c r="N97"/>
  <c r="M31"/>
  <c r="L13"/>
  <c r="K36"/>
  <c r="M27"/>
  <c r="L25"/>
  <c r="P40"/>
  <c r="L99"/>
  <c r="T12"/>
  <c r="T16"/>
  <c r="Q38"/>
  <c r="Q22"/>
  <c r="O26"/>
  <c r="K22"/>
  <c r="R18"/>
  <c r="I88"/>
  <c r="I43"/>
  <c r="J68"/>
  <c r="P74"/>
  <c r="O27"/>
  <c r="L79"/>
  <c r="L80"/>
  <c r="O63"/>
  <c r="P24"/>
  <c r="M55"/>
  <c r="K40"/>
  <c r="I99"/>
  <c r="K38"/>
  <c r="P65"/>
  <c r="K21"/>
  <c r="R55"/>
  <c r="I26"/>
  <c r="K74"/>
  <c r="N37"/>
  <c r="M12"/>
  <c r="N15"/>
  <c r="P28"/>
  <c r="S4"/>
  <c r="T68"/>
  <c r="T99"/>
  <c r="L44"/>
  <c r="M15"/>
  <c r="S67"/>
  <c r="L56"/>
  <c r="J89"/>
  <c r="S92"/>
  <c r="S61"/>
  <c r="T11"/>
  <c r="T18"/>
  <c r="T52"/>
  <c r="R54"/>
  <c r="N94"/>
  <c r="T76"/>
  <c r="K49"/>
  <c r="L73"/>
  <c r="I77"/>
  <c r="L22"/>
  <c r="J82"/>
  <c r="N79"/>
  <c r="I23"/>
  <c r="K4"/>
  <c r="K81"/>
  <c r="L14"/>
  <c r="J90"/>
  <c r="O3"/>
  <c r="I87"/>
  <c r="Q20"/>
  <c r="J75"/>
  <c r="J88"/>
  <c r="P75"/>
  <c r="O84"/>
  <c r="N29"/>
  <c r="P35"/>
  <c r="Q17"/>
  <c r="O8"/>
  <c r="K20"/>
  <c r="J96"/>
  <c r="J81"/>
  <c r="O46"/>
  <c r="Q68"/>
  <c r="L145" i="2"/>
  <c r="S13" i="7" s="1"/>
  <c r="Q53"/>
  <c r="Q61"/>
  <c r="K14"/>
  <c r="N20"/>
  <c r="N57"/>
  <c r="M74"/>
  <c r="Q33"/>
  <c r="K88"/>
  <c r="N98"/>
  <c r="M59"/>
  <c r="P80"/>
  <c r="Q82"/>
  <c r="P64"/>
  <c r="M4"/>
  <c r="K61"/>
  <c r="P4"/>
  <c r="O11"/>
  <c r="P96"/>
  <c r="I3"/>
  <c r="J8"/>
  <c r="M8"/>
  <c r="J35"/>
  <c r="L98"/>
  <c r="I46"/>
  <c r="M73"/>
  <c r="I54"/>
  <c r="K73"/>
  <c r="Q49"/>
  <c r="P88"/>
  <c r="L57"/>
  <c r="J64"/>
  <c r="L52"/>
  <c r="M87"/>
  <c r="L60"/>
  <c r="I89"/>
  <c r="K53"/>
  <c r="M85"/>
  <c r="Q21"/>
  <c r="M84"/>
  <c r="O88"/>
  <c r="Q88"/>
  <c r="Q83"/>
  <c r="M14"/>
  <c r="O33"/>
  <c r="Q71"/>
  <c r="O42"/>
  <c r="M57"/>
  <c r="M63"/>
  <c r="L45" i="2"/>
  <c r="P66" i="7"/>
  <c r="P76"/>
  <c r="O77"/>
  <c r="I34"/>
  <c r="N58"/>
  <c r="N86"/>
  <c r="L12"/>
  <c r="L48"/>
  <c r="J66"/>
  <c r="N91"/>
  <c r="J76"/>
  <c r="L94"/>
  <c r="K71"/>
  <c r="L139" i="2"/>
  <c r="R64" i="7" s="1"/>
  <c r="P50"/>
  <c r="I31"/>
  <c r="P99"/>
  <c r="M37"/>
  <c r="Q13"/>
  <c r="O21"/>
  <c r="K13"/>
  <c r="N11"/>
  <c r="I27"/>
  <c r="J61"/>
  <c r="I49"/>
  <c r="O49"/>
  <c r="M43"/>
  <c r="O16"/>
  <c r="M98"/>
  <c r="L101" i="2"/>
  <c r="N75" i="7"/>
  <c r="K90"/>
  <c r="L55"/>
  <c r="N35"/>
  <c r="Q56"/>
  <c r="I74"/>
  <c r="K76"/>
  <c r="J74"/>
  <c r="J9"/>
  <c r="M49"/>
  <c r="Q64"/>
  <c r="J87"/>
  <c r="Q41"/>
  <c r="N71"/>
  <c r="N78"/>
  <c r="J24"/>
  <c r="N16"/>
  <c r="P100"/>
  <c r="O7"/>
  <c r="Q37"/>
  <c r="P98"/>
  <c r="K27"/>
  <c r="N69"/>
  <c r="J6"/>
  <c r="I16"/>
  <c r="P73"/>
  <c r="L129" i="2"/>
  <c r="O34" i="7"/>
  <c r="P36"/>
  <c r="M101"/>
  <c r="I7"/>
  <c r="J97"/>
  <c r="J98"/>
  <c r="O95"/>
  <c r="O79"/>
  <c r="Q55"/>
  <c r="Q63"/>
  <c r="Q24"/>
  <c r="O72"/>
  <c r="N42"/>
  <c r="L7"/>
  <c r="L17"/>
  <c r="N6"/>
  <c r="N39"/>
  <c r="J34"/>
  <c r="L64" i="2"/>
  <c r="T65" i="7" s="1"/>
  <c r="I90"/>
  <c r="K39"/>
  <c r="N22"/>
  <c r="P83"/>
  <c r="I38"/>
  <c r="J25"/>
  <c r="K48"/>
  <c r="I41"/>
  <c r="L67"/>
  <c r="J4"/>
  <c r="L88"/>
  <c r="N34"/>
  <c r="M72"/>
  <c r="P93"/>
  <c r="N59"/>
  <c r="M20"/>
  <c r="I33"/>
  <c r="I25"/>
  <c r="J36"/>
  <c r="N53"/>
  <c r="L75" i="2"/>
  <c r="O61" i="7"/>
  <c r="P31"/>
  <c r="Q19"/>
  <c r="N77"/>
  <c r="N54"/>
  <c r="L26"/>
  <c r="I84"/>
  <c r="L10"/>
  <c r="M62"/>
  <c r="K63"/>
  <c r="I72"/>
  <c r="L32"/>
  <c r="I63"/>
  <c r="K87"/>
  <c r="L79" i="2"/>
  <c r="S47" i="7" s="1"/>
  <c r="P30"/>
  <c r="P38"/>
  <c r="Q74"/>
  <c r="M64"/>
  <c r="M47"/>
  <c r="M77"/>
  <c r="O31"/>
  <c r="N31"/>
  <c r="J86"/>
  <c r="Q42"/>
  <c r="P84"/>
  <c r="N72"/>
  <c r="L39"/>
  <c r="L78"/>
  <c r="I61"/>
  <c r="K10"/>
  <c r="J31"/>
  <c r="K19"/>
  <c r="L41"/>
  <c r="Q52"/>
  <c r="P27"/>
  <c r="O65"/>
  <c r="P71"/>
  <c r="Q28"/>
  <c r="O73"/>
  <c r="P95"/>
  <c r="J38"/>
  <c r="N52"/>
  <c r="I8"/>
  <c r="L35"/>
  <c r="K50"/>
  <c r="O57"/>
  <c r="O85"/>
  <c r="M67"/>
  <c r="K42"/>
  <c r="J84"/>
  <c r="I76"/>
  <c r="J45"/>
  <c r="J50"/>
  <c r="N28"/>
  <c r="Q76"/>
  <c r="O78"/>
  <c r="L55" i="2"/>
  <c r="Q26" i="7"/>
  <c r="O75"/>
  <c r="M66"/>
  <c r="J27"/>
  <c r="K52"/>
  <c r="I65"/>
  <c r="I44"/>
  <c r="J83"/>
  <c r="I28"/>
  <c r="N51"/>
  <c r="N3"/>
  <c r="K28"/>
  <c r="L61"/>
  <c r="J95"/>
  <c r="I73"/>
  <c r="N5"/>
  <c r="Q51"/>
  <c r="O18"/>
  <c r="O14"/>
  <c r="I57"/>
  <c r="J91"/>
  <c r="L51"/>
  <c r="L52" i="2"/>
  <c r="T95" i="7" s="1"/>
  <c r="P6"/>
  <c r="L118" i="2"/>
  <c r="S8" i="7" s="1"/>
  <c r="P52"/>
  <c r="L85"/>
  <c r="I75"/>
  <c r="K26"/>
  <c r="Q25"/>
  <c r="O5"/>
  <c r="L114" i="2"/>
  <c r="R69" i="7" s="1"/>
  <c r="L36"/>
  <c r="M83"/>
  <c r="J40"/>
  <c r="P11"/>
  <c r="M41"/>
  <c r="I18"/>
  <c r="K51"/>
  <c r="N87"/>
  <c r="I14"/>
  <c r="O87"/>
  <c r="L72"/>
  <c r="L9"/>
  <c r="I21"/>
  <c r="M18"/>
  <c r="L131" i="2"/>
  <c r="S75" i="7" s="1"/>
  <c r="Q90"/>
  <c r="L89"/>
  <c r="J52"/>
  <c r="N19"/>
  <c r="N93"/>
  <c r="J80"/>
  <c r="Q43"/>
  <c r="P34"/>
  <c r="Q48"/>
  <c r="K25"/>
  <c r="I5"/>
  <c r="K9"/>
  <c r="M34"/>
  <c r="L65"/>
  <c r="N81"/>
  <c r="M36"/>
  <c r="J7"/>
  <c r="J11"/>
  <c r="M17"/>
  <c r="J70"/>
  <c r="M69"/>
  <c r="L8"/>
  <c r="N44"/>
  <c r="P81"/>
  <c r="P86"/>
  <c r="L71" i="2"/>
  <c r="O76" i="7"/>
  <c r="K68"/>
  <c r="K56"/>
  <c r="P3"/>
  <c r="N76"/>
  <c r="P7"/>
  <c r="L40" i="2"/>
  <c r="L68"/>
  <c r="I30" i="7"/>
  <c r="O32"/>
  <c r="J54"/>
  <c r="L54" i="2"/>
  <c r="S82" i="7" s="1"/>
  <c r="N18"/>
  <c r="P77"/>
  <c r="K33"/>
  <c r="N45"/>
  <c r="I4"/>
  <c r="K34"/>
  <c r="O24"/>
  <c r="O13"/>
  <c r="Q9"/>
  <c r="K98"/>
  <c r="L95"/>
  <c r="Q80"/>
  <c r="P89"/>
  <c r="L49"/>
  <c r="J99"/>
  <c r="I82"/>
  <c r="K59"/>
  <c r="M16"/>
  <c r="L96" i="2"/>
  <c r="P97" i="7"/>
  <c r="L142" i="2"/>
  <c r="R93" i="7" s="1"/>
  <c r="K86"/>
  <c r="K43"/>
  <c r="I11"/>
  <c r="P26"/>
  <c r="N50"/>
  <c r="I64"/>
  <c r="L47" i="2"/>
  <c r="R63" i="7" s="1"/>
  <c r="L47"/>
  <c r="L72" i="2"/>
  <c r="R51" i="7" s="1"/>
  <c r="L87" i="2"/>
  <c r="S35" i="7" s="1"/>
  <c r="J13"/>
  <c r="L63"/>
  <c r="M70"/>
  <c r="N13"/>
  <c r="O36"/>
  <c r="L5"/>
  <c r="J78"/>
  <c r="P9"/>
  <c r="Q54"/>
  <c r="Q16"/>
  <c r="J77"/>
  <c r="N25"/>
  <c r="L121" i="2"/>
  <c r="R52" i="7" s="1"/>
  <c r="M3"/>
  <c r="P22"/>
  <c r="L4"/>
  <c r="I19"/>
  <c r="O40"/>
  <c r="L49" i="2"/>
  <c r="S60" i="7" s="1"/>
  <c r="K37"/>
  <c r="Q67"/>
  <c r="L146" i="2"/>
  <c r="L29" i="7"/>
  <c r="N65"/>
  <c r="O30"/>
  <c r="L103" i="2"/>
  <c r="P32" i="7"/>
  <c r="O28"/>
  <c r="L105" i="2"/>
  <c r="R95" i="7" s="1"/>
  <c r="Q18"/>
  <c r="Q34"/>
  <c r="L66" i="2"/>
  <c r="P45" i="7"/>
  <c r="L89" i="2"/>
  <c r="S23" i="7" s="1"/>
  <c r="K65"/>
  <c r="I53"/>
  <c r="L33"/>
  <c r="J22"/>
  <c r="L127" i="2"/>
  <c r="O98" i="7"/>
  <c r="Q47"/>
  <c r="L42"/>
  <c r="N90"/>
  <c r="J32"/>
  <c r="Q32"/>
  <c r="O92"/>
  <c r="L98" i="2"/>
  <c r="I98" i="7"/>
  <c r="K47"/>
  <c r="M54"/>
  <c r="L37"/>
  <c r="N23"/>
  <c r="Q7"/>
  <c r="L83" i="2"/>
  <c r="S64" i="7" s="1"/>
  <c r="O43"/>
  <c r="P70"/>
  <c r="K32"/>
  <c r="I92"/>
  <c r="N8"/>
  <c r="L11"/>
  <c r="I9"/>
  <c r="Q50"/>
  <c r="L53"/>
  <c r="I95"/>
  <c r="L149" i="2"/>
  <c r="R19" i="7" s="1"/>
  <c r="P47"/>
  <c r="L66"/>
  <c r="L94" i="2"/>
  <c r="R33" i="7" s="1"/>
  <c r="P51"/>
  <c r="I68"/>
  <c r="M9"/>
  <c r="O68"/>
  <c r="M79"/>
  <c r="L132" i="2"/>
  <c r="I6" i="7"/>
  <c r="I79"/>
  <c r="L6"/>
  <c r="M90"/>
  <c r="K7"/>
  <c r="L140" i="2"/>
  <c r="Q35" i="7"/>
  <c r="O67"/>
  <c r="J47"/>
  <c r="K58"/>
  <c r="L62" i="2"/>
  <c r="T100" i="7" s="1"/>
  <c r="O81"/>
  <c r="Q59"/>
  <c r="I67"/>
  <c r="K35"/>
  <c r="J93"/>
  <c r="M82"/>
  <c r="L74"/>
  <c r="Q8"/>
  <c r="Q10"/>
  <c r="N43"/>
  <c r="O89"/>
  <c r="M97"/>
  <c r="L71"/>
  <c r="J100"/>
  <c r="K69"/>
  <c r="M93"/>
  <c r="L116" i="2"/>
  <c r="R82" i="7" s="1"/>
  <c r="M80"/>
  <c r="L69"/>
  <c r="L31"/>
  <c r="M78"/>
  <c r="P29"/>
  <c r="Q40"/>
  <c r="Q58"/>
  <c r="M30"/>
  <c r="O44"/>
  <c r="J5"/>
  <c r="N82"/>
  <c r="L106" i="2"/>
  <c r="R99" i="7" s="1"/>
  <c r="O51"/>
  <c r="J73"/>
  <c r="K70"/>
  <c r="L137" i="2"/>
  <c r="S97" i="7" s="1"/>
  <c r="O53"/>
  <c r="Q65"/>
  <c r="M26"/>
  <c r="K45"/>
  <c r="Q60"/>
  <c r="O4"/>
  <c r="L67" i="2"/>
  <c r="R68" i="7" s="1"/>
  <c r="L125" i="2"/>
  <c r="T54" i="7" s="1"/>
  <c r="Q31"/>
  <c r="O90"/>
  <c r="J26"/>
  <c r="L28"/>
  <c r="M42"/>
  <c r="I40"/>
  <c r="I42"/>
  <c r="L62"/>
  <c r="K5"/>
  <c r="M56"/>
  <c r="P21"/>
  <c r="L102" i="2"/>
  <c r="O22" i="7"/>
  <c r="L113" i="2"/>
  <c r="S32" i="7" s="1"/>
  <c r="O93"/>
  <c r="L109" i="2"/>
  <c r="T48" i="7" s="1"/>
  <c r="I51"/>
  <c r="K54"/>
  <c r="M21"/>
  <c r="N47"/>
  <c r="L40"/>
  <c r="J30"/>
  <c r="L70"/>
  <c r="K67"/>
  <c r="M44"/>
  <c r="N17"/>
  <c r="O6"/>
  <c r="M35"/>
  <c r="P61"/>
  <c r="Q69"/>
  <c r="J3"/>
  <c r="I36"/>
  <c r="O74"/>
  <c r="N7"/>
  <c r="Q27"/>
  <c r="K18"/>
  <c r="Q98"/>
  <c r="L46"/>
  <c r="J28"/>
  <c r="Q70"/>
  <c r="P13"/>
  <c r="Q5"/>
  <c r="M33"/>
  <c r="I81"/>
  <c r="K93"/>
  <c r="L58"/>
  <c r="Q23"/>
  <c r="L69" i="2"/>
  <c r="P5" i="7"/>
  <c r="J21"/>
  <c r="M86"/>
  <c r="I93"/>
  <c r="K24"/>
  <c r="L92"/>
  <c r="K82"/>
  <c r="N56"/>
  <c r="O9"/>
  <c r="Q46"/>
  <c r="P67"/>
  <c r="L128" i="2"/>
  <c r="P54" i="7"/>
  <c r="Q81"/>
  <c r="P62"/>
  <c r="K80"/>
  <c r="O64"/>
  <c r="P79"/>
  <c r="N68"/>
  <c r="M29"/>
  <c r="L83"/>
  <c r="K8"/>
  <c r="J29"/>
  <c r="L143" i="2"/>
  <c r="R89" i="7" s="1"/>
  <c r="N12"/>
  <c r="Q45"/>
  <c r="J67"/>
  <c r="I24"/>
  <c r="K46"/>
  <c r="Q39"/>
  <c r="J79"/>
  <c r="P78"/>
  <c r="M10"/>
  <c r="S55" l="1"/>
  <c r="S83"/>
  <c r="T49"/>
  <c r="T86"/>
  <c r="S101"/>
  <c r="S6"/>
  <c r="T60"/>
  <c r="S65"/>
  <c r="T10"/>
  <c r="R62"/>
  <c r="R38"/>
  <c r="S37"/>
  <c r="T87"/>
  <c r="V87" s="1"/>
  <c r="W87" s="1"/>
  <c r="R34"/>
  <c r="S33"/>
  <c r="S85"/>
  <c r="S70"/>
  <c r="T25"/>
  <c r="T24"/>
  <c r="T74"/>
  <c r="T34"/>
  <c r="T91"/>
  <c r="R9"/>
  <c r="R27"/>
  <c r="S12"/>
  <c r="R61"/>
  <c r="S18"/>
  <c r="S30"/>
  <c r="T66"/>
  <c r="T3"/>
  <c r="R21"/>
  <c r="S87"/>
  <c r="S11"/>
  <c r="R25"/>
  <c r="T69"/>
  <c r="S7"/>
  <c r="T42"/>
  <c r="R77"/>
  <c r="R14"/>
  <c r="R11"/>
  <c r="T14"/>
  <c r="T56"/>
  <c r="T80"/>
  <c r="S79"/>
  <c r="T15"/>
  <c r="T32"/>
  <c r="T33"/>
  <c r="S31"/>
  <c r="R7"/>
  <c r="S17"/>
  <c r="T71"/>
  <c r="T72"/>
  <c r="T36"/>
  <c r="T38"/>
  <c r="R31"/>
  <c r="T64"/>
  <c r="T6"/>
  <c r="R67"/>
  <c r="T37"/>
  <c r="R72"/>
  <c r="T40"/>
  <c r="R80"/>
  <c r="S19"/>
  <c r="R35"/>
  <c r="S81"/>
  <c r="R5"/>
  <c r="T93"/>
  <c r="S69"/>
  <c r="S10"/>
  <c r="R10"/>
  <c r="S58"/>
  <c r="R59"/>
  <c r="R26"/>
  <c r="T9"/>
  <c r="V9" s="1"/>
  <c r="W9" s="1"/>
  <c r="S39"/>
  <c r="S29"/>
  <c r="R8"/>
  <c r="T39"/>
  <c r="R24"/>
  <c r="T13"/>
  <c r="S90"/>
  <c r="S24"/>
  <c r="T30"/>
  <c r="T94"/>
  <c r="S89"/>
  <c r="S34"/>
  <c r="R22"/>
  <c r="S45"/>
  <c r="R29"/>
  <c r="S78"/>
  <c r="T20"/>
  <c r="T29"/>
  <c r="S3"/>
  <c r="R88"/>
  <c r="S14"/>
  <c r="T61"/>
  <c r="R23"/>
  <c r="T8"/>
  <c r="S38"/>
  <c r="S62"/>
  <c r="T17"/>
  <c r="S77"/>
  <c r="T43"/>
  <c r="T81"/>
  <c r="R49"/>
  <c r="T55"/>
  <c r="S46"/>
  <c r="T62"/>
  <c r="S74"/>
  <c r="S28"/>
  <c r="T41"/>
  <c r="R58"/>
  <c r="S57"/>
  <c r="T77"/>
  <c r="R98"/>
  <c r="V98" s="1"/>
  <c r="W98" s="1"/>
  <c r="R28"/>
  <c r="T63"/>
  <c r="R6"/>
  <c r="T28"/>
  <c r="R48"/>
  <c r="S71"/>
  <c r="T83"/>
  <c r="S49"/>
  <c r="T79"/>
  <c r="R66"/>
  <c r="T5"/>
  <c r="T70"/>
  <c r="R71"/>
  <c r="S56"/>
  <c r="T35"/>
  <c r="R45"/>
  <c r="S54"/>
  <c r="V54" s="1"/>
  <c r="W54" s="1"/>
  <c r="R92"/>
  <c r="R94"/>
  <c r="T7"/>
  <c r="S99"/>
  <c r="R39"/>
  <c r="S76"/>
  <c r="R56"/>
  <c r="S93"/>
  <c r="R65"/>
  <c r="V65" s="1"/>
  <c r="W65" s="1"/>
  <c r="T21"/>
  <c r="S51"/>
  <c r="R79"/>
  <c r="S25"/>
  <c r="R32"/>
  <c r="T47"/>
  <c r="S15"/>
  <c r="R86"/>
  <c r="S63"/>
  <c r="R16"/>
  <c r="S80"/>
  <c r="R12"/>
  <c r="S68"/>
  <c r="R36"/>
  <c r="T90"/>
  <c r="T31"/>
  <c r="R60"/>
  <c r="R47"/>
  <c r="R70"/>
  <c r="U88"/>
  <c r="U74"/>
  <c r="U41"/>
  <c r="U22"/>
  <c r="U10"/>
  <c r="U87"/>
  <c r="U36"/>
  <c r="U31"/>
  <c r="U78"/>
  <c r="U13"/>
  <c r="U4"/>
  <c r="U7"/>
  <c r="U8"/>
  <c r="U98"/>
  <c r="U54"/>
  <c r="U82"/>
  <c r="U5"/>
  <c r="U65"/>
  <c r="U9"/>
  <c r="T119" i="2"/>
  <c r="T35"/>
  <c r="T3"/>
  <c r="S136"/>
  <c r="S104"/>
  <c r="T24"/>
  <c r="S65"/>
  <c r="T73"/>
  <c r="S90"/>
  <c r="V7" i="7" l="1"/>
  <c r="W7" s="1"/>
  <c r="V10"/>
  <c r="W10" s="1"/>
  <c r="V31"/>
  <c r="W31" s="1"/>
  <c r="V8"/>
  <c r="W8" s="1"/>
  <c r="U65" i="2"/>
  <c r="X65"/>
  <c r="U123"/>
  <c r="U86"/>
  <c r="U144"/>
  <c r="U125"/>
  <c r="U129"/>
  <c r="U134"/>
  <c r="U97"/>
  <c r="U102"/>
  <c r="U67"/>
  <c r="U137"/>
  <c r="U151"/>
  <c r="U122"/>
  <c r="U113"/>
  <c r="U133"/>
  <c r="U145"/>
  <c r="U94"/>
  <c r="U127"/>
  <c r="U108"/>
  <c r="U78"/>
  <c r="U139"/>
  <c r="U74"/>
  <c r="U150"/>
  <c r="U83"/>
  <c r="U91"/>
  <c r="U72"/>
  <c r="U71"/>
  <c r="U106"/>
  <c r="U92"/>
  <c r="U82"/>
  <c r="U116"/>
  <c r="U99"/>
  <c r="U143"/>
  <c r="U130"/>
  <c r="U149"/>
  <c r="U66"/>
  <c r="U100"/>
  <c r="U81"/>
  <c r="U148"/>
  <c r="U79"/>
  <c r="U146"/>
  <c r="U101"/>
  <c r="U138"/>
  <c r="U93"/>
  <c r="U115"/>
  <c r="U117"/>
  <c r="U70"/>
  <c r="U85"/>
  <c r="U111"/>
  <c r="U121"/>
  <c r="U95"/>
  <c r="U131"/>
  <c r="U84"/>
  <c r="U124"/>
  <c r="U141"/>
  <c r="U87"/>
  <c r="U110"/>
  <c r="U69"/>
  <c r="U147"/>
  <c r="U105"/>
  <c r="U103"/>
  <c r="U98"/>
  <c r="U80"/>
  <c r="U75"/>
  <c r="U140"/>
  <c r="U135"/>
  <c r="U120"/>
  <c r="U77"/>
  <c r="U128"/>
  <c r="U112"/>
  <c r="U107"/>
  <c r="U118"/>
  <c r="U132"/>
  <c r="U142"/>
  <c r="U89"/>
  <c r="U88"/>
  <c r="U76"/>
  <c r="U126"/>
  <c r="U68"/>
  <c r="U114"/>
  <c r="U96"/>
  <c r="U109"/>
  <c r="X119"/>
  <c r="U119"/>
  <c r="X35"/>
  <c r="U35"/>
  <c r="X73"/>
  <c r="U73"/>
  <c r="X3"/>
  <c r="U60"/>
  <c r="U10"/>
  <c r="U15"/>
  <c r="U43"/>
  <c r="U40"/>
  <c r="U62"/>
  <c r="U39"/>
  <c r="U49"/>
  <c r="U26"/>
  <c r="U47"/>
  <c r="U64"/>
  <c r="U31"/>
  <c r="U23"/>
  <c r="U25"/>
  <c r="U46"/>
  <c r="U17"/>
  <c r="U42"/>
  <c r="U61"/>
  <c r="U57"/>
  <c r="U18"/>
  <c r="U45"/>
  <c r="U58"/>
  <c r="U53"/>
  <c r="U5"/>
  <c r="U6"/>
  <c r="U21"/>
  <c r="U33"/>
  <c r="U63"/>
  <c r="U56"/>
  <c r="U29"/>
  <c r="U16"/>
  <c r="U27"/>
  <c r="U12"/>
  <c r="U7"/>
  <c r="U52"/>
  <c r="U41"/>
  <c r="U19"/>
  <c r="U4"/>
  <c r="U20"/>
  <c r="U28"/>
  <c r="U9"/>
  <c r="U44"/>
  <c r="U59"/>
  <c r="U11"/>
  <c r="U32"/>
  <c r="U30"/>
  <c r="U22"/>
  <c r="U36"/>
  <c r="U37"/>
  <c r="U13"/>
  <c r="U50"/>
  <c r="U55"/>
  <c r="U38"/>
  <c r="U48"/>
  <c r="U51"/>
  <c r="U8"/>
  <c r="U54"/>
  <c r="U34"/>
  <c r="U14"/>
  <c r="X90"/>
  <c r="U90"/>
  <c r="U104"/>
  <c r="X104"/>
  <c r="U136"/>
  <c r="X136"/>
  <c r="X24"/>
  <c r="U24"/>
  <c r="Y66" l="1"/>
  <c r="Y130"/>
  <c r="Y62"/>
  <c r="Y84"/>
  <c r="Y57"/>
  <c r="Y121"/>
  <c r="Y22"/>
  <c r="Y28"/>
  <c r="Y40"/>
  <c r="Y104"/>
  <c r="Y47"/>
  <c r="Y126"/>
  <c r="Y60"/>
  <c r="Y35"/>
  <c r="Y99"/>
  <c r="Y39"/>
  <c r="Y118"/>
  <c r="Y101"/>
  <c r="Y65"/>
  <c r="Y58"/>
  <c r="Y122"/>
  <c r="Y6"/>
  <c r="Y4"/>
  <c r="Y49"/>
  <c r="Y113"/>
  <c r="Y151"/>
  <c r="Y117"/>
  <c r="Y32"/>
  <c r="Y96"/>
  <c r="Y7"/>
  <c r="Y94"/>
  <c r="Y52"/>
  <c r="Y27"/>
  <c r="Y91"/>
  <c r="Y23"/>
  <c r="Y86"/>
  <c r="Y69"/>
  <c r="Y13"/>
  <c r="Y50"/>
  <c r="Y114"/>
  <c r="Y127"/>
  <c r="Y141"/>
  <c r="Y41"/>
  <c r="Y105"/>
  <c r="Y119"/>
  <c r="Y85"/>
  <c r="Y24"/>
  <c r="Y88"/>
  <c r="Y70"/>
  <c r="Y44"/>
  <c r="Y19"/>
  <c r="Y83"/>
  <c r="Y147"/>
  <c r="Y54"/>
  <c r="Y61"/>
  <c r="Y140"/>
  <c r="Y15"/>
  <c r="Y136"/>
  <c r="Y12"/>
  <c r="Y67"/>
  <c r="Y135"/>
  <c r="Y45"/>
  <c r="Y74"/>
  <c r="Y102"/>
  <c r="Y46"/>
  <c r="Y48"/>
  <c r="Y87"/>
  <c r="Y43"/>
  <c r="Y55"/>
  <c r="Y125"/>
  <c r="Y42"/>
  <c r="Y106"/>
  <c r="Y95"/>
  <c r="Y109"/>
  <c r="Y33"/>
  <c r="Y97"/>
  <c r="Y71"/>
  <c r="Y29"/>
  <c r="Y16"/>
  <c r="Y80"/>
  <c r="Y144"/>
  <c r="Y38"/>
  <c r="Y36"/>
  <c r="Y11"/>
  <c r="Y75"/>
  <c r="Y139"/>
  <c r="Y14"/>
  <c r="Y53"/>
  <c r="Y108"/>
  <c r="Y34"/>
  <c r="Y98"/>
  <c r="Y63"/>
  <c r="Y77"/>
  <c r="Y25"/>
  <c r="Y89"/>
  <c r="Y142"/>
  <c r="Y8"/>
  <c r="Y72"/>
  <c r="Y30"/>
  <c r="Y3"/>
  <c r="Y131"/>
  <c r="Y76"/>
  <c r="Y26"/>
  <c r="Y90"/>
  <c r="Y31"/>
  <c r="Y21"/>
  <c r="Y17"/>
  <c r="Y81"/>
  <c r="Y145"/>
  <c r="Y110"/>
  <c r="Y132"/>
  <c r="Y64"/>
  <c r="Y128"/>
  <c r="Y143"/>
  <c r="Y133"/>
  <c r="Y148"/>
  <c r="Y59"/>
  <c r="Y123"/>
  <c r="Y103"/>
  <c r="Y37"/>
  <c r="Y20"/>
  <c r="Y18"/>
  <c r="Y82"/>
  <c r="Y146"/>
  <c r="Y134"/>
  <c r="Y9"/>
  <c r="Y73"/>
  <c r="Y137"/>
  <c r="Y78"/>
  <c r="Y100"/>
  <c r="Y56"/>
  <c r="Y120"/>
  <c r="Y111"/>
  <c r="Y93"/>
  <c r="Y116"/>
  <c r="Y51"/>
  <c r="Y115"/>
  <c r="Y79"/>
  <c r="Y5"/>
  <c r="Y149"/>
  <c r="Y10"/>
  <c r="Y138"/>
  <c r="Y124"/>
  <c r="Y129"/>
  <c r="Y68"/>
  <c r="Y112"/>
  <c r="Y92"/>
  <c r="Y107"/>
  <c r="Y150"/>
  <c r="J72" i="7"/>
  <c r="I86"/>
  <c r="N89"/>
  <c r="U89" s="1"/>
  <c r="P58"/>
  <c r="V30"/>
  <c r="W30" s="1"/>
  <c r="V61"/>
  <c r="W61" s="1"/>
  <c r="K75"/>
  <c r="I70"/>
  <c r="N40"/>
  <c r="U40" s="1"/>
  <c r="J53"/>
  <c r="U53" s="1"/>
  <c r="K15"/>
  <c r="N73"/>
  <c r="U73" s="1"/>
  <c r="I45"/>
  <c r="M28"/>
  <c r="U28" s="1"/>
  <c r="O66"/>
  <c r="P18"/>
  <c r="N30"/>
  <c r="U30" s="1"/>
  <c r="M61"/>
  <c r="U61" s="1"/>
  <c r="J58"/>
  <c r="U58" s="1"/>
  <c r="L19"/>
  <c r="O70"/>
  <c r="Q75"/>
  <c r="Q15"/>
  <c r="O45"/>
  <c r="P53"/>
  <c r="V28"/>
  <c r="W28" s="1"/>
  <c r="V34"/>
  <c r="W34" s="1"/>
  <c r="P57"/>
  <c r="J57"/>
  <c r="N48"/>
  <c r="L34"/>
  <c r="U34" s="1"/>
  <c r="M81"/>
  <c r="V6"/>
  <c r="O69"/>
  <c r="V69" s="1"/>
  <c r="W69" s="1"/>
  <c r="Q85"/>
  <c r="P23"/>
  <c r="P72"/>
  <c r="O86"/>
  <c r="J23"/>
  <c r="I69"/>
  <c r="U69" s="1"/>
  <c r="L76"/>
  <c r="K85"/>
  <c r="M6"/>
  <c r="U6" s="1"/>
  <c r="I66"/>
  <c r="J18"/>
  <c r="N46"/>
  <c r="L27"/>
  <c r="N85"/>
  <c r="M100"/>
  <c r="U100" s="1"/>
  <c r="J63"/>
  <c r="I80"/>
  <c r="L21"/>
  <c r="V51"/>
  <c r="W51" s="1"/>
  <c r="P20"/>
  <c r="V68"/>
  <c r="O59"/>
  <c r="Q79"/>
  <c r="V79" s="1"/>
  <c r="W79" s="1"/>
  <c r="V25"/>
  <c r="W25" s="1"/>
  <c r="O37"/>
  <c r="P49"/>
  <c r="V49" s="1"/>
  <c r="W49" s="1"/>
  <c r="I60"/>
  <c r="K66"/>
  <c r="J17"/>
  <c r="U17" s="1"/>
  <c r="N33"/>
  <c r="L93"/>
  <c r="U93" s="1"/>
  <c r="P63"/>
  <c r="O80"/>
  <c r="M51"/>
  <c r="U51" s="1"/>
  <c r="J20"/>
  <c r="L68"/>
  <c r="U68" s="1"/>
  <c r="I59"/>
  <c r="K79"/>
  <c r="U79" s="1"/>
  <c r="P15"/>
  <c r="J49"/>
  <c r="U49" s="1"/>
  <c r="M50"/>
  <c r="N27"/>
  <c r="L16"/>
  <c r="P17"/>
  <c r="V17" s="1"/>
  <c r="O60"/>
  <c r="Q66"/>
  <c r="V93"/>
  <c r="W93" s="1"/>
  <c r="N64"/>
  <c r="I37"/>
  <c r="M25"/>
  <c r="U25" s="1"/>
  <c r="N70"/>
  <c r="L86"/>
  <c r="M75"/>
  <c r="M96"/>
  <c r="L24"/>
  <c r="J15"/>
  <c r="N38"/>
  <c r="J59"/>
  <c r="L20"/>
  <c r="N83"/>
  <c r="U83" s="1"/>
  <c r="I97"/>
  <c r="U97" s="1"/>
  <c r="O97"/>
  <c r="P59"/>
  <c r="J19"/>
  <c r="I55"/>
  <c r="L64"/>
  <c r="M46"/>
  <c r="K77"/>
  <c r="U77" s="1"/>
  <c r="P48"/>
  <c r="O52"/>
  <c r="V52" s="1"/>
  <c r="M45"/>
  <c r="J44"/>
  <c r="U44" s="1"/>
  <c r="Q62"/>
  <c r="O56"/>
  <c r="V56" s="1"/>
  <c r="V32"/>
  <c r="P16"/>
  <c r="P43"/>
  <c r="L91"/>
  <c r="U91" s="1"/>
  <c r="K62"/>
  <c r="I56"/>
  <c r="U56" s="1"/>
  <c r="N32"/>
  <c r="U32" s="1"/>
  <c r="J16"/>
  <c r="O55"/>
  <c r="P19"/>
  <c r="Q77"/>
  <c r="V77" s="1"/>
  <c r="Q12"/>
  <c r="P39"/>
  <c r="O35"/>
  <c r="V35" s="1"/>
  <c r="P44"/>
  <c r="K12"/>
  <c r="J39"/>
  <c r="I35"/>
  <c r="U35" s="1"/>
  <c r="M24"/>
  <c r="N60"/>
  <c r="L84"/>
  <c r="U84" s="1"/>
  <c r="J43"/>
  <c r="N66"/>
  <c r="M76"/>
  <c r="J48"/>
  <c r="L23"/>
  <c r="N67"/>
  <c r="U67" s="1"/>
  <c r="I52"/>
  <c r="U52" s="1"/>
  <c r="M95"/>
  <c r="U95" s="1"/>
  <c r="N2"/>
  <c r="M39"/>
  <c r="L59"/>
  <c r="K72"/>
  <c r="J14"/>
  <c r="U14" s="1"/>
  <c r="I48"/>
  <c r="P42"/>
  <c r="O47"/>
  <c r="V47" s="1"/>
  <c r="L136" i="2"/>
  <c r="V94" i="7"/>
  <c r="L43"/>
  <c r="I101"/>
  <c r="U101" s="1"/>
  <c r="E81" i="1" s="1"/>
  <c r="J37" i="7"/>
  <c r="N21"/>
  <c r="M38"/>
  <c r="K2"/>
  <c r="M99"/>
  <c r="U99" s="1"/>
  <c r="J92"/>
  <c r="U92" s="1"/>
  <c r="N80"/>
  <c r="L15"/>
  <c r="I96"/>
  <c r="Q72"/>
  <c r="L119" i="2"/>
  <c r="P14" i="7"/>
  <c r="V14" s="1"/>
  <c r="O48"/>
  <c r="P33"/>
  <c r="Q11"/>
  <c r="V11" s="1"/>
  <c r="L73" i="2"/>
  <c r="O29" i="7"/>
  <c r="V29" s="1"/>
  <c r="O101"/>
  <c r="L104" i="2"/>
  <c r="R91" i="7" s="1"/>
  <c r="V91" s="1"/>
  <c r="P37"/>
  <c r="Q57"/>
  <c r="O50"/>
  <c r="V90"/>
  <c r="P12"/>
  <c r="L35" i="2"/>
  <c r="I29" i="7"/>
  <c r="U29" s="1"/>
  <c r="M19"/>
  <c r="N55"/>
  <c r="J33"/>
  <c r="K11"/>
  <c r="U11" s="1"/>
  <c r="L2"/>
  <c r="L90" i="2"/>
  <c r="R41" i="7" s="1"/>
  <c r="V41" s="1"/>
  <c r="W41" s="1"/>
  <c r="P85"/>
  <c r="O2"/>
  <c r="V71"/>
  <c r="Q3"/>
  <c r="V3" s="1"/>
  <c r="K3"/>
  <c r="U3" s="1"/>
  <c r="N62"/>
  <c r="M71"/>
  <c r="U71" s="1"/>
  <c r="I2"/>
  <c r="L81"/>
  <c r="J85"/>
  <c r="P92"/>
  <c r="V92" s="1"/>
  <c r="O96"/>
  <c r="Q2"/>
  <c r="L65" i="2"/>
  <c r="V99" i="7"/>
  <c r="J12"/>
  <c r="L90"/>
  <c r="U90" s="1"/>
  <c r="M2"/>
  <c r="K57"/>
  <c r="I50"/>
  <c r="N26"/>
  <c r="U26" s="1"/>
  <c r="U3" i="2"/>
  <c r="V150"/>
  <c r="V3"/>
  <c r="V17"/>
  <c r="V94"/>
  <c r="V132"/>
  <c r="V72"/>
  <c r="V121"/>
  <c r="V124"/>
  <c r="V120"/>
  <c r="V84"/>
  <c r="V58"/>
  <c r="V13"/>
  <c r="V96"/>
  <c r="V43"/>
  <c r="V113"/>
  <c r="V55"/>
  <c r="V110"/>
  <c r="V88"/>
  <c r="V116"/>
  <c r="V48"/>
  <c r="V145"/>
  <c r="V117"/>
  <c r="V135"/>
  <c r="V115"/>
  <c r="V31"/>
  <c r="V70"/>
  <c r="V131"/>
  <c r="V68"/>
  <c r="V130"/>
  <c r="V67"/>
  <c r="V81"/>
  <c r="V106"/>
  <c r="V128"/>
  <c r="V125"/>
  <c r="V22"/>
  <c r="V66"/>
  <c r="V75"/>
  <c r="V105"/>
  <c r="V149"/>
  <c r="V12"/>
  <c r="V139"/>
  <c r="V10"/>
  <c r="V11"/>
  <c r="V23"/>
  <c r="V24"/>
  <c r="V60"/>
  <c r="V56"/>
  <c r="V49"/>
  <c r="V57"/>
  <c r="V100"/>
  <c r="V32"/>
  <c r="V80"/>
  <c r="V89"/>
  <c r="V134"/>
  <c r="V148"/>
  <c r="V39"/>
  <c r="V52"/>
  <c r="V127"/>
  <c r="V151"/>
  <c r="V103"/>
  <c r="V73"/>
  <c r="V34"/>
  <c r="V42"/>
  <c r="V90"/>
  <c r="V21"/>
  <c r="V78"/>
  <c r="V5"/>
  <c r="V102"/>
  <c r="V27"/>
  <c r="V36"/>
  <c r="V147"/>
  <c r="V53"/>
  <c r="V141"/>
  <c r="V138"/>
  <c r="V99"/>
  <c r="V45"/>
  <c r="V6"/>
  <c r="V7"/>
  <c r="V140"/>
  <c r="V91"/>
  <c r="V18"/>
  <c r="V71"/>
  <c r="V136"/>
  <c r="V54"/>
  <c r="V114"/>
  <c r="V47"/>
  <c r="V61"/>
  <c r="V82"/>
  <c r="V85"/>
  <c r="V26"/>
  <c r="V92"/>
  <c r="V107"/>
  <c r="V142"/>
  <c r="V4"/>
  <c r="V86"/>
  <c r="V126"/>
  <c r="V76"/>
  <c r="V9"/>
  <c r="V41"/>
  <c r="V104"/>
  <c r="V8"/>
  <c r="V123"/>
  <c r="V16"/>
  <c r="V38"/>
  <c r="V40"/>
  <c r="V30"/>
  <c r="V109"/>
  <c r="V15"/>
  <c r="V20"/>
  <c r="V122"/>
  <c r="V37"/>
  <c r="V51"/>
  <c r="V46"/>
  <c r="V59"/>
  <c r="V77"/>
  <c r="V33"/>
  <c r="V97"/>
  <c r="V137"/>
  <c r="V119"/>
  <c r="V95"/>
  <c r="V98"/>
  <c r="V29"/>
  <c r="V112"/>
  <c r="V79"/>
  <c r="V64"/>
  <c r="V69"/>
  <c r="V19"/>
  <c r="V25"/>
  <c r="V111"/>
  <c r="V83"/>
  <c r="V133"/>
  <c r="V63"/>
  <c r="V50"/>
  <c r="V87"/>
  <c r="V74"/>
  <c r="V44"/>
  <c r="V146"/>
  <c r="V129"/>
  <c r="V62"/>
  <c r="V108"/>
  <c r="V14"/>
  <c r="V143"/>
  <c r="V35"/>
  <c r="V28"/>
  <c r="V101"/>
  <c r="V65"/>
  <c r="V118"/>
  <c r="V144"/>
  <c r="V93"/>
  <c r="I47" i="7"/>
  <c r="U47" s="1"/>
  <c r="L18"/>
  <c r="J42"/>
  <c r="U42" s="1"/>
  <c r="M94"/>
  <c r="U94" s="1"/>
  <c r="N63"/>
  <c r="S5" l="1"/>
  <c r="V5" s="1"/>
  <c r="W5" s="1"/>
  <c r="T22"/>
  <c r="S48"/>
  <c r="R57"/>
  <c r="T67"/>
  <c r="V67" s="1"/>
  <c r="W67" s="1"/>
  <c r="R85"/>
  <c r="S26"/>
  <c r="T101"/>
  <c r="V101" s="1"/>
  <c r="W101" s="1"/>
  <c r="D81" i="1" s="1"/>
  <c r="G81" s="1"/>
  <c r="R4" i="7"/>
  <c r="V4" s="1"/>
  <c r="W4" s="1"/>
  <c r="S36"/>
  <c r="V36" s="1"/>
  <c r="W36" s="1"/>
  <c r="T27"/>
  <c r="S22"/>
  <c r="R15"/>
  <c r="S21"/>
  <c r="R40"/>
  <c r="V40" s="1"/>
  <c r="W40" s="1"/>
  <c r="T59"/>
  <c r="V59" s="1"/>
  <c r="T89"/>
  <c r="V89" s="1"/>
  <c r="W89" s="1"/>
  <c r="S27"/>
  <c r="R100"/>
  <c r="T78"/>
  <c r="V78" s="1"/>
  <c r="W78" s="1"/>
  <c r="U86"/>
  <c r="E31" i="1" s="1"/>
  <c r="R74" i="7"/>
  <c r="V74" s="1"/>
  <c r="W74" s="1"/>
  <c r="T26"/>
  <c r="V26" s="1"/>
  <c r="W26" s="1"/>
  <c r="R13"/>
  <c r="V13" s="1"/>
  <c r="W13" s="1"/>
  <c r="S73"/>
  <c r="T97"/>
  <c r="V97" s="1"/>
  <c r="W97" s="1"/>
  <c r="S95"/>
  <c r="V95" s="1"/>
  <c r="W95" s="1"/>
  <c r="R44"/>
  <c r="S43"/>
  <c r="T53"/>
  <c r="V53" s="1"/>
  <c r="W53" s="1"/>
  <c r="R50"/>
  <c r="V50" s="1"/>
  <c r="W50" s="1"/>
  <c r="T58"/>
  <c r="V58" s="1"/>
  <c r="W58" s="1"/>
  <c r="S88"/>
  <c r="V88" s="1"/>
  <c r="W88" s="1"/>
  <c r="R73"/>
  <c r="S2"/>
  <c r="T23"/>
  <c r="V23" s="1"/>
  <c r="R37"/>
  <c r="V37" s="1"/>
  <c r="T46"/>
  <c r="V46" s="1"/>
  <c r="W46" s="1"/>
  <c r="S72"/>
  <c r="V72" s="1"/>
  <c r="R83"/>
  <c r="V83" s="1"/>
  <c r="W83" s="1"/>
  <c r="T2"/>
  <c r="S16"/>
  <c r="V16" s="1"/>
  <c r="C79" i="1" s="1"/>
  <c r="R2" i="7"/>
  <c r="S44"/>
  <c r="V44" s="1"/>
  <c r="T82"/>
  <c r="V82" s="1"/>
  <c r="W82" s="1"/>
  <c r="R43"/>
  <c r="T57"/>
  <c r="S84"/>
  <c r="V84" s="1"/>
  <c r="W84" s="1"/>
  <c r="R42"/>
  <c r="V42" s="1"/>
  <c r="W42" s="1"/>
  <c r="T96"/>
  <c r="V96" s="1"/>
  <c r="C28" i="1" s="1"/>
  <c r="S100" i="7"/>
  <c r="U70"/>
  <c r="C67" i="1"/>
  <c r="E87"/>
  <c r="E29"/>
  <c r="W6" i="7"/>
  <c r="U50"/>
  <c r="E24" i="1" s="1"/>
  <c r="E74"/>
  <c r="U76" i="7"/>
  <c r="W17"/>
  <c r="U24"/>
  <c r="U16"/>
  <c r="E11" i="1" s="1"/>
  <c r="U23" i="7"/>
  <c r="E26" i="1" s="1"/>
  <c r="V18" i="7"/>
  <c r="V85"/>
  <c r="W85" s="1"/>
  <c r="V81"/>
  <c r="U46"/>
  <c r="V86"/>
  <c r="W86" s="1"/>
  <c r="C52" i="1"/>
  <c r="U45" i="7"/>
  <c r="U18"/>
  <c r="U81"/>
  <c r="U75"/>
  <c r="E41" i="1" s="1"/>
  <c r="U80" i="7"/>
  <c r="U57"/>
  <c r="V15"/>
  <c r="U33"/>
  <c r="V76"/>
  <c r="C101" i="1" s="1"/>
  <c r="U96" i="7"/>
  <c r="U37"/>
  <c r="V45"/>
  <c r="E42" i="1"/>
  <c r="C42"/>
  <c r="V75" i="7"/>
  <c r="W75" s="1"/>
  <c r="V70"/>
  <c r="W70" s="1"/>
  <c r="U72"/>
  <c r="E22" i="1" s="1"/>
  <c r="U27" i="7"/>
  <c r="W68"/>
  <c r="U20"/>
  <c r="V80"/>
  <c r="V64"/>
  <c r="U64"/>
  <c r="E80" i="1" s="1"/>
  <c r="V20" i="7"/>
  <c r="C18" i="1" s="1"/>
  <c r="U60" i="7"/>
  <c r="V24"/>
  <c r="U66"/>
  <c r="V62"/>
  <c r="V66"/>
  <c r="W66" s="1"/>
  <c r="U63"/>
  <c r="E70" i="1" s="1"/>
  <c r="V21" i="7"/>
  <c r="W21" s="1"/>
  <c r="E95" i="1"/>
  <c r="E9"/>
  <c r="E36"/>
  <c r="E67"/>
  <c r="U85" i="7"/>
  <c r="E55" i="1"/>
  <c r="E61"/>
  <c r="E52"/>
  <c r="V33" i="7"/>
  <c r="U21"/>
  <c r="V63"/>
  <c r="E88" i="1"/>
  <c r="E101"/>
  <c r="V38" i="7"/>
  <c r="U15"/>
  <c r="U38"/>
  <c r="V60"/>
  <c r="U12"/>
  <c r="E4" i="1" s="1"/>
  <c r="W94" i="7"/>
  <c r="W32"/>
  <c r="W29"/>
  <c r="W14"/>
  <c r="W77"/>
  <c r="W52"/>
  <c r="C44" i="1"/>
  <c r="W92" i="7"/>
  <c r="C9" i="1"/>
  <c r="W71" i="7"/>
  <c r="W90"/>
  <c r="C81" i="1"/>
  <c r="W99" i="7"/>
  <c r="W47"/>
  <c r="W91"/>
  <c r="W56"/>
  <c r="W11"/>
  <c r="W35"/>
  <c r="W3"/>
  <c r="U39"/>
  <c r="V39"/>
  <c r="U59"/>
  <c r="E90" i="1" s="1"/>
  <c r="U43" i="7"/>
  <c r="E33" i="1" s="1"/>
  <c r="V19" i="7"/>
  <c r="U48"/>
  <c r="U62"/>
  <c r="V12"/>
  <c r="V55"/>
  <c r="U19"/>
  <c r="U55"/>
  <c r="V48"/>
  <c r="W138" i="2"/>
  <c r="W102"/>
  <c r="W100"/>
  <c r="W109"/>
  <c r="W38"/>
  <c r="W63"/>
  <c r="W84"/>
  <c r="W117"/>
  <c r="W54"/>
  <c r="W41"/>
  <c r="W139"/>
  <c r="W128"/>
  <c r="W26"/>
  <c r="W53"/>
  <c r="W121"/>
  <c r="W76"/>
  <c r="W36"/>
  <c r="W66"/>
  <c r="W145"/>
  <c r="W32"/>
  <c r="W96"/>
  <c r="W34"/>
  <c r="W131"/>
  <c r="W19"/>
  <c r="W46"/>
  <c r="W77"/>
  <c r="W137"/>
  <c r="W67"/>
  <c r="W85"/>
  <c r="W143"/>
  <c r="W134"/>
  <c r="W10"/>
  <c r="W136"/>
  <c r="W37"/>
  <c r="W23"/>
  <c r="W20"/>
  <c r="W144"/>
  <c r="W5"/>
  <c r="W45"/>
  <c r="W30"/>
  <c r="W47"/>
  <c r="W78"/>
  <c r="W8"/>
  <c r="W120"/>
  <c r="W16"/>
  <c r="W149"/>
  <c r="W40"/>
  <c r="W35"/>
  <c r="W25"/>
  <c r="W81"/>
  <c r="W97"/>
  <c r="W88"/>
  <c r="W74"/>
  <c r="W141"/>
  <c r="W6"/>
  <c r="W56"/>
  <c r="W95"/>
  <c r="W89"/>
  <c r="W13"/>
  <c r="W15"/>
  <c r="W132"/>
  <c r="W93"/>
  <c r="W62"/>
  <c r="W147"/>
  <c r="W22"/>
  <c r="W123"/>
  <c r="W135"/>
  <c r="W39"/>
  <c r="W64"/>
  <c r="W68"/>
  <c r="W101"/>
  <c r="W57"/>
  <c r="W29"/>
  <c r="W82"/>
  <c r="W115"/>
  <c r="W65"/>
  <c r="W91"/>
  <c r="W75"/>
  <c r="W108"/>
  <c r="W107"/>
  <c r="W116"/>
  <c r="W18"/>
  <c r="W69"/>
  <c r="W86"/>
  <c r="W60"/>
  <c r="W42"/>
  <c r="W83"/>
  <c r="W3"/>
  <c r="W126"/>
  <c r="W73"/>
  <c r="W31"/>
  <c r="W148"/>
  <c r="W79"/>
  <c r="W127"/>
  <c r="W51"/>
  <c r="W72"/>
  <c r="W4"/>
  <c r="W105"/>
  <c r="W61"/>
  <c r="W80"/>
  <c r="W151"/>
  <c r="W119"/>
  <c r="W129"/>
  <c r="W98"/>
  <c r="W118"/>
  <c r="W125"/>
  <c r="W21"/>
  <c r="W112"/>
  <c r="W87"/>
  <c r="W150"/>
  <c r="W71"/>
  <c r="W17"/>
  <c r="W7"/>
  <c r="W58"/>
  <c r="W44"/>
  <c r="W52"/>
  <c r="W140"/>
  <c r="W48"/>
  <c r="W28"/>
  <c r="W103"/>
  <c r="W146"/>
  <c r="W55"/>
  <c r="W90"/>
  <c r="W49"/>
  <c r="W122"/>
  <c r="W27"/>
  <c r="W130"/>
  <c r="W133"/>
  <c r="W12"/>
  <c r="W9"/>
  <c r="W99"/>
  <c r="W110"/>
  <c r="W11"/>
  <c r="W50"/>
  <c r="W104"/>
  <c r="W142"/>
  <c r="W111"/>
  <c r="W33"/>
  <c r="W124"/>
  <c r="W24"/>
  <c r="W94"/>
  <c r="W14"/>
  <c r="W43"/>
  <c r="W113"/>
  <c r="W59"/>
  <c r="W92"/>
  <c r="W114"/>
  <c r="W70"/>
  <c r="W106"/>
  <c r="U2" i="7"/>
  <c r="E19" i="1" s="1"/>
  <c r="C35" l="1"/>
  <c r="C27"/>
  <c r="C29"/>
  <c r="V27" i="7"/>
  <c r="W27" s="1"/>
  <c r="E35" i="1"/>
  <c r="V57" i="7"/>
  <c r="W57" s="1"/>
  <c r="E27" i="1"/>
  <c r="C51"/>
  <c r="C90"/>
  <c r="E12"/>
  <c r="V100" i="7"/>
  <c r="W100" s="1"/>
  <c r="V22"/>
  <c r="W22" s="1"/>
  <c r="C70" i="1"/>
  <c r="C53"/>
  <c r="E3"/>
  <c r="C87"/>
  <c r="E98"/>
  <c r="V43" i="7"/>
  <c r="C33" i="1" s="1"/>
  <c r="C82"/>
  <c r="D95"/>
  <c r="G95" s="1"/>
  <c r="E13"/>
  <c r="C4"/>
  <c r="E34"/>
  <c r="E92"/>
  <c r="E94"/>
  <c r="E82"/>
  <c r="E56"/>
  <c r="C13"/>
  <c r="E89"/>
  <c r="C95"/>
  <c r="C92"/>
  <c r="E28"/>
  <c r="C99"/>
  <c r="C93"/>
  <c r="E18"/>
  <c r="E93"/>
  <c r="E83"/>
  <c r="V2" i="7"/>
  <c r="C89" i="1"/>
  <c r="E17"/>
  <c r="V73" i="7"/>
  <c r="C74" i="1"/>
  <c r="C66"/>
  <c r="E38"/>
  <c r="W44" i="7"/>
  <c r="C85" i="1"/>
  <c r="E64"/>
  <c r="C88"/>
  <c r="C24"/>
  <c r="C10"/>
  <c r="C73"/>
  <c r="E63"/>
  <c r="E47"/>
  <c r="C98"/>
  <c r="C31"/>
  <c r="C64"/>
  <c r="E43"/>
  <c r="C7"/>
  <c r="C75"/>
  <c r="C54"/>
  <c r="E21"/>
  <c r="E79"/>
  <c r="E20"/>
  <c r="E53"/>
  <c r="E8"/>
  <c r="E10"/>
  <c r="C20"/>
  <c r="W15" i="7"/>
  <c r="C8" i="1"/>
  <c r="D29"/>
  <c r="G29" s="1"/>
  <c r="E73"/>
  <c r="C43"/>
  <c r="W20" i="7"/>
  <c r="D35" i="1" s="1"/>
  <c r="C34"/>
  <c r="E14"/>
  <c r="C21"/>
  <c r="E65"/>
  <c r="C65"/>
  <c r="C41"/>
  <c r="C17"/>
  <c r="E100"/>
  <c r="D41"/>
  <c r="G41" s="1"/>
  <c r="W18" i="7"/>
  <c r="E2" i="1"/>
  <c r="C100"/>
  <c r="E72"/>
  <c r="E51"/>
  <c r="E25"/>
  <c r="E44"/>
  <c r="C59"/>
  <c r="C23"/>
  <c r="C57"/>
  <c r="E15"/>
  <c r="E7"/>
  <c r="E71"/>
  <c r="E68"/>
  <c r="C77"/>
  <c r="C14"/>
  <c r="D87"/>
  <c r="G87" s="1"/>
  <c r="E57"/>
  <c r="E77"/>
  <c r="E48"/>
  <c r="C71"/>
  <c r="C68"/>
  <c r="C61"/>
  <c r="C26"/>
  <c r="C50"/>
  <c r="E59"/>
  <c r="W23" i="7"/>
  <c r="D26" i="1" s="1"/>
  <c r="G26" s="1"/>
  <c r="C56"/>
  <c r="E58"/>
  <c r="W81" i="7"/>
  <c r="D12" i="1" s="1"/>
  <c r="G12" s="1"/>
  <c r="C12"/>
  <c r="W45" i="7"/>
  <c r="C36" i="1"/>
  <c r="C72"/>
  <c r="C2"/>
  <c r="C25"/>
  <c r="E86"/>
  <c r="C6"/>
  <c r="W37" i="7"/>
  <c r="D17" i="1" s="1"/>
  <c r="E62"/>
  <c r="C63"/>
  <c r="E69"/>
  <c r="C62"/>
  <c r="C80"/>
  <c r="W72" i="7"/>
  <c r="D88" i="1" s="1"/>
  <c r="G88" s="1"/>
  <c r="C97"/>
  <c r="C78"/>
  <c r="W76" i="7"/>
  <c r="D73" i="1" s="1"/>
  <c r="C69"/>
  <c r="E78"/>
  <c r="E66"/>
  <c r="C84"/>
  <c r="C45"/>
  <c r="E6"/>
  <c r="E46"/>
  <c r="C94"/>
  <c r="E49"/>
  <c r="E84"/>
  <c r="E45"/>
  <c r="C58"/>
  <c r="W59" i="7"/>
  <c r="D38" i="1" s="1"/>
  <c r="C38"/>
  <c r="W16" i="7"/>
  <c r="D79" i="1" s="1"/>
  <c r="C11"/>
  <c r="E16"/>
  <c r="C49"/>
  <c r="D42"/>
  <c r="G42" s="1"/>
  <c r="C15"/>
  <c r="E5"/>
  <c r="E30"/>
  <c r="W38" i="7"/>
  <c r="D64" i="1" s="1"/>
  <c r="C46"/>
  <c r="E85"/>
  <c r="C16"/>
  <c r="E91"/>
  <c r="E60"/>
  <c r="W63" i="7"/>
  <c r="C40" i="1"/>
  <c r="W80" i="7"/>
  <c r="D36" i="1" s="1"/>
  <c r="G36" s="1"/>
  <c r="C91"/>
  <c r="W64" i="7"/>
  <c r="D60" i="1" s="1"/>
  <c r="C39"/>
  <c r="E99"/>
  <c r="W24" i="7"/>
  <c r="W96"/>
  <c r="D89" i="1" s="1"/>
  <c r="E75"/>
  <c r="W62" i="7"/>
  <c r="D20" i="1" s="1"/>
  <c r="W33" i="7"/>
  <c r="D48" i="1" s="1"/>
  <c r="D92"/>
  <c r="G92" s="1"/>
  <c r="W60" i="7"/>
  <c r="D58" i="1" s="1"/>
  <c r="D101"/>
  <c r="G101" s="1"/>
  <c r="D52"/>
  <c r="G52" s="1"/>
  <c r="E39"/>
  <c r="D70"/>
  <c r="G70" s="1"/>
  <c r="E76"/>
  <c r="D9"/>
  <c r="G9" s="1"/>
  <c r="E40"/>
  <c r="D24"/>
  <c r="G24" s="1"/>
  <c r="E32"/>
  <c r="E23"/>
  <c r="D61"/>
  <c r="G61" s="1"/>
  <c r="D31"/>
  <c r="G31" s="1"/>
  <c r="D98"/>
  <c r="G98" s="1"/>
  <c r="D67"/>
  <c r="G67" s="1"/>
  <c r="E50"/>
  <c r="E96"/>
  <c r="W19" i="7"/>
  <c r="C96" i="1"/>
  <c r="D74"/>
  <c r="G74" s="1"/>
  <c r="W55" i="7"/>
  <c r="C76" i="1"/>
  <c r="C37"/>
  <c r="E54"/>
  <c r="W39" i="7"/>
  <c r="D23" i="1" s="1"/>
  <c r="C32"/>
  <c r="E97"/>
  <c r="W12" i="7"/>
  <c r="C5" i="1"/>
  <c r="W48" i="7"/>
  <c r="C86" i="1"/>
  <c r="E37"/>
  <c r="C48" l="1"/>
  <c r="D43"/>
  <c r="G43" s="1"/>
  <c r="G89"/>
  <c r="G35"/>
  <c r="C47"/>
  <c r="W73" i="7"/>
  <c r="D55" i="1" s="1"/>
  <c r="G55" s="1"/>
  <c r="C55"/>
  <c r="D39"/>
  <c r="G39" s="1"/>
  <c r="C19"/>
  <c r="C3"/>
  <c r="D68"/>
  <c r="D90"/>
  <c r="G90" s="1"/>
  <c r="D13"/>
  <c r="G13" s="1"/>
  <c r="C60"/>
  <c r="C30"/>
  <c r="D27"/>
  <c r="G27" s="1"/>
  <c r="C83"/>
  <c r="W43" i="7"/>
  <c r="D33" i="1" s="1"/>
  <c r="G33" s="1"/>
  <c r="D28"/>
  <c r="G28" s="1"/>
  <c r="D86"/>
  <c r="G86" s="1"/>
  <c r="G17"/>
  <c r="D8"/>
  <c r="G8" s="1"/>
  <c r="C22"/>
  <c r="W2" i="7"/>
  <c r="D56" i="1"/>
  <c r="G56" s="1"/>
  <c r="D93"/>
  <c r="G93" s="1"/>
  <c r="D65"/>
  <c r="G65" s="1"/>
  <c r="D4"/>
  <c r="G4" s="1"/>
  <c r="D34"/>
  <c r="G34" s="1"/>
  <c r="D18"/>
  <c r="G18" s="1"/>
  <c r="D97"/>
  <c r="G97" s="1"/>
  <c r="G38"/>
  <c r="G64"/>
  <c r="D10"/>
  <c r="G10" s="1"/>
  <c r="D22"/>
  <c r="G22" s="1"/>
  <c r="G79"/>
  <c r="D49"/>
  <c r="G49" s="1"/>
  <c r="D63"/>
  <c r="G63" s="1"/>
  <c r="D78"/>
  <c r="G78" s="1"/>
  <c r="D75"/>
  <c r="G75" s="1"/>
  <c r="G73"/>
  <c r="D21"/>
  <c r="G21" s="1"/>
  <c r="D47"/>
  <c r="G47" s="1"/>
  <c r="G68"/>
  <c r="D82"/>
  <c r="G82" s="1"/>
  <c r="G20"/>
  <c r="D14"/>
  <c r="G14" s="1"/>
  <c r="D77"/>
  <c r="G77" s="1"/>
  <c r="D44"/>
  <c r="G44" s="1"/>
  <c r="D50"/>
  <c r="G50" s="1"/>
  <c r="D57"/>
  <c r="G57" s="1"/>
  <c r="D45"/>
  <c r="G45" s="1"/>
  <c r="D54"/>
  <c r="G54" s="1"/>
  <c r="D59"/>
  <c r="G59" s="1"/>
  <c r="D51"/>
  <c r="G51" s="1"/>
  <c r="G48"/>
  <c r="D7"/>
  <c r="G7" s="1"/>
  <c r="D72"/>
  <c r="G72" s="1"/>
  <c r="D96"/>
  <c r="G96" s="1"/>
  <c r="D62"/>
  <c r="G62" s="1"/>
  <c r="G58"/>
  <c r="D53"/>
  <c r="G53" s="1"/>
  <c r="G60"/>
  <c r="D80"/>
  <c r="G80" s="1"/>
  <c r="D16"/>
  <c r="G16" s="1"/>
  <c r="D40"/>
  <c r="G40" s="1"/>
  <c r="D69"/>
  <c r="G69" s="1"/>
  <c r="D85"/>
  <c r="G85" s="1"/>
  <c r="D6"/>
  <c r="G6" s="1"/>
  <c r="D46"/>
  <c r="G46" s="1"/>
  <c r="D15"/>
  <c r="G15" s="1"/>
  <c r="D91"/>
  <c r="G91" s="1"/>
  <c r="D25"/>
  <c r="G25" s="1"/>
  <c r="D11"/>
  <c r="G11" s="1"/>
  <c r="D2"/>
  <c r="G2" s="1"/>
  <c r="D99"/>
  <c r="G99" s="1"/>
  <c r="D66"/>
  <c r="G66" s="1"/>
  <c r="D100"/>
  <c r="G100" s="1"/>
  <c r="D94"/>
  <c r="G94" s="1"/>
  <c r="D37"/>
  <c r="G37" s="1"/>
  <c r="D84"/>
  <c r="G84" s="1"/>
  <c r="D71"/>
  <c r="G71" s="1"/>
  <c r="G23"/>
  <c r="D5"/>
  <c r="G5" s="1"/>
  <c r="D32"/>
  <c r="G32" s="1"/>
  <c r="D76"/>
  <c r="G76" s="1"/>
  <c r="D19" l="1"/>
  <c r="G19" s="1"/>
  <c r="D3"/>
  <c r="G3" s="1"/>
  <c r="D30"/>
  <c r="G30" s="1"/>
  <c r="D83"/>
  <c r="G83" s="1"/>
</calcChain>
</file>

<file path=xl/connections.xml><?xml version="1.0" encoding="utf-8"?>
<connections xmlns="http://schemas.openxmlformats.org/spreadsheetml/2006/main">
  <connection id="1" name="Connection" type="4" refreshedVersion="3" background="1" saveData="1">
    <webPr sourceData="1" parsePre="1" consecutive="1" xl2000="1" url="http://www2.usfirst.org/2012comp/events/Curie/rankings.html" htmlTables="1">
      <tables count="1">
        <x v="3"/>
      </tables>
    </webPr>
  </connection>
  <connection id="2" name="Connection1" type="4" refreshedVersion="3" background="1" saveData="1">
    <webPr sourceData="1" parsePre="1" consecutive="1" xl2000="1" url="http://www2.usfirst.org/2012comp/events/Curie/matchresults.html" htmlTables="1">
      <tables count="1">
        <x v="3"/>
      </tables>
    </webPr>
  </connection>
</connections>
</file>

<file path=xl/sharedStrings.xml><?xml version="1.0" encoding="utf-8"?>
<sst xmlns="http://schemas.openxmlformats.org/spreadsheetml/2006/main" count="133" uniqueCount="80">
  <si>
    <t>Team</t>
  </si>
  <si>
    <t>OPR</t>
  </si>
  <si>
    <t>Time</t>
  </si>
  <si>
    <t>Match</t>
  </si>
  <si>
    <t>R1</t>
  </si>
  <si>
    <t>R2</t>
  </si>
  <si>
    <t>R3</t>
  </si>
  <si>
    <t>B1</t>
  </si>
  <si>
    <t>B2</t>
  </si>
  <si>
    <t>B3</t>
  </si>
  <si>
    <t>R OPR</t>
  </si>
  <si>
    <t>B OPR</t>
  </si>
  <si>
    <t>R QS</t>
  </si>
  <si>
    <t>B QS</t>
  </si>
  <si>
    <t>RS</t>
  </si>
  <si>
    <t>QS</t>
  </si>
  <si>
    <t>Extra Match (0 or Match Number)</t>
  </si>
  <si>
    <t>Red Score</t>
  </si>
  <si>
    <t>Blue Score</t>
  </si>
  <si>
    <t>Error</t>
  </si>
  <si>
    <t>R Score</t>
  </si>
  <si>
    <t>B Score</t>
  </si>
  <si>
    <t>Err Norm</t>
  </si>
  <si>
    <t>Err Cum</t>
  </si>
  <si>
    <t>Err Norm Cum</t>
  </si>
  <si>
    <t>Err Match</t>
  </si>
  <si>
    <t>Err Match Cum</t>
  </si>
  <si>
    <t>Sort by me!</t>
  </si>
  <si>
    <t>OPR High</t>
  </si>
  <si>
    <t>OPR Norm</t>
  </si>
  <si>
    <t>Avg OPR</t>
  </si>
  <si>
    <t>Red 1</t>
  </si>
  <si>
    <t>Red 2</t>
  </si>
  <si>
    <t>Red 3</t>
  </si>
  <si>
    <t>Blue 1</t>
  </si>
  <si>
    <t>Blue 2</t>
  </si>
  <si>
    <t>Blue 3</t>
  </si>
  <si>
    <t>CP</t>
  </si>
  <si>
    <t>Team List</t>
  </si>
  <si>
    <t>Rank</t>
  </si>
  <si>
    <t>HP</t>
  </si>
  <si>
    <t>BP</t>
  </si>
  <si>
    <t>TP</t>
  </si>
  <si>
    <t>DQ</t>
  </si>
  <si>
    <t>Played</t>
  </si>
  <si>
    <t>0-2-0</t>
  </si>
  <si>
    <t>Record (W-L-T)</t>
  </si>
  <si>
    <t>2-0-0</t>
  </si>
  <si>
    <t>Qualification Matches</t>
  </si>
  <si>
    <t>RS as R1</t>
  </si>
  <si>
    <t>RS as R2</t>
  </si>
  <si>
    <t>RS as R3</t>
  </si>
  <si>
    <t>RS as B1</t>
  </si>
  <si>
    <t>RS as B2</t>
  </si>
  <si>
    <t>RS as B3</t>
  </si>
  <si>
    <t>QS as R1</t>
  </si>
  <si>
    <t>QS as R2</t>
  </si>
  <si>
    <t>QS as R3</t>
  </si>
  <si>
    <t>QS as B2</t>
  </si>
  <si>
    <t>QS as B3</t>
  </si>
  <si>
    <t>QS as B1</t>
  </si>
  <si>
    <t>QS+CP</t>
  </si>
  <si>
    <t>You should paste in the team numbers so that funky things don't happen when you sort.</t>
  </si>
  <si>
    <t>R Score (Expected)</t>
  </si>
  <si>
    <t>B Score (Expected)</t>
  </si>
  <si>
    <t>R Score (Actual)</t>
  </si>
  <si>
    <t>B Score (Actual)</t>
  </si>
  <si>
    <t>I don't remember where I got the OPR High and OPR Norm from…</t>
  </si>
  <si>
    <t>3-0-0</t>
  </si>
  <si>
    <t>0-3-0</t>
  </si>
  <si>
    <t>To set up the database you need to:</t>
  </si>
  <si>
    <t>Copy in the team list to "Teams".</t>
  </si>
  <si>
    <t>Make sure that "Online Results" is linked correctly.</t>
  </si>
  <si>
    <t>Copy in the team and OPR list from 1114's database.</t>
  </si>
  <si>
    <t>Make sure that the database has formulas in enough rows to account for all of the teams.</t>
  </si>
  <si>
    <t>The OPR data is from 1114's database.</t>
  </si>
  <si>
    <t xml:space="preserve">The database is linked to FIRST's online database so in theory all that you need to do is click "Refresh All" (under "Data") to view the realtime results. </t>
  </si>
  <si>
    <t>Search for a team by entering in their number here:</t>
  </si>
  <si>
    <t>Do not sort!</t>
  </si>
  <si>
    <t>Data as of Match Number 38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</si>
</sst>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color theme="1"/>
      <name val="Verdana"/>
      <family val="2"/>
    </font>
    <font>
      <sz val="9"/>
      <color rgb="FFC00000"/>
      <name val="Arial"/>
      <family val="2"/>
    </font>
    <font>
      <sz val="9"/>
      <color theme="3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43" fontId="8" fillId="0" borderId="0" applyFont="0" applyFill="0" applyBorder="0" applyAlignment="0" applyProtection="0"/>
    <xf numFmtId="0" fontId="8" fillId="0" borderId="0"/>
  </cellStyleXfs>
  <cellXfs count="55">
    <xf numFmtId="0" fontId="0" fillId="0" borderId="0" xfId="0"/>
    <xf numFmtId="0" fontId="4" fillId="0" borderId="0" xfId="0" applyFont="1" applyFill="1" applyAlignment="1">
      <alignment horizontal="center" vertical="center"/>
    </xf>
    <xf numFmtId="2" fontId="4" fillId="0" borderId="0" xfId="0" applyNumberFormat="1" applyFont="1" applyFill="1" applyAlignment="1">
      <alignment horizontal="center" vertical="center"/>
    </xf>
    <xf numFmtId="18" fontId="0" fillId="0" borderId="0" xfId="0" applyNumberFormat="1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2" fontId="0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2" fontId="7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6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9" fillId="2" borderId="0" xfId="3" applyFont="1" applyFill="1"/>
    <xf numFmtId="43" fontId="10" fillId="2" borderId="0" xfId="2" applyFont="1" applyFill="1" applyAlignment="1">
      <alignment horizontal="right"/>
    </xf>
    <xf numFmtId="0" fontId="0" fillId="0" borderId="0" xfId="0" applyFill="1"/>
    <xf numFmtId="0" fontId="0" fillId="0" borderId="0" xfId="0" applyNumberFormat="1" applyFont="1" applyFill="1" applyAlignment="1">
      <alignment horizontal="center" vertical="center" wrapText="1"/>
    </xf>
    <xf numFmtId="0" fontId="7" fillId="0" borderId="0" xfId="0" applyNumberFormat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 wrapText="1"/>
    </xf>
    <xf numFmtId="0" fontId="0" fillId="0" borderId="0" xfId="0" applyFont="1" applyFill="1"/>
    <xf numFmtId="0" fontId="12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4" fillId="0" borderId="0" xfId="0" applyFont="1" applyFill="1"/>
    <xf numFmtId="14" fontId="1" fillId="0" borderId="0" xfId="0" applyNumberFormat="1" applyFont="1" applyFill="1" applyAlignment="1">
      <alignment horizontal="center" wrapText="1"/>
    </xf>
    <xf numFmtId="18" fontId="0" fillId="0" borderId="0" xfId="0" applyNumberFormat="1" applyFill="1"/>
    <xf numFmtId="0" fontId="4" fillId="0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wrapText="1"/>
    </xf>
    <xf numFmtId="49" fontId="0" fillId="0" borderId="0" xfId="0" applyNumberFormat="1" applyFill="1"/>
    <xf numFmtId="49" fontId="1" fillId="0" borderId="0" xfId="0" applyNumberFormat="1" applyFont="1" applyFill="1" applyAlignment="1">
      <alignment horizontal="center" vertical="center" wrapText="1"/>
    </xf>
    <xf numFmtId="1" fontId="4" fillId="0" borderId="0" xfId="0" applyNumberFormat="1" applyFont="1" applyFill="1" applyAlignment="1">
      <alignment horizontal="center" vertical="center"/>
    </xf>
    <xf numFmtId="1" fontId="0" fillId="0" borderId="0" xfId="0" applyNumberFormat="1" applyFont="1" applyFill="1" applyAlignment="1">
      <alignment horizontal="center" vertical="center"/>
    </xf>
    <xf numFmtId="1" fontId="0" fillId="0" borderId="0" xfId="0" applyNumberFormat="1" applyFill="1"/>
    <xf numFmtId="1" fontId="6" fillId="0" borderId="0" xfId="0" applyNumberFormat="1" applyFont="1" applyFill="1"/>
    <xf numFmtId="1" fontId="7" fillId="0" borderId="0" xfId="0" applyNumberFormat="1" applyFont="1" applyFill="1"/>
    <xf numFmtId="0" fontId="0" fillId="0" borderId="0" xfId="0" applyFill="1" applyAlignment="1">
      <alignment horizontal="left" vertical="center"/>
    </xf>
    <xf numFmtId="1" fontId="5" fillId="0" borderId="0" xfId="0" applyNumberFormat="1" applyFont="1" applyFill="1" applyAlignment="1">
      <alignment horizontal="center" vertical="center"/>
    </xf>
    <xf numFmtId="1" fontId="6" fillId="0" borderId="0" xfId="0" applyNumberFormat="1" applyFont="1" applyFill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9" fontId="4" fillId="0" borderId="0" xfId="0" applyNumberFormat="1" applyFont="1" applyFill="1" applyAlignment="1">
      <alignment horizontal="center" vertical="center"/>
    </xf>
    <xf numFmtId="9" fontId="0" fillId="0" borderId="0" xfId="0" applyNumberFormat="1" applyFont="1" applyFill="1" applyAlignment="1">
      <alignment horizontal="center" vertical="center"/>
    </xf>
    <xf numFmtId="1" fontId="11" fillId="0" borderId="0" xfId="0" applyNumberFormat="1" applyFont="1" applyFill="1" applyAlignment="1">
      <alignment horizontal="center" vertical="center" wrapText="1"/>
    </xf>
    <xf numFmtId="1" fontId="12" fillId="0" borderId="0" xfId="0" applyNumberFormat="1" applyFont="1" applyFill="1" applyAlignment="1">
      <alignment horizontal="center" vertical="center" wrapText="1"/>
    </xf>
    <xf numFmtId="49" fontId="13" fillId="0" borderId="0" xfId="0" applyNumberFormat="1" applyFont="1" applyFill="1" applyAlignment="1">
      <alignment horizontal="center" wrapText="1"/>
    </xf>
    <xf numFmtId="49" fontId="13" fillId="0" borderId="0" xfId="0" applyNumberFormat="1" applyFont="1" applyFill="1" applyAlignment="1">
      <alignment horizontal="center" vertical="center" wrapText="1"/>
    </xf>
    <xf numFmtId="2" fontId="0" fillId="0" borderId="0" xfId="0" applyNumberFormat="1" applyFill="1"/>
    <xf numFmtId="2" fontId="0" fillId="3" borderId="0" xfId="0" applyNumberFormat="1" applyFill="1"/>
    <xf numFmtId="1" fontId="4" fillId="0" borderId="0" xfId="0" applyNumberFormat="1" applyFont="1" applyFill="1"/>
    <xf numFmtId="14" fontId="0" fillId="0" borderId="0" xfId="0" applyNumberFormat="1" applyFill="1"/>
  </cellXfs>
  <cellStyles count="4">
    <cellStyle name="Comma" xfId="2" builtinId="3"/>
    <cellStyle name="Normal" xfId="0" builtinId="0"/>
    <cellStyle name="Normal 12 2 5" xfId="3"/>
    <cellStyle name="Normal 5" xfId="1"/>
  </cellStyles>
  <dxfs count="14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matchresults_1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ranking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>
      <selection activeCell="E29" sqref="E29"/>
    </sheetView>
  </sheetViews>
  <sheetFormatPr defaultRowHeight="15"/>
  <sheetData>
    <row r="1" spans="1:2">
      <c r="A1" t="s">
        <v>70</v>
      </c>
    </row>
    <row r="2" spans="1:2">
      <c r="B2" t="s">
        <v>71</v>
      </c>
    </row>
    <row r="3" spans="1:2">
      <c r="B3" t="s">
        <v>72</v>
      </c>
    </row>
    <row r="4" spans="1:2">
      <c r="B4" t="s">
        <v>73</v>
      </c>
    </row>
    <row r="5" spans="1:2">
      <c r="B5" t="s">
        <v>74</v>
      </c>
    </row>
    <row r="7" spans="1:2">
      <c r="A7" t="s">
        <v>75</v>
      </c>
    </row>
    <row r="9" spans="1:2">
      <c r="A9" t="s">
        <v>76</v>
      </c>
    </row>
    <row r="12" spans="1:2">
      <c r="A12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1"/>
  <sheetViews>
    <sheetView workbookViewId="0">
      <pane ySplit="1" topLeftCell="A2" activePane="bottomLeft" state="frozen"/>
      <selection pane="bottomLeft" activeCell="L6" sqref="L6"/>
    </sheetView>
  </sheetViews>
  <sheetFormatPr defaultColWidth="9.140625" defaultRowHeight="15"/>
  <cols>
    <col min="1" max="1" width="9.140625" style="1"/>
    <col min="2" max="3" width="9.140625" style="5"/>
    <col min="4" max="4" width="9.140625" style="4"/>
    <col min="5" max="5" width="9.140625" style="5"/>
    <col min="6" max="6" width="28.5703125" style="5" hidden="1" customWidth="1"/>
    <col min="7" max="7" width="10.7109375" style="5" customWidth="1"/>
    <col min="8" max="10" width="9.140625" style="5"/>
    <col min="11" max="11" width="9.140625" style="4"/>
    <col min="12" max="12" width="9.140625" style="17"/>
    <col min="13" max="16384" width="9.140625" style="4"/>
  </cols>
  <sheetData>
    <row r="1" spans="1:12" s="1" customFormat="1">
      <c r="A1" s="1" t="s">
        <v>0</v>
      </c>
      <c r="B1" s="2" t="s">
        <v>1</v>
      </c>
      <c r="C1" s="2" t="s">
        <v>15</v>
      </c>
      <c r="D1" s="1" t="s">
        <v>61</v>
      </c>
      <c r="E1" s="2" t="s">
        <v>14</v>
      </c>
      <c r="F1" s="2" t="s">
        <v>16</v>
      </c>
      <c r="G1" s="2" t="s">
        <v>27</v>
      </c>
      <c r="H1" s="2" t="s">
        <v>1</v>
      </c>
      <c r="I1" s="2" t="s">
        <v>28</v>
      </c>
      <c r="J1" s="2" t="s">
        <v>29</v>
      </c>
    </row>
    <row r="2" spans="1:12">
      <c r="A2" s="49">
        <v>987</v>
      </c>
      <c r="B2" s="2">
        <f>VLOOKUP($A2, 'Enter Team Data Here'!$F:$W, 2, FALSE)</f>
        <v>33.007300000000001</v>
      </c>
      <c r="C2" s="35">
        <f>VLOOKUP($A2, 'Enter Team Data Here'!$F:$W, 17, FALSE)</f>
        <v>18</v>
      </c>
      <c r="D2" s="35">
        <f>VLOOKUP($A2, 'Enter Team Data Here'!$F:$W, 18, FALSE)</f>
        <v>24</v>
      </c>
      <c r="E2" s="35">
        <f>VLOOKUP($A2, 'Enter Team Data Here'!$F:$W, 16, FALSE)</f>
        <v>281.78051633333331</v>
      </c>
      <c r="F2" s="14">
        <v>0</v>
      </c>
      <c r="G2" s="5">
        <f>SUM(1000*D2, E2)</f>
        <v>24281.780516333332</v>
      </c>
      <c r="H2" s="5">
        <f>B2</f>
        <v>33.007300000000001</v>
      </c>
      <c r="L2" s="40" t="s">
        <v>62</v>
      </c>
    </row>
    <row r="3" spans="1:12">
      <c r="A3" s="49">
        <v>341</v>
      </c>
      <c r="B3" s="2">
        <f>VLOOKUP($A3, 'Enter Team Data Here'!$F:$W, 2, FALSE)</f>
        <v>34.869675000000001</v>
      </c>
      <c r="C3" s="35">
        <f>VLOOKUP($A3, 'Enter Team Data Here'!$F:$W, 17, FALSE)</f>
        <v>18</v>
      </c>
      <c r="D3" s="35">
        <f>VLOOKUP($A3, 'Enter Team Data Here'!$F:$W, 18, FALSE)</f>
        <v>24</v>
      </c>
      <c r="E3" s="35">
        <f>VLOOKUP($A3, 'Enter Team Data Here'!$F:$W, 16, FALSE)</f>
        <v>280.00212900000002</v>
      </c>
      <c r="F3" s="14">
        <v>0</v>
      </c>
      <c r="G3" s="5">
        <f>SUM(1000*D3, E3)</f>
        <v>24280.002129</v>
      </c>
      <c r="H3" s="5">
        <f>B3</f>
        <v>34.869675000000001</v>
      </c>
      <c r="L3" s="51" t="s">
        <v>67</v>
      </c>
    </row>
    <row r="4" spans="1:12">
      <c r="A4" s="49">
        <v>1507</v>
      </c>
      <c r="B4" s="2">
        <f>VLOOKUP($A4, 'Enter Team Data Here'!$F:$W, 2, FALSE)</f>
        <v>30.17285</v>
      </c>
      <c r="C4" s="35">
        <f>VLOOKUP($A4, 'Enter Team Data Here'!$F:$W, 17, FALSE)</f>
        <v>18</v>
      </c>
      <c r="D4" s="35">
        <f>VLOOKUP($A4, 'Enter Team Data Here'!$F:$W, 18, FALSE)</f>
        <v>22</v>
      </c>
      <c r="E4" s="35">
        <f>VLOOKUP($A4, 'Enter Team Data Here'!$F:$W, 16, FALSE)</f>
        <v>307.80802600000004</v>
      </c>
      <c r="F4" s="14">
        <v>0</v>
      </c>
      <c r="G4" s="5">
        <f>SUM(1000*D4, E4)</f>
        <v>22307.808025999999</v>
      </c>
      <c r="H4" s="5">
        <f>B4</f>
        <v>30.17285</v>
      </c>
      <c r="L4" s="51"/>
    </row>
    <row r="5" spans="1:12">
      <c r="A5" s="49">
        <v>624</v>
      </c>
      <c r="B5" s="2">
        <f>VLOOKUP($A5, 'Enter Team Data Here'!$F:$W, 2, FALSE)</f>
        <v>28.889399999999998</v>
      </c>
      <c r="C5" s="35">
        <f>VLOOKUP($A5, 'Enter Team Data Here'!$F:$W, 17, FALSE)</f>
        <v>12</v>
      </c>
      <c r="D5" s="35">
        <f>VLOOKUP($A5, 'Enter Team Data Here'!$F:$W, 18, FALSE)</f>
        <v>18</v>
      </c>
      <c r="E5" s="35">
        <f>VLOOKUP($A5, 'Enter Team Data Here'!$F:$W, 16, FALSE)</f>
        <v>291.59985599999999</v>
      </c>
      <c r="F5" s="14">
        <v>0</v>
      </c>
      <c r="G5" s="5">
        <f>SUM(1000*D5, E5)</f>
        <v>18291.599856000001</v>
      </c>
      <c r="H5" s="5">
        <f>B5</f>
        <v>28.889399999999998</v>
      </c>
      <c r="L5" s="51" t="s">
        <v>77</v>
      </c>
    </row>
    <row r="6" spans="1:12">
      <c r="A6" s="49">
        <v>58</v>
      </c>
      <c r="B6" s="2">
        <f>VLOOKUP($A6, 'Enter Team Data Here'!$F:$W, 2, FALSE)</f>
        <v>18.612400000000001</v>
      </c>
      <c r="C6" s="35">
        <f>VLOOKUP($A6, 'Enter Team Data Here'!$F:$W, 17, FALSE)</f>
        <v>16</v>
      </c>
      <c r="D6" s="35">
        <f>VLOOKUP($A6, 'Enter Team Data Here'!$F:$W, 18, FALSE)</f>
        <v>18</v>
      </c>
      <c r="E6" s="35">
        <f>VLOOKUP($A6, 'Enter Team Data Here'!$F:$W, 16, FALSE)</f>
        <v>273.68036499999999</v>
      </c>
      <c r="F6" s="14">
        <v>0</v>
      </c>
      <c r="G6" s="5">
        <f>SUM(1000*D6, E6)</f>
        <v>18273.680365</v>
      </c>
      <c r="H6" s="5">
        <f>B6</f>
        <v>18.612400000000001</v>
      </c>
      <c r="L6" s="52">
        <v>254</v>
      </c>
    </row>
    <row r="7" spans="1:12">
      <c r="A7" s="49">
        <v>3205</v>
      </c>
      <c r="B7" s="2">
        <f>VLOOKUP($A7, 'Enter Team Data Here'!$F:$W, 2, FALSE)</f>
        <v>23.913699999999999</v>
      </c>
      <c r="C7" s="35">
        <f>VLOOKUP($A7, 'Enter Team Data Here'!$F:$W, 17, FALSE)</f>
        <v>18</v>
      </c>
      <c r="D7" s="35">
        <f>VLOOKUP($A7, 'Enter Team Data Here'!$F:$W, 18, FALSE)</f>
        <v>18</v>
      </c>
      <c r="E7" s="35">
        <f>VLOOKUP($A7, 'Enter Team Data Here'!$F:$W, 16, FALSE)</f>
        <v>260.93338766666665</v>
      </c>
      <c r="F7" s="14">
        <v>0</v>
      </c>
      <c r="G7" s="5">
        <f>SUM(1000*D7, E7)</f>
        <v>18260.933387666668</v>
      </c>
      <c r="H7" s="5">
        <f>B7</f>
        <v>23.913699999999999</v>
      </c>
      <c r="L7" s="51"/>
    </row>
    <row r="8" spans="1:12">
      <c r="A8" s="49">
        <v>1986</v>
      </c>
      <c r="B8" s="2">
        <f>VLOOKUP($A8, 'Enter Team Data Here'!$F:$W, 2, FALSE)</f>
        <v>28.112450000000003</v>
      </c>
      <c r="C8" s="35">
        <f>VLOOKUP($A8, 'Enter Team Data Here'!$F:$W, 17, FALSE)</f>
        <v>14</v>
      </c>
      <c r="D8" s="35">
        <f>VLOOKUP($A8, 'Enter Team Data Here'!$F:$W, 18, FALSE)</f>
        <v>16</v>
      </c>
      <c r="E8" s="35">
        <f>VLOOKUP($A8, 'Enter Team Data Here'!$F:$W, 16, FALSE)</f>
        <v>311.51818500000002</v>
      </c>
      <c r="F8" s="14">
        <v>0</v>
      </c>
      <c r="G8" s="5">
        <f>SUM(1000*D8, E8)</f>
        <v>16311.518185000001</v>
      </c>
      <c r="H8" s="5">
        <f>B8</f>
        <v>28.112450000000003</v>
      </c>
      <c r="L8" s="51"/>
    </row>
    <row r="9" spans="1:12">
      <c r="A9" s="49">
        <v>254</v>
      </c>
      <c r="B9" s="2">
        <f>VLOOKUP($A9, 'Enter Team Data Here'!$F:$W, 2, FALSE)</f>
        <v>29.399549999999998</v>
      </c>
      <c r="C9" s="35">
        <f>VLOOKUP($A9, 'Enter Team Data Here'!$F:$W, 17, FALSE)</f>
        <v>14</v>
      </c>
      <c r="D9" s="35">
        <f>VLOOKUP($A9, 'Enter Team Data Here'!$F:$W, 18, FALSE)</f>
        <v>16</v>
      </c>
      <c r="E9" s="35">
        <f>VLOOKUP($A9, 'Enter Team Data Here'!$F:$W, 16, FALSE)</f>
        <v>298.77022333333332</v>
      </c>
      <c r="F9" s="14">
        <v>3</v>
      </c>
      <c r="G9" s="5">
        <f>SUM(1000*D9, E9)</f>
        <v>16298.770223333333</v>
      </c>
      <c r="H9" s="5">
        <f>B9</f>
        <v>29.399549999999998</v>
      </c>
      <c r="L9" s="51"/>
    </row>
    <row r="10" spans="1:12">
      <c r="A10" s="49">
        <v>3098</v>
      </c>
      <c r="B10" s="2">
        <f>VLOOKUP($A10, 'Enter Team Data Here'!$F:$W, 2, FALSE)</f>
        <v>19.627433333333336</v>
      </c>
      <c r="C10" s="35">
        <f>VLOOKUP($A10, 'Enter Team Data Here'!$F:$W, 17, FALSE)</f>
        <v>14</v>
      </c>
      <c r="D10" s="35">
        <f>VLOOKUP($A10, 'Enter Team Data Here'!$F:$W, 18, FALSE)</f>
        <v>16</v>
      </c>
      <c r="E10" s="35">
        <f>VLOOKUP($A10, 'Enter Team Data Here'!$F:$W, 16, FALSE)</f>
        <v>288.52211333333332</v>
      </c>
      <c r="F10" s="14">
        <v>0</v>
      </c>
      <c r="G10" s="5">
        <f>SUM(1000*D10, E10)</f>
        <v>16288.522113333333</v>
      </c>
      <c r="H10" s="5">
        <f>B10</f>
        <v>19.627433333333336</v>
      </c>
      <c r="L10" s="51"/>
    </row>
    <row r="11" spans="1:12">
      <c r="A11" s="49">
        <v>3970</v>
      </c>
      <c r="B11" s="2">
        <f>VLOOKUP($A11, 'Enter Team Data Here'!$F:$W, 2, FALSE)</f>
        <v>13.441240000000001</v>
      </c>
      <c r="C11" s="35">
        <f>VLOOKUP($A11, 'Enter Team Data Here'!$F:$W, 17, FALSE)</f>
        <v>12</v>
      </c>
      <c r="D11" s="35">
        <f>VLOOKUP($A11, 'Enter Team Data Here'!$F:$W, 18, FALSE)</f>
        <v>16</v>
      </c>
      <c r="E11" s="35">
        <f>VLOOKUP($A11, 'Enter Team Data Here'!$F:$W, 16, FALSE)</f>
        <v>274.68293266666666</v>
      </c>
      <c r="F11" s="14">
        <v>0</v>
      </c>
      <c r="G11" s="5">
        <f>SUM(1000*D11, E11)</f>
        <v>16274.682932666667</v>
      </c>
      <c r="H11" s="5">
        <f>B11</f>
        <v>13.441240000000001</v>
      </c>
      <c r="L11" s="51"/>
    </row>
    <row r="12" spans="1:12">
      <c r="A12" s="49">
        <v>78</v>
      </c>
      <c r="B12" s="2">
        <f>VLOOKUP($A12, 'Enter Team Data Here'!$F:$W, 2, FALSE)</f>
        <v>13.827199999999999</v>
      </c>
      <c r="C12" s="35">
        <f>VLOOKUP($A12, 'Enter Team Data Here'!$F:$W, 17, FALSE)</f>
        <v>14</v>
      </c>
      <c r="D12" s="35">
        <f>VLOOKUP($A12, 'Enter Team Data Here'!$F:$W, 18, FALSE)</f>
        <v>16</v>
      </c>
      <c r="E12" s="35">
        <f>VLOOKUP($A12, 'Enter Team Data Here'!$F:$W, 16, FALSE)</f>
        <v>257.80266</v>
      </c>
      <c r="F12" s="14">
        <v>0</v>
      </c>
      <c r="G12" s="5">
        <f>SUM(1000*D12, E12)</f>
        <v>16257.802659999999</v>
      </c>
      <c r="H12" s="5">
        <f>B12</f>
        <v>13.827199999999999</v>
      </c>
      <c r="L12" s="51"/>
    </row>
    <row r="13" spans="1:12">
      <c r="A13" s="49">
        <v>2474</v>
      </c>
      <c r="B13" s="2">
        <f>VLOOKUP($A13, 'Enter Team Data Here'!$F:$W, 2, FALSE)</f>
        <v>25.520924999999998</v>
      </c>
      <c r="C13" s="35">
        <f>VLOOKUP($A13, 'Enter Team Data Here'!$F:$W, 17, FALSE)</f>
        <v>12</v>
      </c>
      <c r="D13" s="35">
        <f>VLOOKUP($A13, 'Enter Team Data Here'!$F:$W, 18, FALSE)</f>
        <v>16</v>
      </c>
      <c r="E13" s="35">
        <f>VLOOKUP($A13, 'Enter Team Data Here'!$F:$W, 16, FALSE)</f>
        <v>243.12418099999999</v>
      </c>
      <c r="F13" s="14">
        <v>0</v>
      </c>
      <c r="G13" s="5">
        <f>SUM(1000*D13, E13)</f>
        <v>16243.124180999999</v>
      </c>
      <c r="H13" s="5">
        <f>B13</f>
        <v>25.520924999999998</v>
      </c>
      <c r="L13" s="51"/>
    </row>
    <row r="14" spans="1:12">
      <c r="A14" s="49">
        <v>51</v>
      </c>
      <c r="B14" s="2">
        <f>VLOOKUP($A14, 'Enter Team Data Here'!$F:$W, 2, FALSE)</f>
        <v>21.605133333333331</v>
      </c>
      <c r="C14" s="35">
        <f>VLOOKUP($A14, 'Enter Team Data Here'!$F:$W, 17, FALSE)</f>
        <v>16</v>
      </c>
      <c r="D14" s="35">
        <f>VLOOKUP($A14, 'Enter Team Data Here'!$F:$W, 18, FALSE)</f>
        <v>16</v>
      </c>
      <c r="E14" s="35">
        <f>VLOOKUP($A14, 'Enter Team Data Here'!$F:$W, 16, FALSE)</f>
        <v>240.38133433333331</v>
      </c>
      <c r="F14" s="14">
        <v>0</v>
      </c>
      <c r="G14" s="5">
        <f>SUM(1000*D14, E14)</f>
        <v>16240.381334333333</v>
      </c>
      <c r="H14" s="5">
        <f>B14</f>
        <v>21.605133333333331</v>
      </c>
      <c r="L14" s="51"/>
    </row>
    <row r="15" spans="1:12">
      <c r="A15" s="49">
        <v>4265</v>
      </c>
      <c r="B15" s="2">
        <f>VLOOKUP($A15, 'Enter Team Data Here'!$F:$W, 2, FALSE)</f>
        <v>7.44503</v>
      </c>
      <c r="C15" s="35">
        <f>VLOOKUP($A15, 'Enter Team Data Here'!$F:$W, 17, FALSE)</f>
        <v>12</v>
      </c>
      <c r="D15" s="35">
        <f>VLOOKUP($A15, 'Enter Team Data Here'!$F:$W, 18, FALSE)</f>
        <v>16</v>
      </c>
      <c r="E15" s="35">
        <f>VLOOKUP($A15, 'Enter Team Data Here'!$F:$W, 16, FALSE)</f>
        <v>237.77074999999999</v>
      </c>
      <c r="F15" s="14">
        <v>0</v>
      </c>
      <c r="G15" s="5">
        <f>SUM(1000*D15, E15)</f>
        <v>16237.77075</v>
      </c>
      <c r="H15" s="5">
        <f>B15</f>
        <v>7.44503</v>
      </c>
      <c r="L15" s="51"/>
    </row>
    <row r="16" spans="1:12">
      <c r="A16" s="49">
        <v>3528</v>
      </c>
      <c r="B16" s="2">
        <f>VLOOKUP($A16, 'Enter Team Data Here'!$F:$W, 2, FALSE)</f>
        <v>21.5243</v>
      </c>
      <c r="C16" s="35">
        <f>VLOOKUP($A16, 'Enter Team Data Here'!$F:$W, 17, FALSE)</f>
        <v>14</v>
      </c>
      <c r="D16" s="35">
        <f>VLOOKUP($A16, 'Enter Team Data Here'!$F:$W, 18, FALSE)</f>
        <v>16</v>
      </c>
      <c r="E16" s="35">
        <f>VLOOKUP($A16, 'Enter Team Data Here'!$F:$W, 16, FALSE)</f>
        <v>227.8682</v>
      </c>
      <c r="F16" s="14">
        <v>0</v>
      </c>
      <c r="G16" s="5">
        <f>SUM(1000*D16, E16)</f>
        <v>16227.868200000001</v>
      </c>
      <c r="H16" s="5">
        <f>B16</f>
        <v>21.5243</v>
      </c>
      <c r="L16" s="51"/>
    </row>
    <row r="17" spans="1:12">
      <c r="A17" s="49">
        <v>3711</v>
      </c>
      <c r="B17" s="2">
        <f>VLOOKUP($A17, 'Enter Team Data Here'!$F:$W, 2, FALSE)</f>
        <v>6.8406149999999997</v>
      </c>
      <c r="C17" s="35">
        <f>VLOOKUP($A17, 'Enter Team Data Here'!$F:$W, 17, FALSE)</f>
        <v>12</v>
      </c>
      <c r="D17" s="35">
        <f>VLOOKUP($A17, 'Enter Team Data Here'!$F:$W, 18, FALSE)</f>
        <v>16</v>
      </c>
      <c r="E17" s="35">
        <f>VLOOKUP($A17, 'Enter Team Data Here'!$F:$W, 16, FALSE)</f>
        <v>225.19954833333333</v>
      </c>
      <c r="F17" s="14">
        <v>0</v>
      </c>
      <c r="G17" s="5">
        <f>SUM(1000*D17, E17)</f>
        <v>16225.199548333334</v>
      </c>
      <c r="H17" s="5">
        <f>B17</f>
        <v>6.8406149999999997</v>
      </c>
      <c r="L17" s="51"/>
    </row>
    <row r="18" spans="1:12">
      <c r="A18" s="49">
        <v>3950</v>
      </c>
      <c r="B18" s="2">
        <f>VLOOKUP($A18, 'Enter Team Data Here'!$F:$W, 2, FALSE)</f>
        <v>5.8018700000000001</v>
      </c>
      <c r="C18" s="35">
        <f>VLOOKUP($A18, 'Enter Team Data Here'!$F:$W, 17, FALSE)</f>
        <v>14</v>
      </c>
      <c r="D18" s="35">
        <f>VLOOKUP($A18, 'Enter Team Data Here'!$F:$W, 18, FALSE)</f>
        <v>16</v>
      </c>
      <c r="E18" s="35">
        <f>VLOOKUP($A18, 'Enter Team Data Here'!$F:$W, 16, FALSE)</f>
        <v>223.29954600000002</v>
      </c>
      <c r="F18" s="14">
        <v>0</v>
      </c>
      <c r="G18" s="5">
        <f>SUM(1000*D18, E18)</f>
        <v>16223.299546</v>
      </c>
      <c r="H18" s="5">
        <f>B18</f>
        <v>5.8018700000000001</v>
      </c>
      <c r="L18" s="51"/>
    </row>
    <row r="19" spans="1:12">
      <c r="A19" s="49">
        <v>836</v>
      </c>
      <c r="B19" s="2">
        <f>VLOOKUP($A19, 'Enter Team Data Here'!$F:$W, 2, FALSE)</f>
        <v>19.302600000000002</v>
      </c>
      <c r="C19" s="35">
        <f>VLOOKUP($A19, 'Enter Team Data Here'!$F:$W, 17, FALSE)</f>
        <v>10</v>
      </c>
      <c r="D19" s="35">
        <f>VLOOKUP($A19, 'Enter Team Data Here'!$F:$W, 18, FALSE)</f>
        <v>14</v>
      </c>
      <c r="E19" s="35">
        <f>VLOOKUP($A19, 'Enter Team Data Here'!$F:$W, 16, FALSE)</f>
        <v>296.10371500000002</v>
      </c>
      <c r="F19" s="14">
        <v>0</v>
      </c>
      <c r="G19" s="5">
        <f>SUM(1000*D19, E19)</f>
        <v>14296.103714999999</v>
      </c>
      <c r="H19" s="5">
        <f>B19</f>
        <v>19.302600000000002</v>
      </c>
      <c r="L19" s="51"/>
    </row>
    <row r="20" spans="1:12">
      <c r="A20" s="49">
        <v>971</v>
      </c>
      <c r="B20" s="2">
        <f>VLOOKUP($A20, 'Enter Team Data Here'!$F:$W, 2, FALSE)</f>
        <v>25.454499999999999</v>
      </c>
      <c r="C20" s="35">
        <f>VLOOKUP($A20, 'Enter Team Data Here'!$F:$W, 17, FALSE)</f>
        <v>12</v>
      </c>
      <c r="D20" s="35">
        <f>VLOOKUP($A20, 'Enter Team Data Here'!$F:$W, 18, FALSE)</f>
        <v>14</v>
      </c>
      <c r="E20" s="35">
        <f>VLOOKUP($A20, 'Enter Team Data Here'!$F:$W, 16, FALSE)</f>
        <v>290.3592276666667</v>
      </c>
      <c r="F20" s="14">
        <v>0</v>
      </c>
      <c r="G20" s="5">
        <f>SUM(1000*D20, E20)</f>
        <v>14290.359227666666</v>
      </c>
      <c r="H20" s="5">
        <f>B20</f>
        <v>25.454499999999999</v>
      </c>
      <c r="L20" s="51"/>
    </row>
    <row r="21" spans="1:12">
      <c r="A21" s="49">
        <v>1477</v>
      </c>
      <c r="B21" s="2">
        <f>VLOOKUP($A21, 'Enter Team Data Here'!$F:$W, 2, FALSE)</f>
        <v>24.155933333333337</v>
      </c>
      <c r="C21" s="35">
        <f>VLOOKUP($A21, 'Enter Team Data Here'!$F:$W, 17, FALSE)</f>
        <v>12</v>
      </c>
      <c r="D21" s="35">
        <f>VLOOKUP($A21, 'Enter Team Data Here'!$F:$W, 18, FALSE)</f>
        <v>14</v>
      </c>
      <c r="E21" s="35">
        <f>VLOOKUP($A21, 'Enter Team Data Here'!$F:$W, 16, FALSE)</f>
        <v>287.7740593333333</v>
      </c>
      <c r="F21" s="14">
        <v>0</v>
      </c>
      <c r="G21" s="5">
        <f>SUM(1000*D21, E21)</f>
        <v>14287.774059333333</v>
      </c>
      <c r="H21" s="5">
        <f>B21</f>
        <v>24.155933333333337</v>
      </c>
      <c r="L21" s="51"/>
    </row>
    <row r="22" spans="1:12">
      <c r="A22" s="49">
        <v>1511</v>
      </c>
      <c r="B22" s="2">
        <f>VLOOKUP($A22, 'Enter Team Data Here'!$F:$W, 2, FALSE)</f>
        <v>15.4154</v>
      </c>
      <c r="C22" s="35">
        <f>VLOOKUP($A22, 'Enter Team Data Here'!$F:$W, 17, FALSE)</f>
        <v>12</v>
      </c>
      <c r="D22" s="35">
        <f>VLOOKUP($A22, 'Enter Team Data Here'!$F:$W, 18, FALSE)</f>
        <v>14</v>
      </c>
      <c r="E22" s="35">
        <f>VLOOKUP($A22, 'Enter Team Data Here'!$F:$W, 16, FALSE)</f>
        <v>285.36832333333331</v>
      </c>
      <c r="F22" s="14">
        <v>0</v>
      </c>
      <c r="G22" s="5">
        <f>SUM(1000*D22, E22)</f>
        <v>14285.368323333334</v>
      </c>
      <c r="H22" s="5">
        <f>B22</f>
        <v>15.4154</v>
      </c>
      <c r="L22" s="51"/>
    </row>
    <row r="23" spans="1:12">
      <c r="A23" s="49">
        <v>3419</v>
      </c>
      <c r="B23" s="2">
        <f>VLOOKUP($A23, 'Enter Team Data Here'!$F:$W, 2, FALSE)</f>
        <v>13.216699999999999</v>
      </c>
      <c r="C23" s="35">
        <f>VLOOKUP($A23, 'Enter Team Data Here'!$F:$W, 17, FALSE)</f>
        <v>14</v>
      </c>
      <c r="D23" s="35">
        <f>VLOOKUP($A23, 'Enter Team Data Here'!$F:$W, 18, FALSE)</f>
        <v>14</v>
      </c>
      <c r="E23" s="35">
        <f>VLOOKUP($A23, 'Enter Team Data Here'!$F:$W, 16, FALSE)</f>
        <v>276.39290633333337</v>
      </c>
      <c r="F23" s="14">
        <v>0</v>
      </c>
      <c r="G23" s="5">
        <f>SUM(1000*D23, E23)</f>
        <v>14276.392906333333</v>
      </c>
      <c r="H23" s="5">
        <f>B23</f>
        <v>13.216699999999999</v>
      </c>
      <c r="L23" s="51"/>
    </row>
    <row r="24" spans="1:12">
      <c r="A24" s="49">
        <v>27</v>
      </c>
      <c r="B24" s="2">
        <f>VLOOKUP($A24, 'Enter Team Data Here'!$F:$W, 2, FALSE)</f>
        <v>19.507574999999999</v>
      </c>
      <c r="C24" s="35">
        <f>VLOOKUP($A24, 'Enter Team Data Here'!$F:$W, 17, FALSE)</f>
        <v>10</v>
      </c>
      <c r="D24" s="35">
        <f>VLOOKUP($A24, 'Enter Team Data Here'!$F:$W, 18, FALSE)</f>
        <v>14</v>
      </c>
      <c r="E24" s="35">
        <f>VLOOKUP($A24, 'Enter Team Data Here'!$F:$W, 16, FALSE)</f>
        <v>274.95006833333332</v>
      </c>
      <c r="F24" s="14">
        <v>0</v>
      </c>
      <c r="G24" s="5">
        <f>SUM(1000*D24, E24)</f>
        <v>14274.950068333334</v>
      </c>
      <c r="H24" s="5">
        <f>B24</f>
        <v>19.507574999999999</v>
      </c>
      <c r="L24" s="51"/>
    </row>
    <row r="25" spans="1:12">
      <c r="A25" s="49">
        <v>4269</v>
      </c>
      <c r="B25" s="2">
        <f>VLOOKUP($A25, 'Enter Team Data Here'!$F:$W, 2, FALSE)</f>
        <v>5.9754699999999996</v>
      </c>
      <c r="C25" s="35">
        <f>VLOOKUP($A25, 'Enter Team Data Here'!$F:$W, 17, FALSE)</f>
        <v>12</v>
      </c>
      <c r="D25" s="35">
        <f>VLOOKUP($A25, 'Enter Team Data Here'!$F:$W, 18, FALSE)</f>
        <v>14</v>
      </c>
      <c r="E25" s="35">
        <f>VLOOKUP($A25, 'Enter Team Data Here'!$F:$W, 16, FALSE)</f>
        <v>257.72821099999999</v>
      </c>
      <c r="F25" s="14">
        <v>0</v>
      </c>
      <c r="G25" s="5">
        <f>SUM(1000*D25, E25)</f>
        <v>14257.728211</v>
      </c>
      <c r="H25" s="5">
        <f>B25</f>
        <v>5.9754699999999996</v>
      </c>
      <c r="L25" s="51"/>
    </row>
    <row r="26" spans="1:12">
      <c r="A26" s="49">
        <v>3288</v>
      </c>
      <c r="B26" s="2">
        <f>VLOOKUP($A26, 'Enter Team Data Here'!$F:$W, 2, FALSE)</f>
        <v>10.007218</v>
      </c>
      <c r="C26" s="35">
        <f>VLOOKUP($A26, 'Enter Team Data Here'!$F:$W, 17, FALSE)</f>
        <v>12</v>
      </c>
      <c r="D26" s="35">
        <f>VLOOKUP($A26, 'Enter Team Data Here'!$F:$W, 18, FALSE)</f>
        <v>14</v>
      </c>
      <c r="E26" s="35">
        <f>VLOOKUP($A26, 'Enter Team Data Here'!$F:$W, 16, FALSE)</f>
        <v>245.442294</v>
      </c>
      <c r="F26" s="14">
        <v>0</v>
      </c>
      <c r="G26" s="5">
        <f>SUM(1000*D26, E26)</f>
        <v>14245.442294</v>
      </c>
      <c r="H26" s="5">
        <f>B26</f>
        <v>10.007218</v>
      </c>
      <c r="L26" s="51"/>
    </row>
    <row r="27" spans="1:12">
      <c r="A27" s="49">
        <v>233</v>
      </c>
      <c r="B27" s="2">
        <f>VLOOKUP($A27, 'Enter Team Data Here'!$F:$W, 2, FALSE)</f>
        <v>18.104849999999999</v>
      </c>
      <c r="C27" s="35">
        <f>VLOOKUP($A27, 'Enter Team Data Here'!$F:$W, 17, FALSE)</f>
        <v>10</v>
      </c>
      <c r="D27" s="35">
        <f>VLOOKUP($A27, 'Enter Team Data Here'!$F:$W, 18, FALSE)</f>
        <v>14</v>
      </c>
      <c r="E27" s="35">
        <f>VLOOKUP($A27, 'Enter Team Data Here'!$F:$W, 16, FALSE)</f>
        <v>243.6848233333333</v>
      </c>
      <c r="F27" s="14">
        <v>0</v>
      </c>
      <c r="G27" s="5">
        <f>SUM(1000*D27, E27)</f>
        <v>14243.684823333333</v>
      </c>
      <c r="H27" s="5">
        <f>B27</f>
        <v>18.104849999999999</v>
      </c>
      <c r="L27" s="51"/>
    </row>
    <row r="28" spans="1:12">
      <c r="A28" s="49">
        <v>2960</v>
      </c>
      <c r="B28" s="2">
        <f>VLOOKUP($A28, 'Enter Team Data Here'!$F:$W, 2, FALSE)</f>
        <v>14.534739999999999</v>
      </c>
      <c r="C28" s="35">
        <f>VLOOKUP($A28, 'Enter Team Data Here'!$F:$W, 17, FALSE)</f>
        <v>14</v>
      </c>
      <c r="D28" s="35">
        <f>VLOOKUP($A28, 'Enter Team Data Here'!$F:$W, 18, FALSE)</f>
        <v>14</v>
      </c>
      <c r="E28" s="35">
        <f>VLOOKUP($A28, 'Enter Team Data Here'!$F:$W, 16, FALSE)</f>
        <v>241.67211099999997</v>
      </c>
      <c r="F28" s="14">
        <v>31</v>
      </c>
      <c r="G28" s="5">
        <f>SUM(1000*D28, E28)</f>
        <v>14241.672111</v>
      </c>
      <c r="H28" s="5">
        <f>B28</f>
        <v>14.534739999999999</v>
      </c>
      <c r="L28" s="51"/>
    </row>
    <row r="29" spans="1:12">
      <c r="A29" s="49">
        <v>525</v>
      </c>
      <c r="B29" s="2">
        <f>VLOOKUP($A29, 'Enter Team Data Here'!$F:$W, 2, FALSE)</f>
        <v>19.006</v>
      </c>
      <c r="C29" s="35">
        <f>VLOOKUP($A29, 'Enter Team Data Here'!$F:$W, 17, FALSE)</f>
        <v>12</v>
      </c>
      <c r="D29" s="35">
        <f>VLOOKUP($A29, 'Enter Team Data Here'!$F:$W, 18, FALSE)</f>
        <v>14</v>
      </c>
      <c r="E29" s="35">
        <f>VLOOKUP($A29, 'Enter Team Data Here'!$F:$W, 16, FALSE)</f>
        <v>238.60883266666667</v>
      </c>
      <c r="F29" s="14">
        <v>0</v>
      </c>
      <c r="G29" s="5">
        <f>SUM(1000*D29, E29)</f>
        <v>14238.608832666667</v>
      </c>
      <c r="H29" s="5">
        <f>B29</f>
        <v>19.006</v>
      </c>
      <c r="L29" s="51"/>
    </row>
    <row r="30" spans="1:12">
      <c r="A30" s="49">
        <v>3965</v>
      </c>
      <c r="B30" s="2">
        <f>VLOOKUP($A30, 'Enter Team Data Here'!$F:$W, 2, FALSE)</f>
        <v>10.811299999999999</v>
      </c>
      <c r="C30" s="35">
        <f>VLOOKUP($A30, 'Enter Team Data Here'!$F:$W, 17, FALSE)</f>
        <v>12</v>
      </c>
      <c r="D30" s="35">
        <f>VLOOKUP($A30, 'Enter Team Data Here'!$F:$W, 18, FALSE)</f>
        <v>14</v>
      </c>
      <c r="E30" s="35">
        <f>VLOOKUP($A30, 'Enter Team Data Here'!$F:$W, 16, FALSE)</f>
        <v>228.47792433333333</v>
      </c>
      <c r="F30" s="14">
        <v>0</v>
      </c>
      <c r="G30" s="5">
        <f>SUM(1000*D30, E30)</f>
        <v>14228.477924333334</v>
      </c>
      <c r="H30" s="5">
        <f>B30</f>
        <v>10.811299999999999</v>
      </c>
      <c r="L30" s="51"/>
    </row>
    <row r="31" spans="1:12">
      <c r="A31" s="49">
        <v>830</v>
      </c>
      <c r="B31" s="2">
        <f>VLOOKUP($A31, 'Enter Team Data Here'!$F:$W, 2, FALSE)</f>
        <v>12.197706666666667</v>
      </c>
      <c r="C31" s="35">
        <f>VLOOKUP($A31, 'Enter Team Data Here'!$F:$W, 17, FALSE)</f>
        <v>10</v>
      </c>
      <c r="D31" s="35">
        <f>VLOOKUP($A31, 'Enter Team Data Here'!$F:$W, 18, FALSE)</f>
        <v>14</v>
      </c>
      <c r="E31" s="35">
        <f>VLOOKUP($A31, 'Enter Team Data Here'!$F:$W, 16, FALSE)</f>
        <v>213.595416</v>
      </c>
      <c r="F31" s="14">
        <v>0</v>
      </c>
      <c r="G31" s="5">
        <f>SUM(1000*D31, E31)</f>
        <v>14213.595416</v>
      </c>
      <c r="H31" s="5">
        <f>B31</f>
        <v>12.197706666666667</v>
      </c>
      <c r="L31" s="51"/>
    </row>
    <row r="32" spans="1:12">
      <c r="A32" s="49">
        <v>2164</v>
      </c>
      <c r="B32" s="2">
        <f>VLOOKUP($A32, 'Enter Team Data Here'!$F:$W, 2, FALSE)</f>
        <v>5.6618750000000002</v>
      </c>
      <c r="C32" s="35">
        <f>VLOOKUP($A32, 'Enter Team Data Here'!$F:$W, 17, FALSE)</f>
        <v>10</v>
      </c>
      <c r="D32" s="35">
        <f>VLOOKUP($A32, 'Enter Team Data Here'!$F:$W, 18, FALSE)</f>
        <v>14</v>
      </c>
      <c r="E32" s="35">
        <f>VLOOKUP($A32, 'Enter Team Data Here'!$F:$W, 16, FALSE)</f>
        <v>205.825513</v>
      </c>
      <c r="F32" s="14">
        <v>0</v>
      </c>
      <c r="G32" s="5">
        <f>SUM(1000*D32, E32)</f>
        <v>14205.825513</v>
      </c>
      <c r="H32" s="5">
        <f>B32</f>
        <v>5.6618750000000002</v>
      </c>
      <c r="L32" s="51"/>
    </row>
    <row r="33" spans="1:12">
      <c r="A33" s="49">
        <v>4226</v>
      </c>
      <c r="B33" s="2">
        <f>VLOOKUP($A33, 'Enter Team Data Here'!$F:$W, 2, FALSE)</f>
        <v>6.7998200000000004</v>
      </c>
      <c r="C33" s="35">
        <f>VLOOKUP($A33, 'Enter Team Data Here'!$F:$W, 17, FALSE)</f>
        <v>8</v>
      </c>
      <c r="D33" s="35">
        <f>VLOOKUP($A33, 'Enter Team Data Here'!$F:$W, 18, FALSE)</f>
        <v>14</v>
      </c>
      <c r="E33" s="35">
        <f>VLOOKUP($A33, 'Enter Team Data Here'!$F:$W, 16, FALSE)</f>
        <v>205.68066100000001</v>
      </c>
      <c r="F33" s="14">
        <v>0</v>
      </c>
      <c r="G33" s="5">
        <f>SUM(1000*D33, E33)</f>
        <v>14205.680661</v>
      </c>
      <c r="H33" s="5">
        <f>B33</f>
        <v>6.7998200000000004</v>
      </c>
      <c r="L33" s="51"/>
    </row>
    <row r="34" spans="1:12">
      <c r="A34" s="49">
        <v>2626</v>
      </c>
      <c r="B34" s="2">
        <f>VLOOKUP($A34, 'Enter Team Data Here'!$F:$W, 2, FALSE)</f>
        <v>12.815950000000001</v>
      </c>
      <c r="C34" s="35">
        <f>VLOOKUP($A34, 'Enter Team Data Here'!$F:$W, 17, FALSE)</f>
        <v>12</v>
      </c>
      <c r="D34" s="35">
        <f>VLOOKUP($A34, 'Enter Team Data Here'!$F:$W, 18, FALSE)</f>
        <v>14</v>
      </c>
      <c r="E34" s="35">
        <f>VLOOKUP($A34, 'Enter Team Data Here'!$F:$W, 16, FALSE)</f>
        <v>200.67855600000001</v>
      </c>
      <c r="F34" s="14">
        <v>0</v>
      </c>
      <c r="G34" s="5">
        <f>SUM(1000*D34, E34)</f>
        <v>14200.678556000001</v>
      </c>
      <c r="H34" s="5">
        <f>B34</f>
        <v>12.815950000000001</v>
      </c>
      <c r="L34" s="51"/>
    </row>
    <row r="35" spans="1:12">
      <c r="A35" s="49">
        <v>3860</v>
      </c>
      <c r="B35" s="2">
        <f>VLOOKUP($A35, 'Enter Team Data Here'!$F:$W, 2, FALSE)</f>
        <v>0.97</v>
      </c>
      <c r="C35" s="35">
        <f>VLOOKUP($A35, 'Enter Team Data Here'!$F:$W, 17, FALSE)</f>
        <v>10</v>
      </c>
      <c r="D35" s="35">
        <f>VLOOKUP($A35, 'Enter Team Data Here'!$F:$W, 18, FALSE)</f>
        <v>14</v>
      </c>
      <c r="E35" s="35">
        <f>VLOOKUP($A35, 'Enter Team Data Here'!$F:$W, 16, FALSE)</f>
        <v>191.41380499999997</v>
      </c>
      <c r="F35" s="14">
        <v>0</v>
      </c>
      <c r="G35" s="5">
        <f>SUM(1000*D35, E35)</f>
        <v>14191.413805</v>
      </c>
      <c r="H35" s="5">
        <f>B35</f>
        <v>0.97</v>
      </c>
      <c r="L35" s="51"/>
    </row>
    <row r="36" spans="1:12">
      <c r="A36" s="50">
        <v>1678</v>
      </c>
      <c r="B36" s="2">
        <f>VLOOKUP($A36, 'Enter Team Data Here'!$F:$W, 2, FALSE)</f>
        <v>23.245249999999999</v>
      </c>
      <c r="C36" s="35">
        <f>VLOOKUP($A36, 'Enter Team Data Here'!$F:$W, 17, FALSE)</f>
        <v>10</v>
      </c>
      <c r="D36" s="35">
        <f>VLOOKUP($A36, 'Enter Team Data Here'!$F:$W, 18, FALSE)</f>
        <v>12</v>
      </c>
      <c r="E36" s="35">
        <f>VLOOKUP($A36, 'Enter Team Data Here'!$F:$W, 16, FALSE)</f>
        <v>278.35870699999998</v>
      </c>
      <c r="F36" s="14">
        <v>8</v>
      </c>
      <c r="G36" s="5">
        <f>SUM(1000*D36, E36)</f>
        <v>12278.358706999999</v>
      </c>
      <c r="H36" s="5">
        <f>B36</f>
        <v>23.245249999999999</v>
      </c>
      <c r="L36" s="51"/>
    </row>
    <row r="37" spans="1:12">
      <c r="A37" s="49">
        <v>1885</v>
      </c>
      <c r="B37" s="2">
        <f>VLOOKUP($A37, 'Enter Team Data Here'!$F:$W, 2, FALSE)</f>
        <v>11.194700000000001</v>
      </c>
      <c r="C37" s="35">
        <f>VLOOKUP($A37, 'Enter Team Data Here'!$F:$W, 17, FALSE)</f>
        <v>10</v>
      </c>
      <c r="D37" s="35">
        <f>VLOOKUP($A37, 'Enter Team Data Here'!$F:$W, 18, FALSE)</f>
        <v>12</v>
      </c>
      <c r="E37" s="35">
        <f>VLOOKUP($A37, 'Enter Team Data Here'!$F:$W, 16, FALSE)</f>
        <v>263.47782666666672</v>
      </c>
      <c r="F37" s="14">
        <v>0</v>
      </c>
      <c r="G37" s="5">
        <f>SUM(1000*D37, E37)</f>
        <v>12263.477826666667</v>
      </c>
      <c r="H37" s="5">
        <f>B37</f>
        <v>11.194700000000001</v>
      </c>
      <c r="L37" s="51"/>
    </row>
    <row r="38" spans="1:12">
      <c r="A38" s="49">
        <v>694</v>
      </c>
      <c r="B38" s="2">
        <f>VLOOKUP($A38, 'Enter Team Data Here'!$F:$W, 2, FALSE)</f>
        <v>17.172499999999999</v>
      </c>
      <c r="C38" s="35">
        <f>VLOOKUP($A38, 'Enter Team Data Here'!$F:$W, 17, FALSE)</f>
        <v>12</v>
      </c>
      <c r="D38" s="35">
        <f>VLOOKUP($A38, 'Enter Team Data Here'!$F:$W, 18, FALSE)</f>
        <v>12</v>
      </c>
      <c r="E38" s="35">
        <f>VLOOKUP($A38, 'Enter Team Data Here'!$F:$W, 16, FALSE)</f>
        <v>255.42594099999999</v>
      </c>
      <c r="F38" s="14">
        <v>0</v>
      </c>
      <c r="G38" s="5">
        <f>SUM(1000*D38, E38)</f>
        <v>12255.425941</v>
      </c>
      <c r="H38" s="5">
        <f>B38</f>
        <v>17.172499999999999</v>
      </c>
      <c r="L38" s="51"/>
    </row>
    <row r="39" spans="1:12">
      <c r="A39" s="49">
        <v>3940</v>
      </c>
      <c r="B39" s="2">
        <f>VLOOKUP($A39, 'Enter Team Data Here'!$F:$W, 2, FALSE)</f>
        <v>12.370999999999999</v>
      </c>
      <c r="C39" s="35">
        <f>VLOOKUP($A39, 'Enter Team Data Here'!$F:$W, 17, FALSE)</f>
        <v>10</v>
      </c>
      <c r="D39" s="35">
        <f>VLOOKUP($A39, 'Enter Team Data Here'!$F:$W, 18, FALSE)</f>
        <v>12</v>
      </c>
      <c r="E39" s="35">
        <f>VLOOKUP($A39, 'Enter Team Data Here'!$F:$W, 16, FALSE)</f>
        <v>253.68968233333331</v>
      </c>
      <c r="F39" s="14">
        <v>0</v>
      </c>
      <c r="G39" s="5">
        <f>SUM(1000*D39, E39)</f>
        <v>12253.689682333334</v>
      </c>
      <c r="H39" s="5">
        <f>B39</f>
        <v>12.370999999999999</v>
      </c>
      <c r="L39" s="51"/>
    </row>
    <row r="40" spans="1:12">
      <c r="A40" s="49">
        <v>4069</v>
      </c>
      <c r="B40" s="2">
        <f>VLOOKUP($A40, 'Enter Team Data Here'!$F:$W, 2, FALSE)</f>
        <v>13.735700000000001</v>
      </c>
      <c r="C40" s="35">
        <f>VLOOKUP($A40, 'Enter Team Data Here'!$F:$W, 17, FALSE)</f>
        <v>10</v>
      </c>
      <c r="D40" s="35">
        <f>VLOOKUP($A40, 'Enter Team Data Here'!$F:$W, 18, FALSE)</f>
        <v>12</v>
      </c>
      <c r="E40" s="35">
        <f>VLOOKUP($A40, 'Enter Team Data Here'!$F:$W, 16, FALSE)</f>
        <v>252.72985499999999</v>
      </c>
      <c r="F40" s="14">
        <v>0</v>
      </c>
      <c r="G40" s="5">
        <f>SUM(1000*D40, E40)</f>
        <v>12252.729855</v>
      </c>
      <c r="H40" s="5">
        <f>B40</f>
        <v>13.735700000000001</v>
      </c>
      <c r="L40" s="51"/>
    </row>
    <row r="41" spans="1:12">
      <c r="A41" s="49">
        <v>1985</v>
      </c>
      <c r="B41" s="2">
        <f>VLOOKUP($A41, 'Enter Team Data Here'!$F:$W, 2, FALSE)</f>
        <v>18.133500000000002</v>
      </c>
      <c r="C41" s="35">
        <f>VLOOKUP($A41, 'Enter Team Data Here'!$F:$W, 17, FALSE)</f>
        <v>10</v>
      </c>
      <c r="D41" s="35">
        <f>VLOOKUP($A41, 'Enter Team Data Here'!$F:$W, 18, FALSE)</f>
        <v>12</v>
      </c>
      <c r="E41" s="35">
        <f>VLOOKUP($A41, 'Enter Team Data Here'!$F:$W, 16, FALSE)</f>
        <v>250.40420500000002</v>
      </c>
      <c r="F41" s="14">
        <v>0</v>
      </c>
      <c r="G41" s="5">
        <f>SUM(1000*D41, E41)</f>
        <v>12250.404205000001</v>
      </c>
      <c r="H41" s="5">
        <f>B41</f>
        <v>18.133500000000002</v>
      </c>
      <c r="L41" s="51"/>
    </row>
    <row r="42" spans="1:12">
      <c r="A42" s="49">
        <v>1690</v>
      </c>
      <c r="B42" s="2">
        <f>VLOOKUP($A42, 'Enter Team Data Here'!$F:$W, 2, FALSE)</f>
        <v>13.4712</v>
      </c>
      <c r="C42" s="35">
        <f>VLOOKUP($A42, 'Enter Team Data Here'!$F:$W, 17, FALSE)</f>
        <v>10</v>
      </c>
      <c r="D42" s="35">
        <f>VLOOKUP($A42, 'Enter Team Data Here'!$F:$W, 18, FALSE)</f>
        <v>12</v>
      </c>
      <c r="E42" s="35">
        <f>VLOOKUP($A42, 'Enter Team Data Here'!$F:$W, 16, FALSE)</f>
        <v>245.85360933333334</v>
      </c>
      <c r="F42" s="14">
        <v>0</v>
      </c>
      <c r="G42" s="5">
        <f>SUM(1000*D42, E42)</f>
        <v>12245.853609333333</v>
      </c>
      <c r="H42" s="5">
        <f>B42</f>
        <v>13.4712</v>
      </c>
      <c r="L42" s="51"/>
    </row>
    <row r="43" spans="1:12">
      <c r="A43" s="49">
        <v>537</v>
      </c>
      <c r="B43" s="2">
        <f>VLOOKUP($A43, 'Enter Team Data Here'!$F:$W, 2, FALSE)</f>
        <v>11.5657</v>
      </c>
      <c r="C43" s="35">
        <f>VLOOKUP($A43, 'Enter Team Data Here'!$F:$W, 17, FALSE)</f>
        <v>12</v>
      </c>
      <c r="D43" s="35">
        <f>VLOOKUP($A43, 'Enter Team Data Here'!$F:$W, 18, FALSE)</f>
        <v>12</v>
      </c>
      <c r="E43" s="35">
        <f>VLOOKUP($A43, 'Enter Team Data Here'!$F:$W, 16, FALSE)</f>
        <v>245.502681</v>
      </c>
      <c r="F43" s="14">
        <v>0</v>
      </c>
      <c r="G43" s="5">
        <f>SUM(1000*D43, E43)</f>
        <v>12245.502681</v>
      </c>
      <c r="H43" s="5">
        <f>B43</f>
        <v>11.5657</v>
      </c>
      <c r="L43" s="51"/>
    </row>
    <row r="44" spans="1:12">
      <c r="A44" s="49">
        <v>4130</v>
      </c>
      <c r="B44" s="2">
        <f>VLOOKUP($A44, 'Enter Team Data Here'!$F:$W, 2, FALSE)</f>
        <v>4.5705999999999998</v>
      </c>
      <c r="C44" s="35">
        <f>VLOOKUP($A44, 'Enter Team Data Here'!$F:$W, 17, FALSE)</f>
        <v>8</v>
      </c>
      <c r="D44" s="35">
        <f>VLOOKUP($A44, 'Enter Team Data Here'!$F:$W, 18, FALSE)</f>
        <v>12</v>
      </c>
      <c r="E44" s="35">
        <f>VLOOKUP($A44, 'Enter Team Data Here'!$F:$W, 16, FALSE)</f>
        <v>242.81746000000001</v>
      </c>
      <c r="F44" s="14">
        <v>0</v>
      </c>
      <c r="G44" s="5">
        <f>SUM(1000*D44, E44)</f>
        <v>12242.81746</v>
      </c>
      <c r="H44" s="5">
        <f>B44</f>
        <v>4.5705999999999998</v>
      </c>
      <c r="L44" s="51"/>
    </row>
    <row r="45" spans="1:12">
      <c r="A45" s="49">
        <v>192</v>
      </c>
      <c r="B45" s="2">
        <f>VLOOKUP($A45, 'Enter Team Data Here'!$F:$W, 2, FALSE)</f>
        <v>12.69613</v>
      </c>
      <c r="C45" s="35">
        <f>VLOOKUP($A45, 'Enter Team Data Here'!$F:$W, 17, FALSE)</f>
        <v>8</v>
      </c>
      <c r="D45" s="35">
        <f>VLOOKUP($A45, 'Enter Team Data Here'!$F:$W, 18, FALSE)</f>
        <v>12</v>
      </c>
      <c r="E45" s="35">
        <f>VLOOKUP($A45, 'Enter Team Data Here'!$F:$W, 16, FALSE)</f>
        <v>227.17238633333335</v>
      </c>
      <c r="F45" s="14">
        <v>0</v>
      </c>
      <c r="G45" s="5">
        <f>SUM(1000*D45, E45)</f>
        <v>12227.172386333334</v>
      </c>
      <c r="H45" s="5">
        <f>B45</f>
        <v>12.69613</v>
      </c>
      <c r="L45" s="51"/>
    </row>
    <row r="46" spans="1:12">
      <c r="A46" s="49">
        <v>279</v>
      </c>
      <c r="B46" s="2">
        <f>VLOOKUP($A46, 'Enter Team Data Here'!$F:$W, 2, FALSE)</f>
        <v>9.4822000000000006</v>
      </c>
      <c r="C46" s="35">
        <f>VLOOKUP($A46, 'Enter Team Data Here'!$F:$W, 17, FALSE)</f>
        <v>8</v>
      </c>
      <c r="D46" s="35">
        <f>VLOOKUP($A46, 'Enter Team Data Here'!$F:$W, 18, FALSE)</f>
        <v>12</v>
      </c>
      <c r="E46" s="35">
        <f>VLOOKUP($A46, 'Enter Team Data Here'!$F:$W, 16, FALSE)</f>
        <v>214.09538100000003</v>
      </c>
      <c r="F46" s="14">
        <v>0</v>
      </c>
      <c r="G46" s="5">
        <f>SUM(1000*D46, E46)</f>
        <v>12214.095380999999</v>
      </c>
      <c r="H46" s="5">
        <f>B46</f>
        <v>9.4822000000000006</v>
      </c>
      <c r="L46" s="51"/>
    </row>
    <row r="47" spans="1:12">
      <c r="A47" s="49">
        <v>2500</v>
      </c>
      <c r="B47" s="2">
        <f>VLOOKUP($A47, 'Enter Team Data Here'!$F:$W, 2, FALSE)</f>
        <v>1.3499849999999998</v>
      </c>
      <c r="C47" s="35">
        <f>VLOOKUP($A47, 'Enter Team Data Here'!$F:$W, 17, FALSE)</f>
        <v>6</v>
      </c>
      <c r="D47" s="35">
        <f>VLOOKUP($A47, 'Enter Team Data Here'!$F:$W, 18, FALSE)</f>
        <v>12</v>
      </c>
      <c r="E47" s="35">
        <f>VLOOKUP($A47, 'Enter Team Data Here'!$F:$W, 16, FALSE)</f>
        <v>204.47438</v>
      </c>
      <c r="F47" s="14">
        <v>0</v>
      </c>
      <c r="G47" s="5">
        <f>SUM(1000*D47, E47)</f>
        <v>12204.47438</v>
      </c>
      <c r="H47" s="5">
        <f>B47</f>
        <v>1.3499849999999998</v>
      </c>
      <c r="L47" s="51"/>
    </row>
    <row r="48" spans="1:12">
      <c r="A48" s="49">
        <v>1828</v>
      </c>
      <c r="B48" s="2">
        <f>VLOOKUP($A48, 'Enter Team Data Here'!$F:$W, 2, FALSE)</f>
        <v>9.7578800000000001</v>
      </c>
      <c r="C48" s="35">
        <f>VLOOKUP($A48, 'Enter Team Data Here'!$F:$W, 17, FALSE)</f>
        <v>10</v>
      </c>
      <c r="D48" s="35">
        <f>VLOOKUP($A48, 'Enter Team Data Here'!$F:$W, 18, FALSE)</f>
        <v>12</v>
      </c>
      <c r="E48" s="35">
        <f>VLOOKUP($A48, 'Enter Team Data Here'!$F:$W, 16, FALSE)</f>
        <v>195.29489000000001</v>
      </c>
      <c r="F48" s="14">
        <v>0</v>
      </c>
      <c r="G48" s="5">
        <f>SUM(1000*D48, E48)</f>
        <v>12195.294889999999</v>
      </c>
      <c r="H48" s="5">
        <f>B48</f>
        <v>9.7578800000000001</v>
      </c>
      <c r="L48" s="51"/>
    </row>
    <row r="49" spans="1:12">
      <c r="A49" s="49">
        <v>2130</v>
      </c>
      <c r="B49" s="2">
        <f>VLOOKUP($A49, 'Enter Team Data Here'!$F:$W, 2, FALSE)</f>
        <v>7.1320699999999997</v>
      </c>
      <c r="C49" s="35">
        <f>VLOOKUP($A49, 'Enter Team Data Here'!$F:$W, 17, FALSE)</f>
        <v>10</v>
      </c>
      <c r="D49" s="35">
        <f>VLOOKUP($A49, 'Enter Team Data Here'!$F:$W, 18, FALSE)</f>
        <v>12</v>
      </c>
      <c r="E49" s="35">
        <f>VLOOKUP($A49, 'Enter Team Data Here'!$F:$W, 16, FALSE)</f>
        <v>192.02667600000001</v>
      </c>
      <c r="F49" s="14">
        <v>0</v>
      </c>
      <c r="G49" s="5">
        <f>SUM(1000*D49, E49)</f>
        <v>12192.026675999999</v>
      </c>
      <c r="H49" s="5">
        <f>B49</f>
        <v>7.1320699999999997</v>
      </c>
      <c r="L49" s="51"/>
    </row>
    <row r="50" spans="1:12">
      <c r="A50" s="49">
        <v>4203</v>
      </c>
      <c r="B50" s="2">
        <f>VLOOKUP($A50, 'Enter Team Data Here'!$F:$W, 2, FALSE)</f>
        <v>1.99718</v>
      </c>
      <c r="C50" s="35">
        <f>VLOOKUP($A50, 'Enter Team Data Here'!$F:$W, 17, FALSE)</f>
        <v>8</v>
      </c>
      <c r="D50" s="35">
        <f>VLOOKUP($A50, 'Enter Team Data Here'!$F:$W, 18, FALSE)</f>
        <v>12</v>
      </c>
      <c r="E50" s="35">
        <f>VLOOKUP($A50, 'Enter Team Data Here'!$F:$W, 16, FALSE)</f>
        <v>188.92737433333335</v>
      </c>
      <c r="F50" s="14">
        <v>0</v>
      </c>
      <c r="G50" s="5">
        <f>SUM(1000*D50, E50)</f>
        <v>12188.927374333334</v>
      </c>
      <c r="H50" s="5">
        <f>B50</f>
        <v>1.99718</v>
      </c>
      <c r="L50" s="51"/>
    </row>
    <row r="51" spans="1:12">
      <c r="A51" s="49">
        <v>2180</v>
      </c>
      <c r="B51" s="2">
        <f>VLOOKUP($A51, 'Enter Team Data Here'!$F:$W, 2, FALSE)</f>
        <v>16.374300000000002</v>
      </c>
      <c r="C51" s="35">
        <f>VLOOKUP($A51, 'Enter Team Data Here'!$F:$W, 17, FALSE)</f>
        <v>10</v>
      </c>
      <c r="D51" s="35">
        <f>VLOOKUP($A51, 'Enter Team Data Here'!$F:$W, 18, FALSE)</f>
        <v>10</v>
      </c>
      <c r="E51" s="35">
        <f>VLOOKUP($A51, 'Enter Team Data Here'!$F:$W, 16, FALSE)</f>
        <v>281.97369500000002</v>
      </c>
      <c r="F51" s="14">
        <v>0</v>
      </c>
      <c r="G51" s="5">
        <f>SUM(1000*D51, E51)</f>
        <v>10281.973695000001</v>
      </c>
      <c r="H51" s="5">
        <f>B51</f>
        <v>16.374300000000002</v>
      </c>
      <c r="L51" s="51"/>
    </row>
    <row r="52" spans="1:12">
      <c r="A52" s="49">
        <v>1319</v>
      </c>
      <c r="B52" s="2">
        <f>VLOOKUP($A52, 'Enter Team Data Here'!$F:$W, 2, FALSE)</f>
        <v>7.0468233333333323</v>
      </c>
      <c r="C52" s="35">
        <f>VLOOKUP($A52, 'Enter Team Data Here'!$F:$W, 17, FALSE)</f>
        <v>8</v>
      </c>
      <c r="D52" s="35">
        <f>VLOOKUP($A52, 'Enter Team Data Here'!$F:$W, 18, FALSE)</f>
        <v>10</v>
      </c>
      <c r="E52" s="35">
        <f>VLOOKUP($A52, 'Enter Team Data Here'!$F:$W, 16, FALSE)</f>
        <v>247.46042</v>
      </c>
      <c r="F52" s="14">
        <v>0</v>
      </c>
      <c r="G52" s="5">
        <f>SUM(1000*D52, E52)</f>
        <v>10247.460419999999</v>
      </c>
      <c r="H52" s="5">
        <f>B52</f>
        <v>7.0468233333333323</v>
      </c>
      <c r="L52" s="51"/>
    </row>
    <row r="53" spans="1:12">
      <c r="A53" s="49">
        <v>2881</v>
      </c>
      <c r="B53" s="2">
        <f>VLOOKUP($A53, 'Enter Team Data Here'!$F:$W, 2, FALSE)</f>
        <v>11.954800000000001</v>
      </c>
      <c r="C53" s="35">
        <f>VLOOKUP($A53, 'Enter Team Data Here'!$F:$W, 17, FALSE)</f>
        <v>8</v>
      </c>
      <c r="D53" s="35">
        <f>VLOOKUP($A53, 'Enter Team Data Here'!$F:$W, 18, FALSE)</f>
        <v>10</v>
      </c>
      <c r="E53" s="35">
        <f>VLOOKUP($A53, 'Enter Team Data Here'!$F:$W, 16, FALSE)</f>
        <v>245.53715433333332</v>
      </c>
      <c r="F53" s="14">
        <v>0</v>
      </c>
      <c r="G53" s="5">
        <f>SUM(1000*D53, E53)</f>
        <v>10245.537154333333</v>
      </c>
      <c r="H53" s="5">
        <f>B53</f>
        <v>11.954800000000001</v>
      </c>
      <c r="L53" s="51"/>
    </row>
    <row r="54" spans="1:12">
      <c r="A54" s="49">
        <v>3929</v>
      </c>
      <c r="B54" s="2">
        <f>VLOOKUP($A54, 'Enter Team Data Here'!$F:$W, 2, FALSE)</f>
        <v>12.6012</v>
      </c>
      <c r="C54" s="35">
        <f>VLOOKUP($A54, 'Enter Team Data Here'!$F:$W, 17, FALSE)</f>
        <v>8</v>
      </c>
      <c r="D54" s="35">
        <f>VLOOKUP($A54, 'Enter Team Data Here'!$F:$W, 18, FALSE)</f>
        <v>10</v>
      </c>
      <c r="E54" s="35">
        <f>VLOOKUP($A54, 'Enter Team Data Here'!$F:$W, 16, FALSE)</f>
        <v>244.59106099999997</v>
      </c>
      <c r="F54" s="14">
        <v>0</v>
      </c>
      <c r="G54" s="5">
        <f>SUM(1000*D54, E54)</f>
        <v>10244.591060999999</v>
      </c>
      <c r="H54" s="5">
        <f>B54</f>
        <v>12.6012</v>
      </c>
      <c r="L54" s="51"/>
    </row>
    <row r="55" spans="1:12">
      <c r="A55" s="49">
        <v>1143</v>
      </c>
      <c r="B55" s="2">
        <f>VLOOKUP($A55, 'Enter Team Data Here'!$F:$W, 2, FALSE)</f>
        <v>8.51098</v>
      </c>
      <c r="C55" s="35">
        <f>VLOOKUP($A55, 'Enter Team Data Here'!$F:$W, 17, FALSE)</f>
        <v>6</v>
      </c>
      <c r="D55" s="35">
        <f>VLOOKUP($A55, 'Enter Team Data Here'!$F:$W, 18, FALSE)</f>
        <v>10</v>
      </c>
      <c r="E55" s="35">
        <f>VLOOKUP($A55, 'Enter Team Data Here'!$F:$W, 16, FALSE)</f>
        <v>243.89849099999998</v>
      </c>
      <c r="F55" s="14">
        <v>4</v>
      </c>
      <c r="G55" s="5">
        <f>SUM(1000*D55, E55)</f>
        <v>10243.898491</v>
      </c>
      <c r="H55" s="5">
        <f>B55</f>
        <v>8.51098</v>
      </c>
      <c r="L55" s="51"/>
    </row>
    <row r="56" spans="1:12">
      <c r="A56" s="49">
        <v>1391</v>
      </c>
      <c r="B56" s="2">
        <f>VLOOKUP($A56, 'Enter Team Data Here'!$F:$W, 2, FALSE)</f>
        <v>9.5470500000000005</v>
      </c>
      <c r="C56" s="35">
        <f>VLOOKUP($A56, 'Enter Team Data Here'!$F:$W, 17, FALSE)</f>
        <v>8</v>
      </c>
      <c r="D56" s="35">
        <f>VLOOKUP($A56, 'Enter Team Data Here'!$F:$W, 18, FALSE)</f>
        <v>10</v>
      </c>
      <c r="E56" s="35">
        <f>VLOOKUP($A56, 'Enter Team Data Here'!$F:$W, 16, FALSE)</f>
        <v>240.39263933333336</v>
      </c>
      <c r="F56" s="14">
        <v>0</v>
      </c>
      <c r="G56" s="5">
        <f>SUM(1000*D56, E56)</f>
        <v>10240.392639333333</v>
      </c>
      <c r="H56" s="5">
        <f>B56</f>
        <v>9.5470500000000005</v>
      </c>
      <c r="L56" s="51"/>
    </row>
    <row r="57" spans="1:12">
      <c r="A57" s="49">
        <v>3951</v>
      </c>
      <c r="B57" s="2">
        <f>VLOOKUP($A57, 'Enter Team Data Here'!$F:$W, 2, FALSE)</f>
        <v>9.5180500000000006</v>
      </c>
      <c r="C57" s="35">
        <f>VLOOKUP($A57, 'Enter Team Data Here'!$F:$W, 17, FALSE)</f>
        <v>10</v>
      </c>
      <c r="D57" s="35">
        <f>VLOOKUP($A57, 'Enter Team Data Here'!$F:$W, 18, FALSE)</f>
        <v>10</v>
      </c>
      <c r="E57" s="35">
        <f>VLOOKUP($A57, 'Enter Team Data Here'!$F:$W, 16, FALSE)</f>
        <v>236.82804899999999</v>
      </c>
      <c r="F57" s="14">
        <v>0</v>
      </c>
      <c r="G57" s="5">
        <f>SUM(1000*D57, E57)</f>
        <v>10236.828049</v>
      </c>
      <c r="H57" s="5">
        <f>B57</f>
        <v>9.5180500000000006</v>
      </c>
      <c r="L57" s="51"/>
    </row>
    <row r="58" spans="1:12">
      <c r="A58" s="49">
        <v>1741</v>
      </c>
      <c r="B58" s="2">
        <f>VLOOKUP($A58, 'Enter Team Data Here'!$F:$W, 2, FALSE)</f>
        <v>12.09299</v>
      </c>
      <c r="C58" s="35">
        <f>VLOOKUP($A58, 'Enter Team Data Here'!$F:$W, 17, FALSE)</f>
        <v>10</v>
      </c>
      <c r="D58" s="35">
        <f>VLOOKUP($A58, 'Enter Team Data Here'!$F:$W, 18, FALSE)</f>
        <v>10</v>
      </c>
      <c r="E58" s="35">
        <f>VLOOKUP($A58, 'Enter Team Data Here'!$F:$W, 16, FALSE)</f>
        <v>236.5736793333333</v>
      </c>
      <c r="F58" s="14">
        <v>0</v>
      </c>
      <c r="G58" s="5">
        <f>SUM(1000*D58, E58)</f>
        <v>10236.573679333333</v>
      </c>
      <c r="H58" s="5">
        <f>B58</f>
        <v>12.09299</v>
      </c>
      <c r="L58" s="51"/>
    </row>
    <row r="59" spans="1:12">
      <c r="A59" s="49">
        <v>116</v>
      </c>
      <c r="B59" s="2">
        <f>VLOOKUP($A59, 'Enter Team Data Here'!$F:$W, 2, FALSE)</f>
        <v>10.633699999999999</v>
      </c>
      <c r="C59" s="35">
        <f>VLOOKUP($A59, 'Enter Team Data Here'!$F:$W, 17, FALSE)</f>
        <v>8</v>
      </c>
      <c r="D59" s="35">
        <f>VLOOKUP($A59, 'Enter Team Data Here'!$F:$W, 18, FALSE)</f>
        <v>10</v>
      </c>
      <c r="E59" s="35">
        <f>VLOOKUP($A59, 'Enter Team Data Here'!$F:$W, 16, FALSE)</f>
        <v>230.87653999999998</v>
      </c>
      <c r="F59" s="14">
        <v>0</v>
      </c>
      <c r="G59" s="5">
        <f>SUM(1000*D59, E59)</f>
        <v>10230.876539999999</v>
      </c>
      <c r="H59" s="5">
        <f>B59</f>
        <v>10.633699999999999</v>
      </c>
      <c r="L59" s="51"/>
    </row>
    <row r="60" spans="1:12">
      <c r="A60" s="49">
        <v>2522</v>
      </c>
      <c r="B60" s="2">
        <f>VLOOKUP($A60, 'Enter Team Data Here'!$F:$W, 2, FALSE)</f>
        <v>11.38795</v>
      </c>
      <c r="C60" s="35">
        <f>VLOOKUP($A60, 'Enter Team Data Here'!$F:$W, 17, FALSE)</f>
        <v>10</v>
      </c>
      <c r="D60" s="35">
        <f>VLOOKUP($A60, 'Enter Team Data Here'!$F:$W, 18, FALSE)</f>
        <v>10</v>
      </c>
      <c r="E60" s="35">
        <f>VLOOKUP($A60, 'Enter Team Data Here'!$F:$W, 16, FALSE)</f>
        <v>229.12190933333332</v>
      </c>
      <c r="F60" s="14">
        <v>0</v>
      </c>
      <c r="G60" s="5">
        <f>SUM(1000*D60, E60)</f>
        <v>10229.121909333333</v>
      </c>
      <c r="H60" s="5">
        <f>B60</f>
        <v>11.38795</v>
      </c>
      <c r="L60" s="51"/>
    </row>
    <row r="61" spans="1:12">
      <c r="A61" s="49">
        <v>597</v>
      </c>
      <c r="B61" s="2">
        <f>VLOOKUP($A61, 'Enter Team Data Here'!$F:$W, 2, FALSE)</f>
        <v>6.9296299999999995</v>
      </c>
      <c r="C61" s="35">
        <f>VLOOKUP($A61, 'Enter Team Data Here'!$F:$W, 17, FALSE)</f>
        <v>6</v>
      </c>
      <c r="D61" s="35">
        <f>VLOOKUP($A61, 'Enter Team Data Here'!$F:$W, 18, FALSE)</f>
        <v>10</v>
      </c>
      <c r="E61" s="35">
        <f>VLOOKUP($A61, 'Enter Team Data Here'!$F:$W, 16, FALSE)</f>
        <v>228.675656</v>
      </c>
      <c r="F61" s="14">
        <v>0</v>
      </c>
      <c r="G61" s="5">
        <f>SUM(1000*D61, E61)</f>
        <v>10228.675655999999</v>
      </c>
      <c r="H61" s="5">
        <f>B61</f>
        <v>6.9296299999999995</v>
      </c>
      <c r="L61" s="51"/>
    </row>
    <row r="62" spans="1:12">
      <c r="A62" s="49">
        <v>85</v>
      </c>
      <c r="B62" s="2">
        <f>VLOOKUP($A62, 'Enter Team Data Here'!$F:$W, 2, FALSE)</f>
        <v>13.472659999999999</v>
      </c>
      <c r="C62" s="35">
        <f>VLOOKUP($A62, 'Enter Team Data Here'!$F:$W, 17, FALSE)</f>
        <v>8</v>
      </c>
      <c r="D62" s="35">
        <f>VLOOKUP($A62, 'Enter Team Data Here'!$F:$W, 18, FALSE)</f>
        <v>10</v>
      </c>
      <c r="E62" s="35">
        <f>VLOOKUP($A62, 'Enter Team Data Here'!$F:$W, 16, FALSE)</f>
        <v>224.16065933333331</v>
      </c>
      <c r="F62" s="14">
        <v>0</v>
      </c>
      <c r="G62" s="5">
        <f>SUM(1000*D62, E62)</f>
        <v>10224.160659333333</v>
      </c>
      <c r="H62" s="5">
        <f>B62</f>
        <v>13.472659999999999</v>
      </c>
      <c r="L62" s="51"/>
    </row>
    <row r="63" spans="1:12">
      <c r="A63" s="49">
        <v>503</v>
      </c>
      <c r="B63" s="2">
        <f>VLOOKUP($A63, 'Enter Team Data Here'!$F:$W, 2, FALSE)</f>
        <v>9.9075300000000013</v>
      </c>
      <c r="C63" s="35">
        <f>VLOOKUP($A63, 'Enter Team Data Here'!$F:$W, 17, FALSE)</f>
        <v>8</v>
      </c>
      <c r="D63" s="35">
        <f>VLOOKUP($A63, 'Enter Team Data Here'!$F:$W, 18, FALSE)</f>
        <v>10</v>
      </c>
      <c r="E63" s="35">
        <f>VLOOKUP($A63, 'Enter Team Data Here'!$F:$W, 16, FALSE)</f>
        <v>216.79318600000002</v>
      </c>
      <c r="F63" s="14">
        <v>0</v>
      </c>
      <c r="G63" s="5">
        <f>SUM(1000*D63, E63)</f>
        <v>10216.793186000001</v>
      </c>
      <c r="H63" s="5">
        <f>B63</f>
        <v>9.9075300000000013</v>
      </c>
      <c r="L63" s="51"/>
    </row>
    <row r="64" spans="1:12">
      <c r="A64" s="49">
        <v>3115</v>
      </c>
      <c r="B64" s="2">
        <f>VLOOKUP($A64, 'Enter Team Data Here'!$F:$W, 2, FALSE)</f>
        <v>1.3108610000000001</v>
      </c>
      <c r="C64" s="35">
        <f>VLOOKUP($A64, 'Enter Team Data Here'!$F:$W, 17, FALSE)</f>
        <v>8</v>
      </c>
      <c r="D64" s="35">
        <f>VLOOKUP($A64, 'Enter Team Data Here'!$F:$W, 18, FALSE)</f>
        <v>10</v>
      </c>
      <c r="E64" s="35">
        <f>VLOOKUP($A64, 'Enter Team Data Here'!$F:$W, 16, FALSE)</f>
        <v>213.64097799999999</v>
      </c>
      <c r="F64" s="14">
        <v>0</v>
      </c>
      <c r="G64" s="5">
        <f>SUM(1000*D64, E64)</f>
        <v>10213.640977999999</v>
      </c>
      <c r="H64" s="5">
        <f>B64</f>
        <v>1.3108610000000001</v>
      </c>
      <c r="L64" s="51"/>
    </row>
    <row r="65" spans="1:12">
      <c r="A65" s="49">
        <v>3132</v>
      </c>
      <c r="B65" s="2">
        <f>VLOOKUP($A65, 'Enter Team Data Here'!$F:$W, 2, FALSE)</f>
        <v>3.37147</v>
      </c>
      <c r="C65" s="35">
        <f>VLOOKUP($A65, 'Enter Team Data Here'!$F:$W, 17, FALSE)</f>
        <v>8</v>
      </c>
      <c r="D65" s="35">
        <f>VLOOKUP($A65, 'Enter Team Data Here'!$F:$W, 18, FALSE)</f>
        <v>10</v>
      </c>
      <c r="E65" s="35">
        <f>VLOOKUP($A65, 'Enter Team Data Here'!$F:$W, 16, FALSE)</f>
        <v>213.23447266666668</v>
      </c>
      <c r="F65" s="14">
        <v>31</v>
      </c>
      <c r="G65" s="5">
        <f>SUM(1000*D65, E65)</f>
        <v>10213.234472666667</v>
      </c>
      <c r="H65" s="5">
        <f>B65</f>
        <v>3.37147</v>
      </c>
      <c r="L65" s="51"/>
    </row>
    <row r="66" spans="1:12">
      <c r="A66" s="49">
        <v>461</v>
      </c>
      <c r="B66" s="2">
        <f>VLOOKUP($A66, 'Enter Team Data Here'!$F:$W, 2, FALSE)</f>
        <v>11.701799999999999</v>
      </c>
      <c r="C66" s="35">
        <f>VLOOKUP($A66, 'Enter Team Data Here'!$F:$W, 17, FALSE)</f>
        <v>10</v>
      </c>
      <c r="D66" s="35">
        <f>VLOOKUP($A66, 'Enter Team Data Here'!$F:$W, 18, FALSE)</f>
        <v>10</v>
      </c>
      <c r="E66" s="35">
        <f>VLOOKUP($A66, 'Enter Team Data Here'!$F:$W, 16, FALSE)</f>
        <v>212.31782266666664</v>
      </c>
      <c r="F66" s="14">
        <v>6</v>
      </c>
      <c r="G66" s="5">
        <f>SUM(1000*D66, E66)</f>
        <v>10212.317822666666</v>
      </c>
      <c r="H66" s="5">
        <f>B66</f>
        <v>11.701799999999999</v>
      </c>
      <c r="L66" s="51"/>
    </row>
    <row r="67" spans="1:12">
      <c r="A67" s="50">
        <v>1817</v>
      </c>
      <c r="B67" s="2">
        <f>VLOOKUP($A67, 'Enter Team Data Here'!$F:$W, 2, FALSE)</f>
        <v>5.1870000000000003</v>
      </c>
      <c r="C67" s="35">
        <f>VLOOKUP($A67, 'Enter Team Data Here'!$F:$W, 17, FALSE)</f>
        <v>6</v>
      </c>
      <c r="D67" s="35">
        <f>VLOOKUP($A67, 'Enter Team Data Here'!$F:$W, 18, FALSE)</f>
        <v>10</v>
      </c>
      <c r="E67" s="35">
        <f>VLOOKUP($A67, 'Enter Team Data Here'!$F:$W, 16, FALSE)</f>
        <v>209.64449500000001</v>
      </c>
      <c r="F67" s="14">
        <v>9</v>
      </c>
      <c r="G67" s="5">
        <f>SUM(1000*D67, E67)</f>
        <v>10209.644495</v>
      </c>
      <c r="H67" s="5">
        <f>B67</f>
        <v>5.1870000000000003</v>
      </c>
      <c r="L67" s="51"/>
    </row>
    <row r="68" spans="1:12">
      <c r="A68" s="49">
        <v>564</v>
      </c>
      <c r="B68" s="2">
        <f>VLOOKUP($A68, 'Enter Team Data Here'!$F:$W, 2, FALSE)</f>
        <v>4.0892799999999996</v>
      </c>
      <c r="C68" s="35">
        <f>VLOOKUP($A68, 'Enter Team Data Here'!$F:$W, 17, FALSE)</f>
        <v>8</v>
      </c>
      <c r="D68" s="35">
        <f>VLOOKUP($A68, 'Enter Team Data Here'!$F:$W, 18, FALSE)</f>
        <v>10</v>
      </c>
      <c r="E68" s="35">
        <f>VLOOKUP($A68, 'Enter Team Data Here'!$F:$W, 16, FALSE)</f>
        <v>207.79427999999999</v>
      </c>
      <c r="F68" s="14">
        <v>0</v>
      </c>
      <c r="G68" s="5">
        <f>SUM(1000*D68, E68)</f>
        <v>10207.79428</v>
      </c>
      <c r="H68" s="5">
        <f>B68</f>
        <v>4.0892799999999996</v>
      </c>
      <c r="L68" s="51"/>
    </row>
    <row r="69" spans="1:12">
      <c r="A69" s="49">
        <v>3880</v>
      </c>
      <c r="B69" s="2">
        <f>VLOOKUP($A69, 'Enter Team Data Here'!$F:$W, 2, FALSE)</f>
        <v>10.0093</v>
      </c>
      <c r="C69" s="35">
        <f>VLOOKUP($A69, 'Enter Team Data Here'!$F:$W, 17, FALSE)</f>
        <v>8</v>
      </c>
      <c r="D69" s="35">
        <f>VLOOKUP($A69, 'Enter Team Data Here'!$F:$W, 18, FALSE)</f>
        <v>10</v>
      </c>
      <c r="E69" s="35">
        <f>VLOOKUP($A69, 'Enter Team Data Here'!$F:$W, 16, FALSE)</f>
        <v>206.809282</v>
      </c>
      <c r="F69" s="14">
        <v>0</v>
      </c>
      <c r="G69" s="5">
        <f>SUM(1000*D69, E69)</f>
        <v>10206.809282</v>
      </c>
      <c r="H69" s="5">
        <f>B69</f>
        <v>10.0093</v>
      </c>
      <c r="L69" s="51"/>
    </row>
    <row r="70" spans="1:12">
      <c r="A70" s="49">
        <v>604</v>
      </c>
      <c r="B70" s="2">
        <f>VLOOKUP($A70, 'Enter Team Data Here'!$F:$W, 2, FALSE)</f>
        <v>10.151785</v>
      </c>
      <c r="C70" s="35">
        <f>VLOOKUP($A70, 'Enter Team Data Here'!$F:$W, 17, FALSE)</f>
        <v>8</v>
      </c>
      <c r="D70" s="35">
        <f>VLOOKUP($A70, 'Enter Team Data Here'!$F:$W, 18, FALSE)</f>
        <v>10</v>
      </c>
      <c r="E70" s="35">
        <f>VLOOKUP($A70, 'Enter Team Data Here'!$F:$W, 16, FALSE)</f>
        <v>199.424779</v>
      </c>
      <c r="F70" s="14">
        <v>0</v>
      </c>
      <c r="G70" s="5">
        <f>SUM(1000*D70, E70)</f>
        <v>10199.424779000001</v>
      </c>
      <c r="H70" s="5">
        <f>B70</f>
        <v>10.151785</v>
      </c>
      <c r="L70" s="51"/>
    </row>
    <row r="71" spans="1:12">
      <c r="A71" s="49">
        <v>4161</v>
      </c>
      <c r="B71" s="2">
        <f>VLOOKUP($A71, 'Enter Team Data Here'!$F:$W, 2, FALSE)</f>
        <v>10.110200000000001</v>
      </c>
      <c r="C71" s="35">
        <f>VLOOKUP($A71, 'Enter Team Data Here'!$F:$W, 17, FALSE)</f>
        <v>8</v>
      </c>
      <c r="D71" s="35">
        <f>VLOOKUP($A71, 'Enter Team Data Here'!$F:$W, 18, FALSE)</f>
        <v>10</v>
      </c>
      <c r="E71" s="35">
        <f>VLOOKUP($A71, 'Enter Team Data Here'!$F:$W, 16, FALSE)</f>
        <v>198.17478499999999</v>
      </c>
      <c r="F71" s="14">
        <v>0</v>
      </c>
      <c r="G71" s="5">
        <f>SUM(1000*D71, E71)</f>
        <v>10198.174784999999</v>
      </c>
      <c r="H71" s="5">
        <f>B71</f>
        <v>10.110200000000001</v>
      </c>
      <c r="L71" s="51"/>
    </row>
    <row r="72" spans="1:12">
      <c r="A72" s="49">
        <v>3941</v>
      </c>
      <c r="B72" s="2">
        <f>VLOOKUP($A72, 'Enter Team Data Here'!$F:$W, 2, FALSE)</f>
        <v>3.31</v>
      </c>
      <c r="C72" s="35">
        <f>VLOOKUP($A72, 'Enter Team Data Here'!$F:$W, 17, FALSE)</f>
        <v>6</v>
      </c>
      <c r="D72" s="35">
        <f>VLOOKUP($A72, 'Enter Team Data Here'!$F:$W, 18, FALSE)</f>
        <v>10</v>
      </c>
      <c r="E72" s="35">
        <f>VLOOKUP($A72, 'Enter Team Data Here'!$F:$W, 16, FALSE)</f>
        <v>189.63593133333333</v>
      </c>
      <c r="F72" s="14">
        <v>0</v>
      </c>
      <c r="G72" s="5">
        <f>SUM(1000*D72, E72)</f>
        <v>10189.635931333334</v>
      </c>
      <c r="H72" s="5">
        <f>B72</f>
        <v>3.31</v>
      </c>
      <c r="L72" s="51"/>
    </row>
    <row r="73" spans="1:12">
      <c r="A73" s="49">
        <v>1912</v>
      </c>
      <c r="B73" s="2">
        <f>VLOOKUP($A73, 'Enter Team Data Here'!$F:$W, 2, FALSE)</f>
        <v>12.769399999999999</v>
      </c>
      <c r="C73" s="35">
        <f>VLOOKUP($A73, 'Enter Team Data Here'!$F:$W, 17, FALSE)</f>
        <v>6</v>
      </c>
      <c r="D73" s="35">
        <f>VLOOKUP($A73, 'Enter Team Data Here'!$F:$W, 18, FALSE)</f>
        <v>8</v>
      </c>
      <c r="E73" s="35">
        <f>VLOOKUP($A73, 'Enter Team Data Here'!$F:$W, 16, FALSE)</f>
        <v>248.38414499999999</v>
      </c>
      <c r="F73" s="14">
        <v>1</v>
      </c>
      <c r="G73" s="5">
        <f>SUM(1000*D73, E73)</f>
        <v>8248.384145</v>
      </c>
      <c r="H73" s="5">
        <f>B73</f>
        <v>12.769399999999999</v>
      </c>
      <c r="L73" s="51"/>
    </row>
    <row r="74" spans="1:12">
      <c r="A74" s="50">
        <v>706</v>
      </c>
      <c r="B74" s="2">
        <f>VLOOKUP($A74, 'Enter Team Data Here'!$F:$W, 2, FALSE)</f>
        <v>9.4220299999999995</v>
      </c>
      <c r="C74" s="35">
        <f>VLOOKUP($A74, 'Enter Team Data Here'!$F:$W, 17, FALSE)</f>
        <v>8</v>
      </c>
      <c r="D74" s="35">
        <f>VLOOKUP($A74, 'Enter Team Data Here'!$F:$W, 18, FALSE)</f>
        <v>8</v>
      </c>
      <c r="E74" s="35">
        <f>VLOOKUP($A74, 'Enter Team Data Here'!$F:$W, 16, FALSE)</f>
        <v>235.98276933333335</v>
      </c>
      <c r="F74" s="14">
        <v>10</v>
      </c>
      <c r="G74" s="5">
        <f>SUM(1000*D74, E74)</f>
        <v>8235.9827693333336</v>
      </c>
      <c r="H74" s="5">
        <f>B74</f>
        <v>9.4220299999999995</v>
      </c>
      <c r="L74" s="51"/>
    </row>
    <row r="75" spans="1:12">
      <c r="A75" s="49">
        <v>3936</v>
      </c>
      <c r="B75" s="2">
        <f>VLOOKUP($A75, 'Enter Team Data Here'!$F:$W, 2, FALSE)</f>
        <v>7.9169400000000003</v>
      </c>
      <c r="C75" s="35">
        <f>VLOOKUP($A75, 'Enter Team Data Here'!$F:$W, 17, FALSE)</f>
        <v>8</v>
      </c>
      <c r="D75" s="35">
        <f>VLOOKUP($A75, 'Enter Team Data Here'!$F:$W, 18, FALSE)</f>
        <v>8</v>
      </c>
      <c r="E75" s="35">
        <f>VLOOKUP($A75, 'Enter Team Data Here'!$F:$W, 16, FALSE)</f>
        <v>231.47745799999998</v>
      </c>
      <c r="F75" s="14">
        <v>0</v>
      </c>
      <c r="G75" s="5">
        <f>SUM(1000*D75, E75)</f>
        <v>8231.4774579999994</v>
      </c>
      <c r="H75" s="5">
        <f>B75</f>
        <v>7.9169400000000003</v>
      </c>
      <c r="L75" s="51"/>
    </row>
    <row r="76" spans="1:12">
      <c r="A76" s="49">
        <v>293</v>
      </c>
      <c r="B76" s="2">
        <f>VLOOKUP($A76, 'Enter Team Data Here'!$F:$W, 2, FALSE)</f>
        <v>4.3239400000000003</v>
      </c>
      <c r="C76" s="35">
        <f>VLOOKUP($A76, 'Enter Team Data Here'!$F:$W, 17, FALSE)</f>
        <v>6</v>
      </c>
      <c r="D76" s="35">
        <f>VLOOKUP($A76, 'Enter Team Data Here'!$F:$W, 18, FALSE)</f>
        <v>8</v>
      </c>
      <c r="E76" s="35">
        <f>VLOOKUP($A76, 'Enter Team Data Here'!$F:$W, 16, FALSE)</f>
        <v>229.94532000000001</v>
      </c>
      <c r="F76" s="14">
        <v>0</v>
      </c>
      <c r="G76" s="5">
        <f>SUM(1000*D76, E76)</f>
        <v>8229.9453200000007</v>
      </c>
      <c r="H76" s="5">
        <f>B76</f>
        <v>4.3239400000000003</v>
      </c>
      <c r="L76" s="51"/>
    </row>
    <row r="77" spans="1:12">
      <c r="A77" s="49">
        <v>2914</v>
      </c>
      <c r="B77" s="2">
        <f>VLOOKUP($A77, 'Enter Team Data Here'!$F:$W, 2, FALSE)</f>
        <v>5.759735</v>
      </c>
      <c r="C77" s="35">
        <f>VLOOKUP($A77, 'Enter Team Data Here'!$F:$W, 17, FALSE)</f>
        <v>6</v>
      </c>
      <c r="D77" s="35">
        <f>VLOOKUP($A77, 'Enter Team Data Here'!$F:$W, 18, FALSE)</f>
        <v>8</v>
      </c>
      <c r="E77" s="35">
        <f>VLOOKUP($A77, 'Enter Team Data Here'!$F:$W, 16, FALSE)</f>
        <v>227.49637000000001</v>
      </c>
      <c r="F77" s="14">
        <v>5</v>
      </c>
      <c r="G77" s="5">
        <f>SUM(1000*D77, E77)</f>
        <v>8227.4963700000008</v>
      </c>
      <c r="H77" s="5">
        <f>B77</f>
        <v>5.759735</v>
      </c>
      <c r="L77" s="51"/>
    </row>
    <row r="78" spans="1:12">
      <c r="A78" s="49">
        <v>1501</v>
      </c>
      <c r="B78" s="2">
        <f>VLOOKUP($A78, 'Enter Team Data Here'!$F:$W, 2, FALSE)</f>
        <v>11.814</v>
      </c>
      <c r="C78" s="35">
        <f>VLOOKUP($A78, 'Enter Team Data Here'!$F:$W, 17, FALSE)</f>
        <v>8</v>
      </c>
      <c r="D78" s="35">
        <f>VLOOKUP($A78, 'Enter Team Data Here'!$F:$W, 18, FALSE)</f>
        <v>8</v>
      </c>
      <c r="E78" s="35">
        <f>VLOOKUP($A78, 'Enter Team Data Here'!$F:$W, 16, FALSE)</f>
        <v>227.46066333333334</v>
      </c>
      <c r="F78" s="14">
        <v>0</v>
      </c>
      <c r="G78" s="5">
        <f>SUM(1000*D78, E78)</f>
        <v>8227.4606633333333</v>
      </c>
      <c r="H78" s="5">
        <f>B78</f>
        <v>11.814</v>
      </c>
      <c r="L78" s="51"/>
    </row>
    <row r="79" spans="1:12">
      <c r="A79" s="49">
        <v>415</v>
      </c>
      <c r="B79" s="2">
        <f>VLOOKUP($A79, 'Enter Team Data Here'!$F:$W, 2, FALSE)</f>
        <v>3.8479150000000004</v>
      </c>
      <c r="C79" s="35">
        <f>VLOOKUP($A79, 'Enter Team Data Here'!$F:$W, 17, FALSE)</f>
        <v>6</v>
      </c>
      <c r="D79" s="35">
        <f>VLOOKUP($A79, 'Enter Team Data Here'!$F:$W, 18, FALSE)</f>
        <v>8</v>
      </c>
      <c r="E79" s="35">
        <f>VLOOKUP($A79, 'Enter Team Data Here'!$F:$W, 16, FALSE)</f>
        <v>224.85999499999997</v>
      </c>
      <c r="F79" s="14">
        <v>0</v>
      </c>
      <c r="G79" s="5">
        <f>SUM(1000*D79, E79)</f>
        <v>8224.8599950000007</v>
      </c>
      <c r="H79" s="5">
        <f>B79</f>
        <v>3.8479150000000004</v>
      </c>
      <c r="L79" s="51"/>
    </row>
    <row r="80" spans="1:12">
      <c r="A80" s="49">
        <v>702</v>
      </c>
      <c r="B80" s="2">
        <f>VLOOKUP($A80, 'Enter Team Data Here'!$F:$W, 2, FALSE)</f>
        <v>11.99311</v>
      </c>
      <c r="C80" s="35">
        <f>VLOOKUP($A80, 'Enter Team Data Here'!$F:$W, 17, FALSE)</f>
        <v>6</v>
      </c>
      <c r="D80" s="35">
        <f>VLOOKUP($A80, 'Enter Team Data Here'!$F:$W, 18, FALSE)</f>
        <v>8</v>
      </c>
      <c r="E80" s="35">
        <f>VLOOKUP($A80, 'Enter Team Data Here'!$F:$W, 16, FALSE)</f>
        <v>215.83336500000001</v>
      </c>
      <c r="F80" s="14">
        <v>0</v>
      </c>
      <c r="G80" s="5">
        <f>SUM(1000*D80, E80)</f>
        <v>8215.8333650000004</v>
      </c>
      <c r="H80" s="5">
        <f>B80</f>
        <v>11.99311</v>
      </c>
      <c r="L80" s="51"/>
    </row>
    <row r="81" spans="1:12">
      <c r="A81" s="49">
        <v>1266</v>
      </c>
      <c r="B81" s="2">
        <f>VLOOKUP($A81, 'Enter Team Data Here'!$F:$W, 2, FALSE)</f>
        <v>10.698370000000001</v>
      </c>
      <c r="C81" s="35">
        <f>VLOOKUP($A81, 'Enter Team Data Here'!$F:$W, 17, FALSE)</f>
        <v>4</v>
      </c>
      <c r="D81" s="35">
        <f>VLOOKUP($A81, 'Enter Team Data Here'!$F:$W, 18, FALSE)</f>
        <v>8</v>
      </c>
      <c r="E81" s="35">
        <f>VLOOKUP($A81, 'Enter Team Data Here'!$F:$W, 16, FALSE)</f>
        <v>210.002475</v>
      </c>
      <c r="F81" s="14">
        <v>12</v>
      </c>
      <c r="G81" s="5">
        <f>SUM(1000*D81, E81)</f>
        <v>8210.0024749999993</v>
      </c>
      <c r="H81" s="5">
        <f>B81</f>
        <v>10.698370000000001</v>
      </c>
      <c r="L81" s="51"/>
    </row>
    <row r="82" spans="1:12">
      <c r="A82" s="49">
        <v>1683</v>
      </c>
      <c r="B82" s="2">
        <f>VLOOKUP($A82, 'Enter Team Data Here'!$F:$W, 2, FALSE)</f>
        <v>10.164</v>
      </c>
      <c r="C82" s="35">
        <f>VLOOKUP($A82, 'Enter Team Data Here'!$F:$W, 17, FALSE)</f>
        <v>4</v>
      </c>
      <c r="D82" s="35">
        <f>VLOOKUP($A82, 'Enter Team Data Here'!$F:$W, 18, FALSE)</f>
        <v>8</v>
      </c>
      <c r="E82" s="35">
        <f>VLOOKUP($A82, 'Enter Team Data Here'!$F:$W, 16, FALSE)</f>
        <v>208.65964300000002</v>
      </c>
      <c r="F82" s="14">
        <v>0</v>
      </c>
      <c r="G82" s="5">
        <f>SUM(1000*D82, E82)</f>
        <v>8208.6596430000009</v>
      </c>
      <c r="H82" s="5">
        <f>B82</f>
        <v>10.164</v>
      </c>
      <c r="L82" s="51"/>
    </row>
    <row r="83" spans="1:12">
      <c r="A83" s="49">
        <v>3807</v>
      </c>
      <c r="B83" s="2">
        <f>VLOOKUP($A83, 'Enter Team Data Here'!$F:$W, 2, FALSE)</f>
        <v>3.8397600000000001</v>
      </c>
      <c r="C83" s="35">
        <f>VLOOKUP($A83, 'Enter Team Data Here'!$F:$W, 17, FALSE)</f>
        <v>8</v>
      </c>
      <c r="D83" s="35">
        <f>VLOOKUP($A83, 'Enter Team Data Here'!$F:$W, 18, FALSE)</f>
        <v>8</v>
      </c>
      <c r="E83" s="35">
        <f>VLOOKUP($A83, 'Enter Team Data Here'!$F:$W, 16, FALSE)</f>
        <v>207.75176499999998</v>
      </c>
      <c r="F83" s="14">
        <v>0</v>
      </c>
      <c r="G83" s="5">
        <f>SUM(1000*D83, E83)</f>
        <v>8207.7517650000009</v>
      </c>
      <c r="H83" s="5">
        <f>B83</f>
        <v>3.8397600000000001</v>
      </c>
      <c r="L83" s="51"/>
    </row>
    <row r="84" spans="1:12">
      <c r="A84" s="49">
        <v>1764</v>
      </c>
      <c r="B84" s="2">
        <f>VLOOKUP($A84, 'Enter Team Data Here'!$F:$W, 2, FALSE)</f>
        <v>7.4302550000000007</v>
      </c>
      <c r="C84" s="35">
        <f>VLOOKUP($A84, 'Enter Team Data Here'!$F:$W, 17, FALSE)</f>
        <v>4</v>
      </c>
      <c r="D84" s="35">
        <f>VLOOKUP($A84, 'Enter Team Data Here'!$F:$W, 18, FALSE)</f>
        <v>8</v>
      </c>
      <c r="E84" s="35">
        <f>VLOOKUP($A84, 'Enter Team Data Here'!$F:$W, 16, FALSE)</f>
        <v>195.303832</v>
      </c>
      <c r="F84" s="14">
        <v>0</v>
      </c>
      <c r="G84" s="5">
        <f>SUM(1000*D84, E84)</f>
        <v>8195.3038319999996</v>
      </c>
      <c r="H84" s="5">
        <f>B84</f>
        <v>7.4302550000000007</v>
      </c>
      <c r="L84" s="51"/>
    </row>
    <row r="85" spans="1:12">
      <c r="A85" s="49">
        <v>1649</v>
      </c>
      <c r="B85" s="2">
        <f>VLOOKUP($A85, 'Enter Team Data Here'!$F:$W, 2, FALSE)</f>
        <v>3.32179</v>
      </c>
      <c r="C85" s="35">
        <f>VLOOKUP($A85, 'Enter Team Data Here'!$F:$W, 17, FALSE)</f>
        <v>8</v>
      </c>
      <c r="D85" s="35">
        <f>VLOOKUP($A85, 'Enter Team Data Here'!$F:$W, 18, FALSE)</f>
        <v>8</v>
      </c>
      <c r="E85" s="35">
        <f>VLOOKUP($A85, 'Enter Team Data Here'!$F:$W, 16, FALSE)</f>
        <v>179.65584500000003</v>
      </c>
      <c r="F85" s="14">
        <v>0</v>
      </c>
      <c r="G85" s="5">
        <f>SUM(1000*D85, E85)</f>
        <v>8179.6558450000002</v>
      </c>
      <c r="H85" s="5">
        <f>B85</f>
        <v>3.32179</v>
      </c>
      <c r="L85" s="51"/>
    </row>
    <row r="86" spans="1:12">
      <c r="A86" s="49">
        <v>2844</v>
      </c>
      <c r="B86" s="2">
        <f>VLOOKUP($A86, 'Enter Team Data Here'!$F:$W, 2, FALSE)</f>
        <v>2.9833050000000001</v>
      </c>
      <c r="C86" s="35">
        <f>VLOOKUP($A86, 'Enter Team Data Here'!$F:$W, 17, FALSE)</f>
        <v>6</v>
      </c>
      <c r="D86" s="35">
        <f>VLOOKUP($A86, 'Enter Team Data Here'!$F:$W, 18, FALSE)</f>
        <v>8</v>
      </c>
      <c r="E86" s="35">
        <f>VLOOKUP($A86, 'Enter Team Data Here'!$F:$W, 16, FALSE)</f>
        <v>154.67322999999999</v>
      </c>
      <c r="F86" s="14">
        <v>0</v>
      </c>
      <c r="G86" s="5">
        <f>SUM(1000*D86, E86)</f>
        <v>8154.6732300000003</v>
      </c>
      <c r="H86" s="5">
        <f>B86</f>
        <v>2.9833050000000001</v>
      </c>
      <c r="L86" s="51"/>
    </row>
    <row r="87" spans="1:12">
      <c r="A87" s="49">
        <v>244</v>
      </c>
      <c r="B87" s="2">
        <f>VLOOKUP($A87, 'Enter Team Data Here'!$F:$W, 2, FALSE)</f>
        <v>5.8605300000000007</v>
      </c>
      <c r="C87" s="35">
        <f>VLOOKUP($A87, 'Enter Team Data Here'!$F:$W, 17, FALSE)</f>
        <v>6</v>
      </c>
      <c r="D87" s="35">
        <f>VLOOKUP($A87, 'Enter Team Data Here'!$F:$W, 18, FALSE)</f>
        <v>6</v>
      </c>
      <c r="E87" s="35">
        <f>VLOOKUP($A87, 'Enter Team Data Here'!$F:$W, 16, FALSE)</f>
        <v>239.62465433333335</v>
      </c>
      <c r="F87" s="14">
        <v>0</v>
      </c>
      <c r="G87" s="5">
        <f>SUM(1000*D87, E87)</f>
        <v>6239.6246543333336</v>
      </c>
      <c r="H87" s="5">
        <f>B87</f>
        <v>5.8605300000000007</v>
      </c>
      <c r="L87" s="51"/>
    </row>
    <row r="88" spans="1:12">
      <c r="A88" s="49">
        <v>207</v>
      </c>
      <c r="B88" s="2">
        <f>VLOOKUP($A88, 'Enter Team Data Here'!$F:$W, 2, FALSE)</f>
        <v>8.8962000000000003</v>
      </c>
      <c r="C88" s="35">
        <f>VLOOKUP($A88, 'Enter Team Data Here'!$F:$W, 17, FALSE)</f>
        <v>2</v>
      </c>
      <c r="D88" s="35">
        <f>VLOOKUP($A88, 'Enter Team Data Here'!$F:$W, 18, FALSE)</f>
        <v>6</v>
      </c>
      <c r="E88" s="35">
        <f>VLOOKUP($A88, 'Enter Team Data Here'!$F:$W, 16, FALSE)</f>
        <v>212.24554499999999</v>
      </c>
      <c r="F88" s="14">
        <v>2</v>
      </c>
      <c r="G88" s="5">
        <f>SUM(1000*D88, E88)</f>
        <v>6212.2455449999998</v>
      </c>
      <c r="H88" s="5">
        <f>B88</f>
        <v>8.8962000000000003</v>
      </c>
      <c r="L88" s="51"/>
    </row>
    <row r="89" spans="1:12">
      <c r="A89" s="49">
        <v>2591</v>
      </c>
      <c r="B89" s="2">
        <f>VLOOKUP($A89, 'Enter Team Data Here'!$F:$W, 2, FALSE)</f>
        <v>8.8965999999999994</v>
      </c>
      <c r="C89" s="35">
        <f>VLOOKUP($A89, 'Enter Team Data Here'!$F:$W, 17, FALSE)</f>
        <v>4</v>
      </c>
      <c r="D89" s="35">
        <f>VLOOKUP($A89, 'Enter Team Data Here'!$F:$W, 18, FALSE)</f>
        <v>6</v>
      </c>
      <c r="E89" s="35">
        <f>VLOOKUP($A89, 'Enter Team Data Here'!$F:$W, 16, FALSE)</f>
        <v>208.74709433333334</v>
      </c>
      <c r="F89" s="14">
        <v>7</v>
      </c>
      <c r="G89" s="5">
        <f>SUM(1000*D89, E89)</f>
        <v>6208.7470943333337</v>
      </c>
      <c r="H89" s="5">
        <f>B89</f>
        <v>8.8965999999999994</v>
      </c>
      <c r="L89" s="51"/>
    </row>
    <row r="90" spans="1:12">
      <c r="A90" s="49">
        <v>288</v>
      </c>
      <c r="B90" s="2">
        <f>VLOOKUP($A90, 'Enter Team Data Here'!$F:$W, 2, FALSE)</f>
        <v>7.0640999999999998</v>
      </c>
      <c r="C90" s="35">
        <f>VLOOKUP($A90, 'Enter Team Data Here'!$F:$W, 17, FALSE)</f>
        <v>2</v>
      </c>
      <c r="D90" s="35">
        <f>VLOOKUP($A90, 'Enter Team Data Here'!$F:$W, 18, FALSE)</f>
        <v>6</v>
      </c>
      <c r="E90" s="35">
        <f>VLOOKUP($A90, 'Enter Team Data Here'!$F:$W, 16, FALSE)</f>
        <v>207.388195</v>
      </c>
      <c r="F90" s="14">
        <v>0</v>
      </c>
      <c r="G90" s="5">
        <f>SUM(1000*D90, E90)</f>
        <v>6207.3881949999995</v>
      </c>
      <c r="H90" s="5">
        <f>B90</f>
        <v>7.0640999999999998</v>
      </c>
      <c r="L90" s="51"/>
    </row>
    <row r="91" spans="1:12">
      <c r="A91" s="49">
        <v>2757</v>
      </c>
      <c r="B91" s="2">
        <f>VLOOKUP($A91, 'Enter Team Data Here'!$F:$W, 2, FALSE)</f>
        <v>3.16</v>
      </c>
      <c r="C91" s="35">
        <f>VLOOKUP($A91, 'Enter Team Data Here'!$F:$W, 17, FALSE)</f>
        <v>6</v>
      </c>
      <c r="D91" s="35">
        <f>VLOOKUP($A91, 'Enter Team Data Here'!$F:$W, 18, FALSE)</f>
        <v>6</v>
      </c>
      <c r="E91" s="35">
        <f>VLOOKUP($A91, 'Enter Team Data Here'!$F:$W, 16, FALSE)</f>
        <v>206.634703</v>
      </c>
      <c r="F91" s="14">
        <v>0</v>
      </c>
      <c r="G91" s="5">
        <f>SUM(1000*D91, E91)</f>
        <v>6206.6347029999997</v>
      </c>
      <c r="H91" s="5">
        <f>B91</f>
        <v>3.16</v>
      </c>
      <c r="L91" s="51"/>
    </row>
    <row r="92" spans="1:12">
      <c r="A92" s="49">
        <v>433</v>
      </c>
      <c r="B92" s="2">
        <f>VLOOKUP($A92, 'Enter Team Data Here'!$F:$W, 2, FALSE)</f>
        <v>5.9145399999999997</v>
      </c>
      <c r="C92" s="35">
        <f>VLOOKUP($A92, 'Enter Team Data Here'!$F:$W, 17, FALSE)</f>
        <v>4</v>
      </c>
      <c r="D92" s="35">
        <f>VLOOKUP($A92, 'Enter Team Data Here'!$F:$W, 18, FALSE)</f>
        <v>6</v>
      </c>
      <c r="E92" s="35">
        <f>VLOOKUP($A92, 'Enter Team Data Here'!$F:$W, 16, FALSE)</f>
        <v>187.70821100000001</v>
      </c>
      <c r="F92" s="14">
        <v>0</v>
      </c>
      <c r="G92" s="5">
        <f>SUM(1000*D92, E92)</f>
        <v>6187.7082110000001</v>
      </c>
      <c r="H92" s="5">
        <f>B92</f>
        <v>5.9145399999999997</v>
      </c>
      <c r="L92" s="51"/>
    </row>
    <row r="93" spans="1:12">
      <c r="A93" s="49">
        <v>120</v>
      </c>
      <c r="B93" s="2">
        <f>VLOOKUP($A93, 'Enter Team Data Here'!$F:$W, 2, FALSE)</f>
        <v>4.7289300000000001</v>
      </c>
      <c r="C93" s="35">
        <f>VLOOKUP($A93, 'Enter Team Data Here'!$F:$W, 17, FALSE)</f>
        <v>4</v>
      </c>
      <c r="D93" s="35">
        <f>VLOOKUP($A93, 'Enter Team Data Here'!$F:$W, 18, FALSE)</f>
        <v>6</v>
      </c>
      <c r="E93" s="35">
        <f>VLOOKUP($A93, 'Enter Team Data Here'!$F:$W, 16, FALSE)</f>
        <v>184.68368733333335</v>
      </c>
      <c r="F93" s="14">
        <v>0</v>
      </c>
      <c r="G93" s="5">
        <f>SUM(1000*D93, E93)</f>
        <v>6184.6836873333332</v>
      </c>
      <c r="H93" s="5">
        <f>B93</f>
        <v>4.7289300000000001</v>
      </c>
      <c r="L93" s="51"/>
    </row>
    <row r="94" spans="1:12">
      <c r="A94" s="49">
        <v>4253</v>
      </c>
      <c r="B94" s="2">
        <f>VLOOKUP($A94, 'Enter Team Data Here'!$F:$W, 2, FALSE)</f>
        <v>4.1108700000000002</v>
      </c>
      <c r="C94" s="35">
        <f>VLOOKUP($A94, 'Enter Team Data Here'!$F:$W, 17, FALSE)</f>
        <v>4</v>
      </c>
      <c r="D94" s="35">
        <f>VLOOKUP($A94, 'Enter Team Data Here'!$F:$W, 18, FALSE)</f>
        <v>6</v>
      </c>
      <c r="E94" s="35">
        <f>VLOOKUP($A94, 'Enter Team Data Here'!$F:$W, 16, FALSE)</f>
        <v>172.09915999999998</v>
      </c>
      <c r="F94" s="14">
        <v>0</v>
      </c>
      <c r="G94" s="5">
        <f>SUM(1000*D94, E94)</f>
        <v>6172.0991599999998</v>
      </c>
      <c r="H94" s="5">
        <f>B94</f>
        <v>4.1108700000000002</v>
      </c>
      <c r="L94" s="51"/>
    </row>
    <row r="95" spans="1:12">
      <c r="A95" s="49">
        <v>2102</v>
      </c>
      <c r="B95" s="2">
        <f>VLOOKUP($A95, 'Enter Team Data Here'!$F:$W, 2, FALSE)</f>
        <v>6.2587000000000002</v>
      </c>
      <c r="C95" s="35">
        <f>VLOOKUP($A95, 'Enter Team Data Here'!$F:$W, 17, FALSE)</f>
        <v>4</v>
      </c>
      <c r="D95" s="35">
        <f>VLOOKUP($A95, 'Enter Team Data Here'!$F:$W, 18, FALSE)</f>
        <v>4</v>
      </c>
      <c r="E95" s="35">
        <f>VLOOKUP($A95, 'Enter Team Data Here'!$F:$W, 16, FALSE)</f>
        <v>220.86060333333336</v>
      </c>
      <c r="F95" s="14">
        <v>11</v>
      </c>
      <c r="G95" s="5">
        <f>SUM(1000*D95, E95)</f>
        <v>4220.8606033333335</v>
      </c>
      <c r="H95" s="5">
        <f>B95</f>
        <v>6.2587000000000002</v>
      </c>
      <c r="L95" s="51"/>
    </row>
    <row r="96" spans="1:12">
      <c r="A96" s="49">
        <v>1778</v>
      </c>
      <c r="B96" s="2">
        <f>VLOOKUP($A96, 'Enter Team Data Here'!$F:$W, 2, FALSE)</f>
        <v>2.8523299999999998</v>
      </c>
      <c r="C96" s="35">
        <f>VLOOKUP($A96, 'Enter Team Data Here'!$F:$W, 17, FALSE)</f>
        <v>4</v>
      </c>
      <c r="D96" s="35">
        <f>VLOOKUP($A96, 'Enter Team Data Here'!$F:$W, 18, FALSE)</f>
        <v>4</v>
      </c>
      <c r="E96" s="35">
        <f>VLOOKUP($A96, 'Enter Team Data Here'!$F:$W, 16, FALSE)</f>
        <v>200.23928100000001</v>
      </c>
      <c r="F96" s="14">
        <v>0</v>
      </c>
      <c r="G96" s="5">
        <f>SUM(1000*D96, E96)</f>
        <v>4200.2392810000001</v>
      </c>
      <c r="H96" s="5">
        <f>B96</f>
        <v>2.8523299999999998</v>
      </c>
      <c r="L96" s="51"/>
    </row>
    <row r="97" spans="1:12">
      <c r="A97" s="49">
        <v>3847</v>
      </c>
      <c r="B97" s="2">
        <f>VLOOKUP($A97, 'Enter Team Data Here'!$F:$W, 2, FALSE)</f>
        <v>6.5176549999999995</v>
      </c>
      <c r="C97" s="35">
        <f>VLOOKUP($A97, 'Enter Team Data Here'!$F:$W, 17, FALSE)</f>
        <v>4</v>
      </c>
      <c r="D97" s="35">
        <f>VLOOKUP($A97, 'Enter Team Data Here'!$F:$W, 18, FALSE)</f>
        <v>4</v>
      </c>
      <c r="E97" s="35">
        <f>VLOOKUP($A97, 'Enter Team Data Here'!$F:$W, 16, FALSE)</f>
        <v>199.33314100000001</v>
      </c>
      <c r="F97" s="14">
        <v>0</v>
      </c>
      <c r="G97" s="5">
        <f>SUM(1000*D97, E97)</f>
        <v>4199.3331410000001</v>
      </c>
      <c r="H97" s="5">
        <f>B97</f>
        <v>6.5176549999999995</v>
      </c>
      <c r="L97" s="51"/>
    </row>
    <row r="98" spans="1:12">
      <c r="A98" s="49">
        <v>932</v>
      </c>
      <c r="B98" s="2">
        <f>VLOOKUP($A98, 'Enter Team Data Here'!$F:$W, 2, FALSE)</f>
        <v>4.4310449999999992</v>
      </c>
      <c r="C98" s="35">
        <f>VLOOKUP($A98, 'Enter Team Data Here'!$F:$W, 17, FALSE)</f>
        <v>2</v>
      </c>
      <c r="D98" s="35">
        <f>VLOOKUP($A98, 'Enter Team Data Here'!$F:$W, 18, FALSE)</f>
        <v>4</v>
      </c>
      <c r="E98" s="35">
        <f>VLOOKUP($A98, 'Enter Team Data Here'!$F:$W, 16, FALSE)</f>
        <v>198.24983766666662</v>
      </c>
      <c r="F98" s="14">
        <v>0</v>
      </c>
      <c r="G98" s="5">
        <f>SUM(1000*D98, E98)</f>
        <v>4198.2498376666663</v>
      </c>
      <c r="H98" s="5">
        <f>B98</f>
        <v>4.4310449999999992</v>
      </c>
      <c r="L98" s="51"/>
    </row>
    <row r="99" spans="1:12">
      <c r="A99" s="49">
        <v>571</v>
      </c>
      <c r="B99" s="2">
        <f>VLOOKUP($A99, 'Enter Team Data Here'!$F:$W, 2, FALSE)</f>
        <v>4.3504500000000004</v>
      </c>
      <c r="C99" s="35">
        <f>VLOOKUP($A99, 'Enter Team Data Here'!$F:$W, 17, FALSE)</f>
        <v>2</v>
      </c>
      <c r="D99" s="35">
        <f>VLOOKUP($A99, 'Enter Team Data Here'!$F:$W, 18, FALSE)</f>
        <v>4</v>
      </c>
      <c r="E99" s="35">
        <f>VLOOKUP($A99, 'Enter Team Data Here'!$F:$W, 16, FALSE)</f>
        <v>191.311665</v>
      </c>
      <c r="F99" s="14">
        <v>0</v>
      </c>
      <c r="G99" s="5">
        <f>SUM(1000*D99, E99)</f>
        <v>4191.3116650000002</v>
      </c>
      <c r="H99" s="5">
        <f>B99</f>
        <v>4.3504500000000004</v>
      </c>
      <c r="L99" s="51"/>
    </row>
    <row r="100" spans="1:12">
      <c r="A100" s="49">
        <v>178</v>
      </c>
      <c r="B100" s="2">
        <f>VLOOKUP($A100, 'Enter Team Data Here'!$F:$W, 2, FALSE)</f>
        <v>0.50937600000000005</v>
      </c>
      <c r="C100" s="35">
        <f>VLOOKUP($A100, 'Enter Team Data Here'!$F:$W, 17, FALSE)</f>
        <v>2</v>
      </c>
      <c r="D100" s="35">
        <f>VLOOKUP($A100, 'Enter Team Data Here'!$F:$W, 18, FALSE)</f>
        <v>4</v>
      </c>
      <c r="E100" s="35">
        <f>VLOOKUP($A100, 'Enter Team Data Here'!$F:$W, 16, FALSE)</f>
        <v>174.56915366666667</v>
      </c>
      <c r="F100" s="14">
        <v>0</v>
      </c>
      <c r="G100" s="5">
        <f>SUM(1000*D100, E100)</f>
        <v>4174.5691536666664</v>
      </c>
      <c r="H100" s="5">
        <f>B100</f>
        <v>0.50937600000000005</v>
      </c>
      <c r="L100" s="51"/>
    </row>
    <row r="101" spans="1:12">
      <c r="A101" s="49">
        <v>1033</v>
      </c>
      <c r="B101" s="2">
        <f>VLOOKUP($A101, 'Enter Team Data Here'!$F:$W, 2, FALSE)</f>
        <v>2.3199999999999998</v>
      </c>
      <c r="C101" s="35">
        <f>VLOOKUP($A101, 'Enter Team Data Here'!$F:$W, 17, FALSE)</f>
        <v>2</v>
      </c>
      <c r="D101" s="35">
        <f>VLOOKUP($A101, 'Enter Team Data Here'!$F:$W, 18, FALSE)</f>
        <v>4</v>
      </c>
      <c r="E101" s="35">
        <f>VLOOKUP($A101, 'Enter Team Data Here'!$F:$W, 16, FALSE)</f>
        <v>163.31424100000001</v>
      </c>
      <c r="F101" s="14">
        <v>0</v>
      </c>
      <c r="G101" s="5">
        <f>SUM(1000*D101, E101)</f>
        <v>4163.314241</v>
      </c>
      <c r="H101" s="5">
        <f>B101</f>
        <v>2.3199999999999998</v>
      </c>
      <c r="L101" s="51"/>
    </row>
  </sheetData>
  <sortState ref="A2:J101">
    <sortCondition descending="1" ref="G1"/>
  </sortState>
  <conditionalFormatting sqref="D102:D1048576 D1">
    <cfRule type="colorScale" priority="21">
      <colorScale>
        <cfvo type="min" val="0"/>
        <cfvo type="max" val="0"/>
        <color theme="0"/>
        <color theme="4" tint="0.39997558519241921"/>
      </colorScale>
    </cfRule>
  </conditionalFormatting>
  <conditionalFormatting sqref="A1:A1048576">
    <cfRule type="expression" dxfId="9" priority="11">
      <formula>A1=$L$6</formula>
    </cfRule>
  </conditionalFormatting>
  <conditionalFormatting sqref="B1:B1048576">
    <cfRule type="expression" dxfId="8" priority="10">
      <formula>A1=$L$6</formula>
    </cfRule>
  </conditionalFormatting>
  <conditionalFormatting sqref="C1:C1048576">
    <cfRule type="expression" dxfId="7" priority="9">
      <formula>A1=$L$6</formula>
    </cfRule>
    <cfRule type="colorScale" priority="2">
      <colorScale>
        <cfvo type="num" val="0"/>
        <cfvo type="num" val="20"/>
        <color theme="0"/>
        <color theme="3" tint="-0.249977111117893"/>
      </colorScale>
    </cfRule>
  </conditionalFormatting>
  <conditionalFormatting sqref="D1:D1048576">
    <cfRule type="expression" dxfId="6" priority="8">
      <formula>A1=$L$6</formula>
    </cfRule>
    <cfRule type="colorScale" priority="1">
      <colorScale>
        <cfvo type="num" val="0"/>
        <cfvo type="num" val="40"/>
        <color theme="0"/>
        <color theme="3" tint="-0.499984740745262"/>
      </colorScale>
    </cfRule>
  </conditionalFormatting>
  <conditionalFormatting sqref="E1:E1048576">
    <cfRule type="expression" dxfId="5" priority="7">
      <formula>A1=$L$6</formula>
    </cfRule>
  </conditionalFormatting>
  <conditionalFormatting sqref="G1:G1048576">
    <cfRule type="expression" dxfId="4" priority="6">
      <formula>A1=$L$6</formula>
    </cfRule>
  </conditionalFormatting>
  <conditionalFormatting sqref="H1:H1048576">
    <cfRule type="expression" dxfId="3" priority="5">
      <formula>A1=$L$6</formula>
    </cfRule>
  </conditionalFormatting>
  <conditionalFormatting sqref="I1:I1048576">
    <cfRule type="expression" dxfId="2" priority="4">
      <formula>A1=$L$6</formula>
    </cfRule>
  </conditionalFormatting>
  <conditionalFormatting sqref="J1:J1048576">
    <cfRule type="expression" dxfId="1" priority="3">
      <formula>A1=$L$6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C162"/>
  <sheetViews>
    <sheetView workbookViewId="0">
      <pane ySplit="1" topLeftCell="A133" activePane="bottomLeft" state="frozen"/>
      <selection pane="bottomLeft" activeCell="AB7" sqref="AB7"/>
    </sheetView>
  </sheetViews>
  <sheetFormatPr defaultColWidth="9.140625" defaultRowHeight="15"/>
  <cols>
    <col min="1" max="1" width="9.140625" style="4"/>
    <col min="2" max="2" width="9.140625" style="14"/>
    <col min="3" max="5" width="9.140625" style="30"/>
    <col min="6" max="8" width="9.140625" style="31"/>
    <col min="9" max="9" width="17.85546875" style="42" customWidth="1"/>
    <col min="10" max="10" width="17.85546875" style="44" customWidth="1"/>
    <col min="11" max="11" width="9.140625" style="7" customWidth="1"/>
    <col min="12" max="12" width="9.140625" style="9" customWidth="1"/>
    <col min="13" max="13" width="9.140625" style="36" customWidth="1"/>
    <col min="14" max="14" width="14.7109375" style="7" customWidth="1"/>
    <col min="15" max="15" width="14.7109375" style="9" customWidth="1"/>
    <col min="16" max="16" width="9.5703125" style="42" customWidth="1"/>
    <col min="17" max="17" width="9.5703125" style="44" customWidth="1"/>
    <col min="18" max="18" width="13.140625" style="46" hidden="1" customWidth="1"/>
    <col min="19" max="19" width="13.140625" style="13" hidden="1" customWidth="1"/>
    <col min="20" max="20" width="9.140625" style="11" hidden="1" customWidth="1"/>
    <col min="21" max="22" width="9.140625" style="46" hidden="1" customWidth="1"/>
    <col min="23" max="23" width="13.140625" style="46" customWidth="1"/>
    <col min="24" max="24" width="13.140625" style="4" customWidth="1"/>
    <col min="25" max="25" width="12.7109375" style="46" customWidth="1"/>
    <col min="26" max="113" width="8.85546875" style="4" customWidth="1"/>
    <col min="114" max="16384" width="9.140625" style="4"/>
  </cols>
  <sheetData>
    <row r="1" spans="1:27" s="1" customFormat="1">
      <c r="A1" s="1" t="s">
        <v>2</v>
      </c>
      <c r="B1" s="27" t="s">
        <v>3</v>
      </c>
      <c r="C1" s="28" t="s">
        <v>4</v>
      </c>
      <c r="D1" s="28" t="s">
        <v>5</v>
      </c>
      <c r="E1" s="28" t="s">
        <v>6</v>
      </c>
      <c r="F1" s="29" t="s">
        <v>7</v>
      </c>
      <c r="G1" s="29" t="s">
        <v>8</v>
      </c>
      <c r="H1" s="29" t="s">
        <v>9</v>
      </c>
      <c r="I1" s="41" t="s">
        <v>63</v>
      </c>
      <c r="J1" s="43" t="s">
        <v>64</v>
      </c>
      <c r="K1" s="6" t="s">
        <v>12</v>
      </c>
      <c r="L1" s="8" t="s">
        <v>13</v>
      </c>
      <c r="M1" s="35" t="s">
        <v>14</v>
      </c>
      <c r="N1" s="6" t="s">
        <v>65</v>
      </c>
      <c r="O1" s="8" t="s">
        <v>66</v>
      </c>
      <c r="P1" s="41" t="s">
        <v>20</v>
      </c>
      <c r="Q1" s="43" t="s">
        <v>21</v>
      </c>
      <c r="R1" s="45" t="s">
        <v>19</v>
      </c>
      <c r="S1" s="12" t="s">
        <v>10</v>
      </c>
      <c r="T1" s="10" t="s">
        <v>11</v>
      </c>
      <c r="U1" s="45" t="s">
        <v>22</v>
      </c>
      <c r="V1" s="45" t="s">
        <v>23</v>
      </c>
      <c r="W1" s="45" t="s">
        <v>24</v>
      </c>
      <c r="X1" s="1" t="s">
        <v>25</v>
      </c>
      <c r="Y1" s="45" t="s">
        <v>26</v>
      </c>
    </row>
    <row r="2" spans="1:27">
      <c r="A2" s="3">
        <f>'Online Results'!L4</f>
        <v>0.54166666666666663</v>
      </c>
      <c r="B2" s="18">
        <f>'Online Results'!M4</f>
        <v>1</v>
      </c>
      <c r="C2" s="20">
        <f>'Online Results'!N4</f>
        <v>3929</v>
      </c>
      <c r="D2" s="20">
        <f>'Online Results'!O4</f>
        <v>4253</v>
      </c>
      <c r="E2" s="20">
        <f>'Online Results'!P4</f>
        <v>1986</v>
      </c>
      <c r="F2" s="19">
        <f>'Online Results'!Q4</f>
        <v>4265</v>
      </c>
      <c r="G2" s="19">
        <f>'Online Results'!R4</f>
        <v>702</v>
      </c>
      <c r="H2" s="19">
        <f>'Online Results'!S4</f>
        <v>3941</v>
      </c>
      <c r="I2" s="42">
        <f>SUM(VLOOKUP(C2, Teams!A:B, 2, FALSE), VLOOKUP(D2, Teams!A:B, 2, FALSE), VLOOKUP(E2, Teams!A:B, 2, FALSE))</f>
        <v>44.824520000000007</v>
      </c>
      <c r="J2" s="44">
        <f>SUM(VLOOKUP(F2, Teams!A:B, 2, FALSE), VLOOKUP(G2, Teams!A:B, 2, FALSE), VLOOKUP(H2, Teams!A:B, 2, FALSE))</f>
        <v>22.748139999999999</v>
      </c>
      <c r="K2" s="7">
        <f>IF(P2&gt;Q2,2,IF(P2=Q2,1,0))</f>
        <v>2</v>
      </c>
      <c r="L2" s="9">
        <f>SUM(-1*K2+2)</f>
        <v>0</v>
      </c>
      <c r="M2" s="36">
        <f>MIN(P2:Q2)</f>
        <v>14</v>
      </c>
      <c r="N2" s="23">
        <f>IF('Online Results'!T4="", "", 'Online Results'!T4)</f>
        <v>26</v>
      </c>
      <c r="O2" s="22">
        <f>IF('Online Results'!U4="", "", 'Online Results'!U4)</f>
        <v>14</v>
      </c>
      <c r="P2" s="47">
        <f>IF(N2="", I2, N2)</f>
        <v>26</v>
      </c>
      <c r="Q2" s="48">
        <f>IF(O2="", J2, O2)</f>
        <v>14</v>
      </c>
      <c r="R2" s="46">
        <f>ABS(I2+J2-N2-O2)/(N2+O2)</f>
        <v>0.68931650000000033</v>
      </c>
      <c r="S2" s="13">
        <f>SUM(VLOOKUP(C2, Teams!A:B, 2, FALSE), VLOOKUP(D2, Teams!A:B, 2, FALSE), VLOOKUP(E2, Teams!A:B, 2, FALSE))</f>
        <v>44.824520000000007</v>
      </c>
      <c r="T2" s="11">
        <f>SUM(VLOOKUP(F2, Teams!A:B, 2, FALSE), VLOOKUP(G2, Teams!A:B, 2, FALSE), VLOOKUP(H2, Teams!A:B, 2, FALSE))</f>
        <v>22.748139999999999</v>
      </c>
      <c r="U2" s="46">
        <f>R2*SUM(S2, T2)/SUM(AVERAGE($S$2:$S2), AVERAGE($T$2:$T2))</f>
        <v>0.68931650000000033</v>
      </c>
      <c r="V2" s="46">
        <f>AVERAGE($R$2:$R2)</f>
        <v>0.68931650000000033</v>
      </c>
      <c r="W2" s="46">
        <f>AVERAGE($U$2:$U2)</f>
        <v>0.68931650000000033</v>
      </c>
      <c r="X2" s="4">
        <f>IF(S2&gt;T2,IF(N2&gt;O2,0,IF(N2=O2, 1, 2)),IF(S2=T2,IF(N2=O2,0,1), IF(N2&lt;O2, 0, 2)))</f>
        <v>0</v>
      </c>
      <c r="Y2" s="46">
        <f>AVERAGE($X$2:$X2)*0.5</f>
        <v>0</v>
      </c>
      <c r="AA2" s="51" t="s">
        <v>77</v>
      </c>
    </row>
    <row r="3" spans="1:27">
      <c r="A3" s="3">
        <f>'Online Results'!L5</f>
        <v>0.5854166666666667</v>
      </c>
      <c r="B3" s="18">
        <f>'Online Results'!M5</f>
        <v>2</v>
      </c>
      <c r="C3" s="20">
        <f>'Online Results'!N5</f>
        <v>836</v>
      </c>
      <c r="D3" s="20">
        <f>'Online Results'!O5</f>
        <v>2881</v>
      </c>
      <c r="E3" s="20">
        <f>'Online Results'!P5</f>
        <v>178</v>
      </c>
      <c r="F3" s="19">
        <f>'Online Results'!Q5</f>
        <v>3098</v>
      </c>
      <c r="G3" s="19">
        <f>'Online Results'!R5</f>
        <v>1885</v>
      </c>
      <c r="H3" s="19">
        <f>'Online Results'!S5</f>
        <v>2757</v>
      </c>
      <c r="I3" s="42">
        <f>SUM(VLOOKUP(C3, Teams!A:B, 2, FALSE), VLOOKUP(D3, Teams!A:B, 2, FALSE), VLOOKUP(E3, Teams!A:B, 2, FALSE))</f>
        <v>31.766776000000004</v>
      </c>
      <c r="J3" s="44">
        <f>SUM(VLOOKUP(F3, Teams!A:B, 2, FALSE), VLOOKUP(G3, Teams!A:B, 2, FALSE), VLOOKUP(H3, Teams!A:B, 2, FALSE))</f>
        <v>33.982133333333337</v>
      </c>
      <c r="K3" s="7">
        <f t="shared" ref="K3:K66" si="0">IF(P3&gt;Q3,2,IF(P3=Q3,1,0))</f>
        <v>0</v>
      </c>
      <c r="L3" s="9">
        <f t="shared" ref="L3:L66" si="1">SUM(-1*K3+2)</f>
        <v>2</v>
      </c>
      <c r="M3" s="36">
        <f t="shared" ref="M3:M66" si="2">MIN(P3:Q3)</f>
        <v>14</v>
      </c>
      <c r="N3" s="23">
        <f>IF('Online Results'!T5="", "", 'Online Results'!T5)</f>
        <v>14</v>
      </c>
      <c r="O3" s="22">
        <f>IF('Online Results'!U5="", "", 'Online Results'!U5)</f>
        <v>36</v>
      </c>
      <c r="P3" s="47">
        <f t="shared" ref="P3:P66" si="3">IF(N3="", I3, N3)</f>
        <v>14</v>
      </c>
      <c r="Q3" s="48">
        <f t="shared" ref="Q3:Q66" si="4">IF(O3="", J3, O3)</f>
        <v>36</v>
      </c>
      <c r="R3" s="46">
        <f t="shared" ref="R3:R66" si="5">ABS(I3+J3-N3-O3)/(N3+O3)</f>
        <v>0.31497818666666688</v>
      </c>
      <c r="S3" s="13">
        <f>SUM(VLOOKUP(C3, Teams!A:B, 2, FALSE), VLOOKUP(D3, Teams!A:B, 2, FALSE), VLOOKUP(E3, Teams!A:B, 2, FALSE))</f>
        <v>31.766776000000004</v>
      </c>
      <c r="T3" s="11">
        <f>SUM(VLOOKUP(F3, Teams!A:B, 2, FALSE), VLOOKUP(G3, Teams!A:B, 2, FALSE), VLOOKUP(H3, Teams!A:B, 2, FALSE))</f>
        <v>33.982133333333337</v>
      </c>
      <c r="U3" s="46">
        <f>R3*SUM(S3, T3)/SUM(AVERAGE($S$2:$S3), AVERAGE($T$2:$T3))</f>
        <v>0.31066949392631549</v>
      </c>
      <c r="V3" s="46">
        <f>AVERAGE($R$2:$R3)</f>
        <v>0.50214734333333366</v>
      </c>
      <c r="W3" s="46">
        <f>AVERAGE($U$2:$U3)</f>
        <v>0.49999299696315791</v>
      </c>
      <c r="X3" s="4">
        <f t="shared" ref="X3:X66" si="6">IF(S3&gt;T3,IF(N3&gt;O3,0,IF(N3=O3, 1, 2)),IF(S3=T3,IF(N3=O3,0,1), IF(N3&lt;O3, 0, 2)))</f>
        <v>0</v>
      </c>
      <c r="Y3" s="46">
        <f>AVERAGE($X$2:$X3)*0.5</f>
        <v>0</v>
      </c>
      <c r="AA3" s="52">
        <v>987</v>
      </c>
    </row>
    <row r="4" spans="1:27">
      <c r="A4" s="3">
        <f>'Online Results'!L6</f>
        <v>0.54791666666666672</v>
      </c>
      <c r="B4" s="18">
        <f>'Online Results'!M6</f>
        <v>3</v>
      </c>
      <c r="C4" s="20">
        <f>'Online Results'!N6</f>
        <v>51</v>
      </c>
      <c r="D4" s="20">
        <f>'Online Results'!O6</f>
        <v>3115</v>
      </c>
      <c r="E4" s="20">
        <f>'Online Results'!P6</f>
        <v>58</v>
      </c>
      <c r="F4" s="19">
        <f>'Online Results'!Q6</f>
        <v>78</v>
      </c>
      <c r="G4" s="19">
        <f>'Online Results'!R6</f>
        <v>2960</v>
      </c>
      <c r="H4" s="19">
        <f>'Online Results'!S6</f>
        <v>3711</v>
      </c>
      <c r="I4" s="42">
        <f>SUM(VLOOKUP(C4, Teams!A:B, 2, FALSE), VLOOKUP(D4, Teams!A:B, 2, FALSE), VLOOKUP(E4, Teams!A:B, 2, FALSE))</f>
        <v>41.528394333333331</v>
      </c>
      <c r="J4" s="44">
        <f>SUM(VLOOKUP(F4, Teams!A:B, 2, FALSE), VLOOKUP(G4, Teams!A:B, 2, FALSE), VLOOKUP(H4, Teams!A:B, 2, FALSE))</f>
        <v>35.202554999999997</v>
      </c>
      <c r="K4" s="7">
        <f t="shared" si="0"/>
        <v>2</v>
      </c>
      <c r="L4" s="9">
        <f t="shared" si="1"/>
        <v>0</v>
      </c>
      <c r="M4" s="36">
        <f t="shared" si="2"/>
        <v>30</v>
      </c>
      <c r="N4" s="23">
        <f>IF('Online Results'!T6="", "", 'Online Results'!T6)</f>
        <v>45</v>
      </c>
      <c r="O4" s="22">
        <f>IF('Online Results'!U6="", "", 'Online Results'!U6)</f>
        <v>30</v>
      </c>
      <c r="P4" s="47">
        <f t="shared" si="3"/>
        <v>45</v>
      </c>
      <c r="Q4" s="48">
        <f t="shared" si="4"/>
        <v>30</v>
      </c>
      <c r="R4" s="46">
        <f t="shared" si="5"/>
        <v>2.3079324444444372E-2</v>
      </c>
      <c r="S4" s="13">
        <f>SUM(VLOOKUP(C4, Teams!A:B, 2, FALSE), VLOOKUP(D4, Teams!A:B, 2, FALSE), VLOOKUP(E4, Teams!A:B, 2, FALSE))</f>
        <v>41.528394333333331</v>
      </c>
      <c r="T4" s="11">
        <f>SUM(VLOOKUP(F4, Teams!A:B, 2, FALSE), VLOOKUP(G4, Teams!A:B, 2, FALSE), VLOOKUP(H4, Teams!A:B, 2, FALSE))</f>
        <v>35.202554999999997</v>
      </c>
      <c r="U4" s="46">
        <f>R4*SUM(S4, T4)/SUM(AVERAGE($S$2:$S4), AVERAGE($T$2:$T4))</f>
        <v>2.5292224332779403E-2</v>
      </c>
      <c r="V4" s="46">
        <f>AVERAGE($R$2:$R4)</f>
        <v>0.34245800370370388</v>
      </c>
      <c r="W4" s="46">
        <f>AVERAGE($U$2:$U4)</f>
        <v>0.34175940608636507</v>
      </c>
      <c r="X4" s="4">
        <f t="shared" si="6"/>
        <v>0</v>
      </c>
      <c r="Y4" s="46">
        <f>AVERAGE($X$2:$X4)*0.5</f>
        <v>0</v>
      </c>
    </row>
    <row r="5" spans="1:27">
      <c r="A5" s="3">
        <f>'Online Results'!L7</f>
        <v>0.55208333333333337</v>
      </c>
      <c r="B5" s="18">
        <f>'Online Results'!M7</f>
        <v>4</v>
      </c>
      <c r="C5" s="20">
        <f>'Online Results'!N7</f>
        <v>244</v>
      </c>
      <c r="D5" s="20">
        <f>'Online Results'!O7</f>
        <v>4069</v>
      </c>
      <c r="E5" s="20">
        <f>'Online Results'!P7</f>
        <v>433</v>
      </c>
      <c r="F5" s="19">
        <f>'Online Results'!Q7</f>
        <v>3419</v>
      </c>
      <c r="G5" s="19">
        <f>'Online Results'!R7</f>
        <v>3860</v>
      </c>
      <c r="H5" s="19">
        <f>'Online Results'!S7</f>
        <v>537</v>
      </c>
      <c r="I5" s="42">
        <f>SUM(VLOOKUP(C5, Teams!A:B, 2, FALSE), VLOOKUP(D5, Teams!A:B, 2, FALSE), VLOOKUP(E5, Teams!A:B, 2, FALSE))</f>
        <v>25.510770000000001</v>
      </c>
      <c r="J5" s="44">
        <f>SUM(VLOOKUP(F5, Teams!A:B, 2, FALSE), VLOOKUP(G5, Teams!A:B, 2, FALSE), VLOOKUP(H5, Teams!A:B, 2, FALSE))</f>
        <v>25.752400000000002</v>
      </c>
      <c r="K5" s="7">
        <f t="shared" si="0"/>
        <v>2</v>
      </c>
      <c r="L5" s="9">
        <f t="shared" si="1"/>
        <v>0</v>
      </c>
      <c r="M5" s="36">
        <f t="shared" si="2"/>
        <v>19</v>
      </c>
      <c r="N5" s="23">
        <f>IF('Online Results'!T7="", "", 'Online Results'!T7)</f>
        <v>32</v>
      </c>
      <c r="O5" s="22">
        <f>IF('Online Results'!U7="", "", 'Online Results'!U7)</f>
        <v>19</v>
      </c>
      <c r="P5" s="47">
        <f t="shared" si="3"/>
        <v>32</v>
      </c>
      <c r="Q5" s="48">
        <f t="shared" si="4"/>
        <v>19</v>
      </c>
      <c r="R5" s="46">
        <f t="shared" si="5"/>
        <v>5.1601960784314182E-3</v>
      </c>
      <c r="S5" s="13">
        <f>SUM(VLOOKUP(C5, Teams!A:B, 2, FALSE), VLOOKUP(D5, Teams!A:B, 2, FALSE), VLOOKUP(E5, Teams!A:B, 2, FALSE))</f>
        <v>25.510770000000001</v>
      </c>
      <c r="T5" s="11">
        <f>SUM(VLOOKUP(F5, Teams!A:B, 2, FALSE), VLOOKUP(G5, Teams!A:B, 2, FALSE), VLOOKUP(H5, Teams!A:B, 2, FALSE))</f>
        <v>25.752400000000002</v>
      </c>
      <c r="U5" s="46">
        <f>R5*SUM(S5, T5)/SUM(AVERAGE($S$2:$S5), AVERAGE($T$2:$T5))</f>
        <v>4.0491714852894899E-3</v>
      </c>
      <c r="V5" s="46">
        <f>AVERAGE($R$2:$R5)</f>
        <v>0.25813355179738573</v>
      </c>
      <c r="W5" s="46">
        <f>AVERAGE($U$2:$U5)</f>
        <v>0.25733184743609616</v>
      </c>
      <c r="X5" s="4">
        <f t="shared" si="6"/>
        <v>2</v>
      </c>
      <c r="Y5" s="46">
        <f>AVERAGE($X$2:$X5)*0.5</f>
        <v>0.25</v>
      </c>
    </row>
    <row r="6" spans="1:27">
      <c r="A6" s="3">
        <f>'Online Results'!L8</f>
        <v>0.55625000000000002</v>
      </c>
      <c r="B6" s="18">
        <f>'Online Results'!M8</f>
        <v>5</v>
      </c>
      <c r="C6" s="20">
        <f>'Online Results'!N8</f>
        <v>3965</v>
      </c>
      <c r="D6" s="20">
        <f>'Online Results'!O8</f>
        <v>4269</v>
      </c>
      <c r="E6" s="20">
        <f>'Online Results'!P8</f>
        <v>2914</v>
      </c>
      <c r="F6" s="19">
        <f>'Online Results'!Q8</f>
        <v>1778</v>
      </c>
      <c r="G6" s="19">
        <f>'Online Results'!R8</f>
        <v>3205</v>
      </c>
      <c r="H6" s="19">
        <f>'Online Results'!S8</f>
        <v>3132</v>
      </c>
      <c r="I6" s="42">
        <f>SUM(VLOOKUP(C6, Teams!A:B, 2, FALSE), VLOOKUP(D6, Teams!A:B, 2, FALSE), VLOOKUP(E6, Teams!A:B, 2, FALSE))</f>
        <v>22.546504999999996</v>
      </c>
      <c r="J6" s="44">
        <f>SUM(VLOOKUP(F6, Teams!A:B, 2, FALSE), VLOOKUP(G6, Teams!A:B, 2, FALSE), VLOOKUP(H6, Teams!A:B, 2, FALSE))</f>
        <v>30.137499999999996</v>
      </c>
      <c r="K6" s="7">
        <f t="shared" si="0"/>
        <v>0</v>
      </c>
      <c r="L6" s="9">
        <f t="shared" si="1"/>
        <v>2</v>
      </c>
      <c r="M6" s="36">
        <f t="shared" si="2"/>
        <v>26</v>
      </c>
      <c r="N6" s="23">
        <f>IF('Online Results'!T8="", "", 'Online Results'!T8)</f>
        <v>26</v>
      </c>
      <c r="O6" s="22">
        <f>IF('Online Results'!U8="", "", 'Online Results'!U8)</f>
        <v>27</v>
      </c>
      <c r="P6" s="47">
        <f t="shared" si="3"/>
        <v>26</v>
      </c>
      <c r="Q6" s="48">
        <f t="shared" si="4"/>
        <v>27</v>
      </c>
      <c r="R6" s="46">
        <f t="shared" si="5"/>
        <v>5.9621698113209061E-3</v>
      </c>
      <c r="S6" s="13">
        <f>SUM(VLOOKUP(C6, Teams!A:B, 2, FALSE), VLOOKUP(D6, Teams!A:B, 2, FALSE), VLOOKUP(E6, Teams!A:B, 2, FALSE))</f>
        <v>22.546504999999996</v>
      </c>
      <c r="T6" s="11">
        <f>SUM(VLOOKUP(F6, Teams!A:B, 2, FALSE), VLOOKUP(G6, Teams!A:B, 2, FALSE), VLOOKUP(H6, Teams!A:B, 2, FALSE))</f>
        <v>30.137499999999996</v>
      </c>
      <c r="U6" s="46">
        <f>R6*SUM(S6, T6)/SUM(AVERAGE($S$2:$S6), AVERAGE($T$2:$T6))</f>
        <v>5.0017721431908635E-3</v>
      </c>
      <c r="V6" s="46">
        <f>AVERAGE($R$2:$R6)</f>
        <v>0.20769927540017274</v>
      </c>
      <c r="W6" s="46">
        <f>AVERAGE($U$2:$U6)</f>
        <v>0.20686583237751507</v>
      </c>
      <c r="X6" s="4">
        <f t="shared" si="6"/>
        <v>0</v>
      </c>
      <c r="Y6" s="46">
        <f>AVERAGE($X$2:$X6)*0.5</f>
        <v>0.2</v>
      </c>
    </row>
    <row r="7" spans="1:27">
      <c r="A7" s="3">
        <f>'Online Results'!L9</f>
        <v>0.5625</v>
      </c>
      <c r="B7" s="18">
        <f>'Online Results'!M9</f>
        <v>6</v>
      </c>
      <c r="C7" s="20">
        <f>'Online Results'!N9</f>
        <v>624</v>
      </c>
      <c r="D7" s="20">
        <f>'Online Results'!O9</f>
        <v>3528</v>
      </c>
      <c r="E7" s="20">
        <f>'Online Results'!P9</f>
        <v>3970</v>
      </c>
      <c r="F7" s="19">
        <f>'Online Results'!Q9</f>
        <v>1143</v>
      </c>
      <c r="G7" s="19">
        <f>'Online Results'!R9</f>
        <v>2500</v>
      </c>
      <c r="H7" s="19">
        <f>'Online Results'!S9</f>
        <v>2474</v>
      </c>
      <c r="I7" s="42">
        <f>SUM(VLOOKUP(C7, Teams!A:B, 2, FALSE), VLOOKUP(D7, Teams!A:B, 2, FALSE), VLOOKUP(E7, Teams!A:B, 2, FALSE))</f>
        <v>63.854939999999999</v>
      </c>
      <c r="J7" s="44">
        <f>SUM(VLOOKUP(F7, Teams!A:B, 2, FALSE), VLOOKUP(G7, Teams!A:B, 2, FALSE), VLOOKUP(H7, Teams!A:B, 2, FALSE))</f>
        <v>35.381889999999999</v>
      </c>
      <c r="K7" s="7">
        <f t="shared" si="0"/>
        <v>2</v>
      </c>
      <c r="L7" s="9">
        <f t="shared" si="1"/>
        <v>0</v>
      </c>
      <c r="M7" s="36">
        <f t="shared" si="2"/>
        <v>29</v>
      </c>
      <c r="N7" s="23">
        <f>IF('Online Results'!T9="", "", 'Online Results'!T9)</f>
        <v>47</v>
      </c>
      <c r="O7" s="22">
        <f>IF('Online Results'!U9="", "", 'Online Results'!U9)</f>
        <v>29</v>
      </c>
      <c r="P7" s="47">
        <f t="shared" si="3"/>
        <v>47</v>
      </c>
      <c r="Q7" s="48">
        <f t="shared" si="4"/>
        <v>29</v>
      </c>
      <c r="R7" s="46">
        <f t="shared" si="5"/>
        <v>0.3057477631578947</v>
      </c>
      <c r="S7" s="13">
        <f>SUM(VLOOKUP(C7, Teams!A:B, 2, FALSE), VLOOKUP(D7, Teams!A:B, 2, FALSE), VLOOKUP(E7, Teams!A:B, 2, FALSE))</f>
        <v>63.854939999999999</v>
      </c>
      <c r="T7" s="11">
        <f>SUM(VLOOKUP(F7, Teams!A:B, 2, FALSE), VLOOKUP(G7, Teams!A:B, 2, FALSE), VLOOKUP(H7, Teams!A:B, 2, FALSE))</f>
        <v>35.381889999999999</v>
      </c>
      <c r="U7" s="46">
        <f>R7*SUM(S7, T7)/SUM(AVERAGE($S$2:$S7), AVERAGE($T$2:$T7))</f>
        <v>0.44054342330865548</v>
      </c>
      <c r="V7" s="46">
        <f>AVERAGE($R$2:$R7)</f>
        <v>0.22404069002645974</v>
      </c>
      <c r="W7" s="46">
        <f>AVERAGE($U$2:$U7)</f>
        <v>0.24581209753270516</v>
      </c>
      <c r="X7" s="4">
        <f t="shared" si="6"/>
        <v>0</v>
      </c>
      <c r="Y7" s="46">
        <f>AVERAGE($X$2:$X7)*0.5</f>
        <v>0.16666666666666666</v>
      </c>
    </row>
    <row r="8" spans="1:27">
      <c r="A8" s="3">
        <f>'Online Results'!L10</f>
        <v>0.56805555555555554</v>
      </c>
      <c r="B8" s="18">
        <f>'Online Results'!M10</f>
        <v>7</v>
      </c>
      <c r="C8" s="20">
        <f>'Online Results'!N10</f>
        <v>1507</v>
      </c>
      <c r="D8" s="20">
        <f>'Online Results'!O10</f>
        <v>2844</v>
      </c>
      <c r="E8" s="20">
        <f>'Online Results'!P10</f>
        <v>85</v>
      </c>
      <c r="F8" s="19">
        <f>'Online Results'!Q10</f>
        <v>932</v>
      </c>
      <c r="G8" s="19">
        <f>'Online Results'!R10</f>
        <v>207</v>
      </c>
      <c r="H8" s="19">
        <f>'Online Results'!S10</f>
        <v>1683</v>
      </c>
      <c r="I8" s="42">
        <f>SUM(VLOOKUP(C8, Teams!A:B, 2, FALSE), VLOOKUP(D8, Teams!A:B, 2, FALSE), VLOOKUP(E8, Teams!A:B, 2, FALSE))</f>
        <v>46.628814999999996</v>
      </c>
      <c r="J8" s="44">
        <f>SUM(VLOOKUP(F8, Teams!A:B, 2, FALSE), VLOOKUP(G8, Teams!A:B, 2, FALSE), VLOOKUP(H8, Teams!A:B, 2, FALSE))</f>
        <v>23.491244999999999</v>
      </c>
      <c r="K8" s="7">
        <f t="shared" si="0"/>
        <v>2</v>
      </c>
      <c r="L8" s="9">
        <f t="shared" si="1"/>
        <v>0</v>
      </c>
      <c r="M8" s="36">
        <f t="shared" si="2"/>
        <v>1</v>
      </c>
      <c r="N8" s="23">
        <f>IF('Online Results'!T10="", "", 'Online Results'!T10)</f>
        <v>22</v>
      </c>
      <c r="O8" s="22">
        <f>IF('Online Results'!U10="", "", 'Online Results'!U10)</f>
        <v>1</v>
      </c>
      <c r="P8" s="47">
        <f t="shared" si="3"/>
        <v>22</v>
      </c>
      <c r="Q8" s="48">
        <f t="shared" si="4"/>
        <v>1</v>
      </c>
      <c r="R8" s="46">
        <f t="shared" si="5"/>
        <v>2.048698260869565</v>
      </c>
      <c r="S8" s="13">
        <f>SUM(VLOOKUP(C8, Teams!A:B, 2, FALSE), VLOOKUP(D8, Teams!A:B, 2, FALSE), VLOOKUP(E8, Teams!A:B, 2, FALSE))</f>
        <v>46.628814999999996</v>
      </c>
      <c r="T8" s="11">
        <f>SUM(VLOOKUP(F8, Teams!A:B, 2, FALSE), VLOOKUP(G8, Teams!A:B, 2, FALSE), VLOOKUP(H8, Teams!A:B, 2, FALSE))</f>
        <v>23.491244999999999</v>
      </c>
      <c r="U8" s="46">
        <f>R8*SUM(S8, T8)/SUM(AVERAGE($S$2:$S8), AVERAGE($T$2:$T8))</f>
        <v>2.0804183677199268</v>
      </c>
      <c r="V8" s="46">
        <f>AVERAGE($R$2:$R8)</f>
        <v>0.48470605728976046</v>
      </c>
      <c r="W8" s="46">
        <f>AVERAGE($U$2:$U8)</f>
        <v>0.5078987075594511</v>
      </c>
      <c r="X8" s="4">
        <f t="shared" si="6"/>
        <v>0</v>
      </c>
      <c r="Y8" s="46">
        <f>AVERAGE($X$2:$X8)*0.5</f>
        <v>0.14285714285714285</v>
      </c>
    </row>
    <row r="9" spans="1:27">
      <c r="A9" s="3">
        <f>'Online Results'!L11</f>
        <v>0.57291666666666663</v>
      </c>
      <c r="B9" s="18">
        <f>'Online Results'!M11</f>
        <v>8</v>
      </c>
      <c r="C9" s="20">
        <f>'Online Results'!N11</f>
        <v>564</v>
      </c>
      <c r="D9" s="20">
        <f>'Online Results'!O11</f>
        <v>1828</v>
      </c>
      <c r="E9" s="20">
        <f>'Online Results'!P11</f>
        <v>1501</v>
      </c>
      <c r="F9" s="19">
        <f>'Online Results'!Q11</f>
        <v>293</v>
      </c>
      <c r="G9" s="19">
        <f>'Online Results'!R11</f>
        <v>1764</v>
      </c>
      <c r="H9" s="19">
        <f>'Online Results'!S11</f>
        <v>604</v>
      </c>
      <c r="I9" s="42">
        <f>SUM(VLOOKUP(C9, Teams!A:B, 2, FALSE), VLOOKUP(D9, Teams!A:B, 2, FALSE), VLOOKUP(E9, Teams!A:B, 2, FALSE))</f>
        <v>25.661159999999999</v>
      </c>
      <c r="J9" s="44">
        <f>SUM(VLOOKUP(F9, Teams!A:B, 2, FALSE), VLOOKUP(G9, Teams!A:B, 2, FALSE), VLOOKUP(H9, Teams!A:B, 2, FALSE))</f>
        <v>21.90598</v>
      </c>
      <c r="K9" s="7">
        <f t="shared" si="0"/>
        <v>2</v>
      </c>
      <c r="L9" s="9">
        <f t="shared" si="1"/>
        <v>0</v>
      </c>
      <c r="M9" s="36">
        <f t="shared" si="2"/>
        <v>9</v>
      </c>
      <c r="N9" s="23">
        <f>IF('Online Results'!T11="", "", 'Online Results'!T11)</f>
        <v>42</v>
      </c>
      <c r="O9" s="22">
        <f>IF('Online Results'!U11="", "", 'Online Results'!U11)</f>
        <v>9</v>
      </c>
      <c r="P9" s="47">
        <f t="shared" si="3"/>
        <v>42</v>
      </c>
      <c r="Q9" s="48">
        <f t="shared" si="4"/>
        <v>9</v>
      </c>
      <c r="R9" s="46">
        <f t="shared" si="5"/>
        <v>6.7310980392156966E-2</v>
      </c>
      <c r="S9" s="13">
        <f>SUM(VLOOKUP(C9, Teams!A:B, 2, FALSE), VLOOKUP(D9, Teams!A:B, 2, FALSE), VLOOKUP(E9, Teams!A:B, 2, FALSE))</f>
        <v>25.661159999999999</v>
      </c>
      <c r="T9" s="11">
        <f>SUM(VLOOKUP(F9, Teams!A:B, 2, FALSE), VLOOKUP(G9, Teams!A:B, 2, FALSE), VLOOKUP(H9, Teams!A:B, 2, FALSE))</f>
        <v>21.90598</v>
      </c>
      <c r="U9" s="46">
        <f>R9*SUM(S9, T9)/SUM(AVERAGE($S$2:$S9), AVERAGE($T$2:$T9))</f>
        <v>4.8244833449728255E-2</v>
      </c>
      <c r="V9" s="46">
        <f>AVERAGE($R$2:$R9)</f>
        <v>0.43253167267755999</v>
      </c>
      <c r="W9" s="46">
        <f>AVERAGE($U$2:$U9)</f>
        <v>0.45044197329573576</v>
      </c>
      <c r="X9" s="4">
        <f t="shared" si="6"/>
        <v>0</v>
      </c>
      <c r="Y9" s="46">
        <f>AVERAGE($X$2:$X9)*0.5</f>
        <v>0.125</v>
      </c>
    </row>
    <row r="10" spans="1:27">
      <c r="A10" s="3">
        <f>'Online Results'!L12</f>
        <v>0.57708333333333328</v>
      </c>
      <c r="B10" s="18">
        <f>'Online Results'!M12</f>
        <v>9</v>
      </c>
      <c r="C10" s="20">
        <f>'Online Results'!N12</f>
        <v>1319</v>
      </c>
      <c r="D10" s="20">
        <f>'Online Results'!O12</f>
        <v>971</v>
      </c>
      <c r="E10" s="20">
        <f>'Online Results'!P12</f>
        <v>27</v>
      </c>
      <c r="F10" s="19">
        <f>'Online Results'!Q12</f>
        <v>4130</v>
      </c>
      <c r="G10" s="19">
        <f>'Online Results'!R12</f>
        <v>2164</v>
      </c>
      <c r="H10" s="19">
        <f>'Online Results'!S12</f>
        <v>341</v>
      </c>
      <c r="I10" s="42">
        <f>SUM(VLOOKUP(C10, Teams!A:B, 2, FALSE), VLOOKUP(D10, Teams!A:B, 2, FALSE), VLOOKUP(E10, Teams!A:B, 2, FALSE))</f>
        <v>52.008898333333335</v>
      </c>
      <c r="J10" s="44">
        <f>SUM(VLOOKUP(F10, Teams!A:B, 2, FALSE), VLOOKUP(G10, Teams!A:B, 2, FALSE), VLOOKUP(H10, Teams!A:B, 2, FALSE))</f>
        <v>45.102150000000002</v>
      </c>
      <c r="K10" s="7">
        <f t="shared" si="0"/>
        <v>0</v>
      </c>
      <c r="L10" s="9">
        <f t="shared" si="1"/>
        <v>2</v>
      </c>
      <c r="M10" s="36">
        <f t="shared" si="2"/>
        <v>22</v>
      </c>
      <c r="N10" s="23">
        <f>IF('Online Results'!T12="", "", 'Online Results'!T12)</f>
        <v>22</v>
      </c>
      <c r="O10" s="22">
        <f>IF('Online Results'!U12="", "", 'Online Results'!U12)</f>
        <v>49</v>
      </c>
      <c r="P10" s="47">
        <f t="shared" si="3"/>
        <v>22</v>
      </c>
      <c r="Q10" s="48">
        <f t="shared" si="4"/>
        <v>49</v>
      </c>
      <c r="R10" s="46">
        <f t="shared" si="5"/>
        <v>0.36776124413145556</v>
      </c>
      <c r="S10" s="13">
        <f>SUM(VLOOKUP(C10, Teams!A:B, 2, FALSE), VLOOKUP(D10, Teams!A:B, 2, FALSE), VLOOKUP(E10, Teams!A:B, 2, FALSE))</f>
        <v>52.008898333333335</v>
      </c>
      <c r="T10" s="11">
        <f>SUM(VLOOKUP(F10, Teams!A:B, 2, FALSE), VLOOKUP(G10, Teams!A:B, 2, FALSE), VLOOKUP(H10, Teams!A:B, 2, FALSE))</f>
        <v>45.102150000000002</v>
      </c>
      <c r="U10" s="46">
        <f>R10*SUM(S10, T10)/SUM(AVERAGE($S$2:$S10), AVERAGE($T$2:$T10))</f>
        <v>0.51179191649246658</v>
      </c>
      <c r="V10" s="46">
        <f>AVERAGE($R$2:$R10)</f>
        <v>0.42533495839465951</v>
      </c>
      <c r="W10" s="46">
        <f>AVERAGE($U$2:$U10)</f>
        <v>0.45725863365092806</v>
      </c>
      <c r="X10" s="4">
        <f t="shared" si="6"/>
        <v>2</v>
      </c>
      <c r="Y10" s="46">
        <f>AVERAGE($X$2:$X10)*0.5</f>
        <v>0.22222222222222221</v>
      </c>
    </row>
    <row r="11" spans="1:27">
      <c r="A11" s="3">
        <f>'Online Results'!L13</f>
        <v>0.5805555555555556</v>
      </c>
      <c r="B11" s="18">
        <f>'Online Results'!M13</f>
        <v>10</v>
      </c>
      <c r="C11" s="20">
        <f>'Online Results'!N13</f>
        <v>2102</v>
      </c>
      <c r="D11" s="20">
        <f>'Online Results'!O13</f>
        <v>694</v>
      </c>
      <c r="E11" s="20">
        <f>'Online Results'!P13</f>
        <v>1477</v>
      </c>
      <c r="F11" s="19">
        <f>'Online Results'!Q13</f>
        <v>116</v>
      </c>
      <c r="G11" s="19">
        <f>'Online Results'!R13</f>
        <v>1678</v>
      </c>
      <c r="H11" s="19">
        <f>'Online Results'!S13</f>
        <v>1511</v>
      </c>
      <c r="I11" s="42">
        <f>SUM(VLOOKUP(C11, Teams!A:B, 2, FALSE), VLOOKUP(D11, Teams!A:B, 2, FALSE), VLOOKUP(E11, Teams!A:B, 2, FALSE))</f>
        <v>47.587133333333341</v>
      </c>
      <c r="J11" s="44">
        <f>SUM(VLOOKUP(F11, Teams!A:B, 2, FALSE), VLOOKUP(G11, Teams!A:B, 2, FALSE), VLOOKUP(H11, Teams!A:B, 2, FALSE))</f>
        <v>49.294349999999994</v>
      </c>
      <c r="K11" s="7">
        <f t="shared" si="0"/>
        <v>0</v>
      </c>
      <c r="L11" s="9">
        <f t="shared" si="1"/>
        <v>2</v>
      </c>
      <c r="M11" s="36">
        <f t="shared" si="2"/>
        <v>33</v>
      </c>
      <c r="N11" s="23">
        <f>IF('Online Results'!T13="", "", 'Online Results'!T13)</f>
        <v>33</v>
      </c>
      <c r="O11" s="22">
        <f>IF('Online Results'!U13="", "", 'Online Results'!U13)</f>
        <v>36</v>
      </c>
      <c r="P11" s="47">
        <f t="shared" si="3"/>
        <v>33</v>
      </c>
      <c r="Q11" s="48">
        <f t="shared" si="4"/>
        <v>36</v>
      </c>
      <c r="R11" s="46">
        <f t="shared" si="5"/>
        <v>0.40407946859903382</v>
      </c>
      <c r="S11" s="13">
        <f>SUM(VLOOKUP(C11, Teams!A:B, 2, FALSE), VLOOKUP(D11, Teams!A:B, 2, FALSE), VLOOKUP(E11, Teams!A:B, 2, FALSE))</f>
        <v>47.587133333333341</v>
      </c>
      <c r="T11" s="11">
        <f>SUM(VLOOKUP(F11, Teams!A:B, 2, FALSE), VLOOKUP(G11, Teams!A:B, 2, FALSE), VLOOKUP(H11, Teams!A:B, 2, FALSE))</f>
        <v>49.294349999999994</v>
      </c>
      <c r="U11" s="46">
        <f>R11*SUM(S11, T11)/SUM(AVERAGE($S$2:$S11), AVERAGE($T$2:$T11))</f>
        <v>0.54003228668694181</v>
      </c>
      <c r="V11" s="46">
        <f>AVERAGE($R$2:$R11)</f>
        <v>0.42320940941509699</v>
      </c>
      <c r="W11" s="46">
        <f>AVERAGE($U$2:$U11)</f>
        <v>0.46553599895452946</v>
      </c>
      <c r="X11" s="4">
        <f t="shared" si="6"/>
        <v>0</v>
      </c>
      <c r="Y11" s="46">
        <f>AVERAGE($X$2:$X11)*0.5</f>
        <v>0.2</v>
      </c>
    </row>
    <row r="12" spans="1:27">
      <c r="A12" s="3">
        <f>'Online Results'!L14</f>
        <v>0.5854166666666667</v>
      </c>
      <c r="B12" s="18">
        <f>'Online Results'!M14</f>
        <v>11</v>
      </c>
      <c r="C12" s="20">
        <f>'Online Results'!N14</f>
        <v>254</v>
      </c>
      <c r="D12" s="20">
        <f>'Online Results'!O14</f>
        <v>2591</v>
      </c>
      <c r="E12" s="20">
        <f>'Online Results'!P14</f>
        <v>3936</v>
      </c>
      <c r="F12" s="19">
        <f>'Online Results'!Q14</f>
        <v>3940</v>
      </c>
      <c r="G12" s="19">
        <f>'Online Results'!R14</f>
        <v>1741</v>
      </c>
      <c r="H12" s="19">
        <f>'Online Results'!S14</f>
        <v>2180</v>
      </c>
      <c r="I12" s="42">
        <f>SUM(VLOOKUP(C12, Teams!A:B, 2, FALSE), VLOOKUP(D12, Teams!A:B, 2, FALSE), VLOOKUP(E12, Teams!A:B, 2, FALSE))</f>
        <v>46.213089999999994</v>
      </c>
      <c r="J12" s="44">
        <f>SUM(VLOOKUP(F12, Teams!A:B, 2, FALSE), VLOOKUP(G12, Teams!A:B, 2, FALSE), VLOOKUP(H12, Teams!A:B, 2, FALSE))</f>
        <v>40.838290000000001</v>
      </c>
      <c r="K12" s="7">
        <f t="shared" si="0"/>
        <v>0</v>
      </c>
      <c r="L12" s="9">
        <f t="shared" si="1"/>
        <v>2</v>
      </c>
      <c r="M12" s="36">
        <f t="shared" si="2"/>
        <v>26</v>
      </c>
      <c r="N12" s="23">
        <f>IF('Online Results'!T14="", "", 'Online Results'!T14)</f>
        <v>26</v>
      </c>
      <c r="O12" s="22">
        <f>IF('Online Results'!U14="", "", 'Online Results'!U14)</f>
        <v>27</v>
      </c>
      <c r="P12" s="47">
        <f t="shared" si="3"/>
        <v>26</v>
      </c>
      <c r="Q12" s="48">
        <f t="shared" si="4"/>
        <v>27</v>
      </c>
      <c r="R12" s="46">
        <f t="shared" si="5"/>
        <v>0.64247886792452824</v>
      </c>
      <c r="S12" s="13">
        <f>SUM(VLOOKUP(C12, Teams!A:B, 2, FALSE), VLOOKUP(D12, Teams!A:B, 2, FALSE), VLOOKUP(E12, Teams!A:B, 2, FALSE))</f>
        <v>46.213089999999994</v>
      </c>
      <c r="T12" s="11">
        <f>SUM(VLOOKUP(F12, Teams!A:B, 2, FALSE), VLOOKUP(G12, Teams!A:B, 2, FALSE), VLOOKUP(H12, Teams!A:B, 2, FALSE))</f>
        <v>40.838290000000001</v>
      </c>
      <c r="U12" s="46">
        <f>R12*SUM(S12, T12)/SUM(AVERAGE($S$2:$S12), AVERAGE($T$2:$T12))</f>
        <v>0.7576846244096731</v>
      </c>
      <c r="V12" s="46">
        <f>AVERAGE($R$2:$R12)</f>
        <v>0.44314299655231798</v>
      </c>
      <c r="W12" s="46">
        <f>AVERAGE($U$2:$U12)</f>
        <v>0.4920949649049971</v>
      </c>
      <c r="X12" s="4">
        <f t="shared" si="6"/>
        <v>2</v>
      </c>
      <c r="Y12" s="46">
        <f>AVERAGE($X$2:$X12)*0.5</f>
        <v>0.27272727272727271</v>
      </c>
    </row>
    <row r="13" spans="1:27">
      <c r="A13" s="3">
        <f>'Online Results'!L15</f>
        <v>0.59027777777777779</v>
      </c>
      <c r="B13" s="18">
        <f>'Online Results'!M15</f>
        <v>12</v>
      </c>
      <c r="C13" s="20">
        <f>'Online Results'!N15</f>
        <v>597</v>
      </c>
      <c r="D13" s="20">
        <f>'Online Results'!O15</f>
        <v>987</v>
      </c>
      <c r="E13" s="20">
        <f>'Online Results'!P15</f>
        <v>4203</v>
      </c>
      <c r="F13" s="19">
        <f>'Online Results'!Q15</f>
        <v>1266</v>
      </c>
      <c r="G13" s="19">
        <f>'Online Results'!R15</f>
        <v>1817</v>
      </c>
      <c r="H13" s="19">
        <f>'Online Results'!S15</f>
        <v>830</v>
      </c>
      <c r="I13" s="42">
        <f>SUM(VLOOKUP(C13, Teams!A:B, 2, FALSE), VLOOKUP(D13, Teams!A:B, 2, FALSE), VLOOKUP(E13, Teams!A:B, 2, FALSE))</f>
        <v>41.934110000000004</v>
      </c>
      <c r="J13" s="44">
        <f>SUM(VLOOKUP(F13, Teams!A:B, 2, FALSE), VLOOKUP(G13, Teams!A:B, 2, FALSE), VLOOKUP(H13, Teams!A:B, 2, FALSE))</f>
        <v>28.08307666666667</v>
      </c>
      <c r="K13" s="7">
        <f t="shared" si="0"/>
        <v>2</v>
      </c>
      <c r="L13" s="9">
        <f t="shared" si="1"/>
        <v>0</v>
      </c>
      <c r="M13" s="36">
        <f t="shared" si="2"/>
        <v>16</v>
      </c>
      <c r="N13" s="23">
        <f>IF('Online Results'!T15="", "", 'Online Results'!T15)</f>
        <v>71</v>
      </c>
      <c r="O13" s="22">
        <f>IF('Online Results'!U15="", "", 'Online Results'!U15)</f>
        <v>16</v>
      </c>
      <c r="P13" s="47">
        <f t="shared" si="3"/>
        <v>71</v>
      </c>
      <c r="Q13" s="48">
        <f t="shared" si="4"/>
        <v>16</v>
      </c>
      <c r="R13" s="46">
        <f t="shared" si="5"/>
        <v>0.19520475095785431</v>
      </c>
      <c r="S13" s="13">
        <f>SUM(VLOOKUP(C13, Teams!A:B, 2, FALSE), VLOOKUP(D13, Teams!A:B, 2, FALSE), VLOOKUP(E13, Teams!A:B, 2, FALSE))</f>
        <v>41.934110000000004</v>
      </c>
      <c r="T13" s="11">
        <f>SUM(VLOOKUP(F13, Teams!A:B, 2, FALSE), VLOOKUP(G13, Teams!A:B, 2, FALSE), VLOOKUP(H13, Teams!A:B, 2, FALSE))</f>
        <v>28.08307666666667</v>
      </c>
      <c r="U13" s="46">
        <f>R13*SUM(S13, T13)/SUM(AVERAGE($S$2:$S13), AVERAGE($T$2:$T13))</f>
        <v>0.18595813186503468</v>
      </c>
      <c r="V13" s="46">
        <f>AVERAGE($R$2:$R13)</f>
        <v>0.42248147608611269</v>
      </c>
      <c r="W13" s="46">
        <f>AVERAGE($U$2:$U13)</f>
        <v>0.46658356215166691</v>
      </c>
      <c r="X13" s="4">
        <f t="shared" si="6"/>
        <v>0</v>
      </c>
      <c r="Y13" s="46">
        <f>AVERAGE($X$2:$X13)*0.5</f>
        <v>0.25</v>
      </c>
    </row>
    <row r="14" spans="1:27">
      <c r="A14" s="3">
        <f>'Online Results'!L16</f>
        <v>0.59513888888888888</v>
      </c>
      <c r="B14" s="18">
        <f>'Online Results'!M16</f>
        <v>13</v>
      </c>
      <c r="C14" s="20">
        <f>'Online Results'!N16</f>
        <v>3288</v>
      </c>
      <c r="D14" s="20">
        <f>'Online Results'!O16</f>
        <v>233</v>
      </c>
      <c r="E14" s="20">
        <f>'Online Results'!P16</f>
        <v>279</v>
      </c>
      <c r="F14" s="19">
        <f>'Online Results'!Q16</f>
        <v>4226</v>
      </c>
      <c r="G14" s="19">
        <f>'Online Results'!R16</f>
        <v>2130</v>
      </c>
      <c r="H14" s="19">
        <f>'Online Results'!S16</f>
        <v>288</v>
      </c>
      <c r="I14" s="42">
        <f>SUM(VLOOKUP(C14, Teams!A:B, 2, FALSE), VLOOKUP(D14, Teams!A:B, 2, FALSE), VLOOKUP(E14, Teams!A:B, 2, FALSE))</f>
        <v>37.594268</v>
      </c>
      <c r="J14" s="44">
        <f>SUM(VLOOKUP(F14, Teams!A:B, 2, FALSE), VLOOKUP(G14, Teams!A:B, 2, FALSE), VLOOKUP(H14, Teams!A:B, 2, FALSE))</f>
        <v>20.995989999999999</v>
      </c>
      <c r="K14" s="7">
        <f t="shared" si="0"/>
        <v>2</v>
      </c>
      <c r="L14" s="9">
        <f t="shared" si="1"/>
        <v>0</v>
      </c>
      <c r="M14" s="36">
        <f t="shared" si="2"/>
        <v>7</v>
      </c>
      <c r="N14" s="23">
        <f>IF('Online Results'!T16="", "", 'Online Results'!T16)</f>
        <v>55</v>
      </c>
      <c r="O14" s="22">
        <f>IF('Online Results'!U16="", "", 'Online Results'!U16)</f>
        <v>7</v>
      </c>
      <c r="P14" s="47">
        <f t="shared" si="3"/>
        <v>55</v>
      </c>
      <c r="Q14" s="48">
        <f t="shared" si="4"/>
        <v>7</v>
      </c>
      <c r="R14" s="46">
        <f t="shared" si="5"/>
        <v>5.499583870967744E-2</v>
      </c>
      <c r="S14" s="13">
        <f>SUM(VLOOKUP(C14, Teams!A:B, 2, FALSE), VLOOKUP(D14, Teams!A:B, 2, FALSE), VLOOKUP(E14, Teams!A:B, 2, FALSE))</f>
        <v>37.594268</v>
      </c>
      <c r="T14" s="11">
        <f>SUM(VLOOKUP(F14, Teams!A:B, 2, FALSE), VLOOKUP(G14, Teams!A:B, 2, FALSE), VLOOKUP(H14, Teams!A:B, 2, FALSE))</f>
        <v>20.995989999999999</v>
      </c>
      <c r="U14" s="46">
        <f>R14*SUM(S14, T14)/SUM(AVERAGE($S$2:$S14), AVERAGE($T$2:$T14))</f>
        <v>4.4535376087194489E-2</v>
      </c>
      <c r="V14" s="46">
        <f>AVERAGE($R$2:$R14)</f>
        <v>0.39421335013407927</v>
      </c>
      <c r="W14" s="46">
        <f>AVERAGE($U$2:$U14)</f>
        <v>0.43411831706978438</v>
      </c>
      <c r="X14" s="4">
        <f t="shared" si="6"/>
        <v>0</v>
      </c>
      <c r="Y14" s="46">
        <f>AVERAGE($X$2:$X14)*0.5</f>
        <v>0.23076923076923078</v>
      </c>
    </row>
    <row r="15" spans="1:27">
      <c r="A15" s="3">
        <f>'Online Results'!L17</f>
        <v>0.59861111111111109</v>
      </c>
      <c r="B15" s="18">
        <f>'Online Results'!M17</f>
        <v>14</v>
      </c>
      <c r="C15" s="20">
        <f>'Online Results'!N17</f>
        <v>2522</v>
      </c>
      <c r="D15" s="20">
        <f>'Online Results'!O17</f>
        <v>706</v>
      </c>
      <c r="E15" s="20">
        <f>'Online Results'!P17</f>
        <v>192</v>
      </c>
      <c r="F15" s="19">
        <f>'Online Results'!Q17</f>
        <v>503</v>
      </c>
      <c r="G15" s="19">
        <f>'Online Results'!R17</f>
        <v>525</v>
      </c>
      <c r="H15" s="19">
        <f>'Online Results'!S17</f>
        <v>4161</v>
      </c>
      <c r="I15" s="42">
        <f>SUM(VLOOKUP(C15, Teams!A:B, 2, FALSE), VLOOKUP(D15, Teams!A:B, 2, FALSE), VLOOKUP(E15, Teams!A:B, 2, FALSE))</f>
        <v>33.50611</v>
      </c>
      <c r="J15" s="44">
        <f>SUM(VLOOKUP(F15, Teams!A:B, 2, FALSE), VLOOKUP(G15, Teams!A:B, 2, FALSE), VLOOKUP(H15, Teams!A:B, 2, FALSE))</f>
        <v>39.02373</v>
      </c>
      <c r="K15" s="7">
        <f t="shared" si="0"/>
        <v>0</v>
      </c>
      <c r="L15" s="9">
        <f t="shared" si="1"/>
        <v>2</v>
      </c>
      <c r="M15" s="36">
        <f t="shared" si="2"/>
        <v>6</v>
      </c>
      <c r="N15" s="23">
        <f>IF('Online Results'!T17="", "", 'Online Results'!T17)</f>
        <v>6</v>
      </c>
      <c r="O15" s="22">
        <f>IF('Online Results'!U17="", "", 'Online Results'!U17)</f>
        <v>49</v>
      </c>
      <c r="P15" s="47">
        <f t="shared" si="3"/>
        <v>6</v>
      </c>
      <c r="Q15" s="48">
        <f t="shared" si="4"/>
        <v>49</v>
      </c>
      <c r="R15" s="46">
        <f t="shared" si="5"/>
        <v>0.31872436363636375</v>
      </c>
      <c r="S15" s="13">
        <f>SUM(VLOOKUP(C15, Teams!A:B, 2, FALSE), VLOOKUP(D15, Teams!A:B, 2, FALSE), VLOOKUP(E15, Teams!A:B, 2, FALSE))</f>
        <v>33.50611</v>
      </c>
      <c r="T15" s="11">
        <f>SUM(VLOOKUP(F15, Teams!A:B, 2, FALSE), VLOOKUP(G15, Teams!A:B, 2, FALSE), VLOOKUP(H15, Teams!A:B, 2, FALSE))</f>
        <v>39.02373</v>
      </c>
      <c r="U15" s="46">
        <f>R15*SUM(S15, T15)/SUM(AVERAGE($S$2:$S15), AVERAGE($T$2:$T15))</f>
        <v>0.31945198665214447</v>
      </c>
      <c r="V15" s="46">
        <f>AVERAGE($R$2:$R15)</f>
        <v>0.38882127966995672</v>
      </c>
      <c r="W15" s="46">
        <f>AVERAGE($U$2:$U15)</f>
        <v>0.42592786489709583</v>
      </c>
      <c r="X15" s="4">
        <f t="shared" si="6"/>
        <v>0</v>
      </c>
      <c r="Y15" s="46">
        <f>AVERAGE($X$2:$X15)*0.5</f>
        <v>0.21428571428571427</v>
      </c>
    </row>
    <row r="16" spans="1:27">
      <c r="A16" s="3">
        <f>'Online Results'!L18</f>
        <v>0.6020833333333333</v>
      </c>
      <c r="B16" s="18">
        <f>'Online Results'!M18</f>
        <v>15</v>
      </c>
      <c r="C16" s="20">
        <f>'Online Results'!N18</f>
        <v>1690</v>
      </c>
      <c r="D16" s="20">
        <f>'Online Results'!O18</f>
        <v>1391</v>
      </c>
      <c r="E16" s="20">
        <f>'Online Results'!P18</f>
        <v>461</v>
      </c>
      <c r="F16" s="19">
        <f>'Online Results'!Q18</f>
        <v>1985</v>
      </c>
      <c r="G16" s="19">
        <f>'Online Results'!R18</f>
        <v>3950</v>
      </c>
      <c r="H16" s="19">
        <f>'Online Results'!S18</f>
        <v>3880</v>
      </c>
      <c r="I16" s="42">
        <f>SUM(VLOOKUP(C16, Teams!A:B, 2, FALSE), VLOOKUP(D16, Teams!A:B, 2, FALSE), VLOOKUP(E16, Teams!A:B, 2, FALSE))</f>
        <v>34.720050000000001</v>
      </c>
      <c r="J16" s="44">
        <f>SUM(VLOOKUP(F16, Teams!A:B, 2, FALSE), VLOOKUP(G16, Teams!A:B, 2, FALSE), VLOOKUP(H16, Teams!A:B, 2, FALSE))</f>
        <v>33.944670000000002</v>
      </c>
      <c r="K16" s="7">
        <f t="shared" si="0"/>
        <v>0</v>
      </c>
      <c r="L16" s="9">
        <f t="shared" si="1"/>
        <v>2</v>
      </c>
      <c r="M16" s="36">
        <f t="shared" si="2"/>
        <v>15</v>
      </c>
      <c r="N16" s="23">
        <f>IF('Online Results'!T18="", "", 'Online Results'!T18)</f>
        <v>15</v>
      </c>
      <c r="O16" s="22">
        <f>IF('Online Results'!U18="", "", 'Online Results'!U18)</f>
        <v>50</v>
      </c>
      <c r="P16" s="47">
        <f t="shared" si="3"/>
        <v>15</v>
      </c>
      <c r="Q16" s="48">
        <f t="shared" si="4"/>
        <v>50</v>
      </c>
      <c r="R16" s="46">
        <f t="shared" si="5"/>
        <v>5.638030769230773E-2</v>
      </c>
      <c r="S16" s="13">
        <f>SUM(VLOOKUP(C16, Teams!A:B, 2, FALSE), VLOOKUP(D16, Teams!A:B, 2, FALSE), VLOOKUP(E16, Teams!A:B, 2, FALSE))</f>
        <v>34.720050000000001</v>
      </c>
      <c r="T16" s="11">
        <f>SUM(VLOOKUP(F16, Teams!A:B, 2, FALSE), VLOOKUP(G16, Teams!A:B, 2, FALSE), VLOOKUP(H16, Teams!A:B, 2, FALSE))</f>
        <v>33.944670000000002</v>
      </c>
      <c r="U16" s="46">
        <f>R16*SUM(S16, T16)/SUM(AVERAGE($S$2:$S16), AVERAGE($T$2:$T16))</f>
        <v>5.3680625218962837E-2</v>
      </c>
      <c r="V16" s="46">
        <f>AVERAGE($R$2:$R16)</f>
        <v>0.36665854820478017</v>
      </c>
      <c r="W16" s="46">
        <f>AVERAGE($U$2:$U16)</f>
        <v>0.40111138225188697</v>
      </c>
      <c r="X16" s="4">
        <f t="shared" si="6"/>
        <v>2</v>
      </c>
      <c r="Y16" s="46">
        <f>AVERAGE($X$2:$X16)*0.5</f>
        <v>0.26666666666666666</v>
      </c>
    </row>
    <row r="17" spans="1:25">
      <c r="A17" s="3">
        <f>'Online Results'!L19</f>
        <v>0.60763888888888895</v>
      </c>
      <c r="B17" s="18">
        <f>'Online Results'!M19</f>
        <v>16</v>
      </c>
      <c r="C17" s="20">
        <f>'Online Results'!N19</f>
        <v>415</v>
      </c>
      <c r="D17" s="20">
        <f>'Online Results'!O19</f>
        <v>1033</v>
      </c>
      <c r="E17" s="20">
        <f>'Online Results'!P19</f>
        <v>120</v>
      </c>
      <c r="F17" s="19">
        <f>'Online Results'!Q19</f>
        <v>571</v>
      </c>
      <c r="G17" s="19">
        <f>'Online Results'!R19</f>
        <v>3847</v>
      </c>
      <c r="H17" s="19">
        <f>'Online Results'!S19</f>
        <v>1649</v>
      </c>
      <c r="I17" s="42">
        <f>SUM(VLOOKUP(C17, Teams!A:B, 2, FALSE), VLOOKUP(D17, Teams!A:B, 2, FALSE), VLOOKUP(E17, Teams!A:B, 2, FALSE))</f>
        <v>10.896845000000001</v>
      </c>
      <c r="J17" s="44">
        <f>SUM(VLOOKUP(F17, Teams!A:B, 2, FALSE), VLOOKUP(G17, Teams!A:B, 2, FALSE), VLOOKUP(H17, Teams!A:B, 2, FALSE))</f>
        <v>14.189895</v>
      </c>
      <c r="K17" s="7">
        <f t="shared" si="0"/>
        <v>0</v>
      </c>
      <c r="L17" s="9">
        <f t="shared" si="1"/>
        <v>2</v>
      </c>
      <c r="M17" s="36">
        <f t="shared" si="2"/>
        <v>10</v>
      </c>
      <c r="N17" s="23">
        <f>IF('Online Results'!T19="", "", 'Online Results'!T19)</f>
        <v>10</v>
      </c>
      <c r="O17" s="22">
        <f>IF('Online Results'!U19="", "", 'Online Results'!U19)</f>
        <v>20</v>
      </c>
      <c r="P17" s="47">
        <f t="shared" si="3"/>
        <v>10</v>
      </c>
      <c r="Q17" s="48">
        <f t="shared" si="4"/>
        <v>20</v>
      </c>
      <c r="R17" s="46">
        <f t="shared" si="5"/>
        <v>0.16377533333333336</v>
      </c>
      <c r="S17" s="13">
        <f>SUM(VLOOKUP(C17, Teams!A:B, 2, FALSE), VLOOKUP(D17, Teams!A:B, 2, FALSE), VLOOKUP(E17, Teams!A:B, 2, FALSE))</f>
        <v>10.896845000000001</v>
      </c>
      <c r="T17" s="11">
        <f>SUM(VLOOKUP(F17, Teams!A:B, 2, FALSE), VLOOKUP(G17, Teams!A:B, 2, FALSE), VLOOKUP(H17, Teams!A:B, 2, FALSE))</f>
        <v>14.189895</v>
      </c>
      <c r="U17" s="46">
        <f>R17*SUM(S17, T17)/SUM(AVERAGE($S$2:$S17), AVERAGE($T$2:$T17))</f>
        <v>5.9391108439874253E-2</v>
      </c>
      <c r="V17" s="46">
        <f>AVERAGE($R$2:$R17)</f>
        <v>0.35397834727531474</v>
      </c>
      <c r="W17" s="46">
        <f>AVERAGE($U$2:$U17)</f>
        <v>0.37975386513863618</v>
      </c>
      <c r="X17" s="4">
        <f t="shared" si="6"/>
        <v>0</v>
      </c>
      <c r="Y17" s="46">
        <f>AVERAGE($X$2:$X17)*0.5</f>
        <v>0.25</v>
      </c>
    </row>
    <row r="18" spans="1:25">
      <c r="A18" s="3">
        <f>'Online Results'!L20</f>
        <v>0.62986111111111109</v>
      </c>
      <c r="B18" s="18">
        <f>'Online Results'!M20</f>
        <v>17</v>
      </c>
      <c r="C18" s="20">
        <f>'Online Results'!N20</f>
        <v>3951</v>
      </c>
      <c r="D18" s="20">
        <f>'Online Results'!O20</f>
        <v>1912</v>
      </c>
      <c r="E18" s="20">
        <f>'Online Results'!P20</f>
        <v>244</v>
      </c>
      <c r="F18" s="19">
        <f>'Online Results'!Q20</f>
        <v>2626</v>
      </c>
      <c r="G18" s="19">
        <f>'Online Results'!R20</f>
        <v>3807</v>
      </c>
      <c r="H18" s="19">
        <f>'Online Results'!S20</f>
        <v>51</v>
      </c>
      <c r="I18" s="42">
        <f>SUM(VLOOKUP(C18, Teams!A:B, 2, FALSE), VLOOKUP(D18, Teams!A:B, 2, FALSE), VLOOKUP(E18, Teams!A:B, 2, FALSE))</f>
        <v>28.14798</v>
      </c>
      <c r="J18" s="44">
        <f>SUM(VLOOKUP(F18, Teams!A:B, 2, FALSE), VLOOKUP(G18, Teams!A:B, 2, FALSE), VLOOKUP(H18, Teams!A:B, 2, FALSE))</f>
        <v>38.260843333333327</v>
      </c>
      <c r="K18" s="7">
        <f t="shared" si="0"/>
        <v>0</v>
      </c>
      <c r="L18" s="9">
        <f t="shared" si="1"/>
        <v>2</v>
      </c>
      <c r="M18" s="36">
        <f t="shared" si="2"/>
        <v>25</v>
      </c>
      <c r="N18" s="23">
        <f>IF('Online Results'!T20="", "", 'Online Results'!T20)</f>
        <v>25</v>
      </c>
      <c r="O18" s="22">
        <f>IF('Online Results'!U20="", "", 'Online Results'!U20)</f>
        <v>32</v>
      </c>
      <c r="P18" s="47">
        <f t="shared" si="3"/>
        <v>25</v>
      </c>
      <c r="Q18" s="48">
        <f t="shared" si="4"/>
        <v>32</v>
      </c>
      <c r="R18" s="46">
        <f t="shared" si="5"/>
        <v>0.16506707602339177</v>
      </c>
      <c r="S18" s="13">
        <f>SUM(VLOOKUP(C18, Teams!A:B, 2, FALSE), VLOOKUP(D18, Teams!A:B, 2, FALSE), VLOOKUP(E18, Teams!A:B, 2, FALSE))</f>
        <v>28.14798</v>
      </c>
      <c r="T18" s="11">
        <f>SUM(VLOOKUP(F18, Teams!A:B, 2, FALSE), VLOOKUP(G18, Teams!A:B, 2, FALSE), VLOOKUP(H18, Teams!A:B, 2, FALSE))</f>
        <v>38.260843333333327</v>
      </c>
      <c r="U18" s="46">
        <f>R18*SUM(S18, T18)/SUM(AVERAGE($S$2:$S18), AVERAGE($T$2:$T18))</f>
        <v>0.158832354694355</v>
      </c>
      <c r="V18" s="46">
        <f>AVERAGE($R$2:$R18)</f>
        <v>0.34286591955461337</v>
      </c>
      <c r="W18" s="46">
        <f>AVERAGE($U$2:$U18)</f>
        <v>0.36675848217132551</v>
      </c>
      <c r="X18" s="4">
        <f t="shared" si="6"/>
        <v>0</v>
      </c>
      <c r="Y18" s="46">
        <f>AVERAGE($X$2:$X18)*0.5</f>
        <v>0.23529411764705882</v>
      </c>
    </row>
    <row r="19" spans="1:25">
      <c r="A19" s="3">
        <f>'Online Results'!L21</f>
        <v>0.62083333333333335</v>
      </c>
      <c r="B19" s="18">
        <f>'Online Results'!M21</f>
        <v>18</v>
      </c>
      <c r="C19" s="20">
        <f>'Online Results'!N21</f>
        <v>836</v>
      </c>
      <c r="D19" s="20">
        <f>'Online Results'!O21</f>
        <v>1507</v>
      </c>
      <c r="E19" s="20">
        <f>'Online Results'!P21</f>
        <v>293</v>
      </c>
      <c r="F19" s="19">
        <f>'Online Results'!Q21</f>
        <v>3970</v>
      </c>
      <c r="G19" s="19">
        <f>'Online Results'!R21</f>
        <v>1477</v>
      </c>
      <c r="H19" s="19">
        <f>'Online Results'!S21</f>
        <v>1986</v>
      </c>
      <c r="I19" s="42">
        <f>SUM(VLOOKUP(C19, Teams!A:B, 2, FALSE), VLOOKUP(D19, Teams!A:B, 2, FALSE), VLOOKUP(E19, Teams!A:B, 2, FALSE))</f>
        <v>53.799390000000002</v>
      </c>
      <c r="J19" s="44">
        <f>SUM(VLOOKUP(F19, Teams!A:B, 2, FALSE), VLOOKUP(G19, Teams!A:B, 2, FALSE), VLOOKUP(H19, Teams!A:B, 2, FALSE))</f>
        <v>65.70962333333334</v>
      </c>
      <c r="K19" s="7">
        <f t="shared" si="0"/>
        <v>2</v>
      </c>
      <c r="L19" s="9">
        <f t="shared" si="1"/>
        <v>0</v>
      </c>
      <c r="M19" s="36">
        <f t="shared" si="2"/>
        <v>59</v>
      </c>
      <c r="N19" s="23">
        <f>IF('Online Results'!T21="", "", 'Online Results'!T21)</f>
        <v>63</v>
      </c>
      <c r="O19" s="22">
        <f>IF('Online Results'!U21="", "", 'Online Results'!U21)</f>
        <v>59</v>
      </c>
      <c r="P19" s="47">
        <f t="shared" si="3"/>
        <v>63</v>
      </c>
      <c r="Q19" s="48">
        <f t="shared" si="4"/>
        <v>59</v>
      </c>
      <c r="R19" s="46">
        <f t="shared" si="5"/>
        <v>2.0417923497267683E-2</v>
      </c>
      <c r="S19" s="13">
        <f>SUM(VLOOKUP(C19, Teams!A:B, 2, FALSE), VLOOKUP(D19, Teams!A:B, 2, FALSE), VLOOKUP(E19, Teams!A:B, 2, FALSE))</f>
        <v>53.799390000000002</v>
      </c>
      <c r="T19" s="11">
        <f>SUM(VLOOKUP(F19, Teams!A:B, 2, FALSE), VLOOKUP(G19, Teams!A:B, 2, FALSE), VLOOKUP(H19, Teams!A:B, 2, FALSE))</f>
        <v>65.70962333333334</v>
      </c>
      <c r="U19" s="46">
        <f>R19*SUM(S19, T19)/SUM(AVERAGE($S$2:$S19), AVERAGE($T$2:$T19))</f>
        <v>3.3975202692223906E-2</v>
      </c>
      <c r="V19" s="46">
        <f>AVERAGE($R$2:$R19)</f>
        <v>0.32495214199587197</v>
      </c>
      <c r="W19" s="46">
        <f>AVERAGE($U$2:$U19)</f>
        <v>0.34827052220026433</v>
      </c>
      <c r="X19" s="4">
        <f t="shared" si="6"/>
        <v>2</v>
      </c>
      <c r="Y19" s="46">
        <f>AVERAGE($X$2:$X19)*0.5</f>
        <v>0.27777777777777779</v>
      </c>
    </row>
    <row r="20" spans="1:25">
      <c r="A20" s="3">
        <f>'Online Results'!L22</f>
        <v>0.63194444444444442</v>
      </c>
      <c r="B20" s="18">
        <f>'Online Results'!M22</f>
        <v>19</v>
      </c>
      <c r="C20" s="20">
        <f>'Online Results'!N22</f>
        <v>3860</v>
      </c>
      <c r="D20" s="20">
        <f>'Online Results'!O22</f>
        <v>116</v>
      </c>
      <c r="E20" s="20">
        <f>'Online Results'!P22</f>
        <v>3132</v>
      </c>
      <c r="F20" s="19">
        <f>'Online Results'!Q22</f>
        <v>2844</v>
      </c>
      <c r="G20" s="19">
        <f>'Online Results'!R22</f>
        <v>254</v>
      </c>
      <c r="H20" s="19">
        <f>'Online Results'!S22</f>
        <v>2881</v>
      </c>
      <c r="I20" s="42">
        <f>SUM(VLOOKUP(C20, Teams!A:B, 2, FALSE), VLOOKUP(D20, Teams!A:B, 2, FALSE), VLOOKUP(E20, Teams!A:B, 2, FALSE))</f>
        <v>14.97517</v>
      </c>
      <c r="J20" s="44">
        <f>SUM(VLOOKUP(F20, Teams!A:B, 2, FALSE), VLOOKUP(G20, Teams!A:B, 2, FALSE), VLOOKUP(H20, Teams!A:B, 2, FALSE))</f>
        <v>44.337654999999998</v>
      </c>
      <c r="K20" s="7">
        <f t="shared" si="0"/>
        <v>0</v>
      </c>
      <c r="L20" s="9">
        <f t="shared" si="1"/>
        <v>2</v>
      </c>
      <c r="M20" s="36">
        <f t="shared" si="2"/>
        <v>12</v>
      </c>
      <c r="N20" s="23">
        <f>IF('Online Results'!T22="", "", 'Online Results'!T22)</f>
        <v>12</v>
      </c>
      <c r="O20" s="22">
        <f>IF('Online Results'!U22="", "", 'Online Results'!U22)</f>
        <v>33</v>
      </c>
      <c r="P20" s="47">
        <f t="shared" si="3"/>
        <v>12</v>
      </c>
      <c r="Q20" s="48">
        <f t="shared" si="4"/>
        <v>33</v>
      </c>
      <c r="R20" s="46">
        <f t="shared" si="5"/>
        <v>0.31806277777777769</v>
      </c>
      <c r="S20" s="13">
        <f>SUM(VLOOKUP(C20, Teams!A:B, 2, FALSE), VLOOKUP(D20, Teams!A:B, 2, FALSE), VLOOKUP(E20, Teams!A:B, 2, FALSE))</f>
        <v>14.97517</v>
      </c>
      <c r="T20" s="11">
        <f>SUM(VLOOKUP(F20, Teams!A:B, 2, FALSE), VLOOKUP(G20, Teams!A:B, 2, FALSE), VLOOKUP(H20, Teams!A:B, 2, FALSE))</f>
        <v>44.337654999999998</v>
      </c>
      <c r="U20" s="46">
        <f>R20*SUM(S20, T20)/SUM(AVERAGE($S$2:$S20), AVERAGE($T$2:$T20))</f>
        <v>0.26510041485773217</v>
      </c>
      <c r="V20" s="46">
        <f>AVERAGE($R$2:$R20)</f>
        <v>0.32458954387913019</v>
      </c>
      <c r="W20" s="46">
        <f>AVERAGE($U$2:$U20)</f>
        <v>0.34389314812960475</v>
      </c>
      <c r="X20" s="4">
        <f t="shared" si="6"/>
        <v>0</v>
      </c>
      <c r="Y20" s="46">
        <f>AVERAGE($X$2:$X20)*0.5</f>
        <v>0.26315789473684209</v>
      </c>
    </row>
    <row r="21" spans="1:25">
      <c r="A21" s="3">
        <f>'Online Results'!L23</f>
        <v>0.63541666666666663</v>
      </c>
      <c r="B21" s="18">
        <f>'Online Results'!M23</f>
        <v>20</v>
      </c>
      <c r="C21" s="20">
        <f>'Online Results'!N23</f>
        <v>2960</v>
      </c>
      <c r="D21" s="20">
        <f>'Online Results'!O23</f>
        <v>694</v>
      </c>
      <c r="E21" s="20">
        <f>'Online Results'!P23</f>
        <v>3528</v>
      </c>
      <c r="F21" s="19">
        <f>'Online Results'!Q23</f>
        <v>1817</v>
      </c>
      <c r="G21" s="19">
        <f>'Online Results'!R23</f>
        <v>433</v>
      </c>
      <c r="H21" s="19">
        <f>'Online Results'!S23</f>
        <v>1741</v>
      </c>
      <c r="I21" s="42">
        <f>SUM(VLOOKUP(C21, Teams!A:B, 2, FALSE), VLOOKUP(D21, Teams!A:B, 2, FALSE), VLOOKUP(E21, Teams!A:B, 2, FALSE))</f>
        <v>53.231539999999995</v>
      </c>
      <c r="J21" s="44">
        <f>SUM(VLOOKUP(F21, Teams!A:B, 2, FALSE), VLOOKUP(G21, Teams!A:B, 2, FALSE), VLOOKUP(H21, Teams!A:B, 2, FALSE))</f>
        <v>23.19453</v>
      </c>
      <c r="K21" s="7">
        <f t="shared" si="0"/>
        <v>2</v>
      </c>
      <c r="L21" s="9">
        <f t="shared" si="1"/>
        <v>0</v>
      </c>
      <c r="M21" s="36">
        <f t="shared" si="2"/>
        <v>24</v>
      </c>
      <c r="N21" s="23">
        <f>IF('Online Results'!T23="", "", 'Online Results'!T23)</f>
        <v>49</v>
      </c>
      <c r="O21" s="22">
        <f>IF('Online Results'!U23="", "", 'Online Results'!U23)</f>
        <v>24</v>
      </c>
      <c r="P21" s="47">
        <f t="shared" si="3"/>
        <v>49</v>
      </c>
      <c r="Q21" s="48">
        <f t="shared" si="4"/>
        <v>24</v>
      </c>
      <c r="R21" s="46">
        <f t="shared" si="5"/>
        <v>4.69324657534246E-2</v>
      </c>
      <c r="S21" s="13">
        <f>SUM(VLOOKUP(C21, Teams!A:B, 2, FALSE), VLOOKUP(D21, Teams!A:B, 2, FALSE), VLOOKUP(E21, Teams!A:B, 2, FALSE))</f>
        <v>53.231539999999995</v>
      </c>
      <c r="T21" s="11">
        <f>SUM(VLOOKUP(F21, Teams!A:B, 2, FALSE), VLOOKUP(G21, Teams!A:B, 2, FALSE), VLOOKUP(H21, Teams!A:B, 2, FALSE))</f>
        <v>23.19453</v>
      </c>
      <c r="U21" s="46">
        <f>R21*SUM(S21, T21)/SUM(AVERAGE($S$2:$S21), AVERAGE($T$2:$T21))</f>
        <v>5.0218144777950065E-2</v>
      </c>
      <c r="V21" s="46">
        <f>AVERAGE($R$2:$R21)</f>
        <v>0.3107066899728449</v>
      </c>
      <c r="W21" s="46">
        <f>AVERAGE($U$2:$U21)</f>
        <v>0.32920939796202198</v>
      </c>
      <c r="X21" s="4">
        <f t="shared" si="6"/>
        <v>0</v>
      </c>
      <c r="Y21" s="46">
        <f>AVERAGE($X$2:$X21)*0.5</f>
        <v>0.25</v>
      </c>
    </row>
    <row r="22" spans="1:25">
      <c r="A22" s="3">
        <f>'Online Results'!L24</f>
        <v>0.63958333333333328</v>
      </c>
      <c r="B22" s="18">
        <f>'Online Results'!M24</f>
        <v>21</v>
      </c>
      <c r="C22" s="20">
        <f>'Online Results'!N24</f>
        <v>597</v>
      </c>
      <c r="D22" s="20">
        <f>'Online Results'!O24</f>
        <v>341</v>
      </c>
      <c r="E22" s="20">
        <f>'Online Results'!P24</f>
        <v>1885</v>
      </c>
      <c r="F22" s="19">
        <f>'Online Results'!Q24</f>
        <v>624</v>
      </c>
      <c r="G22" s="19">
        <f>'Online Results'!R24</f>
        <v>932</v>
      </c>
      <c r="H22" s="19">
        <f>'Online Results'!S24</f>
        <v>1511</v>
      </c>
      <c r="I22" s="42">
        <f>SUM(VLOOKUP(C22, Teams!A:B, 2, FALSE), VLOOKUP(D22, Teams!A:B, 2, FALSE), VLOOKUP(E22, Teams!A:B, 2, FALSE))</f>
        <v>52.994005000000001</v>
      </c>
      <c r="J22" s="44">
        <f>SUM(VLOOKUP(F22, Teams!A:B, 2, FALSE), VLOOKUP(G22, Teams!A:B, 2, FALSE), VLOOKUP(H22, Teams!A:B, 2, FALSE))</f>
        <v>48.735844999999998</v>
      </c>
      <c r="K22" s="7">
        <f t="shared" si="0"/>
        <v>2</v>
      </c>
      <c r="L22" s="9">
        <f t="shared" si="1"/>
        <v>0</v>
      </c>
      <c r="M22" s="36">
        <f t="shared" si="2"/>
        <v>56</v>
      </c>
      <c r="N22" s="23">
        <f>IF('Online Results'!T24="", "", 'Online Results'!T24)</f>
        <v>57</v>
      </c>
      <c r="O22" s="22">
        <f>IF('Online Results'!U24="", "", 'Online Results'!U24)</f>
        <v>56</v>
      </c>
      <c r="P22" s="47">
        <f t="shared" si="3"/>
        <v>57</v>
      </c>
      <c r="Q22" s="48">
        <f t="shared" si="4"/>
        <v>56</v>
      </c>
      <c r="R22" s="46">
        <f t="shared" si="5"/>
        <v>9.973584070796461E-2</v>
      </c>
      <c r="S22" s="13">
        <f>SUM(VLOOKUP(C22, Teams!A:B, 2, FALSE), VLOOKUP(D22, Teams!A:B, 2, FALSE), VLOOKUP(E22, Teams!A:B, 2, FALSE))</f>
        <v>52.994005000000001</v>
      </c>
      <c r="T22" s="11">
        <f>SUM(VLOOKUP(F22, Teams!A:B, 2, FALSE), VLOOKUP(G22, Teams!A:B, 2, FALSE), VLOOKUP(H22, Teams!A:B, 2, FALSE))</f>
        <v>48.735844999999998</v>
      </c>
      <c r="U22" s="46">
        <f>R22*SUM(S22, T22)/SUM(AVERAGE($S$2:$S22), AVERAGE($T$2:$T22))</f>
        <v>0.13923825153862104</v>
      </c>
      <c r="V22" s="46">
        <f>AVERAGE($R$2:$R22)</f>
        <v>0.30066045905546962</v>
      </c>
      <c r="W22" s="46">
        <f>AVERAGE($U$2:$U22)</f>
        <v>0.32016315289424097</v>
      </c>
      <c r="X22" s="4">
        <f t="shared" si="6"/>
        <v>0</v>
      </c>
      <c r="Y22" s="46">
        <f>AVERAGE($X$2:$X22)*0.5</f>
        <v>0.23809523809523808</v>
      </c>
    </row>
    <row r="23" spans="1:25">
      <c r="A23" s="3">
        <f>'Online Results'!L25</f>
        <v>0.64374999999999993</v>
      </c>
      <c r="B23" s="18">
        <f>'Online Results'!M25</f>
        <v>22</v>
      </c>
      <c r="C23" s="20">
        <f>'Online Results'!N25</f>
        <v>3941</v>
      </c>
      <c r="D23" s="20">
        <f>'Online Results'!O25</f>
        <v>207</v>
      </c>
      <c r="E23" s="20">
        <f>'Online Results'!P25</f>
        <v>3115</v>
      </c>
      <c r="F23" s="19">
        <f>'Online Results'!Q25</f>
        <v>1828</v>
      </c>
      <c r="G23" s="19">
        <f>'Online Results'!R25</f>
        <v>2757</v>
      </c>
      <c r="H23" s="19">
        <f>'Online Results'!S25</f>
        <v>233</v>
      </c>
      <c r="I23" s="42">
        <f>SUM(VLOOKUP(C23, Teams!A:B, 2, FALSE), VLOOKUP(D23, Teams!A:B, 2, FALSE), VLOOKUP(E23, Teams!A:B, 2, FALSE))</f>
        <v>13.517061000000002</v>
      </c>
      <c r="J23" s="44">
        <f>SUM(VLOOKUP(F23, Teams!A:B, 2, FALSE), VLOOKUP(G23, Teams!A:B, 2, FALSE), VLOOKUP(H23, Teams!A:B, 2, FALSE))</f>
        <v>31.022729999999999</v>
      </c>
      <c r="K23" s="7">
        <f t="shared" si="0"/>
        <v>0</v>
      </c>
      <c r="L23" s="9">
        <f t="shared" si="1"/>
        <v>2</v>
      </c>
      <c r="M23" s="36">
        <f t="shared" si="2"/>
        <v>22</v>
      </c>
      <c r="N23" s="23">
        <f>IF('Online Results'!T25="", "", 'Online Results'!T25)</f>
        <v>22</v>
      </c>
      <c r="O23" s="22">
        <f>IF('Online Results'!U25="", "", 'Online Results'!U25)</f>
        <v>36</v>
      </c>
      <c r="P23" s="47">
        <f t="shared" si="3"/>
        <v>22</v>
      </c>
      <c r="Q23" s="48">
        <f t="shared" si="4"/>
        <v>36</v>
      </c>
      <c r="R23" s="46">
        <f t="shared" si="5"/>
        <v>0.23207256896551723</v>
      </c>
      <c r="S23" s="13">
        <f>SUM(VLOOKUP(C23, Teams!A:B, 2, FALSE), VLOOKUP(D23, Teams!A:B, 2, FALSE), VLOOKUP(E23, Teams!A:B, 2, FALSE))</f>
        <v>13.517061000000002</v>
      </c>
      <c r="T23" s="11">
        <f>SUM(VLOOKUP(F23, Teams!A:B, 2, FALSE), VLOOKUP(G23, Teams!A:B, 2, FALSE), VLOOKUP(H23, Teams!A:B, 2, FALSE))</f>
        <v>31.022729999999999</v>
      </c>
      <c r="U23" s="46">
        <f>R23*SUM(S23, T23)/SUM(AVERAGE($S$2:$S23), AVERAGE($T$2:$T23))</f>
        <v>0.14440226845460824</v>
      </c>
      <c r="V23" s="46">
        <f>AVERAGE($R$2:$R23)</f>
        <v>0.29754282768774448</v>
      </c>
      <c r="W23" s="46">
        <f>AVERAGE($U$2:$U23)</f>
        <v>0.31217402178334858</v>
      </c>
      <c r="X23" s="4">
        <f t="shared" si="6"/>
        <v>0</v>
      </c>
      <c r="Y23" s="46">
        <f>AVERAGE($X$2:$X23)*0.5</f>
        <v>0.22727272727272727</v>
      </c>
    </row>
    <row r="24" spans="1:25">
      <c r="A24" s="3">
        <f>'Online Results'!L26</f>
        <v>0.64722222222222225</v>
      </c>
      <c r="B24" s="18">
        <f>'Online Results'!M26</f>
        <v>23</v>
      </c>
      <c r="C24" s="20">
        <f>'Online Results'!N26</f>
        <v>4226</v>
      </c>
      <c r="D24" s="20">
        <f>'Online Results'!O26</f>
        <v>2591</v>
      </c>
      <c r="E24" s="20">
        <f>'Online Results'!P26</f>
        <v>525</v>
      </c>
      <c r="F24" s="19">
        <f>'Online Results'!Q26</f>
        <v>1764</v>
      </c>
      <c r="G24" s="19">
        <f>'Online Results'!R26</f>
        <v>3098</v>
      </c>
      <c r="H24" s="19">
        <f>'Online Results'!S26</f>
        <v>58</v>
      </c>
      <c r="I24" s="42">
        <f>SUM(VLOOKUP(C24, Teams!A:B, 2, FALSE), VLOOKUP(D24, Teams!A:B, 2, FALSE), VLOOKUP(E24, Teams!A:B, 2, FALSE))</f>
        <v>34.702420000000004</v>
      </c>
      <c r="J24" s="44">
        <f>SUM(VLOOKUP(F24, Teams!A:B, 2, FALSE), VLOOKUP(G24, Teams!A:B, 2, FALSE), VLOOKUP(H24, Teams!A:B, 2, FALSE))</f>
        <v>45.670088333333339</v>
      </c>
      <c r="K24" s="7">
        <f t="shared" si="0"/>
        <v>0</v>
      </c>
      <c r="L24" s="9">
        <f t="shared" si="1"/>
        <v>2</v>
      </c>
      <c r="M24" s="36">
        <f t="shared" si="2"/>
        <v>30</v>
      </c>
      <c r="N24" s="23">
        <f>IF('Online Results'!T26="", "", 'Online Results'!T26)</f>
        <v>30</v>
      </c>
      <c r="O24" s="22">
        <f>IF('Online Results'!U26="", "", 'Online Results'!U26)</f>
        <v>46</v>
      </c>
      <c r="P24" s="47">
        <f t="shared" si="3"/>
        <v>30</v>
      </c>
      <c r="Q24" s="48">
        <f t="shared" si="4"/>
        <v>46</v>
      </c>
      <c r="R24" s="46">
        <f t="shared" si="5"/>
        <v>5.7533004385965036E-2</v>
      </c>
      <c r="S24" s="13">
        <f>SUM(VLOOKUP(C24, Teams!A:B, 2, FALSE), VLOOKUP(D24, Teams!A:B, 2, FALSE), VLOOKUP(E24, Teams!A:B, 2, FALSE))</f>
        <v>34.702420000000004</v>
      </c>
      <c r="T24" s="11">
        <f>SUM(VLOOKUP(F24, Teams!A:B, 2, FALSE), VLOOKUP(G24, Teams!A:B, 2, FALSE), VLOOKUP(H24, Teams!A:B, 2, FALSE))</f>
        <v>45.670088333333339</v>
      </c>
      <c r="U24" s="46">
        <f>R24*SUM(S24, T24)/SUM(AVERAGE($S$2:$S24), AVERAGE($T$2:$T24))</f>
        <v>6.4255997983026447E-2</v>
      </c>
      <c r="V24" s="46">
        <f>AVERAGE($R$2:$R24)</f>
        <v>0.28710761797897144</v>
      </c>
      <c r="W24" s="46">
        <f>AVERAGE($U$2:$U24)</f>
        <v>0.30139497727029108</v>
      </c>
      <c r="X24" s="4">
        <f t="shared" si="6"/>
        <v>0</v>
      </c>
      <c r="Y24" s="46">
        <f>AVERAGE($X$2:$X24)*0.5</f>
        <v>0.21739130434782608</v>
      </c>
    </row>
    <row r="25" spans="1:25">
      <c r="A25" s="3">
        <f>'Online Results'!L27</f>
        <v>0.65138888888888891</v>
      </c>
      <c r="B25" s="18">
        <f>'Online Results'!M27</f>
        <v>24</v>
      </c>
      <c r="C25" s="20">
        <f>'Online Results'!N27</f>
        <v>564</v>
      </c>
      <c r="D25" s="20">
        <f>'Online Results'!O27</f>
        <v>85</v>
      </c>
      <c r="E25" s="20">
        <f>'Online Results'!P27</f>
        <v>3929</v>
      </c>
      <c r="F25" s="19">
        <f>'Online Results'!Q27</f>
        <v>987</v>
      </c>
      <c r="G25" s="19">
        <f>'Online Results'!R27</f>
        <v>3950</v>
      </c>
      <c r="H25" s="19">
        <f>'Online Results'!S27</f>
        <v>3965</v>
      </c>
      <c r="I25" s="42">
        <f>SUM(VLOOKUP(C25, Teams!A:B, 2, FALSE), VLOOKUP(D25, Teams!A:B, 2, FALSE), VLOOKUP(E25, Teams!A:B, 2, FALSE))</f>
        <v>30.163139999999999</v>
      </c>
      <c r="J25" s="44">
        <f>SUM(VLOOKUP(F25, Teams!A:B, 2, FALSE), VLOOKUP(G25, Teams!A:B, 2, FALSE), VLOOKUP(H25, Teams!A:B, 2, FALSE))</f>
        <v>49.620469999999997</v>
      </c>
      <c r="K25" s="7">
        <f t="shared" si="0"/>
        <v>0</v>
      </c>
      <c r="L25" s="9">
        <f t="shared" si="1"/>
        <v>2</v>
      </c>
      <c r="M25" s="36">
        <f t="shared" si="2"/>
        <v>29</v>
      </c>
      <c r="N25" s="23">
        <f>IF('Online Results'!T27="", "", 'Online Results'!T27)</f>
        <v>29</v>
      </c>
      <c r="O25" s="22">
        <f>IF('Online Results'!U27="", "", 'Online Results'!U27)</f>
        <v>84</v>
      </c>
      <c r="P25" s="47">
        <f t="shared" si="3"/>
        <v>29</v>
      </c>
      <c r="Q25" s="48">
        <f t="shared" si="4"/>
        <v>84</v>
      </c>
      <c r="R25" s="46">
        <f t="shared" si="5"/>
        <v>0.2939503539823009</v>
      </c>
      <c r="S25" s="13">
        <f>SUM(VLOOKUP(C25, Teams!A:B, 2, FALSE), VLOOKUP(D25, Teams!A:B, 2, FALSE), VLOOKUP(E25, Teams!A:B, 2, FALSE))</f>
        <v>30.163139999999999</v>
      </c>
      <c r="T25" s="11">
        <f>SUM(VLOOKUP(F25, Teams!A:B, 2, FALSE), VLOOKUP(G25, Teams!A:B, 2, FALSE), VLOOKUP(H25, Teams!A:B, 2, FALSE))</f>
        <v>49.620469999999997</v>
      </c>
      <c r="U25" s="46">
        <f>R25*SUM(S25, T25)/SUM(AVERAGE($S$2:$S25), AVERAGE($T$2:$T25))</f>
        <v>0.32442531494567001</v>
      </c>
      <c r="V25" s="46">
        <f>AVERAGE($R$2:$R25)</f>
        <v>0.28739273197911019</v>
      </c>
      <c r="W25" s="46">
        <f>AVERAGE($U$2:$U25)</f>
        <v>0.30235457467343191</v>
      </c>
      <c r="X25" s="4">
        <f t="shared" si="6"/>
        <v>0</v>
      </c>
      <c r="Y25" s="46">
        <f>AVERAGE($X$2:$X25)*0.5</f>
        <v>0.20833333333333334</v>
      </c>
    </row>
    <row r="26" spans="1:25">
      <c r="A26" s="3">
        <f>'Online Results'!L28</f>
        <v>0.65625</v>
      </c>
      <c r="B26" s="18">
        <f>'Online Results'!M28</f>
        <v>25</v>
      </c>
      <c r="C26" s="20">
        <f>'Online Results'!N28</f>
        <v>1683</v>
      </c>
      <c r="D26" s="20">
        <f>'Online Results'!O28</f>
        <v>1690</v>
      </c>
      <c r="E26" s="20">
        <f>'Online Results'!P28</f>
        <v>2626</v>
      </c>
      <c r="F26" s="19">
        <f>'Online Results'!Q28</f>
        <v>2500</v>
      </c>
      <c r="G26" s="19">
        <f>'Online Results'!R28</f>
        <v>2914</v>
      </c>
      <c r="H26" s="19">
        <f>'Online Results'!S28</f>
        <v>288</v>
      </c>
      <c r="I26" s="42">
        <f>SUM(VLOOKUP(C26, Teams!A:B, 2, FALSE), VLOOKUP(D26, Teams!A:B, 2, FALSE), VLOOKUP(E26, Teams!A:B, 2, FALSE))</f>
        <v>36.451149999999998</v>
      </c>
      <c r="J26" s="44">
        <f>SUM(VLOOKUP(F26, Teams!A:B, 2, FALSE), VLOOKUP(G26, Teams!A:B, 2, FALSE), VLOOKUP(H26, Teams!A:B, 2, FALSE))</f>
        <v>14.173819999999999</v>
      </c>
      <c r="K26" s="7">
        <f t="shared" si="0"/>
        <v>2</v>
      </c>
      <c r="L26" s="9">
        <f t="shared" si="1"/>
        <v>0</v>
      </c>
      <c r="M26" s="36">
        <f t="shared" si="2"/>
        <v>20</v>
      </c>
      <c r="N26" s="23">
        <f>IF('Online Results'!T28="", "", 'Online Results'!T28)</f>
        <v>33</v>
      </c>
      <c r="O26" s="22">
        <f>IF('Online Results'!U28="", "", 'Online Results'!U28)</f>
        <v>20</v>
      </c>
      <c r="P26" s="47">
        <f t="shared" si="3"/>
        <v>33</v>
      </c>
      <c r="Q26" s="48">
        <f t="shared" si="4"/>
        <v>20</v>
      </c>
      <c r="R26" s="46">
        <f t="shared" si="5"/>
        <v>4.4811886792452876E-2</v>
      </c>
      <c r="S26" s="13">
        <f>SUM(VLOOKUP(C26, Teams!A:B, 2, FALSE), VLOOKUP(D26, Teams!A:B, 2, FALSE), VLOOKUP(E26, Teams!A:B, 2, FALSE))</f>
        <v>36.451149999999998</v>
      </c>
      <c r="T26" s="11">
        <f>SUM(VLOOKUP(F26, Teams!A:B, 2, FALSE), VLOOKUP(G26, Teams!A:B, 2, FALSE), VLOOKUP(H26, Teams!A:B, 2, FALSE))</f>
        <v>14.173819999999999</v>
      </c>
      <c r="U26" s="46">
        <f>R26*SUM(S26, T26)/SUM(AVERAGE($S$2:$S26), AVERAGE($T$2:$T26))</f>
        <v>3.176308195232045E-2</v>
      </c>
      <c r="V26" s="46">
        <f>AVERAGE($R$2:$R26)</f>
        <v>0.2776894981716439</v>
      </c>
      <c r="W26" s="46">
        <f>AVERAGE($U$2:$U26)</f>
        <v>0.29153091496458744</v>
      </c>
      <c r="X26" s="4">
        <f t="shared" si="6"/>
        <v>0</v>
      </c>
      <c r="Y26" s="46">
        <f>AVERAGE($X$2:$X26)*0.5</f>
        <v>0.2</v>
      </c>
    </row>
    <row r="27" spans="1:25">
      <c r="A27" s="3">
        <f>'Online Results'!L29</f>
        <v>0.66041666666666665</v>
      </c>
      <c r="B27" s="18">
        <f>'Online Results'!M29</f>
        <v>26</v>
      </c>
      <c r="C27" s="20">
        <f>'Online Results'!N29</f>
        <v>1143</v>
      </c>
      <c r="D27" s="20">
        <f>'Online Results'!O29</f>
        <v>503</v>
      </c>
      <c r="E27" s="20">
        <f>'Online Results'!P29</f>
        <v>3940</v>
      </c>
      <c r="F27" s="19">
        <f>'Online Results'!Q29</f>
        <v>27</v>
      </c>
      <c r="G27" s="19">
        <f>'Online Results'!R29</f>
        <v>4069</v>
      </c>
      <c r="H27" s="19">
        <f>'Online Results'!S29</f>
        <v>4265</v>
      </c>
      <c r="I27" s="42">
        <f>SUM(VLOOKUP(C27, Teams!A:B, 2, FALSE), VLOOKUP(D27, Teams!A:B, 2, FALSE), VLOOKUP(E27, Teams!A:B, 2, FALSE))</f>
        <v>30.78951</v>
      </c>
      <c r="J27" s="44">
        <f>SUM(VLOOKUP(F27, Teams!A:B, 2, FALSE), VLOOKUP(G27, Teams!A:B, 2, FALSE), VLOOKUP(H27, Teams!A:B, 2, FALSE))</f>
        <v>40.688305</v>
      </c>
      <c r="K27" s="7">
        <f t="shared" si="0"/>
        <v>0</v>
      </c>
      <c r="L27" s="9">
        <f t="shared" si="1"/>
        <v>2</v>
      </c>
      <c r="M27" s="36">
        <f t="shared" si="2"/>
        <v>35</v>
      </c>
      <c r="N27" s="23">
        <f>IF('Online Results'!T29="", "", 'Online Results'!T29)</f>
        <v>35</v>
      </c>
      <c r="O27" s="22">
        <f>IF('Online Results'!U29="", "", 'Online Results'!U29)</f>
        <v>47</v>
      </c>
      <c r="P27" s="47">
        <f t="shared" si="3"/>
        <v>35</v>
      </c>
      <c r="Q27" s="48">
        <f t="shared" si="4"/>
        <v>47</v>
      </c>
      <c r="R27" s="46">
        <f t="shared" si="5"/>
        <v>0.12831932926829279</v>
      </c>
      <c r="S27" s="13">
        <f>SUM(VLOOKUP(C27, Teams!A:B, 2, FALSE), VLOOKUP(D27, Teams!A:B, 2, FALSE), VLOOKUP(E27, Teams!A:B, 2, FALSE))</f>
        <v>30.78951</v>
      </c>
      <c r="T27" s="11">
        <f>SUM(VLOOKUP(F27, Teams!A:B, 2, FALSE), VLOOKUP(G27, Teams!A:B, 2, FALSE), VLOOKUP(H27, Teams!A:B, 2, FALSE))</f>
        <v>40.688305</v>
      </c>
      <c r="U27" s="46">
        <f>R27*SUM(S27, T27)/SUM(AVERAGE($S$2:$S27), AVERAGE($T$2:$T27))</f>
        <v>0.12841479159444394</v>
      </c>
      <c r="V27" s="46">
        <f>AVERAGE($R$2:$R27)</f>
        <v>0.27194449167536117</v>
      </c>
      <c r="W27" s="46">
        <f>AVERAGE($U$2:$U27)</f>
        <v>0.28525721791188957</v>
      </c>
      <c r="X27" s="4">
        <f t="shared" si="6"/>
        <v>0</v>
      </c>
      <c r="Y27" s="46">
        <f>AVERAGE($X$2:$X27)*0.5</f>
        <v>0.19230769230769232</v>
      </c>
    </row>
    <row r="28" spans="1:25">
      <c r="A28" s="3">
        <f>'Online Results'!L30</f>
        <v>0.66388888888888886</v>
      </c>
      <c r="B28" s="18">
        <f>'Online Results'!M30</f>
        <v>27</v>
      </c>
      <c r="C28" s="20">
        <f>'Online Results'!N30</f>
        <v>3419</v>
      </c>
      <c r="D28" s="20">
        <f>'Online Results'!O30</f>
        <v>461</v>
      </c>
      <c r="E28" s="20">
        <f>'Online Results'!P30</f>
        <v>3951</v>
      </c>
      <c r="F28" s="19">
        <f>'Online Results'!Q30</f>
        <v>1501</v>
      </c>
      <c r="G28" s="19">
        <f>'Online Results'!R30</f>
        <v>571</v>
      </c>
      <c r="H28" s="19">
        <f>'Online Results'!S30</f>
        <v>1778</v>
      </c>
      <c r="I28" s="42">
        <f>SUM(VLOOKUP(C28, Teams!A:B, 2, FALSE), VLOOKUP(D28, Teams!A:B, 2, FALSE), VLOOKUP(E28, Teams!A:B, 2, FALSE))</f>
        <v>34.436549999999997</v>
      </c>
      <c r="J28" s="44">
        <f>SUM(VLOOKUP(F28, Teams!A:B, 2, FALSE), VLOOKUP(G28, Teams!A:B, 2, FALSE), VLOOKUP(H28, Teams!A:B, 2, FALSE))</f>
        <v>19.016780000000001</v>
      </c>
      <c r="K28" s="7">
        <f t="shared" si="0"/>
        <v>2</v>
      </c>
      <c r="L28" s="9">
        <f t="shared" si="1"/>
        <v>0</v>
      </c>
      <c r="M28" s="36">
        <f t="shared" si="2"/>
        <v>16</v>
      </c>
      <c r="N28" s="23">
        <f>IF('Online Results'!T30="", "", 'Online Results'!T30)</f>
        <v>29</v>
      </c>
      <c r="O28" s="22">
        <f>IF('Online Results'!U30="", "", 'Online Results'!U30)</f>
        <v>16</v>
      </c>
      <c r="P28" s="47">
        <f t="shared" si="3"/>
        <v>29</v>
      </c>
      <c r="Q28" s="48">
        <f t="shared" si="4"/>
        <v>16</v>
      </c>
      <c r="R28" s="46">
        <f t="shared" si="5"/>
        <v>0.18785177777777765</v>
      </c>
      <c r="S28" s="13">
        <f>SUM(VLOOKUP(C28, Teams!A:B, 2, FALSE), VLOOKUP(D28, Teams!A:B, 2, FALSE), VLOOKUP(E28, Teams!A:B, 2, FALSE))</f>
        <v>34.436549999999997</v>
      </c>
      <c r="T28" s="11">
        <f>SUM(VLOOKUP(F28, Teams!A:B, 2, FALSE), VLOOKUP(G28, Teams!A:B, 2, FALSE), VLOOKUP(H28, Teams!A:B, 2, FALSE))</f>
        <v>19.016780000000001</v>
      </c>
      <c r="U28" s="46">
        <f>R28*SUM(S28, T28)/SUM(AVERAGE($S$2:$S28), AVERAGE($T$2:$T28))</f>
        <v>0.14190834565913893</v>
      </c>
      <c r="V28" s="46">
        <f>AVERAGE($R$2:$R28)</f>
        <v>0.26882994671619143</v>
      </c>
      <c r="W28" s="46">
        <f>AVERAGE($U$2:$U28)</f>
        <v>0.27994800042104695</v>
      </c>
      <c r="X28" s="4">
        <f t="shared" si="6"/>
        <v>0</v>
      </c>
      <c r="Y28" s="46">
        <f>AVERAGE($X$2:$X28)*0.5</f>
        <v>0.18518518518518517</v>
      </c>
    </row>
    <row r="29" spans="1:25">
      <c r="A29" s="3">
        <f>'Online Results'!L31</f>
        <v>0.66875000000000007</v>
      </c>
      <c r="B29" s="18">
        <f>'Online Results'!M31</f>
        <v>28</v>
      </c>
      <c r="C29" s="20">
        <f>'Online Results'!N31</f>
        <v>830</v>
      </c>
      <c r="D29" s="20">
        <f>'Online Results'!O31</f>
        <v>4161</v>
      </c>
      <c r="E29" s="20">
        <f>'Online Results'!P31</f>
        <v>415</v>
      </c>
      <c r="F29" s="19">
        <f>'Online Results'!Q31</f>
        <v>4253</v>
      </c>
      <c r="G29" s="19">
        <f>'Online Results'!R31</f>
        <v>3880</v>
      </c>
      <c r="H29" s="19">
        <f>'Online Results'!S31</f>
        <v>3711</v>
      </c>
      <c r="I29" s="42">
        <f>SUM(VLOOKUP(C29, Teams!A:B, 2, FALSE), VLOOKUP(D29, Teams!A:B, 2, FALSE), VLOOKUP(E29, Teams!A:B, 2, FALSE))</f>
        <v>26.155821666666668</v>
      </c>
      <c r="J29" s="44">
        <f>SUM(VLOOKUP(F29, Teams!A:B, 2, FALSE), VLOOKUP(G29, Teams!A:B, 2, FALSE), VLOOKUP(H29, Teams!A:B, 2, FALSE))</f>
        <v>20.960785000000001</v>
      </c>
      <c r="K29" s="7">
        <f t="shared" si="0"/>
        <v>2</v>
      </c>
      <c r="L29" s="9">
        <f t="shared" si="1"/>
        <v>0</v>
      </c>
      <c r="M29" s="36">
        <f t="shared" si="2"/>
        <v>0</v>
      </c>
      <c r="N29" s="23">
        <f>IF('Online Results'!T31="", "", 'Online Results'!T31)</f>
        <v>40</v>
      </c>
      <c r="O29" s="22">
        <f>IF('Online Results'!U31="", "", 'Online Results'!U31)</f>
        <v>0</v>
      </c>
      <c r="P29" s="47">
        <f t="shared" si="3"/>
        <v>40</v>
      </c>
      <c r="Q29" s="48">
        <f t="shared" si="4"/>
        <v>0</v>
      </c>
      <c r="R29" s="46">
        <f t="shared" si="5"/>
        <v>0.17791516666666674</v>
      </c>
      <c r="S29" s="13">
        <f>SUM(VLOOKUP(C29, Teams!A:B, 2, FALSE), VLOOKUP(D29, Teams!A:B, 2, FALSE), VLOOKUP(E29, Teams!A:B, 2, FALSE))</f>
        <v>26.155821666666668</v>
      </c>
      <c r="T29" s="11">
        <f>SUM(VLOOKUP(F29, Teams!A:B, 2, FALSE), VLOOKUP(G29, Teams!A:B, 2, FALSE), VLOOKUP(H29, Teams!A:B, 2, FALSE))</f>
        <v>20.960785000000001</v>
      </c>
      <c r="U29" s="46">
        <f>R29*SUM(S29, T29)/SUM(AVERAGE($S$2:$S29), AVERAGE($T$2:$T29))</f>
        <v>0.11989980589590046</v>
      </c>
      <c r="V29" s="46">
        <f>AVERAGE($R$2:$R29)</f>
        <v>0.26558299028585125</v>
      </c>
      <c r="W29" s="46">
        <f>AVERAGE($U$2:$U29)</f>
        <v>0.27423199347372029</v>
      </c>
      <c r="X29" s="4">
        <f t="shared" si="6"/>
        <v>0</v>
      </c>
      <c r="Y29" s="46">
        <f>AVERAGE($X$2:$X29)*0.5</f>
        <v>0.17857142857142858</v>
      </c>
    </row>
    <row r="30" spans="1:25">
      <c r="A30" s="3">
        <f>'Online Results'!L32</f>
        <v>0.67708333333333337</v>
      </c>
      <c r="B30" s="18">
        <f>'Online Results'!M32</f>
        <v>29</v>
      </c>
      <c r="C30" s="20">
        <f>'Online Results'!N32</f>
        <v>4203</v>
      </c>
      <c r="D30" s="20">
        <f>'Online Results'!O32</f>
        <v>192</v>
      </c>
      <c r="E30" s="20">
        <f>'Online Results'!P32</f>
        <v>279</v>
      </c>
      <c r="F30" s="19">
        <f>'Online Results'!Q32</f>
        <v>604</v>
      </c>
      <c r="G30" s="19">
        <f>'Online Results'!R32</f>
        <v>78</v>
      </c>
      <c r="H30" s="19">
        <f>'Online Results'!S32</f>
        <v>1391</v>
      </c>
      <c r="I30" s="42">
        <f>SUM(VLOOKUP(C30, Teams!A:B, 2, FALSE), VLOOKUP(D30, Teams!A:B, 2, FALSE), VLOOKUP(E30, Teams!A:B, 2, FALSE))</f>
        <v>24.175510000000003</v>
      </c>
      <c r="J30" s="44">
        <f>SUM(VLOOKUP(F30, Teams!A:B, 2, FALSE), VLOOKUP(G30, Teams!A:B, 2, FALSE), VLOOKUP(H30, Teams!A:B, 2, FALSE))</f>
        <v>33.526035</v>
      </c>
      <c r="K30" s="7">
        <f t="shared" si="0"/>
        <v>0</v>
      </c>
      <c r="L30" s="9">
        <f t="shared" si="1"/>
        <v>2</v>
      </c>
      <c r="M30" s="36">
        <f t="shared" si="2"/>
        <v>28</v>
      </c>
      <c r="N30" s="23">
        <f>IF('Online Results'!T32="", "", 'Online Results'!T32)</f>
        <v>28</v>
      </c>
      <c r="O30" s="22">
        <f>IF('Online Results'!U32="", "", 'Online Results'!U32)</f>
        <v>34</v>
      </c>
      <c r="P30" s="47">
        <f t="shared" si="3"/>
        <v>28</v>
      </c>
      <c r="Q30" s="48">
        <f t="shared" si="4"/>
        <v>34</v>
      </c>
      <c r="R30" s="46">
        <f t="shared" si="5"/>
        <v>6.9329919354838662E-2</v>
      </c>
      <c r="S30" s="13">
        <f>SUM(VLOOKUP(C30, Teams!A:B, 2, FALSE), VLOOKUP(D30, Teams!A:B, 2, FALSE), VLOOKUP(E30, Teams!A:B, 2, FALSE))</f>
        <v>24.175510000000003</v>
      </c>
      <c r="T30" s="11">
        <f>SUM(VLOOKUP(F30, Teams!A:B, 2, FALSE), VLOOKUP(G30, Teams!A:B, 2, FALSE), VLOOKUP(H30, Teams!A:B, 2, FALSE))</f>
        <v>33.526035</v>
      </c>
      <c r="U30" s="46">
        <f>R30*SUM(S30, T30)/SUM(AVERAGE($S$2:$S30), AVERAGE($T$2:$T30))</f>
        <v>5.7565674641414835E-2</v>
      </c>
      <c r="V30" s="46">
        <f>AVERAGE($R$2:$R30)</f>
        <v>0.25881564301236804</v>
      </c>
      <c r="W30" s="46">
        <f>AVERAGE($U$2:$U30)</f>
        <v>0.26676074110019254</v>
      </c>
      <c r="X30" s="4">
        <f t="shared" si="6"/>
        <v>0</v>
      </c>
      <c r="Y30" s="46">
        <f>AVERAGE($X$2:$X30)*0.5</f>
        <v>0.17241379310344829</v>
      </c>
    </row>
    <row r="31" spans="1:25">
      <c r="A31" s="3">
        <f>'Online Results'!L33</f>
        <v>0.68125000000000002</v>
      </c>
      <c r="B31" s="18">
        <f>'Online Results'!M33</f>
        <v>30</v>
      </c>
      <c r="C31" s="20">
        <f>'Online Results'!N33</f>
        <v>1649</v>
      </c>
      <c r="D31" s="20">
        <f>'Online Results'!O33</f>
        <v>2102</v>
      </c>
      <c r="E31" s="20">
        <f>'Online Results'!P33</f>
        <v>2180</v>
      </c>
      <c r="F31" s="19">
        <f>'Online Results'!Q33</f>
        <v>3807</v>
      </c>
      <c r="G31" s="19">
        <f>'Online Results'!R33</f>
        <v>3288</v>
      </c>
      <c r="H31" s="19">
        <f>'Online Results'!S33</f>
        <v>971</v>
      </c>
      <c r="I31" s="42">
        <f>SUM(VLOOKUP(C31, Teams!A:B, 2, FALSE), VLOOKUP(D31, Teams!A:B, 2, FALSE), VLOOKUP(E31, Teams!A:B, 2, FALSE))</f>
        <v>25.954790000000003</v>
      </c>
      <c r="J31" s="44">
        <f>SUM(VLOOKUP(F31, Teams!A:B, 2, FALSE), VLOOKUP(G31, Teams!A:B, 2, FALSE), VLOOKUP(H31, Teams!A:B, 2, FALSE))</f>
        <v>39.301478000000003</v>
      </c>
      <c r="K31" s="7">
        <f t="shared" si="0"/>
        <v>0</v>
      </c>
      <c r="L31" s="9">
        <f t="shared" si="1"/>
        <v>2</v>
      </c>
      <c r="M31" s="36">
        <f t="shared" si="2"/>
        <v>30</v>
      </c>
      <c r="N31" s="23">
        <f>IF('Online Results'!T33="", "", 'Online Results'!T33)</f>
        <v>30</v>
      </c>
      <c r="O31" s="22">
        <f>IF('Online Results'!U33="", "", 'Online Results'!U33)</f>
        <v>40</v>
      </c>
      <c r="P31" s="47">
        <f t="shared" si="3"/>
        <v>30</v>
      </c>
      <c r="Q31" s="48">
        <f t="shared" si="4"/>
        <v>40</v>
      </c>
      <c r="R31" s="46">
        <f t="shared" si="5"/>
        <v>6.7767599999999914E-2</v>
      </c>
      <c r="S31" s="13">
        <f>SUM(VLOOKUP(C31, Teams!A:B, 2, FALSE), VLOOKUP(D31, Teams!A:B, 2, FALSE), VLOOKUP(E31, Teams!A:B, 2, FALSE))</f>
        <v>25.954790000000003</v>
      </c>
      <c r="T31" s="11">
        <f>SUM(VLOOKUP(F31, Teams!A:B, 2, FALSE), VLOOKUP(G31, Teams!A:B, 2, FALSE), VLOOKUP(H31, Teams!A:B, 2, FALSE))</f>
        <v>39.301478000000003</v>
      </c>
      <c r="U31" s="46">
        <f>R31*SUM(S31, T31)/SUM(AVERAGE($S$2:$S31), AVERAGE($T$2:$T31))</f>
        <v>6.3765149895104664E-2</v>
      </c>
      <c r="V31" s="46">
        <f>AVERAGE($R$2:$R31)</f>
        <v>0.25244737491195574</v>
      </c>
      <c r="W31" s="46">
        <f>AVERAGE($U$2:$U31)</f>
        <v>0.25999422139335626</v>
      </c>
      <c r="X31" s="4">
        <f t="shared" si="6"/>
        <v>0</v>
      </c>
      <c r="Y31" s="46">
        <f>AVERAGE($X$2:$X31)*0.5</f>
        <v>0.16666666666666666</v>
      </c>
    </row>
    <row r="32" spans="1:25">
      <c r="A32" s="3">
        <f>'Online Results'!L34</f>
        <v>0.68541666666666667</v>
      </c>
      <c r="B32" s="18">
        <f>'Online Results'!M34</f>
        <v>31</v>
      </c>
      <c r="C32" s="20">
        <f>'Online Results'!N34</f>
        <v>3205</v>
      </c>
      <c r="D32" s="20">
        <f>'Online Results'!O34</f>
        <v>537</v>
      </c>
      <c r="E32" s="20">
        <f>'Online Results'!P34</f>
        <v>2130</v>
      </c>
      <c r="F32" s="19">
        <f>'Online Results'!Q34</f>
        <v>3847</v>
      </c>
      <c r="G32" s="19">
        <f>'Online Results'!R34</f>
        <v>706</v>
      </c>
      <c r="H32" s="19">
        <f>'Online Results'!S34</f>
        <v>1319</v>
      </c>
      <c r="I32" s="42">
        <f>SUM(VLOOKUP(C32, Teams!A:B, 2, FALSE), VLOOKUP(D32, Teams!A:B, 2, FALSE), VLOOKUP(E32, Teams!A:B, 2, FALSE))</f>
        <v>42.611469999999997</v>
      </c>
      <c r="J32" s="44">
        <f>SUM(VLOOKUP(F32, Teams!A:B, 2, FALSE), VLOOKUP(G32, Teams!A:B, 2, FALSE), VLOOKUP(H32, Teams!A:B, 2, FALSE))</f>
        <v>22.986508333333333</v>
      </c>
      <c r="K32" s="7">
        <f t="shared" si="0"/>
        <v>2</v>
      </c>
      <c r="L32" s="9">
        <f t="shared" si="1"/>
        <v>0</v>
      </c>
      <c r="M32" s="36">
        <f t="shared" si="2"/>
        <v>31</v>
      </c>
      <c r="N32" s="23">
        <f>IF('Online Results'!T34="", "", 'Online Results'!T34)</f>
        <v>45</v>
      </c>
      <c r="O32" s="22">
        <f>IF('Online Results'!U34="", "", 'Online Results'!U34)</f>
        <v>31</v>
      </c>
      <c r="P32" s="47">
        <f t="shared" si="3"/>
        <v>45</v>
      </c>
      <c r="Q32" s="48">
        <f t="shared" si="4"/>
        <v>31</v>
      </c>
      <c r="R32" s="46">
        <f t="shared" si="5"/>
        <v>0.13686870614035093</v>
      </c>
      <c r="S32" s="13">
        <f>SUM(VLOOKUP(C32, Teams!A:B, 2, FALSE), VLOOKUP(D32, Teams!A:B, 2, FALSE), VLOOKUP(E32, Teams!A:B, 2, FALSE))</f>
        <v>42.611469999999997</v>
      </c>
      <c r="T32" s="11">
        <f>SUM(VLOOKUP(F32, Teams!A:B, 2, FALSE), VLOOKUP(G32, Teams!A:B, 2, FALSE), VLOOKUP(H32, Teams!A:B, 2, FALSE))</f>
        <v>22.986508333333333</v>
      </c>
      <c r="U32" s="46">
        <f>R32*SUM(S32, T32)/SUM(AVERAGE($S$2:$S32), AVERAGE($T$2:$T32))</f>
        <v>0.12968588801230674</v>
      </c>
      <c r="V32" s="46">
        <f>AVERAGE($R$2:$R32)</f>
        <v>0.24871903075803303</v>
      </c>
      <c r="W32" s="46">
        <f>AVERAGE($U$2:$U32)</f>
        <v>0.25579072676816111</v>
      </c>
      <c r="X32" s="4">
        <f t="shared" si="6"/>
        <v>0</v>
      </c>
      <c r="Y32" s="46">
        <f>AVERAGE($X$2:$X32)*0.5</f>
        <v>0.16129032258064516</v>
      </c>
    </row>
    <row r="33" spans="1:25">
      <c r="A33" s="3">
        <f>'Online Results'!L35</f>
        <v>0.68819444444444444</v>
      </c>
      <c r="B33" s="18">
        <f>'Online Results'!M35</f>
        <v>32</v>
      </c>
      <c r="C33" s="20">
        <f>'Online Results'!N35</f>
        <v>2164</v>
      </c>
      <c r="D33" s="20">
        <f>'Online Results'!O35</f>
        <v>178</v>
      </c>
      <c r="E33" s="20">
        <f>'Online Results'!P35</f>
        <v>702</v>
      </c>
      <c r="F33" s="19">
        <f>'Online Results'!Q35</f>
        <v>1266</v>
      </c>
      <c r="G33" s="19">
        <f>'Online Results'!R35</f>
        <v>1985</v>
      </c>
      <c r="H33" s="19">
        <f>'Online Results'!S35</f>
        <v>1033</v>
      </c>
      <c r="I33" s="42">
        <f>SUM(VLOOKUP(C33, Teams!A:B, 2, FALSE), VLOOKUP(D33, Teams!A:B, 2, FALSE), VLOOKUP(E33, Teams!A:B, 2, FALSE))</f>
        <v>18.164361</v>
      </c>
      <c r="J33" s="44">
        <f>SUM(VLOOKUP(F33, Teams!A:B, 2, FALSE), VLOOKUP(G33, Teams!A:B, 2, FALSE), VLOOKUP(H33, Teams!A:B, 2, FALSE))</f>
        <v>31.151870000000002</v>
      </c>
      <c r="K33" s="7">
        <f t="shared" si="0"/>
        <v>2</v>
      </c>
      <c r="L33" s="9">
        <f t="shared" si="1"/>
        <v>0</v>
      </c>
      <c r="M33" s="36">
        <f t="shared" si="2"/>
        <v>11</v>
      </c>
      <c r="N33" s="23">
        <f>IF('Online Results'!T35="", "", 'Online Results'!T35)</f>
        <v>26</v>
      </c>
      <c r="O33" s="22">
        <f>IF('Online Results'!U35="", "", 'Online Results'!U35)</f>
        <v>11</v>
      </c>
      <c r="P33" s="47">
        <f t="shared" si="3"/>
        <v>26</v>
      </c>
      <c r="Q33" s="48">
        <f t="shared" si="4"/>
        <v>11</v>
      </c>
      <c r="R33" s="46">
        <f t="shared" si="5"/>
        <v>0.33287110810810816</v>
      </c>
      <c r="S33" s="13">
        <f>SUM(VLOOKUP(C33, Teams!A:B, 2, FALSE), VLOOKUP(D33, Teams!A:B, 2, FALSE), VLOOKUP(E33, Teams!A:B, 2, FALSE))</f>
        <v>18.164361</v>
      </c>
      <c r="T33" s="11">
        <f>SUM(VLOOKUP(F33, Teams!A:B, 2, FALSE), VLOOKUP(G33, Teams!A:B, 2, FALSE), VLOOKUP(H33, Teams!A:B, 2, FALSE))</f>
        <v>31.151870000000002</v>
      </c>
      <c r="U33" s="46">
        <f>R33*SUM(S33, T33)/SUM(AVERAGE($S$2:$S33), AVERAGE($T$2:$T33))</f>
        <v>0.23926862726412737</v>
      </c>
      <c r="V33" s="46">
        <f>AVERAGE($R$2:$R33)</f>
        <v>0.25134878317522291</v>
      </c>
      <c r="W33" s="46">
        <f>AVERAGE($U$2:$U33)</f>
        <v>0.25527441115866006</v>
      </c>
      <c r="X33" s="4">
        <f t="shared" si="6"/>
        <v>2</v>
      </c>
      <c r="Y33" s="46">
        <f>AVERAGE($X$2:$X33)*0.5</f>
        <v>0.1875</v>
      </c>
    </row>
    <row r="34" spans="1:25">
      <c r="A34" s="3">
        <f>'Online Results'!L36</f>
        <v>0.69236111111111109</v>
      </c>
      <c r="B34" s="18">
        <f>'Online Results'!M36</f>
        <v>33</v>
      </c>
      <c r="C34" s="20">
        <f>'Online Results'!N36</f>
        <v>1678</v>
      </c>
      <c r="D34" s="20">
        <f>'Online Results'!O36</f>
        <v>4130</v>
      </c>
      <c r="E34" s="20">
        <f>'Online Results'!P36</f>
        <v>4269</v>
      </c>
      <c r="F34" s="19">
        <f>'Online Results'!Q36</f>
        <v>2474</v>
      </c>
      <c r="G34" s="19">
        <f>'Online Results'!R36</f>
        <v>120</v>
      </c>
      <c r="H34" s="19">
        <f>'Online Results'!S36</f>
        <v>1912</v>
      </c>
      <c r="I34" s="42">
        <f>SUM(VLOOKUP(C34, Teams!A:B, 2, FALSE), VLOOKUP(D34, Teams!A:B, 2, FALSE), VLOOKUP(E34, Teams!A:B, 2, FALSE))</f>
        <v>33.791319999999999</v>
      </c>
      <c r="J34" s="44">
        <f>SUM(VLOOKUP(F34, Teams!A:B, 2, FALSE), VLOOKUP(G34, Teams!A:B, 2, FALSE), VLOOKUP(H34, Teams!A:B, 2, FALSE))</f>
        <v>43.019254999999994</v>
      </c>
      <c r="K34" s="7">
        <f t="shared" si="0"/>
        <v>2</v>
      </c>
      <c r="L34" s="9">
        <f t="shared" si="1"/>
        <v>0</v>
      </c>
      <c r="M34" s="36">
        <f t="shared" si="2"/>
        <v>24</v>
      </c>
      <c r="N34" s="23">
        <f>IF('Online Results'!T36="", "", 'Online Results'!T36)</f>
        <v>48</v>
      </c>
      <c r="O34" s="22">
        <f>IF('Online Results'!U36="", "", 'Online Results'!U36)</f>
        <v>24</v>
      </c>
      <c r="P34" s="47">
        <f t="shared" si="3"/>
        <v>48</v>
      </c>
      <c r="Q34" s="48">
        <f t="shared" si="4"/>
        <v>24</v>
      </c>
      <c r="R34" s="46">
        <f t="shared" si="5"/>
        <v>6.681354166666667E-2</v>
      </c>
      <c r="S34" s="13">
        <f>SUM(VLOOKUP(C34, Teams!A:B, 2, FALSE), VLOOKUP(D34, Teams!A:B, 2, FALSE), VLOOKUP(E34, Teams!A:B, 2, FALSE))</f>
        <v>33.791319999999999</v>
      </c>
      <c r="T34" s="11">
        <f>SUM(VLOOKUP(F34, Teams!A:B, 2, FALSE), VLOOKUP(G34, Teams!A:B, 2, FALSE), VLOOKUP(H34, Teams!A:B, 2, FALSE))</f>
        <v>43.019254999999994</v>
      </c>
      <c r="U34" s="46">
        <f>R34*SUM(S34, T34)/SUM(AVERAGE($S$2:$S34), AVERAGE($T$2:$T34))</f>
        <v>7.4530647044299819E-2</v>
      </c>
      <c r="V34" s="46">
        <f>AVERAGE($R$2:$R34)</f>
        <v>0.24575680615981213</v>
      </c>
      <c r="W34" s="46">
        <f>AVERAGE($U$2:$U34)</f>
        <v>0.24979732739761884</v>
      </c>
      <c r="X34" s="4">
        <f t="shared" si="6"/>
        <v>2</v>
      </c>
      <c r="Y34" s="46">
        <f>AVERAGE($X$2:$X34)*0.5</f>
        <v>0.21212121212121213</v>
      </c>
    </row>
    <row r="35" spans="1:25">
      <c r="A35" s="3">
        <f>'Online Results'!L37</f>
        <v>0.69791666666666663</v>
      </c>
      <c r="B35" s="18">
        <f>'Online Results'!M37</f>
        <v>34</v>
      </c>
      <c r="C35" s="20">
        <f>'Online Results'!N37</f>
        <v>3936</v>
      </c>
      <c r="D35" s="20">
        <f>'Online Results'!O37</f>
        <v>3950</v>
      </c>
      <c r="E35" s="20">
        <f>'Online Results'!P37</f>
        <v>293</v>
      </c>
      <c r="F35" s="19">
        <f>'Online Results'!Q37</f>
        <v>2522</v>
      </c>
      <c r="G35" s="19">
        <f>'Online Results'!R37</f>
        <v>2757</v>
      </c>
      <c r="H35" s="19">
        <f>'Online Results'!S37</f>
        <v>694</v>
      </c>
      <c r="I35" s="42">
        <f>SUM(VLOOKUP(C35, Teams!A:B, 2, FALSE), VLOOKUP(D35, Teams!A:B, 2, FALSE), VLOOKUP(E35, Teams!A:B, 2, FALSE))</f>
        <v>18.042750000000002</v>
      </c>
      <c r="J35" s="44">
        <f>SUM(VLOOKUP(F35, Teams!A:B, 2, FALSE), VLOOKUP(G35, Teams!A:B, 2, FALSE), VLOOKUP(H35, Teams!A:B, 2, FALSE))</f>
        <v>31.72045</v>
      </c>
      <c r="K35" s="7">
        <f t="shared" si="0"/>
        <v>2</v>
      </c>
      <c r="L35" s="9">
        <f t="shared" si="1"/>
        <v>0</v>
      </c>
      <c r="M35" s="36">
        <f t="shared" si="2"/>
        <v>27</v>
      </c>
      <c r="N35" s="23">
        <f>IF('Online Results'!T37="", "", 'Online Results'!T37)</f>
        <v>38</v>
      </c>
      <c r="O35" s="22">
        <f>IF('Online Results'!U37="", "", 'Online Results'!U37)</f>
        <v>27</v>
      </c>
      <c r="P35" s="47">
        <f t="shared" si="3"/>
        <v>38</v>
      </c>
      <c r="Q35" s="48">
        <f t="shared" si="4"/>
        <v>27</v>
      </c>
      <c r="R35" s="46">
        <f t="shared" si="5"/>
        <v>0.23441230769230773</v>
      </c>
      <c r="S35" s="13">
        <f>SUM(VLOOKUP(C35, Teams!A:B, 2, FALSE), VLOOKUP(D35, Teams!A:B, 2, FALSE), VLOOKUP(E35, Teams!A:B, 2, FALSE))</f>
        <v>18.042750000000002</v>
      </c>
      <c r="T35" s="11">
        <f>SUM(VLOOKUP(F35, Teams!A:B, 2, FALSE), VLOOKUP(G35, Teams!A:B, 2, FALSE), VLOOKUP(H35, Teams!A:B, 2, FALSE))</f>
        <v>31.72045</v>
      </c>
      <c r="U35" s="46">
        <f>R35*SUM(S35, T35)/SUM(AVERAGE($S$2:$S35), AVERAGE($T$2:$T35))</f>
        <v>0.17080267887144285</v>
      </c>
      <c r="V35" s="46">
        <f>AVERAGE($R$2:$R35)</f>
        <v>0.24542314444017965</v>
      </c>
      <c r="W35" s="46">
        <f>AVERAGE($U$2:$U35)</f>
        <v>0.24747395538214309</v>
      </c>
      <c r="X35" s="4">
        <f t="shared" si="6"/>
        <v>2</v>
      </c>
      <c r="Y35" s="46">
        <f>AVERAGE($X$2:$X35)*0.5</f>
        <v>0.23529411764705882</v>
      </c>
    </row>
    <row r="36" spans="1:25">
      <c r="A36" s="3">
        <f>'Online Results'!L38</f>
        <v>0.70624999999999993</v>
      </c>
      <c r="B36" s="18">
        <f>'Online Results'!M38</f>
        <v>35</v>
      </c>
      <c r="C36" s="20">
        <f>'Online Results'!N38</f>
        <v>1817</v>
      </c>
      <c r="D36" s="20">
        <f>'Online Results'!O38</f>
        <v>3941</v>
      </c>
      <c r="E36" s="20">
        <f>'Online Results'!P38</f>
        <v>1764</v>
      </c>
      <c r="F36" s="19">
        <f>'Online Results'!Q38</f>
        <v>3860</v>
      </c>
      <c r="G36" s="19">
        <f>'Online Results'!R38</f>
        <v>624</v>
      </c>
      <c r="H36" s="19">
        <f>'Online Results'!S38</f>
        <v>1683</v>
      </c>
      <c r="I36" s="42">
        <f>SUM(VLOOKUP(C36, Teams!A:B, 2, FALSE), VLOOKUP(D36, Teams!A:B, 2, FALSE), VLOOKUP(E36, Teams!A:B, 2, FALSE))</f>
        <v>15.927255000000001</v>
      </c>
      <c r="J36" s="44">
        <f>SUM(VLOOKUP(F36, Teams!A:B, 2, FALSE), VLOOKUP(G36, Teams!A:B, 2, FALSE), VLOOKUP(H36, Teams!A:B, 2, FALSE))</f>
        <v>40.023399999999995</v>
      </c>
      <c r="K36" s="7">
        <f t="shared" si="0"/>
        <v>0</v>
      </c>
      <c r="L36" s="9">
        <f t="shared" si="1"/>
        <v>2</v>
      </c>
      <c r="M36" s="36">
        <f t="shared" si="2"/>
        <v>17</v>
      </c>
      <c r="N36" s="23">
        <f>IF('Online Results'!T38="", "", 'Online Results'!T38)</f>
        <v>17</v>
      </c>
      <c r="O36" s="22">
        <f>IF('Online Results'!U38="", "", 'Online Results'!U38)</f>
        <v>64</v>
      </c>
      <c r="P36" s="47">
        <f t="shared" si="3"/>
        <v>17</v>
      </c>
      <c r="Q36" s="48">
        <f t="shared" si="4"/>
        <v>64</v>
      </c>
      <c r="R36" s="46">
        <f t="shared" si="5"/>
        <v>0.30925117283950621</v>
      </c>
      <c r="S36" s="13">
        <f>SUM(VLOOKUP(C36, Teams!A:B, 2, FALSE), VLOOKUP(D36, Teams!A:B, 2, FALSE), VLOOKUP(E36, Teams!A:B, 2, FALSE))</f>
        <v>15.927255000000001</v>
      </c>
      <c r="T36" s="11">
        <f>SUM(VLOOKUP(F36, Teams!A:B, 2, FALSE), VLOOKUP(G36, Teams!A:B, 2, FALSE), VLOOKUP(H36, Teams!A:B, 2, FALSE))</f>
        <v>40.023399999999995</v>
      </c>
      <c r="U36" s="46">
        <f>R36*SUM(S36, T36)/SUM(AVERAGE($S$2:$S36), AVERAGE($T$2:$T36))</f>
        <v>0.25466616905246858</v>
      </c>
      <c r="V36" s="46">
        <f>AVERAGE($R$2:$R36)</f>
        <v>0.2472468023944461</v>
      </c>
      <c r="W36" s="46">
        <f>AVERAGE($U$2:$U36)</f>
        <v>0.24767944720129523</v>
      </c>
      <c r="X36" s="4">
        <f t="shared" si="6"/>
        <v>0</v>
      </c>
      <c r="Y36" s="46">
        <f>AVERAGE($X$2:$X36)*0.5</f>
        <v>0.22857142857142856</v>
      </c>
    </row>
    <row r="37" spans="1:25">
      <c r="A37" s="3">
        <f>'Online Results'!L39</f>
        <v>0.70972222222222225</v>
      </c>
      <c r="B37" s="18">
        <f>'Online Results'!M39</f>
        <v>36</v>
      </c>
      <c r="C37" s="20">
        <f>'Online Results'!N39</f>
        <v>2500</v>
      </c>
      <c r="D37" s="20">
        <f>'Online Results'!O39</f>
        <v>4265</v>
      </c>
      <c r="E37" s="20">
        <f>'Online Results'!P39</f>
        <v>571</v>
      </c>
      <c r="F37" s="19">
        <f>'Online Results'!Q39</f>
        <v>3711</v>
      </c>
      <c r="G37" s="19">
        <f>'Online Results'!R39</f>
        <v>1507</v>
      </c>
      <c r="H37" s="19">
        <f>'Online Results'!S39</f>
        <v>987</v>
      </c>
      <c r="I37" s="42">
        <f>SUM(VLOOKUP(C37, Teams!A:B, 2, FALSE), VLOOKUP(D37, Teams!A:B, 2, FALSE), VLOOKUP(E37, Teams!A:B, 2, FALSE))</f>
        <v>13.145465</v>
      </c>
      <c r="J37" s="44">
        <f>SUM(VLOOKUP(F37, Teams!A:B, 2, FALSE), VLOOKUP(G37, Teams!A:B, 2, FALSE), VLOOKUP(H37, Teams!A:B, 2, FALSE))</f>
        <v>70.020764999999997</v>
      </c>
      <c r="K37" s="7">
        <f t="shared" si="0"/>
        <v>0</v>
      </c>
      <c r="L37" s="9">
        <f t="shared" si="1"/>
        <v>2</v>
      </c>
      <c r="M37" s="36">
        <f t="shared" si="2"/>
        <v>35</v>
      </c>
      <c r="N37" s="23">
        <f>IF('Online Results'!T39="", "", 'Online Results'!T39)</f>
        <v>35</v>
      </c>
      <c r="O37" s="22">
        <f>IF('Online Results'!U39="", "", 'Online Results'!U39)</f>
        <v>86</v>
      </c>
      <c r="P37" s="47">
        <f t="shared" si="3"/>
        <v>35</v>
      </c>
      <c r="Q37" s="48">
        <f t="shared" si="4"/>
        <v>86</v>
      </c>
      <c r="R37" s="46">
        <f t="shared" si="5"/>
        <v>0.31267578512396693</v>
      </c>
      <c r="S37" s="13">
        <f>SUM(VLOOKUP(C37, Teams!A:B, 2, FALSE), VLOOKUP(D37, Teams!A:B, 2, FALSE), VLOOKUP(E37, Teams!A:B, 2, FALSE))</f>
        <v>13.145465</v>
      </c>
      <c r="T37" s="11">
        <f>SUM(VLOOKUP(F37, Teams!A:B, 2, FALSE), VLOOKUP(G37, Teams!A:B, 2, FALSE), VLOOKUP(H37, Teams!A:B, 2, FALSE))</f>
        <v>70.020764999999997</v>
      </c>
      <c r="U37" s="46">
        <f>R37*SUM(S37, T37)/SUM(AVERAGE($S$2:$S37), AVERAGE($T$2:$T37))</f>
        <v>0.38036574447691823</v>
      </c>
      <c r="V37" s="46">
        <f>AVERAGE($R$2:$R37)</f>
        <v>0.24906427413693277</v>
      </c>
      <c r="W37" s="46">
        <f>AVERAGE($U$2:$U37)</f>
        <v>0.25136517768117367</v>
      </c>
      <c r="X37" s="4">
        <f t="shared" si="6"/>
        <v>0</v>
      </c>
      <c r="Y37" s="46">
        <f>AVERAGE($X$2:$X37)*0.5</f>
        <v>0.22222222222222221</v>
      </c>
    </row>
    <row r="38" spans="1:25">
      <c r="A38" s="3">
        <f>'Online Results'!L40</f>
        <v>0.71666666666666667</v>
      </c>
      <c r="B38" s="18">
        <f>'Online Results'!M40</f>
        <v>37</v>
      </c>
      <c r="C38" s="20">
        <f>'Online Results'!N40</f>
        <v>836</v>
      </c>
      <c r="D38" s="20">
        <f>'Online Results'!O40</f>
        <v>341</v>
      </c>
      <c r="E38" s="20">
        <f>'Online Results'!P40</f>
        <v>433</v>
      </c>
      <c r="F38" s="19">
        <f>'Online Results'!Q40</f>
        <v>192</v>
      </c>
      <c r="G38" s="19">
        <f>'Online Results'!R40</f>
        <v>207</v>
      </c>
      <c r="H38" s="19">
        <f>'Online Results'!S40</f>
        <v>4226</v>
      </c>
      <c r="I38" s="42">
        <f>SUM(VLOOKUP(C38, Teams!A:B, 2, FALSE), VLOOKUP(D38, Teams!A:B, 2, FALSE), VLOOKUP(E38, Teams!A:B, 2, FALSE))</f>
        <v>60.086815000000001</v>
      </c>
      <c r="J38" s="44">
        <f>SUM(VLOOKUP(F38, Teams!A:B, 2, FALSE), VLOOKUP(G38, Teams!A:B, 2, FALSE), VLOOKUP(H38, Teams!A:B, 2, FALSE))</f>
        <v>28.392150000000001</v>
      </c>
      <c r="K38" s="7">
        <f t="shared" si="0"/>
        <v>2</v>
      </c>
      <c r="L38" s="9">
        <f t="shared" si="1"/>
        <v>0</v>
      </c>
      <c r="M38" s="36">
        <f t="shared" si="2"/>
        <v>25</v>
      </c>
      <c r="N38" s="23">
        <f>IF('Online Results'!T40="", "", 'Online Results'!T40)</f>
        <v>73</v>
      </c>
      <c r="O38" s="22">
        <f>IF('Online Results'!U40="", "", 'Online Results'!U40)</f>
        <v>25</v>
      </c>
      <c r="P38" s="47">
        <f t="shared" si="3"/>
        <v>73</v>
      </c>
      <c r="Q38" s="48">
        <f t="shared" si="4"/>
        <v>25</v>
      </c>
      <c r="R38" s="46">
        <f t="shared" si="5"/>
        <v>9.7153418367346922E-2</v>
      </c>
      <c r="S38" s="13">
        <f>SUM(VLOOKUP(C38, Teams!A:B, 2, FALSE), VLOOKUP(D38, Teams!A:B, 2, FALSE), VLOOKUP(E38, Teams!A:B, 2, FALSE))</f>
        <v>60.086815000000001</v>
      </c>
      <c r="T38" s="11">
        <f>SUM(VLOOKUP(F38, Teams!A:B, 2, FALSE), VLOOKUP(G38, Teams!A:B, 2, FALSE), VLOOKUP(H38, Teams!A:B, 2, FALSE))</f>
        <v>28.392150000000001</v>
      </c>
      <c r="U38" s="46">
        <f>R38*SUM(S38, T38)/SUM(AVERAGE($S$2:$S38), AVERAGE($T$2:$T38))</f>
        <v>0.12474372963130047</v>
      </c>
      <c r="V38" s="46">
        <f>AVERAGE($R$2:$R38)</f>
        <v>0.24495857533234938</v>
      </c>
      <c r="W38" s="46">
        <f>AVERAGE($U$2:$U38)</f>
        <v>0.24794297638252843</v>
      </c>
      <c r="X38" s="4">
        <f t="shared" si="6"/>
        <v>0</v>
      </c>
      <c r="Y38" s="46">
        <f>AVERAGE($X$2:$X38)*0.5</f>
        <v>0.21621621621621623</v>
      </c>
    </row>
    <row r="39" spans="1:25">
      <c r="A39" s="3">
        <f>'Online Results'!L41</f>
        <v>0.72083333333333333</v>
      </c>
      <c r="B39" s="18">
        <f>'Online Results'!M41</f>
        <v>38</v>
      </c>
      <c r="C39" s="20">
        <f>'Online Results'!N41</f>
        <v>3098</v>
      </c>
      <c r="D39" s="20">
        <f>'Online Results'!O41</f>
        <v>279</v>
      </c>
      <c r="E39" s="20">
        <f>'Online Results'!P41</f>
        <v>415</v>
      </c>
      <c r="F39" s="19">
        <f>'Online Results'!Q41</f>
        <v>3970</v>
      </c>
      <c r="G39" s="19">
        <f>'Online Results'!R41</f>
        <v>2180</v>
      </c>
      <c r="H39" s="19">
        <f>'Online Results'!S41</f>
        <v>3419</v>
      </c>
      <c r="I39" s="42">
        <f>SUM(VLOOKUP(C39, Teams!A:B, 2, FALSE), VLOOKUP(D39, Teams!A:B, 2, FALSE), VLOOKUP(E39, Teams!A:B, 2, FALSE))</f>
        <v>32.957548333333335</v>
      </c>
      <c r="J39" s="44">
        <f>SUM(VLOOKUP(F39, Teams!A:B, 2, FALSE), VLOOKUP(G39, Teams!A:B, 2, FALSE), VLOOKUP(H39, Teams!A:B, 2, FALSE))</f>
        <v>43.032240000000002</v>
      </c>
      <c r="K39" s="7">
        <f t="shared" si="0"/>
        <v>0</v>
      </c>
      <c r="L39" s="9">
        <f t="shared" si="1"/>
        <v>2</v>
      </c>
      <c r="M39" s="36">
        <f t="shared" si="2"/>
        <v>31</v>
      </c>
      <c r="N39" s="23">
        <f>IF('Online Results'!T41="", "", 'Online Results'!T41)</f>
        <v>31</v>
      </c>
      <c r="O39" s="22">
        <f>IF('Online Results'!U41="", "", 'Online Results'!U41)</f>
        <v>50</v>
      </c>
      <c r="P39" s="47">
        <f t="shared" si="3"/>
        <v>31</v>
      </c>
      <c r="Q39" s="48">
        <f t="shared" si="4"/>
        <v>50</v>
      </c>
      <c r="R39" s="46">
        <f t="shared" si="5"/>
        <v>6.1854465020576087E-2</v>
      </c>
      <c r="S39" s="13">
        <f>SUM(VLOOKUP(C39, Teams!A:B, 2, FALSE), VLOOKUP(D39, Teams!A:B, 2, FALSE), VLOOKUP(E39, Teams!A:B, 2, FALSE))</f>
        <v>32.957548333333335</v>
      </c>
      <c r="T39" s="11">
        <f>SUM(VLOOKUP(F39, Teams!A:B, 2, FALSE), VLOOKUP(G39, Teams!A:B, 2, FALSE), VLOOKUP(H39, Teams!A:B, 2, FALSE))</f>
        <v>43.032240000000002</v>
      </c>
      <c r="U39" s="46">
        <f>R39*SUM(S39, T39)/SUM(AVERAGE($S$2:$S39), AVERAGE($T$2:$T39))</f>
        <v>6.8025885788447066E-2</v>
      </c>
      <c r="V39" s="46">
        <f>AVERAGE($R$2:$R39)</f>
        <v>0.24014004611361847</v>
      </c>
      <c r="W39" s="46">
        <f>AVERAGE($U$2:$U39)</f>
        <v>0.24320831610373683</v>
      </c>
      <c r="X39" s="4">
        <f t="shared" si="6"/>
        <v>0</v>
      </c>
      <c r="Y39" s="46">
        <f>AVERAGE($X$2:$X39)*0.5</f>
        <v>0.21052631578947367</v>
      </c>
    </row>
    <row r="40" spans="1:25">
      <c r="A40" s="3">
        <f>'Online Results'!L42</f>
        <v>0.72430555555555554</v>
      </c>
      <c r="B40" s="18">
        <f>'Online Results'!M42</f>
        <v>39</v>
      </c>
      <c r="C40" s="20">
        <f>'Online Results'!N42</f>
        <v>1501</v>
      </c>
      <c r="D40" s="20">
        <f>'Online Results'!O42</f>
        <v>1690</v>
      </c>
      <c r="E40" s="20">
        <f>'Online Results'!P42</f>
        <v>3807</v>
      </c>
      <c r="F40" s="19">
        <f>'Online Results'!Q42</f>
        <v>3205</v>
      </c>
      <c r="G40" s="19">
        <f>'Online Results'!R42</f>
        <v>4069</v>
      </c>
      <c r="H40" s="19">
        <f>'Online Results'!S42</f>
        <v>254</v>
      </c>
      <c r="I40" s="42">
        <f>SUM(VLOOKUP(C40, Teams!A:B, 2, FALSE), VLOOKUP(D40, Teams!A:B, 2, FALSE), VLOOKUP(E40, Teams!A:B, 2, FALSE))</f>
        <v>29.124960000000002</v>
      </c>
      <c r="J40" s="44">
        <f>SUM(VLOOKUP(F40, Teams!A:B, 2, FALSE), VLOOKUP(G40, Teams!A:B, 2, FALSE), VLOOKUP(H40, Teams!A:B, 2, FALSE))</f>
        <v>67.048949999999991</v>
      </c>
      <c r="K40" s="7">
        <f t="shared" si="0"/>
        <v>0</v>
      </c>
      <c r="L40" s="9">
        <f t="shared" si="1"/>
        <v>2</v>
      </c>
      <c r="M40" s="36">
        <f t="shared" si="2"/>
        <v>29.124960000000002</v>
      </c>
      <c r="N40" s="23" t="str">
        <f>IF('Online Results'!T42="", "", 'Online Results'!T42)</f>
        <v/>
      </c>
      <c r="O40" s="22" t="str">
        <f>IF('Online Results'!U42="", "", 'Online Results'!U42)</f>
        <v/>
      </c>
      <c r="P40" s="47">
        <f t="shared" si="3"/>
        <v>29.124960000000002</v>
      </c>
      <c r="Q40" s="48">
        <f t="shared" si="4"/>
        <v>67.048949999999991</v>
      </c>
      <c r="R40" s="46" t="e">
        <f t="shared" si="5"/>
        <v>#VALUE!</v>
      </c>
      <c r="S40" s="13">
        <f>SUM(VLOOKUP(C40, Teams!A:B, 2, FALSE), VLOOKUP(D40, Teams!A:B, 2, FALSE), VLOOKUP(E40, Teams!A:B, 2, FALSE))</f>
        <v>29.124960000000002</v>
      </c>
      <c r="T40" s="11">
        <f>SUM(VLOOKUP(F40, Teams!A:B, 2, FALSE), VLOOKUP(G40, Teams!A:B, 2, FALSE), VLOOKUP(H40, Teams!A:B, 2, FALSE))</f>
        <v>67.048949999999991</v>
      </c>
      <c r="U40" s="46" t="e">
        <f>R40*SUM(S40, T40)/SUM(AVERAGE($S$2:$S40), AVERAGE($T$2:$T40))</f>
        <v>#VALUE!</v>
      </c>
      <c r="V40" s="46" t="e">
        <f>AVERAGE($R$2:$R40)</f>
        <v>#VALUE!</v>
      </c>
      <c r="W40" s="46" t="e">
        <f>AVERAGE($U$2:$U40)</f>
        <v>#VALUE!</v>
      </c>
      <c r="X40" s="4">
        <f t="shared" si="6"/>
        <v>2</v>
      </c>
      <c r="Y40" s="46">
        <f>AVERAGE($X$2:$X40)*0.5</f>
        <v>0.23076923076923078</v>
      </c>
    </row>
    <row r="41" spans="1:25">
      <c r="A41" s="3">
        <f>'Online Results'!L43</f>
        <v>0.7284722222222223</v>
      </c>
      <c r="B41" s="18">
        <f>'Online Results'!M43</f>
        <v>40</v>
      </c>
      <c r="C41" s="20">
        <f>'Online Results'!N43</f>
        <v>1319</v>
      </c>
      <c r="D41" s="20">
        <f>'Online Results'!O43</f>
        <v>3288</v>
      </c>
      <c r="E41" s="20">
        <f>'Online Results'!P43</f>
        <v>1477</v>
      </c>
      <c r="F41" s="19">
        <f>'Online Results'!Q43</f>
        <v>4253</v>
      </c>
      <c r="G41" s="19">
        <f>'Online Results'!R43</f>
        <v>525</v>
      </c>
      <c r="H41" s="19">
        <f>'Online Results'!S43</f>
        <v>461</v>
      </c>
      <c r="I41" s="42">
        <f>SUM(VLOOKUP(C41, Teams!A:B, 2, FALSE), VLOOKUP(D41, Teams!A:B, 2, FALSE), VLOOKUP(E41, Teams!A:B, 2, FALSE))</f>
        <v>41.209974666666668</v>
      </c>
      <c r="J41" s="44">
        <f>SUM(VLOOKUP(F41, Teams!A:B, 2, FALSE), VLOOKUP(G41, Teams!A:B, 2, FALSE), VLOOKUP(H41, Teams!A:B, 2, FALSE))</f>
        <v>34.818669999999997</v>
      </c>
      <c r="K41" s="7">
        <f t="shared" si="0"/>
        <v>2</v>
      </c>
      <c r="L41" s="9">
        <f t="shared" si="1"/>
        <v>0</v>
      </c>
      <c r="M41" s="36">
        <f t="shared" si="2"/>
        <v>34.818669999999997</v>
      </c>
      <c r="N41" s="23" t="str">
        <f>IF('Online Results'!T43="", "", 'Online Results'!T43)</f>
        <v/>
      </c>
      <c r="O41" s="22" t="str">
        <f>IF('Online Results'!U43="", "", 'Online Results'!U43)</f>
        <v/>
      </c>
      <c r="P41" s="47">
        <f t="shared" si="3"/>
        <v>41.209974666666668</v>
      </c>
      <c r="Q41" s="48">
        <f t="shared" si="4"/>
        <v>34.818669999999997</v>
      </c>
      <c r="R41" s="46" t="e">
        <f t="shared" si="5"/>
        <v>#VALUE!</v>
      </c>
      <c r="S41" s="13">
        <f>SUM(VLOOKUP(C41, Teams!A:B, 2, FALSE), VLOOKUP(D41, Teams!A:B, 2, FALSE), VLOOKUP(E41, Teams!A:B, 2, FALSE))</f>
        <v>41.209974666666668</v>
      </c>
      <c r="T41" s="11">
        <f>SUM(VLOOKUP(F41, Teams!A:B, 2, FALSE), VLOOKUP(G41, Teams!A:B, 2, FALSE), VLOOKUP(H41, Teams!A:B, 2, FALSE))</f>
        <v>34.818669999999997</v>
      </c>
      <c r="U41" s="46" t="e">
        <f>R41*SUM(S41, T41)/SUM(AVERAGE($S$2:$S41), AVERAGE($T$2:$T41))</f>
        <v>#VALUE!</v>
      </c>
      <c r="V41" s="46" t="e">
        <f>AVERAGE($R$2:$R41)</f>
        <v>#VALUE!</v>
      </c>
      <c r="W41" s="46" t="e">
        <f>AVERAGE($U$2:$U41)</f>
        <v>#VALUE!</v>
      </c>
      <c r="X41" s="4">
        <f t="shared" si="6"/>
        <v>1</v>
      </c>
      <c r="Y41" s="46">
        <f>AVERAGE($X$2:$X41)*0.5</f>
        <v>0.23749999999999999</v>
      </c>
    </row>
    <row r="42" spans="1:25">
      <c r="A42" s="3">
        <f>'Online Results'!L44</f>
        <v>0.73263888888888884</v>
      </c>
      <c r="B42" s="18">
        <f>'Online Results'!M44</f>
        <v>41</v>
      </c>
      <c r="C42" s="20">
        <f>'Online Results'!N44</f>
        <v>706</v>
      </c>
      <c r="D42" s="20">
        <f>'Online Results'!O44</f>
        <v>3880</v>
      </c>
      <c r="E42" s="20">
        <f>'Online Results'!P44</f>
        <v>1143</v>
      </c>
      <c r="F42" s="19">
        <f>'Online Results'!Q44</f>
        <v>3929</v>
      </c>
      <c r="G42" s="19">
        <f>'Online Results'!R44</f>
        <v>4203</v>
      </c>
      <c r="H42" s="19">
        <f>'Online Results'!S44</f>
        <v>3115</v>
      </c>
      <c r="I42" s="42">
        <f>SUM(VLOOKUP(C42, Teams!A:B, 2, FALSE), VLOOKUP(D42, Teams!A:B, 2, FALSE), VLOOKUP(E42, Teams!A:B, 2, FALSE))</f>
        <v>27.942309999999999</v>
      </c>
      <c r="J42" s="44">
        <f>SUM(VLOOKUP(F42, Teams!A:B, 2, FALSE), VLOOKUP(G42, Teams!A:B, 2, FALSE), VLOOKUP(H42, Teams!A:B, 2, FALSE))</f>
        <v>15.909241000000002</v>
      </c>
      <c r="K42" s="7">
        <f t="shared" si="0"/>
        <v>2</v>
      </c>
      <c r="L42" s="9">
        <f t="shared" si="1"/>
        <v>0</v>
      </c>
      <c r="M42" s="36">
        <f t="shared" si="2"/>
        <v>15.909241000000002</v>
      </c>
      <c r="N42" s="23" t="str">
        <f>IF('Online Results'!T44="", "", 'Online Results'!T44)</f>
        <v/>
      </c>
      <c r="O42" s="22" t="str">
        <f>IF('Online Results'!U44="", "", 'Online Results'!U44)</f>
        <v/>
      </c>
      <c r="P42" s="47">
        <f t="shared" si="3"/>
        <v>27.942309999999999</v>
      </c>
      <c r="Q42" s="48">
        <f t="shared" si="4"/>
        <v>15.909241000000002</v>
      </c>
      <c r="R42" s="46" t="e">
        <f t="shared" si="5"/>
        <v>#VALUE!</v>
      </c>
      <c r="S42" s="13">
        <f>SUM(VLOOKUP(C42, Teams!A:B, 2, FALSE), VLOOKUP(D42, Teams!A:B, 2, FALSE), VLOOKUP(E42, Teams!A:B, 2, FALSE))</f>
        <v>27.942309999999999</v>
      </c>
      <c r="T42" s="11">
        <f>SUM(VLOOKUP(F42, Teams!A:B, 2, FALSE), VLOOKUP(G42, Teams!A:B, 2, FALSE), VLOOKUP(H42, Teams!A:B, 2, FALSE))</f>
        <v>15.909241000000002</v>
      </c>
      <c r="U42" s="46" t="e">
        <f>R42*SUM(S42, T42)/SUM(AVERAGE($S$2:$S42), AVERAGE($T$2:$T42))</f>
        <v>#VALUE!</v>
      </c>
      <c r="V42" s="46" t="e">
        <f>AVERAGE($R$2:$R42)</f>
        <v>#VALUE!</v>
      </c>
      <c r="W42" s="46" t="e">
        <f>AVERAGE($U$2:$U42)</f>
        <v>#VALUE!</v>
      </c>
      <c r="X42" s="4">
        <f t="shared" si="6"/>
        <v>1</v>
      </c>
      <c r="Y42" s="46">
        <f>AVERAGE($X$2:$X42)*0.5</f>
        <v>0.24390243902439024</v>
      </c>
    </row>
    <row r="43" spans="1:25">
      <c r="A43" s="3">
        <f>'Online Results'!L45</f>
        <v>0.7368055555555556</v>
      </c>
      <c r="B43" s="18">
        <f>'Online Results'!M45</f>
        <v>42</v>
      </c>
      <c r="C43" s="20">
        <f>'Online Results'!N45</f>
        <v>932</v>
      </c>
      <c r="D43" s="20">
        <f>'Online Results'!O45</f>
        <v>3847</v>
      </c>
      <c r="E43" s="20">
        <f>'Online Results'!P45</f>
        <v>178</v>
      </c>
      <c r="F43" s="19">
        <f>'Online Results'!Q45</f>
        <v>2591</v>
      </c>
      <c r="G43" s="19">
        <f>'Online Results'!R45</f>
        <v>1678</v>
      </c>
      <c r="H43" s="19">
        <f>'Online Results'!S45</f>
        <v>2960</v>
      </c>
      <c r="I43" s="42">
        <f>SUM(VLOOKUP(C43, Teams!A:B, 2, FALSE), VLOOKUP(D43, Teams!A:B, 2, FALSE), VLOOKUP(E43, Teams!A:B, 2, FALSE))</f>
        <v>11.458075999999998</v>
      </c>
      <c r="J43" s="44">
        <f>SUM(VLOOKUP(F43, Teams!A:B, 2, FALSE), VLOOKUP(G43, Teams!A:B, 2, FALSE), VLOOKUP(H43, Teams!A:B, 2, FALSE))</f>
        <v>46.676589999999997</v>
      </c>
      <c r="K43" s="7">
        <f t="shared" si="0"/>
        <v>0</v>
      </c>
      <c r="L43" s="9">
        <f t="shared" si="1"/>
        <v>2</v>
      </c>
      <c r="M43" s="36">
        <f t="shared" si="2"/>
        <v>11.458075999999998</v>
      </c>
      <c r="N43" s="23" t="str">
        <f>IF('Online Results'!T45="", "", 'Online Results'!T45)</f>
        <v/>
      </c>
      <c r="O43" s="22" t="str">
        <f>IF('Online Results'!U45="", "", 'Online Results'!U45)</f>
        <v/>
      </c>
      <c r="P43" s="47">
        <f t="shared" si="3"/>
        <v>11.458075999999998</v>
      </c>
      <c r="Q43" s="48">
        <f t="shared" si="4"/>
        <v>46.676589999999997</v>
      </c>
      <c r="R43" s="46" t="e">
        <f t="shared" si="5"/>
        <v>#VALUE!</v>
      </c>
      <c r="S43" s="13">
        <f>SUM(VLOOKUP(C43, Teams!A:B, 2, FALSE), VLOOKUP(D43, Teams!A:B, 2, FALSE), VLOOKUP(E43, Teams!A:B, 2, FALSE))</f>
        <v>11.458075999999998</v>
      </c>
      <c r="T43" s="11">
        <f>SUM(VLOOKUP(F43, Teams!A:B, 2, FALSE), VLOOKUP(G43, Teams!A:B, 2, FALSE), VLOOKUP(H43, Teams!A:B, 2, FALSE))</f>
        <v>46.676589999999997</v>
      </c>
      <c r="U43" s="46" t="e">
        <f>R43*SUM(S43, T43)/SUM(AVERAGE($S$2:$S43), AVERAGE($T$2:$T43))</f>
        <v>#VALUE!</v>
      </c>
      <c r="V43" s="46" t="e">
        <f>AVERAGE($R$2:$R43)</f>
        <v>#VALUE!</v>
      </c>
      <c r="W43" s="46" t="e">
        <f>AVERAGE($U$2:$U43)</f>
        <v>#VALUE!</v>
      </c>
      <c r="X43" s="4">
        <f t="shared" si="6"/>
        <v>2</v>
      </c>
      <c r="Y43" s="46">
        <f>AVERAGE($X$2:$X43)*0.5</f>
        <v>0.26190476190476192</v>
      </c>
    </row>
    <row r="44" spans="1:25">
      <c r="A44" s="3">
        <f>'Online Results'!L46</f>
        <v>0.74097222222222225</v>
      </c>
      <c r="B44" s="18">
        <f>'Online Results'!M46</f>
        <v>43</v>
      </c>
      <c r="C44" s="20">
        <f>'Online Results'!N46</f>
        <v>2164</v>
      </c>
      <c r="D44" s="20">
        <f>'Online Results'!O46</f>
        <v>288</v>
      </c>
      <c r="E44" s="20">
        <f>'Online Results'!P46</f>
        <v>2844</v>
      </c>
      <c r="F44" s="19">
        <f>'Online Results'!Q46</f>
        <v>1649</v>
      </c>
      <c r="G44" s="19">
        <f>'Online Results'!R46</f>
        <v>78</v>
      </c>
      <c r="H44" s="19">
        <f>'Online Results'!S46</f>
        <v>3965</v>
      </c>
      <c r="I44" s="42">
        <f>SUM(VLOOKUP(C44, Teams!A:B, 2, FALSE), VLOOKUP(D44, Teams!A:B, 2, FALSE), VLOOKUP(E44, Teams!A:B, 2, FALSE))</f>
        <v>15.70928</v>
      </c>
      <c r="J44" s="44">
        <f>SUM(VLOOKUP(F44, Teams!A:B, 2, FALSE), VLOOKUP(G44, Teams!A:B, 2, FALSE), VLOOKUP(H44, Teams!A:B, 2, FALSE))</f>
        <v>27.960289999999997</v>
      </c>
      <c r="K44" s="7">
        <f t="shared" si="0"/>
        <v>0</v>
      </c>
      <c r="L44" s="9">
        <f t="shared" si="1"/>
        <v>2</v>
      </c>
      <c r="M44" s="36">
        <f t="shared" si="2"/>
        <v>15.70928</v>
      </c>
      <c r="N44" s="23" t="str">
        <f>IF('Online Results'!T46="", "", 'Online Results'!T46)</f>
        <v/>
      </c>
      <c r="O44" s="22" t="str">
        <f>IF('Online Results'!U46="", "", 'Online Results'!U46)</f>
        <v/>
      </c>
      <c r="P44" s="47">
        <f t="shared" si="3"/>
        <v>15.70928</v>
      </c>
      <c r="Q44" s="48">
        <f t="shared" si="4"/>
        <v>27.960289999999997</v>
      </c>
      <c r="R44" s="46" t="e">
        <f t="shared" si="5"/>
        <v>#VALUE!</v>
      </c>
      <c r="S44" s="13">
        <f>SUM(VLOOKUP(C44, Teams!A:B, 2, FALSE), VLOOKUP(D44, Teams!A:B, 2, FALSE), VLOOKUP(E44, Teams!A:B, 2, FALSE))</f>
        <v>15.70928</v>
      </c>
      <c r="T44" s="11">
        <f>SUM(VLOOKUP(F44, Teams!A:B, 2, FALSE), VLOOKUP(G44, Teams!A:B, 2, FALSE), VLOOKUP(H44, Teams!A:B, 2, FALSE))</f>
        <v>27.960289999999997</v>
      </c>
      <c r="U44" s="46" t="e">
        <f>R44*SUM(S44, T44)/SUM(AVERAGE($S$2:$S44), AVERAGE($T$2:$T44))</f>
        <v>#VALUE!</v>
      </c>
      <c r="V44" s="46" t="e">
        <f>AVERAGE($R$2:$R44)</f>
        <v>#VALUE!</v>
      </c>
      <c r="W44" s="46" t="e">
        <f>AVERAGE($U$2:$U44)</f>
        <v>#VALUE!</v>
      </c>
      <c r="X44" s="4">
        <f t="shared" si="6"/>
        <v>2</v>
      </c>
      <c r="Y44" s="46">
        <f>AVERAGE($X$2:$X44)*0.5</f>
        <v>0.27906976744186046</v>
      </c>
    </row>
    <row r="45" spans="1:25">
      <c r="A45" s="3">
        <f>'Online Results'!L47</f>
        <v>0.74513888888888891</v>
      </c>
      <c r="B45" s="18">
        <f>'Online Results'!M47</f>
        <v>44</v>
      </c>
      <c r="C45" s="20">
        <f>'Online Results'!N47</f>
        <v>51</v>
      </c>
      <c r="D45" s="20">
        <f>'Online Results'!O47</f>
        <v>2130</v>
      </c>
      <c r="E45" s="20">
        <f>'Online Results'!P47</f>
        <v>116</v>
      </c>
      <c r="F45" s="19">
        <f>'Online Results'!Q47</f>
        <v>2914</v>
      </c>
      <c r="G45" s="19">
        <f>'Online Results'!R47</f>
        <v>1985</v>
      </c>
      <c r="H45" s="19">
        <f>'Online Results'!S47</f>
        <v>564</v>
      </c>
      <c r="I45" s="42">
        <f>SUM(VLOOKUP(C45, Teams!A:B, 2, FALSE), VLOOKUP(D45, Teams!A:B, 2, FALSE), VLOOKUP(E45, Teams!A:B, 2, FALSE))</f>
        <v>39.370903333333331</v>
      </c>
      <c r="J45" s="44">
        <f>SUM(VLOOKUP(F45, Teams!A:B, 2, FALSE), VLOOKUP(G45, Teams!A:B, 2, FALSE), VLOOKUP(H45, Teams!A:B, 2, FALSE))</f>
        <v>27.982514999999999</v>
      </c>
      <c r="K45" s="7">
        <f t="shared" si="0"/>
        <v>2</v>
      </c>
      <c r="L45" s="9">
        <f t="shared" si="1"/>
        <v>0</v>
      </c>
      <c r="M45" s="36">
        <f t="shared" si="2"/>
        <v>27.982514999999999</v>
      </c>
      <c r="N45" s="23" t="str">
        <f>IF('Online Results'!T47="", "", 'Online Results'!T47)</f>
        <v/>
      </c>
      <c r="O45" s="22" t="str">
        <f>IF('Online Results'!U47="", "", 'Online Results'!U47)</f>
        <v/>
      </c>
      <c r="P45" s="47">
        <f t="shared" si="3"/>
        <v>39.370903333333331</v>
      </c>
      <c r="Q45" s="48">
        <f t="shared" si="4"/>
        <v>27.982514999999999</v>
      </c>
      <c r="R45" s="46" t="e">
        <f t="shared" si="5"/>
        <v>#VALUE!</v>
      </c>
      <c r="S45" s="13">
        <f>SUM(VLOOKUP(C45, Teams!A:B, 2, FALSE), VLOOKUP(D45, Teams!A:B, 2, FALSE), VLOOKUP(E45, Teams!A:B, 2, FALSE))</f>
        <v>39.370903333333331</v>
      </c>
      <c r="T45" s="11">
        <f>SUM(VLOOKUP(F45, Teams!A:B, 2, FALSE), VLOOKUP(G45, Teams!A:B, 2, FALSE), VLOOKUP(H45, Teams!A:B, 2, FALSE))</f>
        <v>27.982514999999999</v>
      </c>
      <c r="U45" s="46" t="e">
        <f>R45*SUM(S45, T45)/SUM(AVERAGE($S$2:$S45), AVERAGE($T$2:$T45))</f>
        <v>#VALUE!</v>
      </c>
      <c r="V45" s="46" t="e">
        <f>AVERAGE($R$2:$R45)</f>
        <v>#VALUE!</v>
      </c>
      <c r="W45" s="46" t="e">
        <f>AVERAGE($U$2:$U45)</f>
        <v>#VALUE!</v>
      </c>
      <c r="X45" s="4">
        <f t="shared" si="6"/>
        <v>1</v>
      </c>
      <c r="Y45" s="46">
        <f>AVERAGE($X$2:$X45)*0.5</f>
        <v>0.28409090909090912</v>
      </c>
    </row>
    <row r="46" spans="1:25">
      <c r="A46" s="3">
        <f>'Online Results'!L48</f>
        <v>0.78125</v>
      </c>
      <c r="B46" s="18">
        <f>'Online Results'!M48</f>
        <v>45</v>
      </c>
      <c r="C46" s="20">
        <f>'Online Results'!N48</f>
        <v>58</v>
      </c>
      <c r="D46" s="20">
        <f>'Online Results'!O48</f>
        <v>1391</v>
      </c>
      <c r="E46" s="20">
        <f>'Online Results'!P48</f>
        <v>3951</v>
      </c>
      <c r="F46" s="19">
        <f>'Online Results'!Q48</f>
        <v>503</v>
      </c>
      <c r="G46" s="19">
        <f>'Online Results'!R48</f>
        <v>702</v>
      </c>
      <c r="H46" s="19">
        <f>'Online Results'!S48</f>
        <v>1885</v>
      </c>
      <c r="I46" s="42">
        <f>SUM(VLOOKUP(C46, Teams!A:B, 2, FALSE), VLOOKUP(D46, Teams!A:B, 2, FALSE), VLOOKUP(E46, Teams!A:B, 2, FALSE))</f>
        <v>37.677500000000002</v>
      </c>
      <c r="J46" s="44">
        <f>SUM(VLOOKUP(F46, Teams!A:B, 2, FALSE), VLOOKUP(G46, Teams!A:B, 2, FALSE), VLOOKUP(H46, Teams!A:B, 2, FALSE))</f>
        <v>33.095340000000007</v>
      </c>
      <c r="K46" s="7">
        <f t="shared" si="0"/>
        <v>2</v>
      </c>
      <c r="L46" s="9">
        <f t="shared" si="1"/>
        <v>0</v>
      </c>
      <c r="M46" s="36">
        <f t="shared" si="2"/>
        <v>33.095340000000007</v>
      </c>
      <c r="N46" s="23" t="str">
        <f>IF('Online Results'!T48="", "", 'Online Results'!T48)</f>
        <v/>
      </c>
      <c r="O46" s="22" t="str">
        <f>IF('Online Results'!U48="", "", 'Online Results'!U48)</f>
        <v/>
      </c>
      <c r="P46" s="47">
        <f t="shared" si="3"/>
        <v>37.677500000000002</v>
      </c>
      <c r="Q46" s="48">
        <f t="shared" si="4"/>
        <v>33.095340000000007</v>
      </c>
      <c r="R46" s="46" t="e">
        <f t="shared" si="5"/>
        <v>#VALUE!</v>
      </c>
      <c r="S46" s="13">
        <f>SUM(VLOOKUP(C46, Teams!A:B, 2, FALSE), VLOOKUP(D46, Teams!A:B, 2, FALSE), VLOOKUP(E46, Teams!A:B, 2, FALSE))</f>
        <v>37.677500000000002</v>
      </c>
      <c r="T46" s="11">
        <f>SUM(VLOOKUP(F46, Teams!A:B, 2, FALSE), VLOOKUP(G46, Teams!A:B, 2, FALSE), VLOOKUP(H46, Teams!A:B, 2, FALSE))</f>
        <v>33.095340000000007</v>
      </c>
      <c r="U46" s="46" t="e">
        <f>R46*SUM(S46, T46)/SUM(AVERAGE($S$2:$S46), AVERAGE($T$2:$T46))</f>
        <v>#VALUE!</v>
      </c>
      <c r="V46" s="46" t="e">
        <f>AVERAGE($R$2:$R46)</f>
        <v>#VALUE!</v>
      </c>
      <c r="W46" s="46" t="e">
        <f>AVERAGE($U$2:$U46)</f>
        <v>#VALUE!</v>
      </c>
      <c r="X46" s="4">
        <f t="shared" si="6"/>
        <v>1</v>
      </c>
      <c r="Y46" s="46">
        <f>AVERAGE($X$2:$X46)*0.5</f>
        <v>0.28888888888888886</v>
      </c>
    </row>
    <row r="47" spans="1:25">
      <c r="A47" s="3">
        <f>'Online Results'!L49</f>
        <v>0.78541666666666676</v>
      </c>
      <c r="B47" s="18">
        <f>'Online Results'!M49</f>
        <v>46</v>
      </c>
      <c r="C47" s="20">
        <f>'Online Results'!N49</f>
        <v>120</v>
      </c>
      <c r="D47" s="20">
        <f>'Online Results'!O49</f>
        <v>3132</v>
      </c>
      <c r="E47" s="20">
        <f>'Online Results'!P49</f>
        <v>597</v>
      </c>
      <c r="F47" s="19">
        <f>'Online Results'!Q49</f>
        <v>604</v>
      </c>
      <c r="G47" s="19">
        <f>'Online Results'!R49</f>
        <v>3528</v>
      </c>
      <c r="H47" s="19">
        <f>'Online Results'!S49</f>
        <v>2626</v>
      </c>
      <c r="I47" s="42">
        <f>SUM(VLOOKUP(C47, Teams!A:B, 2, FALSE), VLOOKUP(D47, Teams!A:B, 2, FALSE), VLOOKUP(E47, Teams!A:B, 2, FALSE))</f>
        <v>15.03003</v>
      </c>
      <c r="J47" s="44">
        <f>SUM(VLOOKUP(F47, Teams!A:B, 2, FALSE), VLOOKUP(G47, Teams!A:B, 2, FALSE), VLOOKUP(H47, Teams!A:B, 2, FALSE))</f>
        <v>44.492035000000001</v>
      </c>
      <c r="K47" s="7">
        <f t="shared" si="0"/>
        <v>0</v>
      </c>
      <c r="L47" s="9">
        <f t="shared" si="1"/>
        <v>2</v>
      </c>
      <c r="M47" s="36">
        <f t="shared" si="2"/>
        <v>15.03003</v>
      </c>
      <c r="N47" s="23" t="str">
        <f>IF('Online Results'!T49="", "", 'Online Results'!T49)</f>
        <v/>
      </c>
      <c r="O47" s="22" t="str">
        <f>IF('Online Results'!U49="", "", 'Online Results'!U49)</f>
        <v/>
      </c>
      <c r="P47" s="47">
        <f t="shared" si="3"/>
        <v>15.03003</v>
      </c>
      <c r="Q47" s="48">
        <f t="shared" si="4"/>
        <v>44.492035000000001</v>
      </c>
      <c r="R47" s="46" t="e">
        <f t="shared" si="5"/>
        <v>#VALUE!</v>
      </c>
      <c r="S47" s="13">
        <f>SUM(VLOOKUP(C47, Teams!A:B, 2, FALSE), VLOOKUP(D47, Teams!A:B, 2, FALSE), VLOOKUP(E47, Teams!A:B, 2, FALSE))</f>
        <v>15.03003</v>
      </c>
      <c r="T47" s="11">
        <f>SUM(VLOOKUP(F47, Teams!A:B, 2, FALSE), VLOOKUP(G47, Teams!A:B, 2, FALSE), VLOOKUP(H47, Teams!A:B, 2, FALSE))</f>
        <v>44.492035000000001</v>
      </c>
      <c r="U47" s="46" t="e">
        <f>R47*SUM(S47, T47)/SUM(AVERAGE($S$2:$S47), AVERAGE($T$2:$T47))</f>
        <v>#VALUE!</v>
      </c>
      <c r="V47" s="46" t="e">
        <f>AVERAGE($R$2:$R47)</f>
        <v>#VALUE!</v>
      </c>
      <c r="W47" s="46" t="e">
        <f>AVERAGE($U$2:$U47)</f>
        <v>#VALUE!</v>
      </c>
      <c r="X47" s="4">
        <f t="shared" si="6"/>
        <v>2</v>
      </c>
      <c r="Y47" s="46">
        <f>AVERAGE($X$2:$X47)*0.5</f>
        <v>0.30434782608695654</v>
      </c>
    </row>
    <row r="48" spans="1:25">
      <c r="A48" s="3">
        <f>'Online Results'!L50</f>
        <v>0.7895833333333333</v>
      </c>
      <c r="B48" s="18">
        <f>'Online Results'!M50</f>
        <v>47</v>
      </c>
      <c r="C48" s="20">
        <f>'Online Results'!N50</f>
        <v>4130</v>
      </c>
      <c r="D48" s="20">
        <f>'Online Results'!O50</f>
        <v>4161</v>
      </c>
      <c r="E48" s="20">
        <f>'Online Results'!P50</f>
        <v>1266</v>
      </c>
      <c r="F48" s="19">
        <f>'Online Results'!Q50</f>
        <v>1741</v>
      </c>
      <c r="G48" s="19">
        <f>'Online Results'!R50</f>
        <v>2102</v>
      </c>
      <c r="H48" s="19">
        <f>'Online Results'!S50</f>
        <v>537</v>
      </c>
      <c r="I48" s="42">
        <f>SUM(VLOOKUP(C48, Teams!A:B, 2, FALSE), VLOOKUP(D48, Teams!A:B, 2, FALSE), VLOOKUP(E48, Teams!A:B, 2, FALSE))</f>
        <v>25.379170000000002</v>
      </c>
      <c r="J48" s="44">
        <f>SUM(VLOOKUP(F48, Teams!A:B, 2, FALSE), VLOOKUP(G48, Teams!A:B, 2, FALSE), VLOOKUP(H48, Teams!A:B, 2, FALSE))</f>
        <v>29.917390000000001</v>
      </c>
      <c r="K48" s="7">
        <f t="shared" si="0"/>
        <v>0</v>
      </c>
      <c r="L48" s="9">
        <f t="shared" si="1"/>
        <v>2</v>
      </c>
      <c r="M48" s="36">
        <f t="shared" si="2"/>
        <v>25.379170000000002</v>
      </c>
      <c r="N48" s="23" t="str">
        <f>IF('Online Results'!T50="", "", 'Online Results'!T50)</f>
        <v/>
      </c>
      <c r="O48" s="22" t="str">
        <f>IF('Online Results'!U50="", "", 'Online Results'!U50)</f>
        <v/>
      </c>
      <c r="P48" s="47">
        <f t="shared" si="3"/>
        <v>25.379170000000002</v>
      </c>
      <c r="Q48" s="48">
        <f t="shared" si="4"/>
        <v>29.917390000000001</v>
      </c>
      <c r="R48" s="46" t="e">
        <f t="shared" si="5"/>
        <v>#VALUE!</v>
      </c>
      <c r="S48" s="13">
        <f>SUM(VLOOKUP(C48, Teams!A:B, 2, FALSE), VLOOKUP(D48, Teams!A:B, 2, FALSE), VLOOKUP(E48, Teams!A:B, 2, FALSE))</f>
        <v>25.379170000000002</v>
      </c>
      <c r="T48" s="11">
        <f>SUM(VLOOKUP(F48, Teams!A:B, 2, FALSE), VLOOKUP(G48, Teams!A:B, 2, FALSE), VLOOKUP(H48, Teams!A:B, 2, FALSE))</f>
        <v>29.917390000000001</v>
      </c>
      <c r="U48" s="46" t="e">
        <f>R48*SUM(S48, T48)/SUM(AVERAGE($S$2:$S48), AVERAGE($T$2:$T48))</f>
        <v>#VALUE!</v>
      </c>
      <c r="V48" s="46" t="e">
        <f>AVERAGE($R$2:$R48)</f>
        <v>#VALUE!</v>
      </c>
      <c r="W48" s="46" t="e">
        <f>AVERAGE($U$2:$U48)</f>
        <v>#VALUE!</v>
      </c>
      <c r="X48" s="4">
        <f t="shared" si="6"/>
        <v>2</v>
      </c>
      <c r="Y48" s="46">
        <f>AVERAGE($X$2:$X48)*0.5</f>
        <v>0.31914893617021278</v>
      </c>
    </row>
    <row r="49" spans="1:25">
      <c r="A49" s="3">
        <f>'Online Results'!L51</f>
        <v>0.7944444444444444</v>
      </c>
      <c r="B49" s="18">
        <f>'Online Results'!M51</f>
        <v>48</v>
      </c>
      <c r="C49" s="20">
        <f>'Online Results'!N51</f>
        <v>244</v>
      </c>
      <c r="D49" s="20">
        <f>'Online Results'!O51</f>
        <v>233</v>
      </c>
      <c r="E49" s="20">
        <f>'Online Results'!P51</f>
        <v>2522</v>
      </c>
      <c r="F49" s="19">
        <f>'Online Results'!Q51</f>
        <v>830</v>
      </c>
      <c r="G49" s="19">
        <f>'Online Results'!R51</f>
        <v>4269</v>
      </c>
      <c r="H49" s="19">
        <f>'Online Results'!S51</f>
        <v>27</v>
      </c>
      <c r="I49" s="42">
        <f>SUM(VLOOKUP(C49, Teams!A:B, 2, FALSE), VLOOKUP(D49, Teams!A:B, 2, FALSE), VLOOKUP(E49, Teams!A:B, 2, FALSE))</f>
        <v>35.35333</v>
      </c>
      <c r="J49" s="44">
        <f>SUM(VLOOKUP(F49, Teams!A:B, 2, FALSE), VLOOKUP(G49, Teams!A:B, 2, FALSE), VLOOKUP(H49, Teams!A:B, 2, FALSE))</f>
        <v>37.680751666666666</v>
      </c>
      <c r="K49" s="7">
        <f t="shared" si="0"/>
        <v>0</v>
      </c>
      <c r="L49" s="9">
        <f t="shared" si="1"/>
        <v>2</v>
      </c>
      <c r="M49" s="36">
        <f t="shared" si="2"/>
        <v>35.35333</v>
      </c>
      <c r="N49" s="23" t="str">
        <f>IF('Online Results'!T51="", "", 'Online Results'!T51)</f>
        <v/>
      </c>
      <c r="O49" s="22" t="str">
        <f>IF('Online Results'!U51="", "", 'Online Results'!U51)</f>
        <v/>
      </c>
      <c r="P49" s="47">
        <f t="shared" si="3"/>
        <v>35.35333</v>
      </c>
      <c r="Q49" s="48">
        <f t="shared" si="4"/>
        <v>37.680751666666666</v>
      </c>
      <c r="R49" s="46" t="e">
        <f t="shared" si="5"/>
        <v>#VALUE!</v>
      </c>
      <c r="S49" s="13">
        <f>SUM(VLOOKUP(C49, Teams!A:B, 2, FALSE), VLOOKUP(D49, Teams!A:B, 2, FALSE), VLOOKUP(E49, Teams!A:B, 2, FALSE))</f>
        <v>35.35333</v>
      </c>
      <c r="T49" s="11">
        <f>SUM(VLOOKUP(F49, Teams!A:B, 2, FALSE), VLOOKUP(G49, Teams!A:B, 2, FALSE), VLOOKUP(H49, Teams!A:B, 2, FALSE))</f>
        <v>37.680751666666666</v>
      </c>
      <c r="U49" s="46" t="e">
        <f>R49*SUM(S49, T49)/SUM(AVERAGE($S$2:$S49), AVERAGE($T$2:$T49))</f>
        <v>#VALUE!</v>
      </c>
      <c r="V49" s="46" t="e">
        <f>AVERAGE($R$2:$R49)</f>
        <v>#VALUE!</v>
      </c>
      <c r="W49" s="46" t="e">
        <f>AVERAGE($U$2:$U49)</f>
        <v>#VALUE!</v>
      </c>
      <c r="X49" s="4">
        <f t="shared" si="6"/>
        <v>2</v>
      </c>
      <c r="Y49" s="46">
        <f>AVERAGE($X$2:$X49)*0.5</f>
        <v>0.33333333333333331</v>
      </c>
    </row>
    <row r="50" spans="1:25">
      <c r="A50" s="3">
        <f>'Online Results'!L52</f>
        <v>0.7993055555555556</v>
      </c>
      <c r="B50" s="18">
        <f>'Online Results'!M52</f>
        <v>49</v>
      </c>
      <c r="C50" s="20">
        <f>'Online Results'!N52</f>
        <v>2474</v>
      </c>
      <c r="D50" s="20">
        <f>'Online Results'!O52</f>
        <v>1778</v>
      </c>
      <c r="E50" s="20">
        <f>'Online Results'!P52</f>
        <v>3936</v>
      </c>
      <c r="F50" s="19">
        <f>'Online Results'!Q52</f>
        <v>2881</v>
      </c>
      <c r="G50" s="19">
        <f>'Online Results'!R52</f>
        <v>971</v>
      </c>
      <c r="H50" s="19">
        <f>'Online Results'!S52</f>
        <v>1511</v>
      </c>
      <c r="I50" s="42">
        <f>SUM(VLOOKUP(C50, Teams!A:B, 2, FALSE), VLOOKUP(D50, Teams!A:B, 2, FALSE), VLOOKUP(E50, Teams!A:B, 2, FALSE))</f>
        <v>36.290194999999997</v>
      </c>
      <c r="J50" s="44">
        <f>SUM(VLOOKUP(F50, Teams!A:B, 2, FALSE), VLOOKUP(G50, Teams!A:B, 2, FALSE), VLOOKUP(H50, Teams!A:B, 2, FALSE))</f>
        <v>52.8247</v>
      </c>
      <c r="K50" s="7">
        <f t="shared" si="0"/>
        <v>0</v>
      </c>
      <c r="L50" s="9">
        <f t="shared" si="1"/>
        <v>2</v>
      </c>
      <c r="M50" s="36">
        <f t="shared" si="2"/>
        <v>36.290194999999997</v>
      </c>
      <c r="N50" s="23" t="str">
        <f>IF('Online Results'!T52="", "", 'Online Results'!T52)</f>
        <v/>
      </c>
      <c r="O50" s="22" t="str">
        <f>IF('Online Results'!U52="", "", 'Online Results'!U52)</f>
        <v/>
      </c>
      <c r="P50" s="47">
        <f t="shared" si="3"/>
        <v>36.290194999999997</v>
      </c>
      <c r="Q50" s="48">
        <f t="shared" si="4"/>
        <v>52.8247</v>
      </c>
      <c r="R50" s="46" t="e">
        <f t="shared" si="5"/>
        <v>#VALUE!</v>
      </c>
      <c r="S50" s="13">
        <f>SUM(VLOOKUP(C50, Teams!A:B, 2, FALSE), VLOOKUP(D50, Teams!A:B, 2, FALSE), VLOOKUP(E50, Teams!A:B, 2, FALSE))</f>
        <v>36.290194999999997</v>
      </c>
      <c r="T50" s="11">
        <f>SUM(VLOOKUP(F50, Teams!A:B, 2, FALSE), VLOOKUP(G50, Teams!A:B, 2, FALSE), VLOOKUP(H50, Teams!A:B, 2, FALSE))</f>
        <v>52.8247</v>
      </c>
      <c r="U50" s="46" t="e">
        <f>R50*SUM(S50, T50)/SUM(AVERAGE($S$2:$S50), AVERAGE($T$2:$T50))</f>
        <v>#VALUE!</v>
      </c>
      <c r="V50" s="46" t="e">
        <f>AVERAGE($R$2:$R50)</f>
        <v>#VALUE!</v>
      </c>
      <c r="W50" s="46" t="e">
        <f>AVERAGE($U$2:$U50)</f>
        <v>#VALUE!</v>
      </c>
      <c r="X50" s="4">
        <f t="shared" si="6"/>
        <v>2</v>
      </c>
      <c r="Y50" s="46">
        <f>AVERAGE($X$2:$X50)*0.5</f>
        <v>0.34693877551020408</v>
      </c>
    </row>
    <row r="51" spans="1:25">
      <c r="A51" s="3">
        <f>'Online Results'!L53</f>
        <v>0.8041666666666667</v>
      </c>
      <c r="B51" s="18">
        <f>'Online Results'!M53</f>
        <v>50</v>
      </c>
      <c r="C51" s="20">
        <f>'Online Results'!N53</f>
        <v>1033</v>
      </c>
      <c r="D51" s="20">
        <f>'Online Results'!O53</f>
        <v>1912</v>
      </c>
      <c r="E51" s="20">
        <f>'Online Results'!P53</f>
        <v>1828</v>
      </c>
      <c r="F51" s="19">
        <f>'Online Results'!Q53</f>
        <v>3940</v>
      </c>
      <c r="G51" s="19">
        <f>'Online Results'!R53</f>
        <v>85</v>
      </c>
      <c r="H51" s="19">
        <f>'Online Results'!S53</f>
        <v>1986</v>
      </c>
      <c r="I51" s="42">
        <f>SUM(VLOOKUP(C51, Teams!A:B, 2, FALSE), VLOOKUP(D51, Teams!A:B, 2, FALSE), VLOOKUP(E51, Teams!A:B, 2, FALSE))</f>
        <v>24.847279999999998</v>
      </c>
      <c r="J51" s="44">
        <f>SUM(VLOOKUP(F51, Teams!A:B, 2, FALSE), VLOOKUP(G51, Teams!A:B, 2, FALSE), VLOOKUP(H51, Teams!A:B, 2, FALSE))</f>
        <v>53.956110000000002</v>
      </c>
      <c r="K51" s="7">
        <f t="shared" si="0"/>
        <v>0</v>
      </c>
      <c r="L51" s="9">
        <f t="shared" si="1"/>
        <v>2</v>
      </c>
      <c r="M51" s="36">
        <f t="shared" si="2"/>
        <v>24.847279999999998</v>
      </c>
      <c r="N51" s="23" t="str">
        <f>IF('Online Results'!T53="", "", 'Online Results'!T53)</f>
        <v/>
      </c>
      <c r="O51" s="22" t="str">
        <f>IF('Online Results'!U53="", "", 'Online Results'!U53)</f>
        <v/>
      </c>
      <c r="P51" s="47">
        <f t="shared" si="3"/>
        <v>24.847279999999998</v>
      </c>
      <c r="Q51" s="48">
        <f t="shared" si="4"/>
        <v>53.956110000000002</v>
      </c>
      <c r="R51" s="46" t="e">
        <f t="shared" si="5"/>
        <v>#VALUE!</v>
      </c>
      <c r="S51" s="13">
        <f>SUM(VLOOKUP(C51, Teams!A:B, 2, FALSE), VLOOKUP(D51, Teams!A:B, 2, FALSE), VLOOKUP(E51, Teams!A:B, 2, FALSE))</f>
        <v>24.847279999999998</v>
      </c>
      <c r="T51" s="11">
        <f>SUM(VLOOKUP(F51, Teams!A:B, 2, FALSE), VLOOKUP(G51, Teams!A:B, 2, FALSE), VLOOKUP(H51, Teams!A:B, 2, FALSE))</f>
        <v>53.956110000000002</v>
      </c>
      <c r="U51" s="46" t="e">
        <f>R51*SUM(S51, T51)/SUM(AVERAGE($S$2:$S51), AVERAGE($T$2:$T51))</f>
        <v>#VALUE!</v>
      </c>
      <c r="V51" s="46" t="e">
        <f>AVERAGE($R$2:$R51)</f>
        <v>#VALUE!</v>
      </c>
      <c r="W51" s="46" t="e">
        <f>AVERAGE($U$2:$U51)</f>
        <v>#VALUE!</v>
      </c>
      <c r="X51" s="4">
        <f t="shared" si="6"/>
        <v>2</v>
      </c>
      <c r="Y51" s="46">
        <f>AVERAGE($X$2:$X51)*0.5</f>
        <v>0.36</v>
      </c>
    </row>
    <row r="52" spans="1:25">
      <c r="A52" s="3">
        <f>'Online Results'!L54</f>
        <v>0.80902777777777779</v>
      </c>
      <c r="B52" s="18">
        <f>'Online Results'!M54</f>
        <v>51</v>
      </c>
      <c r="C52" s="20">
        <f>'Online Results'!N54</f>
        <v>571</v>
      </c>
      <c r="D52" s="20">
        <f>'Online Results'!O54</f>
        <v>4203</v>
      </c>
      <c r="E52" s="20">
        <f>'Online Results'!P54</f>
        <v>1319</v>
      </c>
      <c r="F52" s="19">
        <f>'Online Results'!Q54</f>
        <v>1690</v>
      </c>
      <c r="G52" s="19">
        <f>'Online Results'!R54</f>
        <v>3941</v>
      </c>
      <c r="H52" s="19">
        <f>'Online Results'!S54</f>
        <v>2591</v>
      </c>
      <c r="I52" s="42">
        <f>SUM(VLOOKUP(C52, Teams!A:B, 2, FALSE), VLOOKUP(D52, Teams!A:B, 2, FALSE), VLOOKUP(E52, Teams!A:B, 2, FALSE))</f>
        <v>13.394453333333333</v>
      </c>
      <c r="J52" s="44">
        <f>SUM(VLOOKUP(F52, Teams!A:B, 2, FALSE), VLOOKUP(G52, Teams!A:B, 2, FALSE), VLOOKUP(H52, Teams!A:B, 2, FALSE))</f>
        <v>25.677799999999998</v>
      </c>
      <c r="K52" s="7">
        <f t="shared" si="0"/>
        <v>0</v>
      </c>
      <c r="L52" s="9">
        <f t="shared" si="1"/>
        <v>2</v>
      </c>
      <c r="M52" s="36">
        <f t="shared" si="2"/>
        <v>13.394453333333333</v>
      </c>
      <c r="N52" s="23" t="str">
        <f>IF('Online Results'!T54="", "", 'Online Results'!T54)</f>
        <v/>
      </c>
      <c r="O52" s="22" t="str">
        <f>IF('Online Results'!U54="", "", 'Online Results'!U54)</f>
        <v/>
      </c>
      <c r="P52" s="47">
        <f t="shared" si="3"/>
        <v>13.394453333333333</v>
      </c>
      <c r="Q52" s="48">
        <f t="shared" si="4"/>
        <v>25.677799999999998</v>
      </c>
      <c r="R52" s="46" t="e">
        <f t="shared" si="5"/>
        <v>#VALUE!</v>
      </c>
      <c r="S52" s="13">
        <f>SUM(VLOOKUP(C52, Teams!A:B, 2, FALSE), VLOOKUP(D52, Teams!A:B, 2, FALSE), VLOOKUP(E52, Teams!A:B, 2, FALSE))</f>
        <v>13.394453333333333</v>
      </c>
      <c r="T52" s="11">
        <f>SUM(VLOOKUP(F52, Teams!A:B, 2, FALSE), VLOOKUP(G52, Teams!A:B, 2, FALSE), VLOOKUP(H52, Teams!A:B, 2, FALSE))</f>
        <v>25.677799999999998</v>
      </c>
      <c r="U52" s="46" t="e">
        <f>R52*SUM(S52, T52)/SUM(AVERAGE($S$2:$S52), AVERAGE($T$2:$T52))</f>
        <v>#VALUE!</v>
      </c>
      <c r="V52" s="46" t="e">
        <f>AVERAGE($R$2:$R52)</f>
        <v>#VALUE!</v>
      </c>
      <c r="W52" s="46" t="e">
        <f>AVERAGE($U$2:$U52)</f>
        <v>#VALUE!</v>
      </c>
      <c r="X52" s="4">
        <f t="shared" si="6"/>
        <v>2</v>
      </c>
      <c r="Y52" s="46">
        <f>AVERAGE($X$2:$X52)*0.5</f>
        <v>0.37254901960784315</v>
      </c>
    </row>
    <row r="53" spans="1:25">
      <c r="A53" s="3">
        <f>'Online Results'!L55</f>
        <v>0.81388888888888899</v>
      </c>
      <c r="B53" s="18">
        <f>'Online Results'!M55</f>
        <v>52</v>
      </c>
      <c r="C53" s="20">
        <f>'Online Results'!N55</f>
        <v>4253</v>
      </c>
      <c r="D53" s="20">
        <f>'Online Results'!O55</f>
        <v>3847</v>
      </c>
      <c r="E53" s="20">
        <f>'Online Results'!P55</f>
        <v>3860</v>
      </c>
      <c r="F53" s="19">
        <f>'Online Results'!Q55</f>
        <v>694</v>
      </c>
      <c r="G53" s="19">
        <f>'Online Results'!R55</f>
        <v>341</v>
      </c>
      <c r="H53" s="19">
        <f>'Online Results'!S55</f>
        <v>279</v>
      </c>
      <c r="I53" s="42">
        <f>SUM(VLOOKUP(C53, Teams!A:B, 2, FALSE), VLOOKUP(D53, Teams!A:B, 2, FALSE), VLOOKUP(E53, Teams!A:B, 2, FALSE))</f>
        <v>11.598525</v>
      </c>
      <c r="J53" s="44">
        <f>SUM(VLOOKUP(F53, Teams!A:B, 2, FALSE), VLOOKUP(G53, Teams!A:B, 2, FALSE), VLOOKUP(H53, Teams!A:B, 2, FALSE))</f>
        <v>61.524374999999999</v>
      </c>
      <c r="K53" s="7">
        <f t="shared" si="0"/>
        <v>0</v>
      </c>
      <c r="L53" s="9">
        <f t="shared" si="1"/>
        <v>2</v>
      </c>
      <c r="M53" s="36">
        <f t="shared" si="2"/>
        <v>11.598525</v>
      </c>
      <c r="N53" s="23" t="str">
        <f>IF('Online Results'!T55="", "", 'Online Results'!T55)</f>
        <v/>
      </c>
      <c r="O53" s="22" t="str">
        <f>IF('Online Results'!U55="", "", 'Online Results'!U55)</f>
        <v/>
      </c>
      <c r="P53" s="47">
        <f t="shared" si="3"/>
        <v>11.598525</v>
      </c>
      <c r="Q53" s="48">
        <f t="shared" si="4"/>
        <v>61.524374999999999</v>
      </c>
      <c r="R53" s="46" t="e">
        <f t="shared" si="5"/>
        <v>#VALUE!</v>
      </c>
      <c r="S53" s="13">
        <f>SUM(VLOOKUP(C53, Teams!A:B, 2, FALSE), VLOOKUP(D53, Teams!A:B, 2, FALSE), VLOOKUP(E53, Teams!A:B, 2, FALSE))</f>
        <v>11.598525</v>
      </c>
      <c r="T53" s="11">
        <f>SUM(VLOOKUP(F53, Teams!A:B, 2, FALSE), VLOOKUP(G53, Teams!A:B, 2, FALSE), VLOOKUP(H53, Teams!A:B, 2, FALSE))</f>
        <v>61.524374999999999</v>
      </c>
      <c r="U53" s="46" t="e">
        <f>R53*SUM(S53, T53)/SUM(AVERAGE($S$2:$S53), AVERAGE($T$2:$T53))</f>
        <v>#VALUE!</v>
      </c>
      <c r="V53" s="46" t="e">
        <f>AVERAGE($R$2:$R53)</f>
        <v>#VALUE!</v>
      </c>
      <c r="W53" s="46" t="e">
        <f>AVERAGE($U$2:$U53)</f>
        <v>#VALUE!</v>
      </c>
      <c r="X53" s="4">
        <f t="shared" si="6"/>
        <v>2</v>
      </c>
      <c r="Y53" s="46">
        <f>AVERAGE($X$2:$X53)*0.5</f>
        <v>0.38461538461538464</v>
      </c>
    </row>
    <row r="54" spans="1:25">
      <c r="A54" s="3">
        <f>'Online Results'!L56</f>
        <v>0.81874999999999998</v>
      </c>
      <c r="B54" s="18">
        <f>'Online Results'!M56</f>
        <v>53</v>
      </c>
      <c r="C54" s="20">
        <f>'Online Results'!N56</f>
        <v>1649</v>
      </c>
      <c r="D54" s="20">
        <f>'Online Results'!O56</f>
        <v>503</v>
      </c>
      <c r="E54" s="20">
        <f>'Online Results'!P56</f>
        <v>254</v>
      </c>
      <c r="F54" s="19">
        <f>'Online Results'!Q56</f>
        <v>2914</v>
      </c>
      <c r="G54" s="19">
        <f>'Online Results'!R56</f>
        <v>2960</v>
      </c>
      <c r="H54" s="19">
        <f>'Online Results'!S56</f>
        <v>836</v>
      </c>
      <c r="I54" s="42">
        <f>SUM(VLOOKUP(C54, Teams!A:B, 2, FALSE), VLOOKUP(D54, Teams!A:B, 2, FALSE), VLOOKUP(E54, Teams!A:B, 2, FALSE))</f>
        <v>42.628869999999999</v>
      </c>
      <c r="J54" s="44">
        <f>SUM(VLOOKUP(F54, Teams!A:B, 2, FALSE), VLOOKUP(G54, Teams!A:B, 2, FALSE), VLOOKUP(H54, Teams!A:B, 2, FALSE))</f>
        <v>39.597075000000004</v>
      </c>
      <c r="K54" s="7">
        <f t="shared" si="0"/>
        <v>2</v>
      </c>
      <c r="L54" s="9">
        <f t="shared" si="1"/>
        <v>0</v>
      </c>
      <c r="M54" s="36">
        <f t="shared" si="2"/>
        <v>39.597075000000004</v>
      </c>
      <c r="N54" s="23" t="str">
        <f>IF('Online Results'!T56="", "", 'Online Results'!T56)</f>
        <v/>
      </c>
      <c r="O54" s="22" t="str">
        <f>IF('Online Results'!U56="", "", 'Online Results'!U56)</f>
        <v/>
      </c>
      <c r="P54" s="47">
        <f t="shared" si="3"/>
        <v>42.628869999999999</v>
      </c>
      <c r="Q54" s="48">
        <f t="shared" si="4"/>
        <v>39.597075000000004</v>
      </c>
      <c r="R54" s="46" t="e">
        <f t="shared" si="5"/>
        <v>#VALUE!</v>
      </c>
      <c r="S54" s="13">
        <f>SUM(VLOOKUP(C54, Teams!A:B, 2, FALSE), VLOOKUP(D54, Teams!A:B, 2, FALSE), VLOOKUP(E54, Teams!A:B, 2, FALSE))</f>
        <v>42.628869999999999</v>
      </c>
      <c r="T54" s="11">
        <f>SUM(VLOOKUP(F54, Teams!A:B, 2, FALSE), VLOOKUP(G54, Teams!A:B, 2, FALSE), VLOOKUP(H54, Teams!A:B, 2, FALSE))</f>
        <v>39.597075000000004</v>
      </c>
      <c r="U54" s="46" t="e">
        <f>R54*SUM(S54, T54)/SUM(AVERAGE($S$2:$S54), AVERAGE($T$2:$T54))</f>
        <v>#VALUE!</v>
      </c>
      <c r="V54" s="46" t="e">
        <f>AVERAGE($R$2:$R54)</f>
        <v>#VALUE!</v>
      </c>
      <c r="W54" s="46" t="e">
        <f>AVERAGE($U$2:$U54)</f>
        <v>#VALUE!</v>
      </c>
      <c r="X54" s="4">
        <f t="shared" si="6"/>
        <v>1</v>
      </c>
      <c r="Y54" s="46">
        <f>AVERAGE($X$2:$X54)*0.5</f>
        <v>0.3867924528301887</v>
      </c>
    </row>
    <row r="55" spans="1:25">
      <c r="A55" s="3">
        <f>'Online Results'!L57</f>
        <v>0.82291666666666663</v>
      </c>
      <c r="B55" s="18">
        <f>'Online Results'!M57</f>
        <v>54</v>
      </c>
      <c r="C55" s="20">
        <f>'Online Results'!N57</f>
        <v>3807</v>
      </c>
      <c r="D55" s="20">
        <f>'Online Results'!O57</f>
        <v>624</v>
      </c>
      <c r="E55" s="20">
        <f>'Online Results'!P57</f>
        <v>2164</v>
      </c>
      <c r="F55" s="19">
        <f>'Online Results'!Q57</f>
        <v>433</v>
      </c>
      <c r="G55" s="19">
        <f>'Online Results'!R57</f>
        <v>2757</v>
      </c>
      <c r="H55" s="19">
        <f>'Online Results'!S57</f>
        <v>3132</v>
      </c>
      <c r="I55" s="42">
        <f>SUM(VLOOKUP(C55, Teams!A:B, 2, FALSE), VLOOKUP(D55, Teams!A:B, 2, FALSE), VLOOKUP(E55, Teams!A:B, 2, FALSE))</f>
        <v>38.391035000000002</v>
      </c>
      <c r="J55" s="44">
        <f>SUM(VLOOKUP(F55, Teams!A:B, 2, FALSE), VLOOKUP(G55, Teams!A:B, 2, FALSE), VLOOKUP(H55, Teams!A:B, 2, FALSE))</f>
        <v>12.446009999999999</v>
      </c>
      <c r="K55" s="7">
        <f t="shared" si="0"/>
        <v>2</v>
      </c>
      <c r="L55" s="9">
        <f t="shared" si="1"/>
        <v>0</v>
      </c>
      <c r="M55" s="36">
        <f t="shared" si="2"/>
        <v>12.446009999999999</v>
      </c>
      <c r="N55" s="23" t="str">
        <f>IF('Online Results'!T57="", "", 'Online Results'!T57)</f>
        <v/>
      </c>
      <c r="O55" s="22" t="str">
        <f>IF('Online Results'!U57="", "", 'Online Results'!U57)</f>
        <v/>
      </c>
      <c r="P55" s="47">
        <f t="shared" si="3"/>
        <v>38.391035000000002</v>
      </c>
      <c r="Q55" s="48">
        <f t="shared" si="4"/>
        <v>12.446009999999999</v>
      </c>
      <c r="R55" s="46" t="e">
        <f t="shared" si="5"/>
        <v>#VALUE!</v>
      </c>
      <c r="S55" s="13">
        <f>SUM(VLOOKUP(C55, Teams!A:B, 2, FALSE), VLOOKUP(D55, Teams!A:B, 2, FALSE), VLOOKUP(E55, Teams!A:B, 2, FALSE))</f>
        <v>38.391035000000002</v>
      </c>
      <c r="T55" s="11">
        <f>SUM(VLOOKUP(F55, Teams!A:B, 2, FALSE), VLOOKUP(G55, Teams!A:B, 2, FALSE), VLOOKUP(H55, Teams!A:B, 2, FALSE))</f>
        <v>12.446009999999999</v>
      </c>
      <c r="U55" s="46" t="e">
        <f>R55*SUM(S55, T55)/SUM(AVERAGE($S$2:$S55), AVERAGE($T$2:$T55))</f>
        <v>#VALUE!</v>
      </c>
      <c r="V55" s="46" t="e">
        <f>AVERAGE($R$2:$R55)</f>
        <v>#VALUE!</v>
      </c>
      <c r="W55" s="46" t="e">
        <f>AVERAGE($U$2:$U55)</f>
        <v>#VALUE!</v>
      </c>
      <c r="X55" s="4">
        <f t="shared" si="6"/>
        <v>1</v>
      </c>
      <c r="Y55" s="46">
        <f>AVERAGE($X$2:$X55)*0.5</f>
        <v>0.3888888888888889</v>
      </c>
    </row>
    <row r="56" spans="1:25">
      <c r="A56" s="3">
        <f>'Online Results'!L58</f>
        <v>0.82708333333333339</v>
      </c>
      <c r="B56" s="18">
        <f>'Online Results'!M58</f>
        <v>55</v>
      </c>
      <c r="C56" s="20">
        <f>'Online Results'!N58</f>
        <v>178</v>
      </c>
      <c r="D56" s="20">
        <f>'Online Results'!O58</f>
        <v>3880</v>
      </c>
      <c r="E56" s="20">
        <f>'Online Results'!P58</f>
        <v>1741</v>
      </c>
      <c r="F56" s="19">
        <f>'Online Results'!Q58</f>
        <v>51</v>
      </c>
      <c r="G56" s="19">
        <f>'Online Results'!R58</f>
        <v>4226</v>
      </c>
      <c r="H56" s="19">
        <f>'Online Results'!S58</f>
        <v>120</v>
      </c>
      <c r="I56" s="42">
        <f>SUM(VLOOKUP(C56, Teams!A:B, 2, FALSE), VLOOKUP(D56, Teams!A:B, 2, FALSE), VLOOKUP(E56, Teams!A:B, 2, FALSE))</f>
        <v>22.611666</v>
      </c>
      <c r="J56" s="44">
        <f>SUM(VLOOKUP(F56, Teams!A:B, 2, FALSE), VLOOKUP(G56, Teams!A:B, 2, FALSE), VLOOKUP(H56, Teams!A:B, 2, FALSE))</f>
        <v>33.13388333333333</v>
      </c>
      <c r="K56" s="7">
        <f t="shared" si="0"/>
        <v>0</v>
      </c>
      <c r="L56" s="9">
        <f t="shared" si="1"/>
        <v>2</v>
      </c>
      <c r="M56" s="36">
        <f t="shared" si="2"/>
        <v>22.611666</v>
      </c>
      <c r="N56" s="23" t="str">
        <f>IF('Online Results'!T58="", "", 'Online Results'!T58)</f>
        <v/>
      </c>
      <c r="O56" s="22" t="str">
        <f>IF('Online Results'!U58="", "", 'Online Results'!U58)</f>
        <v/>
      </c>
      <c r="P56" s="47">
        <f t="shared" si="3"/>
        <v>22.611666</v>
      </c>
      <c r="Q56" s="48">
        <f t="shared" si="4"/>
        <v>33.13388333333333</v>
      </c>
      <c r="R56" s="46" t="e">
        <f t="shared" si="5"/>
        <v>#VALUE!</v>
      </c>
      <c r="S56" s="13">
        <f>SUM(VLOOKUP(C56, Teams!A:B, 2, FALSE), VLOOKUP(D56, Teams!A:B, 2, FALSE), VLOOKUP(E56, Teams!A:B, 2, FALSE))</f>
        <v>22.611666</v>
      </c>
      <c r="T56" s="11">
        <f>SUM(VLOOKUP(F56, Teams!A:B, 2, FALSE), VLOOKUP(G56, Teams!A:B, 2, FALSE), VLOOKUP(H56, Teams!A:B, 2, FALSE))</f>
        <v>33.13388333333333</v>
      </c>
      <c r="U56" s="46" t="e">
        <f>R56*SUM(S56, T56)/SUM(AVERAGE($S$2:$S56), AVERAGE($T$2:$T56))</f>
        <v>#VALUE!</v>
      </c>
      <c r="V56" s="46" t="e">
        <f>AVERAGE($R$2:$R56)</f>
        <v>#VALUE!</v>
      </c>
      <c r="W56" s="46" t="e">
        <f>AVERAGE($U$2:$U56)</f>
        <v>#VALUE!</v>
      </c>
      <c r="X56" s="4">
        <f t="shared" si="6"/>
        <v>2</v>
      </c>
      <c r="Y56" s="46">
        <f>AVERAGE($X$2:$X56)*0.5</f>
        <v>0.4</v>
      </c>
    </row>
    <row r="57" spans="1:25">
      <c r="A57" s="3">
        <f>'Online Results'!L59</f>
        <v>0.83124999999999993</v>
      </c>
      <c r="B57" s="18">
        <f>'Online Results'!M59</f>
        <v>56</v>
      </c>
      <c r="C57" s="20">
        <f>'Online Results'!N59</f>
        <v>1817</v>
      </c>
      <c r="D57" s="20">
        <f>'Online Results'!O59</f>
        <v>1477</v>
      </c>
      <c r="E57" s="20">
        <f>'Online Results'!P59</f>
        <v>4265</v>
      </c>
      <c r="F57" s="19">
        <f>'Online Results'!Q59</f>
        <v>1501</v>
      </c>
      <c r="G57" s="19">
        <f>'Online Results'!R59</f>
        <v>192</v>
      </c>
      <c r="H57" s="19">
        <f>'Online Results'!S59</f>
        <v>932</v>
      </c>
      <c r="I57" s="42">
        <f>SUM(VLOOKUP(C57, Teams!A:B, 2, FALSE), VLOOKUP(D57, Teams!A:B, 2, FALSE), VLOOKUP(E57, Teams!A:B, 2, FALSE))</f>
        <v>36.787963333333337</v>
      </c>
      <c r="J57" s="44">
        <f>SUM(VLOOKUP(F57, Teams!A:B, 2, FALSE), VLOOKUP(G57, Teams!A:B, 2, FALSE), VLOOKUP(H57, Teams!A:B, 2, FALSE))</f>
        <v>28.941175000000001</v>
      </c>
      <c r="K57" s="7">
        <f t="shared" si="0"/>
        <v>2</v>
      </c>
      <c r="L57" s="9">
        <f t="shared" si="1"/>
        <v>0</v>
      </c>
      <c r="M57" s="36">
        <f t="shared" si="2"/>
        <v>28.941175000000001</v>
      </c>
      <c r="N57" s="23" t="str">
        <f>IF('Online Results'!T59="", "", 'Online Results'!T59)</f>
        <v/>
      </c>
      <c r="O57" s="22" t="str">
        <f>IF('Online Results'!U59="", "", 'Online Results'!U59)</f>
        <v/>
      </c>
      <c r="P57" s="47">
        <f t="shared" si="3"/>
        <v>36.787963333333337</v>
      </c>
      <c r="Q57" s="48">
        <f t="shared" si="4"/>
        <v>28.941175000000001</v>
      </c>
      <c r="R57" s="46" t="e">
        <f t="shared" si="5"/>
        <v>#VALUE!</v>
      </c>
      <c r="S57" s="13">
        <f>SUM(VLOOKUP(C57, Teams!A:B, 2, FALSE), VLOOKUP(D57, Teams!A:B, 2, FALSE), VLOOKUP(E57, Teams!A:B, 2, FALSE))</f>
        <v>36.787963333333337</v>
      </c>
      <c r="T57" s="11">
        <f>SUM(VLOOKUP(F57, Teams!A:B, 2, FALSE), VLOOKUP(G57, Teams!A:B, 2, FALSE), VLOOKUP(H57, Teams!A:B, 2, FALSE))</f>
        <v>28.941175000000001</v>
      </c>
      <c r="U57" s="46" t="e">
        <f>R57*SUM(S57, T57)/SUM(AVERAGE($S$2:$S57), AVERAGE($T$2:$T57))</f>
        <v>#VALUE!</v>
      </c>
      <c r="V57" s="46" t="e">
        <f>AVERAGE($R$2:$R57)</f>
        <v>#VALUE!</v>
      </c>
      <c r="W57" s="46" t="e">
        <f>AVERAGE($U$2:$U57)</f>
        <v>#VALUE!</v>
      </c>
      <c r="X57" s="4">
        <f t="shared" si="6"/>
        <v>1</v>
      </c>
      <c r="Y57" s="46">
        <f>AVERAGE($X$2:$X57)*0.5</f>
        <v>0.4017857142857143</v>
      </c>
    </row>
    <row r="58" spans="1:25">
      <c r="A58" s="3">
        <f>'Online Results'!L60</f>
        <v>0.8354166666666667</v>
      </c>
      <c r="B58" s="18">
        <f>'Online Results'!M60</f>
        <v>57</v>
      </c>
      <c r="C58" s="20">
        <f>'Online Results'!N60</f>
        <v>1885</v>
      </c>
      <c r="D58" s="20">
        <f>'Online Results'!O60</f>
        <v>1266</v>
      </c>
      <c r="E58" s="20">
        <f>'Online Results'!P60</f>
        <v>461</v>
      </c>
      <c r="F58" s="19">
        <f>'Online Results'!Q60</f>
        <v>3205</v>
      </c>
      <c r="G58" s="19">
        <f>'Online Results'!R60</f>
        <v>1143</v>
      </c>
      <c r="H58" s="19">
        <f>'Online Results'!S60</f>
        <v>415</v>
      </c>
      <c r="I58" s="42">
        <f>SUM(VLOOKUP(C58, Teams!A:B, 2, FALSE), VLOOKUP(D58, Teams!A:B, 2, FALSE), VLOOKUP(E58, Teams!A:B, 2, FALSE))</f>
        <v>33.59487</v>
      </c>
      <c r="J58" s="44">
        <f>SUM(VLOOKUP(F58, Teams!A:B, 2, FALSE), VLOOKUP(G58, Teams!A:B, 2, FALSE), VLOOKUP(H58, Teams!A:B, 2, FALSE))</f>
        <v>36.272594999999995</v>
      </c>
      <c r="K58" s="7">
        <f t="shared" si="0"/>
        <v>0</v>
      </c>
      <c r="L58" s="9">
        <f t="shared" si="1"/>
        <v>2</v>
      </c>
      <c r="M58" s="36">
        <f t="shared" si="2"/>
        <v>33.59487</v>
      </c>
      <c r="N58" s="23" t="str">
        <f>IF('Online Results'!T60="", "", 'Online Results'!T60)</f>
        <v/>
      </c>
      <c r="O58" s="22" t="str">
        <f>IF('Online Results'!U60="", "", 'Online Results'!U60)</f>
        <v/>
      </c>
      <c r="P58" s="47">
        <f t="shared" si="3"/>
        <v>33.59487</v>
      </c>
      <c r="Q58" s="48">
        <f t="shared" si="4"/>
        <v>36.272594999999995</v>
      </c>
      <c r="R58" s="46" t="e">
        <f t="shared" si="5"/>
        <v>#VALUE!</v>
      </c>
      <c r="S58" s="13">
        <f>SUM(VLOOKUP(C58, Teams!A:B, 2, FALSE), VLOOKUP(D58, Teams!A:B, 2, FALSE), VLOOKUP(E58, Teams!A:B, 2, FALSE))</f>
        <v>33.59487</v>
      </c>
      <c r="T58" s="11">
        <f>SUM(VLOOKUP(F58, Teams!A:B, 2, FALSE), VLOOKUP(G58, Teams!A:B, 2, FALSE), VLOOKUP(H58, Teams!A:B, 2, FALSE))</f>
        <v>36.272594999999995</v>
      </c>
      <c r="U58" s="46" t="e">
        <f>R58*SUM(S58, T58)/SUM(AVERAGE($S$2:$S58), AVERAGE($T$2:$T58))</f>
        <v>#VALUE!</v>
      </c>
      <c r="V58" s="46" t="e">
        <f>AVERAGE($R$2:$R58)</f>
        <v>#VALUE!</v>
      </c>
      <c r="W58" s="46" t="e">
        <f>AVERAGE($U$2:$U58)</f>
        <v>#VALUE!</v>
      </c>
      <c r="X58" s="4">
        <f t="shared" si="6"/>
        <v>2</v>
      </c>
      <c r="Y58" s="46">
        <f>AVERAGE($X$2:$X58)*0.5</f>
        <v>0.41228070175438597</v>
      </c>
    </row>
    <row r="59" spans="1:25">
      <c r="A59" s="3">
        <f>'Online Results'!L61</f>
        <v>0.83958333333333324</v>
      </c>
      <c r="B59" s="18">
        <f>'Online Results'!M61</f>
        <v>58</v>
      </c>
      <c r="C59" s="20">
        <f>'Online Results'!N61</f>
        <v>3115</v>
      </c>
      <c r="D59" s="20">
        <f>'Online Results'!O61</f>
        <v>4161</v>
      </c>
      <c r="E59" s="20">
        <f>'Online Results'!P61</f>
        <v>85</v>
      </c>
      <c r="F59" s="19">
        <f>'Online Results'!Q61</f>
        <v>3951</v>
      </c>
      <c r="G59" s="19">
        <f>'Online Results'!R61</f>
        <v>1764</v>
      </c>
      <c r="H59" s="19">
        <f>'Online Results'!S61</f>
        <v>2474</v>
      </c>
      <c r="I59" s="42">
        <f>SUM(VLOOKUP(C59, Teams!A:B, 2, FALSE), VLOOKUP(D59, Teams!A:B, 2, FALSE), VLOOKUP(E59, Teams!A:B, 2, FALSE))</f>
        <v>24.893720999999999</v>
      </c>
      <c r="J59" s="44">
        <f>SUM(VLOOKUP(F59, Teams!A:B, 2, FALSE), VLOOKUP(G59, Teams!A:B, 2, FALSE), VLOOKUP(H59, Teams!A:B, 2, FALSE))</f>
        <v>42.469229999999996</v>
      </c>
      <c r="K59" s="7">
        <f t="shared" si="0"/>
        <v>0</v>
      </c>
      <c r="L59" s="9">
        <f t="shared" si="1"/>
        <v>2</v>
      </c>
      <c r="M59" s="36">
        <f t="shared" si="2"/>
        <v>24.893720999999999</v>
      </c>
      <c r="N59" s="23" t="str">
        <f>IF('Online Results'!T61="", "", 'Online Results'!T61)</f>
        <v/>
      </c>
      <c r="O59" s="22" t="str">
        <f>IF('Online Results'!U61="", "", 'Online Results'!U61)</f>
        <v/>
      </c>
      <c r="P59" s="47">
        <f t="shared" si="3"/>
        <v>24.893720999999999</v>
      </c>
      <c r="Q59" s="48">
        <f t="shared" si="4"/>
        <v>42.469229999999996</v>
      </c>
      <c r="R59" s="46" t="e">
        <f t="shared" si="5"/>
        <v>#VALUE!</v>
      </c>
      <c r="S59" s="13">
        <f>SUM(VLOOKUP(C59, Teams!A:B, 2, FALSE), VLOOKUP(D59, Teams!A:B, 2, FALSE), VLOOKUP(E59, Teams!A:B, 2, FALSE))</f>
        <v>24.893720999999999</v>
      </c>
      <c r="T59" s="11">
        <f>SUM(VLOOKUP(F59, Teams!A:B, 2, FALSE), VLOOKUP(G59, Teams!A:B, 2, FALSE), VLOOKUP(H59, Teams!A:B, 2, FALSE))</f>
        <v>42.469229999999996</v>
      </c>
      <c r="U59" s="46" t="e">
        <f>R59*SUM(S59, T59)/SUM(AVERAGE($S$2:$S59), AVERAGE($T$2:$T59))</f>
        <v>#VALUE!</v>
      </c>
      <c r="V59" s="46" t="e">
        <f>AVERAGE($R$2:$R59)</f>
        <v>#VALUE!</v>
      </c>
      <c r="W59" s="46" t="e">
        <f>AVERAGE($U$2:$U59)</f>
        <v>#VALUE!</v>
      </c>
      <c r="X59" s="4">
        <f t="shared" si="6"/>
        <v>2</v>
      </c>
      <c r="Y59" s="46">
        <f>AVERAGE($X$2:$X59)*0.5</f>
        <v>0.42241379310344829</v>
      </c>
    </row>
    <row r="60" spans="1:25">
      <c r="A60" s="3">
        <f>'Online Results'!L62</f>
        <v>0.84375</v>
      </c>
      <c r="B60" s="18">
        <f>'Online Results'!M62</f>
        <v>59</v>
      </c>
      <c r="C60" s="20">
        <f>'Online Results'!N62</f>
        <v>3970</v>
      </c>
      <c r="D60" s="20">
        <f>'Online Results'!O62</f>
        <v>2102</v>
      </c>
      <c r="E60" s="20">
        <f>'Online Results'!P62</f>
        <v>2130</v>
      </c>
      <c r="F60" s="19">
        <f>'Online Results'!Q62</f>
        <v>2844</v>
      </c>
      <c r="G60" s="19">
        <f>'Online Results'!R62</f>
        <v>244</v>
      </c>
      <c r="H60" s="19">
        <f>'Online Results'!S62</f>
        <v>1391</v>
      </c>
      <c r="I60" s="42">
        <f>SUM(VLOOKUP(C60, Teams!A:B, 2, FALSE), VLOOKUP(D60, Teams!A:B, 2, FALSE), VLOOKUP(E60, Teams!A:B, 2, FALSE))</f>
        <v>26.83201</v>
      </c>
      <c r="J60" s="44">
        <f>SUM(VLOOKUP(F60, Teams!A:B, 2, FALSE), VLOOKUP(G60, Teams!A:B, 2, FALSE), VLOOKUP(H60, Teams!A:B, 2, FALSE))</f>
        <v>18.390885000000001</v>
      </c>
      <c r="K60" s="7">
        <f t="shared" si="0"/>
        <v>2</v>
      </c>
      <c r="L60" s="9">
        <f t="shared" si="1"/>
        <v>0</v>
      </c>
      <c r="M60" s="36">
        <f t="shared" si="2"/>
        <v>18.390885000000001</v>
      </c>
      <c r="N60" s="23" t="str">
        <f>IF('Online Results'!T62="", "", 'Online Results'!T62)</f>
        <v/>
      </c>
      <c r="O60" s="22" t="str">
        <f>IF('Online Results'!U62="", "", 'Online Results'!U62)</f>
        <v/>
      </c>
      <c r="P60" s="47">
        <f t="shared" si="3"/>
        <v>26.83201</v>
      </c>
      <c r="Q60" s="48">
        <f t="shared" si="4"/>
        <v>18.390885000000001</v>
      </c>
      <c r="R60" s="46" t="e">
        <f t="shared" si="5"/>
        <v>#VALUE!</v>
      </c>
      <c r="S60" s="13">
        <f>SUM(VLOOKUP(C60, Teams!A:B, 2, FALSE), VLOOKUP(D60, Teams!A:B, 2, FALSE), VLOOKUP(E60, Teams!A:B, 2, FALSE))</f>
        <v>26.83201</v>
      </c>
      <c r="T60" s="11">
        <f>SUM(VLOOKUP(F60, Teams!A:B, 2, FALSE), VLOOKUP(G60, Teams!A:B, 2, FALSE), VLOOKUP(H60, Teams!A:B, 2, FALSE))</f>
        <v>18.390885000000001</v>
      </c>
      <c r="U60" s="46" t="e">
        <f>R60*SUM(S60, T60)/SUM(AVERAGE($S$2:$S60), AVERAGE($T$2:$T60))</f>
        <v>#VALUE!</v>
      </c>
      <c r="V60" s="46" t="e">
        <f>AVERAGE($R$2:$R60)</f>
        <v>#VALUE!</v>
      </c>
      <c r="W60" s="46" t="e">
        <f>AVERAGE($U$2:$U60)</f>
        <v>#VALUE!</v>
      </c>
      <c r="X60" s="4">
        <f t="shared" si="6"/>
        <v>1</v>
      </c>
      <c r="Y60" s="46">
        <f>AVERAGE($X$2:$X60)*0.5</f>
        <v>0.42372881355932202</v>
      </c>
    </row>
    <row r="61" spans="1:25">
      <c r="A61" s="3">
        <f>'Online Results'!L63</f>
        <v>0.84791666666666676</v>
      </c>
      <c r="B61" s="18">
        <f>'Online Results'!M63</f>
        <v>60</v>
      </c>
      <c r="C61" s="20">
        <f>'Online Results'!N63</f>
        <v>3950</v>
      </c>
      <c r="D61" s="20">
        <f>'Online Results'!O63</f>
        <v>2500</v>
      </c>
      <c r="E61" s="20">
        <f>'Online Results'!P63</f>
        <v>2881</v>
      </c>
      <c r="F61" s="19">
        <f>'Online Results'!Q63</f>
        <v>27</v>
      </c>
      <c r="G61" s="19">
        <f>'Online Results'!R63</f>
        <v>702</v>
      </c>
      <c r="H61" s="19">
        <f>'Online Results'!S63</f>
        <v>604</v>
      </c>
      <c r="I61" s="42">
        <f>SUM(VLOOKUP(C61, Teams!A:B, 2, FALSE), VLOOKUP(D61, Teams!A:B, 2, FALSE), VLOOKUP(E61, Teams!A:B, 2, FALSE))</f>
        <v>19.106655</v>
      </c>
      <c r="J61" s="44">
        <f>SUM(VLOOKUP(F61, Teams!A:B, 2, FALSE), VLOOKUP(G61, Teams!A:B, 2, FALSE), VLOOKUP(H61, Teams!A:B, 2, FALSE))</f>
        <v>41.652469999999994</v>
      </c>
      <c r="K61" s="7">
        <f t="shared" si="0"/>
        <v>0</v>
      </c>
      <c r="L61" s="9">
        <f t="shared" si="1"/>
        <v>2</v>
      </c>
      <c r="M61" s="36">
        <f t="shared" si="2"/>
        <v>19.106655</v>
      </c>
      <c r="N61" s="23" t="str">
        <f>IF('Online Results'!T63="", "", 'Online Results'!T63)</f>
        <v/>
      </c>
      <c r="O61" s="22" t="str">
        <f>IF('Online Results'!U63="", "", 'Online Results'!U63)</f>
        <v/>
      </c>
      <c r="P61" s="47">
        <f t="shared" si="3"/>
        <v>19.106655</v>
      </c>
      <c r="Q61" s="48">
        <f t="shared" si="4"/>
        <v>41.652469999999994</v>
      </c>
      <c r="R61" s="46" t="e">
        <f t="shared" si="5"/>
        <v>#VALUE!</v>
      </c>
      <c r="S61" s="13">
        <f>SUM(VLOOKUP(C61, Teams!A:B, 2, FALSE), VLOOKUP(D61, Teams!A:B, 2, FALSE), VLOOKUP(E61, Teams!A:B, 2, FALSE))</f>
        <v>19.106655</v>
      </c>
      <c r="T61" s="11">
        <f>SUM(VLOOKUP(F61, Teams!A:B, 2, FALSE), VLOOKUP(G61, Teams!A:B, 2, FALSE), VLOOKUP(H61, Teams!A:B, 2, FALSE))</f>
        <v>41.652469999999994</v>
      </c>
      <c r="U61" s="46" t="e">
        <f>R61*SUM(S61, T61)/SUM(AVERAGE($S$2:$S61), AVERAGE($T$2:$T61))</f>
        <v>#VALUE!</v>
      </c>
      <c r="V61" s="46" t="e">
        <f>AVERAGE($R$2:$R61)</f>
        <v>#VALUE!</v>
      </c>
      <c r="W61" s="46" t="e">
        <f>AVERAGE($U$2:$U61)</f>
        <v>#VALUE!</v>
      </c>
      <c r="X61" s="4">
        <f t="shared" si="6"/>
        <v>2</v>
      </c>
      <c r="Y61" s="46">
        <f>AVERAGE($X$2:$X61)*0.5</f>
        <v>0.43333333333333335</v>
      </c>
    </row>
    <row r="62" spans="1:25">
      <c r="A62" s="3">
        <f>'Online Results'!L64</f>
        <v>0.39583333333333331</v>
      </c>
      <c r="B62" s="18">
        <f>'Online Results'!M64</f>
        <v>61</v>
      </c>
      <c r="C62" s="20">
        <f>'Online Results'!N64</f>
        <v>987</v>
      </c>
      <c r="D62" s="20">
        <f>'Online Results'!O64</f>
        <v>207</v>
      </c>
      <c r="E62" s="20">
        <f>'Online Results'!P64</f>
        <v>3419</v>
      </c>
      <c r="F62" s="19">
        <f>'Online Results'!Q64</f>
        <v>971</v>
      </c>
      <c r="G62" s="19">
        <f>'Online Results'!R64</f>
        <v>3940</v>
      </c>
      <c r="H62" s="19">
        <f>'Online Results'!S64</f>
        <v>2522</v>
      </c>
      <c r="I62" s="42">
        <f>SUM(VLOOKUP(C62, Teams!A:B, 2, FALSE), VLOOKUP(D62, Teams!A:B, 2, FALSE), VLOOKUP(E62, Teams!A:B, 2, FALSE))</f>
        <v>55.120199999999997</v>
      </c>
      <c r="J62" s="44">
        <f>SUM(VLOOKUP(F62, Teams!A:B, 2, FALSE), VLOOKUP(G62, Teams!A:B, 2, FALSE), VLOOKUP(H62, Teams!A:B, 2, FALSE))</f>
        <v>49.213449999999995</v>
      </c>
      <c r="K62" s="7">
        <f t="shared" si="0"/>
        <v>2</v>
      </c>
      <c r="L62" s="9">
        <f t="shared" si="1"/>
        <v>0</v>
      </c>
      <c r="M62" s="36">
        <f t="shared" si="2"/>
        <v>49.213449999999995</v>
      </c>
      <c r="N62" s="23" t="str">
        <f>IF('Online Results'!T64="", "", 'Online Results'!T64)</f>
        <v/>
      </c>
      <c r="O62" s="22" t="str">
        <f>IF('Online Results'!U64="", "", 'Online Results'!U64)</f>
        <v/>
      </c>
      <c r="P62" s="47">
        <f t="shared" si="3"/>
        <v>55.120199999999997</v>
      </c>
      <c r="Q62" s="48">
        <f t="shared" si="4"/>
        <v>49.213449999999995</v>
      </c>
      <c r="R62" s="46" t="e">
        <f t="shared" si="5"/>
        <v>#VALUE!</v>
      </c>
      <c r="S62" s="13">
        <f>SUM(VLOOKUP(C62, Teams!A:B, 2, FALSE), VLOOKUP(D62, Teams!A:B, 2, FALSE), VLOOKUP(E62, Teams!A:B, 2, FALSE))</f>
        <v>55.120199999999997</v>
      </c>
      <c r="T62" s="11">
        <f>SUM(VLOOKUP(F62, Teams!A:B, 2, FALSE), VLOOKUP(G62, Teams!A:B, 2, FALSE), VLOOKUP(H62, Teams!A:B, 2, FALSE))</f>
        <v>49.213449999999995</v>
      </c>
      <c r="U62" s="46" t="e">
        <f>R62*SUM(S62, T62)/SUM(AVERAGE($S$2:$S62), AVERAGE($T$2:$T62))</f>
        <v>#VALUE!</v>
      </c>
      <c r="V62" s="46" t="e">
        <f>AVERAGE($R$2:$R62)</f>
        <v>#VALUE!</v>
      </c>
      <c r="W62" s="46" t="e">
        <f>AVERAGE($U$2:$U62)</f>
        <v>#VALUE!</v>
      </c>
      <c r="X62" s="4">
        <f t="shared" si="6"/>
        <v>1</v>
      </c>
      <c r="Y62" s="46">
        <f>AVERAGE($X$2:$X62)*0.5</f>
        <v>0.4344262295081967</v>
      </c>
    </row>
    <row r="63" spans="1:25">
      <c r="A63" s="3">
        <f>'Online Results'!L65</f>
        <v>0.39999999999999997</v>
      </c>
      <c r="B63" s="18">
        <f>'Online Results'!M65</f>
        <v>62</v>
      </c>
      <c r="C63" s="20">
        <f>'Online Results'!N65</f>
        <v>1033</v>
      </c>
      <c r="D63" s="20">
        <f>'Online Results'!O65</f>
        <v>3528</v>
      </c>
      <c r="E63" s="20">
        <f>'Online Results'!P65</f>
        <v>293</v>
      </c>
      <c r="F63" s="19">
        <f>'Online Results'!Q65</f>
        <v>2180</v>
      </c>
      <c r="G63" s="19">
        <f>'Online Results'!R65</f>
        <v>1511</v>
      </c>
      <c r="H63" s="19">
        <f>'Online Results'!S65</f>
        <v>4269</v>
      </c>
      <c r="I63" s="42">
        <f>SUM(VLOOKUP(C63, Teams!A:B, 2, FALSE), VLOOKUP(D63, Teams!A:B, 2, FALSE), VLOOKUP(E63, Teams!A:B, 2, FALSE))</f>
        <v>28.168240000000001</v>
      </c>
      <c r="J63" s="44">
        <f>SUM(VLOOKUP(F63, Teams!A:B, 2, FALSE), VLOOKUP(G63, Teams!A:B, 2, FALSE), VLOOKUP(H63, Teams!A:B, 2, FALSE))</f>
        <v>37.765170000000005</v>
      </c>
      <c r="K63" s="7">
        <f t="shared" si="0"/>
        <v>0</v>
      </c>
      <c r="L63" s="9">
        <f t="shared" si="1"/>
        <v>2</v>
      </c>
      <c r="M63" s="36">
        <f t="shared" si="2"/>
        <v>28.168240000000001</v>
      </c>
      <c r="N63" s="23" t="str">
        <f>IF('Online Results'!T65="", "", 'Online Results'!T65)</f>
        <v/>
      </c>
      <c r="O63" s="22" t="str">
        <f>IF('Online Results'!U65="", "", 'Online Results'!U65)</f>
        <v/>
      </c>
      <c r="P63" s="47">
        <f t="shared" si="3"/>
        <v>28.168240000000001</v>
      </c>
      <c r="Q63" s="48">
        <f t="shared" si="4"/>
        <v>37.765170000000005</v>
      </c>
      <c r="R63" s="46" t="e">
        <f t="shared" si="5"/>
        <v>#VALUE!</v>
      </c>
      <c r="S63" s="13">
        <f>SUM(VLOOKUP(C63, Teams!A:B, 2, FALSE), VLOOKUP(D63, Teams!A:B, 2, FALSE), VLOOKUP(E63, Teams!A:B, 2, FALSE))</f>
        <v>28.168240000000001</v>
      </c>
      <c r="T63" s="11">
        <f>SUM(VLOOKUP(F63, Teams!A:B, 2, FALSE), VLOOKUP(G63, Teams!A:B, 2, FALSE), VLOOKUP(H63, Teams!A:B, 2, FALSE))</f>
        <v>37.765170000000005</v>
      </c>
      <c r="U63" s="46" t="e">
        <f>R63*SUM(S63, T63)/SUM(AVERAGE($S$2:$S63), AVERAGE($T$2:$T63))</f>
        <v>#VALUE!</v>
      </c>
      <c r="V63" s="46" t="e">
        <f>AVERAGE($R$2:$R63)</f>
        <v>#VALUE!</v>
      </c>
      <c r="W63" s="46" t="e">
        <f>AVERAGE($U$2:$U63)</f>
        <v>#VALUE!</v>
      </c>
      <c r="X63" s="4">
        <f t="shared" si="6"/>
        <v>2</v>
      </c>
      <c r="Y63" s="46">
        <f>AVERAGE($X$2:$X63)*0.5</f>
        <v>0.44354838709677419</v>
      </c>
    </row>
    <row r="64" spans="1:25">
      <c r="A64" s="3">
        <f>'Online Results'!L66</f>
        <v>0.40416666666666662</v>
      </c>
      <c r="B64" s="18">
        <f>'Online Results'!M66</f>
        <v>63</v>
      </c>
      <c r="C64" s="20">
        <f>'Online Results'!N66</f>
        <v>78</v>
      </c>
      <c r="D64" s="20">
        <f>'Online Results'!O66</f>
        <v>3929</v>
      </c>
      <c r="E64" s="20">
        <f>'Online Results'!P66</f>
        <v>3288</v>
      </c>
      <c r="F64" s="19">
        <f>'Online Results'!Q66</f>
        <v>597</v>
      </c>
      <c r="G64" s="19">
        <f>'Online Results'!R66</f>
        <v>537</v>
      </c>
      <c r="H64" s="19">
        <f>'Online Results'!S66</f>
        <v>116</v>
      </c>
      <c r="I64" s="42">
        <f>SUM(VLOOKUP(C64, Teams!A:B, 2, FALSE), VLOOKUP(D64, Teams!A:B, 2, FALSE), VLOOKUP(E64, Teams!A:B, 2, FALSE))</f>
        <v>36.435617999999998</v>
      </c>
      <c r="J64" s="44">
        <f>SUM(VLOOKUP(F64, Teams!A:B, 2, FALSE), VLOOKUP(G64, Teams!A:B, 2, FALSE), VLOOKUP(H64, Teams!A:B, 2, FALSE))</f>
        <v>29.12903</v>
      </c>
      <c r="K64" s="7">
        <f t="shared" si="0"/>
        <v>2</v>
      </c>
      <c r="L64" s="9">
        <f t="shared" si="1"/>
        <v>0</v>
      </c>
      <c r="M64" s="36">
        <f t="shared" si="2"/>
        <v>29.12903</v>
      </c>
      <c r="N64" s="23" t="str">
        <f>IF('Online Results'!T66="", "", 'Online Results'!T66)</f>
        <v/>
      </c>
      <c r="O64" s="22" t="str">
        <f>IF('Online Results'!U66="", "", 'Online Results'!U66)</f>
        <v/>
      </c>
      <c r="P64" s="47">
        <f t="shared" si="3"/>
        <v>36.435617999999998</v>
      </c>
      <c r="Q64" s="48">
        <f t="shared" si="4"/>
        <v>29.12903</v>
      </c>
      <c r="R64" s="46" t="e">
        <f t="shared" si="5"/>
        <v>#VALUE!</v>
      </c>
      <c r="S64" s="13">
        <f>SUM(VLOOKUP(C64, Teams!A:B, 2, FALSE), VLOOKUP(D64, Teams!A:B, 2, FALSE), VLOOKUP(E64, Teams!A:B, 2, FALSE))</f>
        <v>36.435617999999998</v>
      </c>
      <c r="T64" s="11">
        <f>SUM(VLOOKUP(F64, Teams!A:B, 2, FALSE), VLOOKUP(G64, Teams!A:B, 2, FALSE), VLOOKUP(H64, Teams!A:B, 2, FALSE))</f>
        <v>29.12903</v>
      </c>
      <c r="U64" s="46" t="e">
        <f>R64*SUM(S64, T64)/SUM(AVERAGE($S$2:$S64), AVERAGE($T$2:$T64))</f>
        <v>#VALUE!</v>
      </c>
      <c r="V64" s="46" t="e">
        <f>AVERAGE($R$2:$R64)</f>
        <v>#VALUE!</v>
      </c>
      <c r="W64" s="46" t="e">
        <f>AVERAGE($U$2:$U64)</f>
        <v>#VALUE!</v>
      </c>
      <c r="X64" s="4">
        <f t="shared" si="6"/>
        <v>1</v>
      </c>
      <c r="Y64" s="46">
        <f>AVERAGE($X$2:$X64)*0.5</f>
        <v>0.44444444444444442</v>
      </c>
    </row>
    <row r="65" spans="1:25">
      <c r="A65" s="3">
        <f>'Online Results'!L67</f>
        <v>0.40833333333333338</v>
      </c>
      <c r="B65" s="18">
        <f>'Online Results'!M67</f>
        <v>64</v>
      </c>
      <c r="C65" s="20">
        <f>'Online Results'!N67</f>
        <v>4130</v>
      </c>
      <c r="D65" s="20">
        <f>'Online Results'!O67</f>
        <v>564</v>
      </c>
      <c r="E65" s="20">
        <f>'Online Results'!P67</f>
        <v>233</v>
      </c>
      <c r="F65" s="19">
        <f>'Online Results'!Q67</f>
        <v>1507</v>
      </c>
      <c r="G65" s="19">
        <f>'Online Results'!R67</f>
        <v>2626</v>
      </c>
      <c r="H65" s="19">
        <f>'Online Results'!S67</f>
        <v>706</v>
      </c>
      <c r="I65" s="42">
        <f>SUM(VLOOKUP(C65, Teams!A:B, 2, FALSE), VLOOKUP(D65, Teams!A:B, 2, FALSE), VLOOKUP(E65, Teams!A:B, 2, FALSE))</f>
        <v>26.76473</v>
      </c>
      <c r="J65" s="44">
        <f>SUM(VLOOKUP(F65, Teams!A:B, 2, FALSE), VLOOKUP(G65, Teams!A:B, 2, FALSE), VLOOKUP(H65, Teams!A:B, 2, FALSE))</f>
        <v>52.410829999999997</v>
      </c>
      <c r="K65" s="7">
        <f t="shared" si="0"/>
        <v>0</v>
      </c>
      <c r="L65" s="9">
        <f t="shared" si="1"/>
        <v>2</v>
      </c>
      <c r="M65" s="36">
        <f t="shared" si="2"/>
        <v>26.76473</v>
      </c>
      <c r="N65" s="23" t="str">
        <f>IF('Online Results'!T67="", "", 'Online Results'!T67)</f>
        <v/>
      </c>
      <c r="O65" s="22" t="str">
        <f>IF('Online Results'!U67="", "", 'Online Results'!U67)</f>
        <v/>
      </c>
      <c r="P65" s="47">
        <f t="shared" si="3"/>
        <v>26.76473</v>
      </c>
      <c r="Q65" s="48">
        <f t="shared" si="4"/>
        <v>52.410829999999997</v>
      </c>
      <c r="R65" s="46" t="e">
        <f t="shared" si="5"/>
        <v>#VALUE!</v>
      </c>
      <c r="S65" s="13">
        <f>SUM(VLOOKUP(C65, Teams!A:B, 2, FALSE), VLOOKUP(D65, Teams!A:B, 2, FALSE), VLOOKUP(E65, Teams!A:B, 2, FALSE))</f>
        <v>26.76473</v>
      </c>
      <c r="T65" s="11">
        <f>SUM(VLOOKUP(F65, Teams!A:B, 2, FALSE), VLOOKUP(G65, Teams!A:B, 2, FALSE), VLOOKUP(H65, Teams!A:B, 2, FALSE))</f>
        <v>52.410829999999997</v>
      </c>
      <c r="U65" s="46" t="e">
        <f>R65*SUM(S65, T65)/SUM(AVERAGE($S$2:$S65), AVERAGE($T$2:$T65))</f>
        <v>#VALUE!</v>
      </c>
      <c r="V65" s="46" t="e">
        <f>AVERAGE($R$2:$R65)</f>
        <v>#VALUE!</v>
      </c>
      <c r="W65" s="46" t="e">
        <f>AVERAGE($U$2:$U65)</f>
        <v>#VALUE!</v>
      </c>
      <c r="X65" s="4">
        <f t="shared" si="6"/>
        <v>2</v>
      </c>
      <c r="Y65" s="46">
        <f>AVERAGE($X$2:$X65)*0.5</f>
        <v>0.453125</v>
      </c>
    </row>
    <row r="66" spans="1:25">
      <c r="A66" s="3">
        <f>'Online Results'!L68</f>
        <v>0.41250000000000003</v>
      </c>
      <c r="B66" s="18">
        <f>'Online Results'!M68</f>
        <v>65</v>
      </c>
      <c r="C66" s="20">
        <f>'Online Results'!N68</f>
        <v>525</v>
      </c>
      <c r="D66" s="20">
        <f>'Online Results'!O68</f>
        <v>1986</v>
      </c>
      <c r="E66" s="20">
        <f>'Online Results'!P68</f>
        <v>3711</v>
      </c>
      <c r="F66" s="19">
        <f>'Online Results'!Q68</f>
        <v>288</v>
      </c>
      <c r="G66" s="19">
        <f>'Online Results'!R68</f>
        <v>1678</v>
      </c>
      <c r="H66" s="19">
        <f>'Online Results'!S68</f>
        <v>3936</v>
      </c>
      <c r="I66" s="42">
        <f>SUM(VLOOKUP(C66, Teams!A:B, 2, FALSE), VLOOKUP(D66, Teams!A:B, 2, FALSE), VLOOKUP(E66, Teams!A:B, 2, FALSE))</f>
        <v>53.959065000000002</v>
      </c>
      <c r="J66" s="44">
        <f>SUM(VLOOKUP(F66, Teams!A:B, 2, FALSE), VLOOKUP(G66, Teams!A:B, 2, FALSE), VLOOKUP(H66, Teams!A:B, 2, FALSE))</f>
        <v>38.226289999999999</v>
      </c>
      <c r="K66" s="7">
        <f t="shared" si="0"/>
        <v>2</v>
      </c>
      <c r="L66" s="9">
        <f t="shared" si="1"/>
        <v>0</v>
      </c>
      <c r="M66" s="36">
        <f t="shared" si="2"/>
        <v>38.226289999999999</v>
      </c>
      <c r="N66" s="23" t="str">
        <f>IF('Online Results'!T68="", "", 'Online Results'!T68)</f>
        <v/>
      </c>
      <c r="O66" s="22" t="str">
        <f>IF('Online Results'!U68="", "", 'Online Results'!U68)</f>
        <v/>
      </c>
      <c r="P66" s="47">
        <f t="shared" si="3"/>
        <v>53.959065000000002</v>
      </c>
      <c r="Q66" s="48">
        <f t="shared" si="4"/>
        <v>38.226289999999999</v>
      </c>
      <c r="R66" s="46" t="e">
        <f t="shared" si="5"/>
        <v>#VALUE!</v>
      </c>
      <c r="S66" s="13">
        <f>SUM(VLOOKUP(C66, Teams!A:B, 2, FALSE), VLOOKUP(D66, Teams!A:B, 2, FALSE), VLOOKUP(E66, Teams!A:B, 2, FALSE))</f>
        <v>53.959065000000002</v>
      </c>
      <c r="T66" s="11">
        <f>SUM(VLOOKUP(F66, Teams!A:B, 2, FALSE), VLOOKUP(G66, Teams!A:B, 2, FALSE), VLOOKUP(H66, Teams!A:B, 2, FALSE))</f>
        <v>38.226289999999999</v>
      </c>
      <c r="U66" s="46" t="e">
        <f>R66*SUM(S66, T66)/SUM(AVERAGE($S$2:$S66), AVERAGE($T$2:$T66))</f>
        <v>#VALUE!</v>
      </c>
      <c r="V66" s="46" t="e">
        <f>AVERAGE($R$2:$R66)</f>
        <v>#VALUE!</v>
      </c>
      <c r="W66" s="46" t="e">
        <f>AVERAGE($U$2:$U66)</f>
        <v>#VALUE!</v>
      </c>
      <c r="X66" s="4">
        <f t="shared" si="6"/>
        <v>1</v>
      </c>
      <c r="Y66" s="46">
        <f>AVERAGE($X$2:$X66)*0.5</f>
        <v>0.45384615384615384</v>
      </c>
    </row>
    <row r="67" spans="1:25">
      <c r="A67" s="3">
        <f>'Online Results'!L69</f>
        <v>0.41666666666666669</v>
      </c>
      <c r="B67" s="18">
        <f>'Online Results'!M69</f>
        <v>66</v>
      </c>
      <c r="C67" s="20">
        <f>'Online Results'!N69</f>
        <v>1912</v>
      </c>
      <c r="D67" s="20">
        <f>'Online Results'!O69</f>
        <v>1683</v>
      </c>
      <c r="E67" s="20">
        <f>'Online Results'!P69</f>
        <v>4069</v>
      </c>
      <c r="F67" s="19">
        <f>'Online Results'!Q69</f>
        <v>1985</v>
      </c>
      <c r="G67" s="19">
        <f>'Online Results'!R69</f>
        <v>3098</v>
      </c>
      <c r="H67" s="19">
        <f>'Online Results'!S69</f>
        <v>3965</v>
      </c>
      <c r="I67" s="42">
        <f>SUM(VLOOKUP(C67, Teams!A:B, 2, FALSE), VLOOKUP(D67, Teams!A:B, 2, FALSE), VLOOKUP(E67, Teams!A:B, 2, FALSE))</f>
        <v>36.6691</v>
      </c>
      <c r="J67" s="44">
        <f>SUM(VLOOKUP(F67, Teams!A:B, 2, FALSE), VLOOKUP(G67, Teams!A:B, 2, FALSE), VLOOKUP(H67, Teams!A:B, 2, FALSE))</f>
        <v>48.572233333333344</v>
      </c>
      <c r="K67" s="7">
        <f t="shared" ref="K67:K130" si="7">IF(P67&gt;Q67,2,IF(P67=Q67,1,0))</f>
        <v>0</v>
      </c>
      <c r="L67" s="9">
        <f t="shared" ref="L67:L130" si="8">SUM(-1*K67+2)</f>
        <v>2</v>
      </c>
      <c r="M67" s="36">
        <f t="shared" ref="M67:M130" si="9">MIN(P67:Q67)</f>
        <v>36.6691</v>
      </c>
      <c r="N67" s="23" t="str">
        <f>IF('Online Results'!T69="", "", 'Online Results'!T69)</f>
        <v/>
      </c>
      <c r="O67" s="22" t="str">
        <f>IF('Online Results'!U69="", "", 'Online Results'!U69)</f>
        <v/>
      </c>
      <c r="P67" s="47">
        <f t="shared" ref="P67:P130" si="10">IF(N67="", I67, N67)</f>
        <v>36.6691</v>
      </c>
      <c r="Q67" s="48">
        <f t="shared" ref="Q67:Q130" si="11">IF(O67="", J67, O67)</f>
        <v>48.572233333333344</v>
      </c>
      <c r="R67" s="46" t="e">
        <f t="shared" ref="R67:R130" si="12">ABS(I67+J67-N67-O67)/(N67+O67)</f>
        <v>#VALUE!</v>
      </c>
      <c r="S67" s="13">
        <f>SUM(VLOOKUP(C67, Teams!A:B, 2, FALSE), VLOOKUP(D67, Teams!A:B, 2, FALSE), VLOOKUP(E67, Teams!A:B, 2, FALSE))</f>
        <v>36.6691</v>
      </c>
      <c r="T67" s="11">
        <f>SUM(VLOOKUP(F67, Teams!A:B, 2, FALSE), VLOOKUP(G67, Teams!A:B, 2, FALSE), VLOOKUP(H67, Teams!A:B, 2, FALSE))</f>
        <v>48.572233333333344</v>
      </c>
      <c r="U67" s="46" t="e">
        <f>R67*SUM(S67, T67)/SUM(AVERAGE($S$2:$S67), AVERAGE($T$2:$T67))</f>
        <v>#VALUE!</v>
      </c>
      <c r="V67" s="46" t="e">
        <f>AVERAGE($R$2:$R67)</f>
        <v>#VALUE!</v>
      </c>
      <c r="W67" s="46" t="e">
        <f>AVERAGE($U$2:$U67)</f>
        <v>#VALUE!</v>
      </c>
      <c r="X67" s="4">
        <f t="shared" ref="X67:X130" si="13">IF(S67&gt;T67,IF(N67&gt;O67,0,IF(N67=O67, 1, 2)),IF(S67=T67,IF(N67=O67,0,1), IF(N67&lt;O67, 0, 2)))</f>
        <v>2</v>
      </c>
      <c r="Y67" s="46">
        <f>AVERAGE($X$2:$X67)*0.5</f>
        <v>0.4621212121212121</v>
      </c>
    </row>
    <row r="68" spans="1:25">
      <c r="A68" s="3">
        <f>'Online Results'!L70</f>
        <v>0.42083333333333334</v>
      </c>
      <c r="B68" s="18">
        <f>'Online Results'!M70</f>
        <v>67</v>
      </c>
      <c r="C68" s="20">
        <f>'Online Results'!N70</f>
        <v>1828</v>
      </c>
      <c r="D68" s="20">
        <f>'Online Results'!O70</f>
        <v>830</v>
      </c>
      <c r="E68" s="20">
        <f>'Online Results'!P70</f>
        <v>1741</v>
      </c>
      <c r="F68" s="19">
        <f>'Online Results'!Q70</f>
        <v>1778</v>
      </c>
      <c r="G68" s="19">
        <f>'Online Results'!R70</f>
        <v>58</v>
      </c>
      <c r="H68" s="19">
        <f>'Online Results'!S70</f>
        <v>3860</v>
      </c>
      <c r="I68" s="42">
        <f>SUM(VLOOKUP(C68, Teams!A:B, 2, FALSE), VLOOKUP(D68, Teams!A:B, 2, FALSE), VLOOKUP(E68, Teams!A:B, 2, FALSE))</f>
        <v>34.048576666666669</v>
      </c>
      <c r="J68" s="44">
        <f>SUM(VLOOKUP(F68, Teams!A:B, 2, FALSE), VLOOKUP(G68, Teams!A:B, 2, FALSE), VLOOKUP(H68, Teams!A:B, 2, FALSE))</f>
        <v>22.434729999999998</v>
      </c>
      <c r="K68" s="7">
        <f t="shared" si="7"/>
        <v>2</v>
      </c>
      <c r="L68" s="9">
        <f t="shared" si="8"/>
        <v>0</v>
      </c>
      <c r="M68" s="36">
        <f t="shared" si="9"/>
        <v>22.434729999999998</v>
      </c>
      <c r="N68" s="23" t="str">
        <f>IF('Online Results'!T70="", "", 'Online Results'!T70)</f>
        <v/>
      </c>
      <c r="O68" s="22" t="str">
        <f>IF('Online Results'!U70="", "", 'Online Results'!U70)</f>
        <v/>
      </c>
      <c r="P68" s="47">
        <f t="shared" si="10"/>
        <v>34.048576666666669</v>
      </c>
      <c r="Q68" s="48">
        <f t="shared" si="11"/>
        <v>22.434729999999998</v>
      </c>
      <c r="R68" s="46" t="e">
        <f t="shared" si="12"/>
        <v>#VALUE!</v>
      </c>
      <c r="S68" s="13">
        <f>SUM(VLOOKUP(C68, Teams!A:B, 2, FALSE), VLOOKUP(D68, Teams!A:B, 2, FALSE), VLOOKUP(E68, Teams!A:B, 2, FALSE))</f>
        <v>34.048576666666669</v>
      </c>
      <c r="T68" s="11">
        <f>SUM(VLOOKUP(F68, Teams!A:B, 2, FALSE), VLOOKUP(G68, Teams!A:B, 2, FALSE), VLOOKUP(H68, Teams!A:B, 2, FALSE))</f>
        <v>22.434729999999998</v>
      </c>
      <c r="U68" s="46" t="e">
        <f>R68*SUM(S68, T68)/SUM(AVERAGE($S$2:$S68), AVERAGE($T$2:$T68))</f>
        <v>#VALUE!</v>
      </c>
      <c r="V68" s="46" t="e">
        <f>AVERAGE($R$2:$R68)</f>
        <v>#VALUE!</v>
      </c>
      <c r="W68" s="46" t="e">
        <f>AVERAGE($U$2:$U68)</f>
        <v>#VALUE!</v>
      </c>
      <c r="X68" s="4">
        <f t="shared" si="13"/>
        <v>1</v>
      </c>
      <c r="Y68" s="46">
        <f>AVERAGE($X$2:$X68)*0.5</f>
        <v>0.46268656716417911</v>
      </c>
    </row>
    <row r="69" spans="1:25">
      <c r="A69" s="3">
        <f>'Online Results'!L71</f>
        <v>0.42499999999999999</v>
      </c>
      <c r="B69" s="18">
        <f>'Online Results'!M71</f>
        <v>68</v>
      </c>
      <c r="C69" s="20">
        <f>'Online Results'!N71</f>
        <v>2500</v>
      </c>
      <c r="D69" s="20">
        <f>'Online Results'!O71</f>
        <v>85</v>
      </c>
      <c r="E69" s="20">
        <f>'Online Results'!P71</f>
        <v>1477</v>
      </c>
      <c r="F69" s="19">
        <f>'Online Results'!Q71</f>
        <v>279</v>
      </c>
      <c r="G69" s="19">
        <f>'Online Results'!R71</f>
        <v>3880</v>
      </c>
      <c r="H69" s="19">
        <f>'Online Results'!S71</f>
        <v>1885</v>
      </c>
      <c r="I69" s="42">
        <f>SUM(VLOOKUP(C69, Teams!A:B, 2, FALSE), VLOOKUP(D69, Teams!A:B, 2, FALSE), VLOOKUP(E69, Teams!A:B, 2, FALSE))</f>
        <v>38.978578333333338</v>
      </c>
      <c r="J69" s="44">
        <f>SUM(VLOOKUP(F69, Teams!A:B, 2, FALSE), VLOOKUP(G69, Teams!A:B, 2, FALSE), VLOOKUP(H69, Teams!A:B, 2, FALSE))</f>
        <v>30.686200000000003</v>
      </c>
      <c r="K69" s="7">
        <f t="shared" si="7"/>
        <v>2</v>
      </c>
      <c r="L69" s="9">
        <f t="shared" si="8"/>
        <v>0</v>
      </c>
      <c r="M69" s="36">
        <f t="shared" si="9"/>
        <v>30.686200000000003</v>
      </c>
      <c r="N69" s="23" t="str">
        <f>IF('Online Results'!T71="", "", 'Online Results'!T71)</f>
        <v/>
      </c>
      <c r="O69" s="22" t="str">
        <f>IF('Online Results'!U71="", "", 'Online Results'!U71)</f>
        <v/>
      </c>
      <c r="P69" s="47">
        <f t="shared" si="10"/>
        <v>38.978578333333338</v>
      </c>
      <c r="Q69" s="48">
        <f t="shared" si="11"/>
        <v>30.686200000000003</v>
      </c>
      <c r="R69" s="46" t="e">
        <f t="shared" si="12"/>
        <v>#VALUE!</v>
      </c>
      <c r="S69" s="13">
        <f>SUM(VLOOKUP(C69, Teams!A:B, 2, FALSE), VLOOKUP(D69, Teams!A:B, 2, FALSE), VLOOKUP(E69, Teams!A:B, 2, FALSE))</f>
        <v>38.978578333333338</v>
      </c>
      <c r="T69" s="11">
        <f>SUM(VLOOKUP(F69, Teams!A:B, 2, FALSE), VLOOKUP(G69, Teams!A:B, 2, FALSE), VLOOKUP(H69, Teams!A:B, 2, FALSE))</f>
        <v>30.686200000000003</v>
      </c>
      <c r="U69" s="46" t="e">
        <f>R69*SUM(S69, T69)/SUM(AVERAGE($S$2:$S69), AVERAGE($T$2:$T69))</f>
        <v>#VALUE!</v>
      </c>
      <c r="V69" s="46" t="e">
        <f>AVERAGE($R$2:$R69)</f>
        <v>#VALUE!</v>
      </c>
      <c r="W69" s="46" t="e">
        <f>AVERAGE($U$2:$U69)</f>
        <v>#VALUE!</v>
      </c>
      <c r="X69" s="4">
        <f t="shared" si="13"/>
        <v>1</v>
      </c>
      <c r="Y69" s="46">
        <f>AVERAGE($X$2:$X69)*0.5</f>
        <v>0.46323529411764708</v>
      </c>
    </row>
    <row r="70" spans="1:25">
      <c r="A70" s="3">
        <f>'Online Results'!L72</f>
        <v>0.4291666666666667</v>
      </c>
      <c r="B70" s="18">
        <f>'Online Results'!M72</f>
        <v>69</v>
      </c>
      <c r="C70" s="20">
        <f>'Online Results'!N72</f>
        <v>120</v>
      </c>
      <c r="D70" s="20">
        <f>'Online Results'!O72</f>
        <v>2102</v>
      </c>
      <c r="E70" s="20">
        <f>'Online Results'!P72</f>
        <v>2591</v>
      </c>
      <c r="F70" s="19">
        <f>'Online Results'!Q72</f>
        <v>4265</v>
      </c>
      <c r="G70" s="19">
        <f>'Online Results'!R72</f>
        <v>2522</v>
      </c>
      <c r="H70" s="19">
        <f>'Online Results'!S72</f>
        <v>3205</v>
      </c>
      <c r="I70" s="42">
        <f>SUM(VLOOKUP(C70, Teams!A:B, 2, FALSE), VLOOKUP(D70, Teams!A:B, 2, FALSE), VLOOKUP(E70, Teams!A:B, 2, FALSE))</f>
        <v>19.884229999999999</v>
      </c>
      <c r="J70" s="44">
        <f>SUM(VLOOKUP(F70, Teams!A:B, 2, FALSE), VLOOKUP(G70, Teams!A:B, 2, FALSE), VLOOKUP(H70, Teams!A:B, 2, FALSE))</f>
        <v>42.746679999999998</v>
      </c>
      <c r="K70" s="7">
        <f t="shared" si="7"/>
        <v>0</v>
      </c>
      <c r="L70" s="9">
        <f t="shared" si="8"/>
        <v>2</v>
      </c>
      <c r="M70" s="36">
        <f t="shared" si="9"/>
        <v>19.884229999999999</v>
      </c>
      <c r="N70" s="23" t="str">
        <f>IF('Online Results'!T72="", "", 'Online Results'!T72)</f>
        <v/>
      </c>
      <c r="O70" s="22" t="str">
        <f>IF('Online Results'!U72="", "", 'Online Results'!U72)</f>
        <v/>
      </c>
      <c r="P70" s="47">
        <f t="shared" si="10"/>
        <v>19.884229999999999</v>
      </c>
      <c r="Q70" s="48">
        <f t="shared" si="11"/>
        <v>42.746679999999998</v>
      </c>
      <c r="R70" s="46" t="e">
        <f t="shared" si="12"/>
        <v>#VALUE!</v>
      </c>
      <c r="S70" s="13">
        <f>SUM(VLOOKUP(C70, Teams!A:B, 2, FALSE), VLOOKUP(D70, Teams!A:B, 2, FALSE), VLOOKUP(E70, Teams!A:B, 2, FALSE))</f>
        <v>19.884229999999999</v>
      </c>
      <c r="T70" s="11">
        <f>SUM(VLOOKUP(F70, Teams!A:B, 2, FALSE), VLOOKUP(G70, Teams!A:B, 2, FALSE), VLOOKUP(H70, Teams!A:B, 2, FALSE))</f>
        <v>42.746679999999998</v>
      </c>
      <c r="U70" s="46" t="e">
        <f>R70*SUM(S70, T70)/SUM(AVERAGE($S$2:$S70), AVERAGE($T$2:$T70))</f>
        <v>#VALUE!</v>
      </c>
      <c r="V70" s="46" t="e">
        <f>AVERAGE($R$2:$R70)</f>
        <v>#VALUE!</v>
      </c>
      <c r="W70" s="46" t="e">
        <f>AVERAGE($U$2:$U70)</f>
        <v>#VALUE!</v>
      </c>
      <c r="X70" s="4">
        <f t="shared" si="13"/>
        <v>2</v>
      </c>
      <c r="Y70" s="46">
        <f>AVERAGE($X$2:$X70)*0.5</f>
        <v>0.47101449275362317</v>
      </c>
    </row>
    <row r="71" spans="1:25">
      <c r="A71" s="3">
        <f>'Online Results'!L73</f>
        <v>0.43333333333333335</v>
      </c>
      <c r="B71" s="18">
        <f>'Online Results'!M73</f>
        <v>70</v>
      </c>
      <c r="C71" s="20">
        <f>'Online Results'!N73</f>
        <v>461</v>
      </c>
      <c r="D71" s="20">
        <f>'Online Results'!O73</f>
        <v>3132</v>
      </c>
      <c r="E71" s="20">
        <f>'Online Results'!P73</f>
        <v>3940</v>
      </c>
      <c r="F71" s="19">
        <f>'Online Results'!Q73</f>
        <v>4161</v>
      </c>
      <c r="G71" s="19">
        <f>'Online Results'!R73</f>
        <v>244</v>
      </c>
      <c r="H71" s="19">
        <f>'Online Results'!S73</f>
        <v>178</v>
      </c>
      <c r="I71" s="42">
        <f>SUM(VLOOKUP(C71, Teams!A:B, 2, FALSE), VLOOKUP(D71, Teams!A:B, 2, FALSE), VLOOKUP(E71, Teams!A:B, 2, FALSE))</f>
        <v>27.444269999999996</v>
      </c>
      <c r="J71" s="44">
        <f>SUM(VLOOKUP(F71, Teams!A:B, 2, FALSE), VLOOKUP(G71, Teams!A:B, 2, FALSE), VLOOKUP(H71, Teams!A:B, 2, FALSE))</f>
        <v>16.480106000000003</v>
      </c>
      <c r="K71" s="7">
        <f t="shared" si="7"/>
        <v>2</v>
      </c>
      <c r="L71" s="9">
        <f t="shared" si="8"/>
        <v>0</v>
      </c>
      <c r="M71" s="36">
        <f t="shared" si="9"/>
        <v>16.480106000000003</v>
      </c>
      <c r="N71" s="23" t="str">
        <f>IF('Online Results'!T73="", "", 'Online Results'!T73)</f>
        <v/>
      </c>
      <c r="O71" s="22" t="str">
        <f>IF('Online Results'!U73="", "", 'Online Results'!U73)</f>
        <v/>
      </c>
      <c r="P71" s="47">
        <f t="shared" si="10"/>
        <v>27.444269999999996</v>
      </c>
      <c r="Q71" s="48">
        <f t="shared" si="11"/>
        <v>16.480106000000003</v>
      </c>
      <c r="R71" s="46" t="e">
        <f t="shared" si="12"/>
        <v>#VALUE!</v>
      </c>
      <c r="S71" s="13">
        <f>SUM(VLOOKUP(C71, Teams!A:B, 2, FALSE), VLOOKUP(D71, Teams!A:B, 2, FALSE), VLOOKUP(E71, Teams!A:B, 2, FALSE))</f>
        <v>27.444269999999996</v>
      </c>
      <c r="T71" s="11">
        <f>SUM(VLOOKUP(F71, Teams!A:B, 2, FALSE), VLOOKUP(G71, Teams!A:B, 2, FALSE), VLOOKUP(H71, Teams!A:B, 2, FALSE))</f>
        <v>16.480106000000003</v>
      </c>
      <c r="U71" s="46" t="e">
        <f>R71*SUM(S71, T71)/SUM(AVERAGE($S$2:$S71), AVERAGE($T$2:$T71))</f>
        <v>#VALUE!</v>
      </c>
      <c r="V71" s="46" t="e">
        <f>AVERAGE($R$2:$R71)</f>
        <v>#VALUE!</v>
      </c>
      <c r="W71" s="46" t="e">
        <f>AVERAGE($U$2:$U71)</f>
        <v>#VALUE!</v>
      </c>
      <c r="X71" s="4">
        <f t="shared" si="13"/>
        <v>1</v>
      </c>
      <c r="Y71" s="46">
        <f>AVERAGE($X$2:$X71)*0.5</f>
        <v>0.47142857142857142</v>
      </c>
    </row>
    <row r="72" spans="1:25">
      <c r="A72" s="3">
        <f>'Online Results'!L74</f>
        <v>0.4375</v>
      </c>
      <c r="B72" s="18">
        <f>'Online Results'!M74</f>
        <v>71</v>
      </c>
      <c r="C72" s="20">
        <f>'Online Results'!N74</f>
        <v>1501</v>
      </c>
      <c r="D72" s="20">
        <f>'Online Results'!O74</f>
        <v>1143</v>
      </c>
      <c r="E72" s="20">
        <f>'Online Results'!P74</f>
        <v>2881</v>
      </c>
      <c r="F72" s="19">
        <f>'Online Results'!Q74</f>
        <v>51</v>
      </c>
      <c r="G72" s="19">
        <f>'Online Results'!R74</f>
        <v>537</v>
      </c>
      <c r="H72" s="19">
        <f>'Online Results'!S74</f>
        <v>4269</v>
      </c>
      <c r="I72" s="42">
        <f>SUM(VLOOKUP(C72, Teams!A:B, 2, FALSE), VLOOKUP(D72, Teams!A:B, 2, FALSE), VLOOKUP(E72, Teams!A:B, 2, FALSE))</f>
        <v>32.279780000000002</v>
      </c>
      <c r="J72" s="44">
        <f>SUM(VLOOKUP(F72, Teams!A:B, 2, FALSE), VLOOKUP(G72, Teams!A:B, 2, FALSE), VLOOKUP(H72, Teams!A:B, 2, FALSE))</f>
        <v>39.146303333333336</v>
      </c>
      <c r="K72" s="7">
        <f t="shared" si="7"/>
        <v>0</v>
      </c>
      <c r="L72" s="9">
        <f t="shared" si="8"/>
        <v>2</v>
      </c>
      <c r="M72" s="36">
        <f t="shared" si="9"/>
        <v>32.279780000000002</v>
      </c>
      <c r="N72" s="23" t="str">
        <f>IF('Online Results'!T74="", "", 'Online Results'!T74)</f>
        <v/>
      </c>
      <c r="O72" s="22" t="str">
        <f>IF('Online Results'!U74="", "", 'Online Results'!U74)</f>
        <v/>
      </c>
      <c r="P72" s="47">
        <f t="shared" si="10"/>
        <v>32.279780000000002</v>
      </c>
      <c r="Q72" s="48">
        <f t="shared" si="11"/>
        <v>39.146303333333336</v>
      </c>
      <c r="R72" s="46" t="e">
        <f t="shared" si="12"/>
        <v>#VALUE!</v>
      </c>
      <c r="S72" s="13">
        <f>SUM(VLOOKUP(C72, Teams!A:B, 2, FALSE), VLOOKUP(D72, Teams!A:B, 2, FALSE), VLOOKUP(E72, Teams!A:B, 2, FALSE))</f>
        <v>32.279780000000002</v>
      </c>
      <c r="T72" s="11">
        <f>SUM(VLOOKUP(F72, Teams!A:B, 2, FALSE), VLOOKUP(G72, Teams!A:B, 2, FALSE), VLOOKUP(H72, Teams!A:B, 2, FALSE))</f>
        <v>39.146303333333336</v>
      </c>
      <c r="U72" s="46" t="e">
        <f>R72*SUM(S72, T72)/SUM(AVERAGE($S$2:$S72), AVERAGE($T$2:$T72))</f>
        <v>#VALUE!</v>
      </c>
      <c r="V72" s="46" t="e">
        <f>AVERAGE($R$2:$R72)</f>
        <v>#VALUE!</v>
      </c>
      <c r="W72" s="46" t="e">
        <f>AVERAGE($U$2:$U72)</f>
        <v>#VALUE!</v>
      </c>
      <c r="X72" s="4">
        <f t="shared" si="13"/>
        <v>2</v>
      </c>
      <c r="Y72" s="46">
        <f>AVERAGE($X$2:$X72)*0.5</f>
        <v>0.47887323943661969</v>
      </c>
    </row>
    <row r="73" spans="1:25">
      <c r="A73" s="3">
        <f>'Online Results'!L75</f>
        <v>0.44166666666666665</v>
      </c>
      <c r="B73" s="18">
        <f>'Online Results'!M75</f>
        <v>72</v>
      </c>
      <c r="C73" s="20">
        <f>'Online Results'!N75</f>
        <v>3970</v>
      </c>
      <c r="D73" s="20">
        <f>'Online Results'!O75</f>
        <v>2914</v>
      </c>
      <c r="E73" s="20">
        <f>'Online Results'!P75</f>
        <v>1511</v>
      </c>
      <c r="F73" s="19">
        <f>'Online Results'!Q75</f>
        <v>3951</v>
      </c>
      <c r="G73" s="19">
        <f>'Online Results'!R75</f>
        <v>4203</v>
      </c>
      <c r="H73" s="19">
        <f>'Online Results'!S75</f>
        <v>207</v>
      </c>
      <c r="I73" s="42">
        <f>SUM(VLOOKUP(C73, Teams!A:B, 2, FALSE), VLOOKUP(D73, Teams!A:B, 2, FALSE), VLOOKUP(E73, Teams!A:B, 2, FALSE))</f>
        <v>34.616374999999998</v>
      </c>
      <c r="J73" s="44">
        <f>SUM(VLOOKUP(F73, Teams!A:B, 2, FALSE), VLOOKUP(G73, Teams!A:B, 2, FALSE), VLOOKUP(H73, Teams!A:B, 2, FALSE))</f>
        <v>20.411430000000003</v>
      </c>
      <c r="K73" s="7">
        <f t="shared" si="7"/>
        <v>2</v>
      </c>
      <c r="L73" s="9">
        <f t="shared" si="8"/>
        <v>0</v>
      </c>
      <c r="M73" s="36">
        <f t="shared" si="9"/>
        <v>20.411430000000003</v>
      </c>
      <c r="N73" s="23" t="str">
        <f>IF('Online Results'!T75="", "", 'Online Results'!T75)</f>
        <v/>
      </c>
      <c r="O73" s="22" t="str">
        <f>IF('Online Results'!U75="", "", 'Online Results'!U75)</f>
        <v/>
      </c>
      <c r="P73" s="47">
        <f t="shared" si="10"/>
        <v>34.616374999999998</v>
      </c>
      <c r="Q73" s="48">
        <f t="shared" si="11"/>
        <v>20.411430000000003</v>
      </c>
      <c r="R73" s="46" t="e">
        <f t="shared" si="12"/>
        <v>#VALUE!</v>
      </c>
      <c r="S73" s="13">
        <f>SUM(VLOOKUP(C73, Teams!A:B, 2, FALSE), VLOOKUP(D73, Teams!A:B, 2, FALSE), VLOOKUP(E73, Teams!A:B, 2, FALSE))</f>
        <v>34.616374999999998</v>
      </c>
      <c r="T73" s="11">
        <f>SUM(VLOOKUP(F73, Teams!A:B, 2, FALSE), VLOOKUP(G73, Teams!A:B, 2, FALSE), VLOOKUP(H73, Teams!A:B, 2, FALSE))</f>
        <v>20.411430000000003</v>
      </c>
      <c r="U73" s="46" t="e">
        <f>R73*SUM(S73, T73)/SUM(AVERAGE($S$2:$S73), AVERAGE($T$2:$T73))</f>
        <v>#VALUE!</v>
      </c>
      <c r="V73" s="46" t="e">
        <f>AVERAGE($R$2:$R73)</f>
        <v>#VALUE!</v>
      </c>
      <c r="W73" s="46" t="e">
        <f>AVERAGE($U$2:$U73)</f>
        <v>#VALUE!</v>
      </c>
      <c r="X73" s="4">
        <f t="shared" si="13"/>
        <v>1</v>
      </c>
      <c r="Y73" s="46">
        <f>AVERAGE($X$2:$X73)*0.5</f>
        <v>0.47916666666666669</v>
      </c>
    </row>
    <row r="74" spans="1:25">
      <c r="A74" s="3">
        <f>'Online Results'!L76</f>
        <v>0.4458333333333333</v>
      </c>
      <c r="B74" s="18">
        <f>'Online Results'!M76</f>
        <v>73</v>
      </c>
      <c r="C74" s="20">
        <f>'Online Results'!N76</f>
        <v>1764</v>
      </c>
      <c r="D74" s="20">
        <f>'Online Results'!O76</f>
        <v>1649</v>
      </c>
      <c r="E74" s="20">
        <f>'Online Results'!P76</f>
        <v>4253</v>
      </c>
      <c r="F74" s="19">
        <f>'Online Results'!Q76</f>
        <v>3950</v>
      </c>
      <c r="G74" s="19">
        <f>'Online Results'!R76</f>
        <v>2130</v>
      </c>
      <c r="H74" s="19">
        <f>'Online Results'!S76</f>
        <v>3528</v>
      </c>
      <c r="I74" s="42">
        <f>SUM(VLOOKUP(C74, Teams!A:B, 2, FALSE), VLOOKUP(D74, Teams!A:B, 2, FALSE), VLOOKUP(E74, Teams!A:B, 2, FALSE))</f>
        <v>14.862915000000001</v>
      </c>
      <c r="J74" s="44">
        <f>SUM(VLOOKUP(F74, Teams!A:B, 2, FALSE), VLOOKUP(G74, Teams!A:B, 2, FALSE), VLOOKUP(H74, Teams!A:B, 2, FALSE))</f>
        <v>34.458240000000004</v>
      </c>
      <c r="K74" s="7">
        <f t="shared" si="7"/>
        <v>0</v>
      </c>
      <c r="L74" s="9">
        <f t="shared" si="8"/>
        <v>2</v>
      </c>
      <c r="M74" s="36">
        <f t="shared" si="9"/>
        <v>14.862915000000001</v>
      </c>
      <c r="N74" s="23" t="str">
        <f>IF('Online Results'!T76="", "", 'Online Results'!T76)</f>
        <v/>
      </c>
      <c r="O74" s="22" t="str">
        <f>IF('Online Results'!U76="", "", 'Online Results'!U76)</f>
        <v/>
      </c>
      <c r="P74" s="47">
        <f t="shared" si="10"/>
        <v>14.862915000000001</v>
      </c>
      <c r="Q74" s="48">
        <f t="shared" si="11"/>
        <v>34.458240000000004</v>
      </c>
      <c r="R74" s="46" t="e">
        <f t="shared" si="12"/>
        <v>#VALUE!</v>
      </c>
      <c r="S74" s="13">
        <f>SUM(VLOOKUP(C74, Teams!A:B, 2, FALSE), VLOOKUP(D74, Teams!A:B, 2, FALSE), VLOOKUP(E74, Teams!A:B, 2, FALSE))</f>
        <v>14.862915000000001</v>
      </c>
      <c r="T74" s="11">
        <f>SUM(VLOOKUP(F74, Teams!A:B, 2, FALSE), VLOOKUP(G74, Teams!A:B, 2, FALSE), VLOOKUP(H74, Teams!A:B, 2, FALSE))</f>
        <v>34.458240000000004</v>
      </c>
      <c r="U74" s="46" t="e">
        <f>R74*SUM(S74, T74)/SUM(AVERAGE($S$2:$S74), AVERAGE($T$2:$T74))</f>
        <v>#VALUE!</v>
      </c>
      <c r="V74" s="46" t="e">
        <f>AVERAGE($R$2:$R74)</f>
        <v>#VALUE!</v>
      </c>
      <c r="W74" s="46" t="e">
        <f>AVERAGE($U$2:$U74)</f>
        <v>#VALUE!</v>
      </c>
      <c r="X74" s="4">
        <f t="shared" si="13"/>
        <v>2</v>
      </c>
      <c r="Y74" s="46">
        <f>AVERAGE($X$2:$X74)*0.5</f>
        <v>0.4863013698630137</v>
      </c>
    </row>
    <row r="75" spans="1:25">
      <c r="A75" s="3">
        <f>'Online Results'!L77</f>
        <v>0.45</v>
      </c>
      <c r="B75" s="18">
        <f>'Online Results'!M77</f>
        <v>74</v>
      </c>
      <c r="C75" s="20">
        <f>'Online Results'!N77</f>
        <v>2960</v>
      </c>
      <c r="D75" s="20">
        <f>'Online Results'!O77</f>
        <v>1319</v>
      </c>
      <c r="E75" s="20">
        <f>'Online Results'!P77</f>
        <v>3419</v>
      </c>
      <c r="F75" s="19">
        <f>'Online Results'!Q77</f>
        <v>564</v>
      </c>
      <c r="G75" s="19">
        <f>'Online Results'!R77</f>
        <v>597</v>
      </c>
      <c r="H75" s="19">
        <f>'Online Results'!S77</f>
        <v>1912</v>
      </c>
      <c r="I75" s="42">
        <f>SUM(VLOOKUP(C75, Teams!A:B, 2, FALSE), VLOOKUP(D75, Teams!A:B, 2, FALSE), VLOOKUP(E75, Teams!A:B, 2, FALSE))</f>
        <v>34.798263333333331</v>
      </c>
      <c r="J75" s="44">
        <f>SUM(VLOOKUP(F75, Teams!A:B, 2, FALSE), VLOOKUP(G75, Teams!A:B, 2, FALSE), VLOOKUP(H75, Teams!A:B, 2, FALSE))</f>
        <v>23.788309999999996</v>
      </c>
      <c r="K75" s="7">
        <f t="shared" si="7"/>
        <v>2</v>
      </c>
      <c r="L75" s="9">
        <f t="shared" si="8"/>
        <v>0</v>
      </c>
      <c r="M75" s="36">
        <f t="shared" si="9"/>
        <v>23.788309999999996</v>
      </c>
      <c r="N75" s="23" t="str">
        <f>IF('Online Results'!T77="", "", 'Online Results'!T77)</f>
        <v/>
      </c>
      <c r="O75" s="22" t="str">
        <f>IF('Online Results'!U77="", "", 'Online Results'!U77)</f>
        <v/>
      </c>
      <c r="P75" s="47">
        <f t="shared" si="10"/>
        <v>34.798263333333331</v>
      </c>
      <c r="Q75" s="48">
        <f t="shared" si="11"/>
        <v>23.788309999999996</v>
      </c>
      <c r="R75" s="46" t="e">
        <f t="shared" si="12"/>
        <v>#VALUE!</v>
      </c>
      <c r="S75" s="13">
        <f>SUM(VLOOKUP(C75, Teams!A:B, 2, FALSE), VLOOKUP(D75, Teams!A:B, 2, FALSE), VLOOKUP(E75, Teams!A:B, 2, FALSE))</f>
        <v>34.798263333333331</v>
      </c>
      <c r="T75" s="11">
        <f>SUM(VLOOKUP(F75, Teams!A:B, 2, FALSE), VLOOKUP(G75, Teams!A:B, 2, FALSE), VLOOKUP(H75, Teams!A:B, 2, FALSE))</f>
        <v>23.788309999999996</v>
      </c>
      <c r="U75" s="46" t="e">
        <f>R75*SUM(S75, T75)/SUM(AVERAGE($S$2:$S75), AVERAGE($T$2:$T75))</f>
        <v>#VALUE!</v>
      </c>
      <c r="V75" s="46" t="e">
        <f>AVERAGE($R$2:$R75)</f>
        <v>#VALUE!</v>
      </c>
      <c r="W75" s="46" t="e">
        <f>AVERAGE($U$2:$U75)</f>
        <v>#VALUE!</v>
      </c>
      <c r="X75" s="4">
        <f t="shared" si="13"/>
        <v>1</v>
      </c>
      <c r="Y75" s="46">
        <f>AVERAGE($X$2:$X75)*0.5</f>
        <v>0.48648648648648651</v>
      </c>
    </row>
    <row r="76" spans="1:25">
      <c r="A76" s="3">
        <f>'Online Results'!L78</f>
        <v>0.45416666666666666</v>
      </c>
      <c r="B76" s="18">
        <f>'Online Results'!M78</f>
        <v>75</v>
      </c>
      <c r="C76" s="20">
        <f>'Online Results'!N78</f>
        <v>2164</v>
      </c>
      <c r="D76" s="20">
        <f>'Online Results'!O78</f>
        <v>1683</v>
      </c>
      <c r="E76" s="20">
        <f>'Online Results'!P78</f>
        <v>3288</v>
      </c>
      <c r="F76" s="19">
        <f>'Online Results'!Q78</f>
        <v>3936</v>
      </c>
      <c r="G76" s="19">
        <f>'Online Results'!R78</f>
        <v>987</v>
      </c>
      <c r="H76" s="19">
        <f>'Online Results'!S78</f>
        <v>3115</v>
      </c>
      <c r="I76" s="42">
        <f>SUM(VLOOKUP(C76, Teams!A:B, 2, FALSE), VLOOKUP(D76, Teams!A:B, 2, FALSE), VLOOKUP(E76, Teams!A:B, 2, FALSE))</f>
        <v>25.833092999999998</v>
      </c>
      <c r="J76" s="44">
        <f>SUM(VLOOKUP(F76, Teams!A:B, 2, FALSE), VLOOKUP(G76, Teams!A:B, 2, FALSE), VLOOKUP(H76, Teams!A:B, 2, FALSE))</f>
        <v>42.235101</v>
      </c>
      <c r="K76" s="7">
        <f t="shared" si="7"/>
        <v>0</v>
      </c>
      <c r="L76" s="9">
        <f t="shared" si="8"/>
        <v>2</v>
      </c>
      <c r="M76" s="36">
        <f t="shared" si="9"/>
        <v>25.833092999999998</v>
      </c>
      <c r="N76" s="23" t="str">
        <f>IF('Online Results'!T78="", "", 'Online Results'!T78)</f>
        <v/>
      </c>
      <c r="O76" s="22" t="str">
        <f>IF('Online Results'!U78="", "", 'Online Results'!U78)</f>
        <v/>
      </c>
      <c r="P76" s="47">
        <f t="shared" si="10"/>
        <v>25.833092999999998</v>
      </c>
      <c r="Q76" s="48">
        <f t="shared" si="11"/>
        <v>42.235101</v>
      </c>
      <c r="R76" s="46" t="e">
        <f t="shared" si="12"/>
        <v>#VALUE!</v>
      </c>
      <c r="S76" s="13">
        <f>SUM(VLOOKUP(C76, Teams!A:B, 2, FALSE), VLOOKUP(D76, Teams!A:B, 2, FALSE), VLOOKUP(E76, Teams!A:B, 2, FALSE))</f>
        <v>25.833092999999998</v>
      </c>
      <c r="T76" s="11">
        <f>SUM(VLOOKUP(F76, Teams!A:B, 2, FALSE), VLOOKUP(G76, Teams!A:B, 2, FALSE), VLOOKUP(H76, Teams!A:B, 2, FALSE))</f>
        <v>42.235101</v>
      </c>
      <c r="U76" s="46" t="e">
        <f>R76*SUM(S76, T76)/SUM(AVERAGE($S$2:$S76), AVERAGE($T$2:$T76))</f>
        <v>#VALUE!</v>
      </c>
      <c r="V76" s="46" t="e">
        <f>AVERAGE($R$2:$R76)</f>
        <v>#VALUE!</v>
      </c>
      <c r="W76" s="46" t="e">
        <f>AVERAGE($U$2:$U76)</f>
        <v>#VALUE!</v>
      </c>
      <c r="X76" s="4">
        <f t="shared" si="13"/>
        <v>2</v>
      </c>
      <c r="Y76" s="46">
        <f>AVERAGE($X$2:$X76)*0.5</f>
        <v>0.49333333333333335</v>
      </c>
    </row>
    <row r="77" spans="1:25">
      <c r="A77" s="3">
        <f>'Online Results'!L79</f>
        <v>0.45833333333333331</v>
      </c>
      <c r="B77" s="18">
        <f>'Online Results'!M79</f>
        <v>76</v>
      </c>
      <c r="C77" s="20">
        <f>'Online Results'!N79</f>
        <v>1266</v>
      </c>
      <c r="D77" s="20">
        <f>'Online Results'!O79</f>
        <v>503</v>
      </c>
      <c r="E77" s="20">
        <f>'Online Results'!P79</f>
        <v>3941</v>
      </c>
      <c r="F77" s="19">
        <f>'Online Results'!Q79</f>
        <v>293</v>
      </c>
      <c r="G77" s="19">
        <f>'Online Results'!R79</f>
        <v>3965</v>
      </c>
      <c r="H77" s="19">
        <f>'Online Results'!S79</f>
        <v>341</v>
      </c>
      <c r="I77" s="42">
        <f>SUM(VLOOKUP(C77, Teams!A:B, 2, FALSE), VLOOKUP(D77, Teams!A:B, 2, FALSE), VLOOKUP(E77, Teams!A:B, 2, FALSE))</f>
        <v>23.915900000000001</v>
      </c>
      <c r="J77" s="44">
        <f>SUM(VLOOKUP(F77, Teams!A:B, 2, FALSE), VLOOKUP(G77, Teams!A:B, 2, FALSE), VLOOKUP(H77, Teams!A:B, 2, FALSE))</f>
        <v>50.004914999999997</v>
      </c>
      <c r="K77" s="7">
        <f t="shared" si="7"/>
        <v>0</v>
      </c>
      <c r="L77" s="9">
        <f t="shared" si="8"/>
        <v>2</v>
      </c>
      <c r="M77" s="36">
        <f t="shared" si="9"/>
        <v>23.915900000000001</v>
      </c>
      <c r="N77" s="23" t="str">
        <f>IF('Online Results'!T79="", "", 'Online Results'!T79)</f>
        <v/>
      </c>
      <c r="O77" s="22" t="str">
        <f>IF('Online Results'!U79="", "", 'Online Results'!U79)</f>
        <v/>
      </c>
      <c r="P77" s="47">
        <f t="shared" si="10"/>
        <v>23.915900000000001</v>
      </c>
      <c r="Q77" s="48">
        <f t="shared" si="11"/>
        <v>50.004914999999997</v>
      </c>
      <c r="R77" s="46" t="e">
        <f t="shared" si="12"/>
        <v>#VALUE!</v>
      </c>
      <c r="S77" s="13">
        <f>SUM(VLOOKUP(C77, Teams!A:B, 2, FALSE), VLOOKUP(D77, Teams!A:B, 2, FALSE), VLOOKUP(E77, Teams!A:B, 2, FALSE))</f>
        <v>23.915900000000001</v>
      </c>
      <c r="T77" s="11">
        <f>SUM(VLOOKUP(F77, Teams!A:B, 2, FALSE), VLOOKUP(G77, Teams!A:B, 2, FALSE), VLOOKUP(H77, Teams!A:B, 2, FALSE))</f>
        <v>50.004914999999997</v>
      </c>
      <c r="U77" s="46" t="e">
        <f>R77*SUM(S77, T77)/SUM(AVERAGE($S$2:$S77), AVERAGE($T$2:$T77))</f>
        <v>#VALUE!</v>
      </c>
      <c r="V77" s="46" t="e">
        <f>AVERAGE($R$2:$R77)</f>
        <v>#VALUE!</v>
      </c>
      <c r="W77" s="46" t="e">
        <f>AVERAGE($U$2:$U77)</f>
        <v>#VALUE!</v>
      </c>
      <c r="X77" s="4">
        <f t="shared" si="13"/>
        <v>2</v>
      </c>
      <c r="Y77" s="46">
        <f>AVERAGE($X$2:$X77)*0.5</f>
        <v>0.5</v>
      </c>
    </row>
    <row r="78" spans="1:25">
      <c r="A78" s="3">
        <f>'Online Results'!L80</f>
        <v>0.46249999999999997</v>
      </c>
      <c r="B78" s="18">
        <f>'Online Results'!M80</f>
        <v>77</v>
      </c>
      <c r="C78" s="20">
        <f>'Online Results'!N80</f>
        <v>3711</v>
      </c>
      <c r="D78" s="20">
        <f>'Online Results'!O80</f>
        <v>192</v>
      </c>
      <c r="E78" s="20">
        <f>'Online Results'!P80</f>
        <v>3807</v>
      </c>
      <c r="F78" s="19">
        <f>'Online Results'!Q80</f>
        <v>3847</v>
      </c>
      <c r="G78" s="19">
        <f>'Online Results'!R80</f>
        <v>702</v>
      </c>
      <c r="H78" s="19">
        <f>'Online Results'!S80</f>
        <v>1778</v>
      </c>
      <c r="I78" s="42">
        <f>SUM(VLOOKUP(C78, Teams!A:B, 2, FALSE), VLOOKUP(D78, Teams!A:B, 2, FALSE), VLOOKUP(E78, Teams!A:B, 2, FALSE))</f>
        <v>23.376505000000002</v>
      </c>
      <c r="J78" s="44">
        <f>SUM(VLOOKUP(F78, Teams!A:B, 2, FALSE), VLOOKUP(G78, Teams!A:B, 2, FALSE), VLOOKUP(H78, Teams!A:B, 2, FALSE))</f>
        <v>21.363094999999998</v>
      </c>
      <c r="K78" s="7">
        <f t="shared" si="7"/>
        <v>2</v>
      </c>
      <c r="L78" s="9">
        <f t="shared" si="8"/>
        <v>0</v>
      </c>
      <c r="M78" s="36">
        <f t="shared" si="9"/>
        <v>21.363094999999998</v>
      </c>
      <c r="N78" s="23" t="str">
        <f>IF('Online Results'!T80="", "", 'Online Results'!T80)</f>
        <v/>
      </c>
      <c r="O78" s="22" t="str">
        <f>IF('Online Results'!U80="", "", 'Online Results'!U80)</f>
        <v/>
      </c>
      <c r="P78" s="47">
        <f t="shared" si="10"/>
        <v>23.376505000000002</v>
      </c>
      <c r="Q78" s="48">
        <f t="shared" si="11"/>
        <v>21.363094999999998</v>
      </c>
      <c r="R78" s="46" t="e">
        <f t="shared" si="12"/>
        <v>#VALUE!</v>
      </c>
      <c r="S78" s="13">
        <f>SUM(VLOOKUP(C78, Teams!A:B, 2, FALSE), VLOOKUP(D78, Teams!A:B, 2, FALSE), VLOOKUP(E78, Teams!A:B, 2, FALSE))</f>
        <v>23.376505000000002</v>
      </c>
      <c r="T78" s="11">
        <f>SUM(VLOOKUP(F78, Teams!A:B, 2, FALSE), VLOOKUP(G78, Teams!A:B, 2, FALSE), VLOOKUP(H78, Teams!A:B, 2, FALSE))</f>
        <v>21.363094999999998</v>
      </c>
      <c r="U78" s="46" t="e">
        <f>R78*SUM(S78, T78)/SUM(AVERAGE($S$2:$S78), AVERAGE($T$2:$T78))</f>
        <v>#VALUE!</v>
      </c>
      <c r="V78" s="46" t="e">
        <f>AVERAGE($R$2:$R78)</f>
        <v>#VALUE!</v>
      </c>
      <c r="W78" s="46" t="e">
        <f>AVERAGE($U$2:$U78)</f>
        <v>#VALUE!</v>
      </c>
      <c r="X78" s="4">
        <f t="shared" si="13"/>
        <v>1</v>
      </c>
      <c r="Y78" s="46">
        <f>AVERAGE($X$2:$X78)*0.5</f>
        <v>0.5</v>
      </c>
    </row>
    <row r="79" spans="1:25">
      <c r="A79" s="3">
        <f>'Online Results'!L81</f>
        <v>0.46666666666666662</v>
      </c>
      <c r="B79" s="18">
        <f>'Online Results'!M81</f>
        <v>78</v>
      </c>
      <c r="C79" s="20">
        <f>'Online Results'!N81</f>
        <v>2757</v>
      </c>
      <c r="D79" s="20">
        <f>'Online Results'!O81</f>
        <v>1033</v>
      </c>
      <c r="E79" s="20">
        <f>'Online Results'!P81</f>
        <v>2626</v>
      </c>
      <c r="F79" s="19">
        <f>'Online Results'!Q81</f>
        <v>4226</v>
      </c>
      <c r="G79" s="19">
        <f>'Online Results'!R81</f>
        <v>1817</v>
      </c>
      <c r="H79" s="19">
        <f>'Online Results'!S81</f>
        <v>2474</v>
      </c>
      <c r="I79" s="42">
        <f>SUM(VLOOKUP(C79, Teams!A:B, 2, FALSE), VLOOKUP(D79, Teams!A:B, 2, FALSE), VLOOKUP(E79, Teams!A:B, 2, FALSE))</f>
        <v>18.295950000000001</v>
      </c>
      <c r="J79" s="44">
        <f>SUM(VLOOKUP(F79, Teams!A:B, 2, FALSE), VLOOKUP(G79, Teams!A:B, 2, FALSE), VLOOKUP(H79, Teams!A:B, 2, FALSE))</f>
        <v>37.507745</v>
      </c>
      <c r="K79" s="7">
        <f t="shared" si="7"/>
        <v>0</v>
      </c>
      <c r="L79" s="9">
        <f t="shared" si="8"/>
        <v>2</v>
      </c>
      <c r="M79" s="36">
        <f t="shared" si="9"/>
        <v>18.295950000000001</v>
      </c>
      <c r="N79" s="23" t="str">
        <f>IF('Online Results'!T81="", "", 'Online Results'!T81)</f>
        <v/>
      </c>
      <c r="O79" s="22" t="str">
        <f>IF('Online Results'!U81="", "", 'Online Results'!U81)</f>
        <v/>
      </c>
      <c r="P79" s="47">
        <f t="shared" si="10"/>
        <v>18.295950000000001</v>
      </c>
      <c r="Q79" s="48">
        <f t="shared" si="11"/>
        <v>37.507745</v>
      </c>
      <c r="R79" s="46" t="e">
        <f t="shared" si="12"/>
        <v>#VALUE!</v>
      </c>
      <c r="S79" s="13">
        <f>SUM(VLOOKUP(C79, Teams!A:B, 2, FALSE), VLOOKUP(D79, Teams!A:B, 2, FALSE), VLOOKUP(E79, Teams!A:B, 2, FALSE))</f>
        <v>18.295950000000001</v>
      </c>
      <c r="T79" s="11">
        <f>SUM(VLOOKUP(F79, Teams!A:B, 2, FALSE), VLOOKUP(G79, Teams!A:B, 2, FALSE), VLOOKUP(H79, Teams!A:B, 2, FALSE))</f>
        <v>37.507745</v>
      </c>
      <c r="U79" s="46" t="e">
        <f>R79*SUM(S79, T79)/SUM(AVERAGE($S$2:$S79), AVERAGE($T$2:$T79))</f>
        <v>#VALUE!</v>
      </c>
      <c r="V79" s="46" t="e">
        <f>AVERAGE($R$2:$R79)</f>
        <v>#VALUE!</v>
      </c>
      <c r="W79" s="46" t="e">
        <f>AVERAGE($U$2:$U79)</f>
        <v>#VALUE!</v>
      </c>
      <c r="X79" s="4">
        <f t="shared" si="13"/>
        <v>2</v>
      </c>
      <c r="Y79" s="46">
        <f>AVERAGE($X$2:$X79)*0.5</f>
        <v>0.50641025641025639</v>
      </c>
    </row>
    <row r="80" spans="1:25">
      <c r="A80" s="3">
        <f>'Online Results'!L82</f>
        <v>0.47083333333333338</v>
      </c>
      <c r="B80" s="18">
        <f>'Online Results'!M82</f>
        <v>79</v>
      </c>
      <c r="C80" s="20">
        <f>'Online Results'!N82</f>
        <v>27</v>
      </c>
      <c r="D80" s="20">
        <f>'Online Results'!O82</f>
        <v>706</v>
      </c>
      <c r="E80" s="20">
        <f>'Online Results'!P82</f>
        <v>3098</v>
      </c>
      <c r="F80" s="19">
        <f>'Online Results'!Q82</f>
        <v>694</v>
      </c>
      <c r="G80" s="19">
        <f>'Online Results'!R82</f>
        <v>254</v>
      </c>
      <c r="H80" s="19">
        <f>'Online Results'!S82</f>
        <v>1391</v>
      </c>
      <c r="I80" s="42">
        <f>SUM(VLOOKUP(C80, Teams!A:B, 2, FALSE), VLOOKUP(D80, Teams!A:B, 2, FALSE), VLOOKUP(E80, Teams!A:B, 2, FALSE))</f>
        <v>48.557038333333338</v>
      </c>
      <c r="J80" s="44">
        <f>SUM(VLOOKUP(F80, Teams!A:B, 2, FALSE), VLOOKUP(G80, Teams!A:B, 2, FALSE), VLOOKUP(H80, Teams!A:B, 2, FALSE))</f>
        <v>56.119099999999996</v>
      </c>
      <c r="K80" s="7">
        <f t="shared" si="7"/>
        <v>0</v>
      </c>
      <c r="L80" s="9">
        <f t="shared" si="8"/>
        <v>2</v>
      </c>
      <c r="M80" s="36">
        <f t="shared" si="9"/>
        <v>48.557038333333338</v>
      </c>
      <c r="N80" s="23" t="str">
        <f>IF('Online Results'!T82="", "", 'Online Results'!T82)</f>
        <v/>
      </c>
      <c r="O80" s="22" t="str">
        <f>IF('Online Results'!U82="", "", 'Online Results'!U82)</f>
        <v/>
      </c>
      <c r="P80" s="47">
        <f t="shared" si="10"/>
        <v>48.557038333333338</v>
      </c>
      <c r="Q80" s="48">
        <f t="shared" si="11"/>
        <v>56.119099999999996</v>
      </c>
      <c r="R80" s="46" t="e">
        <f t="shared" si="12"/>
        <v>#VALUE!</v>
      </c>
      <c r="S80" s="13">
        <f>SUM(VLOOKUP(C80, Teams!A:B, 2, FALSE), VLOOKUP(D80, Teams!A:B, 2, FALSE), VLOOKUP(E80, Teams!A:B, 2, FALSE))</f>
        <v>48.557038333333338</v>
      </c>
      <c r="T80" s="11">
        <f>SUM(VLOOKUP(F80, Teams!A:B, 2, FALSE), VLOOKUP(G80, Teams!A:B, 2, FALSE), VLOOKUP(H80, Teams!A:B, 2, FALSE))</f>
        <v>56.119099999999996</v>
      </c>
      <c r="U80" s="46" t="e">
        <f>R80*SUM(S80, T80)/SUM(AVERAGE($S$2:$S80), AVERAGE($T$2:$T80))</f>
        <v>#VALUE!</v>
      </c>
      <c r="V80" s="46" t="e">
        <f>AVERAGE($R$2:$R80)</f>
        <v>#VALUE!</v>
      </c>
      <c r="W80" s="46" t="e">
        <f>AVERAGE($U$2:$U80)</f>
        <v>#VALUE!</v>
      </c>
      <c r="X80" s="4">
        <f t="shared" si="13"/>
        <v>2</v>
      </c>
      <c r="Y80" s="46">
        <f>AVERAGE($X$2:$X80)*0.5</f>
        <v>0.51265822784810122</v>
      </c>
    </row>
    <row r="81" spans="1:25">
      <c r="A81" s="3">
        <f>'Online Results'!L83</f>
        <v>0.47500000000000003</v>
      </c>
      <c r="B81" s="18">
        <f>'Online Results'!M83</f>
        <v>80</v>
      </c>
      <c r="C81" s="20">
        <f>'Online Results'!N83</f>
        <v>2180</v>
      </c>
      <c r="D81" s="20">
        <f>'Online Results'!O83</f>
        <v>4130</v>
      </c>
      <c r="E81" s="20">
        <f>'Online Results'!P83</f>
        <v>836</v>
      </c>
      <c r="F81" s="19">
        <f>'Online Results'!Q83</f>
        <v>3929</v>
      </c>
      <c r="G81" s="19">
        <f>'Online Results'!R83</f>
        <v>1690</v>
      </c>
      <c r="H81" s="19">
        <f>'Online Results'!S83</f>
        <v>525</v>
      </c>
      <c r="I81" s="42">
        <f>SUM(VLOOKUP(C81, Teams!A:B, 2, FALSE), VLOOKUP(D81, Teams!A:B, 2, FALSE), VLOOKUP(E81, Teams!A:B, 2, FALSE))</f>
        <v>40.247500000000002</v>
      </c>
      <c r="J81" s="44">
        <f>SUM(VLOOKUP(F81, Teams!A:B, 2, FALSE), VLOOKUP(G81, Teams!A:B, 2, FALSE), VLOOKUP(H81, Teams!A:B, 2, FALSE))</f>
        <v>45.078400000000002</v>
      </c>
      <c r="K81" s="7">
        <f t="shared" si="7"/>
        <v>0</v>
      </c>
      <c r="L81" s="9">
        <f t="shared" si="8"/>
        <v>2</v>
      </c>
      <c r="M81" s="36">
        <f t="shared" si="9"/>
        <v>40.247500000000002</v>
      </c>
      <c r="N81" s="23" t="str">
        <f>IF('Online Results'!T83="", "", 'Online Results'!T83)</f>
        <v/>
      </c>
      <c r="O81" s="22" t="str">
        <f>IF('Online Results'!U83="", "", 'Online Results'!U83)</f>
        <v/>
      </c>
      <c r="P81" s="47">
        <f t="shared" si="10"/>
        <v>40.247500000000002</v>
      </c>
      <c r="Q81" s="48">
        <f t="shared" si="11"/>
        <v>45.078400000000002</v>
      </c>
      <c r="R81" s="46" t="e">
        <f t="shared" si="12"/>
        <v>#VALUE!</v>
      </c>
      <c r="S81" s="13">
        <f>SUM(VLOOKUP(C81, Teams!A:B, 2, FALSE), VLOOKUP(D81, Teams!A:B, 2, FALSE), VLOOKUP(E81, Teams!A:B, 2, FALSE))</f>
        <v>40.247500000000002</v>
      </c>
      <c r="T81" s="11">
        <f>SUM(VLOOKUP(F81, Teams!A:B, 2, FALSE), VLOOKUP(G81, Teams!A:B, 2, FALSE), VLOOKUP(H81, Teams!A:B, 2, FALSE))</f>
        <v>45.078400000000002</v>
      </c>
      <c r="U81" s="46" t="e">
        <f>R81*SUM(S81, T81)/SUM(AVERAGE($S$2:$S81), AVERAGE($T$2:$T81))</f>
        <v>#VALUE!</v>
      </c>
      <c r="V81" s="46" t="e">
        <f>AVERAGE($R$2:$R81)</f>
        <v>#VALUE!</v>
      </c>
      <c r="W81" s="46" t="e">
        <f>AVERAGE($U$2:$U81)</f>
        <v>#VALUE!</v>
      </c>
      <c r="X81" s="4">
        <f t="shared" si="13"/>
        <v>2</v>
      </c>
      <c r="Y81" s="46">
        <f>AVERAGE($X$2:$X81)*0.5</f>
        <v>0.51875000000000004</v>
      </c>
    </row>
    <row r="82" spans="1:25">
      <c r="A82" s="3">
        <f>'Online Results'!L84</f>
        <v>0.47916666666666669</v>
      </c>
      <c r="B82" s="18">
        <f>'Online Results'!M84</f>
        <v>81</v>
      </c>
      <c r="C82" s="20">
        <f>'Online Results'!N84</f>
        <v>116</v>
      </c>
      <c r="D82" s="20">
        <f>'Online Results'!O84</f>
        <v>971</v>
      </c>
      <c r="E82" s="20">
        <f>'Online Results'!P84</f>
        <v>288</v>
      </c>
      <c r="F82" s="19">
        <f>'Online Results'!Q84</f>
        <v>932</v>
      </c>
      <c r="G82" s="19">
        <f>'Online Results'!R84</f>
        <v>415</v>
      </c>
      <c r="H82" s="19">
        <f>'Online Results'!S84</f>
        <v>1828</v>
      </c>
      <c r="I82" s="42">
        <f>SUM(VLOOKUP(C82, Teams!A:B, 2, FALSE), VLOOKUP(D82, Teams!A:B, 2, FALSE), VLOOKUP(E82, Teams!A:B, 2, FALSE))</f>
        <v>43.152299999999997</v>
      </c>
      <c r="J82" s="44">
        <f>SUM(VLOOKUP(F82, Teams!A:B, 2, FALSE), VLOOKUP(G82, Teams!A:B, 2, FALSE), VLOOKUP(H82, Teams!A:B, 2, FALSE))</f>
        <v>18.036839999999998</v>
      </c>
      <c r="K82" s="7">
        <f t="shared" si="7"/>
        <v>2</v>
      </c>
      <c r="L82" s="9">
        <f t="shared" si="8"/>
        <v>0</v>
      </c>
      <c r="M82" s="36">
        <f t="shared" si="9"/>
        <v>18.036839999999998</v>
      </c>
      <c r="N82" s="23" t="str">
        <f>IF('Online Results'!T84="", "", 'Online Results'!T84)</f>
        <v/>
      </c>
      <c r="O82" s="22" t="str">
        <f>IF('Online Results'!U84="", "", 'Online Results'!U84)</f>
        <v/>
      </c>
      <c r="P82" s="47">
        <f t="shared" si="10"/>
        <v>43.152299999999997</v>
      </c>
      <c r="Q82" s="48">
        <f t="shared" si="11"/>
        <v>18.036839999999998</v>
      </c>
      <c r="R82" s="46" t="e">
        <f t="shared" si="12"/>
        <v>#VALUE!</v>
      </c>
      <c r="S82" s="13">
        <f>SUM(VLOOKUP(C82, Teams!A:B, 2, FALSE), VLOOKUP(D82, Teams!A:B, 2, FALSE), VLOOKUP(E82, Teams!A:B, 2, FALSE))</f>
        <v>43.152299999999997</v>
      </c>
      <c r="T82" s="11">
        <f>SUM(VLOOKUP(F82, Teams!A:B, 2, FALSE), VLOOKUP(G82, Teams!A:B, 2, FALSE), VLOOKUP(H82, Teams!A:B, 2, FALSE))</f>
        <v>18.036839999999998</v>
      </c>
      <c r="U82" s="46" t="e">
        <f>R82*SUM(S82, T82)/SUM(AVERAGE($S$2:$S82), AVERAGE($T$2:$T82))</f>
        <v>#VALUE!</v>
      </c>
      <c r="V82" s="46" t="e">
        <f>AVERAGE($R$2:$R82)</f>
        <v>#VALUE!</v>
      </c>
      <c r="W82" s="46" t="e">
        <f>AVERAGE($U$2:$U82)</f>
        <v>#VALUE!</v>
      </c>
      <c r="X82" s="4">
        <f t="shared" si="13"/>
        <v>1</v>
      </c>
      <c r="Y82" s="46">
        <f>AVERAGE($X$2:$X82)*0.5</f>
        <v>0.51851851851851849</v>
      </c>
    </row>
    <row r="83" spans="1:25">
      <c r="A83" s="3">
        <f>'Online Results'!L85</f>
        <v>0.48333333333333334</v>
      </c>
      <c r="B83" s="18">
        <f>'Online Results'!M85</f>
        <v>82</v>
      </c>
      <c r="C83" s="20">
        <f>'Online Results'!N85</f>
        <v>78</v>
      </c>
      <c r="D83" s="20">
        <f>'Online Results'!O85</f>
        <v>433</v>
      </c>
      <c r="E83" s="20">
        <f>'Online Results'!P85</f>
        <v>1985</v>
      </c>
      <c r="F83" s="19">
        <f>'Online Results'!Q85</f>
        <v>1507</v>
      </c>
      <c r="G83" s="19">
        <f>'Online Results'!R85</f>
        <v>1678</v>
      </c>
      <c r="H83" s="19">
        <f>'Online Results'!S85</f>
        <v>830</v>
      </c>
      <c r="I83" s="42">
        <f>SUM(VLOOKUP(C83, Teams!A:B, 2, FALSE), VLOOKUP(D83, Teams!A:B, 2, FALSE), VLOOKUP(E83, Teams!A:B, 2, FALSE))</f>
        <v>37.875240000000005</v>
      </c>
      <c r="J83" s="44">
        <f>SUM(VLOOKUP(F83, Teams!A:B, 2, FALSE), VLOOKUP(G83, Teams!A:B, 2, FALSE), VLOOKUP(H83, Teams!A:B, 2, FALSE))</f>
        <v>65.615806666666657</v>
      </c>
      <c r="K83" s="7">
        <f t="shared" si="7"/>
        <v>0</v>
      </c>
      <c r="L83" s="9">
        <f t="shared" si="8"/>
        <v>2</v>
      </c>
      <c r="M83" s="36">
        <f t="shared" si="9"/>
        <v>37.875240000000005</v>
      </c>
      <c r="N83" s="23" t="str">
        <f>IF('Online Results'!T85="", "", 'Online Results'!T85)</f>
        <v/>
      </c>
      <c r="O83" s="22" t="str">
        <f>IF('Online Results'!U85="", "", 'Online Results'!U85)</f>
        <v/>
      </c>
      <c r="P83" s="47">
        <f t="shared" si="10"/>
        <v>37.875240000000005</v>
      </c>
      <c r="Q83" s="48">
        <f t="shared" si="11"/>
        <v>65.615806666666657</v>
      </c>
      <c r="R83" s="46" t="e">
        <f t="shared" si="12"/>
        <v>#VALUE!</v>
      </c>
      <c r="S83" s="13">
        <f>SUM(VLOOKUP(C83, Teams!A:B, 2, FALSE), VLOOKUP(D83, Teams!A:B, 2, FALSE), VLOOKUP(E83, Teams!A:B, 2, FALSE))</f>
        <v>37.875240000000005</v>
      </c>
      <c r="T83" s="11">
        <f>SUM(VLOOKUP(F83, Teams!A:B, 2, FALSE), VLOOKUP(G83, Teams!A:B, 2, FALSE), VLOOKUP(H83, Teams!A:B, 2, FALSE))</f>
        <v>65.615806666666657</v>
      </c>
      <c r="U83" s="46" t="e">
        <f>R83*SUM(S83, T83)/SUM(AVERAGE($S$2:$S83), AVERAGE($T$2:$T83))</f>
        <v>#VALUE!</v>
      </c>
      <c r="V83" s="46" t="e">
        <f>AVERAGE($R$2:$R83)</f>
        <v>#VALUE!</v>
      </c>
      <c r="W83" s="46" t="e">
        <f>AVERAGE($U$2:$U83)</f>
        <v>#VALUE!</v>
      </c>
      <c r="X83" s="4">
        <f t="shared" si="13"/>
        <v>2</v>
      </c>
      <c r="Y83" s="46">
        <f>AVERAGE($X$2:$X83)*0.5</f>
        <v>0.52439024390243905</v>
      </c>
    </row>
    <row r="84" spans="1:25">
      <c r="A84" s="3">
        <f>'Online Results'!L86</f>
        <v>0.54166666666666663</v>
      </c>
      <c r="B84" s="18">
        <f>'Online Results'!M86</f>
        <v>83</v>
      </c>
      <c r="C84" s="20">
        <f>'Online Results'!N86</f>
        <v>4069</v>
      </c>
      <c r="D84" s="20">
        <f>'Online Results'!O86</f>
        <v>604</v>
      </c>
      <c r="E84" s="20">
        <f>'Online Results'!P86</f>
        <v>571</v>
      </c>
      <c r="F84" s="19">
        <f>'Online Results'!Q86</f>
        <v>624</v>
      </c>
      <c r="G84" s="19">
        <f>'Online Results'!R86</f>
        <v>233</v>
      </c>
      <c r="H84" s="19">
        <f>'Online Results'!S86</f>
        <v>58</v>
      </c>
      <c r="I84" s="42">
        <f>SUM(VLOOKUP(C84, Teams!A:B, 2, FALSE), VLOOKUP(D84, Teams!A:B, 2, FALSE), VLOOKUP(E84, Teams!A:B, 2, FALSE))</f>
        <v>28.237935</v>
      </c>
      <c r="J84" s="44">
        <f>SUM(VLOOKUP(F84, Teams!A:B, 2, FALSE), VLOOKUP(G84, Teams!A:B, 2, FALSE), VLOOKUP(H84, Teams!A:B, 2, FALSE))</f>
        <v>65.606650000000002</v>
      </c>
      <c r="K84" s="7">
        <f t="shared" si="7"/>
        <v>0</v>
      </c>
      <c r="L84" s="9">
        <f t="shared" si="8"/>
        <v>2</v>
      </c>
      <c r="M84" s="36">
        <f t="shared" si="9"/>
        <v>28.237935</v>
      </c>
      <c r="N84" s="23" t="str">
        <f>IF('Online Results'!T86="", "", 'Online Results'!T86)</f>
        <v/>
      </c>
      <c r="O84" s="22" t="str">
        <f>IF('Online Results'!U86="", "", 'Online Results'!U86)</f>
        <v/>
      </c>
      <c r="P84" s="47">
        <f t="shared" si="10"/>
        <v>28.237935</v>
      </c>
      <c r="Q84" s="48">
        <f t="shared" si="11"/>
        <v>65.606650000000002</v>
      </c>
      <c r="R84" s="46" t="e">
        <f t="shared" si="12"/>
        <v>#VALUE!</v>
      </c>
      <c r="S84" s="13">
        <f>SUM(VLOOKUP(C84, Teams!A:B, 2, FALSE), VLOOKUP(D84, Teams!A:B, 2, FALSE), VLOOKUP(E84, Teams!A:B, 2, FALSE))</f>
        <v>28.237935</v>
      </c>
      <c r="T84" s="11">
        <f>SUM(VLOOKUP(F84, Teams!A:B, 2, FALSE), VLOOKUP(G84, Teams!A:B, 2, FALSE), VLOOKUP(H84, Teams!A:B, 2, FALSE))</f>
        <v>65.606650000000002</v>
      </c>
      <c r="U84" s="46" t="e">
        <f>R84*SUM(S84, T84)/SUM(AVERAGE($S$2:$S84), AVERAGE($T$2:$T84))</f>
        <v>#VALUE!</v>
      </c>
      <c r="V84" s="46" t="e">
        <f>AVERAGE($R$2:$R84)</f>
        <v>#VALUE!</v>
      </c>
      <c r="W84" s="46" t="e">
        <f>AVERAGE($U$2:$U84)</f>
        <v>#VALUE!</v>
      </c>
      <c r="X84" s="4">
        <f t="shared" si="13"/>
        <v>2</v>
      </c>
      <c r="Y84" s="46">
        <f>AVERAGE($X$2:$X84)*0.5</f>
        <v>0.53012048192771088</v>
      </c>
    </row>
    <row r="85" spans="1:25">
      <c r="A85" s="3">
        <f>'Online Results'!L87</f>
        <v>0.54652777777777783</v>
      </c>
      <c r="B85" s="18">
        <f>'Online Results'!M87</f>
        <v>84</v>
      </c>
      <c r="C85" s="20">
        <f>'Online Results'!N87</f>
        <v>1986</v>
      </c>
      <c r="D85" s="20">
        <f>'Online Results'!O87</f>
        <v>2522</v>
      </c>
      <c r="E85" s="20">
        <f>'Online Results'!P87</f>
        <v>2914</v>
      </c>
      <c r="F85" s="19">
        <f>'Online Results'!Q87</f>
        <v>2844</v>
      </c>
      <c r="G85" s="19">
        <f>'Online Results'!R87</f>
        <v>279</v>
      </c>
      <c r="H85" s="19">
        <f>'Online Results'!S87</f>
        <v>597</v>
      </c>
      <c r="I85" s="42">
        <f>SUM(VLOOKUP(C85, Teams!A:B, 2, FALSE), VLOOKUP(D85, Teams!A:B, 2, FALSE), VLOOKUP(E85, Teams!A:B, 2, FALSE))</f>
        <v>45.260134999999998</v>
      </c>
      <c r="J85" s="44">
        <f>SUM(VLOOKUP(F85, Teams!A:B, 2, FALSE), VLOOKUP(G85, Teams!A:B, 2, FALSE), VLOOKUP(H85, Teams!A:B, 2, FALSE))</f>
        <v>19.395135</v>
      </c>
      <c r="K85" s="7">
        <f t="shared" si="7"/>
        <v>2</v>
      </c>
      <c r="L85" s="9">
        <f t="shared" si="8"/>
        <v>0</v>
      </c>
      <c r="M85" s="36">
        <f t="shared" si="9"/>
        <v>19.395135</v>
      </c>
      <c r="N85" s="23" t="str">
        <f>IF('Online Results'!T87="", "", 'Online Results'!T87)</f>
        <v/>
      </c>
      <c r="O85" s="22" t="str">
        <f>IF('Online Results'!U87="", "", 'Online Results'!U87)</f>
        <v/>
      </c>
      <c r="P85" s="47">
        <f t="shared" si="10"/>
        <v>45.260134999999998</v>
      </c>
      <c r="Q85" s="48">
        <f t="shared" si="11"/>
        <v>19.395135</v>
      </c>
      <c r="R85" s="46" t="e">
        <f t="shared" si="12"/>
        <v>#VALUE!</v>
      </c>
      <c r="S85" s="13">
        <f>SUM(VLOOKUP(C85, Teams!A:B, 2, FALSE), VLOOKUP(D85, Teams!A:B, 2, FALSE), VLOOKUP(E85, Teams!A:B, 2, FALSE))</f>
        <v>45.260134999999998</v>
      </c>
      <c r="T85" s="11">
        <f>SUM(VLOOKUP(F85, Teams!A:B, 2, FALSE), VLOOKUP(G85, Teams!A:B, 2, FALSE), VLOOKUP(H85, Teams!A:B, 2, FALSE))</f>
        <v>19.395135</v>
      </c>
      <c r="U85" s="46" t="e">
        <f>R85*SUM(S85, T85)/SUM(AVERAGE($S$2:$S85), AVERAGE($T$2:$T85))</f>
        <v>#VALUE!</v>
      </c>
      <c r="V85" s="46" t="e">
        <f>AVERAGE($R$2:$R85)</f>
        <v>#VALUE!</v>
      </c>
      <c r="W85" s="46" t="e">
        <f>AVERAGE($U$2:$U85)</f>
        <v>#VALUE!</v>
      </c>
      <c r="X85" s="4">
        <f t="shared" si="13"/>
        <v>1</v>
      </c>
      <c r="Y85" s="46">
        <f>AVERAGE($X$2:$X85)*0.5</f>
        <v>0.52976190476190477</v>
      </c>
    </row>
    <row r="86" spans="1:25">
      <c r="A86" s="3">
        <f>'Online Results'!L88</f>
        <v>0.55138888888888882</v>
      </c>
      <c r="B86" s="18">
        <f>'Online Results'!M88</f>
        <v>85</v>
      </c>
      <c r="C86" s="20">
        <f>'Online Results'!N88</f>
        <v>1764</v>
      </c>
      <c r="D86" s="20">
        <f>'Online Results'!O88</f>
        <v>207</v>
      </c>
      <c r="E86" s="20">
        <f>'Online Results'!P88</f>
        <v>244</v>
      </c>
      <c r="F86" s="19">
        <f>'Online Results'!Q88</f>
        <v>1266</v>
      </c>
      <c r="G86" s="19">
        <f>'Online Results'!R88</f>
        <v>1319</v>
      </c>
      <c r="H86" s="19">
        <f>'Online Results'!S88</f>
        <v>3936</v>
      </c>
      <c r="I86" s="42">
        <f>SUM(VLOOKUP(C86, Teams!A:B, 2, FALSE), VLOOKUP(D86, Teams!A:B, 2, FALSE), VLOOKUP(E86, Teams!A:B, 2, FALSE))</f>
        <v>22.186985000000004</v>
      </c>
      <c r="J86" s="44">
        <f>SUM(VLOOKUP(F86, Teams!A:B, 2, FALSE), VLOOKUP(G86, Teams!A:B, 2, FALSE), VLOOKUP(H86, Teams!A:B, 2, FALSE))</f>
        <v>25.662133333333333</v>
      </c>
      <c r="K86" s="7">
        <f t="shared" si="7"/>
        <v>0</v>
      </c>
      <c r="L86" s="9">
        <f t="shared" si="8"/>
        <v>2</v>
      </c>
      <c r="M86" s="36">
        <f t="shared" si="9"/>
        <v>22.186985000000004</v>
      </c>
      <c r="N86" s="23" t="str">
        <f>IF('Online Results'!T88="", "", 'Online Results'!T88)</f>
        <v/>
      </c>
      <c r="O86" s="22" t="str">
        <f>IF('Online Results'!U88="", "", 'Online Results'!U88)</f>
        <v/>
      </c>
      <c r="P86" s="47">
        <f t="shared" si="10"/>
        <v>22.186985000000004</v>
      </c>
      <c r="Q86" s="48">
        <f t="shared" si="11"/>
        <v>25.662133333333333</v>
      </c>
      <c r="R86" s="46" t="e">
        <f t="shared" si="12"/>
        <v>#VALUE!</v>
      </c>
      <c r="S86" s="13">
        <f>SUM(VLOOKUP(C86, Teams!A:B, 2, FALSE), VLOOKUP(D86, Teams!A:B, 2, FALSE), VLOOKUP(E86, Teams!A:B, 2, FALSE))</f>
        <v>22.186985000000004</v>
      </c>
      <c r="T86" s="11">
        <f>SUM(VLOOKUP(F86, Teams!A:B, 2, FALSE), VLOOKUP(G86, Teams!A:B, 2, FALSE), VLOOKUP(H86, Teams!A:B, 2, FALSE))</f>
        <v>25.662133333333333</v>
      </c>
      <c r="U86" s="46" t="e">
        <f>R86*SUM(S86, T86)/SUM(AVERAGE($S$2:$S86), AVERAGE($T$2:$T86))</f>
        <v>#VALUE!</v>
      </c>
      <c r="V86" s="46" t="e">
        <f>AVERAGE($R$2:$R86)</f>
        <v>#VALUE!</v>
      </c>
      <c r="W86" s="46" t="e">
        <f>AVERAGE($U$2:$U86)</f>
        <v>#VALUE!</v>
      </c>
      <c r="X86" s="4">
        <f t="shared" si="13"/>
        <v>2</v>
      </c>
      <c r="Y86" s="46">
        <f>AVERAGE($X$2:$X86)*0.5</f>
        <v>0.53529411764705881</v>
      </c>
    </row>
    <row r="87" spans="1:25">
      <c r="A87" s="3">
        <f>'Online Results'!L89</f>
        <v>0.55625000000000002</v>
      </c>
      <c r="B87" s="18">
        <f>'Online Results'!M89</f>
        <v>86</v>
      </c>
      <c r="C87" s="20">
        <f>'Online Results'!N89</f>
        <v>293</v>
      </c>
      <c r="D87" s="20">
        <f>'Online Results'!O89</f>
        <v>2102</v>
      </c>
      <c r="E87" s="20">
        <f>'Online Results'!P89</f>
        <v>1778</v>
      </c>
      <c r="F87" s="19">
        <f>'Online Results'!Q89</f>
        <v>4203</v>
      </c>
      <c r="G87" s="19">
        <f>'Online Results'!R89</f>
        <v>4226</v>
      </c>
      <c r="H87" s="19">
        <f>'Online Results'!S89</f>
        <v>1912</v>
      </c>
      <c r="I87" s="42">
        <f>SUM(VLOOKUP(C87, Teams!A:B, 2, FALSE), VLOOKUP(D87, Teams!A:B, 2, FALSE), VLOOKUP(E87, Teams!A:B, 2, FALSE))</f>
        <v>13.434970000000002</v>
      </c>
      <c r="J87" s="44">
        <f>SUM(VLOOKUP(F87, Teams!A:B, 2, FALSE), VLOOKUP(G87, Teams!A:B, 2, FALSE), VLOOKUP(H87, Teams!A:B, 2, FALSE))</f>
        <v>21.566400000000002</v>
      </c>
      <c r="K87" s="7">
        <f t="shared" si="7"/>
        <v>0</v>
      </c>
      <c r="L87" s="9">
        <f t="shared" si="8"/>
        <v>2</v>
      </c>
      <c r="M87" s="36">
        <f t="shared" si="9"/>
        <v>13.434970000000002</v>
      </c>
      <c r="N87" s="23" t="str">
        <f>IF('Online Results'!T89="", "", 'Online Results'!T89)</f>
        <v/>
      </c>
      <c r="O87" s="22" t="str">
        <f>IF('Online Results'!U89="", "", 'Online Results'!U89)</f>
        <v/>
      </c>
      <c r="P87" s="47">
        <f t="shared" si="10"/>
        <v>13.434970000000002</v>
      </c>
      <c r="Q87" s="48">
        <f t="shared" si="11"/>
        <v>21.566400000000002</v>
      </c>
      <c r="R87" s="46" t="e">
        <f t="shared" si="12"/>
        <v>#VALUE!</v>
      </c>
      <c r="S87" s="13">
        <f>SUM(VLOOKUP(C87, Teams!A:B, 2, FALSE), VLOOKUP(D87, Teams!A:B, 2, FALSE), VLOOKUP(E87, Teams!A:B, 2, FALSE))</f>
        <v>13.434970000000002</v>
      </c>
      <c r="T87" s="11">
        <f>SUM(VLOOKUP(F87, Teams!A:B, 2, FALSE), VLOOKUP(G87, Teams!A:B, 2, FALSE), VLOOKUP(H87, Teams!A:B, 2, FALSE))</f>
        <v>21.566400000000002</v>
      </c>
      <c r="U87" s="46" t="e">
        <f>R87*SUM(S87, T87)/SUM(AVERAGE($S$2:$S87), AVERAGE($T$2:$T87))</f>
        <v>#VALUE!</v>
      </c>
      <c r="V87" s="46" t="e">
        <f>AVERAGE($R$2:$R87)</f>
        <v>#VALUE!</v>
      </c>
      <c r="W87" s="46" t="e">
        <f>AVERAGE($U$2:$U87)</f>
        <v>#VALUE!</v>
      </c>
      <c r="X87" s="4">
        <f t="shared" si="13"/>
        <v>2</v>
      </c>
      <c r="Y87" s="46">
        <f>AVERAGE($X$2:$X87)*0.5</f>
        <v>0.54069767441860461</v>
      </c>
    </row>
    <row r="88" spans="1:25">
      <c r="A88" s="3">
        <f>'Online Results'!L90</f>
        <v>0.56111111111111112</v>
      </c>
      <c r="B88" s="18">
        <f>'Online Results'!M90</f>
        <v>87</v>
      </c>
      <c r="C88" s="20">
        <f>'Online Results'!N90</f>
        <v>1741</v>
      </c>
      <c r="D88" s="20">
        <f>'Online Results'!O90</f>
        <v>503</v>
      </c>
      <c r="E88" s="20">
        <f>'Online Results'!P90</f>
        <v>564</v>
      </c>
      <c r="F88" s="19">
        <f>'Online Results'!Q90</f>
        <v>3807</v>
      </c>
      <c r="G88" s="19">
        <f>'Online Results'!R90</f>
        <v>1033</v>
      </c>
      <c r="H88" s="19">
        <f>'Online Results'!S90</f>
        <v>461</v>
      </c>
      <c r="I88" s="42">
        <f>SUM(VLOOKUP(C88, Teams!A:B, 2, FALSE), VLOOKUP(D88, Teams!A:B, 2, FALSE), VLOOKUP(E88, Teams!A:B, 2, FALSE))</f>
        <v>26.0898</v>
      </c>
      <c r="J88" s="44">
        <f>SUM(VLOOKUP(F88, Teams!A:B, 2, FALSE), VLOOKUP(G88, Teams!A:B, 2, FALSE), VLOOKUP(H88, Teams!A:B, 2, FALSE))</f>
        <v>17.861559999999997</v>
      </c>
      <c r="K88" s="7">
        <f t="shared" si="7"/>
        <v>2</v>
      </c>
      <c r="L88" s="9">
        <f t="shared" si="8"/>
        <v>0</v>
      </c>
      <c r="M88" s="36">
        <f t="shared" si="9"/>
        <v>17.861559999999997</v>
      </c>
      <c r="N88" s="23" t="str">
        <f>IF('Online Results'!T90="", "", 'Online Results'!T90)</f>
        <v/>
      </c>
      <c r="O88" s="22" t="str">
        <f>IF('Online Results'!U90="", "", 'Online Results'!U90)</f>
        <v/>
      </c>
      <c r="P88" s="47">
        <f t="shared" si="10"/>
        <v>26.0898</v>
      </c>
      <c r="Q88" s="48">
        <f t="shared" si="11"/>
        <v>17.861559999999997</v>
      </c>
      <c r="R88" s="46" t="e">
        <f t="shared" si="12"/>
        <v>#VALUE!</v>
      </c>
      <c r="S88" s="13">
        <f>SUM(VLOOKUP(C88, Teams!A:B, 2, FALSE), VLOOKUP(D88, Teams!A:B, 2, FALSE), VLOOKUP(E88, Teams!A:B, 2, FALSE))</f>
        <v>26.0898</v>
      </c>
      <c r="T88" s="11">
        <f>SUM(VLOOKUP(F88, Teams!A:B, 2, FALSE), VLOOKUP(G88, Teams!A:B, 2, FALSE), VLOOKUP(H88, Teams!A:B, 2, FALSE))</f>
        <v>17.861559999999997</v>
      </c>
      <c r="U88" s="46" t="e">
        <f>R88*SUM(S88, T88)/SUM(AVERAGE($S$2:$S88), AVERAGE($T$2:$T88))</f>
        <v>#VALUE!</v>
      </c>
      <c r="V88" s="46" t="e">
        <f>AVERAGE($R$2:$R88)</f>
        <v>#VALUE!</v>
      </c>
      <c r="W88" s="46" t="e">
        <f>AVERAGE($U$2:$U88)</f>
        <v>#VALUE!</v>
      </c>
      <c r="X88" s="4">
        <f t="shared" si="13"/>
        <v>1</v>
      </c>
      <c r="Y88" s="46">
        <f>AVERAGE($X$2:$X88)*0.5</f>
        <v>0.54022988505747127</v>
      </c>
    </row>
    <row r="89" spans="1:25">
      <c r="A89" s="3">
        <f>'Online Results'!L91</f>
        <v>0.56597222222222221</v>
      </c>
      <c r="B89" s="18">
        <f>'Online Results'!M91</f>
        <v>88</v>
      </c>
      <c r="C89" s="20">
        <f>'Online Results'!N91</f>
        <v>192</v>
      </c>
      <c r="D89" s="20">
        <f>'Online Results'!O91</f>
        <v>3941</v>
      </c>
      <c r="E89" s="20">
        <f>'Online Results'!P91</f>
        <v>3940</v>
      </c>
      <c r="F89" s="19">
        <f>'Online Results'!Q91</f>
        <v>3951</v>
      </c>
      <c r="G89" s="19">
        <f>'Online Results'!R91</f>
        <v>3288</v>
      </c>
      <c r="H89" s="19">
        <f>'Online Results'!S91</f>
        <v>120</v>
      </c>
      <c r="I89" s="42">
        <f>SUM(VLOOKUP(C89, Teams!A:B, 2, FALSE), VLOOKUP(D89, Teams!A:B, 2, FALSE), VLOOKUP(E89, Teams!A:B, 2, FALSE))</f>
        <v>28.377129999999998</v>
      </c>
      <c r="J89" s="44">
        <f>SUM(VLOOKUP(F89, Teams!A:B, 2, FALSE), VLOOKUP(G89, Teams!A:B, 2, FALSE), VLOOKUP(H89, Teams!A:B, 2, FALSE))</f>
        <v>24.254198000000002</v>
      </c>
      <c r="K89" s="7">
        <f t="shared" si="7"/>
        <v>2</v>
      </c>
      <c r="L89" s="9">
        <f t="shared" si="8"/>
        <v>0</v>
      </c>
      <c r="M89" s="36">
        <f t="shared" si="9"/>
        <v>24.254198000000002</v>
      </c>
      <c r="N89" s="23" t="str">
        <f>IF('Online Results'!T91="", "", 'Online Results'!T91)</f>
        <v/>
      </c>
      <c r="O89" s="22" t="str">
        <f>IF('Online Results'!U91="", "", 'Online Results'!U91)</f>
        <v/>
      </c>
      <c r="P89" s="47">
        <f t="shared" si="10"/>
        <v>28.377129999999998</v>
      </c>
      <c r="Q89" s="48">
        <f t="shared" si="11"/>
        <v>24.254198000000002</v>
      </c>
      <c r="R89" s="46" t="e">
        <f t="shared" si="12"/>
        <v>#VALUE!</v>
      </c>
      <c r="S89" s="13">
        <f>SUM(VLOOKUP(C89, Teams!A:B, 2, FALSE), VLOOKUP(D89, Teams!A:B, 2, FALSE), VLOOKUP(E89, Teams!A:B, 2, FALSE))</f>
        <v>28.377129999999998</v>
      </c>
      <c r="T89" s="11">
        <f>SUM(VLOOKUP(F89, Teams!A:B, 2, FALSE), VLOOKUP(G89, Teams!A:B, 2, FALSE), VLOOKUP(H89, Teams!A:B, 2, FALSE))</f>
        <v>24.254198000000002</v>
      </c>
      <c r="U89" s="46" t="e">
        <f>R89*SUM(S89, T89)/SUM(AVERAGE($S$2:$S89), AVERAGE($T$2:$T89))</f>
        <v>#VALUE!</v>
      </c>
      <c r="V89" s="46" t="e">
        <f>AVERAGE($R$2:$R89)</f>
        <v>#VALUE!</v>
      </c>
      <c r="W89" s="46" t="e">
        <f>AVERAGE($U$2:$U89)</f>
        <v>#VALUE!</v>
      </c>
      <c r="X89" s="4">
        <f t="shared" si="13"/>
        <v>1</v>
      </c>
      <c r="Y89" s="46">
        <f>AVERAGE($X$2:$X89)*0.5</f>
        <v>0.53977272727272729</v>
      </c>
    </row>
    <row r="90" spans="1:25">
      <c r="A90" s="3">
        <f>'Online Results'!L92</f>
        <v>0.5708333333333333</v>
      </c>
      <c r="B90" s="18">
        <f>'Online Results'!M92</f>
        <v>89</v>
      </c>
      <c r="C90" s="20">
        <f>'Online Results'!N92</f>
        <v>2757</v>
      </c>
      <c r="D90" s="20">
        <f>'Online Results'!O92</f>
        <v>1391</v>
      </c>
      <c r="E90" s="20">
        <f>'Online Results'!P92</f>
        <v>932</v>
      </c>
      <c r="F90" s="19">
        <f>'Online Results'!Q92</f>
        <v>3929</v>
      </c>
      <c r="G90" s="19">
        <f>'Online Results'!R92</f>
        <v>2500</v>
      </c>
      <c r="H90" s="19">
        <f>'Online Results'!S92</f>
        <v>1649</v>
      </c>
      <c r="I90" s="42">
        <f>SUM(VLOOKUP(C90, Teams!A:B, 2, FALSE), VLOOKUP(D90, Teams!A:B, 2, FALSE), VLOOKUP(E90, Teams!A:B, 2, FALSE))</f>
        <v>17.138095</v>
      </c>
      <c r="J90" s="44">
        <f>SUM(VLOOKUP(F90, Teams!A:B, 2, FALSE), VLOOKUP(G90, Teams!A:B, 2, FALSE), VLOOKUP(H90, Teams!A:B, 2, FALSE))</f>
        <v>17.272975000000002</v>
      </c>
      <c r="K90" s="7">
        <f t="shared" si="7"/>
        <v>0</v>
      </c>
      <c r="L90" s="9">
        <f t="shared" si="8"/>
        <v>2</v>
      </c>
      <c r="M90" s="36">
        <f t="shared" si="9"/>
        <v>17.138095</v>
      </c>
      <c r="N90" s="23" t="str">
        <f>IF('Online Results'!T92="", "", 'Online Results'!T92)</f>
        <v/>
      </c>
      <c r="O90" s="22" t="str">
        <f>IF('Online Results'!U92="", "", 'Online Results'!U92)</f>
        <v/>
      </c>
      <c r="P90" s="47">
        <f t="shared" si="10"/>
        <v>17.138095</v>
      </c>
      <c r="Q90" s="48">
        <f t="shared" si="11"/>
        <v>17.272975000000002</v>
      </c>
      <c r="R90" s="46" t="e">
        <f t="shared" si="12"/>
        <v>#VALUE!</v>
      </c>
      <c r="S90" s="13">
        <f>SUM(VLOOKUP(C90, Teams!A:B, 2, FALSE), VLOOKUP(D90, Teams!A:B, 2, FALSE), VLOOKUP(E90, Teams!A:B, 2, FALSE))</f>
        <v>17.138095</v>
      </c>
      <c r="T90" s="11">
        <f>SUM(VLOOKUP(F90, Teams!A:B, 2, FALSE), VLOOKUP(G90, Teams!A:B, 2, FALSE), VLOOKUP(H90, Teams!A:B, 2, FALSE))</f>
        <v>17.272975000000002</v>
      </c>
      <c r="U90" s="46" t="e">
        <f>R90*SUM(S90, T90)/SUM(AVERAGE($S$2:$S90), AVERAGE($T$2:$T90))</f>
        <v>#VALUE!</v>
      </c>
      <c r="V90" s="46" t="e">
        <f>AVERAGE($R$2:$R90)</f>
        <v>#VALUE!</v>
      </c>
      <c r="W90" s="46" t="e">
        <f>AVERAGE($U$2:$U90)</f>
        <v>#VALUE!</v>
      </c>
      <c r="X90" s="4">
        <f t="shared" si="13"/>
        <v>2</v>
      </c>
      <c r="Y90" s="46">
        <f>AVERAGE($X$2:$X90)*0.5</f>
        <v>0.5449438202247191</v>
      </c>
    </row>
    <row r="91" spans="1:25">
      <c r="A91" s="3">
        <f>'Online Results'!L93</f>
        <v>0.5756944444444444</v>
      </c>
      <c r="B91" s="18">
        <f>'Online Results'!M93</f>
        <v>90</v>
      </c>
      <c r="C91" s="20">
        <f>'Online Results'!N93</f>
        <v>1828</v>
      </c>
      <c r="D91" s="20">
        <f>'Online Results'!O93</f>
        <v>3711</v>
      </c>
      <c r="E91" s="20">
        <f>'Online Results'!P93</f>
        <v>3965</v>
      </c>
      <c r="F91" s="19">
        <f>'Online Results'!Q93</f>
        <v>254</v>
      </c>
      <c r="G91" s="19">
        <f>'Online Results'!R93</f>
        <v>1477</v>
      </c>
      <c r="H91" s="19">
        <f>'Online Results'!S93</f>
        <v>4130</v>
      </c>
      <c r="I91" s="42">
        <f>SUM(VLOOKUP(C91, Teams!A:B, 2, FALSE), VLOOKUP(D91, Teams!A:B, 2, FALSE), VLOOKUP(E91, Teams!A:B, 2, FALSE))</f>
        <v>27.409794999999999</v>
      </c>
      <c r="J91" s="44">
        <f>SUM(VLOOKUP(F91, Teams!A:B, 2, FALSE), VLOOKUP(G91, Teams!A:B, 2, FALSE), VLOOKUP(H91, Teams!A:B, 2, FALSE))</f>
        <v>58.126083333333334</v>
      </c>
      <c r="K91" s="7">
        <f t="shared" si="7"/>
        <v>0</v>
      </c>
      <c r="L91" s="9">
        <f t="shared" si="8"/>
        <v>2</v>
      </c>
      <c r="M91" s="36">
        <f t="shared" si="9"/>
        <v>27.409794999999999</v>
      </c>
      <c r="N91" s="23" t="str">
        <f>IF('Online Results'!T93="", "", 'Online Results'!T93)</f>
        <v/>
      </c>
      <c r="O91" s="22" t="str">
        <f>IF('Online Results'!U93="", "", 'Online Results'!U93)</f>
        <v/>
      </c>
      <c r="P91" s="47">
        <f t="shared" si="10"/>
        <v>27.409794999999999</v>
      </c>
      <c r="Q91" s="48">
        <f t="shared" si="11"/>
        <v>58.126083333333334</v>
      </c>
      <c r="R91" s="46" t="e">
        <f t="shared" si="12"/>
        <v>#VALUE!</v>
      </c>
      <c r="S91" s="13">
        <f>SUM(VLOOKUP(C91, Teams!A:B, 2, FALSE), VLOOKUP(D91, Teams!A:B, 2, FALSE), VLOOKUP(E91, Teams!A:B, 2, FALSE))</f>
        <v>27.409794999999999</v>
      </c>
      <c r="T91" s="11">
        <f>SUM(VLOOKUP(F91, Teams!A:B, 2, FALSE), VLOOKUP(G91, Teams!A:B, 2, FALSE), VLOOKUP(H91, Teams!A:B, 2, FALSE))</f>
        <v>58.126083333333334</v>
      </c>
      <c r="U91" s="46" t="e">
        <f>R91*SUM(S91, T91)/SUM(AVERAGE($S$2:$S91), AVERAGE($T$2:$T91))</f>
        <v>#VALUE!</v>
      </c>
      <c r="V91" s="46" t="e">
        <f>AVERAGE($R$2:$R91)</f>
        <v>#VALUE!</v>
      </c>
      <c r="W91" s="46" t="e">
        <f>AVERAGE($U$2:$U91)</f>
        <v>#VALUE!</v>
      </c>
      <c r="X91" s="4">
        <f t="shared" si="13"/>
        <v>2</v>
      </c>
      <c r="Y91" s="46">
        <f>AVERAGE($X$2:$X91)*0.5</f>
        <v>0.55000000000000004</v>
      </c>
    </row>
    <row r="92" spans="1:25">
      <c r="A92" s="3">
        <f>'Online Results'!L94</f>
        <v>0.5805555555555556</v>
      </c>
      <c r="B92" s="18">
        <f>'Online Results'!M94</f>
        <v>91</v>
      </c>
      <c r="C92" s="20">
        <f>'Online Results'!N94</f>
        <v>3205</v>
      </c>
      <c r="D92" s="20">
        <f>'Online Results'!O94</f>
        <v>694</v>
      </c>
      <c r="E92" s="20">
        <f>'Online Results'!P94</f>
        <v>971</v>
      </c>
      <c r="F92" s="19">
        <f>'Online Results'!Q94</f>
        <v>178</v>
      </c>
      <c r="G92" s="19">
        <f>'Online Results'!R94</f>
        <v>830</v>
      </c>
      <c r="H92" s="19">
        <f>'Online Results'!S94</f>
        <v>525</v>
      </c>
      <c r="I92" s="42">
        <f>SUM(VLOOKUP(C92, Teams!A:B, 2, FALSE), VLOOKUP(D92, Teams!A:B, 2, FALSE), VLOOKUP(E92, Teams!A:B, 2, FALSE))</f>
        <v>66.540700000000001</v>
      </c>
      <c r="J92" s="44">
        <f>SUM(VLOOKUP(F92, Teams!A:B, 2, FALSE), VLOOKUP(G92, Teams!A:B, 2, FALSE), VLOOKUP(H92, Teams!A:B, 2, FALSE))</f>
        <v>31.713082666666665</v>
      </c>
      <c r="K92" s="7">
        <f t="shared" si="7"/>
        <v>2</v>
      </c>
      <c r="L92" s="9">
        <f t="shared" si="8"/>
        <v>0</v>
      </c>
      <c r="M92" s="36">
        <f t="shared" si="9"/>
        <v>31.713082666666665</v>
      </c>
      <c r="N92" s="23" t="str">
        <f>IF('Online Results'!T94="", "", 'Online Results'!T94)</f>
        <v/>
      </c>
      <c r="O92" s="22" t="str">
        <f>IF('Online Results'!U94="", "", 'Online Results'!U94)</f>
        <v/>
      </c>
      <c r="P92" s="47">
        <f t="shared" si="10"/>
        <v>66.540700000000001</v>
      </c>
      <c r="Q92" s="48">
        <f t="shared" si="11"/>
        <v>31.713082666666665</v>
      </c>
      <c r="R92" s="46" t="e">
        <f t="shared" si="12"/>
        <v>#VALUE!</v>
      </c>
      <c r="S92" s="13">
        <f>SUM(VLOOKUP(C92, Teams!A:B, 2, FALSE), VLOOKUP(D92, Teams!A:B, 2, FALSE), VLOOKUP(E92, Teams!A:B, 2, FALSE))</f>
        <v>66.540700000000001</v>
      </c>
      <c r="T92" s="11">
        <f>SUM(VLOOKUP(F92, Teams!A:B, 2, FALSE), VLOOKUP(G92, Teams!A:B, 2, FALSE), VLOOKUP(H92, Teams!A:B, 2, FALSE))</f>
        <v>31.713082666666665</v>
      </c>
      <c r="U92" s="46" t="e">
        <f>R92*SUM(S92, T92)/SUM(AVERAGE($S$2:$S92), AVERAGE($T$2:$T92))</f>
        <v>#VALUE!</v>
      </c>
      <c r="V92" s="46" t="e">
        <f>AVERAGE($R$2:$R92)</f>
        <v>#VALUE!</v>
      </c>
      <c r="W92" s="46" t="e">
        <f>AVERAGE($U$2:$U92)</f>
        <v>#VALUE!</v>
      </c>
      <c r="X92" s="4">
        <f t="shared" si="13"/>
        <v>1</v>
      </c>
      <c r="Y92" s="46">
        <f>AVERAGE($X$2:$X92)*0.5</f>
        <v>0.5494505494505495</v>
      </c>
    </row>
    <row r="93" spans="1:25">
      <c r="A93" s="3">
        <f>'Online Results'!L95</f>
        <v>0.5854166666666667</v>
      </c>
      <c r="B93" s="18">
        <f>'Online Results'!M95</f>
        <v>92</v>
      </c>
      <c r="C93" s="20">
        <f>'Online Results'!N95</f>
        <v>3115</v>
      </c>
      <c r="D93" s="20">
        <f>'Online Results'!O95</f>
        <v>3970</v>
      </c>
      <c r="E93" s="20">
        <f>'Online Results'!P95</f>
        <v>1678</v>
      </c>
      <c r="F93" s="19">
        <f>'Online Results'!Q95</f>
        <v>1690</v>
      </c>
      <c r="G93" s="19">
        <f>'Online Results'!R95</f>
        <v>341</v>
      </c>
      <c r="H93" s="19">
        <f>'Online Results'!S95</f>
        <v>2881</v>
      </c>
      <c r="I93" s="42">
        <f>SUM(VLOOKUP(C93, Teams!A:B, 2, FALSE), VLOOKUP(D93, Teams!A:B, 2, FALSE), VLOOKUP(E93, Teams!A:B, 2, FALSE))</f>
        <v>37.997350999999995</v>
      </c>
      <c r="J93" s="44">
        <f>SUM(VLOOKUP(F93, Teams!A:B, 2, FALSE), VLOOKUP(G93, Teams!A:B, 2, FALSE), VLOOKUP(H93, Teams!A:B, 2, FALSE))</f>
        <v>60.295674999999996</v>
      </c>
      <c r="K93" s="7">
        <f t="shared" si="7"/>
        <v>0</v>
      </c>
      <c r="L93" s="9">
        <f t="shared" si="8"/>
        <v>2</v>
      </c>
      <c r="M93" s="36">
        <f t="shared" si="9"/>
        <v>37.997350999999995</v>
      </c>
      <c r="N93" s="23" t="str">
        <f>IF('Online Results'!T95="", "", 'Online Results'!T95)</f>
        <v/>
      </c>
      <c r="O93" s="22" t="str">
        <f>IF('Online Results'!U95="", "", 'Online Results'!U95)</f>
        <v/>
      </c>
      <c r="P93" s="47">
        <f t="shared" si="10"/>
        <v>37.997350999999995</v>
      </c>
      <c r="Q93" s="48">
        <f t="shared" si="11"/>
        <v>60.295674999999996</v>
      </c>
      <c r="R93" s="46" t="e">
        <f t="shared" si="12"/>
        <v>#VALUE!</v>
      </c>
      <c r="S93" s="13">
        <f>SUM(VLOOKUP(C93, Teams!A:B, 2, FALSE), VLOOKUP(D93, Teams!A:B, 2, FALSE), VLOOKUP(E93, Teams!A:B, 2, FALSE))</f>
        <v>37.997350999999995</v>
      </c>
      <c r="T93" s="11">
        <f>SUM(VLOOKUP(F93, Teams!A:B, 2, FALSE), VLOOKUP(G93, Teams!A:B, 2, FALSE), VLOOKUP(H93, Teams!A:B, 2, FALSE))</f>
        <v>60.295674999999996</v>
      </c>
      <c r="U93" s="46" t="e">
        <f>R93*SUM(S93, T93)/SUM(AVERAGE($S$2:$S93), AVERAGE($T$2:$T93))</f>
        <v>#VALUE!</v>
      </c>
      <c r="V93" s="46" t="e">
        <f>AVERAGE($R$2:$R93)</f>
        <v>#VALUE!</v>
      </c>
      <c r="W93" s="46" t="e">
        <f>AVERAGE($U$2:$U93)</f>
        <v>#VALUE!</v>
      </c>
      <c r="X93" s="4">
        <f t="shared" si="13"/>
        <v>2</v>
      </c>
      <c r="Y93" s="46">
        <f>AVERAGE($X$2:$X93)*0.5</f>
        <v>0.55434782608695654</v>
      </c>
    </row>
    <row r="94" spans="1:25">
      <c r="A94" s="3">
        <f>'Online Results'!L96</f>
        <v>0.59027777777777779</v>
      </c>
      <c r="B94" s="18">
        <f>'Online Results'!M96</f>
        <v>93</v>
      </c>
      <c r="C94" s="20">
        <f>'Online Results'!N96</f>
        <v>3880</v>
      </c>
      <c r="D94" s="20">
        <f>'Online Results'!O96</f>
        <v>537</v>
      </c>
      <c r="E94" s="20">
        <f>'Online Results'!P96</f>
        <v>1683</v>
      </c>
      <c r="F94" s="19">
        <f>'Online Results'!Q96</f>
        <v>4265</v>
      </c>
      <c r="G94" s="19">
        <f>'Online Results'!R96</f>
        <v>3528</v>
      </c>
      <c r="H94" s="19">
        <f>'Online Results'!S96</f>
        <v>58</v>
      </c>
      <c r="I94" s="42">
        <f>SUM(VLOOKUP(C94, Teams!A:B, 2, FALSE), VLOOKUP(D94, Teams!A:B, 2, FALSE), VLOOKUP(E94, Teams!A:B, 2, FALSE))</f>
        <v>31.738999999999997</v>
      </c>
      <c r="J94" s="44">
        <f>SUM(VLOOKUP(F94, Teams!A:B, 2, FALSE), VLOOKUP(G94, Teams!A:B, 2, FALSE), VLOOKUP(H94, Teams!A:B, 2, FALSE))</f>
        <v>47.58173</v>
      </c>
      <c r="K94" s="7">
        <f t="shared" si="7"/>
        <v>0</v>
      </c>
      <c r="L94" s="9">
        <f t="shared" si="8"/>
        <v>2</v>
      </c>
      <c r="M94" s="36">
        <f t="shared" si="9"/>
        <v>31.738999999999997</v>
      </c>
      <c r="N94" s="23" t="str">
        <f>IF('Online Results'!T96="", "", 'Online Results'!T96)</f>
        <v/>
      </c>
      <c r="O94" s="22" t="str">
        <f>IF('Online Results'!U96="", "", 'Online Results'!U96)</f>
        <v/>
      </c>
      <c r="P94" s="47">
        <f t="shared" si="10"/>
        <v>31.738999999999997</v>
      </c>
      <c r="Q94" s="48">
        <f t="shared" si="11"/>
        <v>47.58173</v>
      </c>
      <c r="R94" s="46" t="e">
        <f t="shared" si="12"/>
        <v>#VALUE!</v>
      </c>
      <c r="S94" s="13">
        <f>SUM(VLOOKUP(C94, Teams!A:B, 2, FALSE), VLOOKUP(D94, Teams!A:B, 2, FALSE), VLOOKUP(E94, Teams!A:B, 2, FALSE))</f>
        <v>31.738999999999997</v>
      </c>
      <c r="T94" s="11">
        <f>SUM(VLOOKUP(F94, Teams!A:B, 2, FALSE), VLOOKUP(G94, Teams!A:B, 2, FALSE), VLOOKUP(H94, Teams!A:B, 2, FALSE))</f>
        <v>47.58173</v>
      </c>
      <c r="U94" s="46" t="e">
        <f>R94*SUM(S94, T94)/SUM(AVERAGE($S$2:$S94), AVERAGE($T$2:$T94))</f>
        <v>#VALUE!</v>
      </c>
      <c r="V94" s="46" t="e">
        <f>AVERAGE($R$2:$R94)</f>
        <v>#VALUE!</v>
      </c>
      <c r="W94" s="46" t="e">
        <f>AVERAGE($U$2:$U94)</f>
        <v>#VALUE!</v>
      </c>
      <c r="X94" s="4">
        <f t="shared" si="13"/>
        <v>2</v>
      </c>
      <c r="Y94" s="46">
        <f>AVERAGE($X$2:$X94)*0.5</f>
        <v>0.55913978494623651</v>
      </c>
    </row>
    <row r="95" spans="1:25">
      <c r="A95" s="3">
        <f>'Online Results'!L97</f>
        <v>0.59513888888888888</v>
      </c>
      <c r="B95" s="18">
        <f>'Online Results'!M97</f>
        <v>94</v>
      </c>
      <c r="C95" s="20">
        <f>'Online Results'!N97</f>
        <v>2180</v>
      </c>
      <c r="D95" s="20">
        <f>'Online Results'!O97</f>
        <v>78</v>
      </c>
      <c r="E95" s="20">
        <f>'Online Results'!P97</f>
        <v>3950</v>
      </c>
      <c r="F95" s="19">
        <f>'Online Results'!Q97</f>
        <v>1143</v>
      </c>
      <c r="G95" s="19">
        <f>'Online Results'!R97</f>
        <v>233</v>
      </c>
      <c r="H95" s="19">
        <f>'Online Results'!S97</f>
        <v>1817</v>
      </c>
      <c r="I95" s="42">
        <f>SUM(VLOOKUP(C95, Teams!A:B, 2, FALSE), VLOOKUP(D95, Teams!A:B, 2, FALSE), VLOOKUP(E95, Teams!A:B, 2, FALSE))</f>
        <v>36.003370000000004</v>
      </c>
      <c r="J95" s="44">
        <f>SUM(VLOOKUP(F95, Teams!A:B, 2, FALSE), VLOOKUP(G95, Teams!A:B, 2, FALSE), VLOOKUP(H95, Teams!A:B, 2, FALSE))</f>
        <v>31.80283</v>
      </c>
      <c r="K95" s="7">
        <f t="shared" si="7"/>
        <v>2</v>
      </c>
      <c r="L95" s="9">
        <f t="shared" si="8"/>
        <v>0</v>
      </c>
      <c r="M95" s="36">
        <f t="shared" si="9"/>
        <v>31.80283</v>
      </c>
      <c r="N95" s="23" t="str">
        <f>IF('Online Results'!T97="", "", 'Online Results'!T97)</f>
        <v/>
      </c>
      <c r="O95" s="22" t="str">
        <f>IF('Online Results'!U97="", "", 'Online Results'!U97)</f>
        <v/>
      </c>
      <c r="P95" s="47">
        <f t="shared" si="10"/>
        <v>36.003370000000004</v>
      </c>
      <c r="Q95" s="48">
        <f t="shared" si="11"/>
        <v>31.80283</v>
      </c>
      <c r="R95" s="46" t="e">
        <f t="shared" si="12"/>
        <v>#VALUE!</v>
      </c>
      <c r="S95" s="13">
        <f>SUM(VLOOKUP(C95, Teams!A:B, 2, FALSE), VLOOKUP(D95, Teams!A:B, 2, FALSE), VLOOKUP(E95, Teams!A:B, 2, FALSE))</f>
        <v>36.003370000000004</v>
      </c>
      <c r="T95" s="11">
        <f>SUM(VLOOKUP(F95, Teams!A:B, 2, FALSE), VLOOKUP(G95, Teams!A:B, 2, FALSE), VLOOKUP(H95, Teams!A:B, 2, FALSE))</f>
        <v>31.80283</v>
      </c>
      <c r="U95" s="46" t="e">
        <f>R95*SUM(S95, T95)/SUM(AVERAGE($S$2:$S95), AVERAGE($T$2:$T95))</f>
        <v>#VALUE!</v>
      </c>
      <c r="V95" s="46" t="e">
        <f>AVERAGE($R$2:$R95)</f>
        <v>#VALUE!</v>
      </c>
      <c r="W95" s="46" t="e">
        <f>AVERAGE($U$2:$U95)</f>
        <v>#VALUE!</v>
      </c>
      <c r="X95" s="4">
        <f t="shared" si="13"/>
        <v>1</v>
      </c>
      <c r="Y95" s="46">
        <f>AVERAGE($X$2:$X95)*0.5</f>
        <v>0.55851063829787229</v>
      </c>
    </row>
    <row r="96" spans="1:25">
      <c r="A96" s="3">
        <f>'Online Results'!L98</f>
        <v>0.6</v>
      </c>
      <c r="B96" s="18">
        <f>'Online Results'!M98</f>
        <v>95</v>
      </c>
      <c r="C96" s="20">
        <f>'Online Results'!N98</f>
        <v>2591</v>
      </c>
      <c r="D96" s="20">
        <f>'Online Results'!O98</f>
        <v>4069</v>
      </c>
      <c r="E96" s="20">
        <f>'Online Results'!P98</f>
        <v>4253</v>
      </c>
      <c r="F96" s="19">
        <f>'Online Results'!Q98</f>
        <v>2164</v>
      </c>
      <c r="G96" s="19">
        <f>'Online Results'!R98</f>
        <v>706</v>
      </c>
      <c r="H96" s="19">
        <f>'Online Results'!S98</f>
        <v>2474</v>
      </c>
      <c r="I96" s="42">
        <f>SUM(VLOOKUP(C96, Teams!A:B, 2, FALSE), VLOOKUP(D96, Teams!A:B, 2, FALSE), VLOOKUP(E96, Teams!A:B, 2, FALSE))</f>
        <v>26.743169999999999</v>
      </c>
      <c r="J96" s="44">
        <f>SUM(VLOOKUP(F96, Teams!A:B, 2, FALSE), VLOOKUP(G96, Teams!A:B, 2, FALSE), VLOOKUP(H96, Teams!A:B, 2, FALSE))</f>
        <v>40.60483</v>
      </c>
      <c r="K96" s="7">
        <f t="shared" si="7"/>
        <v>0</v>
      </c>
      <c r="L96" s="9">
        <f t="shared" si="8"/>
        <v>2</v>
      </c>
      <c r="M96" s="36">
        <f t="shared" si="9"/>
        <v>26.743169999999999</v>
      </c>
      <c r="N96" s="23" t="str">
        <f>IF('Online Results'!T98="", "", 'Online Results'!T98)</f>
        <v/>
      </c>
      <c r="O96" s="22" t="str">
        <f>IF('Online Results'!U98="", "", 'Online Results'!U98)</f>
        <v/>
      </c>
      <c r="P96" s="47">
        <f t="shared" si="10"/>
        <v>26.743169999999999</v>
      </c>
      <c r="Q96" s="48">
        <f t="shared" si="11"/>
        <v>40.60483</v>
      </c>
      <c r="R96" s="46" t="e">
        <f t="shared" si="12"/>
        <v>#VALUE!</v>
      </c>
      <c r="S96" s="13">
        <f>SUM(VLOOKUP(C96, Teams!A:B, 2, FALSE), VLOOKUP(D96, Teams!A:B, 2, FALSE), VLOOKUP(E96, Teams!A:B, 2, FALSE))</f>
        <v>26.743169999999999</v>
      </c>
      <c r="T96" s="11">
        <f>SUM(VLOOKUP(F96, Teams!A:B, 2, FALSE), VLOOKUP(G96, Teams!A:B, 2, FALSE), VLOOKUP(H96, Teams!A:B, 2, FALSE))</f>
        <v>40.60483</v>
      </c>
      <c r="U96" s="46" t="e">
        <f>R96*SUM(S96, T96)/SUM(AVERAGE($S$2:$S96), AVERAGE($T$2:$T96))</f>
        <v>#VALUE!</v>
      </c>
      <c r="V96" s="46" t="e">
        <f>AVERAGE($R$2:$R96)</f>
        <v>#VALUE!</v>
      </c>
      <c r="W96" s="46" t="e">
        <f>AVERAGE($U$2:$U96)</f>
        <v>#VALUE!</v>
      </c>
      <c r="X96" s="4">
        <f t="shared" si="13"/>
        <v>2</v>
      </c>
      <c r="Y96" s="46">
        <f>AVERAGE($X$2:$X96)*0.5</f>
        <v>0.56315789473684208</v>
      </c>
    </row>
    <row r="97" spans="1:25">
      <c r="A97" s="3">
        <f>'Online Results'!L99</f>
        <v>0.60486111111111118</v>
      </c>
      <c r="B97" s="18">
        <f>'Online Results'!M99</f>
        <v>96</v>
      </c>
      <c r="C97" s="20">
        <f>'Online Results'!N99</f>
        <v>3847</v>
      </c>
      <c r="D97" s="20">
        <f>'Online Results'!O99</f>
        <v>433</v>
      </c>
      <c r="E97" s="20">
        <f>'Online Results'!P99</f>
        <v>604</v>
      </c>
      <c r="F97" s="19">
        <f>'Online Results'!Q99</f>
        <v>1885</v>
      </c>
      <c r="G97" s="19">
        <f>'Online Results'!R99</f>
        <v>51</v>
      </c>
      <c r="H97" s="19">
        <f>'Online Results'!S99</f>
        <v>987</v>
      </c>
      <c r="I97" s="42">
        <f>SUM(VLOOKUP(C97, Teams!A:B, 2, FALSE), VLOOKUP(D97, Teams!A:B, 2, FALSE), VLOOKUP(E97, Teams!A:B, 2, FALSE))</f>
        <v>22.58398</v>
      </c>
      <c r="J97" s="44">
        <f>SUM(VLOOKUP(F97, Teams!A:B, 2, FALSE), VLOOKUP(G97, Teams!A:B, 2, FALSE), VLOOKUP(H97, Teams!A:B, 2, FALSE))</f>
        <v>65.807133333333326</v>
      </c>
      <c r="K97" s="7">
        <f t="shared" si="7"/>
        <v>0</v>
      </c>
      <c r="L97" s="9">
        <f t="shared" si="8"/>
        <v>2</v>
      </c>
      <c r="M97" s="36">
        <f t="shared" si="9"/>
        <v>22.58398</v>
      </c>
      <c r="N97" s="23" t="str">
        <f>IF('Online Results'!T99="", "", 'Online Results'!T99)</f>
        <v/>
      </c>
      <c r="O97" s="22" t="str">
        <f>IF('Online Results'!U99="", "", 'Online Results'!U99)</f>
        <v/>
      </c>
      <c r="P97" s="47">
        <f t="shared" si="10"/>
        <v>22.58398</v>
      </c>
      <c r="Q97" s="48">
        <f t="shared" si="11"/>
        <v>65.807133333333326</v>
      </c>
      <c r="R97" s="46" t="e">
        <f t="shared" si="12"/>
        <v>#VALUE!</v>
      </c>
      <c r="S97" s="13">
        <f>SUM(VLOOKUP(C97, Teams!A:B, 2, FALSE), VLOOKUP(D97, Teams!A:B, 2, FALSE), VLOOKUP(E97, Teams!A:B, 2, FALSE))</f>
        <v>22.58398</v>
      </c>
      <c r="T97" s="11">
        <f>SUM(VLOOKUP(F97, Teams!A:B, 2, FALSE), VLOOKUP(G97, Teams!A:B, 2, FALSE), VLOOKUP(H97, Teams!A:B, 2, FALSE))</f>
        <v>65.807133333333326</v>
      </c>
      <c r="U97" s="46" t="e">
        <f>R97*SUM(S97, T97)/SUM(AVERAGE($S$2:$S97), AVERAGE($T$2:$T97))</f>
        <v>#VALUE!</v>
      </c>
      <c r="V97" s="46" t="e">
        <f>AVERAGE($R$2:$R97)</f>
        <v>#VALUE!</v>
      </c>
      <c r="W97" s="46" t="e">
        <f>AVERAGE($U$2:$U97)</f>
        <v>#VALUE!</v>
      </c>
      <c r="X97" s="4">
        <f t="shared" si="13"/>
        <v>2</v>
      </c>
      <c r="Y97" s="46">
        <f>AVERAGE($X$2:$X97)*0.5</f>
        <v>0.56770833333333337</v>
      </c>
    </row>
    <row r="98" spans="1:25">
      <c r="A98" s="3">
        <f>'Online Results'!L100</f>
        <v>0.60972222222222217</v>
      </c>
      <c r="B98" s="18">
        <f>'Online Results'!M100</f>
        <v>97</v>
      </c>
      <c r="C98" s="20">
        <f>'Online Results'!N100</f>
        <v>702</v>
      </c>
      <c r="D98" s="20">
        <f>'Online Results'!O100</f>
        <v>1511</v>
      </c>
      <c r="E98" s="20">
        <f>'Online Results'!P100</f>
        <v>288</v>
      </c>
      <c r="F98" s="19">
        <f>'Online Results'!Q100</f>
        <v>1507</v>
      </c>
      <c r="G98" s="19">
        <f>'Online Results'!R100</f>
        <v>3132</v>
      </c>
      <c r="H98" s="19">
        <f>'Online Results'!S100</f>
        <v>3419</v>
      </c>
      <c r="I98" s="42">
        <f>SUM(VLOOKUP(C98, Teams!A:B, 2, FALSE), VLOOKUP(D98, Teams!A:B, 2, FALSE), VLOOKUP(E98, Teams!A:B, 2, FALSE))</f>
        <v>34.472610000000003</v>
      </c>
      <c r="J98" s="44">
        <f>SUM(VLOOKUP(F98, Teams!A:B, 2, FALSE), VLOOKUP(G98, Teams!A:B, 2, FALSE), VLOOKUP(H98, Teams!A:B, 2, FALSE))</f>
        <v>46.761020000000002</v>
      </c>
      <c r="K98" s="7">
        <f t="shared" si="7"/>
        <v>0</v>
      </c>
      <c r="L98" s="9">
        <f t="shared" si="8"/>
        <v>2</v>
      </c>
      <c r="M98" s="36">
        <f t="shared" si="9"/>
        <v>34.472610000000003</v>
      </c>
      <c r="N98" s="23" t="str">
        <f>IF('Online Results'!T100="", "", 'Online Results'!T100)</f>
        <v/>
      </c>
      <c r="O98" s="22" t="str">
        <f>IF('Online Results'!U100="", "", 'Online Results'!U100)</f>
        <v/>
      </c>
      <c r="P98" s="47">
        <f t="shared" si="10"/>
        <v>34.472610000000003</v>
      </c>
      <c r="Q98" s="48">
        <f t="shared" si="11"/>
        <v>46.761020000000002</v>
      </c>
      <c r="R98" s="46" t="e">
        <f t="shared" si="12"/>
        <v>#VALUE!</v>
      </c>
      <c r="S98" s="13">
        <f>SUM(VLOOKUP(C98, Teams!A:B, 2, FALSE), VLOOKUP(D98, Teams!A:B, 2, FALSE), VLOOKUP(E98, Teams!A:B, 2, FALSE))</f>
        <v>34.472610000000003</v>
      </c>
      <c r="T98" s="11">
        <f>SUM(VLOOKUP(F98, Teams!A:B, 2, FALSE), VLOOKUP(G98, Teams!A:B, 2, FALSE), VLOOKUP(H98, Teams!A:B, 2, FALSE))</f>
        <v>46.761020000000002</v>
      </c>
      <c r="U98" s="46" t="e">
        <f>R98*SUM(S98, T98)/SUM(AVERAGE($S$2:$S98), AVERAGE($T$2:$T98))</f>
        <v>#VALUE!</v>
      </c>
      <c r="V98" s="46" t="e">
        <f>AVERAGE($R$2:$R98)</f>
        <v>#VALUE!</v>
      </c>
      <c r="W98" s="46" t="e">
        <f>AVERAGE($U$2:$U98)</f>
        <v>#VALUE!</v>
      </c>
      <c r="X98" s="4">
        <f t="shared" si="13"/>
        <v>2</v>
      </c>
      <c r="Y98" s="46">
        <f>AVERAGE($X$2:$X98)*0.5</f>
        <v>0.57216494845360821</v>
      </c>
    </row>
    <row r="99" spans="1:25">
      <c r="A99" s="3">
        <f>'Online Results'!L101</f>
        <v>0.61458333333333337</v>
      </c>
      <c r="B99" s="18">
        <f>'Online Results'!M101</f>
        <v>98</v>
      </c>
      <c r="C99" s="20">
        <f>'Online Results'!N101</f>
        <v>571</v>
      </c>
      <c r="D99" s="20">
        <f>'Online Results'!O101</f>
        <v>2130</v>
      </c>
      <c r="E99" s="20">
        <f>'Online Results'!P101</f>
        <v>85</v>
      </c>
      <c r="F99" s="19">
        <f>'Online Results'!Q101</f>
        <v>2960</v>
      </c>
      <c r="G99" s="19">
        <f>'Online Results'!R101</f>
        <v>2626</v>
      </c>
      <c r="H99" s="19">
        <f>'Online Results'!S101</f>
        <v>3860</v>
      </c>
      <c r="I99" s="42">
        <f>SUM(VLOOKUP(C99, Teams!A:B, 2, FALSE), VLOOKUP(D99, Teams!A:B, 2, FALSE), VLOOKUP(E99, Teams!A:B, 2, FALSE))</f>
        <v>24.955179999999999</v>
      </c>
      <c r="J99" s="44">
        <f>SUM(VLOOKUP(F99, Teams!A:B, 2, FALSE), VLOOKUP(G99, Teams!A:B, 2, FALSE), VLOOKUP(H99, Teams!A:B, 2, FALSE))</f>
        <v>28.320689999999999</v>
      </c>
      <c r="K99" s="7">
        <f t="shared" si="7"/>
        <v>0</v>
      </c>
      <c r="L99" s="9">
        <f t="shared" si="8"/>
        <v>2</v>
      </c>
      <c r="M99" s="36">
        <f t="shared" si="9"/>
        <v>24.955179999999999</v>
      </c>
      <c r="N99" s="23" t="str">
        <f>IF('Online Results'!T101="", "", 'Online Results'!T101)</f>
        <v/>
      </c>
      <c r="O99" s="22" t="str">
        <f>IF('Online Results'!U101="", "", 'Online Results'!U101)</f>
        <v/>
      </c>
      <c r="P99" s="47">
        <f t="shared" si="10"/>
        <v>24.955179999999999</v>
      </c>
      <c r="Q99" s="48">
        <f t="shared" si="11"/>
        <v>28.320689999999999</v>
      </c>
      <c r="R99" s="46" t="e">
        <f t="shared" si="12"/>
        <v>#VALUE!</v>
      </c>
      <c r="S99" s="13">
        <f>SUM(VLOOKUP(C99, Teams!A:B, 2, FALSE), VLOOKUP(D99, Teams!A:B, 2, FALSE), VLOOKUP(E99, Teams!A:B, 2, FALSE))</f>
        <v>24.955179999999999</v>
      </c>
      <c r="T99" s="11">
        <f>SUM(VLOOKUP(F99, Teams!A:B, 2, FALSE), VLOOKUP(G99, Teams!A:B, 2, FALSE), VLOOKUP(H99, Teams!A:B, 2, FALSE))</f>
        <v>28.320689999999999</v>
      </c>
      <c r="U99" s="46" t="e">
        <f>R99*SUM(S99, T99)/SUM(AVERAGE($S$2:$S99), AVERAGE($T$2:$T99))</f>
        <v>#VALUE!</v>
      </c>
      <c r="V99" s="46" t="e">
        <f>AVERAGE($R$2:$R99)</f>
        <v>#VALUE!</v>
      </c>
      <c r="W99" s="46" t="e">
        <f>AVERAGE($U$2:$U99)</f>
        <v>#VALUE!</v>
      </c>
      <c r="X99" s="4">
        <f t="shared" si="13"/>
        <v>2</v>
      </c>
      <c r="Y99" s="46">
        <f>AVERAGE($X$2:$X99)*0.5</f>
        <v>0.57653061224489799</v>
      </c>
    </row>
    <row r="100" spans="1:25">
      <c r="A100" s="3">
        <f>'Online Results'!L102</f>
        <v>0.61944444444444446</v>
      </c>
      <c r="B100" s="18">
        <f>'Online Results'!M102</f>
        <v>99</v>
      </c>
      <c r="C100" s="20">
        <f>'Online Results'!N102</f>
        <v>415</v>
      </c>
      <c r="D100" s="20">
        <f>'Online Results'!O102</f>
        <v>2844</v>
      </c>
      <c r="E100" s="20">
        <f>'Online Results'!P102</f>
        <v>27</v>
      </c>
      <c r="F100" s="19">
        <f>'Online Results'!Q102</f>
        <v>1985</v>
      </c>
      <c r="G100" s="19">
        <f>'Online Results'!R102</f>
        <v>836</v>
      </c>
      <c r="H100" s="19">
        <f>'Online Results'!S102</f>
        <v>1501</v>
      </c>
      <c r="I100" s="42">
        <f>SUM(VLOOKUP(C100, Teams!A:B, 2, FALSE), VLOOKUP(D100, Teams!A:B, 2, FALSE), VLOOKUP(E100, Teams!A:B, 2, FALSE))</f>
        <v>26.338794999999998</v>
      </c>
      <c r="J100" s="44">
        <f>SUM(VLOOKUP(F100, Teams!A:B, 2, FALSE), VLOOKUP(G100, Teams!A:B, 2, FALSE), VLOOKUP(H100, Teams!A:B, 2, FALSE))</f>
        <v>49.250100000000003</v>
      </c>
      <c r="K100" s="7">
        <f t="shared" si="7"/>
        <v>0</v>
      </c>
      <c r="L100" s="9">
        <f t="shared" si="8"/>
        <v>2</v>
      </c>
      <c r="M100" s="36">
        <f t="shared" si="9"/>
        <v>26.338794999999998</v>
      </c>
      <c r="N100" s="23" t="str">
        <f>IF('Online Results'!T102="", "", 'Online Results'!T102)</f>
        <v/>
      </c>
      <c r="O100" s="22" t="str">
        <f>IF('Online Results'!U102="", "", 'Online Results'!U102)</f>
        <v/>
      </c>
      <c r="P100" s="47">
        <f t="shared" si="10"/>
        <v>26.338794999999998</v>
      </c>
      <c r="Q100" s="48">
        <f t="shared" si="11"/>
        <v>49.250100000000003</v>
      </c>
      <c r="R100" s="46" t="e">
        <f t="shared" si="12"/>
        <v>#VALUE!</v>
      </c>
      <c r="S100" s="13">
        <f>SUM(VLOOKUP(C100, Teams!A:B, 2, FALSE), VLOOKUP(D100, Teams!A:B, 2, FALSE), VLOOKUP(E100, Teams!A:B, 2, FALSE))</f>
        <v>26.338794999999998</v>
      </c>
      <c r="T100" s="11">
        <f>SUM(VLOOKUP(F100, Teams!A:B, 2, FALSE), VLOOKUP(G100, Teams!A:B, 2, FALSE), VLOOKUP(H100, Teams!A:B, 2, FALSE))</f>
        <v>49.250100000000003</v>
      </c>
      <c r="U100" s="46" t="e">
        <f>R100*SUM(S100, T100)/SUM(AVERAGE($S$2:$S100), AVERAGE($T$2:$T100))</f>
        <v>#VALUE!</v>
      </c>
      <c r="V100" s="46" t="e">
        <f>AVERAGE($R$2:$R100)</f>
        <v>#VALUE!</v>
      </c>
      <c r="W100" s="46" t="e">
        <f>AVERAGE($U$2:$U100)</f>
        <v>#VALUE!</v>
      </c>
      <c r="X100" s="4">
        <f t="shared" si="13"/>
        <v>2</v>
      </c>
      <c r="Y100" s="46">
        <f>AVERAGE($X$2:$X100)*0.5</f>
        <v>0.58080808080808077</v>
      </c>
    </row>
    <row r="101" spans="1:25">
      <c r="A101" s="3">
        <f>'Online Results'!L103</f>
        <v>0.62430555555555556</v>
      </c>
      <c r="B101" s="18">
        <f>'Online Results'!M103</f>
        <v>100</v>
      </c>
      <c r="C101" s="20">
        <f>'Online Results'!N103</f>
        <v>4161</v>
      </c>
      <c r="D101" s="20">
        <f>'Online Results'!O103</f>
        <v>3098</v>
      </c>
      <c r="E101" s="20">
        <f>'Online Results'!P103</f>
        <v>1986</v>
      </c>
      <c r="F101" s="19">
        <f>'Online Results'!Q103</f>
        <v>624</v>
      </c>
      <c r="G101" s="19">
        <f>'Online Results'!R103</f>
        <v>116</v>
      </c>
      <c r="H101" s="19">
        <f>'Online Results'!S103</f>
        <v>4269</v>
      </c>
      <c r="I101" s="42">
        <f>SUM(VLOOKUP(C101, Teams!A:B, 2, FALSE), VLOOKUP(D101, Teams!A:B, 2, FALSE), VLOOKUP(E101, Teams!A:B, 2, FALSE))</f>
        <v>57.850083333333338</v>
      </c>
      <c r="J101" s="44">
        <f>SUM(VLOOKUP(F101, Teams!A:B, 2, FALSE), VLOOKUP(G101, Teams!A:B, 2, FALSE), VLOOKUP(H101, Teams!A:B, 2, FALSE))</f>
        <v>45.498570000000001</v>
      </c>
      <c r="K101" s="7">
        <f t="shared" si="7"/>
        <v>2</v>
      </c>
      <c r="L101" s="9">
        <f t="shared" si="8"/>
        <v>0</v>
      </c>
      <c r="M101" s="36">
        <f t="shared" si="9"/>
        <v>45.498570000000001</v>
      </c>
      <c r="N101" s="23" t="str">
        <f>IF('Online Results'!T103="", "", 'Online Results'!T103)</f>
        <v/>
      </c>
      <c r="O101" s="22" t="str">
        <f>IF('Online Results'!U103="", "", 'Online Results'!U103)</f>
        <v/>
      </c>
      <c r="P101" s="47">
        <f t="shared" si="10"/>
        <v>57.850083333333338</v>
      </c>
      <c r="Q101" s="48">
        <f t="shared" si="11"/>
        <v>45.498570000000001</v>
      </c>
      <c r="R101" s="46" t="e">
        <f t="shared" si="12"/>
        <v>#VALUE!</v>
      </c>
      <c r="S101" s="13">
        <f>SUM(VLOOKUP(C101, Teams!A:B, 2, FALSE), VLOOKUP(D101, Teams!A:B, 2, FALSE), VLOOKUP(E101, Teams!A:B, 2, FALSE))</f>
        <v>57.850083333333338</v>
      </c>
      <c r="T101" s="11">
        <f>SUM(VLOOKUP(F101, Teams!A:B, 2, FALSE), VLOOKUP(G101, Teams!A:B, 2, FALSE), VLOOKUP(H101, Teams!A:B, 2, FALSE))</f>
        <v>45.498570000000001</v>
      </c>
      <c r="U101" s="46" t="e">
        <f>R101*SUM(S101, T101)/SUM(AVERAGE($S$2:$S101), AVERAGE($T$2:$T101))</f>
        <v>#VALUE!</v>
      </c>
      <c r="V101" s="46" t="e">
        <f>AVERAGE($R$2:$R101)</f>
        <v>#VALUE!</v>
      </c>
      <c r="W101" s="46" t="e">
        <f>AVERAGE($U$2:$U101)</f>
        <v>#VALUE!</v>
      </c>
      <c r="X101" s="4">
        <f t="shared" si="13"/>
        <v>1</v>
      </c>
      <c r="Y101" s="46">
        <f>AVERAGE($X$2:$X101)*0.5</f>
        <v>0.57999999999999996</v>
      </c>
    </row>
    <row r="102" spans="1:25">
      <c r="A102" s="3">
        <f>'Online Results'!L104</f>
        <v>0.62916666666666665</v>
      </c>
      <c r="B102" s="18">
        <f>'Online Results'!M104</f>
        <v>101</v>
      </c>
      <c r="C102" s="20">
        <f>'Online Results'!N104</f>
        <v>4265</v>
      </c>
      <c r="D102" s="20">
        <f>'Online Results'!O104</f>
        <v>254</v>
      </c>
      <c r="E102" s="20">
        <f>'Online Results'!P104</f>
        <v>461</v>
      </c>
      <c r="F102" s="19">
        <f>'Online Results'!Q104</f>
        <v>1678</v>
      </c>
      <c r="G102" s="19">
        <f>'Online Results'!R104</f>
        <v>4203</v>
      </c>
      <c r="H102" s="19">
        <f>'Online Results'!S104</f>
        <v>1764</v>
      </c>
      <c r="I102" s="42">
        <f>SUM(VLOOKUP(C102, Teams!A:B, 2, FALSE), VLOOKUP(D102, Teams!A:B, 2, FALSE), VLOOKUP(E102, Teams!A:B, 2, FALSE))</f>
        <v>48.546379999999999</v>
      </c>
      <c r="J102" s="44">
        <f>SUM(VLOOKUP(F102, Teams!A:B, 2, FALSE), VLOOKUP(G102, Teams!A:B, 2, FALSE), VLOOKUP(H102, Teams!A:B, 2, FALSE))</f>
        <v>32.672685000000001</v>
      </c>
      <c r="K102" s="7">
        <f t="shared" si="7"/>
        <v>2</v>
      </c>
      <c r="L102" s="9">
        <f t="shared" si="8"/>
        <v>0</v>
      </c>
      <c r="M102" s="36">
        <f t="shared" si="9"/>
        <v>32.672685000000001</v>
      </c>
      <c r="N102" s="23" t="str">
        <f>IF('Online Results'!T104="", "", 'Online Results'!T104)</f>
        <v/>
      </c>
      <c r="O102" s="22" t="str">
        <f>IF('Online Results'!U104="", "", 'Online Results'!U104)</f>
        <v/>
      </c>
      <c r="P102" s="47">
        <f t="shared" si="10"/>
        <v>48.546379999999999</v>
      </c>
      <c r="Q102" s="48">
        <f t="shared" si="11"/>
        <v>32.672685000000001</v>
      </c>
      <c r="R102" s="46" t="e">
        <f t="shared" si="12"/>
        <v>#VALUE!</v>
      </c>
      <c r="S102" s="13">
        <f>SUM(VLOOKUP(C102, Teams!A:B, 2, FALSE), VLOOKUP(D102, Teams!A:B, 2, FALSE), VLOOKUP(E102, Teams!A:B, 2, FALSE))</f>
        <v>48.546379999999999</v>
      </c>
      <c r="T102" s="11">
        <f>SUM(VLOOKUP(F102, Teams!A:B, 2, FALSE), VLOOKUP(G102, Teams!A:B, 2, FALSE), VLOOKUP(H102, Teams!A:B, 2, FALSE))</f>
        <v>32.672685000000001</v>
      </c>
      <c r="U102" s="46" t="e">
        <f>R102*SUM(S102, T102)/SUM(AVERAGE($S$2:$S102), AVERAGE($T$2:$T102))</f>
        <v>#VALUE!</v>
      </c>
      <c r="V102" s="46" t="e">
        <f>AVERAGE($R$2:$R102)</f>
        <v>#VALUE!</v>
      </c>
      <c r="W102" s="46" t="e">
        <f>AVERAGE($U$2:$U102)</f>
        <v>#VALUE!</v>
      </c>
      <c r="X102" s="4">
        <f t="shared" si="13"/>
        <v>1</v>
      </c>
      <c r="Y102" s="46">
        <f>AVERAGE($X$2:$X102)*0.5</f>
        <v>0.57920792079207917</v>
      </c>
    </row>
    <row r="103" spans="1:25">
      <c r="A103" s="3">
        <f>'Online Results'!L105</f>
        <v>0.6333333333333333</v>
      </c>
      <c r="B103" s="18">
        <f>'Online Results'!M105</f>
        <v>102</v>
      </c>
      <c r="C103" s="20">
        <f>'Online Results'!N105</f>
        <v>1391</v>
      </c>
      <c r="D103" s="20">
        <f>'Online Results'!O105</f>
        <v>1143</v>
      </c>
      <c r="E103" s="20">
        <f>'Online Results'!P105</f>
        <v>4226</v>
      </c>
      <c r="F103" s="19">
        <f>'Online Results'!Q105</f>
        <v>971</v>
      </c>
      <c r="G103" s="19">
        <f>'Online Results'!R105</f>
        <v>564</v>
      </c>
      <c r="H103" s="19">
        <f>'Online Results'!S105</f>
        <v>1477</v>
      </c>
      <c r="I103" s="42">
        <f>SUM(VLOOKUP(C103, Teams!A:B, 2, FALSE), VLOOKUP(D103, Teams!A:B, 2, FALSE), VLOOKUP(E103, Teams!A:B, 2, FALSE))</f>
        <v>24.857850000000003</v>
      </c>
      <c r="J103" s="44">
        <f>SUM(VLOOKUP(F103, Teams!A:B, 2, FALSE), VLOOKUP(G103, Teams!A:B, 2, FALSE), VLOOKUP(H103, Teams!A:B, 2, FALSE))</f>
        <v>53.699713333333335</v>
      </c>
      <c r="K103" s="7">
        <f t="shared" si="7"/>
        <v>0</v>
      </c>
      <c r="L103" s="9">
        <f t="shared" si="8"/>
        <v>2</v>
      </c>
      <c r="M103" s="36">
        <f t="shared" si="9"/>
        <v>24.857850000000003</v>
      </c>
      <c r="N103" s="23" t="str">
        <f>IF('Online Results'!T105="", "", 'Online Results'!T105)</f>
        <v/>
      </c>
      <c r="O103" s="22" t="str">
        <f>IF('Online Results'!U105="", "", 'Online Results'!U105)</f>
        <v/>
      </c>
      <c r="P103" s="47">
        <f t="shared" si="10"/>
        <v>24.857850000000003</v>
      </c>
      <c r="Q103" s="48">
        <f t="shared" si="11"/>
        <v>53.699713333333335</v>
      </c>
      <c r="R103" s="46" t="e">
        <f t="shared" si="12"/>
        <v>#VALUE!</v>
      </c>
      <c r="S103" s="13">
        <f>SUM(VLOOKUP(C103, Teams!A:B, 2, FALSE), VLOOKUP(D103, Teams!A:B, 2, FALSE), VLOOKUP(E103, Teams!A:B, 2, FALSE))</f>
        <v>24.857850000000003</v>
      </c>
      <c r="T103" s="11">
        <f>SUM(VLOOKUP(F103, Teams!A:B, 2, FALSE), VLOOKUP(G103, Teams!A:B, 2, FALSE), VLOOKUP(H103, Teams!A:B, 2, FALSE))</f>
        <v>53.699713333333335</v>
      </c>
      <c r="U103" s="46" t="e">
        <f>R103*SUM(S103, T103)/SUM(AVERAGE($S$2:$S103), AVERAGE($T$2:$T103))</f>
        <v>#VALUE!</v>
      </c>
      <c r="V103" s="46" t="e">
        <f>AVERAGE($R$2:$R103)</f>
        <v>#VALUE!</v>
      </c>
      <c r="W103" s="46" t="e">
        <f>AVERAGE($U$2:$U103)</f>
        <v>#VALUE!</v>
      </c>
      <c r="X103" s="4">
        <f t="shared" si="13"/>
        <v>2</v>
      </c>
      <c r="Y103" s="46">
        <f>AVERAGE($X$2:$X103)*0.5</f>
        <v>0.58333333333333337</v>
      </c>
    </row>
    <row r="104" spans="1:25">
      <c r="A104" s="3">
        <f>'Online Results'!L106</f>
        <v>0.63750000000000007</v>
      </c>
      <c r="B104" s="18">
        <f>'Online Results'!M106</f>
        <v>103</v>
      </c>
      <c r="C104" s="20">
        <f>'Online Results'!N106</f>
        <v>120</v>
      </c>
      <c r="D104" s="20">
        <f>'Online Results'!O106</f>
        <v>3807</v>
      </c>
      <c r="E104" s="20">
        <f>'Online Results'!P106</f>
        <v>1817</v>
      </c>
      <c r="F104" s="19">
        <f>'Online Results'!Q106</f>
        <v>3936</v>
      </c>
      <c r="G104" s="19">
        <f>'Online Results'!R106</f>
        <v>1828</v>
      </c>
      <c r="H104" s="19">
        <f>'Online Results'!S106</f>
        <v>2500</v>
      </c>
      <c r="I104" s="42">
        <f>SUM(VLOOKUP(C104, Teams!A:B, 2, FALSE), VLOOKUP(D104, Teams!A:B, 2, FALSE), VLOOKUP(E104, Teams!A:B, 2, FALSE))</f>
        <v>13.755690000000001</v>
      </c>
      <c r="J104" s="44">
        <f>SUM(VLOOKUP(F104, Teams!A:B, 2, FALSE), VLOOKUP(G104, Teams!A:B, 2, FALSE), VLOOKUP(H104, Teams!A:B, 2, FALSE))</f>
        <v>19.024805000000001</v>
      </c>
      <c r="K104" s="7">
        <f t="shared" si="7"/>
        <v>0</v>
      </c>
      <c r="L104" s="9">
        <f t="shared" si="8"/>
        <v>2</v>
      </c>
      <c r="M104" s="36">
        <f t="shared" si="9"/>
        <v>13.755690000000001</v>
      </c>
      <c r="N104" s="23" t="str">
        <f>IF('Online Results'!T106="", "", 'Online Results'!T106)</f>
        <v/>
      </c>
      <c r="O104" s="22" t="str">
        <f>IF('Online Results'!U106="", "", 'Online Results'!U106)</f>
        <v/>
      </c>
      <c r="P104" s="47">
        <f t="shared" si="10"/>
        <v>13.755690000000001</v>
      </c>
      <c r="Q104" s="48">
        <f t="shared" si="11"/>
        <v>19.024805000000001</v>
      </c>
      <c r="R104" s="46" t="e">
        <f t="shared" si="12"/>
        <v>#VALUE!</v>
      </c>
      <c r="S104" s="13">
        <f>SUM(VLOOKUP(C104, Teams!A:B, 2, FALSE), VLOOKUP(D104, Teams!A:B, 2, FALSE), VLOOKUP(E104, Teams!A:B, 2, FALSE))</f>
        <v>13.755690000000001</v>
      </c>
      <c r="T104" s="11">
        <f>SUM(VLOOKUP(F104, Teams!A:B, 2, FALSE), VLOOKUP(G104, Teams!A:B, 2, FALSE), VLOOKUP(H104, Teams!A:B, 2, FALSE))</f>
        <v>19.024805000000001</v>
      </c>
      <c r="U104" s="46" t="e">
        <f>R104*SUM(S104, T104)/SUM(AVERAGE($S$2:$S104), AVERAGE($T$2:$T104))</f>
        <v>#VALUE!</v>
      </c>
      <c r="V104" s="46" t="e">
        <f>AVERAGE($R$2:$R104)</f>
        <v>#VALUE!</v>
      </c>
      <c r="W104" s="46" t="e">
        <f>AVERAGE($U$2:$U104)</f>
        <v>#VALUE!</v>
      </c>
      <c r="X104" s="4">
        <f t="shared" si="13"/>
        <v>2</v>
      </c>
      <c r="Y104" s="46">
        <f>AVERAGE($X$2:$X104)*0.5</f>
        <v>0.58737864077669899</v>
      </c>
    </row>
    <row r="105" spans="1:25">
      <c r="A105" s="3">
        <f>'Online Results'!L107</f>
        <v>0.64166666666666672</v>
      </c>
      <c r="B105" s="18">
        <f>'Online Results'!M107</f>
        <v>104</v>
      </c>
      <c r="C105" s="20">
        <f>'Online Results'!N107</f>
        <v>537</v>
      </c>
      <c r="D105" s="20">
        <f>'Online Results'!O107</f>
        <v>694</v>
      </c>
      <c r="E105" s="20">
        <f>'Online Results'!P107</f>
        <v>3711</v>
      </c>
      <c r="F105" s="19">
        <f>'Online Results'!Q107</f>
        <v>2591</v>
      </c>
      <c r="G105" s="19">
        <f>'Online Results'!R107</f>
        <v>2914</v>
      </c>
      <c r="H105" s="19">
        <f>'Online Results'!S107</f>
        <v>1033</v>
      </c>
      <c r="I105" s="42">
        <f>SUM(VLOOKUP(C105, Teams!A:B, 2, FALSE), VLOOKUP(D105, Teams!A:B, 2, FALSE), VLOOKUP(E105, Teams!A:B, 2, FALSE))</f>
        <v>35.578814999999999</v>
      </c>
      <c r="J105" s="44">
        <f>SUM(VLOOKUP(F105, Teams!A:B, 2, FALSE), VLOOKUP(G105, Teams!A:B, 2, FALSE), VLOOKUP(H105, Teams!A:B, 2, FALSE))</f>
        <v>16.976334999999999</v>
      </c>
      <c r="K105" s="7">
        <f t="shared" si="7"/>
        <v>2</v>
      </c>
      <c r="L105" s="9">
        <f t="shared" si="8"/>
        <v>0</v>
      </c>
      <c r="M105" s="36">
        <f t="shared" si="9"/>
        <v>16.976334999999999</v>
      </c>
      <c r="N105" s="23" t="str">
        <f>IF('Online Results'!T107="", "", 'Online Results'!T107)</f>
        <v/>
      </c>
      <c r="O105" s="22" t="str">
        <f>IF('Online Results'!U107="", "", 'Online Results'!U107)</f>
        <v/>
      </c>
      <c r="P105" s="47">
        <f t="shared" si="10"/>
        <v>35.578814999999999</v>
      </c>
      <c r="Q105" s="48">
        <f t="shared" si="11"/>
        <v>16.976334999999999</v>
      </c>
      <c r="R105" s="46" t="e">
        <f t="shared" si="12"/>
        <v>#VALUE!</v>
      </c>
      <c r="S105" s="13">
        <f>SUM(VLOOKUP(C105, Teams!A:B, 2, FALSE), VLOOKUP(D105, Teams!A:B, 2, FALSE), VLOOKUP(E105, Teams!A:B, 2, FALSE))</f>
        <v>35.578814999999999</v>
      </c>
      <c r="T105" s="11">
        <f>SUM(VLOOKUP(F105, Teams!A:B, 2, FALSE), VLOOKUP(G105, Teams!A:B, 2, FALSE), VLOOKUP(H105, Teams!A:B, 2, FALSE))</f>
        <v>16.976334999999999</v>
      </c>
      <c r="U105" s="46" t="e">
        <f>R105*SUM(S105, T105)/SUM(AVERAGE($S$2:$S105), AVERAGE($T$2:$T105))</f>
        <v>#VALUE!</v>
      </c>
      <c r="V105" s="46" t="e">
        <f>AVERAGE($R$2:$R105)</f>
        <v>#VALUE!</v>
      </c>
      <c r="W105" s="46" t="e">
        <f>AVERAGE($U$2:$U105)</f>
        <v>#VALUE!</v>
      </c>
      <c r="X105" s="4">
        <f t="shared" si="13"/>
        <v>1</v>
      </c>
      <c r="Y105" s="46">
        <f>AVERAGE($X$2:$X105)*0.5</f>
        <v>0.58653846153846156</v>
      </c>
    </row>
    <row r="106" spans="1:25">
      <c r="A106" s="3">
        <f>'Online Results'!L108</f>
        <v>0.64583333333333337</v>
      </c>
      <c r="B106" s="18">
        <f>'Online Results'!M108</f>
        <v>105</v>
      </c>
      <c r="C106" s="20">
        <f>'Online Results'!N108</f>
        <v>1741</v>
      </c>
      <c r="D106" s="20">
        <f>'Online Results'!O108</f>
        <v>1912</v>
      </c>
      <c r="E106" s="20">
        <f>'Online Results'!P108</f>
        <v>3288</v>
      </c>
      <c r="F106" s="19">
        <f>'Online Results'!Q108</f>
        <v>207</v>
      </c>
      <c r="G106" s="19">
        <f>'Online Results'!R108</f>
        <v>706</v>
      </c>
      <c r="H106" s="19">
        <f>'Online Results'!S108</f>
        <v>2881</v>
      </c>
      <c r="I106" s="42">
        <f>SUM(VLOOKUP(C106, Teams!A:B, 2, FALSE), VLOOKUP(D106, Teams!A:B, 2, FALSE), VLOOKUP(E106, Teams!A:B, 2, FALSE))</f>
        <v>34.869607999999999</v>
      </c>
      <c r="J106" s="44">
        <f>SUM(VLOOKUP(F106, Teams!A:B, 2, FALSE), VLOOKUP(G106, Teams!A:B, 2, FALSE), VLOOKUP(H106, Teams!A:B, 2, FALSE))</f>
        <v>30.273029999999999</v>
      </c>
      <c r="K106" s="7">
        <f t="shared" si="7"/>
        <v>2</v>
      </c>
      <c r="L106" s="9">
        <f t="shared" si="8"/>
        <v>0</v>
      </c>
      <c r="M106" s="36">
        <f t="shared" si="9"/>
        <v>30.273029999999999</v>
      </c>
      <c r="N106" s="23" t="str">
        <f>IF('Online Results'!T108="", "", 'Online Results'!T108)</f>
        <v/>
      </c>
      <c r="O106" s="22" t="str">
        <f>IF('Online Results'!U108="", "", 'Online Results'!U108)</f>
        <v/>
      </c>
      <c r="P106" s="47">
        <f t="shared" si="10"/>
        <v>34.869607999999999</v>
      </c>
      <c r="Q106" s="48">
        <f t="shared" si="11"/>
        <v>30.273029999999999</v>
      </c>
      <c r="R106" s="46" t="e">
        <f t="shared" si="12"/>
        <v>#VALUE!</v>
      </c>
      <c r="S106" s="13">
        <f>SUM(VLOOKUP(C106, Teams!A:B, 2, FALSE), VLOOKUP(D106, Teams!A:B, 2, FALSE), VLOOKUP(E106, Teams!A:B, 2, FALSE))</f>
        <v>34.869607999999999</v>
      </c>
      <c r="T106" s="11">
        <f>SUM(VLOOKUP(F106, Teams!A:B, 2, FALSE), VLOOKUP(G106, Teams!A:B, 2, FALSE), VLOOKUP(H106, Teams!A:B, 2, FALSE))</f>
        <v>30.273029999999999</v>
      </c>
      <c r="U106" s="46" t="e">
        <f>R106*SUM(S106, T106)/SUM(AVERAGE($S$2:$S106), AVERAGE($T$2:$T106))</f>
        <v>#VALUE!</v>
      </c>
      <c r="V106" s="46" t="e">
        <f>AVERAGE($R$2:$R106)</f>
        <v>#VALUE!</v>
      </c>
      <c r="W106" s="46" t="e">
        <f>AVERAGE($U$2:$U106)</f>
        <v>#VALUE!</v>
      </c>
      <c r="X106" s="4">
        <f t="shared" si="13"/>
        <v>1</v>
      </c>
      <c r="Y106" s="46">
        <f>AVERAGE($X$2:$X106)*0.5</f>
        <v>0.58571428571428574</v>
      </c>
    </row>
    <row r="107" spans="1:25">
      <c r="A107" s="3">
        <f>'Online Results'!L109</f>
        <v>0.65</v>
      </c>
      <c r="B107" s="18">
        <f>'Online Results'!M109</f>
        <v>106</v>
      </c>
      <c r="C107" s="20">
        <f>'Online Results'!N109</f>
        <v>192</v>
      </c>
      <c r="D107" s="20">
        <f>'Online Results'!O109</f>
        <v>3419</v>
      </c>
      <c r="E107" s="20">
        <f>'Online Results'!P109</f>
        <v>233</v>
      </c>
      <c r="F107" s="19">
        <f>'Online Results'!Q109</f>
        <v>51</v>
      </c>
      <c r="G107" s="19">
        <f>'Online Results'!R109</f>
        <v>2164</v>
      </c>
      <c r="H107" s="19">
        <f>'Online Results'!S109</f>
        <v>85</v>
      </c>
      <c r="I107" s="42">
        <f>SUM(VLOOKUP(C107, Teams!A:B, 2, FALSE), VLOOKUP(D107, Teams!A:B, 2, FALSE), VLOOKUP(E107, Teams!A:B, 2, FALSE))</f>
        <v>44.017679999999999</v>
      </c>
      <c r="J107" s="44">
        <f>SUM(VLOOKUP(F107, Teams!A:B, 2, FALSE), VLOOKUP(G107, Teams!A:B, 2, FALSE), VLOOKUP(H107, Teams!A:B, 2, FALSE))</f>
        <v>40.739668333333327</v>
      </c>
      <c r="K107" s="7">
        <f t="shared" si="7"/>
        <v>2</v>
      </c>
      <c r="L107" s="9">
        <f t="shared" si="8"/>
        <v>0</v>
      </c>
      <c r="M107" s="36">
        <f t="shared" si="9"/>
        <v>40.739668333333327</v>
      </c>
      <c r="N107" s="23" t="str">
        <f>IF('Online Results'!T109="", "", 'Online Results'!T109)</f>
        <v/>
      </c>
      <c r="O107" s="22" t="str">
        <f>IF('Online Results'!U109="", "", 'Online Results'!U109)</f>
        <v/>
      </c>
      <c r="P107" s="47">
        <f t="shared" si="10"/>
        <v>44.017679999999999</v>
      </c>
      <c r="Q107" s="48">
        <f t="shared" si="11"/>
        <v>40.739668333333327</v>
      </c>
      <c r="R107" s="46" t="e">
        <f t="shared" si="12"/>
        <v>#VALUE!</v>
      </c>
      <c r="S107" s="13">
        <f>SUM(VLOOKUP(C107, Teams!A:B, 2, FALSE), VLOOKUP(D107, Teams!A:B, 2, FALSE), VLOOKUP(E107, Teams!A:B, 2, FALSE))</f>
        <v>44.017679999999999</v>
      </c>
      <c r="T107" s="11">
        <f>SUM(VLOOKUP(F107, Teams!A:B, 2, FALSE), VLOOKUP(G107, Teams!A:B, 2, FALSE), VLOOKUP(H107, Teams!A:B, 2, FALSE))</f>
        <v>40.739668333333327</v>
      </c>
      <c r="U107" s="46" t="e">
        <f>R107*SUM(S107, T107)/SUM(AVERAGE($S$2:$S107), AVERAGE($T$2:$T107))</f>
        <v>#VALUE!</v>
      </c>
      <c r="V107" s="46" t="e">
        <f>AVERAGE($R$2:$R107)</f>
        <v>#VALUE!</v>
      </c>
      <c r="W107" s="46" t="e">
        <f>AVERAGE($U$2:$U107)</f>
        <v>#VALUE!</v>
      </c>
      <c r="X107" s="4">
        <f t="shared" si="13"/>
        <v>1</v>
      </c>
      <c r="Y107" s="46">
        <f>AVERAGE($X$2:$X107)*0.5</f>
        <v>0.58490566037735847</v>
      </c>
    </row>
    <row r="108" spans="1:25">
      <c r="A108" s="3">
        <f>'Online Results'!L110</f>
        <v>0.65416666666666667</v>
      </c>
      <c r="B108" s="18">
        <f>'Online Results'!M110</f>
        <v>107</v>
      </c>
      <c r="C108" s="20">
        <f>'Online Results'!N110</f>
        <v>1778</v>
      </c>
      <c r="D108" s="20">
        <f>'Online Results'!O110</f>
        <v>836</v>
      </c>
      <c r="E108" s="20">
        <f>'Online Results'!P110</f>
        <v>932</v>
      </c>
      <c r="F108" s="19">
        <f>'Online Results'!Q110</f>
        <v>4253</v>
      </c>
      <c r="G108" s="19">
        <f>'Online Results'!R110</f>
        <v>1266</v>
      </c>
      <c r="H108" s="19">
        <f>'Online Results'!S110</f>
        <v>78</v>
      </c>
      <c r="I108" s="42">
        <f>SUM(VLOOKUP(C108, Teams!A:B, 2, FALSE), VLOOKUP(D108, Teams!A:B, 2, FALSE), VLOOKUP(E108, Teams!A:B, 2, FALSE))</f>
        <v>26.585974999999998</v>
      </c>
      <c r="J108" s="44">
        <f>SUM(VLOOKUP(F108, Teams!A:B, 2, FALSE), VLOOKUP(G108, Teams!A:B, 2, FALSE), VLOOKUP(H108, Teams!A:B, 2, FALSE))</f>
        <v>28.63644</v>
      </c>
      <c r="K108" s="7">
        <f t="shared" si="7"/>
        <v>0</v>
      </c>
      <c r="L108" s="9">
        <f t="shared" si="8"/>
        <v>2</v>
      </c>
      <c r="M108" s="36">
        <f t="shared" si="9"/>
        <v>26.585974999999998</v>
      </c>
      <c r="N108" s="23" t="str">
        <f>IF('Online Results'!T110="", "", 'Online Results'!T110)</f>
        <v/>
      </c>
      <c r="O108" s="22" t="str">
        <f>IF('Online Results'!U110="", "", 'Online Results'!U110)</f>
        <v/>
      </c>
      <c r="P108" s="47">
        <f t="shared" si="10"/>
        <v>26.585974999999998</v>
      </c>
      <c r="Q108" s="48">
        <f t="shared" si="11"/>
        <v>28.63644</v>
      </c>
      <c r="R108" s="46" t="e">
        <f t="shared" si="12"/>
        <v>#VALUE!</v>
      </c>
      <c r="S108" s="13">
        <f>SUM(VLOOKUP(C108, Teams!A:B, 2, FALSE), VLOOKUP(D108, Teams!A:B, 2, FALSE), VLOOKUP(E108, Teams!A:B, 2, FALSE))</f>
        <v>26.585974999999998</v>
      </c>
      <c r="T108" s="11">
        <f>SUM(VLOOKUP(F108, Teams!A:B, 2, FALSE), VLOOKUP(G108, Teams!A:B, 2, FALSE), VLOOKUP(H108, Teams!A:B, 2, FALSE))</f>
        <v>28.63644</v>
      </c>
      <c r="U108" s="46" t="e">
        <f>R108*SUM(S108, T108)/SUM(AVERAGE($S$2:$S108), AVERAGE($T$2:$T108))</f>
        <v>#VALUE!</v>
      </c>
      <c r="V108" s="46" t="e">
        <f>AVERAGE($R$2:$R108)</f>
        <v>#VALUE!</v>
      </c>
      <c r="W108" s="46" t="e">
        <f>AVERAGE($U$2:$U108)</f>
        <v>#VALUE!</v>
      </c>
      <c r="X108" s="4">
        <f t="shared" si="13"/>
        <v>2</v>
      </c>
      <c r="Y108" s="46">
        <f>AVERAGE($X$2:$X108)*0.5</f>
        <v>0.58878504672897192</v>
      </c>
    </row>
    <row r="109" spans="1:25">
      <c r="A109" s="3">
        <f>'Online Results'!L111</f>
        <v>0.65833333333333333</v>
      </c>
      <c r="B109" s="18">
        <f>'Online Results'!M111</f>
        <v>108</v>
      </c>
      <c r="C109" s="20">
        <f>'Online Results'!N111</f>
        <v>4269</v>
      </c>
      <c r="D109" s="20">
        <f>'Online Results'!O111</f>
        <v>3115</v>
      </c>
      <c r="E109" s="20">
        <f>'Online Results'!P111</f>
        <v>503</v>
      </c>
      <c r="F109" s="19">
        <f>'Online Results'!Q111</f>
        <v>178</v>
      </c>
      <c r="G109" s="19">
        <f>'Online Results'!R111</f>
        <v>597</v>
      </c>
      <c r="H109" s="19">
        <f>'Online Results'!S111</f>
        <v>2130</v>
      </c>
      <c r="I109" s="42">
        <f>SUM(VLOOKUP(C109, Teams!A:B, 2, FALSE), VLOOKUP(D109, Teams!A:B, 2, FALSE), VLOOKUP(E109, Teams!A:B, 2, FALSE))</f>
        <v>17.193861000000002</v>
      </c>
      <c r="J109" s="44">
        <f>SUM(VLOOKUP(F109, Teams!A:B, 2, FALSE), VLOOKUP(G109, Teams!A:B, 2, FALSE), VLOOKUP(H109, Teams!A:B, 2, FALSE))</f>
        <v>14.571075999999998</v>
      </c>
      <c r="K109" s="7">
        <f t="shared" si="7"/>
        <v>2</v>
      </c>
      <c r="L109" s="9">
        <f t="shared" si="8"/>
        <v>0</v>
      </c>
      <c r="M109" s="36">
        <f t="shared" si="9"/>
        <v>14.571075999999998</v>
      </c>
      <c r="N109" s="23" t="str">
        <f>IF('Online Results'!T111="", "", 'Online Results'!T111)</f>
        <v/>
      </c>
      <c r="O109" s="22" t="str">
        <f>IF('Online Results'!U111="", "", 'Online Results'!U111)</f>
        <v/>
      </c>
      <c r="P109" s="47">
        <f t="shared" si="10"/>
        <v>17.193861000000002</v>
      </c>
      <c r="Q109" s="48">
        <f t="shared" si="11"/>
        <v>14.571075999999998</v>
      </c>
      <c r="R109" s="46" t="e">
        <f t="shared" si="12"/>
        <v>#VALUE!</v>
      </c>
      <c r="S109" s="13">
        <f>SUM(VLOOKUP(C109, Teams!A:B, 2, FALSE), VLOOKUP(D109, Teams!A:B, 2, FALSE), VLOOKUP(E109, Teams!A:B, 2, FALSE))</f>
        <v>17.193861000000002</v>
      </c>
      <c r="T109" s="11">
        <f>SUM(VLOOKUP(F109, Teams!A:B, 2, FALSE), VLOOKUP(G109, Teams!A:B, 2, FALSE), VLOOKUP(H109, Teams!A:B, 2, FALSE))</f>
        <v>14.571075999999998</v>
      </c>
      <c r="U109" s="46" t="e">
        <f>R109*SUM(S109, T109)/SUM(AVERAGE($S$2:$S109), AVERAGE($T$2:$T109))</f>
        <v>#VALUE!</v>
      </c>
      <c r="V109" s="46" t="e">
        <f>AVERAGE($R$2:$R109)</f>
        <v>#VALUE!</v>
      </c>
      <c r="W109" s="46" t="e">
        <f>AVERAGE($U$2:$U109)</f>
        <v>#VALUE!</v>
      </c>
      <c r="X109" s="4">
        <f t="shared" si="13"/>
        <v>1</v>
      </c>
      <c r="Y109" s="46">
        <f>AVERAGE($X$2:$X109)*0.5</f>
        <v>0.58796296296296291</v>
      </c>
    </row>
    <row r="110" spans="1:25">
      <c r="A110" s="3">
        <f>'Online Results'!L112</f>
        <v>0.66249999999999998</v>
      </c>
      <c r="B110" s="18">
        <f>'Online Results'!M112</f>
        <v>109</v>
      </c>
      <c r="C110" s="20">
        <f>'Online Results'!N112</f>
        <v>415</v>
      </c>
      <c r="D110" s="20">
        <f>'Online Results'!O112</f>
        <v>702</v>
      </c>
      <c r="E110" s="20">
        <f>'Online Results'!P112</f>
        <v>2626</v>
      </c>
      <c r="F110" s="19">
        <f>'Online Results'!Q112</f>
        <v>2522</v>
      </c>
      <c r="G110" s="19">
        <f>'Online Results'!R112</f>
        <v>4069</v>
      </c>
      <c r="H110" s="19">
        <f>'Online Results'!S112</f>
        <v>341</v>
      </c>
      <c r="I110" s="42">
        <f>SUM(VLOOKUP(C110, Teams!A:B, 2, FALSE), VLOOKUP(D110, Teams!A:B, 2, FALSE), VLOOKUP(E110, Teams!A:B, 2, FALSE))</f>
        <v>28.656975000000003</v>
      </c>
      <c r="J110" s="44">
        <f>SUM(VLOOKUP(F110, Teams!A:B, 2, FALSE), VLOOKUP(G110, Teams!A:B, 2, FALSE), VLOOKUP(H110, Teams!A:B, 2, FALSE))</f>
        <v>59.993324999999999</v>
      </c>
      <c r="K110" s="7">
        <f t="shared" si="7"/>
        <v>0</v>
      </c>
      <c r="L110" s="9">
        <f t="shared" si="8"/>
        <v>2</v>
      </c>
      <c r="M110" s="36">
        <f t="shared" si="9"/>
        <v>28.656975000000003</v>
      </c>
      <c r="N110" s="23" t="str">
        <f>IF('Online Results'!T112="", "", 'Online Results'!T112)</f>
        <v/>
      </c>
      <c r="O110" s="22" t="str">
        <f>IF('Online Results'!U112="", "", 'Online Results'!U112)</f>
        <v/>
      </c>
      <c r="P110" s="47">
        <f t="shared" si="10"/>
        <v>28.656975000000003</v>
      </c>
      <c r="Q110" s="48">
        <f t="shared" si="11"/>
        <v>59.993324999999999</v>
      </c>
      <c r="R110" s="46" t="e">
        <f t="shared" si="12"/>
        <v>#VALUE!</v>
      </c>
      <c r="S110" s="13">
        <f>SUM(VLOOKUP(C110, Teams!A:B, 2, FALSE), VLOOKUP(D110, Teams!A:B, 2, FALSE), VLOOKUP(E110, Teams!A:B, 2, FALSE))</f>
        <v>28.656975000000003</v>
      </c>
      <c r="T110" s="11">
        <f>SUM(VLOOKUP(F110, Teams!A:B, 2, FALSE), VLOOKUP(G110, Teams!A:B, 2, FALSE), VLOOKUP(H110, Teams!A:B, 2, FALSE))</f>
        <v>59.993324999999999</v>
      </c>
      <c r="U110" s="46" t="e">
        <f>R110*SUM(S110, T110)/SUM(AVERAGE($S$2:$S110), AVERAGE($T$2:$T110))</f>
        <v>#VALUE!</v>
      </c>
      <c r="V110" s="46" t="e">
        <f>AVERAGE($R$2:$R110)</f>
        <v>#VALUE!</v>
      </c>
      <c r="W110" s="46" t="e">
        <f>AVERAGE($U$2:$U110)</f>
        <v>#VALUE!</v>
      </c>
      <c r="X110" s="4">
        <f t="shared" si="13"/>
        <v>2</v>
      </c>
      <c r="Y110" s="46">
        <f>AVERAGE($X$2:$X110)*0.5</f>
        <v>0.59174311926605505</v>
      </c>
    </row>
    <row r="111" spans="1:25">
      <c r="A111" s="3">
        <f>'Online Results'!L113</f>
        <v>0.66666666666666663</v>
      </c>
      <c r="B111" s="18">
        <f>'Online Results'!M113</f>
        <v>110</v>
      </c>
      <c r="C111" s="20">
        <f>'Online Results'!N113</f>
        <v>3940</v>
      </c>
      <c r="D111" s="20">
        <f>'Online Results'!O113</f>
        <v>3528</v>
      </c>
      <c r="E111" s="20">
        <f>'Online Results'!P113</f>
        <v>3965</v>
      </c>
      <c r="F111" s="19">
        <f>'Online Results'!Q113</f>
        <v>1501</v>
      </c>
      <c r="G111" s="19">
        <f>'Online Results'!R113</f>
        <v>2102</v>
      </c>
      <c r="H111" s="19">
        <f>'Online Results'!S113</f>
        <v>1319</v>
      </c>
      <c r="I111" s="42">
        <f>SUM(VLOOKUP(C111, Teams!A:B, 2, FALSE), VLOOKUP(D111, Teams!A:B, 2, FALSE), VLOOKUP(E111, Teams!A:B, 2, FALSE))</f>
        <v>44.706599999999995</v>
      </c>
      <c r="J111" s="44">
        <f>SUM(VLOOKUP(F111, Teams!A:B, 2, FALSE), VLOOKUP(G111, Teams!A:B, 2, FALSE), VLOOKUP(H111, Teams!A:B, 2, FALSE))</f>
        <v>25.119523333333333</v>
      </c>
      <c r="K111" s="7">
        <f t="shared" si="7"/>
        <v>2</v>
      </c>
      <c r="L111" s="9">
        <f t="shared" si="8"/>
        <v>0</v>
      </c>
      <c r="M111" s="36">
        <f t="shared" si="9"/>
        <v>25.119523333333333</v>
      </c>
      <c r="N111" s="23" t="str">
        <f>IF('Online Results'!T113="", "", 'Online Results'!T113)</f>
        <v/>
      </c>
      <c r="O111" s="22" t="str">
        <f>IF('Online Results'!U113="", "", 'Online Results'!U113)</f>
        <v/>
      </c>
      <c r="P111" s="47">
        <f t="shared" si="10"/>
        <v>44.706599999999995</v>
      </c>
      <c r="Q111" s="48">
        <f t="shared" si="11"/>
        <v>25.119523333333333</v>
      </c>
      <c r="R111" s="46" t="e">
        <f t="shared" si="12"/>
        <v>#VALUE!</v>
      </c>
      <c r="S111" s="13">
        <f>SUM(VLOOKUP(C111, Teams!A:B, 2, FALSE), VLOOKUP(D111, Teams!A:B, 2, FALSE), VLOOKUP(E111, Teams!A:B, 2, FALSE))</f>
        <v>44.706599999999995</v>
      </c>
      <c r="T111" s="11">
        <f>SUM(VLOOKUP(F111, Teams!A:B, 2, FALSE), VLOOKUP(G111, Teams!A:B, 2, FALSE), VLOOKUP(H111, Teams!A:B, 2, FALSE))</f>
        <v>25.119523333333333</v>
      </c>
      <c r="U111" s="46" t="e">
        <f>R111*SUM(S111, T111)/SUM(AVERAGE($S$2:$S111), AVERAGE($T$2:$T111))</f>
        <v>#VALUE!</v>
      </c>
      <c r="V111" s="46" t="e">
        <f>AVERAGE($R$2:$R111)</f>
        <v>#VALUE!</v>
      </c>
      <c r="W111" s="46" t="e">
        <f>AVERAGE($U$2:$U111)</f>
        <v>#VALUE!</v>
      </c>
      <c r="X111" s="4">
        <f t="shared" si="13"/>
        <v>1</v>
      </c>
      <c r="Y111" s="46">
        <f>AVERAGE($X$2:$X111)*0.5</f>
        <v>0.59090909090909094</v>
      </c>
    </row>
    <row r="112" spans="1:25">
      <c r="A112" s="3">
        <f>'Online Results'!L114</f>
        <v>0.67083333333333339</v>
      </c>
      <c r="B112" s="18">
        <f>'Online Results'!M114</f>
        <v>111</v>
      </c>
      <c r="C112" s="20">
        <f>'Online Results'!N114</f>
        <v>288</v>
      </c>
      <c r="D112" s="20">
        <f>'Online Results'!O114</f>
        <v>604</v>
      </c>
      <c r="E112" s="20">
        <f>'Online Results'!P114</f>
        <v>3929</v>
      </c>
      <c r="F112" s="19">
        <f>'Online Results'!Q114</f>
        <v>3205</v>
      </c>
      <c r="G112" s="19">
        <f>'Online Results'!R114</f>
        <v>3860</v>
      </c>
      <c r="H112" s="19">
        <f>'Online Results'!S114</f>
        <v>3951</v>
      </c>
      <c r="I112" s="42">
        <f>SUM(VLOOKUP(C112, Teams!A:B, 2, FALSE), VLOOKUP(D112, Teams!A:B, 2, FALSE), VLOOKUP(E112, Teams!A:B, 2, FALSE))</f>
        <v>29.817084999999999</v>
      </c>
      <c r="J112" s="44">
        <f>SUM(VLOOKUP(F112, Teams!A:B, 2, FALSE), VLOOKUP(G112, Teams!A:B, 2, FALSE), VLOOKUP(H112, Teams!A:B, 2, FALSE))</f>
        <v>34.40175</v>
      </c>
      <c r="K112" s="7">
        <f t="shared" si="7"/>
        <v>0</v>
      </c>
      <c r="L112" s="9">
        <f t="shared" si="8"/>
        <v>2</v>
      </c>
      <c r="M112" s="36">
        <f t="shared" si="9"/>
        <v>29.817084999999999</v>
      </c>
      <c r="N112" s="23" t="str">
        <f>IF('Online Results'!T114="", "", 'Online Results'!T114)</f>
        <v/>
      </c>
      <c r="O112" s="22" t="str">
        <f>IF('Online Results'!U114="", "", 'Online Results'!U114)</f>
        <v/>
      </c>
      <c r="P112" s="47">
        <f t="shared" si="10"/>
        <v>29.817084999999999</v>
      </c>
      <c r="Q112" s="48">
        <f t="shared" si="11"/>
        <v>34.40175</v>
      </c>
      <c r="R112" s="46" t="e">
        <f t="shared" si="12"/>
        <v>#VALUE!</v>
      </c>
      <c r="S112" s="13">
        <f>SUM(VLOOKUP(C112, Teams!A:B, 2, FALSE), VLOOKUP(D112, Teams!A:B, 2, FALSE), VLOOKUP(E112, Teams!A:B, 2, FALSE))</f>
        <v>29.817084999999999</v>
      </c>
      <c r="T112" s="11">
        <f>SUM(VLOOKUP(F112, Teams!A:B, 2, FALSE), VLOOKUP(G112, Teams!A:B, 2, FALSE), VLOOKUP(H112, Teams!A:B, 2, FALSE))</f>
        <v>34.40175</v>
      </c>
      <c r="U112" s="46" t="e">
        <f>R112*SUM(S112, T112)/SUM(AVERAGE($S$2:$S112), AVERAGE($T$2:$T112))</f>
        <v>#VALUE!</v>
      </c>
      <c r="V112" s="46" t="e">
        <f>AVERAGE($R$2:$R112)</f>
        <v>#VALUE!</v>
      </c>
      <c r="W112" s="46" t="e">
        <f>AVERAGE($U$2:$U112)</f>
        <v>#VALUE!</v>
      </c>
      <c r="X112" s="4">
        <f t="shared" si="13"/>
        <v>2</v>
      </c>
      <c r="Y112" s="46">
        <f>AVERAGE($X$2:$X112)*0.5</f>
        <v>0.59459459459459463</v>
      </c>
    </row>
    <row r="113" spans="1:25">
      <c r="A113" s="3">
        <f>'Online Results'!L115</f>
        <v>0.67499999999999993</v>
      </c>
      <c r="B113" s="18">
        <f>'Online Results'!M115</f>
        <v>112</v>
      </c>
      <c r="C113" s="20">
        <f>'Online Results'!N115</f>
        <v>3098</v>
      </c>
      <c r="D113" s="20">
        <f>'Online Results'!O115</f>
        <v>3847</v>
      </c>
      <c r="E113" s="20">
        <f>'Online Results'!P115</f>
        <v>3880</v>
      </c>
      <c r="F113" s="19">
        <f>'Online Results'!Q115</f>
        <v>1511</v>
      </c>
      <c r="G113" s="19">
        <f>'Online Results'!R115</f>
        <v>2844</v>
      </c>
      <c r="H113" s="19">
        <f>'Online Results'!S115</f>
        <v>4130</v>
      </c>
      <c r="I113" s="42">
        <f>SUM(VLOOKUP(C113, Teams!A:B, 2, FALSE), VLOOKUP(D113, Teams!A:B, 2, FALSE), VLOOKUP(E113, Teams!A:B, 2, FALSE))</f>
        <v>36.15438833333333</v>
      </c>
      <c r="J113" s="44">
        <f>SUM(VLOOKUP(F113, Teams!A:B, 2, FALSE), VLOOKUP(G113, Teams!A:B, 2, FALSE), VLOOKUP(H113, Teams!A:B, 2, FALSE))</f>
        <v>22.969304999999999</v>
      </c>
      <c r="K113" s="7">
        <f t="shared" si="7"/>
        <v>2</v>
      </c>
      <c r="L113" s="9">
        <f t="shared" si="8"/>
        <v>0</v>
      </c>
      <c r="M113" s="36">
        <f t="shared" si="9"/>
        <v>22.969304999999999</v>
      </c>
      <c r="N113" s="23" t="str">
        <f>IF('Online Results'!T115="", "", 'Online Results'!T115)</f>
        <v/>
      </c>
      <c r="O113" s="22" t="str">
        <f>IF('Online Results'!U115="", "", 'Online Results'!U115)</f>
        <v/>
      </c>
      <c r="P113" s="47">
        <f t="shared" si="10"/>
        <v>36.15438833333333</v>
      </c>
      <c r="Q113" s="48">
        <f t="shared" si="11"/>
        <v>22.969304999999999</v>
      </c>
      <c r="R113" s="46" t="e">
        <f t="shared" si="12"/>
        <v>#VALUE!</v>
      </c>
      <c r="S113" s="13">
        <f>SUM(VLOOKUP(C113, Teams!A:B, 2, FALSE), VLOOKUP(D113, Teams!A:B, 2, FALSE), VLOOKUP(E113, Teams!A:B, 2, FALSE))</f>
        <v>36.15438833333333</v>
      </c>
      <c r="T113" s="11">
        <f>SUM(VLOOKUP(F113, Teams!A:B, 2, FALSE), VLOOKUP(G113, Teams!A:B, 2, FALSE), VLOOKUP(H113, Teams!A:B, 2, FALSE))</f>
        <v>22.969304999999999</v>
      </c>
      <c r="U113" s="46" t="e">
        <f>R113*SUM(S113, T113)/SUM(AVERAGE($S$2:$S113), AVERAGE($T$2:$T113))</f>
        <v>#VALUE!</v>
      </c>
      <c r="V113" s="46" t="e">
        <f>AVERAGE($R$2:$R113)</f>
        <v>#VALUE!</v>
      </c>
      <c r="W113" s="46" t="e">
        <f>AVERAGE($U$2:$U113)</f>
        <v>#VALUE!</v>
      </c>
      <c r="X113" s="4">
        <f t="shared" si="13"/>
        <v>1</v>
      </c>
      <c r="Y113" s="46">
        <f>AVERAGE($X$2:$X113)*0.5</f>
        <v>0.59375</v>
      </c>
    </row>
    <row r="114" spans="1:25">
      <c r="A114" s="3">
        <f>'Online Results'!L116</f>
        <v>0.6791666666666667</v>
      </c>
      <c r="B114" s="18">
        <f>'Online Results'!M116</f>
        <v>113</v>
      </c>
      <c r="C114" s="20">
        <f>'Online Results'!N116</f>
        <v>3132</v>
      </c>
      <c r="D114" s="20">
        <f>'Online Results'!O116</f>
        <v>1885</v>
      </c>
      <c r="E114" s="20">
        <f>'Online Results'!P116</f>
        <v>3970</v>
      </c>
      <c r="F114" s="19">
        <f>'Online Results'!Q116</f>
        <v>830</v>
      </c>
      <c r="G114" s="19">
        <f>'Online Results'!R116</f>
        <v>571</v>
      </c>
      <c r="H114" s="19">
        <f>'Online Results'!S116</f>
        <v>1683</v>
      </c>
      <c r="I114" s="42">
        <f>SUM(VLOOKUP(C114, Teams!A:B, 2, FALSE), VLOOKUP(D114, Teams!A:B, 2, FALSE), VLOOKUP(E114, Teams!A:B, 2, FALSE))</f>
        <v>28.00741</v>
      </c>
      <c r="J114" s="44">
        <f>SUM(VLOOKUP(F114, Teams!A:B, 2, FALSE), VLOOKUP(G114, Teams!A:B, 2, FALSE), VLOOKUP(H114, Teams!A:B, 2, FALSE))</f>
        <v>26.712156666666665</v>
      </c>
      <c r="K114" s="7">
        <f t="shared" si="7"/>
        <v>2</v>
      </c>
      <c r="L114" s="9">
        <f t="shared" si="8"/>
        <v>0</v>
      </c>
      <c r="M114" s="36">
        <f t="shared" si="9"/>
        <v>26.712156666666665</v>
      </c>
      <c r="N114" s="23" t="str">
        <f>IF('Online Results'!T116="", "", 'Online Results'!T116)</f>
        <v/>
      </c>
      <c r="O114" s="22" t="str">
        <f>IF('Online Results'!U116="", "", 'Online Results'!U116)</f>
        <v/>
      </c>
      <c r="P114" s="47">
        <f t="shared" si="10"/>
        <v>28.00741</v>
      </c>
      <c r="Q114" s="48">
        <f t="shared" si="11"/>
        <v>26.712156666666665</v>
      </c>
      <c r="R114" s="46" t="e">
        <f t="shared" si="12"/>
        <v>#VALUE!</v>
      </c>
      <c r="S114" s="13">
        <f>SUM(VLOOKUP(C114, Teams!A:B, 2, FALSE), VLOOKUP(D114, Teams!A:B, 2, FALSE), VLOOKUP(E114, Teams!A:B, 2, FALSE))</f>
        <v>28.00741</v>
      </c>
      <c r="T114" s="11">
        <f>SUM(VLOOKUP(F114, Teams!A:B, 2, FALSE), VLOOKUP(G114, Teams!A:B, 2, FALSE), VLOOKUP(H114, Teams!A:B, 2, FALSE))</f>
        <v>26.712156666666665</v>
      </c>
      <c r="U114" s="46" t="e">
        <f>R114*SUM(S114, T114)/SUM(AVERAGE($S$2:$S114), AVERAGE($T$2:$T114))</f>
        <v>#VALUE!</v>
      </c>
      <c r="V114" s="46" t="e">
        <f>AVERAGE($R$2:$R114)</f>
        <v>#VALUE!</v>
      </c>
      <c r="W114" s="46" t="e">
        <f>AVERAGE($U$2:$U114)</f>
        <v>#VALUE!</v>
      </c>
      <c r="X114" s="4">
        <f t="shared" si="13"/>
        <v>1</v>
      </c>
      <c r="Y114" s="46">
        <f>AVERAGE($X$2:$X114)*0.5</f>
        <v>0.59292035398230092</v>
      </c>
    </row>
    <row r="115" spans="1:25">
      <c r="A115" s="3">
        <f>'Online Results'!L117</f>
        <v>0.68333333333333324</v>
      </c>
      <c r="B115" s="18">
        <f>'Online Results'!M117</f>
        <v>114</v>
      </c>
      <c r="C115" s="20">
        <f>'Online Results'!N117</f>
        <v>525</v>
      </c>
      <c r="D115" s="20">
        <f>'Online Results'!O117</f>
        <v>2474</v>
      </c>
      <c r="E115" s="20">
        <f>'Online Results'!P117</f>
        <v>116</v>
      </c>
      <c r="F115" s="19">
        <f>'Online Results'!Q117</f>
        <v>433</v>
      </c>
      <c r="G115" s="19">
        <f>'Online Results'!R117</f>
        <v>3941</v>
      </c>
      <c r="H115" s="19">
        <f>'Online Results'!S117</f>
        <v>1649</v>
      </c>
      <c r="I115" s="42">
        <f>SUM(VLOOKUP(C115, Teams!A:B, 2, FALSE), VLOOKUP(D115, Teams!A:B, 2, FALSE), VLOOKUP(E115, Teams!A:B, 2, FALSE))</f>
        <v>55.160624999999996</v>
      </c>
      <c r="J115" s="44">
        <f>SUM(VLOOKUP(F115, Teams!A:B, 2, FALSE), VLOOKUP(G115, Teams!A:B, 2, FALSE), VLOOKUP(H115, Teams!A:B, 2, FALSE))</f>
        <v>12.546329999999999</v>
      </c>
      <c r="K115" s="7">
        <f t="shared" si="7"/>
        <v>2</v>
      </c>
      <c r="L115" s="9">
        <f t="shared" si="8"/>
        <v>0</v>
      </c>
      <c r="M115" s="36">
        <f t="shared" si="9"/>
        <v>12.546329999999999</v>
      </c>
      <c r="N115" s="23" t="str">
        <f>IF('Online Results'!T117="", "", 'Online Results'!T117)</f>
        <v/>
      </c>
      <c r="O115" s="22" t="str">
        <f>IF('Online Results'!U117="", "", 'Online Results'!U117)</f>
        <v/>
      </c>
      <c r="P115" s="47">
        <f t="shared" si="10"/>
        <v>55.160624999999996</v>
      </c>
      <c r="Q115" s="48">
        <f t="shared" si="11"/>
        <v>12.546329999999999</v>
      </c>
      <c r="R115" s="46" t="e">
        <f t="shared" si="12"/>
        <v>#VALUE!</v>
      </c>
      <c r="S115" s="13">
        <f>SUM(VLOOKUP(C115, Teams!A:B, 2, FALSE), VLOOKUP(D115, Teams!A:B, 2, FALSE), VLOOKUP(E115, Teams!A:B, 2, FALSE))</f>
        <v>55.160624999999996</v>
      </c>
      <c r="T115" s="11">
        <f>SUM(VLOOKUP(F115, Teams!A:B, 2, FALSE), VLOOKUP(G115, Teams!A:B, 2, FALSE), VLOOKUP(H115, Teams!A:B, 2, FALSE))</f>
        <v>12.546329999999999</v>
      </c>
      <c r="U115" s="46" t="e">
        <f>R115*SUM(S115, T115)/SUM(AVERAGE($S$2:$S115), AVERAGE($T$2:$T115))</f>
        <v>#VALUE!</v>
      </c>
      <c r="V115" s="46" t="e">
        <f>AVERAGE($R$2:$R115)</f>
        <v>#VALUE!</v>
      </c>
      <c r="W115" s="46" t="e">
        <f>AVERAGE($U$2:$U115)</f>
        <v>#VALUE!</v>
      </c>
      <c r="X115" s="4">
        <f t="shared" si="13"/>
        <v>1</v>
      </c>
      <c r="Y115" s="46">
        <f>AVERAGE($X$2:$X115)*0.5</f>
        <v>0.59210526315789469</v>
      </c>
    </row>
    <row r="116" spans="1:25">
      <c r="A116" s="3">
        <f>'Online Results'!L118</f>
        <v>0.6875</v>
      </c>
      <c r="B116" s="18">
        <f>'Online Results'!M118</f>
        <v>115</v>
      </c>
      <c r="C116" s="20">
        <f>'Online Results'!N118</f>
        <v>2757</v>
      </c>
      <c r="D116" s="20">
        <f>'Online Results'!O118</f>
        <v>1985</v>
      </c>
      <c r="E116" s="20">
        <f>'Online Results'!P118</f>
        <v>2180</v>
      </c>
      <c r="F116" s="19">
        <f>'Online Results'!Q118</f>
        <v>2960</v>
      </c>
      <c r="G116" s="19">
        <f>'Online Results'!R118</f>
        <v>244</v>
      </c>
      <c r="H116" s="19">
        <f>'Online Results'!S118</f>
        <v>1986</v>
      </c>
      <c r="I116" s="42">
        <f>SUM(VLOOKUP(C116, Teams!A:B, 2, FALSE), VLOOKUP(D116, Teams!A:B, 2, FALSE), VLOOKUP(E116, Teams!A:B, 2, FALSE))</f>
        <v>37.6678</v>
      </c>
      <c r="J116" s="44">
        <f>SUM(VLOOKUP(F116, Teams!A:B, 2, FALSE), VLOOKUP(G116, Teams!A:B, 2, FALSE), VLOOKUP(H116, Teams!A:B, 2, FALSE))</f>
        <v>48.507720000000006</v>
      </c>
      <c r="K116" s="7">
        <f t="shared" si="7"/>
        <v>0</v>
      </c>
      <c r="L116" s="9">
        <f t="shared" si="8"/>
        <v>2</v>
      </c>
      <c r="M116" s="36">
        <f t="shared" si="9"/>
        <v>37.6678</v>
      </c>
      <c r="N116" s="23" t="str">
        <f>IF('Online Results'!T118="", "", 'Online Results'!T118)</f>
        <v/>
      </c>
      <c r="O116" s="22" t="str">
        <f>IF('Online Results'!U118="", "", 'Online Results'!U118)</f>
        <v/>
      </c>
      <c r="P116" s="47">
        <f t="shared" si="10"/>
        <v>37.6678</v>
      </c>
      <c r="Q116" s="48">
        <f t="shared" si="11"/>
        <v>48.507720000000006</v>
      </c>
      <c r="R116" s="46" t="e">
        <f t="shared" si="12"/>
        <v>#VALUE!</v>
      </c>
      <c r="S116" s="13">
        <f>SUM(VLOOKUP(C116, Teams!A:B, 2, FALSE), VLOOKUP(D116, Teams!A:B, 2, FALSE), VLOOKUP(E116, Teams!A:B, 2, FALSE))</f>
        <v>37.6678</v>
      </c>
      <c r="T116" s="11">
        <f>SUM(VLOOKUP(F116, Teams!A:B, 2, FALSE), VLOOKUP(G116, Teams!A:B, 2, FALSE), VLOOKUP(H116, Teams!A:B, 2, FALSE))</f>
        <v>48.507720000000006</v>
      </c>
      <c r="U116" s="46" t="e">
        <f>R116*SUM(S116, T116)/SUM(AVERAGE($S$2:$S116), AVERAGE($T$2:$T116))</f>
        <v>#VALUE!</v>
      </c>
      <c r="V116" s="46" t="e">
        <f>AVERAGE($R$2:$R116)</f>
        <v>#VALUE!</v>
      </c>
      <c r="W116" s="46" t="e">
        <f>AVERAGE($U$2:$U116)</f>
        <v>#VALUE!</v>
      </c>
      <c r="X116" s="4">
        <f t="shared" si="13"/>
        <v>2</v>
      </c>
      <c r="Y116" s="46">
        <f>AVERAGE($X$2:$X116)*0.5</f>
        <v>0.59565217391304348</v>
      </c>
    </row>
    <row r="117" spans="1:25">
      <c r="A117" s="3">
        <f>'Online Results'!L119</f>
        <v>0.69166666666666676</v>
      </c>
      <c r="B117" s="18">
        <f>'Online Results'!M119</f>
        <v>116</v>
      </c>
      <c r="C117" s="20">
        <f>'Online Results'!N119</f>
        <v>27</v>
      </c>
      <c r="D117" s="20">
        <f>'Online Results'!O119</f>
        <v>987</v>
      </c>
      <c r="E117" s="20">
        <f>'Online Results'!P119</f>
        <v>58</v>
      </c>
      <c r="F117" s="19">
        <f>'Online Results'!Q119</f>
        <v>4161</v>
      </c>
      <c r="G117" s="19">
        <f>'Online Results'!R119</f>
        <v>293</v>
      </c>
      <c r="H117" s="19">
        <f>'Online Results'!S119</f>
        <v>1690</v>
      </c>
      <c r="I117" s="42">
        <f>SUM(VLOOKUP(C117, Teams!A:B, 2, FALSE), VLOOKUP(D117, Teams!A:B, 2, FALSE), VLOOKUP(E117, Teams!A:B, 2, FALSE))</f>
        <v>71.127274999999997</v>
      </c>
      <c r="J117" s="44">
        <f>SUM(VLOOKUP(F117, Teams!A:B, 2, FALSE), VLOOKUP(G117, Teams!A:B, 2, FALSE), VLOOKUP(H117, Teams!A:B, 2, FALSE))</f>
        <v>27.905340000000002</v>
      </c>
      <c r="K117" s="7">
        <f t="shared" si="7"/>
        <v>2</v>
      </c>
      <c r="L117" s="9">
        <f t="shared" si="8"/>
        <v>0</v>
      </c>
      <c r="M117" s="36">
        <f t="shared" si="9"/>
        <v>27.905340000000002</v>
      </c>
      <c r="N117" s="23" t="str">
        <f>IF('Online Results'!T119="", "", 'Online Results'!T119)</f>
        <v/>
      </c>
      <c r="O117" s="22" t="str">
        <f>IF('Online Results'!U119="", "", 'Online Results'!U119)</f>
        <v/>
      </c>
      <c r="P117" s="47">
        <f t="shared" si="10"/>
        <v>71.127274999999997</v>
      </c>
      <c r="Q117" s="48">
        <f t="shared" si="11"/>
        <v>27.905340000000002</v>
      </c>
      <c r="R117" s="46" t="e">
        <f t="shared" si="12"/>
        <v>#VALUE!</v>
      </c>
      <c r="S117" s="13">
        <f>SUM(VLOOKUP(C117, Teams!A:B, 2, FALSE), VLOOKUP(D117, Teams!A:B, 2, FALSE), VLOOKUP(E117, Teams!A:B, 2, FALSE))</f>
        <v>71.127274999999997</v>
      </c>
      <c r="T117" s="11">
        <f>SUM(VLOOKUP(F117, Teams!A:B, 2, FALSE), VLOOKUP(G117, Teams!A:B, 2, FALSE), VLOOKUP(H117, Teams!A:B, 2, FALSE))</f>
        <v>27.905340000000002</v>
      </c>
      <c r="U117" s="46" t="e">
        <f>R117*SUM(S117, T117)/SUM(AVERAGE($S$2:$S117), AVERAGE($T$2:$T117))</f>
        <v>#VALUE!</v>
      </c>
      <c r="V117" s="46" t="e">
        <f>AVERAGE($R$2:$R117)</f>
        <v>#VALUE!</v>
      </c>
      <c r="W117" s="46" t="e">
        <f>AVERAGE($U$2:$U117)</f>
        <v>#VALUE!</v>
      </c>
      <c r="X117" s="4">
        <f t="shared" si="13"/>
        <v>1</v>
      </c>
      <c r="Y117" s="46">
        <f>AVERAGE($X$2:$X117)*0.5</f>
        <v>0.59482758620689657</v>
      </c>
    </row>
    <row r="118" spans="1:25">
      <c r="A118" s="3">
        <f>'Online Results'!L120</f>
        <v>0.6958333333333333</v>
      </c>
      <c r="B118" s="18">
        <f>'Online Results'!M120</f>
        <v>117</v>
      </c>
      <c r="C118" s="20">
        <f>'Online Results'!N120</f>
        <v>279</v>
      </c>
      <c r="D118" s="20">
        <f>'Online Results'!O120</f>
        <v>624</v>
      </c>
      <c r="E118" s="20">
        <f>'Online Results'!P120</f>
        <v>178</v>
      </c>
      <c r="F118" s="19">
        <f>'Online Results'!Q120</f>
        <v>1507</v>
      </c>
      <c r="G118" s="19">
        <f>'Online Results'!R120</f>
        <v>3950</v>
      </c>
      <c r="H118" s="19">
        <f>'Online Results'!S120</f>
        <v>537</v>
      </c>
      <c r="I118" s="42">
        <f>SUM(VLOOKUP(C118, Teams!A:B, 2, FALSE), VLOOKUP(D118, Teams!A:B, 2, FALSE), VLOOKUP(E118, Teams!A:B, 2, FALSE))</f>
        <v>38.880976000000004</v>
      </c>
      <c r="J118" s="44">
        <f>SUM(VLOOKUP(F118, Teams!A:B, 2, FALSE), VLOOKUP(G118, Teams!A:B, 2, FALSE), VLOOKUP(H118, Teams!A:B, 2, FALSE))</f>
        <v>47.540419999999997</v>
      </c>
      <c r="K118" s="7">
        <f t="shared" si="7"/>
        <v>0</v>
      </c>
      <c r="L118" s="9">
        <f t="shared" si="8"/>
        <v>2</v>
      </c>
      <c r="M118" s="36">
        <f t="shared" si="9"/>
        <v>38.880976000000004</v>
      </c>
      <c r="N118" s="23" t="str">
        <f>IF('Online Results'!T120="", "", 'Online Results'!T120)</f>
        <v/>
      </c>
      <c r="O118" s="22" t="str">
        <f>IF('Online Results'!U120="", "", 'Online Results'!U120)</f>
        <v/>
      </c>
      <c r="P118" s="47">
        <f t="shared" si="10"/>
        <v>38.880976000000004</v>
      </c>
      <c r="Q118" s="48">
        <f t="shared" si="11"/>
        <v>47.540419999999997</v>
      </c>
      <c r="R118" s="46" t="e">
        <f t="shared" si="12"/>
        <v>#VALUE!</v>
      </c>
      <c r="S118" s="13">
        <f>SUM(VLOOKUP(C118, Teams!A:B, 2, FALSE), VLOOKUP(D118, Teams!A:B, 2, FALSE), VLOOKUP(E118, Teams!A:B, 2, FALSE))</f>
        <v>38.880976000000004</v>
      </c>
      <c r="T118" s="11">
        <f>SUM(VLOOKUP(F118, Teams!A:B, 2, FALSE), VLOOKUP(G118, Teams!A:B, 2, FALSE), VLOOKUP(H118, Teams!A:B, 2, FALSE))</f>
        <v>47.540419999999997</v>
      </c>
      <c r="U118" s="46" t="e">
        <f>R118*SUM(S118, T118)/SUM(AVERAGE($S$2:$S118), AVERAGE($T$2:$T118))</f>
        <v>#VALUE!</v>
      </c>
      <c r="V118" s="46" t="e">
        <f>AVERAGE($R$2:$R118)</f>
        <v>#VALUE!</v>
      </c>
      <c r="W118" s="46" t="e">
        <f>AVERAGE($U$2:$U118)</f>
        <v>#VALUE!</v>
      </c>
      <c r="X118" s="4">
        <f t="shared" si="13"/>
        <v>2</v>
      </c>
      <c r="Y118" s="46">
        <f>AVERAGE($X$2:$X118)*0.5</f>
        <v>0.59829059829059827</v>
      </c>
    </row>
    <row r="119" spans="1:25">
      <c r="A119" s="3">
        <f>'Online Results'!L121</f>
        <v>0.70000000000000007</v>
      </c>
      <c r="B119" s="18">
        <f>'Online Results'!M121</f>
        <v>118</v>
      </c>
      <c r="C119" s="20">
        <f>'Online Results'!N121</f>
        <v>3419</v>
      </c>
      <c r="D119" s="20">
        <f>'Online Results'!O121</f>
        <v>694</v>
      </c>
      <c r="E119" s="20">
        <f>'Online Results'!P121</f>
        <v>78</v>
      </c>
      <c r="F119" s="19">
        <f>'Online Results'!Q121</f>
        <v>2881</v>
      </c>
      <c r="G119" s="19">
        <f>'Online Results'!R121</f>
        <v>2130</v>
      </c>
      <c r="H119" s="19">
        <f>'Online Results'!S121</f>
        <v>1828</v>
      </c>
      <c r="I119" s="42">
        <f>SUM(VLOOKUP(C119, Teams!A:B, 2, FALSE), VLOOKUP(D119, Teams!A:B, 2, FALSE), VLOOKUP(E119, Teams!A:B, 2, FALSE))</f>
        <v>44.2164</v>
      </c>
      <c r="J119" s="44">
        <f>SUM(VLOOKUP(F119, Teams!A:B, 2, FALSE), VLOOKUP(G119, Teams!A:B, 2, FALSE), VLOOKUP(H119, Teams!A:B, 2, FALSE))</f>
        <v>28.844750000000001</v>
      </c>
      <c r="K119" s="7">
        <f t="shared" si="7"/>
        <v>2</v>
      </c>
      <c r="L119" s="9">
        <f t="shared" si="8"/>
        <v>0</v>
      </c>
      <c r="M119" s="36">
        <f t="shared" si="9"/>
        <v>28.844750000000001</v>
      </c>
      <c r="N119" s="23" t="str">
        <f>IF('Online Results'!T121="", "", 'Online Results'!T121)</f>
        <v/>
      </c>
      <c r="O119" s="22" t="str">
        <f>IF('Online Results'!U121="", "", 'Online Results'!U121)</f>
        <v/>
      </c>
      <c r="P119" s="47">
        <f t="shared" si="10"/>
        <v>44.2164</v>
      </c>
      <c r="Q119" s="48">
        <f t="shared" si="11"/>
        <v>28.844750000000001</v>
      </c>
      <c r="R119" s="46" t="e">
        <f t="shared" si="12"/>
        <v>#VALUE!</v>
      </c>
      <c r="S119" s="13">
        <f>SUM(VLOOKUP(C119, Teams!A:B, 2, FALSE), VLOOKUP(D119, Teams!A:B, 2, FALSE), VLOOKUP(E119, Teams!A:B, 2, FALSE))</f>
        <v>44.2164</v>
      </c>
      <c r="T119" s="11">
        <f>SUM(VLOOKUP(F119, Teams!A:B, 2, FALSE), VLOOKUP(G119, Teams!A:B, 2, FALSE), VLOOKUP(H119, Teams!A:B, 2, FALSE))</f>
        <v>28.844750000000001</v>
      </c>
      <c r="U119" s="46" t="e">
        <f>R119*SUM(S119, T119)/SUM(AVERAGE($S$2:$S119), AVERAGE($T$2:$T119))</f>
        <v>#VALUE!</v>
      </c>
      <c r="V119" s="46" t="e">
        <f>AVERAGE($R$2:$R119)</f>
        <v>#VALUE!</v>
      </c>
      <c r="W119" s="46" t="e">
        <f>AVERAGE($U$2:$U119)</f>
        <v>#VALUE!</v>
      </c>
      <c r="X119" s="4">
        <f t="shared" si="13"/>
        <v>1</v>
      </c>
      <c r="Y119" s="46">
        <f>AVERAGE($X$2:$X119)*0.5</f>
        <v>0.59745762711864403</v>
      </c>
    </row>
    <row r="120" spans="1:25">
      <c r="A120" s="3">
        <f>'Online Results'!L122</f>
        <v>0.70416666666666661</v>
      </c>
      <c r="B120" s="18">
        <f>'Online Results'!M122</f>
        <v>119</v>
      </c>
      <c r="C120" s="20">
        <f>'Online Results'!N122</f>
        <v>4226</v>
      </c>
      <c r="D120" s="20">
        <f>'Online Results'!O122</f>
        <v>1266</v>
      </c>
      <c r="E120" s="20">
        <f>'Online Results'!P122</f>
        <v>706</v>
      </c>
      <c r="F120" s="19">
        <f>'Online Results'!Q122</f>
        <v>1501</v>
      </c>
      <c r="G120" s="19">
        <f>'Online Results'!R122</f>
        <v>85</v>
      </c>
      <c r="H120" s="19">
        <f>'Online Results'!S122</f>
        <v>3711</v>
      </c>
      <c r="I120" s="42">
        <f>SUM(VLOOKUP(C120, Teams!A:B, 2, FALSE), VLOOKUP(D120, Teams!A:B, 2, FALSE), VLOOKUP(E120, Teams!A:B, 2, FALSE))</f>
        <v>26.92022</v>
      </c>
      <c r="J120" s="44">
        <f>SUM(VLOOKUP(F120, Teams!A:B, 2, FALSE), VLOOKUP(G120, Teams!A:B, 2, FALSE), VLOOKUP(H120, Teams!A:B, 2, FALSE))</f>
        <v>32.127274999999997</v>
      </c>
      <c r="K120" s="7">
        <f t="shared" si="7"/>
        <v>0</v>
      </c>
      <c r="L120" s="9">
        <f t="shared" si="8"/>
        <v>2</v>
      </c>
      <c r="M120" s="36">
        <f t="shared" si="9"/>
        <v>26.92022</v>
      </c>
      <c r="N120" s="23" t="str">
        <f>IF('Online Results'!T122="", "", 'Online Results'!T122)</f>
        <v/>
      </c>
      <c r="O120" s="22" t="str">
        <f>IF('Online Results'!U122="", "", 'Online Results'!U122)</f>
        <v/>
      </c>
      <c r="P120" s="47">
        <f t="shared" si="10"/>
        <v>26.92022</v>
      </c>
      <c r="Q120" s="48">
        <f t="shared" si="11"/>
        <v>32.127274999999997</v>
      </c>
      <c r="R120" s="46" t="e">
        <f t="shared" si="12"/>
        <v>#VALUE!</v>
      </c>
      <c r="S120" s="13">
        <f>SUM(VLOOKUP(C120, Teams!A:B, 2, FALSE), VLOOKUP(D120, Teams!A:B, 2, FALSE), VLOOKUP(E120, Teams!A:B, 2, FALSE))</f>
        <v>26.92022</v>
      </c>
      <c r="T120" s="11">
        <f>SUM(VLOOKUP(F120, Teams!A:B, 2, FALSE), VLOOKUP(G120, Teams!A:B, 2, FALSE), VLOOKUP(H120, Teams!A:B, 2, FALSE))</f>
        <v>32.127274999999997</v>
      </c>
      <c r="U120" s="46" t="e">
        <f>R120*SUM(S120, T120)/SUM(AVERAGE($S$2:$S120), AVERAGE($T$2:$T120))</f>
        <v>#VALUE!</v>
      </c>
      <c r="V120" s="46" t="e">
        <f>AVERAGE($R$2:$R120)</f>
        <v>#VALUE!</v>
      </c>
      <c r="W120" s="46" t="e">
        <f>AVERAGE($U$2:$U120)</f>
        <v>#VALUE!</v>
      </c>
      <c r="X120" s="4">
        <f t="shared" si="13"/>
        <v>2</v>
      </c>
      <c r="Y120" s="46">
        <f>AVERAGE($X$2:$X120)*0.5</f>
        <v>0.60084033613445376</v>
      </c>
    </row>
    <row r="121" spans="1:25">
      <c r="A121" s="3">
        <f>'Online Results'!L123</f>
        <v>0.70833333333333337</v>
      </c>
      <c r="B121" s="18">
        <f>'Online Results'!M123</f>
        <v>120</v>
      </c>
      <c r="C121" s="20">
        <f>'Online Results'!N123</f>
        <v>2844</v>
      </c>
      <c r="D121" s="20">
        <f>'Online Results'!O123</f>
        <v>4203</v>
      </c>
      <c r="E121" s="20">
        <f>'Online Results'!P123</f>
        <v>51</v>
      </c>
      <c r="F121" s="19">
        <f>'Online Results'!Q123</f>
        <v>503</v>
      </c>
      <c r="G121" s="19">
        <f>'Online Results'!R123</f>
        <v>2500</v>
      </c>
      <c r="H121" s="19">
        <f>'Online Results'!S123</f>
        <v>4253</v>
      </c>
      <c r="I121" s="42">
        <f>SUM(VLOOKUP(C121, Teams!A:B, 2, FALSE), VLOOKUP(D121, Teams!A:B, 2, FALSE), VLOOKUP(E121, Teams!A:B, 2, FALSE))</f>
        <v>26.585618333333329</v>
      </c>
      <c r="J121" s="44">
        <f>SUM(VLOOKUP(F121, Teams!A:B, 2, FALSE), VLOOKUP(G121, Teams!A:B, 2, FALSE), VLOOKUP(H121, Teams!A:B, 2, FALSE))</f>
        <v>15.368385000000002</v>
      </c>
      <c r="K121" s="7">
        <f t="shared" si="7"/>
        <v>2</v>
      </c>
      <c r="L121" s="9">
        <f t="shared" si="8"/>
        <v>0</v>
      </c>
      <c r="M121" s="36">
        <f t="shared" si="9"/>
        <v>15.368385000000002</v>
      </c>
      <c r="N121" s="23" t="str">
        <f>IF('Online Results'!T123="", "", 'Online Results'!T123)</f>
        <v/>
      </c>
      <c r="O121" s="22" t="str">
        <f>IF('Online Results'!U123="", "", 'Online Results'!U123)</f>
        <v/>
      </c>
      <c r="P121" s="47">
        <f t="shared" si="10"/>
        <v>26.585618333333329</v>
      </c>
      <c r="Q121" s="48">
        <f t="shared" si="11"/>
        <v>15.368385000000002</v>
      </c>
      <c r="R121" s="46" t="e">
        <f t="shared" si="12"/>
        <v>#VALUE!</v>
      </c>
      <c r="S121" s="13">
        <f>SUM(VLOOKUP(C121, Teams!A:B, 2, FALSE), VLOOKUP(D121, Teams!A:B, 2, FALSE), VLOOKUP(E121, Teams!A:B, 2, FALSE))</f>
        <v>26.585618333333329</v>
      </c>
      <c r="T121" s="11">
        <f>SUM(VLOOKUP(F121, Teams!A:B, 2, FALSE), VLOOKUP(G121, Teams!A:B, 2, FALSE), VLOOKUP(H121, Teams!A:B, 2, FALSE))</f>
        <v>15.368385000000002</v>
      </c>
      <c r="U121" s="46" t="e">
        <f>R121*SUM(S121, T121)/SUM(AVERAGE($S$2:$S121), AVERAGE($T$2:$T121))</f>
        <v>#VALUE!</v>
      </c>
      <c r="V121" s="46" t="e">
        <f>AVERAGE($R$2:$R121)</f>
        <v>#VALUE!</v>
      </c>
      <c r="W121" s="46" t="e">
        <f>AVERAGE($U$2:$U121)</f>
        <v>#VALUE!</v>
      </c>
      <c r="X121" s="4">
        <f t="shared" si="13"/>
        <v>1</v>
      </c>
      <c r="Y121" s="46">
        <f>AVERAGE($X$2:$X121)*0.5</f>
        <v>0.6</v>
      </c>
    </row>
    <row r="122" spans="1:25">
      <c r="A122" s="3">
        <f>'Online Results'!L124</f>
        <v>0.71250000000000002</v>
      </c>
      <c r="B122" s="18">
        <f>'Online Results'!M124</f>
        <v>121</v>
      </c>
      <c r="C122" s="20">
        <f>'Online Results'!N124</f>
        <v>2522</v>
      </c>
      <c r="D122" s="20">
        <f>'Online Results'!O124</f>
        <v>1033</v>
      </c>
      <c r="E122" s="20">
        <f>'Online Results'!P124</f>
        <v>1477</v>
      </c>
      <c r="F122" s="19">
        <f>'Online Results'!Q124</f>
        <v>604</v>
      </c>
      <c r="G122" s="19">
        <f>'Online Results'!R124</f>
        <v>1778</v>
      </c>
      <c r="H122" s="19">
        <f>'Online Results'!S124</f>
        <v>3115</v>
      </c>
      <c r="I122" s="42">
        <f>SUM(VLOOKUP(C122, Teams!A:B, 2, FALSE), VLOOKUP(D122, Teams!A:B, 2, FALSE), VLOOKUP(E122, Teams!A:B, 2, FALSE))</f>
        <v>37.863883333333334</v>
      </c>
      <c r="J122" s="44">
        <f>SUM(VLOOKUP(F122, Teams!A:B, 2, FALSE), VLOOKUP(G122, Teams!A:B, 2, FALSE), VLOOKUP(H122, Teams!A:B, 2, FALSE))</f>
        <v>14.314976000000001</v>
      </c>
      <c r="K122" s="7">
        <f t="shared" si="7"/>
        <v>2</v>
      </c>
      <c r="L122" s="9">
        <f t="shared" si="8"/>
        <v>0</v>
      </c>
      <c r="M122" s="36">
        <f t="shared" si="9"/>
        <v>14.314976000000001</v>
      </c>
      <c r="N122" s="23" t="str">
        <f>IF('Online Results'!T124="", "", 'Online Results'!T124)</f>
        <v/>
      </c>
      <c r="O122" s="22" t="str">
        <f>IF('Online Results'!U124="", "", 'Online Results'!U124)</f>
        <v/>
      </c>
      <c r="P122" s="47">
        <f t="shared" si="10"/>
        <v>37.863883333333334</v>
      </c>
      <c r="Q122" s="48">
        <f t="shared" si="11"/>
        <v>14.314976000000001</v>
      </c>
      <c r="R122" s="46" t="e">
        <f t="shared" si="12"/>
        <v>#VALUE!</v>
      </c>
      <c r="S122" s="13">
        <f>SUM(VLOOKUP(C122, Teams!A:B, 2, FALSE), VLOOKUP(D122, Teams!A:B, 2, FALSE), VLOOKUP(E122, Teams!A:B, 2, FALSE))</f>
        <v>37.863883333333334</v>
      </c>
      <c r="T122" s="11">
        <f>SUM(VLOOKUP(F122, Teams!A:B, 2, FALSE), VLOOKUP(G122, Teams!A:B, 2, FALSE), VLOOKUP(H122, Teams!A:B, 2, FALSE))</f>
        <v>14.314976000000001</v>
      </c>
      <c r="U122" s="46" t="e">
        <f>R122*SUM(S122, T122)/SUM(AVERAGE($S$2:$S122), AVERAGE($T$2:$T122))</f>
        <v>#VALUE!</v>
      </c>
      <c r="V122" s="46" t="e">
        <f>AVERAGE($R$2:$R122)</f>
        <v>#VALUE!</v>
      </c>
      <c r="W122" s="46" t="e">
        <f>AVERAGE($U$2:$U122)</f>
        <v>#VALUE!</v>
      </c>
      <c r="X122" s="4">
        <f t="shared" si="13"/>
        <v>1</v>
      </c>
      <c r="Y122" s="46">
        <f>AVERAGE($X$2:$X122)*0.5</f>
        <v>0.59917355371900827</v>
      </c>
    </row>
    <row r="123" spans="1:25">
      <c r="A123" s="3">
        <f>'Online Results'!L125</f>
        <v>0.71666666666666667</v>
      </c>
      <c r="B123" s="18">
        <f>'Online Results'!M125</f>
        <v>122</v>
      </c>
      <c r="C123" s="20">
        <f>'Online Results'!N125</f>
        <v>1741</v>
      </c>
      <c r="D123" s="20">
        <f>'Online Results'!O125</f>
        <v>3132</v>
      </c>
      <c r="E123" s="20">
        <f>'Online Results'!P125</f>
        <v>1678</v>
      </c>
      <c r="F123" s="19">
        <f>'Online Results'!Q125</f>
        <v>3098</v>
      </c>
      <c r="G123" s="19">
        <f>'Online Results'!R125</f>
        <v>3941</v>
      </c>
      <c r="H123" s="19">
        <f>'Online Results'!S125</f>
        <v>971</v>
      </c>
      <c r="I123" s="42">
        <f>SUM(VLOOKUP(C123, Teams!A:B, 2, FALSE), VLOOKUP(D123, Teams!A:B, 2, FALSE), VLOOKUP(E123, Teams!A:B, 2, FALSE))</f>
        <v>38.709710000000001</v>
      </c>
      <c r="J123" s="44">
        <f>SUM(VLOOKUP(F123, Teams!A:B, 2, FALSE), VLOOKUP(G123, Teams!A:B, 2, FALSE), VLOOKUP(H123, Teams!A:B, 2, FALSE))</f>
        <v>48.391933333333334</v>
      </c>
      <c r="K123" s="7">
        <f t="shared" si="7"/>
        <v>0</v>
      </c>
      <c r="L123" s="9">
        <f t="shared" si="8"/>
        <v>2</v>
      </c>
      <c r="M123" s="36">
        <f t="shared" si="9"/>
        <v>38.709710000000001</v>
      </c>
      <c r="N123" s="23" t="str">
        <f>IF('Online Results'!T125="", "", 'Online Results'!T125)</f>
        <v/>
      </c>
      <c r="O123" s="22" t="str">
        <f>IF('Online Results'!U125="", "", 'Online Results'!U125)</f>
        <v/>
      </c>
      <c r="P123" s="47">
        <f t="shared" si="10"/>
        <v>38.709710000000001</v>
      </c>
      <c r="Q123" s="48">
        <f t="shared" si="11"/>
        <v>48.391933333333334</v>
      </c>
      <c r="R123" s="46" t="e">
        <f t="shared" si="12"/>
        <v>#VALUE!</v>
      </c>
      <c r="S123" s="13">
        <f>SUM(VLOOKUP(C123, Teams!A:B, 2, FALSE), VLOOKUP(D123, Teams!A:B, 2, FALSE), VLOOKUP(E123, Teams!A:B, 2, FALSE))</f>
        <v>38.709710000000001</v>
      </c>
      <c r="T123" s="11">
        <f>SUM(VLOOKUP(F123, Teams!A:B, 2, FALSE), VLOOKUP(G123, Teams!A:B, 2, FALSE), VLOOKUP(H123, Teams!A:B, 2, FALSE))</f>
        <v>48.391933333333334</v>
      </c>
      <c r="U123" s="46" t="e">
        <f>R123*SUM(S123, T123)/SUM(AVERAGE($S$2:$S123), AVERAGE($T$2:$T123))</f>
        <v>#VALUE!</v>
      </c>
      <c r="V123" s="46" t="e">
        <f>AVERAGE($R$2:$R123)</f>
        <v>#VALUE!</v>
      </c>
      <c r="W123" s="46" t="e">
        <f>AVERAGE($U$2:$U123)</f>
        <v>#VALUE!</v>
      </c>
      <c r="X123" s="4">
        <f t="shared" si="13"/>
        <v>2</v>
      </c>
      <c r="Y123" s="46">
        <f>AVERAGE($X$2:$X123)*0.5</f>
        <v>0.60245901639344257</v>
      </c>
    </row>
    <row r="124" spans="1:25">
      <c r="A124" s="3">
        <f>'Online Results'!L126</f>
        <v>0.72083333333333333</v>
      </c>
      <c r="B124" s="18">
        <f>'Online Results'!M126</f>
        <v>123</v>
      </c>
      <c r="C124" s="20">
        <f>'Online Results'!N126</f>
        <v>3860</v>
      </c>
      <c r="D124" s="20">
        <f>'Online Results'!O126</f>
        <v>1511</v>
      </c>
      <c r="E124" s="20">
        <f>'Online Results'!P126</f>
        <v>1143</v>
      </c>
      <c r="F124" s="19">
        <f>'Online Results'!Q126</f>
        <v>2757</v>
      </c>
      <c r="G124" s="19">
        <f>'Online Results'!R126</f>
        <v>192</v>
      </c>
      <c r="H124" s="19">
        <f>'Online Results'!S126</f>
        <v>2591</v>
      </c>
      <c r="I124" s="42">
        <f>SUM(VLOOKUP(C124, Teams!A:B, 2, FALSE), VLOOKUP(D124, Teams!A:B, 2, FALSE), VLOOKUP(E124, Teams!A:B, 2, FALSE))</f>
        <v>24.896380000000001</v>
      </c>
      <c r="J124" s="44">
        <f>SUM(VLOOKUP(F124, Teams!A:B, 2, FALSE), VLOOKUP(G124, Teams!A:B, 2, FALSE), VLOOKUP(H124, Teams!A:B, 2, FALSE))</f>
        <v>24.75273</v>
      </c>
      <c r="K124" s="7">
        <f t="shared" si="7"/>
        <v>2</v>
      </c>
      <c r="L124" s="9">
        <f t="shared" si="8"/>
        <v>0</v>
      </c>
      <c r="M124" s="36">
        <f t="shared" si="9"/>
        <v>24.75273</v>
      </c>
      <c r="N124" s="23" t="str">
        <f>IF('Online Results'!T126="", "", 'Online Results'!T126)</f>
        <v/>
      </c>
      <c r="O124" s="22" t="str">
        <f>IF('Online Results'!U126="", "", 'Online Results'!U126)</f>
        <v/>
      </c>
      <c r="P124" s="47">
        <f t="shared" si="10"/>
        <v>24.896380000000001</v>
      </c>
      <c r="Q124" s="48">
        <f t="shared" si="11"/>
        <v>24.75273</v>
      </c>
      <c r="R124" s="46" t="e">
        <f t="shared" si="12"/>
        <v>#VALUE!</v>
      </c>
      <c r="S124" s="13">
        <f>SUM(VLOOKUP(C124, Teams!A:B, 2, FALSE), VLOOKUP(D124, Teams!A:B, 2, FALSE), VLOOKUP(E124, Teams!A:B, 2, FALSE))</f>
        <v>24.896380000000001</v>
      </c>
      <c r="T124" s="11">
        <f>SUM(VLOOKUP(F124, Teams!A:B, 2, FALSE), VLOOKUP(G124, Teams!A:B, 2, FALSE), VLOOKUP(H124, Teams!A:B, 2, FALSE))</f>
        <v>24.75273</v>
      </c>
      <c r="U124" s="46" t="e">
        <f>R124*SUM(S124, T124)/SUM(AVERAGE($S$2:$S124), AVERAGE($T$2:$T124))</f>
        <v>#VALUE!</v>
      </c>
      <c r="V124" s="46" t="e">
        <f>AVERAGE($R$2:$R124)</f>
        <v>#VALUE!</v>
      </c>
      <c r="W124" s="46" t="e">
        <f>AVERAGE($U$2:$U124)</f>
        <v>#VALUE!</v>
      </c>
      <c r="X124" s="4">
        <f t="shared" si="13"/>
        <v>1</v>
      </c>
      <c r="Y124" s="46">
        <f>AVERAGE($X$2:$X124)*0.5</f>
        <v>0.60162601626016265</v>
      </c>
    </row>
    <row r="125" spans="1:25">
      <c r="A125" s="3">
        <f>'Online Results'!L127</f>
        <v>0.72499999999999998</v>
      </c>
      <c r="B125" s="18">
        <f>'Online Results'!M127</f>
        <v>124</v>
      </c>
      <c r="C125" s="20">
        <f>'Online Results'!N127</f>
        <v>341</v>
      </c>
      <c r="D125" s="20">
        <f>'Online Results'!O127</f>
        <v>2474</v>
      </c>
      <c r="E125" s="20">
        <f>'Online Results'!P127</f>
        <v>987</v>
      </c>
      <c r="F125" s="19">
        <f>'Online Results'!Q127</f>
        <v>1986</v>
      </c>
      <c r="G125" s="19">
        <f>'Online Results'!R127</f>
        <v>3807</v>
      </c>
      <c r="H125" s="19">
        <f>'Online Results'!S127</f>
        <v>1391</v>
      </c>
      <c r="I125" s="42">
        <f>SUM(VLOOKUP(C125, Teams!A:B, 2, FALSE), VLOOKUP(D125, Teams!A:B, 2, FALSE), VLOOKUP(E125, Teams!A:B, 2, FALSE))</f>
        <v>93.397899999999993</v>
      </c>
      <c r="J125" s="44">
        <f>SUM(VLOOKUP(F125, Teams!A:B, 2, FALSE), VLOOKUP(G125, Teams!A:B, 2, FALSE), VLOOKUP(H125, Teams!A:B, 2, FALSE))</f>
        <v>41.49926</v>
      </c>
      <c r="K125" s="7">
        <f t="shared" si="7"/>
        <v>2</v>
      </c>
      <c r="L125" s="9">
        <f t="shared" si="8"/>
        <v>0</v>
      </c>
      <c r="M125" s="36">
        <f t="shared" si="9"/>
        <v>41.49926</v>
      </c>
      <c r="N125" s="23" t="str">
        <f>IF('Online Results'!T127="", "", 'Online Results'!T127)</f>
        <v/>
      </c>
      <c r="O125" s="22" t="str">
        <f>IF('Online Results'!U127="", "", 'Online Results'!U127)</f>
        <v/>
      </c>
      <c r="P125" s="47">
        <f t="shared" si="10"/>
        <v>93.397899999999993</v>
      </c>
      <c r="Q125" s="48">
        <f t="shared" si="11"/>
        <v>41.49926</v>
      </c>
      <c r="R125" s="46" t="e">
        <f t="shared" si="12"/>
        <v>#VALUE!</v>
      </c>
      <c r="S125" s="13">
        <f>SUM(VLOOKUP(C125, Teams!A:B, 2, FALSE), VLOOKUP(D125, Teams!A:B, 2, FALSE), VLOOKUP(E125, Teams!A:B, 2, FALSE))</f>
        <v>93.397899999999993</v>
      </c>
      <c r="T125" s="11">
        <f>SUM(VLOOKUP(F125, Teams!A:B, 2, FALSE), VLOOKUP(G125, Teams!A:B, 2, FALSE), VLOOKUP(H125, Teams!A:B, 2, FALSE))</f>
        <v>41.49926</v>
      </c>
      <c r="U125" s="46" t="e">
        <f>R125*SUM(S125, T125)/SUM(AVERAGE($S$2:$S125), AVERAGE($T$2:$T125))</f>
        <v>#VALUE!</v>
      </c>
      <c r="V125" s="46" t="e">
        <f>AVERAGE($R$2:$R125)</f>
        <v>#VALUE!</v>
      </c>
      <c r="W125" s="46" t="e">
        <f>AVERAGE($U$2:$U125)</f>
        <v>#VALUE!</v>
      </c>
      <c r="X125" s="4">
        <f t="shared" si="13"/>
        <v>1</v>
      </c>
      <c r="Y125" s="46">
        <f>AVERAGE($X$2:$X125)*0.5</f>
        <v>0.60080645161290325</v>
      </c>
    </row>
    <row r="126" spans="1:25">
      <c r="A126" s="3">
        <f>'Online Results'!L128</f>
        <v>0.72916666666666663</v>
      </c>
      <c r="B126" s="18">
        <f>'Online Results'!M128</f>
        <v>125</v>
      </c>
      <c r="C126" s="20">
        <f>'Online Results'!N128</f>
        <v>3936</v>
      </c>
      <c r="D126" s="20">
        <f>'Online Results'!O128</f>
        <v>1649</v>
      </c>
      <c r="E126" s="20">
        <f>'Online Results'!P128</f>
        <v>4265</v>
      </c>
      <c r="F126" s="19">
        <f>'Online Results'!Q128</f>
        <v>4161</v>
      </c>
      <c r="G126" s="19">
        <f>'Online Results'!R128</f>
        <v>564</v>
      </c>
      <c r="H126" s="19">
        <f>'Online Results'!S128</f>
        <v>1885</v>
      </c>
      <c r="I126" s="42">
        <f>SUM(VLOOKUP(C126, Teams!A:B, 2, FALSE), VLOOKUP(D126, Teams!A:B, 2, FALSE), VLOOKUP(E126, Teams!A:B, 2, FALSE))</f>
        <v>18.683759999999999</v>
      </c>
      <c r="J126" s="44">
        <f>SUM(VLOOKUP(F126, Teams!A:B, 2, FALSE), VLOOKUP(G126, Teams!A:B, 2, FALSE), VLOOKUP(H126, Teams!A:B, 2, FALSE))</f>
        <v>25.394180000000002</v>
      </c>
      <c r="K126" s="7">
        <f t="shared" si="7"/>
        <v>0</v>
      </c>
      <c r="L126" s="9">
        <f t="shared" si="8"/>
        <v>2</v>
      </c>
      <c r="M126" s="36">
        <f t="shared" si="9"/>
        <v>18.683759999999999</v>
      </c>
      <c r="N126" s="23" t="str">
        <f>IF('Online Results'!T128="", "", 'Online Results'!T128)</f>
        <v/>
      </c>
      <c r="O126" s="22" t="str">
        <f>IF('Online Results'!U128="", "", 'Online Results'!U128)</f>
        <v/>
      </c>
      <c r="P126" s="47">
        <f t="shared" si="10"/>
        <v>18.683759999999999</v>
      </c>
      <c r="Q126" s="48">
        <f t="shared" si="11"/>
        <v>25.394180000000002</v>
      </c>
      <c r="R126" s="46" t="e">
        <f t="shared" si="12"/>
        <v>#VALUE!</v>
      </c>
      <c r="S126" s="13">
        <f>SUM(VLOOKUP(C126, Teams!A:B, 2, FALSE), VLOOKUP(D126, Teams!A:B, 2, FALSE), VLOOKUP(E126, Teams!A:B, 2, FALSE))</f>
        <v>18.683759999999999</v>
      </c>
      <c r="T126" s="11">
        <f>SUM(VLOOKUP(F126, Teams!A:B, 2, FALSE), VLOOKUP(G126, Teams!A:B, 2, FALSE), VLOOKUP(H126, Teams!A:B, 2, FALSE))</f>
        <v>25.394180000000002</v>
      </c>
      <c r="U126" s="46" t="e">
        <f>R126*SUM(S126, T126)/SUM(AVERAGE($S$2:$S126), AVERAGE($T$2:$T126))</f>
        <v>#VALUE!</v>
      </c>
      <c r="V126" s="46" t="e">
        <f>AVERAGE($R$2:$R126)</f>
        <v>#VALUE!</v>
      </c>
      <c r="W126" s="46" t="e">
        <f>AVERAGE($U$2:$U126)</f>
        <v>#VALUE!</v>
      </c>
      <c r="X126" s="4">
        <f t="shared" si="13"/>
        <v>2</v>
      </c>
      <c r="Y126" s="46">
        <f>AVERAGE($X$2:$X126)*0.5</f>
        <v>0.60399999999999998</v>
      </c>
    </row>
    <row r="127" spans="1:25">
      <c r="A127" s="3">
        <f>'Online Results'!L129</f>
        <v>0.73333333333333339</v>
      </c>
      <c r="B127" s="18">
        <f>'Online Results'!M129</f>
        <v>126</v>
      </c>
      <c r="C127" s="20">
        <f>'Online Results'!N129</f>
        <v>3965</v>
      </c>
      <c r="D127" s="20">
        <f>'Online Results'!O129</f>
        <v>3847</v>
      </c>
      <c r="E127" s="20">
        <f>'Online Results'!P129</f>
        <v>1690</v>
      </c>
      <c r="F127" s="19">
        <f>'Online Results'!Q129</f>
        <v>624</v>
      </c>
      <c r="G127" s="19">
        <f>'Online Results'!R129</f>
        <v>244</v>
      </c>
      <c r="H127" s="19">
        <f>'Online Results'!S129</f>
        <v>3288</v>
      </c>
      <c r="I127" s="42">
        <f>SUM(VLOOKUP(C127, Teams!A:B, 2, FALSE), VLOOKUP(D127, Teams!A:B, 2, FALSE), VLOOKUP(E127, Teams!A:B, 2, FALSE))</f>
        <v>30.800155</v>
      </c>
      <c r="J127" s="44">
        <f>SUM(VLOOKUP(F127, Teams!A:B, 2, FALSE), VLOOKUP(G127, Teams!A:B, 2, FALSE), VLOOKUP(H127, Teams!A:B, 2, FALSE))</f>
        <v>44.757148000000001</v>
      </c>
      <c r="K127" s="7">
        <f t="shared" si="7"/>
        <v>0</v>
      </c>
      <c r="L127" s="9">
        <f t="shared" si="8"/>
        <v>2</v>
      </c>
      <c r="M127" s="36">
        <f t="shared" si="9"/>
        <v>30.800155</v>
      </c>
      <c r="N127" s="23" t="str">
        <f>IF('Online Results'!T129="", "", 'Online Results'!T129)</f>
        <v/>
      </c>
      <c r="O127" s="22" t="str">
        <f>IF('Online Results'!U129="", "", 'Online Results'!U129)</f>
        <v/>
      </c>
      <c r="P127" s="47">
        <f t="shared" si="10"/>
        <v>30.800155</v>
      </c>
      <c r="Q127" s="48">
        <f t="shared" si="11"/>
        <v>44.757148000000001</v>
      </c>
      <c r="R127" s="46" t="e">
        <f t="shared" si="12"/>
        <v>#VALUE!</v>
      </c>
      <c r="S127" s="13">
        <f>SUM(VLOOKUP(C127, Teams!A:B, 2, FALSE), VLOOKUP(D127, Teams!A:B, 2, FALSE), VLOOKUP(E127, Teams!A:B, 2, FALSE))</f>
        <v>30.800155</v>
      </c>
      <c r="T127" s="11">
        <f>SUM(VLOOKUP(F127, Teams!A:B, 2, FALSE), VLOOKUP(G127, Teams!A:B, 2, FALSE), VLOOKUP(H127, Teams!A:B, 2, FALSE))</f>
        <v>44.757148000000001</v>
      </c>
      <c r="U127" s="46" t="e">
        <f>R127*SUM(S127, T127)/SUM(AVERAGE($S$2:$S127), AVERAGE($T$2:$T127))</f>
        <v>#VALUE!</v>
      </c>
      <c r="V127" s="46" t="e">
        <f>AVERAGE($R$2:$R127)</f>
        <v>#VALUE!</v>
      </c>
      <c r="W127" s="46" t="e">
        <f>AVERAGE($U$2:$U127)</f>
        <v>#VALUE!</v>
      </c>
      <c r="X127" s="4">
        <f t="shared" si="13"/>
        <v>2</v>
      </c>
      <c r="Y127" s="46">
        <f>AVERAGE($X$2:$X127)*0.5</f>
        <v>0.6071428571428571</v>
      </c>
    </row>
    <row r="128" spans="1:25">
      <c r="A128" s="3">
        <f>'Online Results'!L130</f>
        <v>0.73749999999999993</v>
      </c>
      <c r="B128" s="18">
        <f>'Online Results'!M130</f>
        <v>127</v>
      </c>
      <c r="C128" s="20">
        <f>'Online Results'!N130</f>
        <v>1319</v>
      </c>
      <c r="D128" s="20">
        <f>'Online Results'!O130</f>
        <v>58</v>
      </c>
      <c r="E128" s="20">
        <f>'Online Results'!P130</f>
        <v>1507</v>
      </c>
      <c r="F128" s="19">
        <f>'Online Results'!Q130</f>
        <v>254</v>
      </c>
      <c r="G128" s="19">
        <f>'Online Results'!R130</f>
        <v>415</v>
      </c>
      <c r="H128" s="19">
        <f>'Online Results'!S130</f>
        <v>3929</v>
      </c>
      <c r="I128" s="42">
        <f>SUM(VLOOKUP(C128, Teams!A:B, 2, FALSE), VLOOKUP(D128, Teams!A:B, 2, FALSE), VLOOKUP(E128, Teams!A:B, 2, FALSE))</f>
        <v>55.832073333333334</v>
      </c>
      <c r="J128" s="44">
        <f>SUM(VLOOKUP(F128, Teams!A:B, 2, FALSE), VLOOKUP(G128, Teams!A:B, 2, FALSE), VLOOKUP(H128, Teams!A:B, 2, FALSE))</f>
        <v>45.848664999999997</v>
      </c>
      <c r="K128" s="7">
        <f t="shared" si="7"/>
        <v>2</v>
      </c>
      <c r="L128" s="9">
        <f t="shared" si="8"/>
        <v>0</v>
      </c>
      <c r="M128" s="36">
        <f t="shared" si="9"/>
        <v>45.848664999999997</v>
      </c>
      <c r="N128" s="23" t="str">
        <f>IF('Online Results'!T130="", "", 'Online Results'!T130)</f>
        <v/>
      </c>
      <c r="O128" s="22" t="str">
        <f>IF('Online Results'!U130="", "", 'Online Results'!U130)</f>
        <v/>
      </c>
      <c r="P128" s="47">
        <f t="shared" si="10"/>
        <v>55.832073333333334</v>
      </c>
      <c r="Q128" s="48">
        <f t="shared" si="11"/>
        <v>45.848664999999997</v>
      </c>
      <c r="R128" s="46" t="e">
        <f t="shared" si="12"/>
        <v>#VALUE!</v>
      </c>
      <c r="S128" s="13">
        <f>SUM(VLOOKUP(C128, Teams!A:B, 2, FALSE), VLOOKUP(D128, Teams!A:B, 2, FALSE), VLOOKUP(E128, Teams!A:B, 2, FALSE))</f>
        <v>55.832073333333334</v>
      </c>
      <c r="T128" s="11">
        <f>SUM(VLOOKUP(F128, Teams!A:B, 2, FALSE), VLOOKUP(G128, Teams!A:B, 2, FALSE), VLOOKUP(H128, Teams!A:B, 2, FALSE))</f>
        <v>45.848664999999997</v>
      </c>
      <c r="U128" s="46" t="e">
        <f>R128*SUM(S128, T128)/SUM(AVERAGE($S$2:$S128), AVERAGE($T$2:$T128))</f>
        <v>#VALUE!</v>
      </c>
      <c r="V128" s="46" t="e">
        <f>AVERAGE($R$2:$R128)</f>
        <v>#VALUE!</v>
      </c>
      <c r="W128" s="46" t="e">
        <f>AVERAGE($U$2:$U128)</f>
        <v>#VALUE!</v>
      </c>
      <c r="X128" s="4">
        <f t="shared" si="13"/>
        <v>1</v>
      </c>
      <c r="Y128" s="46">
        <f>AVERAGE($X$2:$X128)*0.5</f>
        <v>0.60629921259842523</v>
      </c>
    </row>
    <row r="129" spans="1:25">
      <c r="A129" s="3">
        <f>'Online Results'!L131</f>
        <v>0.7416666666666667</v>
      </c>
      <c r="B129" s="18">
        <f>'Online Results'!M131</f>
        <v>128</v>
      </c>
      <c r="C129" s="20">
        <f>'Online Results'!N131</f>
        <v>233</v>
      </c>
      <c r="D129" s="20">
        <f>'Online Results'!O131</f>
        <v>702</v>
      </c>
      <c r="E129" s="20">
        <f>'Online Results'!P131</f>
        <v>120</v>
      </c>
      <c r="F129" s="19">
        <f>'Online Results'!Q131</f>
        <v>1683</v>
      </c>
      <c r="G129" s="19">
        <f>'Online Results'!R131</f>
        <v>293</v>
      </c>
      <c r="H129" s="19">
        <f>'Online Results'!S131</f>
        <v>433</v>
      </c>
      <c r="I129" s="42">
        <f>SUM(VLOOKUP(C129, Teams!A:B, 2, FALSE), VLOOKUP(D129, Teams!A:B, 2, FALSE), VLOOKUP(E129, Teams!A:B, 2, FALSE))</f>
        <v>34.826889999999999</v>
      </c>
      <c r="J129" s="44">
        <f>SUM(VLOOKUP(F129, Teams!A:B, 2, FALSE), VLOOKUP(G129, Teams!A:B, 2, FALSE), VLOOKUP(H129, Teams!A:B, 2, FALSE))</f>
        <v>20.402480000000001</v>
      </c>
      <c r="K129" s="7">
        <f t="shared" si="7"/>
        <v>2</v>
      </c>
      <c r="L129" s="9">
        <f t="shared" si="8"/>
        <v>0</v>
      </c>
      <c r="M129" s="36">
        <f t="shared" si="9"/>
        <v>20.402480000000001</v>
      </c>
      <c r="N129" s="23" t="str">
        <f>IF('Online Results'!T131="", "", 'Online Results'!T131)</f>
        <v/>
      </c>
      <c r="O129" s="22" t="str">
        <f>IF('Online Results'!U131="", "", 'Online Results'!U131)</f>
        <v/>
      </c>
      <c r="P129" s="47">
        <f t="shared" si="10"/>
        <v>34.826889999999999</v>
      </c>
      <c r="Q129" s="48">
        <f t="shared" si="11"/>
        <v>20.402480000000001</v>
      </c>
      <c r="R129" s="46" t="e">
        <f t="shared" si="12"/>
        <v>#VALUE!</v>
      </c>
      <c r="S129" s="13">
        <f>SUM(VLOOKUP(C129, Teams!A:B, 2, FALSE), VLOOKUP(D129, Teams!A:B, 2, FALSE), VLOOKUP(E129, Teams!A:B, 2, FALSE))</f>
        <v>34.826889999999999</v>
      </c>
      <c r="T129" s="11">
        <f>SUM(VLOOKUP(F129, Teams!A:B, 2, FALSE), VLOOKUP(G129, Teams!A:B, 2, FALSE), VLOOKUP(H129, Teams!A:B, 2, FALSE))</f>
        <v>20.402480000000001</v>
      </c>
      <c r="U129" s="46" t="e">
        <f>R129*SUM(S129, T129)/SUM(AVERAGE($S$2:$S129), AVERAGE($T$2:$T129))</f>
        <v>#VALUE!</v>
      </c>
      <c r="V129" s="46" t="e">
        <f>AVERAGE($R$2:$R129)</f>
        <v>#VALUE!</v>
      </c>
      <c r="W129" s="46" t="e">
        <f>AVERAGE($U$2:$U129)</f>
        <v>#VALUE!</v>
      </c>
      <c r="X129" s="4">
        <f t="shared" si="13"/>
        <v>1</v>
      </c>
      <c r="Y129" s="46">
        <f>AVERAGE($X$2:$X129)*0.5</f>
        <v>0.60546875</v>
      </c>
    </row>
    <row r="130" spans="1:25">
      <c r="A130" s="3">
        <f>'Online Results'!L132</f>
        <v>0.74583333333333324</v>
      </c>
      <c r="B130" s="18">
        <f>'Online Results'!M132</f>
        <v>129</v>
      </c>
      <c r="C130" s="20">
        <f>'Online Results'!N132</f>
        <v>207</v>
      </c>
      <c r="D130" s="20">
        <f>'Online Results'!O132</f>
        <v>288</v>
      </c>
      <c r="E130" s="20">
        <f>'Online Results'!P132</f>
        <v>571</v>
      </c>
      <c r="F130" s="19">
        <f>'Online Results'!Q132</f>
        <v>1985</v>
      </c>
      <c r="G130" s="19">
        <f>'Online Results'!R132</f>
        <v>4130</v>
      </c>
      <c r="H130" s="19">
        <f>'Online Results'!S132</f>
        <v>1817</v>
      </c>
      <c r="I130" s="42">
        <f>SUM(VLOOKUP(C130, Teams!A:B, 2, FALSE), VLOOKUP(D130, Teams!A:B, 2, FALSE), VLOOKUP(E130, Teams!A:B, 2, FALSE))</f>
        <v>20.310749999999999</v>
      </c>
      <c r="J130" s="44">
        <f>SUM(VLOOKUP(F130, Teams!A:B, 2, FALSE), VLOOKUP(G130, Teams!A:B, 2, FALSE), VLOOKUP(H130, Teams!A:B, 2, FALSE))</f>
        <v>27.891100000000002</v>
      </c>
      <c r="K130" s="7">
        <f t="shared" si="7"/>
        <v>0</v>
      </c>
      <c r="L130" s="9">
        <f t="shared" si="8"/>
        <v>2</v>
      </c>
      <c r="M130" s="36">
        <f t="shared" si="9"/>
        <v>20.310749999999999</v>
      </c>
      <c r="N130" s="23" t="str">
        <f>IF('Online Results'!T132="", "", 'Online Results'!T132)</f>
        <v/>
      </c>
      <c r="O130" s="22" t="str">
        <f>IF('Online Results'!U132="", "", 'Online Results'!U132)</f>
        <v/>
      </c>
      <c r="P130" s="47">
        <f t="shared" si="10"/>
        <v>20.310749999999999</v>
      </c>
      <c r="Q130" s="48">
        <f t="shared" si="11"/>
        <v>27.891100000000002</v>
      </c>
      <c r="R130" s="46" t="e">
        <f t="shared" si="12"/>
        <v>#VALUE!</v>
      </c>
      <c r="S130" s="13">
        <f>SUM(VLOOKUP(C130, Teams!A:B, 2, FALSE), VLOOKUP(D130, Teams!A:B, 2, FALSE), VLOOKUP(E130, Teams!A:B, 2, FALSE))</f>
        <v>20.310749999999999</v>
      </c>
      <c r="T130" s="11">
        <f>SUM(VLOOKUP(F130, Teams!A:B, 2, FALSE), VLOOKUP(G130, Teams!A:B, 2, FALSE), VLOOKUP(H130, Teams!A:B, 2, FALSE))</f>
        <v>27.891100000000002</v>
      </c>
      <c r="U130" s="46" t="e">
        <f>R130*SUM(S130, T130)/SUM(AVERAGE($S$2:$S130), AVERAGE($T$2:$T130))</f>
        <v>#VALUE!</v>
      </c>
      <c r="V130" s="46" t="e">
        <f>AVERAGE($R$2:$R130)</f>
        <v>#VALUE!</v>
      </c>
      <c r="W130" s="46" t="e">
        <f>AVERAGE($U$2:$U130)</f>
        <v>#VALUE!</v>
      </c>
      <c r="X130" s="4">
        <f t="shared" si="13"/>
        <v>2</v>
      </c>
      <c r="Y130" s="46">
        <f>AVERAGE($X$2:$X130)*0.5</f>
        <v>0.60852713178294571</v>
      </c>
    </row>
    <row r="131" spans="1:25">
      <c r="A131" s="3">
        <f>'Online Results'!L133</f>
        <v>0.34375</v>
      </c>
      <c r="B131" s="18">
        <f>'Online Results'!M133</f>
        <v>130</v>
      </c>
      <c r="C131" s="20">
        <f>'Online Results'!N133</f>
        <v>3940</v>
      </c>
      <c r="D131" s="20">
        <f>'Online Results'!O133</f>
        <v>4269</v>
      </c>
      <c r="E131" s="20">
        <f>'Online Results'!P133</f>
        <v>3880</v>
      </c>
      <c r="F131" s="19">
        <f>'Online Results'!Q133</f>
        <v>2960</v>
      </c>
      <c r="G131" s="19">
        <f>'Online Results'!R133</f>
        <v>3970</v>
      </c>
      <c r="H131" s="19">
        <f>'Online Results'!S133</f>
        <v>525</v>
      </c>
      <c r="I131" s="42">
        <f>SUM(VLOOKUP(C131, Teams!A:B, 2, FALSE), VLOOKUP(D131, Teams!A:B, 2, FALSE), VLOOKUP(E131, Teams!A:B, 2, FALSE))</f>
        <v>28.355769999999996</v>
      </c>
      <c r="J131" s="44">
        <f>SUM(VLOOKUP(F131, Teams!A:B, 2, FALSE), VLOOKUP(G131, Teams!A:B, 2, FALSE), VLOOKUP(H131, Teams!A:B, 2, FALSE))</f>
        <v>46.98198</v>
      </c>
      <c r="K131" s="7">
        <f t="shared" ref="K131:K151" si="14">IF(P131&gt;Q131,2,IF(P131=Q131,1,0))</f>
        <v>0</v>
      </c>
      <c r="L131" s="9">
        <f t="shared" ref="L131:L148" si="15">SUM(-1*K131+2)</f>
        <v>2</v>
      </c>
      <c r="M131" s="36">
        <f t="shared" ref="M131:M151" si="16">MIN(P131:Q131)</f>
        <v>28.355769999999996</v>
      </c>
      <c r="N131" s="23" t="str">
        <f>IF('Online Results'!T133="", "", 'Online Results'!T133)</f>
        <v/>
      </c>
      <c r="O131" s="22" t="str">
        <f>IF('Online Results'!U133="", "", 'Online Results'!U133)</f>
        <v/>
      </c>
      <c r="P131" s="47">
        <f t="shared" ref="P131:P151" si="17">IF(N131="", I131, N131)</f>
        <v>28.355769999999996</v>
      </c>
      <c r="Q131" s="48">
        <f t="shared" ref="Q131:Q151" si="18">IF(O131="", J131, O131)</f>
        <v>46.98198</v>
      </c>
      <c r="R131" s="46" t="e">
        <f t="shared" ref="R131:R151" si="19">ABS(I131+J131-N131-O131)/(N131+O131)</f>
        <v>#VALUE!</v>
      </c>
      <c r="S131" s="13">
        <f>SUM(VLOOKUP(C131, Teams!A:B, 2, FALSE), VLOOKUP(D131, Teams!A:B, 2, FALSE), VLOOKUP(E131, Teams!A:B, 2, FALSE))</f>
        <v>28.355769999999996</v>
      </c>
      <c r="T131" s="11">
        <f>SUM(VLOOKUP(F131, Teams!A:B, 2, FALSE), VLOOKUP(G131, Teams!A:B, 2, FALSE), VLOOKUP(H131, Teams!A:B, 2, FALSE))</f>
        <v>46.98198</v>
      </c>
      <c r="U131" s="46" t="e">
        <f>R131*SUM(S131, T131)/SUM(AVERAGE($S$2:$S131), AVERAGE($T$2:$T131))</f>
        <v>#VALUE!</v>
      </c>
      <c r="V131" s="46" t="e">
        <f>AVERAGE($R$2:$R131)</f>
        <v>#VALUE!</v>
      </c>
      <c r="W131" s="46" t="e">
        <f>AVERAGE($U$2:$U131)</f>
        <v>#VALUE!</v>
      </c>
      <c r="X131" s="4">
        <f t="shared" ref="X131:X148" si="20">IF(S131&gt;T131,IF(N131&gt;O131,0,IF(N131=O131, 1, 2)),IF(S131=T131,IF(N131=O131,0,1), IF(N131&lt;O131, 0, 2)))</f>
        <v>2</v>
      </c>
      <c r="Y131" s="46">
        <f>AVERAGE($X$2:$X131)*0.5</f>
        <v>0.61153846153846159</v>
      </c>
    </row>
    <row r="132" spans="1:25">
      <c r="A132" s="3">
        <f>'Online Results'!L134</f>
        <v>0.34791666666666665</v>
      </c>
      <c r="B132" s="18">
        <f>'Online Results'!M134</f>
        <v>131</v>
      </c>
      <c r="C132" s="20">
        <f>'Online Results'!N134</f>
        <v>1764</v>
      </c>
      <c r="D132" s="20">
        <f>'Online Results'!O134</f>
        <v>116</v>
      </c>
      <c r="E132" s="20">
        <f>'Online Results'!P134</f>
        <v>1912</v>
      </c>
      <c r="F132" s="19">
        <f>'Online Results'!Q134</f>
        <v>27</v>
      </c>
      <c r="G132" s="19">
        <f>'Online Results'!R134</f>
        <v>3205</v>
      </c>
      <c r="H132" s="19">
        <f>'Online Results'!S134</f>
        <v>279</v>
      </c>
      <c r="I132" s="42">
        <f>SUM(VLOOKUP(C132, Teams!A:B, 2, FALSE), VLOOKUP(D132, Teams!A:B, 2, FALSE), VLOOKUP(E132, Teams!A:B, 2, FALSE))</f>
        <v>30.833354999999997</v>
      </c>
      <c r="J132" s="44">
        <f>SUM(VLOOKUP(F132, Teams!A:B, 2, FALSE), VLOOKUP(G132, Teams!A:B, 2, FALSE), VLOOKUP(H132, Teams!A:B, 2, FALSE))</f>
        <v>52.903474999999993</v>
      </c>
      <c r="K132" s="7">
        <f t="shared" si="14"/>
        <v>0</v>
      </c>
      <c r="L132" s="9">
        <f t="shared" si="15"/>
        <v>2</v>
      </c>
      <c r="M132" s="36">
        <f t="shared" si="16"/>
        <v>30.833354999999997</v>
      </c>
      <c r="N132" s="23" t="str">
        <f>IF('Online Results'!T134="", "", 'Online Results'!T134)</f>
        <v/>
      </c>
      <c r="O132" s="22" t="str">
        <f>IF('Online Results'!U134="", "", 'Online Results'!U134)</f>
        <v/>
      </c>
      <c r="P132" s="47">
        <f t="shared" si="17"/>
        <v>30.833354999999997</v>
      </c>
      <c r="Q132" s="48">
        <f t="shared" si="18"/>
        <v>52.903474999999993</v>
      </c>
      <c r="R132" s="46" t="e">
        <f t="shared" si="19"/>
        <v>#VALUE!</v>
      </c>
      <c r="S132" s="13">
        <f>SUM(VLOOKUP(C132, Teams!A:B, 2, FALSE), VLOOKUP(D132, Teams!A:B, 2, FALSE), VLOOKUP(E132, Teams!A:B, 2, FALSE))</f>
        <v>30.833354999999997</v>
      </c>
      <c r="T132" s="11">
        <f>SUM(VLOOKUP(F132, Teams!A:B, 2, FALSE), VLOOKUP(G132, Teams!A:B, 2, FALSE), VLOOKUP(H132, Teams!A:B, 2, FALSE))</f>
        <v>52.903474999999993</v>
      </c>
      <c r="U132" s="46" t="e">
        <f>R132*SUM(S132, T132)/SUM(AVERAGE($S$2:$S132), AVERAGE($T$2:$T132))</f>
        <v>#VALUE!</v>
      </c>
      <c r="V132" s="46" t="e">
        <f>AVERAGE($R$2:$R132)</f>
        <v>#VALUE!</v>
      </c>
      <c r="W132" s="46" t="e">
        <f>AVERAGE($U$2:$U132)</f>
        <v>#VALUE!</v>
      </c>
      <c r="X132" s="4">
        <f t="shared" si="20"/>
        <v>2</v>
      </c>
      <c r="Y132" s="46">
        <f>AVERAGE($X$2:$X132)*0.5</f>
        <v>0.6145038167938931</v>
      </c>
    </row>
    <row r="133" spans="1:25">
      <c r="A133" s="3">
        <f>'Online Results'!L135</f>
        <v>0.3520833333333333</v>
      </c>
      <c r="B133" s="18">
        <f>'Online Results'!M135</f>
        <v>132</v>
      </c>
      <c r="C133" s="20">
        <f>'Online Results'!N135</f>
        <v>597</v>
      </c>
      <c r="D133" s="20">
        <f>'Online Results'!O135</f>
        <v>3951</v>
      </c>
      <c r="E133" s="20">
        <f>'Online Results'!P135</f>
        <v>836</v>
      </c>
      <c r="F133" s="19">
        <f>'Online Results'!Q135</f>
        <v>4069</v>
      </c>
      <c r="G133" s="19">
        <f>'Online Results'!R135</f>
        <v>2102</v>
      </c>
      <c r="H133" s="19">
        <f>'Online Results'!S135</f>
        <v>3950</v>
      </c>
      <c r="I133" s="42">
        <f>SUM(VLOOKUP(C133, Teams!A:B, 2, FALSE), VLOOKUP(D133, Teams!A:B, 2, FALSE), VLOOKUP(E133, Teams!A:B, 2, FALSE))</f>
        <v>35.750280000000004</v>
      </c>
      <c r="J133" s="44">
        <f>SUM(VLOOKUP(F133, Teams!A:B, 2, FALSE), VLOOKUP(G133, Teams!A:B, 2, FALSE), VLOOKUP(H133, Teams!A:B, 2, FALSE))</f>
        <v>25.796270000000003</v>
      </c>
      <c r="K133" s="7">
        <f t="shared" si="14"/>
        <v>2</v>
      </c>
      <c r="L133" s="9">
        <f t="shared" si="15"/>
        <v>0</v>
      </c>
      <c r="M133" s="36">
        <f t="shared" si="16"/>
        <v>25.796270000000003</v>
      </c>
      <c r="N133" s="23" t="str">
        <f>IF('Online Results'!T135="", "", 'Online Results'!T135)</f>
        <v/>
      </c>
      <c r="O133" s="22" t="str">
        <f>IF('Online Results'!U135="", "", 'Online Results'!U135)</f>
        <v/>
      </c>
      <c r="P133" s="47">
        <f t="shared" si="17"/>
        <v>35.750280000000004</v>
      </c>
      <c r="Q133" s="48">
        <f t="shared" si="18"/>
        <v>25.796270000000003</v>
      </c>
      <c r="R133" s="46" t="e">
        <f t="shared" si="19"/>
        <v>#VALUE!</v>
      </c>
      <c r="S133" s="13">
        <f>SUM(VLOOKUP(C133, Teams!A:B, 2, FALSE), VLOOKUP(D133, Teams!A:B, 2, FALSE), VLOOKUP(E133, Teams!A:B, 2, FALSE))</f>
        <v>35.750280000000004</v>
      </c>
      <c r="T133" s="11">
        <f>SUM(VLOOKUP(F133, Teams!A:B, 2, FALSE), VLOOKUP(G133, Teams!A:B, 2, FALSE), VLOOKUP(H133, Teams!A:B, 2, FALSE))</f>
        <v>25.796270000000003</v>
      </c>
      <c r="U133" s="46" t="e">
        <f>R133*SUM(S133, T133)/SUM(AVERAGE($S$2:$S133), AVERAGE($T$2:$T133))</f>
        <v>#VALUE!</v>
      </c>
      <c r="V133" s="46" t="e">
        <f>AVERAGE($R$2:$R133)</f>
        <v>#VALUE!</v>
      </c>
      <c r="W133" s="46" t="e">
        <f>AVERAGE($U$2:$U133)</f>
        <v>#VALUE!</v>
      </c>
      <c r="X133" s="4">
        <f t="shared" si="20"/>
        <v>1</v>
      </c>
      <c r="Y133" s="46">
        <f>AVERAGE($X$2:$X133)*0.5</f>
        <v>0.61363636363636365</v>
      </c>
    </row>
    <row r="134" spans="1:25">
      <c r="A134" s="3">
        <f>'Online Results'!L136</f>
        <v>0.35625000000000001</v>
      </c>
      <c r="B134" s="18">
        <f>'Online Results'!M136</f>
        <v>133</v>
      </c>
      <c r="C134" s="20">
        <f>'Online Results'!N136</f>
        <v>830</v>
      </c>
      <c r="D134" s="20">
        <f>'Online Results'!O136</f>
        <v>2914</v>
      </c>
      <c r="E134" s="20">
        <f>'Online Results'!P136</f>
        <v>932</v>
      </c>
      <c r="F134" s="19">
        <f>'Online Results'!Q136</f>
        <v>461</v>
      </c>
      <c r="G134" s="19">
        <f>'Online Results'!R136</f>
        <v>3528</v>
      </c>
      <c r="H134" s="19">
        <f>'Online Results'!S136</f>
        <v>2164</v>
      </c>
      <c r="I134" s="42">
        <f>SUM(VLOOKUP(C134, Teams!A:B, 2, FALSE), VLOOKUP(D134, Teams!A:B, 2, FALSE), VLOOKUP(E134, Teams!A:B, 2, FALSE))</f>
        <v>22.388486666666665</v>
      </c>
      <c r="J134" s="44">
        <f>SUM(VLOOKUP(F134, Teams!A:B, 2, FALSE), VLOOKUP(G134, Teams!A:B, 2, FALSE), VLOOKUP(H134, Teams!A:B, 2, FALSE))</f>
        <v>38.887975000000004</v>
      </c>
      <c r="K134" s="7">
        <f t="shared" si="14"/>
        <v>0</v>
      </c>
      <c r="L134" s="9">
        <f t="shared" si="15"/>
        <v>2</v>
      </c>
      <c r="M134" s="36">
        <f t="shared" si="16"/>
        <v>22.388486666666665</v>
      </c>
      <c r="N134" s="23" t="str">
        <f>IF('Online Results'!T136="", "", 'Online Results'!T136)</f>
        <v/>
      </c>
      <c r="O134" s="22" t="str">
        <f>IF('Online Results'!U136="", "", 'Online Results'!U136)</f>
        <v/>
      </c>
      <c r="P134" s="47">
        <f t="shared" si="17"/>
        <v>22.388486666666665</v>
      </c>
      <c r="Q134" s="48">
        <f t="shared" si="18"/>
        <v>38.887975000000004</v>
      </c>
      <c r="R134" s="46" t="e">
        <f t="shared" si="19"/>
        <v>#VALUE!</v>
      </c>
      <c r="S134" s="13">
        <f>SUM(VLOOKUP(C134, Teams!A:B, 2, FALSE), VLOOKUP(D134, Teams!A:B, 2, FALSE), VLOOKUP(E134, Teams!A:B, 2, FALSE))</f>
        <v>22.388486666666665</v>
      </c>
      <c r="T134" s="11">
        <f>SUM(VLOOKUP(F134, Teams!A:B, 2, FALSE), VLOOKUP(G134, Teams!A:B, 2, FALSE), VLOOKUP(H134, Teams!A:B, 2, FALSE))</f>
        <v>38.887975000000004</v>
      </c>
      <c r="U134" s="46" t="e">
        <f>R134*SUM(S134, T134)/SUM(AVERAGE($S$2:$S134), AVERAGE($T$2:$T134))</f>
        <v>#VALUE!</v>
      </c>
      <c r="V134" s="46" t="e">
        <f>AVERAGE($R$2:$R134)</f>
        <v>#VALUE!</v>
      </c>
      <c r="W134" s="46" t="e">
        <f>AVERAGE($U$2:$U134)</f>
        <v>#VALUE!</v>
      </c>
      <c r="X134" s="4">
        <f t="shared" si="20"/>
        <v>2</v>
      </c>
      <c r="Y134" s="46">
        <f>AVERAGE($X$2:$X134)*0.5</f>
        <v>0.61654135338345861</v>
      </c>
    </row>
    <row r="135" spans="1:25">
      <c r="A135" s="3">
        <f>'Online Results'!L137</f>
        <v>0.36041666666666666</v>
      </c>
      <c r="B135" s="18">
        <f>'Online Results'!M137</f>
        <v>134</v>
      </c>
      <c r="C135" s="20">
        <f>'Online Results'!N137</f>
        <v>2626</v>
      </c>
      <c r="D135" s="20">
        <f>'Online Results'!O137</f>
        <v>1885</v>
      </c>
      <c r="E135" s="20">
        <f>'Online Results'!P137</f>
        <v>4253</v>
      </c>
      <c r="F135" s="19">
        <f>'Online Results'!Q137</f>
        <v>2180</v>
      </c>
      <c r="G135" s="19">
        <f>'Online Results'!R137</f>
        <v>3115</v>
      </c>
      <c r="H135" s="19">
        <f>'Online Results'!S137</f>
        <v>192</v>
      </c>
      <c r="I135" s="42">
        <f>SUM(VLOOKUP(C135, Teams!A:B, 2, FALSE), VLOOKUP(D135, Teams!A:B, 2, FALSE), VLOOKUP(E135, Teams!A:B, 2, FALSE))</f>
        <v>28.121520000000004</v>
      </c>
      <c r="J135" s="44">
        <f>SUM(VLOOKUP(F135, Teams!A:B, 2, FALSE), VLOOKUP(G135, Teams!A:B, 2, FALSE), VLOOKUP(H135, Teams!A:B, 2, FALSE))</f>
        <v>30.381291000000001</v>
      </c>
      <c r="K135" s="7">
        <f t="shared" si="14"/>
        <v>0</v>
      </c>
      <c r="L135" s="9">
        <f t="shared" si="15"/>
        <v>2</v>
      </c>
      <c r="M135" s="36">
        <f t="shared" si="16"/>
        <v>28.121520000000004</v>
      </c>
      <c r="N135" s="23" t="str">
        <f>IF('Online Results'!T137="", "", 'Online Results'!T137)</f>
        <v/>
      </c>
      <c r="O135" s="22" t="str">
        <f>IF('Online Results'!U137="", "", 'Online Results'!U137)</f>
        <v/>
      </c>
      <c r="P135" s="47">
        <f t="shared" si="17"/>
        <v>28.121520000000004</v>
      </c>
      <c r="Q135" s="48">
        <f t="shared" si="18"/>
        <v>30.381291000000001</v>
      </c>
      <c r="R135" s="46" t="e">
        <f t="shared" si="19"/>
        <v>#VALUE!</v>
      </c>
      <c r="S135" s="13">
        <f>SUM(VLOOKUP(C135, Teams!A:B, 2, FALSE), VLOOKUP(D135, Teams!A:B, 2, FALSE), VLOOKUP(E135, Teams!A:B, 2, FALSE))</f>
        <v>28.121520000000004</v>
      </c>
      <c r="T135" s="11">
        <f>SUM(VLOOKUP(F135, Teams!A:B, 2, FALSE), VLOOKUP(G135, Teams!A:B, 2, FALSE), VLOOKUP(H135, Teams!A:B, 2, FALSE))</f>
        <v>30.381291000000001</v>
      </c>
      <c r="U135" s="46" t="e">
        <f>R135*SUM(S135, T135)/SUM(AVERAGE($S$2:$S135), AVERAGE($T$2:$T135))</f>
        <v>#VALUE!</v>
      </c>
      <c r="V135" s="46" t="e">
        <f>AVERAGE($R$2:$R135)</f>
        <v>#VALUE!</v>
      </c>
      <c r="W135" s="46" t="e">
        <f>AVERAGE($U$2:$U135)</f>
        <v>#VALUE!</v>
      </c>
      <c r="X135" s="4">
        <f t="shared" si="20"/>
        <v>2</v>
      </c>
      <c r="Y135" s="46">
        <f>AVERAGE($X$2:$X135)*0.5</f>
        <v>0.61940298507462688</v>
      </c>
    </row>
    <row r="136" spans="1:25">
      <c r="A136" s="3">
        <f>'Online Results'!L138</f>
        <v>0.36458333333333331</v>
      </c>
      <c r="B136" s="18">
        <f>'Online Results'!M138</f>
        <v>135</v>
      </c>
      <c r="C136" s="20">
        <f>'Online Results'!N138</f>
        <v>604</v>
      </c>
      <c r="D136" s="20">
        <f>'Online Results'!O138</f>
        <v>341</v>
      </c>
      <c r="E136" s="20">
        <f>'Online Results'!P138</f>
        <v>2757</v>
      </c>
      <c r="F136" s="19">
        <f>'Online Results'!Q138</f>
        <v>3419</v>
      </c>
      <c r="G136" s="19">
        <f>'Online Results'!R138</f>
        <v>4161</v>
      </c>
      <c r="H136" s="19">
        <f>'Online Results'!S138</f>
        <v>3288</v>
      </c>
      <c r="I136" s="42">
        <f>SUM(VLOOKUP(C136, Teams!A:B, 2, FALSE), VLOOKUP(D136, Teams!A:B, 2, FALSE), VLOOKUP(E136, Teams!A:B, 2, FALSE))</f>
        <v>48.181460000000001</v>
      </c>
      <c r="J136" s="44">
        <f>SUM(VLOOKUP(F136, Teams!A:B, 2, FALSE), VLOOKUP(G136, Teams!A:B, 2, FALSE), VLOOKUP(H136, Teams!A:B, 2, FALSE))</f>
        <v>33.334118000000004</v>
      </c>
      <c r="K136" s="7">
        <f t="shared" si="14"/>
        <v>2</v>
      </c>
      <c r="L136" s="9">
        <f t="shared" si="15"/>
        <v>0</v>
      </c>
      <c r="M136" s="36">
        <f t="shared" si="16"/>
        <v>33.334118000000004</v>
      </c>
      <c r="N136" s="23" t="str">
        <f>IF('Online Results'!T138="", "", 'Online Results'!T138)</f>
        <v/>
      </c>
      <c r="O136" s="22" t="str">
        <f>IF('Online Results'!U138="", "", 'Online Results'!U138)</f>
        <v/>
      </c>
      <c r="P136" s="47">
        <f t="shared" si="17"/>
        <v>48.181460000000001</v>
      </c>
      <c r="Q136" s="48">
        <f t="shared" si="18"/>
        <v>33.334118000000004</v>
      </c>
      <c r="R136" s="46" t="e">
        <f t="shared" si="19"/>
        <v>#VALUE!</v>
      </c>
      <c r="S136" s="13">
        <f>SUM(VLOOKUP(C136, Teams!A:B, 2, FALSE), VLOOKUP(D136, Teams!A:B, 2, FALSE), VLOOKUP(E136, Teams!A:B, 2, FALSE))</f>
        <v>48.181460000000001</v>
      </c>
      <c r="T136" s="11">
        <f>SUM(VLOOKUP(F136, Teams!A:B, 2, FALSE), VLOOKUP(G136, Teams!A:B, 2, FALSE), VLOOKUP(H136, Teams!A:B, 2, FALSE))</f>
        <v>33.334118000000004</v>
      </c>
      <c r="U136" s="46" t="e">
        <f>R136*SUM(S136, T136)/SUM(AVERAGE($S$2:$S136), AVERAGE($T$2:$T136))</f>
        <v>#VALUE!</v>
      </c>
      <c r="V136" s="46" t="e">
        <f>AVERAGE($R$2:$R136)</f>
        <v>#VALUE!</v>
      </c>
      <c r="W136" s="46" t="e">
        <f>AVERAGE($U$2:$U136)</f>
        <v>#VALUE!</v>
      </c>
      <c r="X136" s="4">
        <f t="shared" si="20"/>
        <v>1</v>
      </c>
      <c r="Y136" s="46">
        <f>AVERAGE($X$2:$X136)*0.5</f>
        <v>0.61851851851851847</v>
      </c>
    </row>
    <row r="137" spans="1:25">
      <c r="A137" s="3">
        <f>'Online Results'!L139</f>
        <v>0.36874999999999997</v>
      </c>
      <c r="B137" s="18">
        <f>'Online Results'!M139</f>
        <v>136</v>
      </c>
      <c r="C137" s="20">
        <f>'Online Results'!N139</f>
        <v>3711</v>
      </c>
      <c r="D137" s="20">
        <f>'Online Results'!O139</f>
        <v>1511</v>
      </c>
      <c r="E137" s="20">
        <f>'Online Results'!P139</f>
        <v>2522</v>
      </c>
      <c r="F137" s="19">
        <f>'Online Results'!Q139</f>
        <v>1683</v>
      </c>
      <c r="G137" s="19">
        <f>'Online Results'!R139</f>
        <v>1741</v>
      </c>
      <c r="H137" s="19">
        <f>'Online Results'!S139</f>
        <v>1319</v>
      </c>
      <c r="I137" s="42">
        <f>SUM(VLOOKUP(C137, Teams!A:B, 2, FALSE), VLOOKUP(D137, Teams!A:B, 2, FALSE), VLOOKUP(E137, Teams!A:B, 2, FALSE))</f>
        <v>33.643964999999994</v>
      </c>
      <c r="J137" s="44">
        <f>SUM(VLOOKUP(F137, Teams!A:B, 2, FALSE), VLOOKUP(G137, Teams!A:B, 2, FALSE), VLOOKUP(H137, Teams!A:B, 2, FALSE))</f>
        <v>29.303813333333334</v>
      </c>
      <c r="K137" s="7">
        <f t="shared" si="14"/>
        <v>2</v>
      </c>
      <c r="L137" s="9">
        <f t="shared" si="15"/>
        <v>0</v>
      </c>
      <c r="M137" s="36">
        <f t="shared" si="16"/>
        <v>29.303813333333334</v>
      </c>
      <c r="N137" s="23" t="str">
        <f>IF('Online Results'!T139="", "", 'Online Results'!T139)</f>
        <v/>
      </c>
      <c r="O137" s="22" t="str">
        <f>IF('Online Results'!U139="", "", 'Online Results'!U139)</f>
        <v/>
      </c>
      <c r="P137" s="47">
        <f t="shared" si="17"/>
        <v>33.643964999999994</v>
      </c>
      <c r="Q137" s="48">
        <f t="shared" si="18"/>
        <v>29.303813333333334</v>
      </c>
      <c r="R137" s="46" t="e">
        <f t="shared" si="19"/>
        <v>#VALUE!</v>
      </c>
      <c r="S137" s="13">
        <f>SUM(VLOOKUP(C137, Teams!A:B, 2, FALSE), VLOOKUP(D137, Teams!A:B, 2, FALSE), VLOOKUP(E137, Teams!A:B, 2, FALSE))</f>
        <v>33.643964999999994</v>
      </c>
      <c r="T137" s="11">
        <f>SUM(VLOOKUP(F137, Teams!A:B, 2, FALSE), VLOOKUP(G137, Teams!A:B, 2, FALSE), VLOOKUP(H137, Teams!A:B, 2, FALSE))</f>
        <v>29.303813333333334</v>
      </c>
      <c r="U137" s="46" t="e">
        <f>R137*SUM(S137, T137)/SUM(AVERAGE($S$2:$S137), AVERAGE($T$2:$T137))</f>
        <v>#VALUE!</v>
      </c>
      <c r="V137" s="46" t="e">
        <f>AVERAGE($R$2:$R137)</f>
        <v>#VALUE!</v>
      </c>
      <c r="W137" s="46" t="e">
        <f>AVERAGE($U$2:$U137)</f>
        <v>#VALUE!</v>
      </c>
      <c r="X137" s="4">
        <f t="shared" si="20"/>
        <v>1</v>
      </c>
      <c r="Y137" s="46">
        <f>AVERAGE($X$2:$X137)*0.5</f>
        <v>0.61764705882352944</v>
      </c>
    </row>
    <row r="138" spans="1:25">
      <c r="A138" s="3">
        <f>'Online Results'!L140</f>
        <v>0.37291666666666662</v>
      </c>
      <c r="B138" s="18">
        <f>'Online Results'!M140</f>
        <v>137</v>
      </c>
      <c r="C138" s="20">
        <f>'Online Results'!N140</f>
        <v>1986</v>
      </c>
      <c r="D138" s="20">
        <f>'Online Results'!O140</f>
        <v>1690</v>
      </c>
      <c r="E138" s="20">
        <f>'Online Results'!P140</f>
        <v>415</v>
      </c>
      <c r="F138" s="19">
        <f>'Online Results'!Q140</f>
        <v>503</v>
      </c>
      <c r="G138" s="19">
        <f>'Online Results'!R140</f>
        <v>3132</v>
      </c>
      <c r="H138" s="19">
        <f>'Online Results'!S140</f>
        <v>233</v>
      </c>
      <c r="I138" s="42">
        <f>SUM(VLOOKUP(C138, Teams!A:B, 2, FALSE), VLOOKUP(D138, Teams!A:B, 2, FALSE), VLOOKUP(E138, Teams!A:B, 2, FALSE))</f>
        <v>45.431565000000006</v>
      </c>
      <c r="J138" s="44">
        <f>SUM(VLOOKUP(F138, Teams!A:B, 2, FALSE), VLOOKUP(G138, Teams!A:B, 2, FALSE), VLOOKUP(H138, Teams!A:B, 2, FALSE))</f>
        <v>31.383850000000002</v>
      </c>
      <c r="K138" s="7">
        <f t="shared" si="14"/>
        <v>2</v>
      </c>
      <c r="L138" s="9">
        <f t="shared" si="15"/>
        <v>0</v>
      </c>
      <c r="M138" s="36">
        <f t="shared" si="16"/>
        <v>31.383850000000002</v>
      </c>
      <c r="N138" s="23" t="str">
        <f>IF('Online Results'!T140="", "", 'Online Results'!T140)</f>
        <v/>
      </c>
      <c r="O138" s="22" t="str">
        <f>IF('Online Results'!U140="", "", 'Online Results'!U140)</f>
        <v/>
      </c>
      <c r="P138" s="47">
        <f t="shared" si="17"/>
        <v>45.431565000000006</v>
      </c>
      <c r="Q138" s="48">
        <f t="shared" si="18"/>
        <v>31.383850000000002</v>
      </c>
      <c r="R138" s="46" t="e">
        <f t="shared" si="19"/>
        <v>#VALUE!</v>
      </c>
      <c r="S138" s="13">
        <f>SUM(VLOOKUP(C138, Teams!A:B, 2, FALSE), VLOOKUP(D138, Teams!A:B, 2, FALSE), VLOOKUP(E138, Teams!A:B, 2, FALSE))</f>
        <v>45.431565000000006</v>
      </c>
      <c r="T138" s="11">
        <f>SUM(VLOOKUP(F138, Teams!A:B, 2, FALSE), VLOOKUP(G138, Teams!A:B, 2, FALSE), VLOOKUP(H138, Teams!A:B, 2, FALSE))</f>
        <v>31.383850000000002</v>
      </c>
      <c r="U138" s="46" t="e">
        <f>R138*SUM(S138, T138)/SUM(AVERAGE($S$2:$S138), AVERAGE($T$2:$T138))</f>
        <v>#VALUE!</v>
      </c>
      <c r="V138" s="46" t="e">
        <f>AVERAGE($R$2:$R138)</f>
        <v>#VALUE!</v>
      </c>
      <c r="W138" s="46" t="e">
        <f>AVERAGE($U$2:$U138)</f>
        <v>#VALUE!</v>
      </c>
      <c r="X138" s="4">
        <f t="shared" si="20"/>
        <v>1</v>
      </c>
      <c r="Y138" s="46">
        <f>AVERAGE($X$2:$X138)*0.5</f>
        <v>0.61678832116788318</v>
      </c>
    </row>
    <row r="139" spans="1:25">
      <c r="A139" s="3">
        <f>'Online Results'!L141</f>
        <v>0.37708333333333338</v>
      </c>
      <c r="B139" s="18">
        <f>'Online Results'!M141</f>
        <v>138</v>
      </c>
      <c r="C139" s="20">
        <f>'Online Results'!N141</f>
        <v>706</v>
      </c>
      <c r="D139" s="20">
        <f>'Online Results'!O141</f>
        <v>1778</v>
      </c>
      <c r="E139" s="20">
        <f>'Online Results'!P141</f>
        <v>51</v>
      </c>
      <c r="F139" s="19">
        <f>'Online Results'!Q141</f>
        <v>288</v>
      </c>
      <c r="G139" s="19">
        <f>'Online Results'!R141</f>
        <v>3941</v>
      </c>
      <c r="H139" s="19">
        <f>'Online Results'!S141</f>
        <v>3970</v>
      </c>
      <c r="I139" s="42">
        <f>SUM(VLOOKUP(C139, Teams!A:B, 2, FALSE), VLOOKUP(D139, Teams!A:B, 2, FALSE), VLOOKUP(E139, Teams!A:B, 2, FALSE))</f>
        <v>33.879493333333329</v>
      </c>
      <c r="J139" s="44">
        <f>SUM(VLOOKUP(F139, Teams!A:B, 2, FALSE), VLOOKUP(G139, Teams!A:B, 2, FALSE), VLOOKUP(H139, Teams!A:B, 2, FALSE))</f>
        <v>23.815339999999999</v>
      </c>
      <c r="K139" s="7">
        <f t="shared" si="14"/>
        <v>2</v>
      </c>
      <c r="L139" s="9">
        <f t="shared" si="15"/>
        <v>0</v>
      </c>
      <c r="M139" s="36">
        <f t="shared" si="16"/>
        <v>23.815339999999999</v>
      </c>
      <c r="N139" s="23" t="str">
        <f>IF('Online Results'!T141="", "", 'Online Results'!T141)</f>
        <v/>
      </c>
      <c r="O139" s="22" t="str">
        <f>IF('Online Results'!U141="", "", 'Online Results'!U141)</f>
        <v/>
      </c>
      <c r="P139" s="47">
        <f t="shared" si="17"/>
        <v>33.879493333333329</v>
      </c>
      <c r="Q139" s="48">
        <f t="shared" si="18"/>
        <v>23.815339999999999</v>
      </c>
      <c r="R139" s="46" t="e">
        <f t="shared" si="19"/>
        <v>#VALUE!</v>
      </c>
      <c r="S139" s="13">
        <f>SUM(VLOOKUP(C139, Teams!A:B, 2, FALSE), VLOOKUP(D139, Teams!A:B, 2, FALSE), VLOOKUP(E139, Teams!A:B, 2, FALSE))</f>
        <v>33.879493333333329</v>
      </c>
      <c r="T139" s="11">
        <f>SUM(VLOOKUP(F139, Teams!A:B, 2, FALSE), VLOOKUP(G139, Teams!A:B, 2, FALSE), VLOOKUP(H139, Teams!A:B, 2, FALSE))</f>
        <v>23.815339999999999</v>
      </c>
      <c r="U139" s="46" t="e">
        <f>R139*SUM(S139, T139)/SUM(AVERAGE($S$2:$S139), AVERAGE($T$2:$T139))</f>
        <v>#VALUE!</v>
      </c>
      <c r="V139" s="46" t="e">
        <f>AVERAGE($R$2:$R139)</f>
        <v>#VALUE!</v>
      </c>
      <c r="W139" s="46" t="e">
        <f>AVERAGE($U$2:$U139)</f>
        <v>#VALUE!</v>
      </c>
      <c r="X139" s="4">
        <f t="shared" si="20"/>
        <v>1</v>
      </c>
      <c r="Y139" s="46">
        <f>AVERAGE($X$2:$X139)*0.5</f>
        <v>0.61594202898550721</v>
      </c>
    </row>
    <row r="140" spans="1:25">
      <c r="A140" s="3">
        <f>'Online Results'!L142</f>
        <v>0.38125000000000003</v>
      </c>
      <c r="B140" s="18">
        <f>'Online Results'!M142</f>
        <v>139</v>
      </c>
      <c r="C140" s="20">
        <f>'Online Results'!N142</f>
        <v>58</v>
      </c>
      <c r="D140" s="20">
        <f>'Online Results'!O142</f>
        <v>2130</v>
      </c>
      <c r="E140" s="20">
        <f>'Online Results'!P142</f>
        <v>1678</v>
      </c>
      <c r="F140" s="19">
        <f>'Online Results'!Q142</f>
        <v>2500</v>
      </c>
      <c r="G140" s="19">
        <f>'Online Results'!R142</f>
        <v>3940</v>
      </c>
      <c r="H140" s="19">
        <f>'Online Results'!S142</f>
        <v>1266</v>
      </c>
      <c r="I140" s="42">
        <f>SUM(VLOOKUP(C140, Teams!A:B, 2, FALSE), VLOOKUP(D140, Teams!A:B, 2, FALSE), VLOOKUP(E140, Teams!A:B, 2, FALSE))</f>
        <v>48.989719999999998</v>
      </c>
      <c r="J140" s="44">
        <f>SUM(VLOOKUP(F140, Teams!A:B, 2, FALSE), VLOOKUP(G140, Teams!A:B, 2, FALSE), VLOOKUP(H140, Teams!A:B, 2, FALSE))</f>
        <v>24.419354999999999</v>
      </c>
      <c r="K140" s="7">
        <f t="shared" si="14"/>
        <v>2</v>
      </c>
      <c r="L140" s="9">
        <f t="shared" si="15"/>
        <v>0</v>
      </c>
      <c r="M140" s="36">
        <f t="shared" si="16"/>
        <v>24.419354999999999</v>
      </c>
      <c r="N140" s="23" t="str">
        <f>IF('Online Results'!T142="", "", 'Online Results'!T142)</f>
        <v/>
      </c>
      <c r="O140" s="22" t="str">
        <f>IF('Online Results'!U142="", "", 'Online Results'!U142)</f>
        <v/>
      </c>
      <c r="P140" s="47">
        <f t="shared" si="17"/>
        <v>48.989719999999998</v>
      </c>
      <c r="Q140" s="48">
        <f t="shared" si="18"/>
        <v>24.419354999999999</v>
      </c>
      <c r="R140" s="46" t="e">
        <f t="shared" si="19"/>
        <v>#VALUE!</v>
      </c>
      <c r="S140" s="13">
        <f>SUM(VLOOKUP(C140, Teams!A:B, 2, FALSE), VLOOKUP(D140, Teams!A:B, 2, FALSE), VLOOKUP(E140, Teams!A:B, 2, FALSE))</f>
        <v>48.989719999999998</v>
      </c>
      <c r="T140" s="11">
        <f>SUM(VLOOKUP(F140, Teams!A:B, 2, FALSE), VLOOKUP(G140, Teams!A:B, 2, FALSE), VLOOKUP(H140, Teams!A:B, 2, FALSE))</f>
        <v>24.419354999999999</v>
      </c>
      <c r="U140" s="46" t="e">
        <f>R140*SUM(S140, T140)/SUM(AVERAGE($S$2:$S140), AVERAGE($T$2:$T140))</f>
        <v>#VALUE!</v>
      </c>
      <c r="V140" s="46" t="e">
        <f>AVERAGE($R$2:$R140)</f>
        <v>#VALUE!</v>
      </c>
      <c r="W140" s="46" t="e">
        <f>AVERAGE($U$2:$U140)</f>
        <v>#VALUE!</v>
      </c>
      <c r="X140" s="4">
        <f t="shared" si="20"/>
        <v>1</v>
      </c>
      <c r="Y140" s="46">
        <f>AVERAGE($X$2:$X140)*0.5</f>
        <v>0.6151079136690647</v>
      </c>
    </row>
    <row r="141" spans="1:25">
      <c r="A141" s="3">
        <f>'Online Results'!L143</f>
        <v>0.38541666666666669</v>
      </c>
      <c r="B141" s="18">
        <f>'Online Results'!M143</f>
        <v>140</v>
      </c>
      <c r="C141" s="20">
        <f>'Online Results'!N143</f>
        <v>2474</v>
      </c>
      <c r="D141" s="20">
        <f>'Online Results'!O143</f>
        <v>3860</v>
      </c>
      <c r="E141" s="20">
        <f>'Online Results'!P143</f>
        <v>78</v>
      </c>
      <c r="F141" s="19">
        <f>'Online Results'!Q143</f>
        <v>2102</v>
      </c>
      <c r="G141" s="19">
        <f>'Online Results'!R143</f>
        <v>564</v>
      </c>
      <c r="H141" s="19">
        <f>'Online Results'!S143</f>
        <v>27</v>
      </c>
      <c r="I141" s="42">
        <f>SUM(VLOOKUP(C141, Teams!A:B, 2, FALSE), VLOOKUP(D141, Teams!A:B, 2, FALSE), VLOOKUP(E141, Teams!A:B, 2, FALSE))</f>
        <v>40.318124999999995</v>
      </c>
      <c r="J141" s="44">
        <f>SUM(VLOOKUP(F141, Teams!A:B, 2, FALSE), VLOOKUP(G141, Teams!A:B, 2, FALSE), VLOOKUP(H141, Teams!A:B, 2, FALSE))</f>
        <v>29.855554999999999</v>
      </c>
      <c r="K141" s="7">
        <f t="shared" si="14"/>
        <v>2</v>
      </c>
      <c r="L141" s="9">
        <f t="shared" si="15"/>
        <v>0</v>
      </c>
      <c r="M141" s="36">
        <f t="shared" si="16"/>
        <v>29.855554999999999</v>
      </c>
      <c r="N141" s="23" t="str">
        <f>IF('Online Results'!T143="", "", 'Online Results'!T143)</f>
        <v/>
      </c>
      <c r="O141" s="22" t="str">
        <f>IF('Online Results'!U143="", "", 'Online Results'!U143)</f>
        <v/>
      </c>
      <c r="P141" s="47">
        <f t="shared" si="17"/>
        <v>40.318124999999995</v>
      </c>
      <c r="Q141" s="48">
        <f t="shared" si="18"/>
        <v>29.855554999999999</v>
      </c>
      <c r="R141" s="46" t="e">
        <f t="shared" si="19"/>
        <v>#VALUE!</v>
      </c>
      <c r="S141" s="13">
        <f>SUM(VLOOKUP(C141, Teams!A:B, 2, FALSE), VLOOKUP(D141, Teams!A:B, 2, FALSE), VLOOKUP(E141, Teams!A:B, 2, FALSE))</f>
        <v>40.318124999999995</v>
      </c>
      <c r="T141" s="11">
        <f>SUM(VLOOKUP(F141, Teams!A:B, 2, FALSE), VLOOKUP(G141, Teams!A:B, 2, FALSE), VLOOKUP(H141, Teams!A:B, 2, FALSE))</f>
        <v>29.855554999999999</v>
      </c>
      <c r="U141" s="46" t="e">
        <f>R141*SUM(S141, T141)/SUM(AVERAGE($S$2:$S141), AVERAGE($T$2:$T141))</f>
        <v>#VALUE!</v>
      </c>
      <c r="V141" s="46" t="e">
        <f>AVERAGE($R$2:$R141)</f>
        <v>#VALUE!</v>
      </c>
      <c r="W141" s="46" t="e">
        <f>AVERAGE($U$2:$U141)</f>
        <v>#VALUE!</v>
      </c>
      <c r="X141" s="4">
        <f t="shared" si="20"/>
        <v>1</v>
      </c>
      <c r="Y141" s="46">
        <f>AVERAGE($X$2:$X141)*0.5</f>
        <v>0.61428571428571432</v>
      </c>
    </row>
    <row r="142" spans="1:25">
      <c r="A142" s="3">
        <f>'Online Results'!L144</f>
        <v>0.38958333333333334</v>
      </c>
      <c r="B142" s="18">
        <f>'Online Results'!M144</f>
        <v>141</v>
      </c>
      <c r="C142" s="20">
        <f>'Online Results'!N144</f>
        <v>2960</v>
      </c>
      <c r="D142" s="20">
        <f>'Online Results'!O144</f>
        <v>4265</v>
      </c>
      <c r="E142" s="20">
        <f>'Online Results'!P144</f>
        <v>3950</v>
      </c>
      <c r="F142" s="19">
        <f>'Online Results'!Q144</f>
        <v>1033</v>
      </c>
      <c r="G142" s="19">
        <f>'Online Results'!R144</f>
        <v>116</v>
      </c>
      <c r="H142" s="19">
        <f>'Online Results'!S144</f>
        <v>207</v>
      </c>
      <c r="I142" s="42">
        <f>SUM(VLOOKUP(C142, Teams!A:B, 2, FALSE), VLOOKUP(D142, Teams!A:B, 2, FALSE), VLOOKUP(E142, Teams!A:B, 2, FALSE))</f>
        <v>27.781639999999999</v>
      </c>
      <c r="J142" s="44">
        <f>SUM(VLOOKUP(F142, Teams!A:B, 2, FALSE), VLOOKUP(G142, Teams!A:B, 2, FALSE), VLOOKUP(H142, Teams!A:B, 2, FALSE))</f>
        <v>21.849899999999998</v>
      </c>
      <c r="K142" s="7">
        <f t="shared" si="14"/>
        <v>2</v>
      </c>
      <c r="L142" s="9">
        <f t="shared" si="15"/>
        <v>0</v>
      </c>
      <c r="M142" s="36">
        <f t="shared" si="16"/>
        <v>21.849899999999998</v>
      </c>
      <c r="N142" s="23" t="str">
        <f>IF('Online Results'!T144="", "", 'Online Results'!T144)</f>
        <v/>
      </c>
      <c r="O142" s="22" t="str">
        <f>IF('Online Results'!U144="", "", 'Online Results'!U144)</f>
        <v/>
      </c>
      <c r="P142" s="47">
        <f t="shared" si="17"/>
        <v>27.781639999999999</v>
      </c>
      <c r="Q142" s="48">
        <f t="shared" si="18"/>
        <v>21.849899999999998</v>
      </c>
      <c r="R142" s="46" t="e">
        <f t="shared" si="19"/>
        <v>#VALUE!</v>
      </c>
      <c r="S142" s="13">
        <f>SUM(VLOOKUP(C142, Teams!A:B, 2, FALSE), VLOOKUP(D142, Teams!A:B, 2, FALSE), VLOOKUP(E142, Teams!A:B, 2, FALSE))</f>
        <v>27.781639999999999</v>
      </c>
      <c r="T142" s="11">
        <f>SUM(VLOOKUP(F142, Teams!A:B, 2, FALSE), VLOOKUP(G142, Teams!A:B, 2, FALSE), VLOOKUP(H142, Teams!A:B, 2, FALSE))</f>
        <v>21.849899999999998</v>
      </c>
      <c r="U142" s="46" t="e">
        <f>R142*SUM(S142, T142)/SUM(AVERAGE($S$2:$S142), AVERAGE($T$2:$T142))</f>
        <v>#VALUE!</v>
      </c>
      <c r="V142" s="46" t="e">
        <f>AVERAGE($R$2:$R142)</f>
        <v>#VALUE!</v>
      </c>
      <c r="W142" s="46" t="e">
        <f>AVERAGE($U$2:$U142)</f>
        <v>#VALUE!</v>
      </c>
      <c r="X142" s="4">
        <f t="shared" si="20"/>
        <v>1</v>
      </c>
      <c r="Y142" s="46">
        <f>AVERAGE($X$2:$X142)*0.5</f>
        <v>0.61347517730496459</v>
      </c>
    </row>
    <row r="143" spans="1:25">
      <c r="A143" s="3">
        <f>'Online Results'!L145</f>
        <v>0.39374999999999999</v>
      </c>
      <c r="B143" s="18">
        <f>'Online Results'!M145</f>
        <v>142</v>
      </c>
      <c r="C143" s="20">
        <f>'Online Results'!N145</f>
        <v>3098</v>
      </c>
      <c r="D143" s="20">
        <f>'Online Results'!O145</f>
        <v>537</v>
      </c>
      <c r="E143" s="20">
        <f>'Online Results'!P145</f>
        <v>830</v>
      </c>
      <c r="F143" s="19">
        <f>'Online Results'!Q145</f>
        <v>1649</v>
      </c>
      <c r="G143" s="19">
        <f>'Online Results'!R145</f>
        <v>293</v>
      </c>
      <c r="H143" s="19">
        <f>'Online Results'!S145</f>
        <v>85</v>
      </c>
      <c r="I143" s="42">
        <f>SUM(VLOOKUP(C143, Teams!A:B, 2, FALSE), VLOOKUP(D143, Teams!A:B, 2, FALSE), VLOOKUP(E143, Teams!A:B, 2, FALSE))</f>
        <v>43.390840000000004</v>
      </c>
      <c r="J143" s="44">
        <f>SUM(VLOOKUP(F143, Teams!A:B, 2, FALSE), VLOOKUP(G143, Teams!A:B, 2, FALSE), VLOOKUP(H143, Teams!A:B, 2, FALSE))</f>
        <v>21.118389999999998</v>
      </c>
      <c r="K143" s="7">
        <f t="shared" si="14"/>
        <v>2</v>
      </c>
      <c r="L143" s="9">
        <f t="shared" si="15"/>
        <v>0</v>
      </c>
      <c r="M143" s="36">
        <f t="shared" si="16"/>
        <v>21.118389999999998</v>
      </c>
      <c r="N143" s="23" t="str">
        <f>IF('Online Results'!T145="", "", 'Online Results'!T145)</f>
        <v/>
      </c>
      <c r="O143" s="22" t="str">
        <f>IF('Online Results'!U145="", "", 'Online Results'!U145)</f>
        <v/>
      </c>
      <c r="P143" s="47">
        <f t="shared" si="17"/>
        <v>43.390840000000004</v>
      </c>
      <c r="Q143" s="48">
        <f t="shared" si="18"/>
        <v>21.118389999999998</v>
      </c>
      <c r="R143" s="46" t="e">
        <f t="shared" si="19"/>
        <v>#VALUE!</v>
      </c>
      <c r="S143" s="13">
        <f>SUM(VLOOKUP(C143, Teams!A:B, 2, FALSE), VLOOKUP(D143, Teams!A:B, 2, FALSE), VLOOKUP(E143, Teams!A:B, 2, FALSE))</f>
        <v>43.390840000000004</v>
      </c>
      <c r="T143" s="11">
        <f>SUM(VLOOKUP(F143, Teams!A:B, 2, FALSE), VLOOKUP(G143, Teams!A:B, 2, FALSE), VLOOKUP(H143, Teams!A:B, 2, FALSE))</f>
        <v>21.118389999999998</v>
      </c>
      <c r="U143" s="46" t="e">
        <f>R143*SUM(S143, T143)/SUM(AVERAGE($S$2:$S143), AVERAGE($T$2:$T143))</f>
        <v>#VALUE!</v>
      </c>
      <c r="V143" s="46" t="e">
        <f>AVERAGE($R$2:$R143)</f>
        <v>#VALUE!</v>
      </c>
      <c r="W143" s="46" t="e">
        <f>AVERAGE($U$2:$U143)</f>
        <v>#VALUE!</v>
      </c>
      <c r="X143" s="4">
        <f t="shared" si="20"/>
        <v>1</v>
      </c>
      <c r="Y143" s="46">
        <f>AVERAGE($X$2:$X143)*0.5</f>
        <v>0.61267605633802813</v>
      </c>
    </row>
    <row r="144" spans="1:25">
      <c r="A144" s="3">
        <f>'Online Results'!L146</f>
        <v>0.3979166666666667</v>
      </c>
      <c r="B144" s="18">
        <f>'Online Results'!M146</f>
        <v>143</v>
      </c>
      <c r="C144" s="20">
        <f>'Online Results'!N146</f>
        <v>2881</v>
      </c>
      <c r="D144" s="20">
        <f>'Online Results'!O146</f>
        <v>2914</v>
      </c>
      <c r="E144" s="20">
        <f>'Online Results'!P146</f>
        <v>987</v>
      </c>
      <c r="F144" s="19">
        <f>'Online Results'!Q146</f>
        <v>244</v>
      </c>
      <c r="G144" s="19">
        <f>'Online Results'!R146</f>
        <v>1477</v>
      </c>
      <c r="H144" s="19">
        <f>'Online Results'!S146</f>
        <v>120</v>
      </c>
      <c r="I144" s="42">
        <f>SUM(VLOOKUP(C144, Teams!A:B, 2, FALSE), VLOOKUP(D144, Teams!A:B, 2, FALSE), VLOOKUP(E144, Teams!A:B, 2, FALSE))</f>
        <v>50.721834999999999</v>
      </c>
      <c r="J144" s="44">
        <f>SUM(VLOOKUP(F144, Teams!A:B, 2, FALSE), VLOOKUP(G144, Teams!A:B, 2, FALSE), VLOOKUP(H144, Teams!A:B, 2, FALSE))</f>
        <v>34.74539333333334</v>
      </c>
      <c r="K144" s="7">
        <f t="shared" si="14"/>
        <v>2</v>
      </c>
      <c r="L144" s="9">
        <f t="shared" si="15"/>
        <v>0</v>
      </c>
      <c r="M144" s="36">
        <f t="shared" si="16"/>
        <v>34.74539333333334</v>
      </c>
      <c r="N144" s="23" t="str">
        <f>IF('Online Results'!T146="", "", 'Online Results'!T146)</f>
        <v/>
      </c>
      <c r="O144" s="22" t="str">
        <f>IF('Online Results'!U146="", "", 'Online Results'!U146)</f>
        <v/>
      </c>
      <c r="P144" s="47">
        <f t="shared" si="17"/>
        <v>50.721834999999999</v>
      </c>
      <c r="Q144" s="48">
        <f t="shared" si="18"/>
        <v>34.74539333333334</v>
      </c>
      <c r="R144" s="46" t="e">
        <f t="shared" si="19"/>
        <v>#VALUE!</v>
      </c>
      <c r="S144" s="13">
        <f>SUM(VLOOKUP(C144, Teams!A:B, 2, FALSE), VLOOKUP(D144, Teams!A:B, 2, FALSE), VLOOKUP(E144, Teams!A:B, 2, FALSE))</f>
        <v>50.721834999999999</v>
      </c>
      <c r="T144" s="11">
        <f>SUM(VLOOKUP(F144, Teams!A:B, 2, FALSE), VLOOKUP(G144, Teams!A:B, 2, FALSE), VLOOKUP(H144, Teams!A:B, 2, FALSE))</f>
        <v>34.74539333333334</v>
      </c>
      <c r="U144" s="46" t="e">
        <f>R144*SUM(S144, T144)/SUM(AVERAGE($S$2:$S144), AVERAGE($T$2:$T144))</f>
        <v>#VALUE!</v>
      </c>
      <c r="V144" s="46" t="e">
        <f>AVERAGE($R$2:$R144)</f>
        <v>#VALUE!</v>
      </c>
      <c r="W144" s="46" t="e">
        <f>AVERAGE($U$2:$U144)</f>
        <v>#VALUE!</v>
      </c>
      <c r="X144" s="4">
        <f t="shared" si="20"/>
        <v>1</v>
      </c>
      <c r="Y144" s="46">
        <f>AVERAGE($X$2:$X144)*0.5</f>
        <v>0.61188811188811187</v>
      </c>
    </row>
    <row r="145" spans="1:25">
      <c r="A145" s="3">
        <f>'Online Results'!L147</f>
        <v>0.40208333333333335</v>
      </c>
      <c r="B145" s="18">
        <f>'Online Results'!M147</f>
        <v>144</v>
      </c>
      <c r="C145" s="20">
        <f>'Online Results'!N147</f>
        <v>2626</v>
      </c>
      <c r="D145" s="20">
        <f>'Online Results'!O147</f>
        <v>1391</v>
      </c>
      <c r="E145" s="20">
        <f>'Online Results'!P147</f>
        <v>3965</v>
      </c>
      <c r="F145" s="19">
        <f>'Online Results'!Q147</f>
        <v>178</v>
      </c>
      <c r="G145" s="19">
        <f>'Online Results'!R147</f>
        <v>1764</v>
      </c>
      <c r="H145" s="19">
        <f>'Online Results'!S147</f>
        <v>433</v>
      </c>
      <c r="I145" s="42">
        <f>SUM(VLOOKUP(C145, Teams!A:B, 2, FALSE), VLOOKUP(D145, Teams!A:B, 2, FALSE), VLOOKUP(E145, Teams!A:B, 2, FALSE))</f>
        <v>33.174300000000002</v>
      </c>
      <c r="J145" s="44">
        <f>SUM(VLOOKUP(F145, Teams!A:B, 2, FALSE), VLOOKUP(G145, Teams!A:B, 2, FALSE), VLOOKUP(H145, Teams!A:B, 2, FALSE))</f>
        <v>13.854171000000001</v>
      </c>
      <c r="K145" s="7">
        <f t="shared" si="14"/>
        <v>2</v>
      </c>
      <c r="L145" s="9">
        <f t="shared" si="15"/>
        <v>0</v>
      </c>
      <c r="M145" s="36">
        <f t="shared" si="16"/>
        <v>13.854171000000001</v>
      </c>
      <c r="N145" s="23" t="str">
        <f>IF('Online Results'!T147="", "", 'Online Results'!T147)</f>
        <v/>
      </c>
      <c r="O145" s="22" t="str">
        <f>IF('Online Results'!U147="", "", 'Online Results'!U147)</f>
        <v/>
      </c>
      <c r="P145" s="47">
        <f t="shared" si="17"/>
        <v>33.174300000000002</v>
      </c>
      <c r="Q145" s="48">
        <f t="shared" si="18"/>
        <v>13.854171000000001</v>
      </c>
      <c r="R145" s="46" t="e">
        <f t="shared" si="19"/>
        <v>#VALUE!</v>
      </c>
      <c r="S145" s="13">
        <f>SUM(VLOOKUP(C145, Teams!A:B, 2, FALSE), VLOOKUP(D145, Teams!A:B, 2, FALSE), VLOOKUP(E145, Teams!A:B, 2, FALSE))</f>
        <v>33.174300000000002</v>
      </c>
      <c r="T145" s="11">
        <f>SUM(VLOOKUP(F145, Teams!A:B, 2, FALSE), VLOOKUP(G145, Teams!A:B, 2, FALSE), VLOOKUP(H145, Teams!A:B, 2, FALSE))</f>
        <v>13.854171000000001</v>
      </c>
      <c r="U145" s="46" t="e">
        <f>R145*SUM(S145, T145)/SUM(AVERAGE($S$2:$S145), AVERAGE($T$2:$T145))</f>
        <v>#VALUE!</v>
      </c>
      <c r="V145" s="46" t="e">
        <f>AVERAGE($R$2:$R145)</f>
        <v>#VALUE!</v>
      </c>
      <c r="W145" s="46" t="e">
        <f>AVERAGE($U$2:$U145)</f>
        <v>#VALUE!</v>
      </c>
      <c r="X145" s="4">
        <f t="shared" si="20"/>
        <v>1</v>
      </c>
      <c r="Y145" s="46">
        <f>AVERAGE($X$2:$X145)*0.5</f>
        <v>0.61111111111111116</v>
      </c>
    </row>
    <row r="146" spans="1:25">
      <c r="A146" s="3">
        <f>'Online Results'!L148</f>
        <v>0.40625</v>
      </c>
      <c r="B146" s="18">
        <f>'Online Results'!M148</f>
        <v>145</v>
      </c>
      <c r="C146" s="20">
        <f>'Online Results'!N148</f>
        <v>3936</v>
      </c>
      <c r="D146" s="20">
        <f>'Online Results'!O148</f>
        <v>2844</v>
      </c>
      <c r="E146" s="20">
        <f>'Online Results'!P148</f>
        <v>3929</v>
      </c>
      <c r="F146" s="19">
        <f>'Online Results'!Q148</f>
        <v>4269</v>
      </c>
      <c r="G146" s="19">
        <f>'Online Results'!R148</f>
        <v>4069</v>
      </c>
      <c r="H146" s="19">
        <f>'Online Results'!S148</f>
        <v>461</v>
      </c>
      <c r="I146" s="42">
        <f>SUM(VLOOKUP(C146, Teams!A:B, 2, FALSE), VLOOKUP(D146, Teams!A:B, 2, FALSE), VLOOKUP(E146, Teams!A:B, 2, FALSE))</f>
        <v>23.501445</v>
      </c>
      <c r="J146" s="44">
        <f>SUM(VLOOKUP(F146, Teams!A:B, 2, FALSE), VLOOKUP(G146, Teams!A:B, 2, FALSE), VLOOKUP(H146, Teams!A:B, 2, FALSE))</f>
        <v>31.412970000000001</v>
      </c>
      <c r="K146" s="7">
        <f t="shared" si="14"/>
        <v>0</v>
      </c>
      <c r="L146" s="9">
        <f t="shared" si="15"/>
        <v>2</v>
      </c>
      <c r="M146" s="36">
        <f t="shared" si="16"/>
        <v>23.501445</v>
      </c>
      <c r="N146" s="23" t="str">
        <f>IF('Online Results'!T148="", "", 'Online Results'!T148)</f>
        <v/>
      </c>
      <c r="O146" s="22" t="str">
        <f>IF('Online Results'!U148="", "", 'Online Results'!U148)</f>
        <v/>
      </c>
      <c r="P146" s="47">
        <f t="shared" si="17"/>
        <v>23.501445</v>
      </c>
      <c r="Q146" s="48">
        <f t="shared" si="18"/>
        <v>31.412970000000001</v>
      </c>
      <c r="R146" s="46" t="e">
        <f t="shared" si="19"/>
        <v>#VALUE!</v>
      </c>
      <c r="S146" s="13">
        <f>SUM(VLOOKUP(C146, Teams!A:B, 2, FALSE), VLOOKUP(D146, Teams!A:B, 2, FALSE), VLOOKUP(E146, Teams!A:B, 2, FALSE))</f>
        <v>23.501445</v>
      </c>
      <c r="T146" s="11">
        <f>SUM(VLOOKUP(F146, Teams!A:B, 2, FALSE), VLOOKUP(G146, Teams!A:B, 2, FALSE), VLOOKUP(H146, Teams!A:B, 2, FALSE))</f>
        <v>31.412970000000001</v>
      </c>
      <c r="U146" s="46" t="e">
        <f>R146*SUM(S146, T146)/SUM(AVERAGE($S$2:$S146), AVERAGE($T$2:$T146))</f>
        <v>#VALUE!</v>
      </c>
      <c r="V146" s="46" t="e">
        <f>AVERAGE($R$2:$R146)</f>
        <v>#VALUE!</v>
      </c>
      <c r="W146" s="46" t="e">
        <f>AVERAGE($U$2:$U146)</f>
        <v>#VALUE!</v>
      </c>
      <c r="X146" s="4">
        <f t="shared" si="20"/>
        <v>2</v>
      </c>
      <c r="Y146" s="46">
        <f>AVERAGE($X$2:$X146)*0.5</f>
        <v>0.61379310344827587</v>
      </c>
    </row>
    <row r="147" spans="1:25">
      <c r="A147" s="3">
        <f>'Online Results'!L149</f>
        <v>0.41041666666666665</v>
      </c>
      <c r="B147" s="18">
        <f>'Online Results'!M149</f>
        <v>146</v>
      </c>
      <c r="C147" s="20">
        <f>'Online Results'!N149</f>
        <v>525</v>
      </c>
      <c r="D147" s="20">
        <f>'Online Results'!O149</f>
        <v>279</v>
      </c>
      <c r="E147" s="20">
        <f>'Online Results'!P149</f>
        <v>932</v>
      </c>
      <c r="F147" s="19">
        <f>'Online Results'!Q149</f>
        <v>571</v>
      </c>
      <c r="G147" s="19">
        <f>'Online Results'!R149</f>
        <v>1143</v>
      </c>
      <c r="H147" s="19">
        <f>'Online Results'!S149</f>
        <v>3807</v>
      </c>
      <c r="I147" s="42">
        <f>SUM(VLOOKUP(C147, Teams!A:B, 2, FALSE), VLOOKUP(D147, Teams!A:B, 2, FALSE), VLOOKUP(E147, Teams!A:B, 2, FALSE))</f>
        <v>32.919244999999997</v>
      </c>
      <c r="J147" s="44">
        <f>SUM(VLOOKUP(F147, Teams!A:B, 2, FALSE), VLOOKUP(G147, Teams!A:B, 2, FALSE), VLOOKUP(H147, Teams!A:B, 2, FALSE))</f>
        <v>16.70119</v>
      </c>
      <c r="K147" s="7">
        <f t="shared" si="14"/>
        <v>2</v>
      </c>
      <c r="L147" s="9">
        <f t="shared" si="15"/>
        <v>0</v>
      </c>
      <c r="M147" s="36">
        <f t="shared" si="16"/>
        <v>16.70119</v>
      </c>
      <c r="N147" s="23" t="str">
        <f>IF('Online Results'!T149="", "", 'Online Results'!T149)</f>
        <v/>
      </c>
      <c r="O147" s="22" t="str">
        <f>IF('Online Results'!U149="", "", 'Online Results'!U149)</f>
        <v/>
      </c>
      <c r="P147" s="47">
        <f t="shared" si="17"/>
        <v>32.919244999999997</v>
      </c>
      <c r="Q147" s="48">
        <f t="shared" si="18"/>
        <v>16.70119</v>
      </c>
      <c r="R147" s="46" t="e">
        <f t="shared" si="19"/>
        <v>#VALUE!</v>
      </c>
      <c r="S147" s="13">
        <f>SUM(VLOOKUP(C147, Teams!A:B, 2, FALSE), VLOOKUP(D147, Teams!A:B, 2, FALSE), VLOOKUP(E147, Teams!A:B, 2, FALSE))</f>
        <v>32.919244999999997</v>
      </c>
      <c r="T147" s="11">
        <f>SUM(VLOOKUP(F147, Teams!A:B, 2, FALSE), VLOOKUP(G147, Teams!A:B, 2, FALSE), VLOOKUP(H147, Teams!A:B, 2, FALSE))</f>
        <v>16.70119</v>
      </c>
      <c r="U147" s="46" t="e">
        <f>R147*SUM(S147, T147)/SUM(AVERAGE($S$2:$S147), AVERAGE($T$2:$T147))</f>
        <v>#VALUE!</v>
      </c>
      <c r="V147" s="46" t="e">
        <f>AVERAGE($R$2:$R147)</f>
        <v>#VALUE!</v>
      </c>
      <c r="W147" s="46" t="e">
        <f>AVERAGE($U$2:$U147)</f>
        <v>#VALUE!</v>
      </c>
      <c r="X147" s="4">
        <f t="shared" si="20"/>
        <v>1</v>
      </c>
      <c r="Y147" s="46">
        <f>AVERAGE($X$2:$X147)*0.5</f>
        <v>0.61301369863013699</v>
      </c>
    </row>
    <row r="148" spans="1:25">
      <c r="A148" s="3">
        <f>'Online Results'!L150</f>
        <v>0.4145833333333333</v>
      </c>
      <c r="B148" s="18">
        <f>'Online Results'!M150</f>
        <v>147</v>
      </c>
      <c r="C148" s="20">
        <f>'Online Results'!N150</f>
        <v>1985</v>
      </c>
      <c r="D148" s="20">
        <f>'Online Results'!O150</f>
        <v>254</v>
      </c>
      <c r="E148" s="20">
        <f>'Online Results'!P150</f>
        <v>4226</v>
      </c>
      <c r="F148" s="19">
        <f>'Online Results'!Q150</f>
        <v>3847</v>
      </c>
      <c r="G148" s="19">
        <f>'Online Results'!R150</f>
        <v>3951</v>
      </c>
      <c r="H148" s="19">
        <f>'Online Results'!S150</f>
        <v>3528</v>
      </c>
      <c r="I148" s="42">
        <f>SUM(VLOOKUP(C148, Teams!A:B, 2, FALSE), VLOOKUP(D148, Teams!A:B, 2, FALSE), VLOOKUP(E148, Teams!A:B, 2, FALSE))</f>
        <v>54.33287</v>
      </c>
      <c r="J148" s="44">
        <f>SUM(VLOOKUP(F148, Teams!A:B, 2, FALSE), VLOOKUP(G148, Teams!A:B, 2, FALSE), VLOOKUP(H148, Teams!A:B, 2, FALSE))</f>
        <v>37.560005000000004</v>
      </c>
      <c r="K148" s="7">
        <f t="shared" si="14"/>
        <v>2</v>
      </c>
      <c r="L148" s="9">
        <f t="shared" si="15"/>
        <v>0</v>
      </c>
      <c r="M148" s="36">
        <f t="shared" si="16"/>
        <v>37.560005000000004</v>
      </c>
      <c r="N148" s="23" t="str">
        <f>IF('Online Results'!T150="", "", 'Online Results'!T150)</f>
        <v/>
      </c>
      <c r="O148" s="22" t="str">
        <f>IF('Online Results'!U150="", "", 'Online Results'!U150)</f>
        <v/>
      </c>
      <c r="P148" s="47">
        <f t="shared" si="17"/>
        <v>54.33287</v>
      </c>
      <c r="Q148" s="48">
        <f t="shared" si="18"/>
        <v>37.560005000000004</v>
      </c>
      <c r="R148" s="46" t="e">
        <f t="shared" si="19"/>
        <v>#VALUE!</v>
      </c>
      <c r="S148" s="13">
        <f>SUM(VLOOKUP(C148, Teams!A:B, 2, FALSE), VLOOKUP(D148, Teams!A:B, 2, FALSE), VLOOKUP(E148, Teams!A:B, 2, FALSE))</f>
        <v>54.33287</v>
      </c>
      <c r="T148" s="11">
        <f>SUM(VLOOKUP(F148, Teams!A:B, 2, FALSE), VLOOKUP(G148, Teams!A:B, 2, FALSE), VLOOKUP(H148, Teams!A:B, 2, FALSE))</f>
        <v>37.560005000000004</v>
      </c>
      <c r="U148" s="46" t="e">
        <f>R148*SUM(S148, T148)/SUM(AVERAGE($S$2:$S148), AVERAGE($T$2:$T148))</f>
        <v>#VALUE!</v>
      </c>
      <c r="V148" s="46" t="e">
        <f>AVERAGE($R$2:$R148)</f>
        <v>#VALUE!</v>
      </c>
      <c r="W148" s="46" t="e">
        <f>AVERAGE($U$2:$U148)</f>
        <v>#VALUE!</v>
      </c>
      <c r="X148" s="4">
        <f t="shared" si="20"/>
        <v>1</v>
      </c>
      <c r="Y148" s="46">
        <f>AVERAGE($X$2:$X148)*0.5</f>
        <v>0.61224489795918369</v>
      </c>
    </row>
    <row r="149" spans="1:25">
      <c r="A149" s="3">
        <f>'Online Results'!L151</f>
        <v>0.41875000000000001</v>
      </c>
      <c r="B149" s="18">
        <f>'Online Results'!M151</f>
        <v>148</v>
      </c>
      <c r="C149" s="20">
        <f>'Online Results'!N151</f>
        <v>971</v>
      </c>
      <c r="D149" s="20">
        <f>'Online Results'!O151</f>
        <v>1817</v>
      </c>
      <c r="E149" s="20">
        <f>'Online Results'!P151</f>
        <v>2591</v>
      </c>
      <c r="F149" s="19">
        <f>'Online Results'!Q151</f>
        <v>1912</v>
      </c>
      <c r="G149" s="19">
        <f>'Online Results'!R151</f>
        <v>836</v>
      </c>
      <c r="H149" s="19">
        <f>'Online Results'!S151</f>
        <v>3880</v>
      </c>
      <c r="I149" s="42">
        <f>SUM(VLOOKUP(C149, Teams!A:B, 2, FALSE), VLOOKUP(D149, Teams!A:B, 2, FALSE), VLOOKUP(E149, Teams!A:B, 2, FALSE))</f>
        <v>39.5381</v>
      </c>
      <c r="J149" s="44">
        <f>SUM(VLOOKUP(F149, Teams!A:B, 2, FALSE), VLOOKUP(G149, Teams!A:B, 2, FALSE), VLOOKUP(H149, Teams!A:B, 2, FALSE))</f>
        <v>42.081299999999999</v>
      </c>
      <c r="K149" s="7">
        <f t="shared" si="14"/>
        <v>0</v>
      </c>
      <c r="L149" s="9">
        <f t="shared" ref="L149:L151" si="21">SUM(-1*K149+2)</f>
        <v>2</v>
      </c>
      <c r="M149" s="36">
        <f t="shared" si="16"/>
        <v>39.5381</v>
      </c>
      <c r="N149" s="23" t="str">
        <f>IF('Online Results'!T151="", "", 'Online Results'!T151)</f>
        <v/>
      </c>
      <c r="O149" s="22" t="str">
        <f>IF('Online Results'!U151="", "", 'Online Results'!U151)</f>
        <v/>
      </c>
      <c r="P149" s="47">
        <f t="shared" si="17"/>
        <v>39.5381</v>
      </c>
      <c r="Q149" s="48">
        <f t="shared" si="18"/>
        <v>42.081299999999999</v>
      </c>
      <c r="R149" s="46" t="e">
        <f t="shared" si="19"/>
        <v>#VALUE!</v>
      </c>
      <c r="S149" s="13">
        <f>SUM(VLOOKUP(C149, Teams!A:B, 2, FALSE), VLOOKUP(D149, Teams!A:B, 2, FALSE), VLOOKUP(E149, Teams!A:B, 2, FALSE))</f>
        <v>39.5381</v>
      </c>
      <c r="T149" s="11">
        <f>SUM(VLOOKUP(F149, Teams!A:B, 2, FALSE), VLOOKUP(G149, Teams!A:B, 2, FALSE), VLOOKUP(H149, Teams!A:B, 2, FALSE))</f>
        <v>42.081299999999999</v>
      </c>
      <c r="U149" s="46" t="e">
        <f>R149*SUM(S149, T149)/SUM(AVERAGE($S$2:$S149), AVERAGE($T$2:$T149))</f>
        <v>#VALUE!</v>
      </c>
      <c r="V149" s="46" t="e">
        <f>AVERAGE($R$2:$R149)</f>
        <v>#VALUE!</v>
      </c>
      <c r="W149" s="46" t="e">
        <f>AVERAGE($U$2:$U149)</f>
        <v>#VALUE!</v>
      </c>
      <c r="X149" s="4">
        <f t="shared" ref="X149:X151" si="22">IF(S149&gt;T149,IF(N149&gt;O149,0,IF(N149=O149, 1, 2)),IF(S149=T149,IF(N149=O149,0,1), IF(N149&lt;O149, 0, 2)))</f>
        <v>2</v>
      </c>
      <c r="Y149" s="46">
        <f>AVERAGE($X$2:$X149)*0.5</f>
        <v>0.61486486486486491</v>
      </c>
    </row>
    <row r="150" spans="1:25">
      <c r="A150" s="3">
        <f>'Online Results'!L152</f>
        <v>0.42291666666666666</v>
      </c>
      <c r="B150" s="18">
        <f>'Online Results'!M152</f>
        <v>149</v>
      </c>
      <c r="C150" s="20">
        <f>'Online Results'!N152</f>
        <v>4203</v>
      </c>
      <c r="D150" s="20">
        <f>'Online Results'!O152</f>
        <v>1501</v>
      </c>
      <c r="E150" s="20">
        <f>'Online Results'!P152</f>
        <v>624</v>
      </c>
      <c r="F150" s="19">
        <f>'Online Results'!Q152</f>
        <v>694</v>
      </c>
      <c r="G150" s="19">
        <f>'Online Results'!R152</f>
        <v>702</v>
      </c>
      <c r="H150" s="19">
        <f>'Online Results'!S152</f>
        <v>4130</v>
      </c>
      <c r="I150" s="42">
        <f>SUM(VLOOKUP(C150, Teams!A:B, 2, FALSE), VLOOKUP(D150, Teams!A:B, 2, FALSE), VLOOKUP(E150, Teams!A:B, 2, FALSE))</f>
        <v>42.700580000000002</v>
      </c>
      <c r="J150" s="44">
        <f>SUM(VLOOKUP(F150, Teams!A:B, 2, FALSE), VLOOKUP(G150, Teams!A:B, 2, FALSE), VLOOKUP(H150, Teams!A:B, 2, FALSE))</f>
        <v>33.73621</v>
      </c>
      <c r="K150" s="7">
        <f t="shared" si="14"/>
        <v>2</v>
      </c>
      <c r="L150" s="9">
        <f t="shared" si="21"/>
        <v>0</v>
      </c>
      <c r="M150" s="36">
        <f t="shared" si="16"/>
        <v>33.73621</v>
      </c>
      <c r="N150" s="23" t="str">
        <f>IF('Online Results'!T152="", "", 'Online Results'!T152)</f>
        <v/>
      </c>
      <c r="O150" s="22" t="str">
        <f>IF('Online Results'!U152="", "", 'Online Results'!U152)</f>
        <v/>
      </c>
      <c r="P150" s="47">
        <f t="shared" si="17"/>
        <v>42.700580000000002</v>
      </c>
      <c r="Q150" s="48">
        <f t="shared" si="18"/>
        <v>33.73621</v>
      </c>
      <c r="R150" s="46" t="e">
        <f t="shared" si="19"/>
        <v>#VALUE!</v>
      </c>
      <c r="S150" s="13">
        <f>SUM(VLOOKUP(C150, Teams!A:B, 2, FALSE), VLOOKUP(D150, Teams!A:B, 2, FALSE), VLOOKUP(E150, Teams!A:B, 2, FALSE))</f>
        <v>42.700580000000002</v>
      </c>
      <c r="T150" s="11">
        <f>SUM(VLOOKUP(F150, Teams!A:B, 2, FALSE), VLOOKUP(G150, Teams!A:B, 2, FALSE), VLOOKUP(H150, Teams!A:B, 2, FALSE))</f>
        <v>33.73621</v>
      </c>
      <c r="U150" s="46" t="e">
        <f>R150*SUM(S150, T150)/SUM(AVERAGE($S$2:$S150), AVERAGE($T$2:$T150))</f>
        <v>#VALUE!</v>
      </c>
      <c r="V150" s="46" t="e">
        <f>AVERAGE($R$2:$R150)</f>
        <v>#VALUE!</v>
      </c>
      <c r="W150" s="46" t="e">
        <f>AVERAGE($U$2:$U150)</f>
        <v>#VALUE!</v>
      </c>
      <c r="X150" s="4">
        <f t="shared" si="22"/>
        <v>1</v>
      </c>
      <c r="Y150" s="46">
        <f>AVERAGE($X$2:$X150)*0.5</f>
        <v>0.61409395973154357</v>
      </c>
    </row>
    <row r="151" spans="1:25">
      <c r="A151" s="3">
        <f>'Online Results'!L153</f>
        <v>0.42708333333333331</v>
      </c>
      <c r="B151" s="18">
        <f>'Online Results'!M153</f>
        <v>150</v>
      </c>
      <c r="C151" s="20">
        <f>'Online Results'!N153</f>
        <v>1507</v>
      </c>
      <c r="D151" s="20">
        <f>'Online Results'!O153</f>
        <v>3205</v>
      </c>
      <c r="E151" s="20">
        <f>'Online Results'!P153</f>
        <v>1828</v>
      </c>
      <c r="F151" s="19">
        <f>'Online Results'!Q153</f>
        <v>2164</v>
      </c>
      <c r="G151" s="19">
        <f>'Online Results'!R153</f>
        <v>597</v>
      </c>
      <c r="H151" s="19">
        <f>'Online Results'!S153</f>
        <v>2180</v>
      </c>
      <c r="I151" s="42">
        <f>SUM(VLOOKUP(C151, Teams!A:B, 2, FALSE), VLOOKUP(D151, Teams!A:B, 2, FALSE), VLOOKUP(E151, Teams!A:B, 2, FALSE))</f>
        <v>63.844430000000003</v>
      </c>
      <c r="J151" s="44">
        <f>SUM(VLOOKUP(F151, Teams!A:B, 2, FALSE), VLOOKUP(G151, Teams!A:B, 2, FALSE), VLOOKUP(H151, Teams!A:B, 2, FALSE))</f>
        <v>28.965805000000003</v>
      </c>
      <c r="K151" s="7">
        <f t="shared" si="14"/>
        <v>2</v>
      </c>
      <c r="L151" s="9">
        <f t="shared" si="21"/>
        <v>0</v>
      </c>
      <c r="M151" s="36">
        <f t="shared" si="16"/>
        <v>28.965805000000003</v>
      </c>
      <c r="N151" s="23" t="str">
        <f>IF('Online Results'!T153="", "", 'Online Results'!T153)</f>
        <v/>
      </c>
      <c r="O151" s="22" t="str">
        <f>IF('Online Results'!U153="", "", 'Online Results'!U153)</f>
        <v/>
      </c>
      <c r="P151" s="47">
        <f t="shared" si="17"/>
        <v>63.844430000000003</v>
      </c>
      <c r="Q151" s="48">
        <f t="shared" si="18"/>
        <v>28.965805000000003</v>
      </c>
      <c r="R151" s="46" t="e">
        <f t="shared" si="19"/>
        <v>#VALUE!</v>
      </c>
      <c r="S151" s="13">
        <f>SUM(VLOOKUP(C151, Teams!A:B, 2, FALSE), VLOOKUP(D151, Teams!A:B, 2, FALSE), VLOOKUP(E151, Teams!A:B, 2, FALSE))</f>
        <v>63.844430000000003</v>
      </c>
      <c r="T151" s="11">
        <f>SUM(VLOOKUP(F151, Teams!A:B, 2, FALSE), VLOOKUP(G151, Teams!A:B, 2, FALSE), VLOOKUP(H151, Teams!A:B, 2, FALSE))</f>
        <v>28.965805000000003</v>
      </c>
      <c r="U151" s="46" t="e">
        <f>R151*SUM(S151, T151)/SUM(AVERAGE($S$2:$S151), AVERAGE($T$2:$T151))</f>
        <v>#VALUE!</v>
      </c>
      <c r="V151" s="46" t="e">
        <f>AVERAGE($R$2:$R151)</f>
        <v>#VALUE!</v>
      </c>
      <c r="W151" s="46" t="e">
        <f>AVERAGE($U$2:$U151)</f>
        <v>#VALUE!</v>
      </c>
      <c r="X151" s="4">
        <f t="shared" si="22"/>
        <v>1</v>
      </c>
      <c r="Y151" s="46">
        <f>AVERAGE($X$2:$X151)*0.5</f>
        <v>0.61333333333333329</v>
      </c>
    </row>
    <row r="152" spans="1:25">
      <c r="A152" s="3"/>
      <c r="N152" s="23" t="str">
        <f>IF('Online Results'!T154="", "", 'Online Results'!T154)</f>
        <v/>
      </c>
      <c r="O152" s="22" t="str">
        <f>IF('Online Results'!U154="", "", 'Online Results'!U154)</f>
        <v/>
      </c>
      <c r="P152" s="47"/>
      <c r="Q152" s="48"/>
    </row>
    <row r="153" spans="1:25">
      <c r="A153" s="3"/>
    </row>
    <row r="154" spans="1:25">
      <c r="A154" s="3"/>
    </row>
    <row r="155" spans="1:25">
      <c r="A155" s="3"/>
    </row>
    <row r="156" spans="1:25">
      <c r="A156" s="3"/>
    </row>
    <row r="157" spans="1:25">
      <c r="A157" s="3"/>
    </row>
    <row r="158" spans="1:25">
      <c r="A158" s="3"/>
    </row>
    <row r="159" spans="1:25">
      <c r="A159" s="3"/>
    </row>
    <row r="160" spans="1:25">
      <c r="A160" s="3"/>
    </row>
    <row r="161" spans="1:1">
      <c r="A161" s="3"/>
    </row>
    <row r="162" spans="1:1">
      <c r="A162" s="3"/>
    </row>
  </sheetData>
  <conditionalFormatting sqref="C1:E1 C152:E1048576">
    <cfRule type="expression" dxfId="13" priority="6">
      <formula>IF($K1=2,1,0)</formula>
    </cfRule>
  </conditionalFormatting>
  <conditionalFormatting sqref="F1:H1 F152:H1048576">
    <cfRule type="expression" dxfId="12" priority="5">
      <formula>IF($L1=2,1,0)</formula>
    </cfRule>
  </conditionalFormatting>
  <conditionalFormatting sqref="C2:E151">
    <cfRule type="expression" dxfId="11" priority="4">
      <formula>$K2&gt;$L2</formula>
    </cfRule>
  </conditionalFormatting>
  <conditionalFormatting sqref="F2:H151">
    <cfRule type="expression" dxfId="10" priority="2">
      <formula>$L2&gt;$K2</formula>
    </cfRule>
  </conditionalFormatting>
  <conditionalFormatting sqref="C1:H1048576">
    <cfRule type="expression" dxfId="0" priority="1">
      <formula>C1=$AA$3</formula>
    </cfRule>
  </conditionalFormatting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3"/>
  <sheetViews>
    <sheetView workbookViewId="0">
      <selection activeCell="L26" sqref="L26"/>
    </sheetView>
  </sheetViews>
  <sheetFormatPr defaultRowHeight="15"/>
  <cols>
    <col min="1" max="1" width="23.7109375" style="33" bestFit="1" customWidth="1"/>
    <col min="2" max="2" width="5.5703125" style="33" customWidth="1"/>
    <col min="3" max="4" width="3.42578125" style="33" customWidth="1"/>
    <col min="5" max="5" width="3.28515625" style="33" customWidth="1"/>
    <col min="6" max="6" width="4" style="33" customWidth="1"/>
    <col min="7" max="7" width="3.42578125" style="33" customWidth="1"/>
    <col min="8" max="8" width="13.140625" style="33" customWidth="1"/>
    <col min="9" max="9" width="3.5703125" style="33" customWidth="1"/>
    <col min="10" max="10" width="6.28515625" style="33" customWidth="1"/>
    <col min="11" max="11" width="9.140625" style="33"/>
    <col min="12" max="12" width="26.140625" style="33" bestFit="1" customWidth="1"/>
    <col min="13" max="13" width="6.42578125" style="33" bestFit="1" customWidth="1"/>
    <col min="14" max="16" width="5.85546875" style="33" bestFit="1" customWidth="1"/>
    <col min="17" max="19" width="6.42578125" style="33" bestFit="1" customWidth="1"/>
    <col min="20" max="20" width="9.7109375" style="33" bestFit="1" customWidth="1"/>
    <col min="21" max="21" width="10.28515625" style="33" bestFit="1" customWidth="1"/>
    <col min="22" max="16384" width="9.140625" style="33"/>
  </cols>
  <sheetData>
    <row r="1" spans="1:21">
      <c r="A1" s="32"/>
      <c r="B1" s="32"/>
      <c r="C1" s="32"/>
      <c r="D1" s="32"/>
      <c r="E1" s="32"/>
      <c r="F1" s="32"/>
      <c r="G1" s="32"/>
      <c r="H1" s="32"/>
      <c r="I1" s="32"/>
      <c r="J1" s="32"/>
      <c r="L1" s="33" t="s">
        <v>79</v>
      </c>
    </row>
    <row r="2" spans="1:21">
      <c r="A2" s="32" t="s">
        <v>79</v>
      </c>
      <c r="B2" s="32"/>
      <c r="C2" s="32"/>
      <c r="D2" s="32"/>
      <c r="E2" s="32"/>
      <c r="F2" s="32"/>
      <c r="G2" s="32"/>
      <c r="H2" s="32"/>
      <c r="I2" s="32"/>
      <c r="J2" s="32"/>
      <c r="L2" s="33" t="s">
        <v>48</v>
      </c>
    </row>
    <row r="3" spans="1:21">
      <c r="A3" s="32" t="s">
        <v>39</v>
      </c>
      <c r="B3" s="32" t="s">
        <v>0</v>
      </c>
      <c r="C3" s="32" t="s">
        <v>15</v>
      </c>
      <c r="D3" s="32" t="s">
        <v>40</v>
      </c>
      <c r="E3" s="32" t="s">
        <v>41</v>
      </c>
      <c r="F3" s="32" t="s">
        <v>42</v>
      </c>
      <c r="G3" s="32" t="s">
        <v>37</v>
      </c>
      <c r="H3" s="32" t="s">
        <v>46</v>
      </c>
      <c r="I3" s="32" t="s">
        <v>43</v>
      </c>
      <c r="J3" s="32" t="s">
        <v>44</v>
      </c>
      <c r="L3" s="33" t="s">
        <v>2</v>
      </c>
      <c r="M3" s="33" t="s">
        <v>3</v>
      </c>
      <c r="N3" s="33" t="s">
        <v>31</v>
      </c>
      <c r="O3" s="33" t="s">
        <v>32</v>
      </c>
      <c r="P3" s="33" t="s">
        <v>33</v>
      </c>
      <c r="Q3" s="33" t="s">
        <v>34</v>
      </c>
      <c r="R3" s="33" t="s">
        <v>35</v>
      </c>
      <c r="S3" s="33" t="s">
        <v>36</v>
      </c>
      <c r="T3" s="33" t="s">
        <v>17</v>
      </c>
      <c r="U3" s="33" t="s">
        <v>18</v>
      </c>
    </row>
    <row r="4" spans="1:21">
      <c r="A4" s="32">
        <v>1</v>
      </c>
      <c r="B4" s="32">
        <v>341</v>
      </c>
      <c r="C4" s="32">
        <v>12</v>
      </c>
      <c r="D4" s="32">
        <v>83</v>
      </c>
      <c r="E4" s="32">
        <v>20</v>
      </c>
      <c r="F4" s="32">
        <v>76</v>
      </c>
      <c r="G4" s="32">
        <v>6</v>
      </c>
      <c r="H4" s="32" t="s">
        <v>68</v>
      </c>
      <c r="I4" s="32">
        <v>0</v>
      </c>
      <c r="J4" s="32">
        <v>3</v>
      </c>
      <c r="L4" s="26">
        <v>0.54166666666666663</v>
      </c>
      <c r="M4" s="33">
        <v>1</v>
      </c>
      <c r="N4" s="33">
        <v>3929</v>
      </c>
      <c r="O4" s="33">
        <v>4253</v>
      </c>
      <c r="P4" s="33">
        <v>1986</v>
      </c>
      <c r="Q4" s="33">
        <v>4265</v>
      </c>
      <c r="R4" s="33">
        <v>702</v>
      </c>
      <c r="S4" s="33">
        <v>3941</v>
      </c>
      <c r="T4" s="33">
        <v>26</v>
      </c>
      <c r="U4" s="33">
        <v>14</v>
      </c>
    </row>
    <row r="5" spans="1:21">
      <c r="A5" s="32">
        <v>2</v>
      </c>
      <c r="B5" s="32">
        <v>987</v>
      </c>
      <c r="C5" s="32">
        <v>12</v>
      </c>
      <c r="D5" s="32">
        <v>77</v>
      </c>
      <c r="E5" s="32">
        <v>50</v>
      </c>
      <c r="F5" s="32">
        <v>114</v>
      </c>
      <c r="G5" s="32">
        <v>6</v>
      </c>
      <c r="H5" s="32" t="s">
        <v>68</v>
      </c>
      <c r="I5" s="32">
        <v>0</v>
      </c>
      <c r="J5" s="32">
        <v>3</v>
      </c>
      <c r="L5" s="26">
        <v>0.5854166666666667</v>
      </c>
      <c r="M5" s="33">
        <v>2</v>
      </c>
      <c r="N5" s="33">
        <v>836</v>
      </c>
      <c r="O5" s="33">
        <v>2881</v>
      </c>
      <c r="P5" s="33">
        <v>178</v>
      </c>
      <c r="Q5" s="33">
        <v>3098</v>
      </c>
      <c r="R5" s="33">
        <v>1885</v>
      </c>
      <c r="S5" s="33">
        <v>2757</v>
      </c>
      <c r="T5" s="33">
        <v>14</v>
      </c>
      <c r="U5" s="33">
        <v>36</v>
      </c>
    </row>
    <row r="6" spans="1:21">
      <c r="A6" s="32">
        <v>3</v>
      </c>
      <c r="B6" s="32">
        <v>1507</v>
      </c>
      <c r="C6" s="32">
        <v>10</v>
      </c>
      <c r="D6" s="32">
        <v>66</v>
      </c>
      <c r="E6" s="32">
        <v>40</v>
      </c>
      <c r="F6" s="32">
        <v>65</v>
      </c>
      <c r="G6" s="32">
        <v>4</v>
      </c>
      <c r="H6" s="25" t="s">
        <v>68</v>
      </c>
      <c r="I6" s="32">
        <v>0</v>
      </c>
      <c r="J6" s="32">
        <v>3</v>
      </c>
      <c r="L6" s="26">
        <v>0.54791666666666672</v>
      </c>
      <c r="M6" s="33">
        <v>3</v>
      </c>
      <c r="N6" s="33">
        <v>51</v>
      </c>
      <c r="O6" s="33">
        <v>3115</v>
      </c>
      <c r="P6" s="33">
        <v>58</v>
      </c>
      <c r="Q6" s="33">
        <v>78</v>
      </c>
      <c r="R6" s="33">
        <v>2960</v>
      </c>
      <c r="S6" s="33">
        <v>3711</v>
      </c>
      <c r="T6" s="33">
        <v>45</v>
      </c>
      <c r="U6" s="33">
        <v>30</v>
      </c>
    </row>
    <row r="7" spans="1:21">
      <c r="A7" s="32">
        <v>4</v>
      </c>
      <c r="B7" s="32">
        <v>624</v>
      </c>
      <c r="C7" s="32">
        <v>10</v>
      </c>
      <c r="D7" s="32">
        <v>52</v>
      </c>
      <c r="E7" s="32">
        <v>30</v>
      </c>
      <c r="F7" s="32">
        <v>85</v>
      </c>
      <c r="G7" s="32">
        <v>6</v>
      </c>
      <c r="H7" s="25">
        <v>36557</v>
      </c>
      <c r="I7" s="32">
        <v>0</v>
      </c>
      <c r="J7" s="32">
        <v>3</v>
      </c>
      <c r="L7" s="26">
        <v>0.55208333333333337</v>
      </c>
      <c r="M7" s="33">
        <v>4</v>
      </c>
      <c r="N7" s="33">
        <v>244</v>
      </c>
      <c r="O7" s="33">
        <v>4069</v>
      </c>
      <c r="P7" s="33">
        <v>433</v>
      </c>
      <c r="Q7" s="33">
        <v>3419</v>
      </c>
      <c r="R7" s="33">
        <v>3860</v>
      </c>
      <c r="S7" s="33">
        <v>537</v>
      </c>
      <c r="T7" s="33">
        <v>32</v>
      </c>
      <c r="U7" s="33">
        <v>19</v>
      </c>
    </row>
    <row r="8" spans="1:21">
      <c r="A8" s="32">
        <v>5</v>
      </c>
      <c r="B8" s="32">
        <v>836</v>
      </c>
      <c r="C8" s="32">
        <v>8</v>
      </c>
      <c r="D8" s="32">
        <v>72</v>
      </c>
      <c r="E8" s="32">
        <v>30</v>
      </c>
      <c r="F8" s="32">
        <v>48</v>
      </c>
      <c r="G8" s="32">
        <v>4</v>
      </c>
      <c r="H8" s="25">
        <v>36557</v>
      </c>
      <c r="I8" s="32">
        <v>0</v>
      </c>
      <c r="J8" s="32">
        <v>3</v>
      </c>
      <c r="L8" s="26">
        <v>0.55625000000000002</v>
      </c>
      <c r="M8" s="33">
        <v>5</v>
      </c>
      <c r="N8" s="33">
        <v>3965</v>
      </c>
      <c r="O8" s="33">
        <v>4269</v>
      </c>
      <c r="P8" s="33">
        <v>2914</v>
      </c>
      <c r="Q8" s="33">
        <v>1778</v>
      </c>
      <c r="R8" s="33">
        <v>3205</v>
      </c>
      <c r="S8" s="33">
        <v>3132</v>
      </c>
      <c r="T8" s="33">
        <v>26</v>
      </c>
      <c r="U8" s="33">
        <v>27</v>
      </c>
    </row>
    <row r="9" spans="1:21">
      <c r="A9" s="32">
        <v>6</v>
      </c>
      <c r="B9" s="32">
        <v>3970</v>
      </c>
      <c r="C9" s="32">
        <v>8</v>
      </c>
      <c r="D9" s="32">
        <v>64</v>
      </c>
      <c r="E9" s="32">
        <v>40</v>
      </c>
      <c r="F9" s="32">
        <v>52</v>
      </c>
      <c r="G9" s="32">
        <v>4</v>
      </c>
      <c r="H9" s="25">
        <v>36557</v>
      </c>
      <c r="I9" s="32">
        <v>0</v>
      </c>
      <c r="J9" s="32">
        <v>3</v>
      </c>
      <c r="L9" s="26">
        <v>0.5625</v>
      </c>
      <c r="M9" s="33">
        <v>6</v>
      </c>
      <c r="N9" s="33">
        <v>624</v>
      </c>
      <c r="O9" s="33">
        <v>3528</v>
      </c>
      <c r="P9" s="33">
        <v>3970</v>
      </c>
      <c r="Q9" s="33">
        <v>1143</v>
      </c>
      <c r="R9" s="33">
        <v>2500</v>
      </c>
      <c r="S9" s="33">
        <v>2474</v>
      </c>
      <c r="T9" s="33">
        <v>47</v>
      </c>
      <c r="U9" s="33">
        <v>29</v>
      </c>
    </row>
    <row r="10" spans="1:21">
      <c r="A10" s="32">
        <v>7</v>
      </c>
      <c r="B10" s="32">
        <v>3950</v>
      </c>
      <c r="C10" s="32">
        <v>8</v>
      </c>
      <c r="D10" s="32">
        <v>49</v>
      </c>
      <c r="E10" s="32">
        <v>60</v>
      </c>
      <c r="F10" s="32">
        <v>63</v>
      </c>
      <c r="G10" s="32">
        <v>2</v>
      </c>
      <c r="H10" s="25" t="s">
        <v>68</v>
      </c>
      <c r="I10" s="32">
        <v>0</v>
      </c>
      <c r="J10" s="32">
        <v>3</v>
      </c>
      <c r="L10" s="26">
        <v>0.56805555555555554</v>
      </c>
      <c r="M10" s="33">
        <v>7</v>
      </c>
      <c r="N10" s="33">
        <v>1507</v>
      </c>
      <c r="O10" s="33">
        <v>2844</v>
      </c>
      <c r="P10" s="33">
        <v>85</v>
      </c>
      <c r="Q10" s="33">
        <v>932</v>
      </c>
      <c r="R10" s="33">
        <v>207</v>
      </c>
      <c r="S10" s="33">
        <v>1683</v>
      </c>
      <c r="T10" s="33">
        <v>22</v>
      </c>
      <c r="U10" s="33">
        <v>1</v>
      </c>
    </row>
    <row r="11" spans="1:21">
      <c r="A11" s="32">
        <v>8</v>
      </c>
      <c r="B11" s="32">
        <v>2164</v>
      </c>
      <c r="C11" s="32">
        <v>8</v>
      </c>
      <c r="D11" s="32">
        <v>49</v>
      </c>
      <c r="E11" s="32">
        <v>0</v>
      </c>
      <c r="F11" s="32">
        <v>26</v>
      </c>
      <c r="G11" s="32">
        <v>4</v>
      </c>
      <c r="H11" s="25" t="s">
        <v>47</v>
      </c>
      <c r="I11" s="32">
        <v>0</v>
      </c>
      <c r="J11" s="32">
        <v>2</v>
      </c>
      <c r="L11" s="26">
        <v>0.57291666666666663</v>
      </c>
      <c r="M11" s="33">
        <v>8</v>
      </c>
      <c r="N11" s="33">
        <v>564</v>
      </c>
      <c r="O11" s="33">
        <v>1828</v>
      </c>
      <c r="P11" s="33">
        <v>1501</v>
      </c>
      <c r="Q11" s="33">
        <v>293</v>
      </c>
      <c r="R11" s="33">
        <v>1764</v>
      </c>
      <c r="S11" s="33">
        <v>604</v>
      </c>
      <c r="T11" s="33">
        <v>42</v>
      </c>
      <c r="U11" s="33">
        <v>9</v>
      </c>
    </row>
    <row r="12" spans="1:21">
      <c r="A12" s="32">
        <v>9</v>
      </c>
      <c r="B12" s="32">
        <v>4130</v>
      </c>
      <c r="C12" s="32">
        <v>8</v>
      </c>
      <c r="D12" s="32">
        <v>41</v>
      </c>
      <c r="E12" s="32">
        <v>10</v>
      </c>
      <c r="F12" s="32">
        <v>46</v>
      </c>
      <c r="G12" s="32">
        <v>4</v>
      </c>
      <c r="H12" s="25" t="s">
        <v>47</v>
      </c>
      <c r="I12" s="32">
        <v>0</v>
      </c>
      <c r="J12" s="32">
        <v>2</v>
      </c>
      <c r="L12" s="26">
        <v>0.57708333333333328</v>
      </c>
      <c r="M12" s="33">
        <v>9</v>
      </c>
      <c r="N12" s="33">
        <v>1319</v>
      </c>
      <c r="O12" s="33">
        <v>971</v>
      </c>
      <c r="P12" s="33">
        <v>27</v>
      </c>
      <c r="Q12" s="33">
        <v>4130</v>
      </c>
      <c r="R12" s="33">
        <v>2164</v>
      </c>
      <c r="S12" s="33">
        <v>341</v>
      </c>
      <c r="T12" s="33">
        <v>22</v>
      </c>
      <c r="U12" s="33">
        <v>49</v>
      </c>
    </row>
    <row r="13" spans="1:21">
      <c r="A13" s="32">
        <v>10</v>
      </c>
      <c r="B13" s="32">
        <v>597</v>
      </c>
      <c r="C13" s="32">
        <v>8</v>
      </c>
      <c r="D13" s="32">
        <v>40</v>
      </c>
      <c r="E13" s="32">
        <v>20</v>
      </c>
      <c r="F13" s="32">
        <v>68</v>
      </c>
      <c r="G13" s="32">
        <v>4</v>
      </c>
      <c r="H13" s="25" t="s">
        <v>47</v>
      </c>
      <c r="I13" s="32">
        <v>0</v>
      </c>
      <c r="J13" s="32">
        <v>2</v>
      </c>
      <c r="L13" s="26">
        <v>0.5805555555555556</v>
      </c>
      <c r="M13" s="33">
        <v>10</v>
      </c>
      <c r="N13" s="33">
        <v>2102</v>
      </c>
      <c r="O13" s="33">
        <v>694</v>
      </c>
      <c r="P13" s="33">
        <v>1477</v>
      </c>
      <c r="Q13" s="33">
        <v>116</v>
      </c>
      <c r="R13" s="33">
        <v>1678</v>
      </c>
      <c r="S13" s="33">
        <v>1511</v>
      </c>
      <c r="T13" s="33">
        <v>33</v>
      </c>
      <c r="U13" s="33">
        <v>36</v>
      </c>
    </row>
    <row r="14" spans="1:21">
      <c r="A14" s="32">
        <v>11</v>
      </c>
      <c r="B14" s="32">
        <v>233</v>
      </c>
      <c r="C14" s="32">
        <v>8</v>
      </c>
      <c r="D14" s="32">
        <v>36</v>
      </c>
      <c r="E14" s="32">
        <v>20</v>
      </c>
      <c r="F14" s="32">
        <v>35</v>
      </c>
      <c r="G14" s="32">
        <v>4</v>
      </c>
      <c r="H14" s="25" t="s">
        <v>47</v>
      </c>
      <c r="I14" s="32">
        <v>0</v>
      </c>
      <c r="J14" s="32">
        <v>2</v>
      </c>
      <c r="L14" s="26">
        <v>0.5854166666666667</v>
      </c>
      <c r="M14" s="33">
        <v>11</v>
      </c>
      <c r="N14" s="33">
        <v>254</v>
      </c>
      <c r="O14" s="33">
        <v>2591</v>
      </c>
      <c r="P14" s="33">
        <v>3936</v>
      </c>
      <c r="Q14" s="33">
        <v>3940</v>
      </c>
      <c r="R14" s="33">
        <v>1741</v>
      </c>
      <c r="S14" s="33">
        <v>2180</v>
      </c>
      <c r="T14" s="33">
        <v>26</v>
      </c>
      <c r="U14" s="33">
        <v>27</v>
      </c>
    </row>
    <row r="15" spans="1:21">
      <c r="A15" s="32">
        <v>12</v>
      </c>
      <c r="B15" s="32">
        <v>1683</v>
      </c>
      <c r="C15" s="32">
        <v>8</v>
      </c>
      <c r="D15" s="32">
        <v>24</v>
      </c>
      <c r="E15" s="32">
        <v>20</v>
      </c>
      <c r="F15" s="32">
        <v>54</v>
      </c>
      <c r="G15" s="32">
        <v>4</v>
      </c>
      <c r="H15" s="25">
        <v>36557</v>
      </c>
      <c r="I15" s="32">
        <v>0</v>
      </c>
      <c r="J15" s="32">
        <v>3</v>
      </c>
      <c r="L15" s="26">
        <v>0.59027777777777779</v>
      </c>
      <c r="M15" s="33">
        <v>12</v>
      </c>
      <c r="N15" s="33">
        <v>597</v>
      </c>
      <c r="O15" s="33">
        <v>987</v>
      </c>
      <c r="P15" s="33">
        <v>4203</v>
      </c>
      <c r="Q15" s="33">
        <v>1266</v>
      </c>
      <c r="R15" s="33">
        <v>1817</v>
      </c>
      <c r="S15" s="33">
        <v>830</v>
      </c>
      <c r="T15" s="33">
        <v>71</v>
      </c>
      <c r="U15" s="33">
        <v>16</v>
      </c>
    </row>
    <row r="16" spans="1:21">
      <c r="A16" s="32">
        <v>13</v>
      </c>
      <c r="B16" s="32">
        <v>433</v>
      </c>
      <c r="C16" s="32">
        <v>6</v>
      </c>
      <c r="D16" s="32">
        <v>54</v>
      </c>
      <c r="E16" s="32">
        <v>40</v>
      </c>
      <c r="F16" s="32">
        <v>35</v>
      </c>
      <c r="G16" s="32">
        <v>2</v>
      </c>
      <c r="H16" s="25">
        <v>36557</v>
      </c>
      <c r="I16" s="32">
        <v>0</v>
      </c>
      <c r="J16" s="32">
        <v>3</v>
      </c>
      <c r="L16" s="26">
        <v>0.59513888888888888</v>
      </c>
      <c r="M16" s="33">
        <v>13</v>
      </c>
      <c r="N16" s="33">
        <v>3288</v>
      </c>
      <c r="O16" s="33">
        <v>233</v>
      </c>
      <c r="P16" s="33">
        <v>279</v>
      </c>
      <c r="Q16" s="33">
        <v>4226</v>
      </c>
      <c r="R16" s="33">
        <v>2130</v>
      </c>
      <c r="S16" s="33">
        <v>288</v>
      </c>
      <c r="T16" s="33">
        <v>55</v>
      </c>
      <c r="U16" s="33">
        <v>7</v>
      </c>
    </row>
    <row r="17" spans="1:21">
      <c r="A17" s="32">
        <v>14</v>
      </c>
      <c r="B17" s="32">
        <v>279</v>
      </c>
      <c r="C17" s="32">
        <v>6</v>
      </c>
      <c r="D17" s="32">
        <v>51</v>
      </c>
      <c r="E17" s="32">
        <v>40</v>
      </c>
      <c r="F17" s="32">
        <v>23</v>
      </c>
      <c r="G17" s="32">
        <v>4</v>
      </c>
      <c r="H17" s="25">
        <v>36527</v>
      </c>
      <c r="I17" s="32">
        <v>0</v>
      </c>
      <c r="J17" s="32">
        <v>3</v>
      </c>
      <c r="L17" s="26">
        <v>0.59861111111111109</v>
      </c>
      <c r="M17" s="33">
        <v>14</v>
      </c>
      <c r="N17" s="33">
        <v>2522</v>
      </c>
      <c r="O17" s="33">
        <v>706</v>
      </c>
      <c r="P17" s="33">
        <v>192</v>
      </c>
      <c r="Q17" s="33">
        <v>503</v>
      </c>
      <c r="R17" s="33">
        <v>525</v>
      </c>
      <c r="S17" s="33">
        <v>4161</v>
      </c>
      <c r="T17" s="33">
        <v>6</v>
      </c>
      <c r="U17" s="33">
        <v>49</v>
      </c>
    </row>
    <row r="18" spans="1:21">
      <c r="A18" s="32">
        <v>15</v>
      </c>
      <c r="B18" s="32">
        <v>3098</v>
      </c>
      <c r="C18" s="32">
        <v>6</v>
      </c>
      <c r="D18" s="32">
        <v>43</v>
      </c>
      <c r="E18" s="32">
        <v>20</v>
      </c>
      <c r="F18" s="32">
        <v>50</v>
      </c>
      <c r="G18" s="32">
        <v>2</v>
      </c>
      <c r="H18" s="25">
        <v>36557</v>
      </c>
      <c r="I18" s="32">
        <v>0</v>
      </c>
      <c r="J18" s="32">
        <v>3</v>
      </c>
      <c r="L18" s="26">
        <v>0.6020833333333333</v>
      </c>
      <c r="M18" s="33">
        <v>15</v>
      </c>
      <c r="N18" s="33">
        <v>1690</v>
      </c>
      <c r="O18" s="33">
        <v>1391</v>
      </c>
      <c r="P18" s="33">
        <v>461</v>
      </c>
      <c r="Q18" s="33">
        <v>1985</v>
      </c>
      <c r="R18" s="33">
        <v>3950</v>
      </c>
      <c r="S18" s="33">
        <v>3880</v>
      </c>
      <c r="T18" s="33">
        <v>15</v>
      </c>
      <c r="U18" s="33">
        <v>50</v>
      </c>
    </row>
    <row r="19" spans="1:21">
      <c r="A19" s="32">
        <v>16</v>
      </c>
      <c r="B19" s="32">
        <v>3711</v>
      </c>
      <c r="C19" s="32">
        <v>6</v>
      </c>
      <c r="D19" s="32">
        <v>41</v>
      </c>
      <c r="E19" s="32">
        <v>30</v>
      </c>
      <c r="F19" s="32">
        <v>45</v>
      </c>
      <c r="G19" s="32">
        <v>4</v>
      </c>
      <c r="H19" s="25">
        <v>36527</v>
      </c>
      <c r="I19" s="32">
        <v>0</v>
      </c>
      <c r="J19" s="32">
        <v>3</v>
      </c>
      <c r="L19" s="26">
        <v>0.60763888888888895</v>
      </c>
      <c r="M19" s="33">
        <v>16</v>
      </c>
      <c r="N19" s="33">
        <v>415</v>
      </c>
      <c r="O19" s="33">
        <v>1033</v>
      </c>
      <c r="P19" s="33">
        <v>120</v>
      </c>
      <c r="Q19" s="33">
        <v>571</v>
      </c>
      <c r="R19" s="33">
        <v>3847</v>
      </c>
      <c r="S19" s="33">
        <v>1649</v>
      </c>
      <c r="T19" s="33">
        <v>10</v>
      </c>
      <c r="U19" s="33">
        <v>20</v>
      </c>
    </row>
    <row r="20" spans="1:21">
      <c r="A20" s="32">
        <v>17</v>
      </c>
      <c r="B20" s="32">
        <v>3528</v>
      </c>
      <c r="C20" s="32">
        <v>6</v>
      </c>
      <c r="D20" s="32">
        <v>38</v>
      </c>
      <c r="E20" s="32">
        <v>20</v>
      </c>
      <c r="F20" s="32">
        <v>38</v>
      </c>
      <c r="G20" s="32">
        <v>2</v>
      </c>
      <c r="H20" s="25" t="s">
        <v>47</v>
      </c>
      <c r="I20" s="32">
        <v>0</v>
      </c>
      <c r="J20" s="32">
        <v>2</v>
      </c>
      <c r="L20" s="26">
        <v>0.62986111111111109</v>
      </c>
      <c r="M20" s="33">
        <v>17</v>
      </c>
      <c r="N20" s="33">
        <v>3951</v>
      </c>
      <c r="O20" s="33">
        <v>1912</v>
      </c>
      <c r="P20" s="33">
        <v>244</v>
      </c>
      <c r="Q20" s="33">
        <v>2626</v>
      </c>
      <c r="R20" s="33">
        <v>3807</v>
      </c>
      <c r="S20" s="33">
        <v>51</v>
      </c>
      <c r="T20" s="33">
        <v>25</v>
      </c>
      <c r="U20" s="33">
        <v>32</v>
      </c>
    </row>
    <row r="21" spans="1:21">
      <c r="A21" s="32">
        <v>18</v>
      </c>
      <c r="B21" s="32">
        <v>293</v>
      </c>
      <c r="C21" s="32">
        <v>6</v>
      </c>
      <c r="D21" s="32">
        <v>36</v>
      </c>
      <c r="E21" s="32">
        <v>40</v>
      </c>
      <c r="F21" s="32">
        <v>34</v>
      </c>
      <c r="G21" s="32">
        <v>2</v>
      </c>
      <c r="H21" s="25">
        <v>36557</v>
      </c>
      <c r="I21" s="32">
        <v>0</v>
      </c>
      <c r="J21" s="32">
        <v>3</v>
      </c>
      <c r="L21" s="26">
        <v>0.62083333333333335</v>
      </c>
      <c r="M21" s="33">
        <v>18</v>
      </c>
      <c r="N21" s="33">
        <v>836</v>
      </c>
      <c r="O21" s="33">
        <v>1507</v>
      </c>
      <c r="P21" s="33">
        <v>293</v>
      </c>
      <c r="Q21" s="33">
        <v>3970</v>
      </c>
      <c r="R21" s="33">
        <v>1477</v>
      </c>
      <c r="S21" s="33">
        <v>1986</v>
      </c>
      <c r="T21" s="33">
        <v>63</v>
      </c>
      <c r="U21" s="33">
        <v>59</v>
      </c>
    </row>
    <row r="22" spans="1:21">
      <c r="A22" s="32">
        <v>19</v>
      </c>
      <c r="B22" s="32">
        <v>3860</v>
      </c>
      <c r="C22" s="32">
        <v>6</v>
      </c>
      <c r="D22" s="32">
        <v>36</v>
      </c>
      <c r="E22" s="32">
        <v>20</v>
      </c>
      <c r="F22" s="32">
        <v>39</v>
      </c>
      <c r="G22" s="32">
        <v>4</v>
      </c>
      <c r="H22" s="25">
        <v>36527</v>
      </c>
      <c r="I22" s="32">
        <v>0</v>
      </c>
      <c r="J22" s="32">
        <v>3</v>
      </c>
      <c r="L22" s="26">
        <v>0.63194444444444442</v>
      </c>
      <c r="M22" s="33">
        <v>19</v>
      </c>
      <c r="N22" s="33">
        <v>3860</v>
      </c>
      <c r="O22" s="33">
        <v>116</v>
      </c>
      <c r="P22" s="33">
        <v>3132</v>
      </c>
      <c r="Q22" s="33">
        <v>2844</v>
      </c>
      <c r="R22" s="33">
        <v>254</v>
      </c>
      <c r="S22" s="33">
        <v>2881</v>
      </c>
      <c r="T22" s="33">
        <v>12</v>
      </c>
      <c r="U22" s="33">
        <v>33</v>
      </c>
    </row>
    <row r="23" spans="1:21">
      <c r="A23" s="32">
        <v>20</v>
      </c>
      <c r="B23" s="32">
        <v>4161</v>
      </c>
      <c r="C23" s="32">
        <v>6</v>
      </c>
      <c r="D23" s="32">
        <v>34</v>
      </c>
      <c r="E23" s="32">
        <v>30</v>
      </c>
      <c r="F23" s="32">
        <v>25</v>
      </c>
      <c r="G23" s="32">
        <v>2</v>
      </c>
      <c r="H23" s="25" t="s">
        <v>47</v>
      </c>
      <c r="I23" s="32">
        <v>0</v>
      </c>
      <c r="J23" s="32">
        <v>2</v>
      </c>
      <c r="L23" s="26">
        <v>0.63541666666666663</v>
      </c>
      <c r="M23" s="33">
        <v>20</v>
      </c>
      <c r="N23" s="33">
        <v>2960</v>
      </c>
      <c r="O23" s="33">
        <v>694</v>
      </c>
      <c r="P23" s="33">
        <v>3528</v>
      </c>
      <c r="Q23" s="33">
        <v>1817</v>
      </c>
      <c r="R23" s="33">
        <v>433</v>
      </c>
      <c r="S23" s="33">
        <v>1741</v>
      </c>
      <c r="T23" s="33">
        <v>49</v>
      </c>
      <c r="U23" s="33">
        <v>24</v>
      </c>
    </row>
    <row r="24" spans="1:21">
      <c r="A24" s="32">
        <v>21</v>
      </c>
      <c r="B24" s="32">
        <v>1828</v>
      </c>
      <c r="C24" s="32">
        <v>6</v>
      </c>
      <c r="D24" s="32">
        <v>34</v>
      </c>
      <c r="E24" s="32">
        <v>10</v>
      </c>
      <c r="F24" s="32">
        <v>34</v>
      </c>
      <c r="G24" s="32">
        <v>2</v>
      </c>
      <c r="H24" s="25" t="s">
        <v>47</v>
      </c>
      <c r="I24" s="32">
        <v>0</v>
      </c>
      <c r="J24" s="32">
        <v>2</v>
      </c>
      <c r="L24" s="26">
        <v>0.63958333333333328</v>
      </c>
      <c r="M24" s="33">
        <v>21</v>
      </c>
      <c r="N24" s="33">
        <v>597</v>
      </c>
      <c r="O24" s="33">
        <v>341</v>
      </c>
      <c r="P24" s="33">
        <v>1885</v>
      </c>
      <c r="Q24" s="33">
        <v>624</v>
      </c>
      <c r="R24" s="33">
        <v>932</v>
      </c>
      <c r="S24" s="33">
        <v>1511</v>
      </c>
      <c r="T24" s="33">
        <v>57</v>
      </c>
      <c r="U24" s="33">
        <v>56</v>
      </c>
    </row>
    <row r="25" spans="1:21">
      <c r="A25" s="32">
        <v>22</v>
      </c>
      <c r="B25" s="32">
        <v>3288</v>
      </c>
      <c r="C25" s="32">
        <v>6</v>
      </c>
      <c r="D25" s="32">
        <v>30</v>
      </c>
      <c r="E25" s="32">
        <v>30</v>
      </c>
      <c r="F25" s="32">
        <v>35</v>
      </c>
      <c r="G25" s="32">
        <v>2</v>
      </c>
      <c r="H25" s="25" t="s">
        <v>47</v>
      </c>
      <c r="I25" s="32">
        <v>0</v>
      </c>
      <c r="J25" s="32">
        <v>2</v>
      </c>
      <c r="L25" s="26">
        <v>0.64374999999999993</v>
      </c>
      <c r="M25" s="33">
        <v>22</v>
      </c>
      <c r="N25" s="33">
        <v>3941</v>
      </c>
      <c r="O25" s="33">
        <v>207</v>
      </c>
      <c r="P25" s="33">
        <v>3115</v>
      </c>
      <c r="Q25" s="33">
        <v>1828</v>
      </c>
      <c r="R25" s="33">
        <v>2757</v>
      </c>
      <c r="S25" s="33">
        <v>233</v>
      </c>
      <c r="T25" s="33">
        <v>22</v>
      </c>
      <c r="U25" s="33">
        <v>36</v>
      </c>
    </row>
    <row r="26" spans="1:21">
      <c r="A26" s="32">
        <v>23</v>
      </c>
      <c r="B26" s="32">
        <v>1885</v>
      </c>
      <c r="C26" s="32">
        <v>6</v>
      </c>
      <c r="D26" s="32">
        <v>30</v>
      </c>
      <c r="E26" s="32">
        <v>20</v>
      </c>
      <c r="F26" s="32">
        <v>43</v>
      </c>
      <c r="G26" s="32">
        <v>2</v>
      </c>
      <c r="H26" s="25" t="s">
        <v>47</v>
      </c>
      <c r="I26" s="32">
        <v>0</v>
      </c>
      <c r="J26" s="32">
        <v>2</v>
      </c>
      <c r="L26" s="26">
        <v>0.64722222222222225</v>
      </c>
      <c r="M26" s="33">
        <v>23</v>
      </c>
      <c r="N26" s="33">
        <v>4226</v>
      </c>
      <c r="O26" s="33">
        <v>2591</v>
      </c>
      <c r="P26" s="33">
        <v>525</v>
      </c>
      <c r="Q26" s="33">
        <v>1764</v>
      </c>
      <c r="R26" s="33">
        <v>3098</v>
      </c>
      <c r="S26" s="33">
        <v>58</v>
      </c>
      <c r="T26" s="33">
        <v>30</v>
      </c>
      <c r="U26" s="33">
        <v>46</v>
      </c>
    </row>
    <row r="27" spans="1:21">
      <c r="A27" s="32">
        <v>24</v>
      </c>
      <c r="B27" s="32">
        <v>830</v>
      </c>
      <c r="C27" s="32">
        <v>6</v>
      </c>
      <c r="D27" s="32">
        <v>28</v>
      </c>
      <c r="E27" s="32">
        <v>20</v>
      </c>
      <c r="F27" s="32">
        <v>8</v>
      </c>
      <c r="G27" s="32">
        <v>4</v>
      </c>
      <c r="H27" s="25">
        <v>36526</v>
      </c>
      <c r="I27" s="32">
        <v>0</v>
      </c>
      <c r="J27" s="32">
        <v>2</v>
      </c>
      <c r="L27" s="26">
        <v>0.65138888888888891</v>
      </c>
      <c r="M27" s="33">
        <v>24</v>
      </c>
      <c r="N27" s="33">
        <v>564</v>
      </c>
      <c r="O27" s="33">
        <v>85</v>
      </c>
      <c r="P27" s="33">
        <v>3929</v>
      </c>
      <c r="Q27" s="33">
        <v>987</v>
      </c>
      <c r="R27" s="33">
        <v>3950</v>
      </c>
      <c r="S27" s="33">
        <v>3965</v>
      </c>
      <c r="T27" s="33">
        <v>29</v>
      </c>
      <c r="U27" s="33">
        <v>84</v>
      </c>
    </row>
    <row r="28" spans="1:21">
      <c r="A28" s="32">
        <v>25</v>
      </c>
      <c r="B28" s="32">
        <v>4203</v>
      </c>
      <c r="C28" s="32">
        <v>6</v>
      </c>
      <c r="D28" s="32">
        <v>27</v>
      </c>
      <c r="E28" s="32">
        <v>30</v>
      </c>
      <c r="F28" s="32">
        <v>42</v>
      </c>
      <c r="G28" s="32">
        <v>4</v>
      </c>
      <c r="H28" s="25">
        <v>36526</v>
      </c>
      <c r="I28" s="32">
        <v>0</v>
      </c>
      <c r="J28" s="32">
        <v>2</v>
      </c>
      <c r="L28" s="26">
        <v>0.65625</v>
      </c>
      <c r="M28" s="33">
        <v>25</v>
      </c>
      <c r="N28" s="33">
        <v>1683</v>
      </c>
      <c r="O28" s="33">
        <v>1690</v>
      </c>
      <c r="P28" s="33">
        <v>2626</v>
      </c>
      <c r="Q28" s="33">
        <v>2500</v>
      </c>
      <c r="R28" s="33">
        <v>2914</v>
      </c>
      <c r="S28" s="33">
        <v>288</v>
      </c>
      <c r="T28" s="33">
        <v>33</v>
      </c>
      <c r="U28" s="33">
        <v>20</v>
      </c>
    </row>
    <row r="29" spans="1:21">
      <c r="A29" s="32">
        <v>26</v>
      </c>
      <c r="B29" s="32">
        <v>2500</v>
      </c>
      <c r="C29" s="32">
        <v>6</v>
      </c>
      <c r="D29" s="32">
        <v>27</v>
      </c>
      <c r="E29" s="32">
        <v>20</v>
      </c>
      <c r="F29" s="32">
        <v>37</v>
      </c>
      <c r="G29" s="32">
        <v>6</v>
      </c>
      <c r="H29" s="25" t="s">
        <v>69</v>
      </c>
      <c r="I29" s="32">
        <v>0</v>
      </c>
      <c r="J29" s="32">
        <v>3</v>
      </c>
      <c r="L29" s="26">
        <v>0.66041666666666665</v>
      </c>
      <c r="M29" s="33">
        <v>26</v>
      </c>
      <c r="N29" s="33">
        <v>1143</v>
      </c>
      <c r="O29" s="33">
        <v>503</v>
      </c>
      <c r="P29" s="33">
        <v>3940</v>
      </c>
      <c r="Q29" s="33">
        <v>27</v>
      </c>
      <c r="R29" s="33">
        <v>4069</v>
      </c>
      <c r="S29" s="33">
        <v>4265</v>
      </c>
      <c r="T29" s="33">
        <v>35</v>
      </c>
      <c r="U29" s="33">
        <v>47</v>
      </c>
    </row>
    <row r="30" spans="1:21">
      <c r="A30" s="32">
        <v>27</v>
      </c>
      <c r="B30" s="32">
        <v>58</v>
      </c>
      <c r="C30" s="32">
        <v>6</v>
      </c>
      <c r="D30" s="32">
        <v>25</v>
      </c>
      <c r="E30" s="32">
        <v>20</v>
      </c>
      <c r="F30" s="32">
        <v>46</v>
      </c>
      <c r="G30" s="32">
        <v>2</v>
      </c>
      <c r="H30" s="25" t="s">
        <v>47</v>
      </c>
      <c r="I30" s="32">
        <v>0</v>
      </c>
      <c r="J30" s="32">
        <v>2</v>
      </c>
      <c r="L30" s="26">
        <v>0.66388888888888886</v>
      </c>
      <c r="M30" s="33">
        <v>27</v>
      </c>
      <c r="N30" s="33">
        <v>3419</v>
      </c>
      <c r="O30" s="33">
        <v>461</v>
      </c>
      <c r="P30" s="33">
        <v>3951</v>
      </c>
      <c r="Q30" s="33">
        <v>1501</v>
      </c>
      <c r="R30" s="33">
        <v>571</v>
      </c>
      <c r="S30" s="33">
        <v>1778</v>
      </c>
      <c r="T30" s="33">
        <v>29</v>
      </c>
      <c r="U30" s="33">
        <v>16</v>
      </c>
    </row>
    <row r="31" spans="1:21">
      <c r="A31" s="32">
        <v>28</v>
      </c>
      <c r="B31" s="32">
        <v>1678</v>
      </c>
      <c r="C31" s="32">
        <v>6</v>
      </c>
      <c r="D31" s="32">
        <v>24</v>
      </c>
      <c r="E31" s="32">
        <v>10</v>
      </c>
      <c r="F31" s="32">
        <v>50</v>
      </c>
      <c r="G31" s="32">
        <v>2</v>
      </c>
      <c r="H31" s="25" t="s">
        <v>47</v>
      </c>
      <c r="I31" s="32">
        <v>0</v>
      </c>
      <c r="J31" s="32">
        <v>2</v>
      </c>
      <c r="L31" s="26">
        <v>0.66875000000000007</v>
      </c>
      <c r="M31" s="33">
        <v>28</v>
      </c>
      <c r="N31" s="33">
        <v>830</v>
      </c>
      <c r="O31" s="33">
        <v>4161</v>
      </c>
      <c r="P31" s="33">
        <v>415</v>
      </c>
      <c r="Q31" s="33">
        <v>4253</v>
      </c>
      <c r="R31" s="33">
        <v>3880</v>
      </c>
      <c r="S31" s="33">
        <v>3711</v>
      </c>
      <c r="T31" s="33">
        <v>40</v>
      </c>
      <c r="U31" s="33">
        <v>0</v>
      </c>
    </row>
    <row r="32" spans="1:21">
      <c r="A32" s="32">
        <v>29</v>
      </c>
      <c r="B32" s="32">
        <v>4069</v>
      </c>
      <c r="C32" s="32">
        <v>6</v>
      </c>
      <c r="D32" s="32">
        <v>23</v>
      </c>
      <c r="E32" s="32">
        <v>40</v>
      </c>
      <c r="F32" s="32">
        <v>16</v>
      </c>
      <c r="G32" s="32">
        <v>2</v>
      </c>
      <c r="H32" s="25" t="s">
        <v>47</v>
      </c>
      <c r="I32" s="32">
        <v>0</v>
      </c>
      <c r="J32" s="32">
        <v>2</v>
      </c>
      <c r="L32" s="26">
        <v>0.67708333333333337</v>
      </c>
      <c r="M32" s="33">
        <v>29</v>
      </c>
      <c r="N32" s="33">
        <v>4203</v>
      </c>
      <c r="O32" s="33">
        <v>192</v>
      </c>
      <c r="P32" s="33">
        <v>279</v>
      </c>
      <c r="Q32" s="33">
        <v>604</v>
      </c>
      <c r="R32" s="33">
        <v>78</v>
      </c>
      <c r="S32" s="33">
        <v>1391</v>
      </c>
      <c r="T32" s="33">
        <v>28</v>
      </c>
      <c r="U32" s="33">
        <v>34</v>
      </c>
    </row>
    <row r="33" spans="1:21">
      <c r="A33" s="32">
        <v>30</v>
      </c>
      <c r="B33" s="32">
        <v>27</v>
      </c>
      <c r="C33" s="32">
        <v>6</v>
      </c>
      <c r="D33" s="32">
        <v>23</v>
      </c>
      <c r="E33" s="32">
        <v>20</v>
      </c>
      <c r="F33" s="32">
        <v>26</v>
      </c>
      <c r="G33" s="32">
        <v>4</v>
      </c>
      <c r="H33" s="25">
        <v>36526</v>
      </c>
      <c r="I33" s="32">
        <v>0</v>
      </c>
      <c r="J33" s="32">
        <v>2</v>
      </c>
      <c r="L33" s="26">
        <v>0.68125000000000002</v>
      </c>
      <c r="M33" s="33">
        <v>30</v>
      </c>
      <c r="N33" s="33">
        <v>1649</v>
      </c>
      <c r="O33" s="33">
        <v>2102</v>
      </c>
      <c r="P33" s="33">
        <v>2180</v>
      </c>
      <c r="Q33" s="33">
        <v>3807</v>
      </c>
      <c r="R33" s="33">
        <v>3288</v>
      </c>
      <c r="S33" s="33">
        <v>971</v>
      </c>
      <c r="T33" s="33">
        <v>30</v>
      </c>
      <c r="U33" s="33">
        <v>40</v>
      </c>
    </row>
    <row r="34" spans="1:21">
      <c r="A34" s="32">
        <v>31</v>
      </c>
      <c r="B34" s="32">
        <v>2844</v>
      </c>
      <c r="C34" s="32">
        <v>6</v>
      </c>
      <c r="D34" s="32">
        <v>22</v>
      </c>
      <c r="E34" s="32">
        <v>0</v>
      </c>
      <c r="F34" s="32">
        <v>33</v>
      </c>
      <c r="G34" s="32">
        <v>2</v>
      </c>
      <c r="H34" s="25" t="s">
        <v>47</v>
      </c>
      <c r="I34" s="32">
        <v>0</v>
      </c>
      <c r="J34" s="32">
        <v>2</v>
      </c>
      <c r="L34" s="26">
        <v>0.68541666666666667</v>
      </c>
      <c r="M34" s="33">
        <v>31</v>
      </c>
      <c r="N34" s="33">
        <v>3205</v>
      </c>
      <c r="O34" s="33">
        <v>537</v>
      </c>
      <c r="P34" s="33">
        <v>2130</v>
      </c>
      <c r="Q34" s="33">
        <v>3847</v>
      </c>
      <c r="R34" s="33">
        <v>706</v>
      </c>
      <c r="S34" s="33">
        <v>1319</v>
      </c>
      <c r="T34" s="33">
        <v>45</v>
      </c>
      <c r="U34" s="33">
        <v>31</v>
      </c>
    </row>
    <row r="35" spans="1:21">
      <c r="A35" s="32">
        <v>32</v>
      </c>
      <c r="B35" s="32">
        <v>1764</v>
      </c>
      <c r="C35" s="32">
        <v>6</v>
      </c>
      <c r="D35" s="32">
        <v>20</v>
      </c>
      <c r="E35" s="32">
        <v>10</v>
      </c>
      <c r="F35" s="32">
        <v>42</v>
      </c>
      <c r="G35" s="32">
        <v>4</v>
      </c>
      <c r="H35" s="25">
        <v>36527</v>
      </c>
      <c r="I35" s="32">
        <v>0</v>
      </c>
      <c r="J35" s="32">
        <v>3</v>
      </c>
      <c r="L35" s="26">
        <v>0.68819444444444444</v>
      </c>
      <c r="M35" s="33">
        <v>32</v>
      </c>
      <c r="N35" s="33">
        <v>2164</v>
      </c>
      <c r="O35" s="33">
        <v>178</v>
      </c>
      <c r="P35" s="33">
        <v>702</v>
      </c>
      <c r="Q35" s="33">
        <v>1266</v>
      </c>
      <c r="R35" s="33">
        <v>1985</v>
      </c>
      <c r="S35" s="33">
        <v>1033</v>
      </c>
      <c r="T35" s="33">
        <v>26</v>
      </c>
      <c r="U35" s="33">
        <v>11</v>
      </c>
    </row>
    <row r="36" spans="1:21">
      <c r="A36" s="32">
        <v>33</v>
      </c>
      <c r="B36" s="32">
        <v>4265</v>
      </c>
      <c r="C36" s="32">
        <v>6</v>
      </c>
      <c r="D36" s="32">
        <v>17</v>
      </c>
      <c r="E36" s="32">
        <v>40</v>
      </c>
      <c r="F36" s="32">
        <v>39</v>
      </c>
      <c r="G36" s="32">
        <v>4</v>
      </c>
      <c r="H36" s="25">
        <v>36527</v>
      </c>
      <c r="I36" s="32">
        <v>0</v>
      </c>
      <c r="J36" s="32">
        <v>3</v>
      </c>
      <c r="L36" s="26">
        <v>0.69236111111111109</v>
      </c>
      <c r="M36" s="33">
        <v>33</v>
      </c>
      <c r="N36" s="33">
        <v>1678</v>
      </c>
      <c r="O36" s="33">
        <v>4130</v>
      </c>
      <c r="P36" s="33">
        <v>4269</v>
      </c>
      <c r="Q36" s="33">
        <v>2474</v>
      </c>
      <c r="R36" s="33">
        <v>120</v>
      </c>
      <c r="S36" s="33">
        <v>1912</v>
      </c>
      <c r="T36" s="33">
        <v>48</v>
      </c>
      <c r="U36" s="33">
        <v>24</v>
      </c>
    </row>
    <row r="37" spans="1:21">
      <c r="A37" s="32">
        <v>34</v>
      </c>
      <c r="B37" s="32">
        <v>4226</v>
      </c>
      <c r="C37" s="32">
        <v>6</v>
      </c>
      <c r="D37" s="32">
        <v>16</v>
      </c>
      <c r="E37" s="32">
        <v>20</v>
      </c>
      <c r="F37" s="32">
        <v>26</v>
      </c>
      <c r="G37" s="32">
        <v>6</v>
      </c>
      <c r="H37" s="25" t="s">
        <v>69</v>
      </c>
      <c r="I37" s="32">
        <v>0</v>
      </c>
      <c r="J37" s="32">
        <v>3</v>
      </c>
      <c r="L37" s="26">
        <v>0.69791666666666663</v>
      </c>
      <c r="M37" s="33">
        <v>34</v>
      </c>
      <c r="N37" s="33">
        <v>3936</v>
      </c>
      <c r="O37" s="33">
        <v>3950</v>
      </c>
      <c r="P37" s="33">
        <v>293</v>
      </c>
      <c r="Q37" s="33">
        <v>2522</v>
      </c>
      <c r="R37" s="33">
        <v>2757</v>
      </c>
      <c r="S37" s="33">
        <v>694</v>
      </c>
      <c r="T37" s="33">
        <v>38</v>
      </c>
      <c r="U37" s="33">
        <v>27</v>
      </c>
    </row>
    <row r="38" spans="1:21">
      <c r="A38" s="32">
        <v>35</v>
      </c>
      <c r="B38" s="32">
        <v>2626</v>
      </c>
      <c r="C38" s="32">
        <v>6</v>
      </c>
      <c r="D38" s="32">
        <v>10</v>
      </c>
      <c r="E38" s="32">
        <v>30</v>
      </c>
      <c r="F38" s="32">
        <v>25</v>
      </c>
      <c r="G38" s="32">
        <v>2</v>
      </c>
      <c r="H38" s="25" t="s">
        <v>47</v>
      </c>
      <c r="I38" s="32">
        <v>0</v>
      </c>
      <c r="J38" s="32">
        <v>2</v>
      </c>
      <c r="L38" s="26">
        <v>0.70624999999999993</v>
      </c>
      <c r="M38" s="33">
        <v>35</v>
      </c>
      <c r="N38" s="33">
        <v>1817</v>
      </c>
      <c r="O38" s="33">
        <v>3941</v>
      </c>
      <c r="P38" s="33">
        <v>1764</v>
      </c>
      <c r="Q38" s="33">
        <v>3860</v>
      </c>
      <c r="R38" s="33">
        <v>624</v>
      </c>
      <c r="S38" s="33">
        <v>1683</v>
      </c>
      <c r="T38" s="33">
        <v>17</v>
      </c>
      <c r="U38" s="33">
        <v>64</v>
      </c>
    </row>
    <row r="39" spans="1:21">
      <c r="A39" s="32">
        <v>36</v>
      </c>
      <c r="B39" s="32">
        <v>415</v>
      </c>
      <c r="C39" s="32">
        <v>4</v>
      </c>
      <c r="D39" s="32">
        <v>48</v>
      </c>
      <c r="E39" s="32">
        <v>20</v>
      </c>
      <c r="F39" s="32">
        <v>13</v>
      </c>
      <c r="G39" s="32">
        <v>2</v>
      </c>
      <c r="H39" s="25">
        <v>36527</v>
      </c>
      <c r="I39" s="32">
        <v>0</v>
      </c>
      <c r="J39" s="32">
        <v>3</v>
      </c>
      <c r="L39" s="26">
        <v>0.70972222222222225</v>
      </c>
      <c r="M39" s="33">
        <v>36</v>
      </c>
      <c r="N39" s="33">
        <v>2500</v>
      </c>
      <c r="O39" s="33">
        <v>4265</v>
      </c>
      <c r="P39" s="33">
        <v>571</v>
      </c>
      <c r="Q39" s="33">
        <v>3711</v>
      </c>
      <c r="R39" s="33">
        <v>1507</v>
      </c>
      <c r="S39" s="33">
        <v>987</v>
      </c>
      <c r="T39" s="33">
        <v>35</v>
      </c>
      <c r="U39" s="33">
        <v>86</v>
      </c>
    </row>
    <row r="40" spans="1:21">
      <c r="A40" s="32">
        <v>37</v>
      </c>
      <c r="B40" s="32">
        <v>1986</v>
      </c>
      <c r="C40" s="32">
        <v>4</v>
      </c>
      <c r="D40" s="32">
        <v>42</v>
      </c>
      <c r="E40" s="32">
        <v>20</v>
      </c>
      <c r="F40" s="32">
        <v>23</v>
      </c>
      <c r="G40" s="32">
        <v>2</v>
      </c>
      <c r="H40" s="25">
        <v>36526</v>
      </c>
      <c r="I40" s="32">
        <v>0</v>
      </c>
      <c r="J40" s="32">
        <v>2</v>
      </c>
      <c r="L40" s="26">
        <v>0.71666666666666667</v>
      </c>
      <c r="M40" s="33">
        <v>37</v>
      </c>
      <c r="N40" s="33">
        <v>836</v>
      </c>
      <c r="O40" s="33">
        <v>341</v>
      </c>
      <c r="P40" s="33">
        <v>433</v>
      </c>
      <c r="Q40" s="33">
        <v>192</v>
      </c>
      <c r="R40" s="33">
        <v>207</v>
      </c>
      <c r="S40" s="33">
        <v>4226</v>
      </c>
      <c r="T40" s="33">
        <v>73</v>
      </c>
      <c r="U40" s="33">
        <v>25</v>
      </c>
    </row>
    <row r="41" spans="1:21">
      <c r="A41" s="32">
        <v>38</v>
      </c>
      <c r="B41" s="32">
        <v>564</v>
      </c>
      <c r="C41" s="32">
        <v>4</v>
      </c>
      <c r="D41" s="32">
        <v>39</v>
      </c>
      <c r="E41" s="32">
        <v>10</v>
      </c>
      <c r="F41" s="32">
        <v>22</v>
      </c>
      <c r="G41" s="32">
        <v>2</v>
      </c>
      <c r="H41" s="25">
        <v>36526</v>
      </c>
      <c r="I41" s="32">
        <v>0</v>
      </c>
      <c r="J41" s="32">
        <v>2</v>
      </c>
      <c r="L41" s="26">
        <v>0.72083333333333333</v>
      </c>
      <c r="M41" s="33">
        <v>38</v>
      </c>
      <c r="N41" s="33">
        <v>3098</v>
      </c>
      <c r="O41" s="33">
        <v>279</v>
      </c>
      <c r="P41" s="33">
        <v>415</v>
      </c>
      <c r="Q41" s="33">
        <v>3970</v>
      </c>
      <c r="R41" s="33">
        <v>2180</v>
      </c>
      <c r="S41" s="33">
        <v>3419</v>
      </c>
      <c r="T41" s="33">
        <v>31</v>
      </c>
      <c r="U41" s="33">
        <v>50</v>
      </c>
    </row>
    <row r="42" spans="1:21">
      <c r="A42" s="32">
        <v>39</v>
      </c>
      <c r="B42" s="32">
        <v>3419</v>
      </c>
      <c r="C42" s="32">
        <v>4</v>
      </c>
      <c r="D42" s="32">
        <v>36</v>
      </c>
      <c r="E42" s="32">
        <v>40</v>
      </c>
      <c r="F42" s="32">
        <v>22</v>
      </c>
      <c r="G42" s="32">
        <v>0</v>
      </c>
      <c r="H42" s="25">
        <v>36557</v>
      </c>
      <c r="I42" s="32">
        <v>0</v>
      </c>
      <c r="J42" s="32">
        <v>3</v>
      </c>
      <c r="L42" s="26">
        <v>0.72430555555555554</v>
      </c>
      <c r="M42" s="33">
        <v>39</v>
      </c>
      <c r="N42" s="33">
        <v>1501</v>
      </c>
      <c r="O42" s="33">
        <v>1690</v>
      </c>
      <c r="P42" s="33">
        <v>3807</v>
      </c>
      <c r="Q42" s="33">
        <v>3205</v>
      </c>
      <c r="R42" s="33">
        <v>4069</v>
      </c>
      <c r="S42" s="33">
        <v>254</v>
      </c>
    </row>
    <row r="43" spans="1:21">
      <c r="A43" s="32">
        <v>40</v>
      </c>
      <c r="B43" s="32">
        <v>3929</v>
      </c>
      <c r="C43" s="32">
        <v>4</v>
      </c>
      <c r="D43" s="32">
        <v>35</v>
      </c>
      <c r="E43" s="32">
        <v>0</v>
      </c>
      <c r="F43" s="32">
        <v>20</v>
      </c>
      <c r="G43" s="32">
        <v>2</v>
      </c>
      <c r="H43" s="25">
        <v>36526</v>
      </c>
      <c r="I43" s="32">
        <v>0</v>
      </c>
      <c r="J43" s="32">
        <v>2</v>
      </c>
      <c r="L43" s="26">
        <v>0.7284722222222223</v>
      </c>
      <c r="M43" s="33">
        <v>40</v>
      </c>
      <c r="N43" s="33">
        <v>1319</v>
      </c>
      <c r="O43" s="33">
        <v>3288</v>
      </c>
      <c r="P43" s="33">
        <v>1477</v>
      </c>
      <c r="Q43" s="33">
        <v>4253</v>
      </c>
      <c r="R43" s="33">
        <v>525</v>
      </c>
      <c r="S43" s="33">
        <v>461</v>
      </c>
    </row>
    <row r="44" spans="1:21">
      <c r="A44" s="32">
        <v>41</v>
      </c>
      <c r="B44" s="32">
        <v>178</v>
      </c>
      <c r="C44" s="32">
        <v>4</v>
      </c>
      <c r="D44" s="32">
        <v>32</v>
      </c>
      <c r="E44" s="32">
        <v>0</v>
      </c>
      <c r="F44" s="32">
        <v>8</v>
      </c>
      <c r="G44" s="32">
        <v>2</v>
      </c>
      <c r="H44" s="25">
        <v>36526</v>
      </c>
      <c r="I44" s="32">
        <v>0</v>
      </c>
      <c r="J44" s="32">
        <v>2</v>
      </c>
      <c r="L44" s="26">
        <v>0.73263888888888884</v>
      </c>
      <c r="M44" s="33">
        <v>41</v>
      </c>
      <c r="N44" s="33">
        <v>706</v>
      </c>
      <c r="O44" s="33">
        <v>3880</v>
      </c>
      <c r="P44" s="33">
        <v>1143</v>
      </c>
      <c r="Q44" s="33">
        <v>3929</v>
      </c>
      <c r="R44" s="33">
        <v>4203</v>
      </c>
      <c r="S44" s="33">
        <v>3115</v>
      </c>
    </row>
    <row r="45" spans="1:21">
      <c r="A45" s="32">
        <v>42</v>
      </c>
      <c r="B45" s="32">
        <v>3965</v>
      </c>
      <c r="C45" s="32">
        <v>4</v>
      </c>
      <c r="D45" s="32">
        <v>31</v>
      </c>
      <c r="E45" s="32">
        <v>40</v>
      </c>
      <c r="F45" s="32">
        <v>39</v>
      </c>
      <c r="G45" s="32">
        <v>2</v>
      </c>
      <c r="H45" s="25">
        <v>36526</v>
      </c>
      <c r="I45" s="32">
        <v>0</v>
      </c>
      <c r="J45" s="32">
        <v>2</v>
      </c>
      <c r="L45" s="26">
        <v>0.7368055555555556</v>
      </c>
      <c r="M45" s="33">
        <v>42</v>
      </c>
      <c r="N45" s="33">
        <v>932</v>
      </c>
      <c r="O45" s="33">
        <v>3847</v>
      </c>
      <c r="P45" s="33">
        <v>178</v>
      </c>
      <c r="Q45" s="33">
        <v>2591</v>
      </c>
      <c r="R45" s="33">
        <v>1678</v>
      </c>
      <c r="S45" s="33">
        <v>2960</v>
      </c>
    </row>
    <row r="46" spans="1:21">
      <c r="A46" s="32">
        <v>43</v>
      </c>
      <c r="B46" s="32">
        <v>2180</v>
      </c>
      <c r="C46" s="32">
        <v>4</v>
      </c>
      <c r="D46" s="32">
        <v>30</v>
      </c>
      <c r="E46" s="32">
        <v>40</v>
      </c>
      <c r="F46" s="32">
        <v>37</v>
      </c>
      <c r="G46" s="32">
        <v>0</v>
      </c>
      <c r="H46" s="25">
        <v>36557</v>
      </c>
      <c r="I46" s="32">
        <v>0</v>
      </c>
      <c r="J46" s="32">
        <v>3</v>
      </c>
      <c r="L46" s="26">
        <v>0.74097222222222225</v>
      </c>
      <c r="M46" s="33">
        <v>43</v>
      </c>
      <c r="N46" s="33">
        <v>2164</v>
      </c>
      <c r="O46" s="33">
        <v>288</v>
      </c>
      <c r="P46" s="33">
        <v>2844</v>
      </c>
      <c r="Q46" s="33">
        <v>1649</v>
      </c>
      <c r="R46" s="33">
        <v>78</v>
      </c>
      <c r="S46" s="33">
        <v>3965</v>
      </c>
    </row>
    <row r="47" spans="1:21">
      <c r="A47" s="32">
        <v>44</v>
      </c>
      <c r="B47" s="32">
        <v>3205</v>
      </c>
      <c r="C47" s="32">
        <v>4</v>
      </c>
      <c r="D47" s="32">
        <v>30</v>
      </c>
      <c r="E47" s="32">
        <v>10</v>
      </c>
      <c r="F47" s="32">
        <v>32</v>
      </c>
      <c r="G47" s="32">
        <v>0</v>
      </c>
      <c r="H47" s="25" t="s">
        <v>47</v>
      </c>
      <c r="I47" s="32">
        <v>0</v>
      </c>
      <c r="J47" s="32">
        <v>2</v>
      </c>
      <c r="L47" s="26">
        <v>0.74513888888888891</v>
      </c>
      <c r="M47" s="33">
        <v>44</v>
      </c>
      <c r="N47" s="33">
        <v>51</v>
      </c>
      <c r="O47" s="33">
        <v>2130</v>
      </c>
      <c r="P47" s="33">
        <v>116</v>
      </c>
      <c r="Q47" s="33">
        <v>2914</v>
      </c>
      <c r="R47" s="33">
        <v>1985</v>
      </c>
      <c r="S47" s="33">
        <v>564</v>
      </c>
    </row>
    <row r="48" spans="1:21">
      <c r="A48" s="32">
        <v>45</v>
      </c>
      <c r="B48" s="32">
        <v>78</v>
      </c>
      <c r="C48" s="32">
        <v>4</v>
      </c>
      <c r="D48" s="32">
        <v>29</v>
      </c>
      <c r="E48" s="32">
        <v>20</v>
      </c>
      <c r="F48" s="32">
        <v>15</v>
      </c>
      <c r="G48" s="32">
        <v>2</v>
      </c>
      <c r="H48" s="25">
        <v>36526</v>
      </c>
      <c r="I48" s="32">
        <v>0</v>
      </c>
      <c r="J48" s="32">
        <v>2</v>
      </c>
      <c r="L48" s="26">
        <v>0.78125</v>
      </c>
      <c r="M48" s="33">
        <v>45</v>
      </c>
      <c r="N48" s="33">
        <v>58</v>
      </c>
      <c r="O48" s="33">
        <v>1391</v>
      </c>
      <c r="P48" s="33">
        <v>3951</v>
      </c>
      <c r="Q48" s="33">
        <v>503</v>
      </c>
      <c r="R48" s="33">
        <v>702</v>
      </c>
      <c r="S48" s="33">
        <v>1885</v>
      </c>
    </row>
    <row r="49" spans="1:19">
      <c r="A49" s="32">
        <v>46</v>
      </c>
      <c r="B49" s="32">
        <v>1817</v>
      </c>
      <c r="C49" s="32">
        <v>4</v>
      </c>
      <c r="D49" s="32">
        <v>29</v>
      </c>
      <c r="E49" s="32">
        <v>10</v>
      </c>
      <c r="F49" s="32">
        <v>18</v>
      </c>
      <c r="G49" s="32">
        <v>4</v>
      </c>
      <c r="H49" s="25" t="s">
        <v>69</v>
      </c>
      <c r="I49" s="32">
        <v>0</v>
      </c>
      <c r="J49" s="32">
        <v>3</v>
      </c>
      <c r="L49" s="26">
        <v>0.78541666666666676</v>
      </c>
      <c r="M49" s="33">
        <v>46</v>
      </c>
      <c r="N49" s="33">
        <v>120</v>
      </c>
      <c r="O49" s="33">
        <v>3132</v>
      </c>
      <c r="P49" s="33">
        <v>597</v>
      </c>
      <c r="Q49" s="33">
        <v>604</v>
      </c>
      <c r="R49" s="33">
        <v>3528</v>
      </c>
      <c r="S49" s="33">
        <v>2626</v>
      </c>
    </row>
    <row r="50" spans="1:19">
      <c r="A50" s="32">
        <v>47</v>
      </c>
      <c r="B50" s="32">
        <v>2130</v>
      </c>
      <c r="C50" s="32">
        <v>4</v>
      </c>
      <c r="D50" s="32">
        <v>29</v>
      </c>
      <c r="E50" s="32">
        <v>10</v>
      </c>
      <c r="F50" s="32">
        <v>13</v>
      </c>
      <c r="G50" s="32">
        <v>2</v>
      </c>
      <c r="H50" s="25">
        <v>36526</v>
      </c>
      <c r="I50" s="32">
        <v>0</v>
      </c>
      <c r="J50" s="32">
        <v>2</v>
      </c>
      <c r="L50" s="26">
        <v>0.7895833333333333</v>
      </c>
      <c r="M50" s="33">
        <v>47</v>
      </c>
      <c r="N50" s="33">
        <v>4130</v>
      </c>
      <c r="O50" s="33">
        <v>4161</v>
      </c>
      <c r="P50" s="33">
        <v>1266</v>
      </c>
      <c r="Q50" s="33">
        <v>1741</v>
      </c>
      <c r="R50" s="33">
        <v>2102</v>
      </c>
      <c r="S50" s="33">
        <v>537</v>
      </c>
    </row>
    <row r="51" spans="1:19">
      <c r="A51" s="32">
        <v>48</v>
      </c>
      <c r="B51" s="32">
        <v>85</v>
      </c>
      <c r="C51" s="32">
        <v>4</v>
      </c>
      <c r="D51" s="32">
        <v>29</v>
      </c>
      <c r="E51" s="32">
        <v>0</v>
      </c>
      <c r="F51" s="32">
        <v>22</v>
      </c>
      <c r="G51" s="32">
        <v>2</v>
      </c>
      <c r="H51" s="25">
        <v>36526</v>
      </c>
      <c r="I51" s="32">
        <v>0</v>
      </c>
      <c r="J51" s="32">
        <v>2</v>
      </c>
      <c r="L51" s="26">
        <v>0.7944444444444444</v>
      </c>
      <c r="M51" s="33">
        <v>48</v>
      </c>
      <c r="N51" s="33">
        <v>244</v>
      </c>
      <c r="O51" s="33">
        <v>233</v>
      </c>
      <c r="P51" s="33">
        <v>2522</v>
      </c>
      <c r="Q51" s="33">
        <v>830</v>
      </c>
      <c r="R51" s="33">
        <v>4269</v>
      </c>
      <c r="S51" s="33">
        <v>27</v>
      </c>
    </row>
    <row r="52" spans="1:19">
      <c r="A52" s="32">
        <v>49</v>
      </c>
      <c r="B52" s="32">
        <v>3115</v>
      </c>
      <c r="C52" s="32">
        <v>4</v>
      </c>
      <c r="D52" s="32">
        <v>28</v>
      </c>
      <c r="E52" s="32">
        <v>20</v>
      </c>
      <c r="F52" s="32">
        <v>19</v>
      </c>
      <c r="G52" s="32">
        <v>2</v>
      </c>
      <c r="H52" s="25">
        <v>36526</v>
      </c>
      <c r="I52" s="32">
        <v>0</v>
      </c>
      <c r="J52" s="32">
        <v>2</v>
      </c>
      <c r="L52" s="26">
        <v>0.7993055555555556</v>
      </c>
      <c r="M52" s="33">
        <v>49</v>
      </c>
      <c r="N52" s="33">
        <v>2474</v>
      </c>
      <c r="O52" s="33">
        <v>1778</v>
      </c>
      <c r="P52" s="33">
        <v>3936</v>
      </c>
      <c r="Q52" s="33">
        <v>2881</v>
      </c>
      <c r="R52" s="33">
        <v>971</v>
      </c>
      <c r="S52" s="33">
        <v>1511</v>
      </c>
    </row>
    <row r="53" spans="1:19">
      <c r="A53" s="32">
        <v>50</v>
      </c>
      <c r="B53" s="32">
        <v>51</v>
      </c>
      <c r="C53" s="32">
        <v>4</v>
      </c>
      <c r="D53" s="32">
        <v>26</v>
      </c>
      <c r="E53" s="32">
        <v>30</v>
      </c>
      <c r="F53" s="32">
        <v>21</v>
      </c>
      <c r="G53" s="32">
        <v>0</v>
      </c>
      <c r="H53" s="25" t="s">
        <v>47</v>
      </c>
      <c r="I53" s="32">
        <v>0</v>
      </c>
      <c r="J53" s="32">
        <v>2</v>
      </c>
      <c r="L53" s="26">
        <v>0.8041666666666667</v>
      </c>
      <c r="M53" s="33">
        <v>50</v>
      </c>
      <c r="N53" s="33">
        <v>1033</v>
      </c>
      <c r="O53" s="33">
        <v>1912</v>
      </c>
      <c r="P53" s="33">
        <v>1828</v>
      </c>
      <c r="Q53" s="33">
        <v>3940</v>
      </c>
      <c r="R53" s="33">
        <v>85</v>
      </c>
      <c r="S53" s="33">
        <v>1986</v>
      </c>
    </row>
    <row r="54" spans="1:19">
      <c r="A54" s="32">
        <v>51</v>
      </c>
      <c r="B54" s="32">
        <v>503</v>
      </c>
      <c r="C54" s="32">
        <v>4</v>
      </c>
      <c r="D54" s="32">
        <v>24</v>
      </c>
      <c r="E54" s="32">
        <v>20</v>
      </c>
      <c r="F54" s="32">
        <v>40</v>
      </c>
      <c r="G54" s="32">
        <v>2</v>
      </c>
      <c r="H54" s="25">
        <v>36526</v>
      </c>
      <c r="I54" s="32">
        <v>0</v>
      </c>
      <c r="J54" s="32">
        <v>2</v>
      </c>
      <c r="L54" s="26">
        <v>0.80902777777777779</v>
      </c>
      <c r="M54" s="33">
        <v>51</v>
      </c>
      <c r="N54" s="33">
        <v>571</v>
      </c>
      <c r="O54" s="33">
        <v>4203</v>
      </c>
      <c r="P54" s="33">
        <v>1319</v>
      </c>
      <c r="Q54" s="33">
        <v>1690</v>
      </c>
      <c r="R54" s="33">
        <v>3941</v>
      </c>
      <c r="S54" s="33">
        <v>2591</v>
      </c>
    </row>
    <row r="55" spans="1:19">
      <c r="A55" s="32">
        <v>52</v>
      </c>
      <c r="B55" s="32">
        <v>525</v>
      </c>
      <c r="C55" s="32">
        <v>4</v>
      </c>
      <c r="D55" s="32">
        <v>24</v>
      </c>
      <c r="E55" s="32">
        <v>10</v>
      </c>
      <c r="F55" s="32">
        <v>45</v>
      </c>
      <c r="G55" s="32">
        <v>2</v>
      </c>
      <c r="H55" s="25">
        <v>36526</v>
      </c>
      <c r="I55" s="32">
        <v>0</v>
      </c>
      <c r="J55" s="32">
        <v>2</v>
      </c>
      <c r="L55" s="26">
        <v>0.81388888888888899</v>
      </c>
      <c r="M55" s="33">
        <v>52</v>
      </c>
      <c r="N55" s="33">
        <v>4253</v>
      </c>
      <c r="O55" s="33">
        <v>3847</v>
      </c>
      <c r="P55" s="33">
        <v>3860</v>
      </c>
      <c r="Q55" s="33">
        <v>694</v>
      </c>
      <c r="R55" s="33">
        <v>341</v>
      </c>
      <c r="S55" s="33">
        <v>279</v>
      </c>
    </row>
    <row r="56" spans="1:19">
      <c r="A56" s="32">
        <v>53</v>
      </c>
      <c r="B56" s="32">
        <v>1391</v>
      </c>
      <c r="C56" s="32">
        <v>4</v>
      </c>
      <c r="D56" s="32">
        <v>24</v>
      </c>
      <c r="E56" s="32">
        <v>10</v>
      </c>
      <c r="F56" s="32">
        <v>15</v>
      </c>
      <c r="G56" s="32">
        <v>2</v>
      </c>
      <c r="H56" s="25">
        <v>36526</v>
      </c>
      <c r="I56" s="32">
        <v>0</v>
      </c>
      <c r="J56" s="32">
        <v>2</v>
      </c>
      <c r="L56" s="26">
        <v>0.81874999999999998</v>
      </c>
      <c r="M56" s="33">
        <v>53</v>
      </c>
      <c r="N56" s="33">
        <v>1649</v>
      </c>
      <c r="O56" s="33">
        <v>503</v>
      </c>
      <c r="P56" s="33">
        <v>254</v>
      </c>
      <c r="Q56" s="33">
        <v>2914</v>
      </c>
      <c r="R56" s="33">
        <v>2960</v>
      </c>
      <c r="S56" s="33">
        <v>836</v>
      </c>
    </row>
    <row r="57" spans="1:19">
      <c r="A57" s="32">
        <v>54</v>
      </c>
      <c r="B57" s="32">
        <v>3941</v>
      </c>
      <c r="C57" s="32">
        <v>4</v>
      </c>
      <c r="D57" s="32">
        <v>23</v>
      </c>
      <c r="E57" s="32">
        <v>10</v>
      </c>
      <c r="F57" s="32">
        <v>20</v>
      </c>
      <c r="G57" s="32">
        <v>4</v>
      </c>
      <c r="H57" s="25" t="s">
        <v>69</v>
      </c>
      <c r="I57" s="32">
        <v>0</v>
      </c>
      <c r="J57" s="32">
        <v>3</v>
      </c>
      <c r="L57" s="26">
        <v>0.82291666666666663</v>
      </c>
      <c r="M57" s="33">
        <v>54</v>
      </c>
      <c r="N57" s="33">
        <v>3807</v>
      </c>
      <c r="O57" s="33">
        <v>624</v>
      </c>
      <c r="P57" s="33">
        <v>2164</v>
      </c>
      <c r="Q57" s="33">
        <v>433</v>
      </c>
      <c r="R57" s="33">
        <v>2757</v>
      </c>
      <c r="S57" s="33">
        <v>3132</v>
      </c>
    </row>
    <row r="58" spans="1:19">
      <c r="A58" s="32">
        <v>55</v>
      </c>
      <c r="B58" s="32">
        <v>571</v>
      </c>
      <c r="C58" s="32">
        <v>4</v>
      </c>
      <c r="D58" s="32">
        <v>22</v>
      </c>
      <c r="E58" s="32">
        <v>20</v>
      </c>
      <c r="F58" s="32">
        <v>29</v>
      </c>
      <c r="G58" s="32">
        <v>2</v>
      </c>
      <c r="H58" s="25">
        <v>36527</v>
      </c>
      <c r="I58" s="32">
        <v>0</v>
      </c>
      <c r="J58" s="32">
        <v>3</v>
      </c>
      <c r="L58" s="26">
        <v>0.82708333333333339</v>
      </c>
      <c r="M58" s="33">
        <v>55</v>
      </c>
      <c r="N58" s="33">
        <v>178</v>
      </c>
      <c r="O58" s="33">
        <v>3880</v>
      </c>
      <c r="P58" s="33">
        <v>1741</v>
      </c>
      <c r="Q58" s="33">
        <v>51</v>
      </c>
      <c r="R58" s="33">
        <v>4226</v>
      </c>
      <c r="S58" s="33">
        <v>120</v>
      </c>
    </row>
    <row r="59" spans="1:19">
      <c r="A59" s="32">
        <v>56</v>
      </c>
      <c r="B59" s="32">
        <v>2881</v>
      </c>
      <c r="C59" s="32">
        <v>4</v>
      </c>
      <c r="D59" s="32">
        <v>22</v>
      </c>
      <c r="E59" s="32">
        <v>0</v>
      </c>
      <c r="F59" s="32">
        <v>25</v>
      </c>
      <c r="G59" s="32">
        <v>2</v>
      </c>
      <c r="H59" s="25">
        <v>36526</v>
      </c>
      <c r="I59" s="32">
        <v>0</v>
      </c>
      <c r="J59" s="32">
        <v>2</v>
      </c>
      <c r="L59" s="26">
        <v>0.83124999999999993</v>
      </c>
      <c r="M59" s="33">
        <v>56</v>
      </c>
      <c r="N59" s="33">
        <v>1817</v>
      </c>
      <c r="O59" s="33">
        <v>1477</v>
      </c>
      <c r="P59" s="33">
        <v>4265</v>
      </c>
      <c r="Q59" s="33">
        <v>1501</v>
      </c>
      <c r="R59" s="33">
        <v>192</v>
      </c>
      <c r="S59" s="33">
        <v>932</v>
      </c>
    </row>
    <row r="60" spans="1:19">
      <c r="A60" s="32">
        <v>57</v>
      </c>
      <c r="B60" s="32">
        <v>702</v>
      </c>
      <c r="C60" s="32">
        <v>4</v>
      </c>
      <c r="D60" s="32">
        <v>20</v>
      </c>
      <c r="E60" s="32">
        <v>0</v>
      </c>
      <c r="F60" s="32">
        <v>20</v>
      </c>
      <c r="G60" s="32">
        <v>2</v>
      </c>
      <c r="H60" s="25">
        <v>36526</v>
      </c>
      <c r="I60" s="32">
        <v>0</v>
      </c>
      <c r="J60" s="32">
        <v>2</v>
      </c>
      <c r="L60" s="26">
        <v>0.8354166666666667</v>
      </c>
      <c r="M60" s="33">
        <v>57</v>
      </c>
      <c r="N60" s="33">
        <v>1885</v>
      </c>
      <c r="O60" s="33">
        <v>1266</v>
      </c>
      <c r="P60" s="33">
        <v>461</v>
      </c>
      <c r="Q60" s="33">
        <v>3205</v>
      </c>
      <c r="R60" s="33">
        <v>1143</v>
      </c>
      <c r="S60" s="33">
        <v>415</v>
      </c>
    </row>
    <row r="61" spans="1:19">
      <c r="A61" s="32">
        <v>58</v>
      </c>
      <c r="B61" s="32">
        <v>288</v>
      </c>
      <c r="C61" s="32">
        <v>4</v>
      </c>
      <c r="D61" s="32">
        <v>20</v>
      </c>
      <c r="E61" s="32">
        <v>0</v>
      </c>
      <c r="F61" s="32">
        <v>7</v>
      </c>
      <c r="G61" s="32">
        <v>4</v>
      </c>
      <c r="H61" s="25" t="s">
        <v>45</v>
      </c>
      <c r="I61" s="32">
        <v>0</v>
      </c>
      <c r="J61" s="32">
        <v>2</v>
      </c>
      <c r="L61" s="26">
        <v>0.83958333333333324</v>
      </c>
      <c r="M61" s="33">
        <v>58</v>
      </c>
      <c r="N61" s="33">
        <v>3115</v>
      </c>
      <c r="O61" s="33">
        <v>4161</v>
      </c>
      <c r="P61" s="33">
        <v>85</v>
      </c>
      <c r="Q61" s="33">
        <v>3951</v>
      </c>
      <c r="R61" s="33">
        <v>1764</v>
      </c>
      <c r="S61" s="33">
        <v>2474</v>
      </c>
    </row>
    <row r="62" spans="1:19">
      <c r="A62" s="32">
        <v>59</v>
      </c>
      <c r="B62" s="32">
        <v>4269</v>
      </c>
      <c r="C62" s="32">
        <v>4</v>
      </c>
      <c r="D62" s="32">
        <v>18</v>
      </c>
      <c r="E62" s="32">
        <v>30</v>
      </c>
      <c r="F62" s="32">
        <v>26</v>
      </c>
      <c r="G62" s="32">
        <v>2</v>
      </c>
      <c r="H62" s="25">
        <v>36526</v>
      </c>
      <c r="I62" s="32">
        <v>0</v>
      </c>
      <c r="J62" s="32">
        <v>2</v>
      </c>
      <c r="L62" s="26">
        <v>0.84375</v>
      </c>
      <c r="M62" s="33">
        <v>59</v>
      </c>
      <c r="N62" s="33">
        <v>3970</v>
      </c>
      <c r="O62" s="33">
        <v>2102</v>
      </c>
      <c r="P62" s="33">
        <v>2130</v>
      </c>
      <c r="Q62" s="33">
        <v>2844</v>
      </c>
      <c r="R62" s="33">
        <v>244</v>
      </c>
      <c r="S62" s="33">
        <v>1391</v>
      </c>
    </row>
    <row r="63" spans="1:19">
      <c r="A63" s="32">
        <v>60</v>
      </c>
      <c r="B63" s="32">
        <v>1511</v>
      </c>
      <c r="C63" s="32">
        <v>4</v>
      </c>
      <c r="D63" s="32">
        <v>18</v>
      </c>
      <c r="E63" s="32">
        <v>20</v>
      </c>
      <c r="F63" s="32">
        <v>54</v>
      </c>
      <c r="G63" s="32">
        <v>2</v>
      </c>
      <c r="H63" s="25">
        <v>36526</v>
      </c>
      <c r="I63" s="32">
        <v>0</v>
      </c>
      <c r="J63" s="32">
        <v>2</v>
      </c>
      <c r="L63" s="26">
        <v>0.84791666666666676</v>
      </c>
      <c r="M63" s="33">
        <v>60</v>
      </c>
      <c r="N63" s="33">
        <v>3950</v>
      </c>
      <c r="O63" s="33">
        <v>2500</v>
      </c>
      <c r="P63" s="33">
        <v>2881</v>
      </c>
      <c r="Q63" s="33">
        <v>27</v>
      </c>
      <c r="R63" s="33">
        <v>702</v>
      </c>
      <c r="S63" s="33">
        <v>604</v>
      </c>
    </row>
    <row r="64" spans="1:19">
      <c r="A64" s="32">
        <v>61</v>
      </c>
      <c r="B64" s="32">
        <v>971</v>
      </c>
      <c r="C64" s="32">
        <v>4</v>
      </c>
      <c r="D64" s="32">
        <v>18</v>
      </c>
      <c r="E64" s="32">
        <v>10</v>
      </c>
      <c r="F64" s="32">
        <v>34</v>
      </c>
      <c r="G64" s="32">
        <v>2</v>
      </c>
      <c r="H64" s="25">
        <v>36526</v>
      </c>
      <c r="I64" s="32">
        <v>0</v>
      </c>
      <c r="J64" s="32">
        <v>2</v>
      </c>
      <c r="L64" s="26">
        <v>0.39583333333333331</v>
      </c>
      <c r="M64" s="33">
        <v>61</v>
      </c>
      <c r="N64" s="33">
        <v>987</v>
      </c>
      <c r="O64" s="33">
        <v>207</v>
      </c>
      <c r="P64" s="33">
        <v>3419</v>
      </c>
      <c r="Q64" s="33">
        <v>971</v>
      </c>
      <c r="R64" s="33">
        <v>3940</v>
      </c>
      <c r="S64" s="33">
        <v>2522</v>
      </c>
    </row>
    <row r="65" spans="1:19">
      <c r="A65" s="32">
        <v>62</v>
      </c>
      <c r="B65" s="32">
        <v>604</v>
      </c>
      <c r="C65" s="32">
        <v>4</v>
      </c>
      <c r="D65" s="32">
        <v>18</v>
      </c>
      <c r="E65" s="32">
        <v>10</v>
      </c>
      <c r="F65" s="32">
        <v>15</v>
      </c>
      <c r="G65" s="32">
        <v>2</v>
      </c>
      <c r="H65" s="25">
        <v>36526</v>
      </c>
      <c r="I65" s="32">
        <v>0</v>
      </c>
      <c r="J65" s="32">
        <v>2</v>
      </c>
      <c r="L65" s="26">
        <v>0.39999999999999997</v>
      </c>
      <c r="M65" s="33">
        <v>62</v>
      </c>
      <c r="N65" s="33">
        <v>1033</v>
      </c>
      <c r="O65" s="33">
        <v>3528</v>
      </c>
      <c r="P65" s="33">
        <v>293</v>
      </c>
      <c r="Q65" s="33">
        <v>2180</v>
      </c>
      <c r="R65" s="33">
        <v>1511</v>
      </c>
      <c r="S65" s="33">
        <v>4269</v>
      </c>
    </row>
    <row r="66" spans="1:19">
      <c r="A66" s="32">
        <v>63</v>
      </c>
      <c r="B66" s="32">
        <v>2474</v>
      </c>
      <c r="C66" s="32">
        <v>4</v>
      </c>
      <c r="D66" s="32">
        <v>18</v>
      </c>
      <c r="E66" s="32">
        <v>0</v>
      </c>
      <c r="F66" s="32">
        <v>35</v>
      </c>
      <c r="G66" s="32">
        <v>4</v>
      </c>
      <c r="H66" s="25" t="s">
        <v>45</v>
      </c>
      <c r="I66" s="32">
        <v>0</v>
      </c>
      <c r="J66" s="32">
        <v>2</v>
      </c>
      <c r="L66" s="26">
        <v>0.40416666666666662</v>
      </c>
      <c r="M66" s="33">
        <v>63</v>
      </c>
      <c r="N66" s="33">
        <v>78</v>
      </c>
      <c r="O66" s="33">
        <v>3929</v>
      </c>
      <c r="P66" s="33">
        <v>3288</v>
      </c>
      <c r="Q66" s="33">
        <v>597</v>
      </c>
      <c r="R66" s="33">
        <v>537</v>
      </c>
      <c r="S66" s="33">
        <v>116</v>
      </c>
    </row>
    <row r="67" spans="1:19">
      <c r="A67" s="32">
        <v>64</v>
      </c>
      <c r="B67" s="32">
        <v>116</v>
      </c>
      <c r="C67" s="32">
        <v>4</v>
      </c>
      <c r="D67" s="32">
        <v>18</v>
      </c>
      <c r="E67" s="32">
        <v>0</v>
      </c>
      <c r="F67" s="32">
        <v>30</v>
      </c>
      <c r="G67" s="32">
        <v>2</v>
      </c>
      <c r="H67" s="25">
        <v>36526</v>
      </c>
      <c r="I67" s="32">
        <v>0</v>
      </c>
      <c r="J67" s="32">
        <v>2</v>
      </c>
      <c r="L67" s="26">
        <v>0.40833333333333338</v>
      </c>
      <c r="M67" s="33">
        <v>64</v>
      </c>
      <c r="N67" s="33">
        <v>4130</v>
      </c>
      <c r="O67" s="33">
        <v>564</v>
      </c>
      <c r="P67" s="33">
        <v>233</v>
      </c>
      <c r="Q67" s="33">
        <v>1507</v>
      </c>
      <c r="R67" s="33">
        <v>2626</v>
      </c>
      <c r="S67" s="33">
        <v>706</v>
      </c>
    </row>
    <row r="68" spans="1:19">
      <c r="A68" s="32">
        <v>65</v>
      </c>
      <c r="B68" s="32">
        <v>4253</v>
      </c>
      <c r="C68" s="32">
        <v>4</v>
      </c>
      <c r="D68" s="32">
        <v>18</v>
      </c>
      <c r="E68" s="32">
        <v>0</v>
      </c>
      <c r="F68" s="32">
        <v>8</v>
      </c>
      <c r="G68" s="32">
        <v>2</v>
      </c>
      <c r="H68" s="25">
        <v>36526</v>
      </c>
      <c r="I68" s="32">
        <v>0</v>
      </c>
      <c r="J68" s="32">
        <v>2</v>
      </c>
      <c r="L68" s="26">
        <v>0.41250000000000003</v>
      </c>
      <c r="M68" s="33">
        <v>65</v>
      </c>
      <c r="N68" s="33">
        <v>525</v>
      </c>
      <c r="O68" s="33">
        <v>1986</v>
      </c>
      <c r="P68" s="33">
        <v>3711</v>
      </c>
      <c r="Q68" s="33">
        <v>288</v>
      </c>
      <c r="R68" s="33">
        <v>1678</v>
      </c>
      <c r="S68" s="33">
        <v>3936</v>
      </c>
    </row>
    <row r="69" spans="1:19">
      <c r="A69" s="32">
        <v>66</v>
      </c>
      <c r="B69" s="32">
        <v>207</v>
      </c>
      <c r="C69" s="32">
        <v>4</v>
      </c>
      <c r="D69" s="32">
        <v>17</v>
      </c>
      <c r="E69" s="32">
        <v>30</v>
      </c>
      <c r="F69" s="32">
        <v>1</v>
      </c>
      <c r="G69" s="32">
        <v>4</v>
      </c>
      <c r="H69" s="25" t="s">
        <v>69</v>
      </c>
      <c r="I69" s="32">
        <v>0</v>
      </c>
      <c r="J69" s="32">
        <v>3</v>
      </c>
      <c r="L69" s="26">
        <v>0.41666666666666669</v>
      </c>
      <c r="M69" s="33">
        <v>66</v>
      </c>
      <c r="N69" s="33">
        <v>1912</v>
      </c>
      <c r="O69" s="33">
        <v>1683</v>
      </c>
      <c r="P69" s="33">
        <v>4069</v>
      </c>
      <c r="Q69" s="33">
        <v>1985</v>
      </c>
      <c r="R69" s="33">
        <v>3098</v>
      </c>
      <c r="S69" s="33">
        <v>3965</v>
      </c>
    </row>
    <row r="70" spans="1:19">
      <c r="A70" s="32">
        <v>67</v>
      </c>
      <c r="B70" s="32">
        <v>1985</v>
      </c>
      <c r="C70" s="32">
        <v>4</v>
      </c>
      <c r="D70" s="32">
        <v>17</v>
      </c>
      <c r="E70" s="32">
        <v>20</v>
      </c>
      <c r="F70" s="32">
        <v>24</v>
      </c>
      <c r="G70" s="32">
        <v>2</v>
      </c>
      <c r="H70" s="25">
        <v>36526</v>
      </c>
      <c r="I70" s="32">
        <v>0</v>
      </c>
      <c r="J70" s="32">
        <v>2</v>
      </c>
      <c r="L70" s="26">
        <v>0.42083333333333334</v>
      </c>
      <c r="M70" s="33">
        <v>67</v>
      </c>
      <c r="N70" s="33">
        <v>1828</v>
      </c>
      <c r="O70" s="33">
        <v>830</v>
      </c>
      <c r="P70" s="33">
        <v>1741</v>
      </c>
      <c r="Q70" s="33">
        <v>1778</v>
      </c>
      <c r="R70" s="33">
        <v>58</v>
      </c>
      <c r="S70" s="33">
        <v>3860</v>
      </c>
    </row>
    <row r="71" spans="1:19">
      <c r="A71" s="32">
        <v>68</v>
      </c>
      <c r="B71" s="32">
        <v>1266</v>
      </c>
      <c r="C71" s="32">
        <v>4</v>
      </c>
      <c r="D71" s="32">
        <v>17</v>
      </c>
      <c r="E71" s="32">
        <v>0</v>
      </c>
      <c r="F71" s="32">
        <v>10</v>
      </c>
      <c r="G71" s="32">
        <v>4</v>
      </c>
      <c r="H71" s="25" t="s">
        <v>45</v>
      </c>
      <c r="I71" s="32">
        <v>0</v>
      </c>
      <c r="J71" s="32">
        <v>2</v>
      </c>
      <c r="L71" s="26">
        <v>0.42499999999999999</v>
      </c>
      <c r="M71" s="33">
        <v>68</v>
      </c>
      <c r="N71" s="33">
        <v>2500</v>
      </c>
      <c r="O71" s="33">
        <v>85</v>
      </c>
      <c r="P71" s="33">
        <v>1477</v>
      </c>
      <c r="Q71" s="33">
        <v>279</v>
      </c>
      <c r="R71" s="33">
        <v>3880</v>
      </c>
      <c r="S71" s="33">
        <v>1885</v>
      </c>
    </row>
    <row r="72" spans="1:19">
      <c r="A72" s="32">
        <v>69</v>
      </c>
      <c r="B72" s="32">
        <v>3807</v>
      </c>
      <c r="C72" s="32">
        <v>4</v>
      </c>
      <c r="D72" s="32">
        <v>16</v>
      </c>
      <c r="E72" s="32">
        <v>30</v>
      </c>
      <c r="F72" s="32">
        <v>26</v>
      </c>
      <c r="G72" s="32">
        <v>0</v>
      </c>
      <c r="H72" s="25" t="s">
        <v>47</v>
      </c>
      <c r="I72" s="32">
        <v>0</v>
      </c>
      <c r="J72" s="32">
        <v>2</v>
      </c>
      <c r="L72" s="26">
        <v>0.4291666666666667</v>
      </c>
      <c r="M72" s="33">
        <v>69</v>
      </c>
      <c r="N72" s="33">
        <v>120</v>
      </c>
      <c r="O72" s="33">
        <v>2102</v>
      </c>
      <c r="P72" s="33">
        <v>2591</v>
      </c>
      <c r="Q72" s="33">
        <v>4265</v>
      </c>
      <c r="R72" s="33">
        <v>2522</v>
      </c>
      <c r="S72" s="33">
        <v>3205</v>
      </c>
    </row>
    <row r="73" spans="1:19">
      <c r="A73" s="32">
        <v>70</v>
      </c>
      <c r="B73" s="32">
        <v>254</v>
      </c>
      <c r="C73" s="32">
        <v>4</v>
      </c>
      <c r="D73" s="32">
        <v>15</v>
      </c>
      <c r="E73" s="32">
        <v>0</v>
      </c>
      <c r="F73" s="32">
        <v>44</v>
      </c>
      <c r="G73" s="32">
        <v>2</v>
      </c>
      <c r="H73" s="25">
        <v>36526</v>
      </c>
      <c r="I73" s="32">
        <v>0</v>
      </c>
      <c r="J73" s="32">
        <v>2</v>
      </c>
      <c r="L73" s="26">
        <v>0.43333333333333335</v>
      </c>
      <c r="M73" s="33">
        <v>70</v>
      </c>
      <c r="N73" s="33">
        <v>461</v>
      </c>
      <c r="O73" s="33">
        <v>3132</v>
      </c>
      <c r="P73" s="33">
        <v>3940</v>
      </c>
      <c r="Q73" s="33">
        <v>4161</v>
      </c>
      <c r="R73" s="33">
        <v>244</v>
      </c>
      <c r="S73" s="33">
        <v>178</v>
      </c>
    </row>
    <row r="74" spans="1:19">
      <c r="A74" s="32">
        <v>71</v>
      </c>
      <c r="B74" s="32">
        <v>3880</v>
      </c>
      <c r="C74" s="32">
        <v>4</v>
      </c>
      <c r="D74" s="32">
        <v>12</v>
      </c>
      <c r="E74" s="32">
        <v>20</v>
      </c>
      <c r="F74" s="32">
        <v>18</v>
      </c>
      <c r="G74" s="32">
        <v>2</v>
      </c>
      <c r="H74" s="25">
        <v>36526</v>
      </c>
      <c r="I74" s="32">
        <v>0</v>
      </c>
      <c r="J74" s="32">
        <v>2</v>
      </c>
      <c r="L74" s="26">
        <v>0.4375</v>
      </c>
      <c r="M74" s="33">
        <v>71</v>
      </c>
      <c r="N74" s="33">
        <v>1501</v>
      </c>
      <c r="O74" s="33">
        <v>1143</v>
      </c>
      <c r="P74" s="33">
        <v>2881</v>
      </c>
      <c r="Q74" s="33">
        <v>51</v>
      </c>
      <c r="R74" s="33">
        <v>537</v>
      </c>
      <c r="S74" s="33">
        <v>4269</v>
      </c>
    </row>
    <row r="75" spans="1:19">
      <c r="A75" s="32">
        <v>72</v>
      </c>
      <c r="B75" s="32">
        <v>1143</v>
      </c>
      <c r="C75" s="32">
        <v>4</v>
      </c>
      <c r="D75" s="32">
        <v>12</v>
      </c>
      <c r="E75" s="32">
        <v>10</v>
      </c>
      <c r="F75" s="32">
        <v>42</v>
      </c>
      <c r="G75" s="32">
        <v>4</v>
      </c>
      <c r="H75" s="25" t="s">
        <v>45</v>
      </c>
      <c r="I75" s="32">
        <v>0</v>
      </c>
      <c r="J75" s="32">
        <v>2</v>
      </c>
      <c r="L75" s="26">
        <v>0.44166666666666665</v>
      </c>
      <c r="M75" s="33">
        <v>72</v>
      </c>
      <c r="N75" s="33">
        <v>3970</v>
      </c>
      <c r="O75" s="33">
        <v>2914</v>
      </c>
      <c r="P75" s="33">
        <v>1511</v>
      </c>
      <c r="Q75" s="33">
        <v>3951</v>
      </c>
      <c r="R75" s="33">
        <v>4203</v>
      </c>
      <c r="S75" s="33">
        <v>207</v>
      </c>
    </row>
    <row r="76" spans="1:19">
      <c r="A76" s="32">
        <v>73</v>
      </c>
      <c r="B76" s="32">
        <v>3132</v>
      </c>
      <c r="C76" s="32">
        <v>4</v>
      </c>
      <c r="D76" s="32">
        <v>12</v>
      </c>
      <c r="E76" s="32">
        <v>0</v>
      </c>
      <c r="F76" s="32">
        <v>27</v>
      </c>
      <c r="G76" s="32">
        <v>2</v>
      </c>
      <c r="H76" s="25">
        <v>36526</v>
      </c>
      <c r="I76" s="32">
        <v>0</v>
      </c>
      <c r="J76" s="32">
        <v>2</v>
      </c>
      <c r="L76" s="26">
        <v>0.4458333333333333</v>
      </c>
      <c r="M76" s="33">
        <v>73</v>
      </c>
      <c r="N76" s="33">
        <v>1764</v>
      </c>
      <c r="O76" s="33">
        <v>1649</v>
      </c>
      <c r="P76" s="33">
        <v>4253</v>
      </c>
      <c r="Q76" s="33">
        <v>3950</v>
      </c>
      <c r="R76" s="33">
        <v>2130</v>
      </c>
      <c r="S76" s="33">
        <v>3528</v>
      </c>
    </row>
    <row r="77" spans="1:19">
      <c r="A77" s="32">
        <v>74</v>
      </c>
      <c r="B77" s="32">
        <v>192</v>
      </c>
      <c r="C77" s="32">
        <v>4</v>
      </c>
      <c r="D77" s="32">
        <v>10</v>
      </c>
      <c r="E77" s="32">
        <v>40</v>
      </c>
      <c r="F77" s="32">
        <v>9</v>
      </c>
      <c r="G77" s="32">
        <v>4</v>
      </c>
      <c r="H77" s="25" t="s">
        <v>69</v>
      </c>
      <c r="I77" s="32">
        <v>0</v>
      </c>
      <c r="J77" s="32">
        <v>3</v>
      </c>
      <c r="L77" s="26">
        <v>0.45</v>
      </c>
      <c r="M77" s="33">
        <v>74</v>
      </c>
      <c r="N77" s="33">
        <v>2960</v>
      </c>
      <c r="O77" s="33">
        <v>1319</v>
      </c>
      <c r="P77" s="33">
        <v>3419</v>
      </c>
      <c r="Q77" s="33">
        <v>564</v>
      </c>
      <c r="R77" s="33">
        <v>597</v>
      </c>
      <c r="S77" s="33">
        <v>1912</v>
      </c>
    </row>
    <row r="78" spans="1:19">
      <c r="A78" s="32">
        <v>75</v>
      </c>
      <c r="B78" s="32">
        <v>3940</v>
      </c>
      <c r="C78" s="32">
        <v>4</v>
      </c>
      <c r="D78" s="32">
        <v>6</v>
      </c>
      <c r="E78" s="32">
        <v>20</v>
      </c>
      <c r="F78" s="32">
        <v>36</v>
      </c>
      <c r="G78" s="32">
        <v>2</v>
      </c>
      <c r="H78" s="25">
        <v>36526</v>
      </c>
      <c r="I78" s="32">
        <v>0</v>
      </c>
      <c r="J78" s="32">
        <v>2</v>
      </c>
      <c r="L78" s="26">
        <v>0.45416666666666666</v>
      </c>
      <c r="M78" s="33">
        <v>75</v>
      </c>
      <c r="N78" s="33">
        <v>2164</v>
      </c>
      <c r="O78" s="33">
        <v>1683</v>
      </c>
      <c r="P78" s="33">
        <v>3288</v>
      </c>
      <c r="Q78" s="33">
        <v>3936</v>
      </c>
      <c r="R78" s="33">
        <v>987</v>
      </c>
      <c r="S78" s="33">
        <v>3115</v>
      </c>
    </row>
    <row r="79" spans="1:19">
      <c r="A79" s="32">
        <v>76</v>
      </c>
      <c r="B79" s="32">
        <v>1690</v>
      </c>
      <c r="C79" s="32">
        <v>4</v>
      </c>
      <c r="D79" s="32">
        <v>6</v>
      </c>
      <c r="E79" s="32">
        <v>10</v>
      </c>
      <c r="F79" s="32">
        <v>32</v>
      </c>
      <c r="G79" s="32">
        <v>2</v>
      </c>
      <c r="H79" s="25">
        <v>36526</v>
      </c>
      <c r="I79" s="32">
        <v>0</v>
      </c>
      <c r="J79" s="32">
        <v>2</v>
      </c>
      <c r="L79" s="26">
        <v>0.45833333333333331</v>
      </c>
      <c r="M79" s="33">
        <v>76</v>
      </c>
      <c r="N79" s="33">
        <v>1266</v>
      </c>
      <c r="O79" s="33">
        <v>503</v>
      </c>
      <c r="P79" s="33">
        <v>3941</v>
      </c>
      <c r="Q79" s="33">
        <v>293</v>
      </c>
      <c r="R79" s="33">
        <v>3965</v>
      </c>
      <c r="S79" s="33">
        <v>341</v>
      </c>
    </row>
    <row r="80" spans="1:19">
      <c r="A80" s="32">
        <v>77</v>
      </c>
      <c r="B80" s="32">
        <v>694</v>
      </c>
      <c r="C80" s="32">
        <v>2</v>
      </c>
      <c r="D80" s="32">
        <v>50</v>
      </c>
      <c r="E80" s="32">
        <v>20</v>
      </c>
      <c r="F80" s="32">
        <v>39</v>
      </c>
      <c r="G80" s="32">
        <v>0</v>
      </c>
      <c r="H80" s="25">
        <v>36527</v>
      </c>
      <c r="I80" s="32">
        <v>0</v>
      </c>
      <c r="J80" s="32">
        <v>3</v>
      </c>
      <c r="L80" s="26">
        <v>0.46249999999999997</v>
      </c>
      <c r="M80" s="33">
        <v>77</v>
      </c>
      <c r="N80" s="33">
        <v>3711</v>
      </c>
      <c r="O80" s="33">
        <v>192</v>
      </c>
      <c r="P80" s="33">
        <v>3807</v>
      </c>
      <c r="Q80" s="33">
        <v>3847</v>
      </c>
      <c r="R80" s="33">
        <v>702</v>
      </c>
      <c r="S80" s="33">
        <v>1778</v>
      </c>
    </row>
    <row r="81" spans="1:19">
      <c r="A81" s="32">
        <v>78</v>
      </c>
      <c r="B81" s="32">
        <v>1477</v>
      </c>
      <c r="C81" s="32">
        <v>2</v>
      </c>
      <c r="D81" s="32">
        <v>46</v>
      </c>
      <c r="E81" s="32">
        <v>20</v>
      </c>
      <c r="F81" s="32">
        <v>26</v>
      </c>
      <c r="G81" s="32">
        <v>2</v>
      </c>
      <c r="H81" s="25" t="s">
        <v>45</v>
      </c>
      <c r="I81" s="32">
        <v>0</v>
      </c>
      <c r="J81" s="32">
        <v>2</v>
      </c>
      <c r="L81" s="26">
        <v>0.46666666666666662</v>
      </c>
      <c r="M81" s="33">
        <v>78</v>
      </c>
      <c r="N81" s="33">
        <v>2757</v>
      </c>
      <c r="O81" s="33">
        <v>1033</v>
      </c>
      <c r="P81" s="33">
        <v>2626</v>
      </c>
      <c r="Q81" s="33">
        <v>4226</v>
      </c>
      <c r="R81" s="33">
        <v>1817</v>
      </c>
      <c r="S81" s="33">
        <v>2474</v>
      </c>
    </row>
    <row r="82" spans="1:19">
      <c r="A82" s="32">
        <v>79</v>
      </c>
      <c r="B82" s="32">
        <v>1501</v>
      </c>
      <c r="C82" s="32">
        <v>2</v>
      </c>
      <c r="D82" s="32">
        <v>32</v>
      </c>
      <c r="E82" s="32">
        <v>10</v>
      </c>
      <c r="F82" s="32">
        <v>16</v>
      </c>
      <c r="G82" s="32">
        <v>0</v>
      </c>
      <c r="H82" s="25">
        <v>36526</v>
      </c>
      <c r="I82" s="32">
        <v>0</v>
      </c>
      <c r="J82" s="32">
        <v>2</v>
      </c>
      <c r="L82" s="26">
        <v>0.47083333333333338</v>
      </c>
      <c r="M82" s="33">
        <v>79</v>
      </c>
      <c r="N82" s="33">
        <v>27</v>
      </c>
      <c r="O82" s="33">
        <v>706</v>
      </c>
      <c r="P82" s="33">
        <v>3098</v>
      </c>
      <c r="Q82" s="33">
        <v>694</v>
      </c>
      <c r="R82" s="33">
        <v>254</v>
      </c>
      <c r="S82" s="33">
        <v>1391</v>
      </c>
    </row>
    <row r="83" spans="1:19">
      <c r="A83" s="32">
        <v>80</v>
      </c>
      <c r="B83" s="32">
        <v>537</v>
      </c>
      <c r="C83" s="32">
        <v>2</v>
      </c>
      <c r="D83" s="32">
        <v>30</v>
      </c>
      <c r="E83" s="32">
        <v>20</v>
      </c>
      <c r="F83" s="32">
        <v>14</v>
      </c>
      <c r="G83" s="32">
        <v>0</v>
      </c>
      <c r="H83" s="25">
        <v>36526</v>
      </c>
      <c r="I83" s="32">
        <v>0</v>
      </c>
      <c r="J83" s="32">
        <v>2</v>
      </c>
      <c r="L83" s="26">
        <v>0.47500000000000003</v>
      </c>
      <c r="M83" s="33">
        <v>80</v>
      </c>
      <c r="N83" s="33">
        <v>2180</v>
      </c>
      <c r="O83" s="33">
        <v>4130</v>
      </c>
      <c r="P83" s="33">
        <v>836</v>
      </c>
      <c r="Q83" s="33">
        <v>3929</v>
      </c>
      <c r="R83" s="33">
        <v>1690</v>
      </c>
      <c r="S83" s="33">
        <v>525</v>
      </c>
    </row>
    <row r="84" spans="1:19">
      <c r="A84" s="32">
        <v>81</v>
      </c>
      <c r="B84" s="32">
        <v>2960</v>
      </c>
      <c r="C84" s="32">
        <v>2</v>
      </c>
      <c r="D84" s="32">
        <v>27</v>
      </c>
      <c r="E84" s="32">
        <v>30</v>
      </c>
      <c r="F84" s="32">
        <v>22</v>
      </c>
      <c r="G84" s="32">
        <v>0</v>
      </c>
      <c r="H84" s="25">
        <v>36526</v>
      </c>
      <c r="I84" s="32">
        <v>0</v>
      </c>
      <c r="J84" s="32">
        <v>2</v>
      </c>
      <c r="L84" s="26">
        <v>0.47916666666666669</v>
      </c>
      <c r="M84" s="33">
        <v>81</v>
      </c>
      <c r="N84" s="33">
        <v>116</v>
      </c>
      <c r="O84" s="33">
        <v>971</v>
      </c>
      <c r="P84" s="33">
        <v>288</v>
      </c>
      <c r="Q84" s="33">
        <v>932</v>
      </c>
      <c r="R84" s="33">
        <v>415</v>
      </c>
      <c r="S84" s="33">
        <v>1828</v>
      </c>
    </row>
    <row r="85" spans="1:19">
      <c r="A85" s="32">
        <v>82</v>
      </c>
      <c r="B85" s="32">
        <v>244</v>
      </c>
      <c r="C85" s="32">
        <v>2</v>
      </c>
      <c r="D85" s="32">
        <v>24</v>
      </c>
      <c r="E85" s="32">
        <v>20</v>
      </c>
      <c r="F85" s="32">
        <v>13</v>
      </c>
      <c r="G85" s="32">
        <v>0</v>
      </c>
      <c r="H85" s="25">
        <v>36526</v>
      </c>
      <c r="I85" s="32">
        <v>0</v>
      </c>
      <c r="J85" s="32">
        <v>2</v>
      </c>
      <c r="L85" s="26">
        <v>0.48333333333333334</v>
      </c>
      <c r="M85" s="33">
        <v>82</v>
      </c>
      <c r="N85" s="33">
        <v>78</v>
      </c>
      <c r="O85" s="33">
        <v>433</v>
      </c>
      <c r="P85" s="33">
        <v>1985</v>
      </c>
      <c r="Q85" s="33">
        <v>1507</v>
      </c>
      <c r="R85" s="33">
        <v>1678</v>
      </c>
      <c r="S85" s="33">
        <v>830</v>
      </c>
    </row>
    <row r="86" spans="1:19">
      <c r="A86" s="32">
        <v>83</v>
      </c>
      <c r="B86" s="32">
        <v>2757</v>
      </c>
      <c r="C86" s="32">
        <v>2</v>
      </c>
      <c r="D86" s="32">
        <v>24</v>
      </c>
      <c r="E86" s="32">
        <v>10</v>
      </c>
      <c r="F86" s="32">
        <v>29</v>
      </c>
      <c r="G86" s="32">
        <v>0</v>
      </c>
      <c r="H86" s="25">
        <v>36526</v>
      </c>
      <c r="I86" s="32">
        <v>1</v>
      </c>
      <c r="J86" s="32">
        <v>3</v>
      </c>
      <c r="L86" s="26">
        <v>0.54166666666666663</v>
      </c>
      <c r="M86" s="33">
        <v>83</v>
      </c>
      <c r="N86" s="33">
        <v>4069</v>
      </c>
      <c r="O86" s="33">
        <v>604</v>
      </c>
      <c r="P86" s="33">
        <v>571</v>
      </c>
      <c r="Q86" s="33">
        <v>624</v>
      </c>
      <c r="R86" s="33">
        <v>233</v>
      </c>
      <c r="S86" s="33">
        <v>58</v>
      </c>
    </row>
    <row r="87" spans="1:19">
      <c r="A87" s="32">
        <v>84</v>
      </c>
      <c r="B87" s="32">
        <v>3951</v>
      </c>
      <c r="C87" s="32">
        <v>2</v>
      </c>
      <c r="D87" s="32">
        <v>24</v>
      </c>
      <c r="E87" s="32">
        <v>10</v>
      </c>
      <c r="F87" s="32">
        <v>20</v>
      </c>
      <c r="G87" s="32">
        <v>0</v>
      </c>
      <c r="H87" s="25">
        <v>36526</v>
      </c>
      <c r="I87" s="32">
        <v>0</v>
      </c>
      <c r="J87" s="32">
        <v>2</v>
      </c>
      <c r="L87" s="26">
        <v>0.54652777777777783</v>
      </c>
      <c r="M87" s="33">
        <v>84</v>
      </c>
      <c r="N87" s="33">
        <v>1986</v>
      </c>
      <c r="O87" s="33">
        <v>2522</v>
      </c>
      <c r="P87" s="33">
        <v>2914</v>
      </c>
      <c r="Q87" s="33">
        <v>2844</v>
      </c>
      <c r="R87" s="33">
        <v>279</v>
      </c>
      <c r="S87" s="33">
        <v>597</v>
      </c>
    </row>
    <row r="88" spans="1:19">
      <c r="A88" s="32">
        <v>85</v>
      </c>
      <c r="B88" s="32">
        <v>1912</v>
      </c>
      <c r="C88" s="32">
        <v>2</v>
      </c>
      <c r="D88" s="32">
        <v>24</v>
      </c>
      <c r="E88" s="32">
        <v>0</v>
      </c>
      <c r="F88" s="32">
        <v>25</v>
      </c>
      <c r="G88" s="32">
        <v>2</v>
      </c>
      <c r="H88" s="25" t="s">
        <v>45</v>
      </c>
      <c r="I88" s="32">
        <v>0</v>
      </c>
      <c r="J88" s="32">
        <v>2</v>
      </c>
      <c r="L88" s="26">
        <v>0.55138888888888882</v>
      </c>
      <c r="M88" s="33">
        <v>85</v>
      </c>
      <c r="N88" s="33">
        <v>1764</v>
      </c>
      <c r="O88" s="33">
        <v>207</v>
      </c>
      <c r="P88" s="33">
        <v>244</v>
      </c>
      <c r="Q88" s="33">
        <v>1266</v>
      </c>
      <c r="R88" s="33">
        <v>1319</v>
      </c>
      <c r="S88" s="33">
        <v>3936</v>
      </c>
    </row>
    <row r="89" spans="1:19">
      <c r="A89" s="32">
        <v>86</v>
      </c>
      <c r="B89" s="32">
        <v>120</v>
      </c>
      <c r="C89" s="32">
        <v>2</v>
      </c>
      <c r="D89" s="32">
        <v>22</v>
      </c>
      <c r="E89" s="32">
        <v>0</v>
      </c>
      <c r="F89" s="32">
        <v>12</v>
      </c>
      <c r="G89" s="32">
        <v>2</v>
      </c>
      <c r="H89" s="32" t="s">
        <v>45</v>
      </c>
      <c r="I89" s="32">
        <v>0</v>
      </c>
      <c r="J89" s="32">
        <v>2</v>
      </c>
      <c r="L89" s="26">
        <v>0.55625000000000002</v>
      </c>
      <c r="M89" s="33">
        <v>86</v>
      </c>
      <c r="N89" s="33">
        <v>293</v>
      </c>
      <c r="O89" s="33">
        <v>2102</v>
      </c>
      <c r="P89" s="33">
        <v>1778</v>
      </c>
      <c r="Q89" s="33">
        <v>4203</v>
      </c>
      <c r="R89" s="33">
        <v>4226</v>
      </c>
      <c r="S89" s="33">
        <v>1912</v>
      </c>
    </row>
    <row r="90" spans="1:19">
      <c r="A90" s="32">
        <v>87</v>
      </c>
      <c r="B90" s="32">
        <v>2914</v>
      </c>
      <c r="C90" s="32">
        <v>2</v>
      </c>
      <c r="D90" s="32">
        <v>21</v>
      </c>
      <c r="E90" s="32">
        <v>20</v>
      </c>
      <c r="F90" s="32">
        <v>5</v>
      </c>
      <c r="G90" s="32">
        <v>2</v>
      </c>
      <c r="H90" s="32" t="s">
        <v>45</v>
      </c>
      <c r="I90" s="32">
        <v>0</v>
      </c>
      <c r="J90" s="32">
        <v>2</v>
      </c>
      <c r="L90" s="26">
        <v>0.56111111111111112</v>
      </c>
      <c r="M90" s="33">
        <v>87</v>
      </c>
      <c r="N90" s="33">
        <v>1741</v>
      </c>
      <c r="O90" s="33">
        <v>503</v>
      </c>
      <c r="P90" s="33">
        <v>564</v>
      </c>
      <c r="Q90" s="33">
        <v>3807</v>
      </c>
      <c r="R90" s="33">
        <v>1033</v>
      </c>
      <c r="S90" s="33">
        <v>461</v>
      </c>
    </row>
    <row r="91" spans="1:19">
      <c r="A91" s="32">
        <v>88</v>
      </c>
      <c r="B91" s="32">
        <v>1649</v>
      </c>
      <c r="C91" s="32">
        <v>2</v>
      </c>
      <c r="D91" s="32">
        <v>18</v>
      </c>
      <c r="E91" s="32">
        <v>10</v>
      </c>
      <c r="F91" s="32">
        <v>22</v>
      </c>
      <c r="G91" s="32">
        <v>0</v>
      </c>
      <c r="H91" s="25">
        <v>36526</v>
      </c>
      <c r="I91" s="32">
        <v>0</v>
      </c>
      <c r="J91" s="32">
        <v>2</v>
      </c>
      <c r="L91" s="26">
        <v>0.56597222222222221</v>
      </c>
      <c r="M91" s="33">
        <v>88</v>
      </c>
      <c r="N91" s="33">
        <v>192</v>
      </c>
      <c r="O91" s="33">
        <v>3941</v>
      </c>
      <c r="P91" s="33">
        <v>3940</v>
      </c>
      <c r="Q91" s="33">
        <v>3951</v>
      </c>
      <c r="R91" s="33">
        <v>3288</v>
      </c>
      <c r="S91" s="33">
        <v>120</v>
      </c>
    </row>
    <row r="92" spans="1:19">
      <c r="A92" s="32">
        <v>89</v>
      </c>
      <c r="B92" s="32">
        <v>461</v>
      </c>
      <c r="C92" s="32">
        <v>2</v>
      </c>
      <c r="D92" s="32">
        <v>18</v>
      </c>
      <c r="E92" s="32">
        <v>10</v>
      </c>
      <c r="F92" s="32">
        <v>16</v>
      </c>
      <c r="G92" s="32">
        <v>0</v>
      </c>
      <c r="H92" s="25">
        <v>36526</v>
      </c>
      <c r="I92" s="32">
        <v>0</v>
      </c>
      <c r="J92" s="32">
        <v>2</v>
      </c>
      <c r="L92" s="26">
        <v>0.5708333333333333</v>
      </c>
      <c r="M92" s="33">
        <v>89</v>
      </c>
      <c r="N92" s="33">
        <v>2757</v>
      </c>
      <c r="O92" s="33">
        <v>1391</v>
      </c>
      <c r="P92" s="33">
        <v>932</v>
      </c>
      <c r="Q92" s="33">
        <v>3929</v>
      </c>
      <c r="R92" s="33">
        <v>2500</v>
      </c>
      <c r="S92" s="33">
        <v>1649</v>
      </c>
    </row>
    <row r="93" spans="1:19">
      <c r="A93" s="32">
        <v>90</v>
      </c>
      <c r="B93" s="32">
        <v>3936</v>
      </c>
      <c r="C93" s="32">
        <v>2</v>
      </c>
      <c r="D93" s="32">
        <v>17</v>
      </c>
      <c r="E93" s="32">
        <v>20</v>
      </c>
      <c r="F93" s="32">
        <v>27</v>
      </c>
      <c r="G93" s="32">
        <v>0</v>
      </c>
      <c r="H93" s="25">
        <v>36526</v>
      </c>
      <c r="I93" s="32">
        <v>0</v>
      </c>
      <c r="J93" s="32">
        <v>2</v>
      </c>
      <c r="L93" s="26">
        <v>0.5756944444444444</v>
      </c>
      <c r="M93" s="33">
        <v>90</v>
      </c>
      <c r="N93" s="33">
        <v>1828</v>
      </c>
      <c r="O93" s="33">
        <v>3711</v>
      </c>
      <c r="P93" s="33">
        <v>3965</v>
      </c>
      <c r="Q93" s="33">
        <v>254</v>
      </c>
      <c r="R93" s="33">
        <v>1477</v>
      </c>
      <c r="S93" s="33">
        <v>4130</v>
      </c>
    </row>
    <row r="94" spans="1:19">
      <c r="A94" s="32">
        <v>91</v>
      </c>
      <c r="B94" s="32">
        <v>1778</v>
      </c>
      <c r="C94" s="32">
        <v>2</v>
      </c>
      <c r="D94" s="32">
        <v>16</v>
      </c>
      <c r="E94" s="32">
        <v>0</v>
      </c>
      <c r="F94" s="32">
        <v>27</v>
      </c>
      <c r="G94" s="32">
        <v>0</v>
      </c>
      <c r="H94" s="25">
        <v>36526</v>
      </c>
      <c r="I94" s="32">
        <v>0</v>
      </c>
      <c r="J94" s="32">
        <v>2</v>
      </c>
      <c r="L94" s="26">
        <v>0.5805555555555556</v>
      </c>
      <c r="M94" s="33">
        <v>91</v>
      </c>
      <c r="N94" s="33">
        <v>3205</v>
      </c>
      <c r="O94" s="33">
        <v>694</v>
      </c>
      <c r="P94" s="33">
        <v>971</v>
      </c>
      <c r="Q94" s="33">
        <v>178</v>
      </c>
      <c r="R94" s="33">
        <v>830</v>
      </c>
      <c r="S94" s="33">
        <v>525</v>
      </c>
    </row>
    <row r="95" spans="1:19">
      <c r="A95" s="32">
        <v>92</v>
      </c>
      <c r="B95" s="32">
        <v>1033</v>
      </c>
      <c r="C95" s="32">
        <v>2</v>
      </c>
      <c r="D95" s="32">
        <v>15</v>
      </c>
      <c r="E95" s="32">
        <v>0</v>
      </c>
      <c r="F95" s="32">
        <v>6</v>
      </c>
      <c r="G95" s="32">
        <v>2</v>
      </c>
      <c r="H95" s="25" t="s">
        <v>45</v>
      </c>
      <c r="I95" s="32">
        <v>0</v>
      </c>
      <c r="J95" s="32">
        <v>2</v>
      </c>
      <c r="L95" s="26">
        <v>0.5854166666666667</v>
      </c>
      <c r="M95" s="33">
        <v>92</v>
      </c>
      <c r="N95" s="33">
        <v>3115</v>
      </c>
      <c r="O95" s="33">
        <v>3970</v>
      </c>
      <c r="P95" s="33">
        <v>1678</v>
      </c>
      <c r="Q95" s="33">
        <v>1690</v>
      </c>
      <c r="R95" s="33">
        <v>341</v>
      </c>
      <c r="S95" s="33">
        <v>2881</v>
      </c>
    </row>
    <row r="96" spans="1:19">
      <c r="A96" s="32">
        <v>93</v>
      </c>
      <c r="B96" s="32">
        <v>1319</v>
      </c>
      <c r="C96" s="32">
        <v>2</v>
      </c>
      <c r="D96" s="32">
        <v>12</v>
      </c>
      <c r="E96" s="32">
        <v>10</v>
      </c>
      <c r="F96" s="32">
        <v>31</v>
      </c>
      <c r="G96" s="32">
        <v>2</v>
      </c>
      <c r="H96" s="32" t="s">
        <v>45</v>
      </c>
      <c r="I96" s="32">
        <v>0</v>
      </c>
      <c r="J96" s="32">
        <v>2</v>
      </c>
      <c r="L96" s="26">
        <v>0.59027777777777779</v>
      </c>
      <c r="M96" s="33">
        <v>93</v>
      </c>
      <c r="N96" s="33">
        <v>3880</v>
      </c>
      <c r="O96" s="33">
        <v>537</v>
      </c>
      <c r="P96" s="33">
        <v>1683</v>
      </c>
      <c r="Q96" s="33">
        <v>4265</v>
      </c>
      <c r="R96" s="33">
        <v>3528</v>
      </c>
      <c r="S96" s="33">
        <v>58</v>
      </c>
    </row>
    <row r="97" spans="1:19">
      <c r="A97" s="32">
        <v>94</v>
      </c>
      <c r="B97" s="32">
        <v>2591</v>
      </c>
      <c r="C97" s="32">
        <v>2</v>
      </c>
      <c r="D97" s="32">
        <v>11</v>
      </c>
      <c r="E97" s="32">
        <v>0</v>
      </c>
      <c r="F97" s="32">
        <v>45</v>
      </c>
      <c r="G97" s="32">
        <v>2</v>
      </c>
      <c r="H97" s="25" t="s">
        <v>45</v>
      </c>
      <c r="I97" s="32">
        <v>0</v>
      </c>
      <c r="J97" s="32">
        <v>2</v>
      </c>
      <c r="L97" s="26">
        <v>0.59513888888888888</v>
      </c>
      <c r="M97" s="33">
        <v>94</v>
      </c>
      <c r="N97" s="33">
        <v>2180</v>
      </c>
      <c r="O97" s="33">
        <v>78</v>
      </c>
      <c r="P97" s="33">
        <v>3950</v>
      </c>
      <c r="Q97" s="33">
        <v>1143</v>
      </c>
      <c r="R97" s="33">
        <v>233</v>
      </c>
      <c r="S97" s="33">
        <v>1817</v>
      </c>
    </row>
    <row r="98" spans="1:19">
      <c r="A98" s="32">
        <v>95</v>
      </c>
      <c r="B98" s="32">
        <v>932</v>
      </c>
      <c r="C98" s="32">
        <v>2</v>
      </c>
      <c r="D98" s="32">
        <v>6</v>
      </c>
      <c r="E98" s="32">
        <v>20</v>
      </c>
      <c r="F98" s="32">
        <v>31</v>
      </c>
      <c r="G98" s="32">
        <v>2</v>
      </c>
      <c r="H98" s="32" t="s">
        <v>45</v>
      </c>
      <c r="I98" s="32">
        <v>0</v>
      </c>
      <c r="J98" s="32">
        <v>2</v>
      </c>
      <c r="L98" s="26">
        <v>0.6</v>
      </c>
      <c r="M98" s="33">
        <v>95</v>
      </c>
      <c r="N98" s="33">
        <v>2591</v>
      </c>
      <c r="O98" s="33">
        <v>4069</v>
      </c>
      <c r="P98" s="33">
        <v>4253</v>
      </c>
      <c r="Q98" s="33">
        <v>2164</v>
      </c>
      <c r="R98" s="33">
        <v>706</v>
      </c>
      <c r="S98" s="33">
        <v>2474</v>
      </c>
    </row>
    <row r="99" spans="1:19">
      <c r="A99" s="34">
        <v>96</v>
      </c>
      <c r="B99" s="34">
        <v>1741</v>
      </c>
      <c r="C99" s="34">
        <v>2</v>
      </c>
      <c r="D99" s="34">
        <v>6</v>
      </c>
      <c r="E99" s="34">
        <v>20</v>
      </c>
      <c r="F99" s="34">
        <v>25</v>
      </c>
      <c r="G99" s="34">
        <v>0</v>
      </c>
      <c r="H99" s="54">
        <v>36526</v>
      </c>
      <c r="I99" s="33">
        <v>0</v>
      </c>
      <c r="J99" s="33">
        <v>2</v>
      </c>
      <c r="L99" s="26">
        <v>0.60486111111111118</v>
      </c>
      <c r="M99" s="33">
        <v>96</v>
      </c>
      <c r="N99" s="33">
        <v>3847</v>
      </c>
      <c r="O99" s="33">
        <v>433</v>
      </c>
      <c r="P99" s="33">
        <v>604</v>
      </c>
      <c r="Q99" s="33">
        <v>1885</v>
      </c>
      <c r="R99" s="33">
        <v>51</v>
      </c>
      <c r="S99" s="33">
        <v>987</v>
      </c>
    </row>
    <row r="100" spans="1:19">
      <c r="A100" s="34">
        <v>97</v>
      </c>
      <c r="B100" s="34">
        <v>3847</v>
      </c>
      <c r="C100" s="34">
        <v>2</v>
      </c>
      <c r="D100" s="34">
        <v>6</v>
      </c>
      <c r="E100" s="34">
        <v>10</v>
      </c>
      <c r="F100" s="34">
        <v>35</v>
      </c>
      <c r="G100" s="34">
        <v>0</v>
      </c>
      <c r="H100" s="54">
        <v>36526</v>
      </c>
      <c r="I100" s="33">
        <v>0</v>
      </c>
      <c r="J100" s="33">
        <v>2</v>
      </c>
      <c r="L100" s="26">
        <v>0.60972222222222217</v>
      </c>
      <c r="M100" s="33">
        <v>97</v>
      </c>
      <c r="N100" s="33">
        <v>702</v>
      </c>
      <c r="O100" s="33">
        <v>1511</v>
      </c>
      <c r="P100" s="33">
        <v>288</v>
      </c>
      <c r="Q100" s="33">
        <v>1507</v>
      </c>
      <c r="R100" s="33">
        <v>3132</v>
      </c>
      <c r="S100" s="33">
        <v>3419</v>
      </c>
    </row>
    <row r="101" spans="1:19">
      <c r="A101" s="34">
        <v>98</v>
      </c>
      <c r="B101" s="34">
        <v>2102</v>
      </c>
      <c r="C101" s="34">
        <v>0</v>
      </c>
      <c r="D101" s="34">
        <v>34</v>
      </c>
      <c r="E101" s="34">
        <v>10</v>
      </c>
      <c r="F101" s="34">
        <v>19</v>
      </c>
      <c r="G101" s="34">
        <v>0</v>
      </c>
      <c r="H101" s="33" t="s">
        <v>45</v>
      </c>
      <c r="I101" s="33">
        <v>0</v>
      </c>
      <c r="J101" s="33">
        <v>2</v>
      </c>
      <c r="L101" s="26">
        <v>0.61458333333333337</v>
      </c>
      <c r="M101" s="33">
        <v>98</v>
      </c>
      <c r="N101" s="33">
        <v>571</v>
      </c>
      <c r="O101" s="33">
        <v>2130</v>
      </c>
      <c r="P101" s="33">
        <v>85</v>
      </c>
      <c r="Q101" s="33">
        <v>2960</v>
      </c>
      <c r="R101" s="33">
        <v>2626</v>
      </c>
      <c r="S101" s="33">
        <v>3860</v>
      </c>
    </row>
    <row r="102" spans="1:19">
      <c r="A102" s="32">
        <v>99</v>
      </c>
      <c r="B102" s="32">
        <v>2522</v>
      </c>
      <c r="C102" s="32">
        <v>0</v>
      </c>
      <c r="D102" s="32">
        <v>12</v>
      </c>
      <c r="E102" s="32">
        <v>0</v>
      </c>
      <c r="F102" s="32">
        <v>21</v>
      </c>
      <c r="G102" s="32">
        <v>0</v>
      </c>
      <c r="H102" s="32" t="s">
        <v>45</v>
      </c>
      <c r="I102" s="32">
        <v>0</v>
      </c>
      <c r="J102" s="32">
        <v>2</v>
      </c>
      <c r="L102" s="26">
        <v>0.61944444444444446</v>
      </c>
      <c r="M102" s="33">
        <v>99</v>
      </c>
      <c r="N102" s="33">
        <v>415</v>
      </c>
      <c r="O102" s="33">
        <v>2844</v>
      </c>
      <c r="P102" s="33">
        <v>27</v>
      </c>
      <c r="Q102" s="33">
        <v>1985</v>
      </c>
      <c r="R102" s="33">
        <v>836</v>
      </c>
      <c r="S102" s="33">
        <v>1501</v>
      </c>
    </row>
    <row r="103" spans="1:19">
      <c r="A103" s="32">
        <v>100</v>
      </c>
      <c r="B103" s="32">
        <v>706</v>
      </c>
      <c r="C103" s="32">
        <v>0</v>
      </c>
      <c r="D103" s="32">
        <v>0</v>
      </c>
      <c r="E103" s="32">
        <v>10</v>
      </c>
      <c r="F103" s="32">
        <v>27</v>
      </c>
      <c r="G103" s="32">
        <v>0</v>
      </c>
      <c r="H103" s="32" t="s">
        <v>45</v>
      </c>
      <c r="I103" s="32">
        <v>0</v>
      </c>
      <c r="J103" s="32">
        <v>2</v>
      </c>
      <c r="L103" s="26">
        <v>0.62430555555555556</v>
      </c>
      <c r="M103" s="33">
        <v>100</v>
      </c>
      <c r="N103" s="33">
        <v>4161</v>
      </c>
      <c r="O103" s="33">
        <v>3098</v>
      </c>
      <c r="P103" s="33">
        <v>1986</v>
      </c>
      <c r="Q103" s="33">
        <v>624</v>
      </c>
      <c r="R103" s="33">
        <v>116</v>
      </c>
      <c r="S103" s="33">
        <v>4269</v>
      </c>
    </row>
    <row r="104" spans="1:19">
      <c r="A104" s="34"/>
      <c r="B104" s="34"/>
      <c r="C104" s="34"/>
      <c r="D104" s="34"/>
      <c r="E104" s="34"/>
      <c r="F104" s="34"/>
      <c r="G104" s="34"/>
      <c r="L104" s="26">
        <v>0.62916666666666665</v>
      </c>
      <c r="M104" s="33">
        <v>101</v>
      </c>
      <c r="N104" s="33">
        <v>4265</v>
      </c>
      <c r="O104" s="33">
        <v>254</v>
      </c>
      <c r="P104" s="33">
        <v>461</v>
      </c>
      <c r="Q104" s="33">
        <v>1678</v>
      </c>
      <c r="R104" s="33">
        <v>4203</v>
      </c>
      <c r="S104" s="33">
        <v>1764</v>
      </c>
    </row>
    <row r="105" spans="1:19">
      <c r="A105" s="34"/>
      <c r="B105" s="34"/>
      <c r="C105" s="34"/>
      <c r="D105" s="34"/>
      <c r="E105" s="34"/>
      <c r="F105" s="34"/>
      <c r="G105" s="34"/>
      <c r="L105" s="26">
        <v>0.6333333333333333</v>
      </c>
      <c r="M105" s="33">
        <v>102</v>
      </c>
      <c r="N105" s="33">
        <v>1391</v>
      </c>
      <c r="O105" s="33">
        <v>1143</v>
      </c>
      <c r="P105" s="33">
        <v>4226</v>
      </c>
      <c r="Q105" s="33">
        <v>971</v>
      </c>
      <c r="R105" s="33">
        <v>564</v>
      </c>
      <c r="S105" s="33">
        <v>1477</v>
      </c>
    </row>
    <row r="106" spans="1:19">
      <c r="A106" s="34"/>
      <c r="B106" s="34"/>
      <c r="C106" s="34"/>
      <c r="D106" s="34"/>
      <c r="E106" s="34"/>
      <c r="F106" s="34"/>
      <c r="G106" s="34"/>
      <c r="L106" s="26">
        <v>0.63750000000000007</v>
      </c>
      <c r="M106" s="33">
        <v>103</v>
      </c>
      <c r="N106" s="33">
        <v>120</v>
      </c>
      <c r="O106" s="33">
        <v>3807</v>
      </c>
      <c r="P106" s="33">
        <v>1817</v>
      </c>
      <c r="Q106" s="33">
        <v>3936</v>
      </c>
      <c r="R106" s="33">
        <v>1828</v>
      </c>
      <c r="S106" s="33">
        <v>2500</v>
      </c>
    </row>
    <row r="107" spans="1:19">
      <c r="A107" s="34"/>
      <c r="B107" s="34"/>
      <c r="C107" s="34"/>
      <c r="D107" s="34"/>
      <c r="E107" s="34"/>
      <c r="F107" s="34"/>
      <c r="G107" s="34"/>
      <c r="L107" s="26">
        <v>0.64166666666666672</v>
      </c>
      <c r="M107" s="33">
        <v>104</v>
      </c>
      <c r="N107" s="33">
        <v>537</v>
      </c>
      <c r="O107" s="33">
        <v>694</v>
      </c>
      <c r="P107" s="33">
        <v>3711</v>
      </c>
      <c r="Q107" s="33">
        <v>2591</v>
      </c>
      <c r="R107" s="33">
        <v>2914</v>
      </c>
      <c r="S107" s="33">
        <v>1033</v>
      </c>
    </row>
    <row r="108" spans="1:19">
      <c r="A108" s="34"/>
      <c r="B108" s="34"/>
      <c r="C108" s="34"/>
      <c r="D108" s="34"/>
      <c r="E108" s="34"/>
      <c r="F108" s="34"/>
      <c r="G108" s="34"/>
      <c r="L108" s="26">
        <v>0.64583333333333337</v>
      </c>
      <c r="M108" s="33">
        <v>105</v>
      </c>
      <c r="N108" s="33">
        <v>1741</v>
      </c>
      <c r="O108" s="33">
        <v>1912</v>
      </c>
      <c r="P108" s="33">
        <v>3288</v>
      </c>
      <c r="Q108" s="33">
        <v>207</v>
      </c>
      <c r="R108" s="33">
        <v>706</v>
      </c>
      <c r="S108" s="33">
        <v>2881</v>
      </c>
    </row>
    <row r="109" spans="1:19">
      <c r="A109" s="34"/>
      <c r="B109" s="34"/>
      <c r="C109" s="34"/>
      <c r="D109" s="34"/>
      <c r="E109" s="34"/>
      <c r="F109" s="34"/>
      <c r="G109" s="34"/>
      <c r="L109" s="26">
        <v>0.65</v>
      </c>
      <c r="M109" s="33">
        <v>106</v>
      </c>
      <c r="N109" s="33">
        <v>192</v>
      </c>
      <c r="O109" s="33">
        <v>3419</v>
      </c>
      <c r="P109" s="33">
        <v>233</v>
      </c>
      <c r="Q109" s="33">
        <v>51</v>
      </c>
      <c r="R109" s="33">
        <v>2164</v>
      </c>
      <c r="S109" s="33">
        <v>85</v>
      </c>
    </row>
    <row r="110" spans="1:19">
      <c r="A110" s="34"/>
      <c r="B110" s="34"/>
      <c r="C110" s="34"/>
      <c r="D110" s="34"/>
      <c r="E110" s="34"/>
      <c r="F110" s="34"/>
      <c r="G110" s="34"/>
      <c r="L110" s="26">
        <v>0.65416666666666667</v>
      </c>
      <c r="M110" s="33">
        <v>107</v>
      </c>
      <c r="N110" s="33">
        <v>1778</v>
      </c>
      <c r="O110" s="33">
        <v>836</v>
      </c>
      <c r="P110" s="33">
        <v>932</v>
      </c>
      <c r="Q110" s="33">
        <v>4253</v>
      </c>
      <c r="R110" s="33">
        <v>1266</v>
      </c>
      <c r="S110" s="33">
        <v>78</v>
      </c>
    </row>
    <row r="111" spans="1:19">
      <c r="A111" s="34"/>
      <c r="B111" s="34"/>
      <c r="C111" s="34"/>
      <c r="D111" s="34"/>
      <c r="E111" s="34"/>
      <c r="F111" s="34"/>
      <c r="G111" s="34"/>
      <c r="L111" s="26">
        <v>0.65833333333333333</v>
      </c>
      <c r="M111" s="33">
        <v>108</v>
      </c>
      <c r="N111" s="33">
        <v>4269</v>
      </c>
      <c r="O111" s="33">
        <v>3115</v>
      </c>
      <c r="P111" s="33">
        <v>503</v>
      </c>
      <c r="Q111" s="33">
        <v>178</v>
      </c>
      <c r="R111" s="33">
        <v>597</v>
      </c>
      <c r="S111" s="33">
        <v>2130</v>
      </c>
    </row>
    <row r="112" spans="1:19">
      <c r="A112" s="34"/>
      <c r="B112" s="34"/>
      <c r="C112" s="34"/>
      <c r="D112" s="34"/>
      <c r="E112" s="34"/>
      <c r="F112" s="34"/>
      <c r="G112" s="34"/>
      <c r="L112" s="26">
        <v>0.66249999999999998</v>
      </c>
      <c r="M112" s="33">
        <v>109</v>
      </c>
      <c r="N112" s="33">
        <v>415</v>
      </c>
      <c r="O112" s="33">
        <v>702</v>
      </c>
      <c r="P112" s="33">
        <v>2626</v>
      </c>
      <c r="Q112" s="33">
        <v>2522</v>
      </c>
      <c r="R112" s="33">
        <v>4069</v>
      </c>
      <c r="S112" s="33">
        <v>341</v>
      </c>
    </row>
    <row r="113" spans="1:19">
      <c r="A113" s="34"/>
      <c r="B113" s="34"/>
      <c r="C113" s="34"/>
      <c r="D113" s="34"/>
      <c r="E113" s="34"/>
      <c r="F113" s="34"/>
      <c r="G113" s="34"/>
      <c r="L113" s="26">
        <v>0.66666666666666663</v>
      </c>
      <c r="M113" s="33">
        <v>110</v>
      </c>
      <c r="N113" s="33">
        <v>3940</v>
      </c>
      <c r="O113" s="33">
        <v>3528</v>
      </c>
      <c r="P113" s="33">
        <v>3965</v>
      </c>
      <c r="Q113" s="33">
        <v>1501</v>
      </c>
      <c r="R113" s="33">
        <v>2102</v>
      </c>
      <c r="S113" s="33">
        <v>1319</v>
      </c>
    </row>
    <row r="114" spans="1:19">
      <c r="A114" s="34"/>
      <c r="B114" s="34"/>
      <c r="C114" s="34"/>
      <c r="D114" s="34"/>
      <c r="E114" s="34"/>
      <c r="F114" s="34"/>
      <c r="G114" s="34"/>
      <c r="L114" s="26">
        <v>0.67083333333333339</v>
      </c>
      <c r="M114" s="33">
        <v>111</v>
      </c>
      <c r="N114" s="33">
        <v>288</v>
      </c>
      <c r="O114" s="33">
        <v>604</v>
      </c>
      <c r="P114" s="33">
        <v>3929</v>
      </c>
      <c r="Q114" s="33">
        <v>3205</v>
      </c>
      <c r="R114" s="33">
        <v>3860</v>
      </c>
      <c r="S114" s="33">
        <v>3951</v>
      </c>
    </row>
    <row r="115" spans="1:19">
      <c r="A115" s="34"/>
      <c r="B115" s="34"/>
      <c r="C115" s="34"/>
      <c r="D115" s="34"/>
      <c r="E115" s="34"/>
      <c r="F115" s="34"/>
      <c r="G115" s="34"/>
      <c r="L115" s="26">
        <v>0.67499999999999993</v>
      </c>
      <c r="M115" s="33">
        <v>112</v>
      </c>
      <c r="N115" s="33">
        <v>3098</v>
      </c>
      <c r="O115" s="33">
        <v>3847</v>
      </c>
      <c r="P115" s="33">
        <v>3880</v>
      </c>
      <c r="Q115" s="33">
        <v>1511</v>
      </c>
      <c r="R115" s="33">
        <v>2844</v>
      </c>
      <c r="S115" s="33">
        <v>4130</v>
      </c>
    </row>
    <row r="116" spans="1:19">
      <c r="A116" s="34"/>
      <c r="B116" s="34"/>
      <c r="C116" s="34"/>
      <c r="D116" s="34"/>
      <c r="E116" s="34"/>
      <c r="F116" s="34"/>
      <c r="G116" s="34"/>
      <c r="L116" s="26">
        <v>0.6791666666666667</v>
      </c>
      <c r="M116" s="33">
        <v>113</v>
      </c>
      <c r="N116" s="33">
        <v>3132</v>
      </c>
      <c r="O116" s="33">
        <v>1885</v>
      </c>
      <c r="P116" s="33">
        <v>3970</v>
      </c>
      <c r="Q116" s="33">
        <v>830</v>
      </c>
      <c r="R116" s="33">
        <v>571</v>
      </c>
      <c r="S116" s="33">
        <v>1683</v>
      </c>
    </row>
    <row r="117" spans="1:19">
      <c r="A117" s="34"/>
      <c r="B117" s="34"/>
      <c r="C117" s="34"/>
      <c r="D117" s="34"/>
      <c r="E117" s="34"/>
      <c r="F117" s="34"/>
      <c r="G117" s="34"/>
      <c r="L117" s="26">
        <v>0.68333333333333324</v>
      </c>
      <c r="M117" s="33">
        <v>114</v>
      </c>
      <c r="N117" s="33">
        <v>525</v>
      </c>
      <c r="O117" s="33">
        <v>2474</v>
      </c>
      <c r="P117" s="33">
        <v>116</v>
      </c>
      <c r="Q117" s="33">
        <v>433</v>
      </c>
      <c r="R117" s="33">
        <v>3941</v>
      </c>
      <c r="S117" s="33">
        <v>1649</v>
      </c>
    </row>
    <row r="118" spans="1:19">
      <c r="A118" s="34"/>
      <c r="B118" s="34"/>
      <c r="C118" s="34"/>
      <c r="D118" s="34"/>
      <c r="E118" s="34"/>
      <c r="F118" s="34"/>
      <c r="G118" s="34"/>
      <c r="L118" s="26">
        <v>0.6875</v>
      </c>
      <c r="M118" s="33">
        <v>115</v>
      </c>
      <c r="N118" s="33">
        <v>2757</v>
      </c>
      <c r="O118" s="33">
        <v>1985</v>
      </c>
      <c r="P118" s="33">
        <v>2180</v>
      </c>
      <c r="Q118" s="33">
        <v>2960</v>
      </c>
      <c r="R118" s="33">
        <v>244</v>
      </c>
      <c r="S118" s="33">
        <v>1986</v>
      </c>
    </row>
    <row r="119" spans="1:19">
      <c r="A119" s="34"/>
      <c r="B119" s="34"/>
      <c r="C119" s="34"/>
      <c r="D119" s="34"/>
      <c r="E119" s="34"/>
      <c r="F119" s="34"/>
      <c r="G119" s="34"/>
      <c r="L119" s="26">
        <v>0.69166666666666676</v>
      </c>
      <c r="M119" s="33">
        <v>116</v>
      </c>
      <c r="N119" s="33">
        <v>27</v>
      </c>
      <c r="O119" s="33">
        <v>987</v>
      </c>
      <c r="P119" s="33">
        <v>58</v>
      </c>
      <c r="Q119" s="33">
        <v>4161</v>
      </c>
      <c r="R119" s="33">
        <v>293</v>
      </c>
      <c r="S119" s="33">
        <v>1690</v>
      </c>
    </row>
    <row r="120" spans="1:19">
      <c r="A120" s="34"/>
      <c r="B120" s="34"/>
      <c r="C120" s="34"/>
      <c r="D120" s="34"/>
      <c r="E120" s="34"/>
      <c r="F120" s="34"/>
      <c r="G120" s="34"/>
      <c r="L120" s="26">
        <v>0.6958333333333333</v>
      </c>
      <c r="M120" s="33">
        <v>117</v>
      </c>
      <c r="N120" s="33">
        <v>279</v>
      </c>
      <c r="O120" s="33">
        <v>624</v>
      </c>
      <c r="P120" s="33">
        <v>178</v>
      </c>
      <c r="Q120" s="33">
        <v>1507</v>
      </c>
      <c r="R120" s="33">
        <v>3950</v>
      </c>
      <c r="S120" s="33">
        <v>537</v>
      </c>
    </row>
    <row r="121" spans="1:19">
      <c r="A121" s="34"/>
      <c r="B121" s="34"/>
      <c r="C121" s="34"/>
      <c r="D121" s="34"/>
      <c r="E121" s="34"/>
      <c r="F121" s="34"/>
      <c r="G121" s="34"/>
      <c r="L121" s="26">
        <v>0.70000000000000007</v>
      </c>
      <c r="M121" s="33">
        <v>118</v>
      </c>
      <c r="N121" s="33">
        <v>3419</v>
      </c>
      <c r="O121" s="33">
        <v>694</v>
      </c>
      <c r="P121" s="33">
        <v>78</v>
      </c>
      <c r="Q121" s="33">
        <v>2881</v>
      </c>
      <c r="R121" s="33">
        <v>2130</v>
      </c>
      <c r="S121" s="33">
        <v>1828</v>
      </c>
    </row>
    <row r="122" spans="1:19">
      <c r="A122" s="34"/>
      <c r="B122" s="34"/>
      <c r="C122" s="34"/>
      <c r="D122" s="34"/>
      <c r="E122" s="34"/>
      <c r="F122" s="34"/>
      <c r="G122" s="34"/>
      <c r="L122" s="26">
        <v>0.70416666666666661</v>
      </c>
      <c r="M122" s="33">
        <v>119</v>
      </c>
      <c r="N122" s="33">
        <v>4226</v>
      </c>
      <c r="O122" s="33">
        <v>1266</v>
      </c>
      <c r="P122" s="33">
        <v>706</v>
      </c>
      <c r="Q122" s="33">
        <v>1501</v>
      </c>
      <c r="R122" s="33">
        <v>85</v>
      </c>
      <c r="S122" s="33">
        <v>3711</v>
      </c>
    </row>
    <row r="123" spans="1:19">
      <c r="A123" s="34"/>
      <c r="B123" s="34"/>
      <c r="C123" s="34"/>
      <c r="D123" s="34"/>
      <c r="E123" s="34"/>
      <c r="F123" s="34"/>
      <c r="G123" s="34"/>
      <c r="L123" s="26">
        <v>0.70833333333333337</v>
      </c>
      <c r="M123" s="33">
        <v>120</v>
      </c>
      <c r="N123" s="33">
        <v>2844</v>
      </c>
      <c r="O123" s="33">
        <v>4203</v>
      </c>
      <c r="P123" s="33">
        <v>51</v>
      </c>
      <c r="Q123" s="33">
        <v>503</v>
      </c>
      <c r="R123" s="33">
        <v>2500</v>
      </c>
      <c r="S123" s="33">
        <v>4253</v>
      </c>
    </row>
    <row r="124" spans="1:19">
      <c r="A124" s="34"/>
      <c r="B124" s="34"/>
      <c r="C124" s="34"/>
      <c r="D124" s="34"/>
      <c r="E124" s="34"/>
      <c r="F124" s="34"/>
      <c r="G124" s="34"/>
      <c r="L124" s="26">
        <v>0.71250000000000002</v>
      </c>
      <c r="M124" s="33">
        <v>121</v>
      </c>
      <c r="N124" s="33">
        <v>2522</v>
      </c>
      <c r="O124" s="33">
        <v>1033</v>
      </c>
      <c r="P124" s="33">
        <v>1477</v>
      </c>
      <c r="Q124" s="33">
        <v>604</v>
      </c>
      <c r="R124" s="33">
        <v>1778</v>
      </c>
      <c r="S124" s="33">
        <v>3115</v>
      </c>
    </row>
    <row r="125" spans="1:19">
      <c r="A125" s="34"/>
      <c r="B125" s="34"/>
      <c r="C125" s="34"/>
      <c r="D125" s="34"/>
      <c r="E125" s="34"/>
      <c r="F125" s="34"/>
      <c r="G125" s="34"/>
      <c r="L125" s="26">
        <v>0.71666666666666667</v>
      </c>
      <c r="M125" s="33">
        <v>122</v>
      </c>
      <c r="N125" s="33">
        <v>1741</v>
      </c>
      <c r="O125" s="33">
        <v>3132</v>
      </c>
      <c r="P125" s="33">
        <v>1678</v>
      </c>
      <c r="Q125" s="33">
        <v>3098</v>
      </c>
      <c r="R125" s="33">
        <v>3941</v>
      </c>
      <c r="S125" s="33">
        <v>971</v>
      </c>
    </row>
    <row r="126" spans="1:19">
      <c r="A126" s="34"/>
      <c r="B126" s="34"/>
      <c r="C126" s="34"/>
      <c r="D126" s="34"/>
      <c r="E126" s="34"/>
      <c r="F126" s="34"/>
      <c r="G126" s="34"/>
      <c r="L126" s="26">
        <v>0.72083333333333333</v>
      </c>
      <c r="M126" s="33">
        <v>123</v>
      </c>
      <c r="N126" s="33">
        <v>3860</v>
      </c>
      <c r="O126" s="33">
        <v>1511</v>
      </c>
      <c r="P126" s="33">
        <v>1143</v>
      </c>
      <c r="Q126" s="33">
        <v>2757</v>
      </c>
      <c r="R126" s="33">
        <v>192</v>
      </c>
      <c r="S126" s="33">
        <v>2591</v>
      </c>
    </row>
    <row r="127" spans="1:19">
      <c r="A127" s="34"/>
      <c r="B127" s="34"/>
      <c r="C127" s="34"/>
      <c r="D127" s="34"/>
      <c r="E127" s="34"/>
      <c r="F127" s="34"/>
      <c r="G127" s="34"/>
      <c r="L127" s="26">
        <v>0.72499999999999998</v>
      </c>
      <c r="M127" s="33">
        <v>124</v>
      </c>
      <c r="N127" s="33">
        <v>341</v>
      </c>
      <c r="O127" s="33">
        <v>2474</v>
      </c>
      <c r="P127" s="33">
        <v>987</v>
      </c>
      <c r="Q127" s="33">
        <v>1986</v>
      </c>
      <c r="R127" s="33">
        <v>3807</v>
      </c>
      <c r="S127" s="33">
        <v>1391</v>
      </c>
    </row>
    <row r="128" spans="1:19">
      <c r="A128" s="34"/>
      <c r="B128" s="34"/>
      <c r="C128" s="34"/>
      <c r="D128" s="34"/>
      <c r="E128" s="34"/>
      <c r="F128" s="34"/>
      <c r="G128" s="34"/>
      <c r="L128" s="26">
        <v>0.72916666666666663</v>
      </c>
      <c r="M128" s="33">
        <v>125</v>
      </c>
      <c r="N128" s="33">
        <v>3936</v>
      </c>
      <c r="O128" s="33">
        <v>1649</v>
      </c>
      <c r="P128" s="33">
        <v>4265</v>
      </c>
      <c r="Q128" s="33">
        <v>4161</v>
      </c>
      <c r="R128" s="33">
        <v>564</v>
      </c>
      <c r="S128" s="33">
        <v>1885</v>
      </c>
    </row>
    <row r="129" spans="1:19">
      <c r="A129" s="34"/>
      <c r="B129" s="34"/>
      <c r="C129" s="34"/>
      <c r="D129" s="34"/>
      <c r="E129" s="34"/>
      <c r="F129" s="34"/>
      <c r="G129" s="34"/>
      <c r="L129" s="26">
        <v>0.73333333333333339</v>
      </c>
      <c r="M129" s="33">
        <v>126</v>
      </c>
      <c r="N129" s="33">
        <v>3965</v>
      </c>
      <c r="O129" s="33">
        <v>3847</v>
      </c>
      <c r="P129" s="33">
        <v>1690</v>
      </c>
      <c r="Q129" s="33">
        <v>624</v>
      </c>
      <c r="R129" s="33">
        <v>244</v>
      </c>
      <c r="S129" s="33">
        <v>3288</v>
      </c>
    </row>
    <row r="130" spans="1:19">
      <c r="A130" s="34"/>
      <c r="B130" s="34"/>
      <c r="C130" s="34"/>
      <c r="D130" s="34"/>
      <c r="E130" s="34"/>
      <c r="F130" s="34"/>
      <c r="G130" s="34"/>
      <c r="L130" s="26">
        <v>0.73749999999999993</v>
      </c>
      <c r="M130" s="33">
        <v>127</v>
      </c>
      <c r="N130" s="33">
        <v>1319</v>
      </c>
      <c r="O130" s="33">
        <v>58</v>
      </c>
      <c r="P130" s="33">
        <v>1507</v>
      </c>
      <c r="Q130" s="33">
        <v>254</v>
      </c>
      <c r="R130" s="33">
        <v>415</v>
      </c>
      <c r="S130" s="33">
        <v>3929</v>
      </c>
    </row>
    <row r="131" spans="1:19">
      <c r="A131" s="34"/>
      <c r="B131" s="34"/>
      <c r="C131" s="34"/>
      <c r="D131" s="34"/>
      <c r="E131" s="34"/>
      <c r="F131" s="34"/>
      <c r="G131" s="34"/>
      <c r="L131" s="26">
        <v>0.7416666666666667</v>
      </c>
      <c r="M131" s="33">
        <v>128</v>
      </c>
      <c r="N131" s="33">
        <v>233</v>
      </c>
      <c r="O131" s="33">
        <v>702</v>
      </c>
      <c r="P131" s="33">
        <v>120</v>
      </c>
      <c r="Q131" s="33">
        <v>1683</v>
      </c>
      <c r="R131" s="33">
        <v>293</v>
      </c>
      <c r="S131" s="33">
        <v>433</v>
      </c>
    </row>
    <row r="132" spans="1:19">
      <c r="A132" s="34"/>
      <c r="B132" s="34"/>
      <c r="C132" s="34"/>
      <c r="D132" s="34"/>
      <c r="E132" s="34"/>
      <c r="F132" s="34"/>
      <c r="G132" s="34"/>
      <c r="L132" s="26">
        <v>0.74583333333333324</v>
      </c>
      <c r="M132" s="33">
        <v>129</v>
      </c>
      <c r="N132" s="33">
        <v>207</v>
      </c>
      <c r="O132" s="33">
        <v>288</v>
      </c>
      <c r="P132" s="33">
        <v>571</v>
      </c>
      <c r="Q132" s="33">
        <v>1985</v>
      </c>
      <c r="R132" s="33">
        <v>4130</v>
      </c>
      <c r="S132" s="33">
        <v>1817</v>
      </c>
    </row>
    <row r="133" spans="1:19">
      <c r="A133" s="34"/>
      <c r="B133" s="34"/>
      <c r="C133" s="34"/>
      <c r="D133" s="34"/>
      <c r="E133" s="34"/>
      <c r="F133" s="34"/>
      <c r="G133" s="34"/>
      <c r="L133" s="26">
        <v>0.34375</v>
      </c>
      <c r="M133" s="33">
        <v>130</v>
      </c>
      <c r="N133" s="33">
        <v>3940</v>
      </c>
      <c r="O133" s="33">
        <v>4269</v>
      </c>
      <c r="P133" s="33">
        <v>3880</v>
      </c>
      <c r="Q133" s="33">
        <v>2960</v>
      </c>
      <c r="R133" s="33">
        <v>3970</v>
      </c>
      <c r="S133" s="33">
        <v>525</v>
      </c>
    </row>
    <row r="134" spans="1:19">
      <c r="A134" s="34"/>
      <c r="B134" s="34"/>
      <c r="C134" s="34"/>
      <c r="D134" s="34"/>
      <c r="E134" s="34"/>
      <c r="F134" s="34"/>
      <c r="G134" s="34"/>
      <c r="L134" s="26">
        <v>0.34791666666666665</v>
      </c>
      <c r="M134" s="33">
        <v>131</v>
      </c>
      <c r="N134" s="33">
        <v>1764</v>
      </c>
      <c r="O134" s="33">
        <v>116</v>
      </c>
      <c r="P134" s="33">
        <v>1912</v>
      </c>
      <c r="Q134" s="33">
        <v>27</v>
      </c>
      <c r="R134" s="33">
        <v>3205</v>
      </c>
      <c r="S134" s="33">
        <v>279</v>
      </c>
    </row>
    <row r="135" spans="1:19">
      <c r="A135" s="34"/>
      <c r="B135" s="34"/>
      <c r="C135" s="34"/>
      <c r="D135" s="34"/>
      <c r="E135" s="34"/>
      <c r="F135" s="34"/>
      <c r="G135" s="34"/>
      <c r="L135" s="26">
        <v>0.3520833333333333</v>
      </c>
      <c r="M135" s="33">
        <v>132</v>
      </c>
      <c r="N135" s="33">
        <v>597</v>
      </c>
      <c r="O135" s="33">
        <v>3951</v>
      </c>
      <c r="P135" s="33">
        <v>836</v>
      </c>
      <c r="Q135" s="33">
        <v>4069</v>
      </c>
      <c r="R135" s="33">
        <v>2102</v>
      </c>
      <c r="S135" s="33">
        <v>3950</v>
      </c>
    </row>
    <row r="136" spans="1:19">
      <c r="A136" s="34"/>
      <c r="B136" s="34"/>
      <c r="C136" s="34"/>
      <c r="D136" s="34"/>
      <c r="E136" s="34"/>
      <c r="F136" s="34"/>
      <c r="G136" s="34"/>
      <c r="L136" s="26">
        <v>0.35625000000000001</v>
      </c>
      <c r="M136" s="33">
        <v>133</v>
      </c>
      <c r="N136" s="33">
        <v>830</v>
      </c>
      <c r="O136" s="33">
        <v>2914</v>
      </c>
      <c r="P136" s="33">
        <v>932</v>
      </c>
      <c r="Q136" s="33">
        <v>461</v>
      </c>
      <c r="R136" s="33">
        <v>3528</v>
      </c>
      <c r="S136" s="33">
        <v>2164</v>
      </c>
    </row>
    <row r="137" spans="1:19">
      <c r="A137" s="34"/>
      <c r="B137" s="34"/>
      <c r="C137" s="34"/>
      <c r="D137" s="34"/>
      <c r="E137" s="34"/>
      <c r="F137" s="34"/>
      <c r="G137" s="34"/>
      <c r="L137" s="26">
        <v>0.36041666666666666</v>
      </c>
      <c r="M137" s="33">
        <v>134</v>
      </c>
      <c r="N137" s="33">
        <v>2626</v>
      </c>
      <c r="O137" s="33">
        <v>1885</v>
      </c>
      <c r="P137" s="33">
        <v>4253</v>
      </c>
      <c r="Q137" s="33">
        <v>2180</v>
      </c>
      <c r="R137" s="33">
        <v>3115</v>
      </c>
      <c r="S137" s="33">
        <v>192</v>
      </c>
    </row>
    <row r="138" spans="1:19">
      <c r="A138" s="34"/>
      <c r="B138" s="34"/>
      <c r="C138" s="34"/>
      <c r="D138" s="34"/>
      <c r="E138" s="34"/>
      <c r="F138" s="34"/>
      <c r="G138" s="34"/>
      <c r="L138" s="26">
        <v>0.36458333333333331</v>
      </c>
      <c r="M138" s="33">
        <v>135</v>
      </c>
      <c r="N138" s="33">
        <v>604</v>
      </c>
      <c r="O138" s="33">
        <v>341</v>
      </c>
      <c r="P138" s="33">
        <v>2757</v>
      </c>
      <c r="Q138" s="33">
        <v>3419</v>
      </c>
      <c r="R138" s="33">
        <v>4161</v>
      </c>
      <c r="S138" s="33">
        <v>3288</v>
      </c>
    </row>
    <row r="139" spans="1:19">
      <c r="A139" s="34"/>
      <c r="B139" s="34"/>
      <c r="C139" s="34"/>
      <c r="D139" s="34"/>
      <c r="E139" s="34"/>
      <c r="F139" s="34"/>
      <c r="G139" s="34"/>
      <c r="L139" s="26">
        <v>0.36874999999999997</v>
      </c>
      <c r="M139" s="33">
        <v>136</v>
      </c>
      <c r="N139" s="33">
        <v>3711</v>
      </c>
      <c r="O139" s="33">
        <v>1511</v>
      </c>
      <c r="P139" s="33">
        <v>2522</v>
      </c>
      <c r="Q139" s="33">
        <v>1683</v>
      </c>
      <c r="R139" s="33">
        <v>1741</v>
      </c>
      <c r="S139" s="33">
        <v>1319</v>
      </c>
    </row>
    <row r="140" spans="1:19">
      <c r="A140" s="34"/>
      <c r="B140" s="34"/>
      <c r="C140" s="34"/>
      <c r="D140" s="34"/>
      <c r="E140" s="34"/>
      <c r="F140" s="34"/>
      <c r="G140" s="34"/>
      <c r="L140" s="26">
        <v>0.37291666666666662</v>
      </c>
      <c r="M140" s="33">
        <v>137</v>
      </c>
      <c r="N140" s="33">
        <v>1986</v>
      </c>
      <c r="O140" s="33">
        <v>1690</v>
      </c>
      <c r="P140" s="33">
        <v>415</v>
      </c>
      <c r="Q140" s="33">
        <v>503</v>
      </c>
      <c r="R140" s="33">
        <v>3132</v>
      </c>
      <c r="S140" s="33">
        <v>233</v>
      </c>
    </row>
    <row r="141" spans="1:19">
      <c r="A141" s="34"/>
      <c r="B141" s="34"/>
      <c r="C141" s="34"/>
      <c r="D141" s="34"/>
      <c r="E141" s="34"/>
      <c r="F141" s="34"/>
      <c r="G141" s="34"/>
      <c r="L141" s="26">
        <v>0.37708333333333338</v>
      </c>
      <c r="M141" s="33">
        <v>138</v>
      </c>
      <c r="N141" s="33">
        <v>706</v>
      </c>
      <c r="O141" s="33">
        <v>1778</v>
      </c>
      <c r="P141" s="33">
        <v>51</v>
      </c>
      <c r="Q141" s="33">
        <v>288</v>
      </c>
      <c r="R141" s="33">
        <v>3941</v>
      </c>
      <c r="S141" s="33">
        <v>3970</v>
      </c>
    </row>
    <row r="142" spans="1:19">
      <c r="A142" s="34"/>
      <c r="B142" s="34"/>
      <c r="C142" s="34"/>
      <c r="D142" s="34"/>
      <c r="E142" s="34"/>
      <c r="F142" s="34"/>
      <c r="G142" s="34"/>
      <c r="L142" s="26">
        <v>0.38125000000000003</v>
      </c>
      <c r="M142" s="33">
        <v>139</v>
      </c>
      <c r="N142" s="33">
        <v>58</v>
      </c>
      <c r="O142" s="33">
        <v>2130</v>
      </c>
      <c r="P142" s="33">
        <v>1678</v>
      </c>
      <c r="Q142" s="33">
        <v>2500</v>
      </c>
      <c r="R142" s="33">
        <v>3940</v>
      </c>
      <c r="S142" s="33">
        <v>1266</v>
      </c>
    </row>
    <row r="143" spans="1:19">
      <c r="A143" s="34"/>
      <c r="B143" s="34"/>
      <c r="C143" s="34"/>
      <c r="D143" s="34"/>
      <c r="E143" s="34"/>
      <c r="F143" s="34"/>
      <c r="G143" s="34"/>
      <c r="L143" s="26">
        <v>0.38541666666666669</v>
      </c>
      <c r="M143" s="33">
        <v>140</v>
      </c>
      <c r="N143" s="33">
        <v>2474</v>
      </c>
      <c r="O143" s="33">
        <v>3860</v>
      </c>
      <c r="P143" s="33">
        <v>78</v>
      </c>
      <c r="Q143" s="33">
        <v>2102</v>
      </c>
      <c r="R143" s="33">
        <v>564</v>
      </c>
      <c r="S143" s="33">
        <v>27</v>
      </c>
    </row>
    <row r="144" spans="1:19">
      <c r="A144" s="34"/>
      <c r="B144" s="34"/>
      <c r="C144" s="34"/>
      <c r="D144" s="34"/>
      <c r="E144" s="34"/>
      <c r="F144" s="34"/>
      <c r="G144" s="34"/>
      <c r="L144" s="26">
        <v>0.38958333333333334</v>
      </c>
      <c r="M144" s="33">
        <v>141</v>
      </c>
      <c r="N144" s="33">
        <v>2960</v>
      </c>
      <c r="O144" s="33">
        <v>4265</v>
      </c>
      <c r="P144" s="33">
        <v>3950</v>
      </c>
      <c r="Q144" s="33">
        <v>1033</v>
      </c>
      <c r="R144" s="33">
        <v>116</v>
      </c>
      <c r="S144" s="33">
        <v>207</v>
      </c>
    </row>
    <row r="145" spans="1:19">
      <c r="A145" s="34"/>
      <c r="B145" s="34"/>
      <c r="C145" s="34"/>
      <c r="D145" s="34"/>
      <c r="E145" s="34"/>
      <c r="F145" s="34"/>
      <c r="G145" s="34"/>
      <c r="L145" s="26">
        <v>0.39374999999999999</v>
      </c>
      <c r="M145" s="33">
        <v>142</v>
      </c>
      <c r="N145" s="33">
        <v>3098</v>
      </c>
      <c r="O145" s="33">
        <v>537</v>
      </c>
      <c r="P145" s="33">
        <v>830</v>
      </c>
      <c r="Q145" s="33">
        <v>1649</v>
      </c>
      <c r="R145" s="33">
        <v>293</v>
      </c>
      <c r="S145" s="33">
        <v>85</v>
      </c>
    </row>
    <row r="146" spans="1:19">
      <c r="A146" s="34"/>
      <c r="B146" s="34"/>
      <c r="C146" s="34"/>
      <c r="D146" s="34"/>
      <c r="E146" s="34"/>
      <c r="F146" s="34"/>
      <c r="G146" s="34"/>
      <c r="L146" s="26">
        <v>0.3979166666666667</v>
      </c>
      <c r="M146" s="33">
        <v>143</v>
      </c>
      <c r="N146" s="33">
        <v>2881</v>
      </c>
      <c r="O146" s="33">
        <v>2914</v>
      </c>
      <c r="P146" s="33">
        <v>987</v>
      </c>
      <c r="Q146" s="33">
        <v>244</v>
      </c>
      <c r="R146" s="33">
        <v>1477</v>
      </c>
      <c r="S146" s="33">
        <v>120</v>
      </c>
    </row>
    <row r="147" spans="1:19">
      <c r="A147" s="34"/>
      <c r="B147" s="34"/>
      <c r="C147" s="34"/>
      <c r="D147" s="34"/>
      <c r="E147" s="34"/>
      <c r="F147" s="34"/>
      <c r="G147" s="34"/>
      <c r="L147" s="26">
        <v>0.40208333333333335</v>
      </c>
      <c r="M147" s="33">
        <v>144</v>
      </c>
      <c r="N147" s="33">
        <v>2626</v>
      </c>
      <c r="O147" s="33">
        <v>1391</v>
      </c>
      <c r="P147" s="33">
        <v>3965</v>
      </c>
      <c r="Q147" s="33">
        <v>178</v>
      </c>
      <c r="R147" s="33">
        <v>1764</v>
      </c>
      <c r="S147" s="33">
        <v>433</v>
      </c>
    </row>
    <row r="148" spans="1:19">
      <c r="A148" s="34"/>
      <c r="B148" s="34"/>
      <c r="C148" s="34"/>
      <c r="D148" s="34"/>
      <c r="E148" s="34"/>
      <c r="F148" s="34"/>
      <c r="G148" s="34"/>
      <c r="L148" s="26">
        <v>0.40625</v>
      </c>
      <c r="M148" s="33">
        <v>145</v>
      </c>
      <c r="N148" s="33">
        <v>3936</v>
      </c>
      <c r="O148" s="33">
        <v>2844</v>
      </c>
      <c r="P148" s="33">
        <v>3929</v>
      </c>
      <c r="Q148" s="33">
        <v>4269</v>
      </c>
      <c r="R148" s="33">
        <v>4069</v>
      </c>
      <c r="S148" s="33">
        <v>461</v>
      </c>
    </row>
    <row r="149" spans="1:19">
      <c r="L149" s="26">
        <v>0.41041666666666665</v>
      </c>
      <c r="M149" s="33">
        <v>146</v>
      </c>
      <c r="N149" s="33">
        <v>525</v>
      </c>
      <c r="O149" s="33">
        <v>279</v>
      </c>
      <c r="P149" s="33">
        <v>932</v>
      </c>
      <c r="Q149" s="33">
        <v>571</v>
      </c>
      <c r="R149" s="33">
        <v>1143</v>
      </c>
      <c r="S149" s="33">
        <v>3807</v>
      </c>
    </row>
    <row r="150" spans="1:19">
      <c r="L150" s="26">
        <v>0.4145833333333333</v>
      </c>
      <c r="M150" s="33">
        <v>147</v>
      </c>
      <c r="N150" s="33">
        <v>1985</v>
      </c>
      <c r="O150" s="33">
        <v>254</v>
      </c>
      <c r="P150" s="33">
        <v>4226</v>
      </c>
      <c r="Q150" s="33">
        <v>3847</v>
      </c>
      <c r="R150" s="33">
        <v>3951</v>
      </c>
      <c r="S150" s="33">
        <v>3528</v>
      </c>
    </row>
    <row r="151" spans="1:19">
      <c r="L151" s="26">
        <v>0.41875000000000001</v>
      </c>
      <c r="M151" s="33">
        <v>148</v>
      </c>
      <c r="N151" s="33">
        <v>971</v>
      </c>
      <c r="O151" s="33">
        <v>1817</v>
      </c>
      <c r="P151" s="33">
        <v>2591</v>
      </c>
      <c r="Q151" s="33">
        <v>1912</v>
      </c>
      <c r="R151" s="33">
        <v>836</v>
      </c>
      <c r="S151" s="33">
        <v>3880</v>
      </c>
    </row>
    <row r="152" spans="1:19">
      <c r="L152" s="26">
        <v>0.42291666666666666</v>
      </c>
      <c r="M152" s="33">
        <v>149</v>
      </c>
      <c r="N152" s="33">
        <v>4203</v>
      </c>
      <c r="O152" s="33">
        <v>1501</v>
      </c>
      <c r="P152" s="33">
        <v>624</v>
      </c>
      <c r="Q152" s="33">
        <v>694</v>
      </c>
      <c r="R152" s="33">
        <v>702</v>
      </c>
      <c r="S152" s="33">
        <v>4130</v>
      </c>
    </row>
    <row r="153" spans="1:19">
      <c r="L153" s="26">
        <v>0.42708333333333331</v>
      </c>
      <c r="M153" s="33">
        <v>150</v>
      </c>
      <c r="N153" s="33">
        <v>1507</v>
      </c>
      <c r="O153" s="33">
        <v>3205</v>
      </c>
      <c r="P153" s="33">
        <v>1828</v>
      </c>
      <c r="Q153" s="33">
        <v>2164</v>
      </c>
      <c r="R153" s="33">
        <v>597</v>
      </c>
      <c r="S153" s="33">
        <v>2180</v>
      </c>
    </row>
  </sheetData>
  <sortState ref="A2:J149">
    <sortCondition ref="B1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90"/>
  <sheetViews>
    <sheetView workbookViewId="0">
      <pane ySplit="1" topLeftCell="A76" activePane="bottomLeft" state="frozen"/>
      <selection pane="bottomLeft" activeCell="F2" sqref="F2:F101"/>
    </sheetView>
  </sheetViews>
  <sheetFormatPr defaultRowHeight="15"/>
  <cols>
    <col min="1" max="2" width="9.140625" style="17"/>
    <col min="3" max="3" width="9.140625" style="17" hidden="1" customWidth="1"/>
    <col min="4" max="8" width="9.140625" style="17"/>
    <col min="9" max="11" width="9.140625" style="38" hidden="1" customWidth="1"/>
    <col min="12" max="14" width="9.140625" style="39" hidden="1" customWidth="1"/>
    <col min="15" max="17" width="9.140625" style="38" hidden="1" customWidth="1"/>
    <col min="18" max="20" width="9.140625" style="39" hidden="1" customWidth="1"/>
    <col min="21" max="23" width="9.140625" style="37"/>
    <col min="24" max="24" width="9.140625" style="17"/>
    <col min="25" max="25" width="19.85546875" style="17" customWidth="1"/>
    <col min="26" max="16384" width="9.140625" style="17"/>
  </cols>
  <sheetData>
    <row r="1" spans="1:25">
      <c r="A1" s="24" t="s">
        <v>0</v>
      </c>
      <c r="B1" s="24" t="s">
        <v>1</v>
      </c>
      <c r="D1" s="17" t="s">
        <v>30</v>
      </c>
      <c r="F1" s="21" t="s">
        <v>38</v>
      </c>
      <c r="G1" s="17" t="s">
        <v>1</v>
      </c>
      <c r="H1" s="21" t="s">
        <v>37</v>
      </c>
      <c r="I1" s="38" t="s">
        <v>49</v>
      </c>
      <c r="J1" s="38" t="s">
        <v>50</v>
      </c>
      <c r="K1" s="38" t="s">
        <v>51</v>
      </c>
      <c r="L1" s="39" t="s">
        <v>52</v>
      </c>
      <c r="M1" s="39" t="s">
        <v>53</v>
      </c>
      <c r="N1" s="39" t="s">
        <v>54</v>
      </c>
      <c r="O1" s="38" t="s">
        <v>55</v>
      </c>
      <c r="P1" s="38" t="s">
        <v>56</v>
      </c>
      <c r="Q1" s="38" t="s">
        <v>57</v>
      </c>
      <c r="R1" s="39" t="s">
        <v>60</v>
      </c>
      <c r="S1" s="39" t="s">
        <v>58</v>
      </c>
      <c r="T1" s="39" t="s">
        <v>59</v>
      </c>
      <c r="U1" s="37" t="s">
        <v>14</v>
      </c>
      <c r="V1" s="37" t="s">
        <v>15</v>
      </c>
      <c r="W1" s="37" t="s">
        <v>61</v>
      </c>
      <c r="X1" s="21"/>
      <c r="Y1" s="53" t="s">
        <v>78</v>
      </c>
    </row>
    <row r="2" spans="1:25">
      <c r="A2" s="15">
        <v>27</v>
      </c>
      <c r="B2" s="16">
        <v>28.437100000000001</v>
      </c>
      <c r="C2" s="17">
        <f>IF(A2=A3, IF(A3=A4, IF(A4=A5, AVERAGE(B2:B5), AVERAGE(B2:B4)), AVERAGE(B2:B3)), B2)</f>
        <v>19.507574999999999</v>
      </c>
      <c r="D2" s="17">
        <f>IF(A2=A1, D1, C2)</f>
        <v>19.507574999999999</v>
      </c>
      <c r="F2" s="32">
        <f>'Online Results'!B4</f>
        <v>341</v>
      </c>
      <c r="G2" s="17">
        <f>VLOOKUP(F2,A:D,3, FALSE )</f>
        <v>34.869675000000001</v>
      </c>
      <c r="H2" s="17">
        <f>VLOOKUP(F2, 'Online Results'!$B$3:$G$103, 6, FALSE)</f>
        <v>6</v>
      </c>
      <c r="I2" s="38">
        <f>SUMIF(Matches!C:C, $F2, Matches!$M:$M)</f>
        <v>41.49926</v>
      </c>
      <c r="J2" s="38">
        <f>SUMIF(Matches!D:D, $F2, Matches!$M:$M)</f>
        <v>114.334118</v>
      </c>
      <c r="K2" s="38">
        <f>SUMIF(Matches!E:E, $F2, Matches!$M:$M)</f>
        <v>0</v>
      </c>
      <c r="L2" s="39">
        <f>SUMIF(Matches!F:F, $F2, Matches!$M:$M)</f>
        <v>0</v>
      </c>
      <c r="M2" s="39">
        <f>SUMIF(Matches!G:G, $F2, Matches!$M:$M)</f>
        <v>49.595875999999997</v>
      </c>
      <c r="N2" s="39">
        <f>SUMIF(Matches!H:H, $F2, Matches!$M:$M)</f>
        <v>74.57287500000001</v>
      </c>
      <c r="O2" s="38">
        <f>SUMIF(Matches!C:C,$F2,Matches!$K:$K)</f>
        <v>2</v>
      </c>
      <c r="P2" s="38">
        <f>SUMIF(Matches!D:D,$F2,Matches!$K:$K)</f>
        <v>6</v>
      </c>
      <c r="Q2" s="38">
        <f>SUMIF(Matches!E:E,$F2,Matches!$K:$K)</f>
        <v>0</v>
      </c>
      <c r="R2" s="39">
        <f>SUMIF(Matches!F:F,$F2,Matches!$L:$L)</f>
        <v>0</v>
      </c>
      <c r="S2" s="39">
        <f>SUMIF(Matches!G:G,$F2,Matches!$L:$L)</f>
        <v>4</v>
      </c>
      <c r="T2" s="39">
        <f>SUMIF(Matches!H:H,$F2,Matches!$L:$L)</f>
        <v>6</v>
      </c>
      <c r="U2" s="37">
        <f>SUM(I2:N2)</f>
        <v>280.00212900000002</v>
      </c>
      <c r="V2" s="37">
        <f>SUM(O2:T2)</f>
        <v>18</v>
      </c>
      <c r="W2" s="37">
        <f>H2+V2</f>
        <v>24</v>
      </c>
    </row>
    <row r="3" spans="1:25">
      <c r="A3" s="15">
        <v>27</v>
      </c>
      <c r="B3" s="16">
        <v>20.462599999999998</v>
      </c>
      <c r="C3" s="17">
        <f t="shared" ref="C3:C66" si="0">IF(A3=A4, IF(A4=A5, IF(A5=A6, AVERAGE(B3:B6), AVERAGE(B3:B5)), AVERAGE(B3:B4)), B3)</f>
        <v>16.531066666666664</v>
      </c>
      <c r="D3" s="17">
        <f>IF(A3=A2, D2, C3)</f>
        <v>19.507574999999999</v>
      </c>
      <c r="F3" s="32">
        <f>'Online Results'!B5</f>
        <v>987</v>
      </c>
      <c r="G3" s="17">
        <f t="shared" ref="G3:G66" si="1">VLOOKUP(F3,A:D,3, FALSE )</f>
        <v>33.007300000000001</v>
      </c>
      <c r="H3" s="17">
        <f>VLOOKUP(F3, 'Online Results'!$B$3:$G$103, 6, FALSE)</f>
        <v>6</v>
      </c>
      <c r="I3" s="38">
        <f>SUMIF(Matches!C:C, $F3, Matches!$M:$M)</f>
        <v>49.213449999999995</v>
      </c>
      <c r="J3" s="38">
        <f>SUMIF(Matches!D:D, $F3, Matches!$M:$M)</f>
        <v>43.905340000000002</v>
      </c>
      <c r="K3" s="38">
        <f>SUMIF(Matches!E:E, $F3, Matches!$M:$M)</f>
        <v>76.244653333333332</v>
      </c>
      <c r="L3" s="39">
        <f>SUMIF(Matches!F:F, $F3, Matches!$M:$M)</f>
        <v>29</v>
      </c>
      <c r="M3" s="39">
        <f>SUMIF(Matches!G:G, $F3, Matches!$M:$M)</f>
        <v>25.833092999999998</v>
      </c>
      <c r="N3" s="39">
        <f>SUMIF(Matches!H:H, $F3, Matches!$M:$M)</f>
        <v>57.583979999999997</v>
      </c>
      <c r="O3" s="38">
        <f>SUMIF(Matches!C:C,$F3,Matches!$K:$K)</f>
        <v>2</v>
      </c>
      <c r="P3" s="38">
        <f>SUMIF(Matches!D:D,$F3,Matches!$K:$K)</f>
        <v>4</v>
      </c>
      <c r="Q3" s="38">
        <f>SUMIF(Matches!E:E,$F3,Matches!$K:$K)</f>
        <v>4</v>
      </c>
      <c r="R3" s="39">
        <f>SUMIF(Matches!F:F,$F3,Matches!$L:$L)</f>
        <v>2</v>
      </c>
      <c r="S3" s="39">
        <f>SUMIF(Matches!G:G,$F3,Matches!$L:$L)</f>
        <v>2</v>
      </c>
      <c r="T3" s="39">
        <f>SUMIF(Matches!H:H,$F3,Matches!$L:$L)</f>
        <v>4</v>
      </c>
      <c r="U3" s="37">
        <f t="shared" ref="U3:U66" si="2">SUM(I3:N3)</f>
        <v>281.78051633333331</v>
      </c>
      <c r="V3" s="37">
        <f t="shared" ref="V3:V66" si="3">SUM(O3:T3)</f>
        <v>18</v>
      </c>
      <c r="W3" s="37">
        <f t="shared" ref="W3:W66" si="4">H3+V3</f>
        <v>24</v>
      </c>
    </row>
    <row r="4" spans="1:25">
      <c r="A4" s="15">
        <v>27</v>
      </c>
      <c r="B4" s="16">
        <v>16.1615</v>
      </c>
      <c r="C4" s="17">
        <f t="shared" si="0"/>
        <v>14.565300000000001</v>
      </c>
      <c r="D4" s="17">
        <f>IF(A4=A3, D3, C4)</f>
        <v>19.507574999999999</v>
      </c>
      <c r="F4" s="32">
        <f>'Online Results'!B6</f>
        <v>1507</v>
      </c>
      <c r="G4" s="17">
        <f t="shared" si="1"/>
        <v>30.17285</v>
      </c>
      <c r="H4" s="17">
        <f>VLOOKUP(F4, 'Online Results'!$B$3:$G$103, 6, FALSE)</f>
        <v>4</v>
      </c>
      <c r="I4" s="38">
        <f>SUMIF(Matches!C:C, $F4, Matches!$M:$M)</f>
        <v>29.965805000000003</v>
      </c>
      <c r="J4" s="38">
        <f>SUMIF(Matches!D:D, $F4, Matches!$M:$M)</f>
        <v>59</v>
      </c>
      <c r="K4" s="38">
        <f>SUMIF(Matches!E:E, $F4, Matches!$M:$M)</f>
        <v>45.848664999999997</v>
      </c>
      <c r="L4" s="39">
        <f>SUMIF(Matches!F:F, $F4, Matches!$M:$M)</f>
        <v>137.99355600000001</v>
      </c>
      <c r="M4" s="39">
        <f>SUMIF(Matches!G:G, $F4, Matches!$M:$M)</f>
        <v>35</v>
      </c>
      <c r="N4" s="39">
        <f>SUMIF(Matches!H:H, $F4, Matches!$M:$M)</f>
        <v>0</v>
      </c>
      <c r="O4" s="38">
        <f>SUMIF(Matches!C:C,$F4,Matches!$K:$K)</f>
        <v>4</v>
      </c>
      <c r="P4" s="38">
        <f>SUMIF(Matches!D:D,$F4,Matches!$K:$K)</f>
        <v>2</v>
      </c>
      <c r="Q4" s="38">
        <f>SUMIF(Matches!E:E,$F4,Matches!$K:$K)</f>
        <v>2</v>
      </c>
      <c r="R4" s="39">
        <f>SUMIF(Matches!F:F,$F4,Matches!$L:$L)</f>
        <v>8</v>
      </c>
      <c r="S4" s="39">
        <f>SUMIF(Matches!G:G,$F4,Matches!$L:$L)</f>
        <v>2</v>
      </c>
      <c r="T4" s="39">
        <f>SUMIF(Matches!H:H,$F4,Matches!$L:$L)</f>
        <v>0</v>
      </c>
      <c r="U4" s="37">
        <f t="shared" si="2"/>
        <v>307.80802600000004</v>
      </c>
      <c r="V4" s="37">
        <f t="shared" si="3"/>
        <v>18</v>
      </c>
      <c r="W4" s="37">
        <f t="shared" si="4"/>
        <v>22</v>
      </c>
    </row>
    <row r="5" spans="1:25">
      <c r="A5" s="15">
        <v>27</v>
      </c>
      <c r="B5" s="16">
        <v>12.969099999999999</v>
      </c>
      <c r="C5" s="17">
        <f t="shared" si="0"/>
        <v>12.969099999999999</v>
      </c>
      <c r="D5" s="17">
        <f t="shared" ref="D5:D68" si="5">IF(A5=A4, D4, C5)</f>
        <v>19.507574999999999</v>
      </c>
      <c r="F5" s="32">
        <f>'Online Results'!B7</f>
        <v>624</v>
      </c>
      <c r="G5" s="17">
        <f t="shared" si="1"/>
        <v>28.889399999999998</v>
      </c>
      <c r="H5" s="17">
        <f>VLOOKUP(F5, 'Online Results'!$B$3:$G$103, 6, FALSE)</f>
        <v>6</v>
      </c>
      <c r="I5" s="38">
        <f>SUMIF(Matches!C:C, $F5, Matches!$M:$M)</f>
        <v>29</v>
      </c>
      <c r="J5" s="38">
        <f>SUMIF(Matches!D:D, $F5, Matches!$M:$M)</f>
        <v>51.326986000000005</v>
      </c>
      <c r="K5" s="38">
        <f>SUMIF(Matches!E:E, $F5, Matches!$M:$M)</f>
        <v>33.73621</v>
      </c>
      <c r="L5" s="39">
        <f>SUMIF(Matches!F:F, $F5, Matches!$M:$M)</f>
        <v>160.53665999999998</v>
      </c>
      <c r="M5" s="39">
        <f>SUMIF(Matches!G:G, $F5, Matches!$M:$M)</f>
        <v>17</v>
      </c>
      <c r="N5" s="39">
        <f>SUMIF(Matches!H:H, $F5, Matches!$M:$M)</f>
        <v>0</v>
      </c>
      <c r="O5" s="38">
        <f>SUMIF(Matches!C:C,$F5,Matches!$K:$K)</f>
        <v>2</v>
      </c>
      <c r="P5" s="38">
        <f>SUMIF(Matches!D:D,$F5,Matches!$K:$K)</f>
        <v>2</v>
      </c>
      <c r="Q5" s="38">
        <f>SUMIF(Matches!E:E,$F5,Matches!$K:$K)</f>
        <v>2</v>
      </c>
      <c r="R5" s="39">
        <f>SUMIF(Matches!F:F,$F5,Matches!$L:$L)</f>
        <v>4</v>
      </c>
      <c r="S5" s="39">
        <f>SUMIF(Matches!G:G,$F5,Matches!$L:$L)</f>
        <v>2</v>
      </c>
      <c r="T5" s="39">
        <f>SUMIF(Matches!H:H,$F5,Matches!$L:$L)</f>
        <v>0</v>
      </c>
      <c r="U5" s="37">
        <f t="shared" si="2"/>
        <v>291.59985599999999</v>
      </c>
      <c r="V5" s="37">
        <f t="shared" si="3"/>
        <v>12</v>
      </c>
      <c r="W5" s="37">
        <f t="shared" si="4"/>
        <v>18</v>
      </c>
    </row>
    <row r="6" spans="1:25">
      <c r="A6" s="15">
        <v>51</v>
      </c>
      <c r="B6" s="16">
        <v>24.8475</v>
      </c>
      <c r="C6" s="17">
        <f t="shared" si="0"/>
        <v>21.605133333333331</v>
      </c>
      <c r="D6" s="17">
        <f t="shared" si="5"/>
        <v>21.605133333333331</v>
      </c>
      <c r="F6" s="32">
        <f>'Online Results'!B8</f>
        <v>836</v>
      </c>
      <c r="G6" s="17">
        <f t="shared" si="1"/>
        <v>19.302600000000002</v>
      </c>
      <c r="H6" s="17">
        <f>VLOOKUP(F6, 'Online Results'!$B$3:$G$103, 6, FALSE)</f>
        <v>4</v>
      </c>
      <c r="I6" s="38">
        <f>SUMIF(Matches!C:C, $F6, Matches!$M:$M)</f>
        <v>98</v>
      </c>
      <c r="J6" s="38">
        <f>SUMIF(Matches!D:D, $F6, Matches!$M:$M)</f>
        <v>26.585974999999998</v>
      </c>
      <c r="K6" s="38">
        <f>SUMIF(Matches!E:E, $F6, Matches!$M:$M)</f>
        <v>66.043770000000009</v>
      </c>
      <c r="L6" s="39">
        <f>SUMIF(Matches!F:F, $F6, Matches!$M:$M)</f>
        <v>0</v>
      </c>
      <c r="M6" s="39">
        <f>SUMIF(Matches!G:G, $F6, Matches!$M:$M)</f>
        <v>65.87689499999999</v>
      </c>
      <c r="N6" s="39">
        <f>SUMIF(Matches!H:H, $F6, Matches!$M:$M)</f>
        <v>39.597075000000004</v>
      </c>
      <c r="O6" s="38">
        <f>SUMIF(Matches!C:C,$F6,Matches!$K:$K)</f>
        <v>4</v>
      </c>
      <c r="P6" s="38">
        <f>SUMIF(Matches!D:D,$F6,Matches!$K:$K)</f>
        <v>0</v>
      </c>
      <c r="Q6" s="38">
        <f>SUMIF(Matches!E:E,$F6,Matches!$K:$K)</f>
        <v>2</v>
      </c>
      <c r="R6" s="39">
        <f>SUMIF(Matches!F:F,$F6,Matches!$L:$L)</f>
        <v>0</v>
      </c>
      <c r="S6" s="39">
        <f>SUMIF(Matches!G:G,$F6,Matches!$L:$L)</f>
        <v>4</v>
      </c>
      <c r="T6" s="39">
        <f>SUMIF(Matches!H:H,$F6,Matches!$L:$L)</f>
        <v>0</v>
      </c>
      <c r="U6" s="37">
        <f t="shared" si="2"/>
        <v>296.10371500000002</v>
      </c>
      <c r="V6" s="37">
        <f t="shared" si="3"/>
        <v>10</v>
      </c>
      <c r="W6" s="37">
        <f t="shared" si="4"/>
        <v>14</v>
      </c>
    </row>
    <row r="7" spans="1:25">
      <c r="A7" s="15">
        <v>51</v>
      </c>
      <c r="B7" s="16">
        <v>23.517199999999999</v>
      </c>
      <c r="C7" s="17">
        <f t="shared" si="0"/>
        <v>19.98395</v>
      </c>
      <c r="D7" s="17">
        <f t="shared" si="5"/>
        <v>21.605133333333331</v>
      </c>
      <c r="F7" s="32">
        <f>'Online Results'!B9</f>
        <v>3970</v>
      </c>
      <c r="G7" s="17">
        <f t="shared" si="1"/>
        <v>13.441240000000001</v>
      </c>
      <c r="H7" s="17">
        <f>VLOOKUP(F7, 'Online Results'!$B$3:$G$103, 6, FALSE)</f>
        <v>4</v>
      </c>
      <c r="I7" s="38">
        <f>SUMIF(Matches!C:C, $F7, Matches!$M:$M)</f>
        <v>38.802315000000007</v>
      </c>
      <c r="J7" s="38">
        <f>SUMIF(Matches!D:D, $F7, Matches!$M:$M)</f>
        <v>37.997350999999995</v>
      </c>
      <c r="K7" s="38">
        <f>SUMIF(Matches!E:E, $F7, Matches!$M:$M)</f>
        <v>55.712156666666665</v>
      </c>
      <c r="L7" s="39">
        <f>SUMIF(Matches!F:F, $F7, Matches!$M:$M)</f>
        <v>90</v>
      </c>
      <c r="M7" s="39">
        <f>SUMIF(Matches!G:G, $F7, Matches!$M:$M)</f>
        <v>28.355769999999996</v>
      </c>
      <c r="N7" s="39">
        <f>SUMIF(Matches!H:H, $F7, Matches!$M:$M)</f>
        <v>23.815339999999999</v>
      </c>
      <c r="O7" s="38">
        <f>SUMIF(Matches!C:C,$F7,Matches!$K:$K)</f>
        <v>4</v>
      </c>
      <c r="P7" s="38">
        <f>SUMIF(Matches!D:D,$F7,Matches!$K:$K)</f>
        <v>0</v>
      </c>
      <c r="Q7" s="38">
        <f>SUMIF(Matches!E:E,$F7,Matches!$K:$K)</f>
        <v>4</v>
      </c>
      <c r="R7" s="39">
        <f>SUMIF(Matches!F:F,$F7,Matches!$L:$L)</f>
        <v>2</v>
      </c>
      <c r="S7" s="39">
        <f>SUMIF(Matches!G:G,$F7,Matches!$L:$L)</f>
        <v>2</v>
      </c>
      <c r="T7" s="39">
        <f>SUMIF(Matches!H:H,$F7,Matches!$L:$L)</f>
        <v>0</v>
      </c>
      <c r="U7" s="37">
        <f t="shared" si="2"/>
        <v>274.68293266666666</v>
      </c>
      <c r="V7" s="37">
        <f t="shared" si="3"/>
        <v>12</v>
      </c>
      <c r="W7" s="37">
        <f t="shared" si="4"/>
        <v>16</v>
      </c>
    </row>
    <row r="8" spans="1:25">
      <c r="A8" s="15">
        <v>51</v>
      </c>
      <c r="B8" s="16">
        <v>16.450700000000001</v>
      </c>
      <c r="C8" s="17">
        <f t="shared" si="0"/>
        <v>16.450700000000001</v>
      </c>
      <c r="D8" s="17">
        <f t="shared" si="5"/>
        <v>21.605133333333331</v>
      </c>
      <c r="F8" s="32">
        <f>'Online Results'!B10</f>
        <v>3950</v>
      </c>
      <c r="G8" s="17">
        <f t="shared" si="1"/>
        <v>5.8018700000000001</v>
      </c>
      <c r="H8" s="17">
        <f>VLOOKUP(F8, 'Online Results'!$B$3:$G$103, 6, FALSE)</f>
        <v>2</v>
      </c>
      <c r="I8" s="38">
        <f>SUMIF(Matches!C:C, $F8, Matches!$M:$M)</f>
        <v>19.106655</v>
      </c>
      <c r="J8" s="38">
        <f>SUMIF(Matches!D:D, $F8, Matches!$M:$M)</f>
        <v>27</v>
      </c>
      <c r="K8" s="38">
        <f>SUMIF(Matches!E:E, $F8, Matches!$M:$M)</f>
        <v>53.652729999999998</v>
      </c>
      <c r="L8" s="39">
        <f>SUMIF(Matches!F:F, $F8, Matches!$M:$M)</f>
        <v>14.862915000000001</v>
      </c>
      <c r="M8" s="39">
        <f>SUMIF(Matches!G:G, $F8, Matches!$M:$M)</f>
        <v>82.880976000000004</v>
      </c>
      <c r="N8" s="39">
        <f>SUMIF(Matches!H:H, $F8, Matches!$M:$M)</f>
        <v>25.796270000000003</v>
      </c>
      <c r="O8" s="38">
        <f>SUMIF(Matches!C:C,$F8,Matches!$K:$K)</f>
        <v>0</v>
      </c>
      <c r="P8" s="38">
        <f>SUMIF(Matches!D:D,$F8,Matches!$K:$K)</f>
        <v>2</v>
      </c>
      <c r="Q8" s="38">
        <f>SUMIF(Matches!E:E,$F8,Matches!$K:$K)</f>
        <v>4</v>
      </c>
      <c r="R8" s="39">
        <f>SUMIF(Matches!F:F,$F8,Matches!$L:$L)</f>
        <v>2</v>
      </c>
      <c r="S8" s="39">
        <f>SUMIF(Matches!G:G,$F8,Matches!$L:$L)</f>
        <v>6</v>
      </c>
      <c r="T8" s="39">
        <f>SUMIF(Matches!H:H,$F8,Matches!$L:$L)</f>
        <v>0</v>
      </c>
      <c r="U8" s="37">
        <f t="shared" si="2"/>
        <v>223.29954600000002</v>
      </c>
      <c r="V8" s="37">
        <f t="shared" si="3"/>
        <v>14</v>
      </c>
      <c r="W8" s="37">
        <f t="shared" si="4"/>
        <v>16</v>
      </c>
    </row>
    <row r="9" spans="1:25">
      <c r="A9" s="15">
        <v>58</v>
      </c>
      <c r="B9" s="16">
        <v>18.612400000000001</v>
      </c>
      <c r="C9" s="17">
        <f t="shared" si="0"/>
        <v>18.612400000000001</v>
      </c>
      <c r="D9" s="17">
        <f t="shared" si="5"/>
        <v>18.612400000000001</v>
      </c>
      <c r="F9" s="32">
        <f>'Online Results'!B11</f>
        <v>2164</v>
      </c>
      <c r="G9" s="17">
        <f t="shared" si="1"/>
        <v>5.6618750000000002</v>
      </c>
      <c r="H9" s="17">
        <f>VLOOKUP(F9, 'Online Results'!$B$3:$G$103, 6, FALSE)</f>
        <v>4</v>
      </c>
      <c r="I9" s="38">
        <f>SUMIF(Matches!C:C, $F9, Matches!$M:$M)</f>
        <v>52.542372999999998</v>
      </c>
      <c r="J9" s="38">
        <f>SUMIF(Matches!D:D, $F9, Matches!$M:$M)</f>
        <v>0</v>
      </c>
      <c r="K9" s="38">
        <f>SUMIF(Matches!E:E, $F9, Matches!$M:$M)</f>
        <v>12.446009999999999</v>
      </c>
      <c r="L9" s="39">
        <f>SUMIF(Matches!F:F, $F9, Matches!$M:$M)</f>
        <v>55.708975000000002</v>
      </c>
      <c r="M9" s="39">
        <f>SUMIF(Matches!G:G, $F9, Matches!$M:$M)</f>
        <v>62.739668333333327</v>
      </c>
      <c r="N9" s="39">
        <f>SUMIF(Matches!H:H, $F9, Matches!$M:$M)</f>
        <v>22.388486666666665</v>
      </c>
      <c r="O9" s="38">
        <f>SUMIF(Matches!C:C,$F9,Matches!$K:$K)</f>
        <v>2</v>
      </c>
      <c r="P9" s="38">
        <f>SUMIF(Matches!D:D,$F9,Matches!$K:$K)</f>
        <v>0</v>
      </c>
      <c r="Q9" s="38">
        <f>SUMIF(Matches!E:E,$F9,Matches!$K:$K)</f>
        <v>2</v>
      </c>
      <c r="R9" s="39">
        <f>SUMIF(Matches!F:F,$F9,Matches!$L:$L)</f>
        <v>2</v>
      </c>
      <c r="S9" s="39">
        <f>SUMIF(Matches!G:G,$F9,Matches!$L:$L)</f>
        <v>2</v>
      </c>
      <c r="T9" s="39">
        <f>SUMIF(Matches!H:H,$F9,Matches!$L:$L)</f>
        <v>2</v>
      </c>
      <c r="U9" s="37">
        <f t="shared" si="2"/>
        <v>205.825513</v>
      </c>
      <c r="V9" s="37">
        <f t="shared" si="3"/>
        <v>10</v>
      </c>
      <c r="W9" s="37">
        <f t="shared" si="4"/>
        <v>14</v>
      </c>
    </row>
    <row r="10" spans="1:25">
      <c r="A10" s="15">
        <v>78</v>
      </c>
      <c r="B10" s="16">
        <v>20.2057</v>
      </c>
      <c r="C10" s="17">
        <f t="shared" si="0"/>
        <v>13.827199999999999</v>
      </c>
      <c r="D10" s="17">
        <f t="shared" si="5"/>
        <v>13.827199999999999</v>
      </c>
      <c r="F10" s="32">
        <f>'Online Results'!B12</f>
        <v>4130</v>
      </c>
      <c r="G10" s="17">
        <f t="shared" si="1"/>
        <v>4.5705999999999998</v>
      </c>
      <c r="H10" s="17">
        <f>VLOOKUP(F10, 'Online Results'!$B$3:$G$103, 6, FALSE)</f>
        <v>4</v>
      </c>
      <c r="I10" s="38">
        <f>SUMIF(Matches!C:C, $F10, Matches!$M:$M)</f>
        <v>52.143900000000002</v>
      </c>
      <c r="J10" s="38">
        <f>SUMIF(Matches!D:D, $F10, Matches!$M:$M)</f>
        <v>64.247500000000002</v>
      </c>
      <c r="K10" s="38">
        <f>SUMIF(Matches!E:E, $F10, Matches!$M:$M)</f>
        <v>0</v>
      </c>
      <c r="L10" s="39">
        <f>SUMIF(Matches!F:F, $F10, Matches!$M:$M)</f>
        <v>22</v>
      </c>
      <c r="M10" s="39">
        <f>SUMIF(Matches!G:G, $F10, Matches!$M:$M)</f>
        <v>20.310749999999999</v>
      </c>
      <c r="N10" s="39">
        <f>SUMIF(Matches!H:H, $F10, Matches!$M:$M)</f>
        <v>84.115309999999994</v>
      </c>
      <c r="O10" s="38">
        <f>SUMIF(Matches!C:C,$F10,Matches!$K:$K)</f>
        <v>0</v>
      </c>
      <c r="P10" s="38">
        <f>SUMIF(Matches!D:D,$F10,Matches!$K:$K)</f>
        <v>2</v>
      </c>
      <c r="Q10" s="38">
        <f>SUMIF(Matches!E:E,$F10,Matches!$K:$K)</f>
        <v>0</v>
      </c>
      <c r="R10" s="39">
        <f>SUMIF(Matches!F:F,$F10,Matches!$L:$L)</f>
        <v>2</v>
      </c>
      <c r="S10" s="39">
        <f>SUMIF(Matches!G:G,$F10,Matches!$L:$L)</f>
        <v>2</v>
      </c>
      <c r="T10" s="39">
        <f>SUMIF(Matches!H:H,$F10,Matches!$L:$L)</f>
        <v>2</v>
      </c>
      <c r="U10" s="37">
        <f t="shared" si="2"/>
        <v>242.81746000000001</v>
      </c>
      <c r="V10" s="37">
        <f t="shared" si="3"/>
        <v>8</v>
      </c>
      <c r="W10" s="37">
        <f t="shared" si="4"/>
        <v>12</v>
      </c>
    </row>
    <row r="11" spans="1:25">
      <c r="A11" s="15">
        <v>78</v>
      </c>
      <c r="B11" s="16">
        <v>7.4486999999999997</v>
      </c>
      <c r="C11" s="17">
        <f t="shared" si="0"/>
        <v>7.4486999999999997</v>
      </c>
      <c r="D11" s="17">
        <f t="shared" si="5"/>
        <v>13.827199999999999</v>
      </c>
      <c r="F11" s="32">
        <f>'Online Results'!B13</f>
        <v>597</v>
      </c>
      <c r="G11" s="17">
        <f t="shared" si="1"/>
        <v>6.9296299999999995</v>
      </c>
      <c r="H11" s="17">
        <f>VLOOKUP(F11, 'Online Results'!$B$3:$G$103, 6, FALSE)</f>
        <v>4</v>
      </c>
      <c r="I11" s="38">
        <f>SUMIF(Matches!C:C, $F11, Matches!$M:$M)</f>
        <v>97.796270000000007</v>
      </c>
      <c r="J11" s="38">
        <f>SUMIF(Matches!D:D, $F11, Matches!$M:$M)</f>
        <v>0</v>
      </c>
      <c r="K11" s="38">
        <f>SUMIF(Matches!E:E, $F11, Matches!$M:$M)</f>
        <v>15.03003</v>
      </c>
      <c r="L11" s="39">
        <f>SUMIF(Matches!F:F, $F11, Matches!$M:$M)</f>
        <v>29.12903</v>
      </c>
      <c r="M11" s="39">
        <f>SUMIF(Matches!G:G, $F11, Matches!$M:$M)</f>
        <v>67.32519099999999</v>
      </c>
      <c r="N11" s="39">
        <f>SUMIF(Matches!H:H, $F11, Matches!$M:$M)</f>
        <v>19.395135</v>
      </c>
      <c r="O11" s="38">
        <f>SUMIF(Matches!C:C,$F11,Matches!$K:$K)</f>
        <v>6</v>
      </c>
      <c r="P11" s="38">
        <f>SUMIF(Matches!D:D,$F11,Matches!$K:$K)</f>
        <v>0</v>
      </c>
      <c r="Q11" s="38">
        <f>SUMIF(Matches!E:E,$F11,Matches!$K:$K)</f>
        <v>0</v>
      </c>
      <c r="R11" s="39">
        <f>SUMIF(Matches!F:F,$F11,Matches!$L:$L)</f>
        <v>0</v>
      </c>
      <c r="S11" s="39">
        <f>SUMIF(Matches!G:G,$F11,Matches!$L:$L)</f>
        <v>0</v>
      </c>
      <c r="T11" s="39">
        <f>SUMIF(Matches!H:H,$F11,Matches!$L:$L)</f>
        <v>0</v>
      </c>
      <c r="U11" s="37">
        <f t="shared" si="2"/>
        <v>228.675656</v>
      </c>
      <c r="V11" s="37">
        <f t="shared" si="3"/>
        <v>6</v>
      </c>
      <c r="W11" s="37">
        <f t="shared" si="4"/>
        <v>10</v>
      </c>
    </row>
    <row r="12" spans="1:25">
      <c r="A12" s="15">
        <v>85</v>
      </c>
      <c r="B12" s="16">
        <v>15.8779</v>
      </c>
      <c r="C12" s="17">
        <f t="shared" si="0"/>
        <v>13.472659999999999</v>
      </c>
      <c r="D12" s="17">
        <f t="shared" si="5"/>
        <v>13.472659999999999</v>
      </c>
      <c r="F12" s="32">
        <f>'Online Results'!B14</f>
        <v>233</v>
      </c>
      <c r="G12" s="17">
        <f t="shared" si="1"/>
        <v>18.104849999999999</v>
      </c>
      <c r="H12" s="17">
        <f>VLOOKUP(F12, 'Online Results'!$B$3:$G$103, 6, FALSE)</f>
        <v>4</v>
      </c>
      <c r="I12" s="38">
        <f>SUMIF(Matches!C:C, $F12, Matches!$M:$M)</f>
        <v>20.402480000000001</v>
      </c>
      <c r="J12" s="38">
        <f>SUMIF(Matches!D:D, $F12, Matches!$M:$M)</f>
        <v>42.35333</v>
      </c>
      <c r="K12" s="38">
        <f>SUMIF(Matches!E:E, $F12, Matches!$M:$M)</f>
        <v>67.504398333333327</v>
      </c>
      <c r="L12" s="39">
        <f>SUMIF(Matches!F:F, $F12, Matches!$M:$M)</f>
        <v>0</v>
      </c>
      <c r="M12" s="39">
        <f>SUMIF(Matches!G:G, $F12, Matches!$M:$M)</f>
        <v>60.040765</v>
      </c>
      <c r="N12" s="39">
        <f>SUMIF(Matches!H:H, $F12, Matches!$M:$M)</f>
        <v>53.383850000000002</v>
      </c>
      <c r="O12" s="38">
        <f>SUMIF(Matches!C:C,$F12,Matches!$K:$K)</f>
        <v>2</v>
      </c>
      <c r="P12" s="38">
        <f>SUMIF(Matches!D:D,$F12,Matches!$K:$K)</f>
        <v>2</v>
      </c>
      <c r="Q12" s="38">
        <f>SUMIF(Matches!E:E,$F12,Matches!$K:$K)</f>
        <v>2</v>
      </c>
      <c r="R12" s="39">
        <f>SUMIF(Matches!F:F,$F12,Matches!$L:$L)</f>
        <v>0</v>
      </c>
      <c r="S12" s="39">
        <f>SUMIF(Matches!G:G,$F12,Matches!$L:$L)</f>
        <v>2</v>
      </c>
      <c r="T12" s="39">
        <f>SUMIF(Matches!H:H,$F12,Matches!$L:$L)</f>
        <v>2</v>
      </c>
      <c r="U12" s="37">
        <f t="shared" si="2"/>
        <v>243.6848233333333</v>
      </c>
      <c r="V12" s="37">
        <f t="shared" si="3"/>
        <v>10</v>
      </c>
      <c r="W12" s="37">
        <f t="shared" si="4"/>
        <v>14</v>
      </c>
    </row>
    <row r="13" spans="1:25">
      <c r="A13" s="15">
        <v>85</v>
      </c>
      <c r="B13" s="16">
        <v>15.067</v>
      </c>
      <c r="C13" s="17">
        <f t="shared" si="0"/>
        <v>12.27004</v>
      </c>
      <c r="D13" s="17">
        <f t="shared" si="5"/>
        <v>13.472659999999999</v>
      </c>
      <c r="F13" s="32">
        <f>'Online Results'!B15</f>
        <v>1683</v>
      </c>
      <c r="G13" s="17">
        <f t="shared" si="1"/>
        <v>10.164</v>
      </c>
      <c r="H13" s="17">
        <f>VLOOKUP(F13, 'Online Results'!$B$3:$G$103, 6, FALSE)</f>
        <v>4</v>
      </c>
      <c r="I13" s="38">
        <f>SUMIF(Matches!C:C, $F13, Matches!$M:$M)</f>
        <v>20</v>
      </c>
      <c r="J13" s="38">
        <f>SUMIF(Matches!D:D, $F13, Matches!$M:$M)</f>
        <v>62.502192999999998</v>
      </c>
      <c r="K13" s="38">
        <f>SUMIF(Matches!E:E, $F13, Matches!$M:$M)</f>
        <v>31.738999999999997</v>
      </c>
      <c r="L13" s="39">
        <f>SUMIF(Matches!F:F, $F13, Matches!$M:$M)</f>
        <v>49.706293333333335</v>
      </c>
      <c r="M13" s="39">
        <f>SUMIF(Matches!G:G, $F13, Matches!$M:$M)</f>
        <v>0</v>
      </c>
      <c r="N13" s="39">
        <f>SUMIF(Matches!H:H, $F13, Matches!$M:$M)</f>
        <v>44.712156666666665</v>
      </c>
      <c r="O13" s="38">
        <f>SUMIF(Matches!C:C,$F13,Matches!$K:$K)</f>
        <v>2</v>
      </c>
      <c r="P13" s="38">
        <f>SUMIF(Matches!D:D,$F13,Matches!$K:$K)</f>
        <v>0</v>
      </c>
      <c r="Q13" s="38">
        <f>SUMIF(Matches!E:E,$F13,Matches!$K:$K)</f>
        <v>0</v>
      </c>
      <c r="R13" s="39">
        <f>SUMIF(Matches!F:F,$F13,Matches!$L:$L)</f>
        <v>0</v>
      </c>
      <c r="S13" s="39">
        <f>SUMIF(Matches!G:G,$F13,Matches!$L:$L)</f>
        <v>0</v>
      </c>
      <c r="T13" s="39">
        <f>SUMIF(Matches!H:H,$F13,Matches!$L:$L)</f>
        <v>2</v>
      </c>
      <c r="U13" s="37">
        <f t="shared" si="2"/>
        <v>208.65964300000002</v>
      </c>
      <c r="V13" s="37">
        <f t="shared" si="3"/>
        <v>4</v>
      </c>
      <c r="W13" s="37">
        <f t="shared" si="4"/>
        <v>8</v>
      </c>
    </row>
    <row r="14" spans="1:25">
      <c r="A14" s="15">
        <v>85</v>
      </c>
      <c r="B14" s="16">
        <v>9.4730799999999995</v>
      </c>
      <c r="C14" s="17">
        <f t="shared" si="0"/>
        <v>9.4730799999999995</v>
      </c>
      <c r="D14" s="17">
        <f t="shared" si="5"/>
        <v>13.472659999999999</v>
      </c>
      <c r="F14" s="32">
        <f>'Online Results'!B16</f>
        <v>433</v>
      </c>
      <c r="G14" s="17">
        <f t="shared" si="1"/>
        <v>5.9145399999999997</v>
      </c>
      <c r="H14" s="17">
        <f>VLOOKUP(F14, 'Online Results'!$B$3:$G$103, 6, FALSE)</f>
        <v>2</v>
      </c>
      <c r="I14" s="38">
        <f>SUMIF(Matches!C:C, $F14, Matches!$M:$M)</f>
        <v>0</v>
      </c>
      <c r="J14" s="38">
        <f>SUMIF(Matches!D:D, $F14, Matches!$M:$M)</f>
        <v>60.459220000000002</v>
      </c>
      <c r="K14" s="38">
        <f>SUMIF(Matches!E:E, $F14, Matches!$M:$M)</f>
        <v>44</v>
      </c>
      <c r="L14" s="39">
        <f>SUMIF(Matches!F:F, $F14, Matches!$M:$M)</f>
        <v>24.992339999999999</v>
      </c>
      <c r="M14" s="39">
        <f>SUMIF(Matches!G:G, $F14, Matches!$M:$M)</f>
        <v>24</v>
      </c>
      <c r="N14" s="39">
        <f>SUMIF(Matches!H:H, $F14, Matches!$M:$M)</f>
        <v>34.256651000000005</v>
      </c>
      <c r="O14" s="38">
        <f>SUMIF(Matches!C:C,$F14,Matches!$K:$K)</f>
        <v>0</v>
      </c>
      <c r="P14" s="38">
        <f>SUMIF(Matches!D:D,$F14,Matches!$K:$K)</f>
        <v>0</v>
      </c>
      <c r="Q14" s="38">
        <f>SUMIF(Matches!E:E,$F14,Matches!$K:$K)</f>
        <v>4</v>
      </c>
      <c r="R14" s="39">
        <f>SUMIF(Matches!F:F,$F14,Matches!$L:$L)</f>
        <v>0</v>
      </c>
      <c r="S14" s="39">
        <f>SUMIF(Matches!G:G,$F14,Matches!$L:$L)</f>
        <v>0</v>
      </c>
      <c r="T14" s="39">
        <f>SUMIF(Matches!H:H,$F14,Matches!$L:$L)</f>
        <v>0</v>
      </c>
      <c r="U14" s="37">
        <f t="shared" si="2"/>
        <v>187.70821100000001</v>
      </c>
      <c r="V14" s="37">
        <f t="shared" si="3"/>
        <v>4</v>
      </c>
      <c r="W14" s="37">
        <f t="shared" si="4"/>
        <v>6</v>
      </c>
    </row>
    <row r="15" spans="1:25">
      <c r="A15" s="15">
        <v>116</v>
      </c>
      <c r="B15" s="16">
        <v>10.633699999999999</v>
      </c>
      <c r="C15" s="17">
        <f t="shared" si="0"/>
        <v>10.633699999999999</v>
      </c>
      <c r="D15" s="17">
        <f t="shared" si="5"/>
        <v>10.633699999999999</v>
      </c>
      <c r="F15" s="32">
        <f>'Online Results'!B17</f>
        <v>279</v>
      </c>
      <c r="G15" s="17">
        <f t="shared" si="1"/>
        <v>9.4822000000000006</v>
      </c>
      <c r="H15" s="17">
        <f>VLOOKUP(F15, 'Online Results'!$B$3:$G$103, 6, FALSE)</f>
        <v>4</v>
      </c>
      <c r="I15" s="38">
        <f>SUMIF(Matches!C:C, $F15, Matches!$M:$M)</f>
        <v>38.880976000000004</v>
      </c>
      <c r="J15" s="38">
        <f>SUMIF(Matches!D:D, $F15, Matches!$M:$M)</f>
        <v>47.701189999999997</v>
      </c>
      <c r="K15" s="38">
        <f>SUMIF(Matches!E:E, $F15, Matches!$M:$M)</f>
        <v>35</v>
      </c>
      <c r="L15" s="39">
        <f>SUMIF(Matches!F:F, $F15, Matches!$M:$M)</f>
        <v>30.686200000000003</v>
      </c>
      <c r="M15" s="39">
        <f>SUMIF(Matches!G:G, $F15, Matches!$M:$M)</f>
        <v>19.395135</v>
      </c>
      <c r="N15" s="39">
        <f>SUMIF(Matches!H:H, $F15, Matches!$M:$M)</f>
        <v>42.43188</v>
      </c>
      <c r="O15" s="38">
        <f>SUMIF(Matches!C:C,$F15,Matches!$K:$K)</f>
        <v>0</v>
      </c>
      <c r="P15" s="38">
        <f>SUMIF(Matches!D:D,$F15,Matches!$K:$K)</f>
        <v>2</v>
      </c>
      <c r="Q15" s="38">
        <f>SUMIF(Matches!E:E,$F15,Matches!$K:$K)</f>
        <v>2</v>
      </c>
      <c r="R15" s="39">
        <f>SUMIF(Matches!F:F,$F15,Matches!$L:$L)</f>
        <v>0</v>
      </c>
      <c r="S15" s="39">
        <f>SUMIF(Matches!G:G,$F15,Matches!$L:$L)</f>
        <v>0</v>
      </c>
      <c r="T15" s="39">
        <f>SUMIF(Matches!H:H,$F15,Matches!$L:$L)</f>
        <v>4</v>
      </c>
      <c r="U15" s="37">
        <f t="shared" si="2"/>
        <v>214.09538100000003</v>
      </c>
      <c r="V15" s="37">
        <f t="shared" si="3"/>
        <v>8</v>
      </c>
      <c r="W15" s="37">
        <f t="shared" si="4"/>
        <v>12</v>
      </c>
    </row>
    <row r="16" spans="1:25">
      <c r="A16" s="15">
        <v>120</v>
      </c>
      <c r="B16" s="16">
        <v>5.1478599999999997</v>
      </c>
      <c r="C16" s="17">
        <f t="shared" si="0"/>
        <v>4.7289300000000001</v>
      </c>
      <c r="D16" s="17">
        <f t="shared" si="5"/>
        <v>4.7289300000000001</v>
      </c>
      <c r="F16" s="32">
        <f>'Online Results'!B18</f>
        <v>3098</v>
      </c>
      <c r="G16" s="17">
        <f t="shared" si="1"/>
        <v>19.627433333333336</v>
      </c>
      <c r="H16" s="17">
        <f>VLOOKUP(F16, 'Online Results'!$B$3:$G$103, 6, FALSE)</f>
        <v>2</v>
      </c>
      <c r="I16" s="38">
        <f>SUMIF(Matches!C:C, $F16, Matches!$M:$M)</f>
        <v>75.087694999999997</v>
      </c>
      <c r="J16" s="38">
        <f>SUMIF(Matches!D:D, $F16, Matches!$M:$M)</f>
        <v>45.498570000000001</v>
      </c>
      <c r="K16" s="38">
        <f>SUMIF(Matches!E:E, $F16, Matches!$M:$M)</f>
        <v>48.557038333333338</v>
      </c>
      <c r="L16" s="39">
        <f>SUMIF(Matches!F:F, $F16, Matches!$M:$M)</f>
        <v>52.709710000000001</v>
      </c>
      <c r="M16" s="39">
        <f>SUMIF(Matches!G:G, $F16, Matches!$M:$M)</f>
        <v>66.6691</v>
      </c>
      <c r="N16" s="39">
        <f>SUMIF(Matches!H:H, $F16, Matches!$M:$M)</f>
        <v>0</v>
      </c>
      <c r="O16" s="38">
        <f>SUMIF(Matches!C:C,$F16,Matches!$K:$K)</f>
        <v>4</v>
      </c>
      <c r="P16" s="38">
        <f>SUMIF(Matches!D:D,$F16,Matches!$K:$K)</f>
        <v>2</v>
      </c>
      <c r="Q16" s="38">
        <f>SUMIF(Matches!E:E,$F16,Matches!$K:$K)</f>
        <v>0</v>
      </c>
      <c r="R16" s="39">
        <f>SUMIF(Matches!F:F,$F16,Matches!$L:$L)</f>
        <v>4</v>
      </c>
      <c r="S16" s="39">
        <f>SUMIF(Matches!G:G,$F16,Matches!$L:$L)</f>
        <v>4</v>
      </c>
      <c r="T16" s="39">
        <f>SUMIF(Matches!H:H,$F16,Matches!$L:$L)</f>
        <v>0</v>
      </c>
      <c r="U16" s="37">
        <f t="shared" si="2"/>
        <v>288.52211333333332</v>
      </c>
      <c r="V16" s="37">
        <f t="shared" si="3"/>
        <v>14</v>
      </c>
      <c r="W16" s="37">
        <f t="shared" si="4"/>
        <v>16</v>
      </c>
    </row>
    <row r="17" spans="1:23">
      <c r="A17" s="15">
        <v>120</v>
      </c>
      <c r="B17" s="16">
        <v>4.3099999999999996</v>
      </c>
      <c r="C17" s="17">
        <f t="shared" si="0"/>
        <v>4.3099999999999996</v>
      </c>
      <c r="D17" s="17">
        <f t="shared" si="5"/>
        <v>4.7289300000000001</v>
      </c>
      <c r="F17" s="32">
        <f>'Online Results'!B19</f>
        <v>3711</v>
      </c>
      <c r="G17" s="17">
        <f t="shared" si="1"/>
        <v>6.8406149999999997</v>
      </c>
      <c r="H17" s="17">
        <f>VLOOKUP(F17, 'Online Results'!$B$3:$G$103, 6, FALSE)</f>
        <v>4</v>
      </c>
      <c r="I17" s="38">
        <f>SUMIF(Matches!C:C, $F17, Matches!$M:$M)</f>
        <v>50.666908333333332</v>
      </c>
      <c r="J17" s="38">
        <f>SUMIF(Matches!D:D, $F17, Matches!$M:$M)</f>
        <v>27.409794999999999</v>
      </c>
      <c r="K17" s="38">
        <f>SUMIF(Matches!E:E, $F17, Matches!$M:$M)</f>
        <v>55.202624999999998</v>
      </c>
      <c r="L17" s="39">
        <f>SUMIF(Matches!F:F, $F17, Matches!$M:$M)</f>
        <v>35</v>
      </c>
      <c r="M17" s="39">
        <f>SUMIF(Matches!G:G, $F17, Matches!$M:$M)</f>
        <v>0</v>
      </c>
      <c r="N17" s="39">
        <f>SUMIF(Matches!H:H, $F17, Matches!$M:$M)</f>
        <v>56.92022</v>
      </c>
      <c r="O17" s="38">
        <f>SUMIF(Matches!C:C,$F17,Matches!$K:$K)</f>
        <v>4</v>
      </c>
      <c r="P17" s="38">
        <f>SUMIF(Matches!D:D,$F17,Matches!$K:$K)</f>
        <v>0</v>
      </c>
      <c r="Q17" s="38">
        <f>SUMIF(Matches!E:E,$F17,Matches!$K:$K)</f>
        <v>4</v>
      </c>
      <c r="R17" s="39">
        <f>SUMIF(Matches!F:F,$F17,Matches!$L:$L)</f>
        <v>2</v>
      </c>
      <c r="S17" s="39">
        <f>SUMIF(Matches!G:G,$F17,Matches!$L:$L)</f>
        <v>0</v>
      </c>
      <c r="T17" s="39">
        <f>SUMIF(Matches!H:H,$F17,Matches!$L:$L)</f>
        <v>2</v>
      </c>
      <c r="U17" s="37">
        <f t="shared" si="2"/>
        <v>225.19954833333333</v>
      </c>
      <c r="V17" s="37">
        <f t="shared" si="3"/>
        <v>12</v>
      </c>
      <c r="W17" s="37">
        <f t="shared" si="4"/>
        <v>16</v>
      </c>
    </row>
    <row r="18" spans="1:23">
      <c r="A18" s="15">
        <v>178</v>
      </c>
      <c r="B18" s="16">
        <v>0.50937600000000005</v>
      </c>
      <c r="C18" s="17">
        <f t="shared" si="0"/>
        <v>0.50937600000000005</v>
      </c>
      <c r="D18" s="17">
        <f t="shared" si="5"/>
        <v>0.50937600000000005</v>
      </c>
      <c r="F18" s="32">
        <f>'Online Results'!B20</f>
        <v>3528</v>
      </c>
      <c r="G18" s="17">
        <f t="shared" si="1"/>
        <v>21.5243</v>
      </c>
      <c r="H18" s="17">
        <f>VLOOKUP(F18, 'Online Results'!$B$3:$G$103, 6, FALSE)</f>
        <v>2</v>
      </c>
      <c r="I18" s="38">
        <f>SUMIF(Matches!C:C, $F18, Matches!$M:$M)</f>
        <v>0</v>
      </c>
      <c r="J18" s="38">
        <f>SUMIF(Matches!D:D, $F18, Matches!$M:$M)</f>
        <v>82.287763333333331</v>
      </c>
      <c r="K18" s="38">
        <f>SUMIF(Matches!E:E, $F18, Matches!$M:$M)</f>
        <v>24</v>
      </c>
      <c r="L18" s="39">
        <f>SUMIF(Matches!F:F, $F18, Matches!$M:$M)</f>
        <v>0</v>
      </c>
      <c r="M18" s="39">
        <f>SUMIF(Matches!G:G, $F18, Matches!$M:$M)</f>
        <v>69.157516666666666</v>
      </c>
      <c r="N18" s="39">
        <f>SUMIF(Matches!H:H, $F18, Matches!$M:$M)</f>
        <v>52.422920000000005</v>
      </c>
      <c r="O18" s="38">
        <f>SUMIF(Matches!C:C,$F18,Matches!$K:$K)</f>
        <v>0</v>
      </c>
      <c r="P18" s="38">
        <f>SUMIF(Matches!D:D,$F18,Matches!$K:$K)</f>
        <v>4</v>
      </c>
      <c r="Q18" s="38">
        <f>SUMIF(Matches!E:E,$F18,Matches!$K:$K)</f>
        <v>2</v>
      </c>
      <c r="R18" s="39">
        <f>SUMIF(Matches!F:F,$F18,Matches!$L:$L)</f>
        <v>0</v>
      </c>
      <c r="S18" s="39">
        <f>SUMIF(Matches!G:G,$F18,Matches!$L:$L)</f>
        <v>6</v>
      </c>
      <c r="T18" s="39">
        <f>SUMIF(Matches!H:H,$F18,Matches!$L:$L)</f>
        <v>2</v>
      </c>
      <c r="U18" s="37">
        <f t="shared" si="2"/>
        <v>227.8682</v>
      </c>
      <c r="V18" s="37">
        <f t="shared" si="3"/>
        <v>14</v>
      </c>
      <c r="W18" s="37">
        <f t="shared" si="4"/>
        <v>16</v>
      </c>
    </row>
    <row r="19" spans="1:23">
      <c r="A19" s="15">
        <v>192</v>
      </c>
      <c r="B19" s="16">
        <v>15.6912</v>
      </c>
      <c r="C19" s="17">
        <f t="shared" si="0"/>
        <v>12.69613</v>
      </c>
      <c r="D19" s="17">
        <f t="shared" si="5"/>
        <v>12.69613</v>
      </c>
      <c r="F19" s="32">
        <f>'Online Results'!B21</f>
        <v>293</v>
      </c>
      <c r="G19" s="17">
        <f t="shared" si="1"/>
        <v>4.3239400000000003</v>
      </c>
      <c r="H19" s="17">
        <f>VLOOKUP(F19, 'Online Results'!$B$3:$G$103, 6, FALSE)</f>
        <v>2</v>
      </c>
      <c r="I19" s="38">
        <f>SUMIF(Matches!C:C, $F19, Matches!$M:$M)</f>
        <v>13.434970000000002</v>
      </c>
      <c r="J19" s="38">
        <f>SUMIF(Matches!D:D, $F19, Matches!$M:$M)</f>
        <v>0</v>
      </c>
      <c r="K19" s="38">
        <f>SUMIF(Matches!E:E, $F19, Matches!$M:$M)</f>
        <v>114.16824</v>
      </c>
      <c r="L19" s="39">
        <f>SUMIF(Matches!F:F, $F19, Matches!$M:$M)</f>
        <v>32.915900000000001</v>
      </c>
      <c r="M19" s="39">
        <f>SUMIF(Matches!G:G, $F19, Matches!$M:$M)</f>
        <v>69.426209999999998</v>
      </c>
      <c r="N19" s="39">
        <f>SUMIF(Matches!H:H, $F19, Matches!$M:$M)</f>
        <v>0</v>
      </c>
      <c r="O19" s="38">
        <f>SUMIF(Matches!C:C,$F19,Matches!$K:$K)</f>
        <v>0</v>
      </c>
      <c r="P19" s="38">
        <f>SUMIF(Matches!D:D,$F19,Matches!$K:$K)</f>
        <v>0</v>
      </c>
      <c r="Q19" s="38">
        <f>SUMIF(Matches!E:E,$F19,Matches!$K:$K)</f>
        <v>4</v>
      </c>
      <c r="R19" s="39">
        <f>SUMIF(Matches!F:F,$F19,Matches!$L:$L)</f>
        <v>2</v>
      </c>
      <c r="S19" s="39">
        <f>SUMIF(Matches!G:G,$F19,Matches!$L:$L)</f>
        <v>0</v>
      </c>
      <c r="T19" s="39">
        <f>SUMIF(Matches!H:H,$F19,Matches!$L:$L)</f>
        <v>0</v>
      </c>
      <c r="U19" s="37">
        <f t="shared" si="2"/>
        <v>229.94532000000001</v>
      </c>
      <c r="V19" s="37">
        <f t="shared" si="3"/>
        <v>6</v>
      </c>
      <c r="W19" s="37">
        <f t="shared" si="4"/>
        <v>8</v>
      </c>
    </row>
    <row r="20" spans="1:23">
      <c r="A20" s="15">
        <v>192</v>
      </c>
      <c r="B20" s="16">
        <v>9.70106</v>
      </c>
      <c r="C20" s="17">
        <f t="shared" si="0"/>
        <v>9.70106</v>
      </c>
      <c r="D20" s="17">
        <f t="shared" si="5"/>
        <v>12.69613</v>
      </c>
      <c r="F20" s="32">
        <f>'Online Results'!B22</f>
        <v>3860</v>
      </c>
      <c r="G20" s="17">
        <f t="shared" si="1"/>
        <v>0.97</v>
      </c>
      <c r="H20" s="17">
        <f>VLOOKUP(F20, 'Online Results'!$B$3:$G$103, 6, FALSE)</f>
        <v>4</v>
      </c>
      <c r="I20" s="38">
        <f>SUMIF(Matches!C:C, $F20, Matches!$M:$M)</f>
        <v>36.75273</v>
      </c>
      <c r="J20" s="38">
        <f>SUMIF(Matches!D:D, $F20, Matches!$M:$M)</f>
        <v>29.855554999999999</v>
      </c>
      <c r="K20" s="38">
        <f>SUMIF(Matches!E:E, $F20, Matches!$M:$M)</f>
        <v>11.598525</v>
      </c>
      <c r="L20" s="39">
        <f>SUMIF(Matches!F:F, $F20, Matches!$M:$M)</f>
        <v>17</v>
      </c>
      <c r="M20" s="39">
        <f>SUMIF(Matches!G:G, $F20, Matches!$M:$M)</f>
        <v>48.817084999999999</v>
      </c>
      <c r="N20" s="39">
        <f>SUMIF(Matches!H:H, $F20, Matches!$M:$M)</f>
        <v>47.38991</v>
      </c>
      <c r="O20" s="38">
        <f>SUMIF(Matches!C:C,$F20,Matches!$K:$K)</f>
        <v>2</v>
      </c>
      <c r="P20" s="38">
        <f>SUMIF(Matches!D:D,$F20,Matches!$K:$K)</f>
        <v>2</v>
      </c>
      <c r="Q20" s="38">
        <f>SUMIF(Matches!E:E,$F20,Matches!$K:$K)</f>
        <v>0</v>
      </c>
      <c r="R20" s="39">
        <f>SUMIF(Matches!F:F,$F20,Matches!$L:$L)</f>
        <v>2</v>
      </c>
      <c r="S20" s="39">
        <f>SUMIF(Matches!G:G,$F20,Matches!$L:$L)</f>
        <v>2</v>
      </c>
      <c r="T20" s="39">
        <f>SUMIF(Matches!H:H,$F20,Matches!$L:$L)</f>
        <v>2</v>
      </c>
      <c r="U20" s="37">
        <f t="shared" si="2"/>
        <v>191.41380499999997</v>
      </c>
      <c r="V20" s="37">
        <f t="shared" si="3"/>
        <v>10</v>
      </c>
      <c r="W20" s="37">
        <f t="shared" si="4"/>
        <v>14</v>
      </c>
    </row>
    <row r="21" spans="1:23">
      <c r="A21" s="15">
        <v>207</v>
      </c>
      <c r="B21" s="16">
        <v>8.8962000000000003</v>
      </c>
      <c r="C21" s="17">
        <f t="shared" si="0"/>
        <v>8.8962000000000003</v>
      </c>
      <c r="D21" s="17">
        <f t="shared" si="5"/>
        <v>8.8962000000000003</v>
      </c>
      <c r="F21" s="32">
        <f>'Online Results'!B23</f>
        <v>4161</v>
      </c>
      <c r="G21" s="17">
        <f t="shared" si="1"/>
        <v>10.110200000000001</v>
      </c>
      <c r="H21" s="17">
        <f>VLOOKUP(F21, 'Online Results'!$B$3:$G$103, 6, FALSE)</f>
        <v>2</v>
      </c>
      <c r="I21" s="38">
        <f>SUMIF(Matches!C:C, $F21, Matches!$M:$M)</f>
        <v>45.498570000000001</v>
      </c>
      <c r="J21" s="38">
        <f>SUMIF(Matches!D:D, $F21, Matches!$M:$M)</f>
        <v>50.272891000000001</v>
      </c>
      <c r="K21" s="38">
        <f>SUMIF(Matches!E:E, $F21, Matches!$M:$M)</f>
        <v>0</v>
      </c>
      <c r="L21" s="39">
        <f>SUMIF(Matches!F:F, $F21, Matches!$M:$M)</f>
        <v>63.069206000000001</v>
      </c>
      <c r="M21" s="39">
        <f>SUMIF(Matches!G:G, $F21, Matches!$M:$M)</f>
        <v>33.334118000000004</v>
      </c>
      <c r="N21" s="39">
        <f>SUMIF(Matches!H:H, $F21, Matches!$M:$M)</f>
        <v>6</v>
      </c>
      <c r="O21" s="38">
        <f>SUMIF(Matches!C:C,$F21,Matches!$K:$K)</f>
        <v>2</v>
      </c>
      <c r="P21" s="38">
        <f>SUMIF(Matches!D:D,$F21,Matches!$K:$K)</f>
        <v>2</v>
      </c>
      <c r="Q21" s="38">
        <f>SUMIF(Matches!E:E,$F21,Matches!$K:$K)</f>
        <v>0</v>
      </c>
      <c r="R21" s="39">
        <f>SUMIF(Matches!F:F,$F21,Matches!$L:$L)</f>
        <v>2</v>
      </c>
      <c r="S21" s="39">
        <f>SUMIF(Matches!G:G,$F21,Matches!$L:$L)</f>
        <v>0</v>
      </c>
      <c r="T21" s="39">
        <f>SUMIF(Matches!H:H,$F21,Matches!$L:$L)</f>
        <v>2</v>
      </c>
      <c r="U21" s="37">
        <f t="shared" si="2"/>
        <v>198.17478499999999</v>
      </c>
      <c r="V21" s="37">
        <f t="shared" si="3"/>
        <v>8</v>
      </c>
      <c r="W21" s="37">
        <f t="shared" si="4"/>
        <v>10</v>
      </c>
    </row>
    <row r="22" spans="1:23">
      <c r="A22" s="15">
        <v>233</v>
      </c>
      <c r="B22" s="16">
        <v>24.706099999999999</v>
      </c>
      <c r="C22" s="17">
        <f t="shared" si="0"/>
        <v>18.104849999999999</v>
      </c>
      <c r="D22" s="17">
        <f t="shared" si="5"/>
        <v>18.104849999999999</v>
      </c>
      <c r="F22" s="32">
        <f>'Online Results'!B24</f>
        <v>1828</v>
      </c>
      <c r="G22" s="17">
        <f t="shared" si="1"/>
        <v>9.7578800000000001</v>
      </c>
      <c r="H22" s="17">
        <f>VLOOKUP(F22, 'Online Results'!$B$3:$G$103, 6, FALSE)</f>
        <v>2</v>
      </c>
      <c r="I22" s="38">
        <f>SUMIF(Matches!C:C, $F22, Matches!$M:$M)</f>
        <v>49.844524999999997</v>
      </c>
      <c r="J22" s="38">
        <f>SUMIF(Matches!D:D, $F22, Matches!$M:$M)</f>
        <v>9</v>
      </c>
      <c r="K22" s="38">
        <f>SUMIF(Matches!E:E, $F22, Matches!$M:$M)</f>
        <v>53.813085000000001</v>
      </c>
      <c r="L22" s="39">
        <f>SUMIF(Matches!F:F, $F22, Matches!$M:$M)</f>
        <v>22</v>
      </c>
      <c r="M22" s="39">
        <f>SUMIF(Matches!G:G, $F22, Matches!$M:$M)</f>
        <v>13.755690000000001</v>
      </c>
      <c r="N22" s="39">
        <f>SUMIF(Matches!H:H, $F22, Matches!$M:$M)</f>
        <v>46.881590000000003</v>
      </c>
      <c r="O22" s="38">
        <f>SUMIF(Matches!C:C,$F22,Matches!$K:$K)</f>
        <v>2</v>
      </c>
      <c r="P22" s="38">
        <f>SUMIF(Matches!D:D,$F22,Matches!$K:$K)</f>
        <v>2</v>
      </c>
      <c r="Q22" s="38">
        <f>SUMIF(Matches!E:E,$F22,Matches!$K:$K)</f>
        <v>2</v>
      </c>
      <c r="R22" s="39">
        <f>SUMIF(Matches!F:F,$F22,Matches!$L:$L)</f>
        <v>2</v>
      </c>
      <c r="S22" s="39">
        <f>SUMIF(Matches!G:G,$F22,Matches!$L:$L)</f>
        <v>2</v>
      </c>
      <c r="T22" s="39">
        <f>SUMIF(Matches!H:H,$F22,Matches!$L:$L)</f>
        <v>0</v>
      </c>
      <c r="U22" s="37">
        <f t="shared" si="2"/>
        <v>195.29489000000001</v>
      </c>
      <c r="V22" s="37">
        <f t="shared" si="3"/>
        <v>10</v>
      </c>
      <c r="W22" s="37">
        <f t="shared" si="4"/>
        <v>12</v>
      </c>
    </row>
    <row r="23" spans="1:23">
      <c r="A23" s="15">
        <v>233</v>
      </c>
      <c r="B23" s="16">
        <v>11.5036</v>
      </c>
      <c r="C23" s="17">
        <f t="shared" si="0"/>
        <v>11.5036</v>
      </c>
      <c r="D23" s="17">
        <f t="shared" si="5"/>
        <v>18.104849999999999</v>
      </c>
      <c r="F23" s="32">
        <f>'Online Results'!B25</f>
        <v>3288</v>
      </c>
      <c r="G23" s="17">
        <f t="shared" si="1"/>
        <v>10.007218</v>
      </c>
      <c r="H23" s="17">
        <f>VLOOKUP(F23, 'Online Results'!$B$3:$G$103, 6, FALSE)</f>
        <v>2</v>
      </c>
      <c r="I23" s="38">
        <f>SUMIF(Matches!C:C, $F23, Matches!$M:$M)</f>
        <v>7</v>
      </c>
      <c r="J23" s="38">
        <f>SUMIF(Matches!D:D, $F23, Matches!$M:$M)</f>
        <v>34.818669999999997</v>
      </c>
      <c r="K23" s="38">
        <f>SUMIF(Matches!E:E, $F23, Matches!$M:$M)</f>
        <v>85.235152999999997</v>
      </c>
      <c r="L23" s="39">
        <f>SUMIF(Matches!F:F, $F23, Matches!$M:$M)</f>
        <v>0</v>
      </c>
      <c r="M23" s="39">
        <f>SUMIF(Matches!G:G, $F23, Matches!$M:$M)</f>
        <v>54.254198000000002</v>
      </c>
      <c r="N23" s="39">
        <f>SUMIF(Matches!H:H, $F23, Matches!$M:$M)</f>
        <v>64.134273000000007</v>
      </c>
      <c r="O23" s="38">
        <f>SUMIF(Matches!C:C,$F23,Matches!$K:$K)</f>
        <v>2</v>
      </c>
      <c r="P23" s="38">
        <f>SUMIF(Matches!D:D,$F23,Matches!$K:$K)</f>
        <v>2</v>
      </c>
      <c r="Q23" s="38">
        <f>SUMIF(Matches!E:E,$F23,Matches!$K:$K)</f>
        <v>4</v>
      </c>
      <c r="R23" s="39">
        <f>SUMIF(Matches!F:F,$F23,Matches!$L:$L)</f>
        <v>0</v>
      </c>
      <c r="S23" s="39">
        <f>SUMIF(Matches!G:G,$F23,Matches!$L:$L)</f>
        <v>2</v>
      </c>
      <c r="T23" s="39">
        <f>SUMIF(Matches!H:H,$F23,Matches!$L:$L)</f>
        <v>2</v>
      </c>
      <c r="U23" s="37">
        <f t="shared" si="2"/>
        <v>245.442294</v>
      </c>
      <c r="V23" s="37">
        <f t="shared" si="3"/>
        <v>12</v>
      </c>
      <c r="W23" s="37">
        <f t="shared" si="4"/>
        <v>14</v>
      </c>
    </row>
    <row r="24" spans="1:23">
      <c r="A24" s="15">
        <v>244</v>
      </c>
      <c r="B24" s="16">
        <v>12.6533</v>
      </c>
      <c r="C24" s="17">
        <f t="shared" si="0"/>
        <v>5.8605300000000007</v>
      </c>
      <c r="D24" s="17">
        <f t="shared" si="5"/>
        <v>5.8605300000000007</v>
      </c>
      <c r="F24" s="32">
        <f>'Online Results'!B26</f>
        <v>1885</v>
      </c>
      <c r="G24" s="17">
        <f t="shared" si="1"/>
        <v>11.194700000000001</v>
      </c>
      <c r="H24" s="17">
        <f>VLOOKUP(F24, 'Online Results'!$B$3:$G$103, 6, FALSE)</f>
        <v>2</v>
      </c>
      <c r="I24" s="38">
        <f>SUMIF(Matches!C:C, $F24, Matches!$M:$M)</f>
        <v>33.59487</v>
      </c>
      <c r="J24" s="38">
        <f>SUMIF(Matches!D:D, $F24, Matches!$M:$M)</f>
        <v>54.833676666666669</v>
      </c>
      <c r="K24" s="38">
        <f>SUMIF(Matches!E:E, $F24, Matches!$M:$M)</f>
        <v>56</v>
      </c>
      <c r="L24" s="39">
        <f>SUMIF(Matches!F:F, $F24, Matches!$M:$M)</f>
        <v>22.58398</v>
      </c>
      <c r="M24" s="39">
        <f>SUMIF(Matches!G:G, $F24, Matches!$M:$M)</f>
        <v>14</v>
      </c>
      <c r="N24" s="39">
        <f>SUMIF(Matches!H:H, $F24, Matches!$M:$M)</f>
        <v>82.465300000000013</v>
      </c>
      <c r="O24" s="38">
        <f>SUMIF(Matches!C:C,$F24,Matches!$K:$K)</f>
        <v>0</v>
      </c>
      <c r="P24" s="38">
        <f>SUMIF(Matches!D:D,$F24,Matches!$K:$K)</f>
        <v>2</v>
      </c>
      <c r="Q24" s="38">
        <f>SUMIF(Matches!E:E,$F24,Matches!$K:$K)</f>
        <v>2</v>
      </c>
      <c r="R24" s="39">
        <f>SUMIF(Matches!F:F,$F24,Matches!$L:$L)</f>
        <v>2</v>
      </c>
      <c r="S24" s="39">
        <f>SUMIF(Matches!G:G,$F24,Matches!$L:$L)</f>
        <v>2</v>
      </c>
      <c r="T24" s="39">
        <f>SUMIF(Matches!H:H,$F24,Matches!$L:$L)</f>
        <v>2</v>
      </c>
      <c r="U24" s="37">
        <f t="shared" si="2"/>
        <v>263.47782666666672</v>
      </c>
      <c r="V24" s="37">
        <f t="shared" si="3"/>
        <v>10</v>
      </c>
      <c r="W24" s="37">
        <f t="shared" si="4"/>
        <v>12</v>
      </c>
    </row>
    <row r="25" spans="1:23">
      <c r="A25" s="15">
        <v>244</v>
      </c>
      <c r="B25" s="16">
        <v>6.4653700000000001</v>
      </c>
      <c r="C25" s="17">
        <f t="shared" si="0"/>
        <v>3.5962733333333339</v>
      </c>
      <c r="D25" s="17">
        <f t="shared" si="5"/>
        <v>5.8605300000000007</v>
      </c>
      <c r="F25" s="32">
        <f>'Online Results'!B27</f>
        <v>830</v>
      </c>
      <c r="G25" s="17">
        <f t="shared" si="1"/>
        <v>12.197706666666667</v>
      </c>
      <c r="H25" s="17">
        <f>VLOOKUP(F25, 'Online Results'!$B$3:$G$103, 6, FALSE)</f>
        <v>4</v>
      </c>
      <c r="I25" s="38">
        <f>SUMIF(Matches!C:C, $F25, Matches!$M:$M)</f>
        <v>22.388486666666665</v>
      </c>
      <c r="J25" s="38">
        <f>SUMIF(Matches!D:D, $F25, Matches!$M:$M)</f>
        <v>22.434729999999998</v>
      </c>
      <c r="K25" s="38">
        <f>SUMIF(Matches!E:E, $F25, Matches!$M:$M)</f>
        <v>21.118389999999998</v>
      </c>
      <c r="L25" s="39">
        <f>SUMIF(Matches!F:F, $F25, Matches!$M:$M)</f>
        <v>62.065486666666665</v>
      </c>
      <c r="M25" s="39">
        <f>SUMIF(Matches!G:G, $F25, Matches!$M:$M)</f>
        <v>31.713082666666665</v>
      </c>
      <c r="N25" s="39">
        <f>SUMIF(Matches!H:H, $F25, Matches!$M:$M)</f>
        <v>53.875240000000005</v>
      </c>
      <c r="O25" s="38">
        <f>SUMIF(Matches!C:C,$F25,Matches!$K:$K)</f>
        <v>2</v>
      </c>
      <c r="P25" s="38">
        <f>SUMIF(Matches!D:D,$F25,Matches!$K:$K)</f>
        <v>2</v>
      </c>
      <c r="Q25" s="38">
        <f>SUMIF(Matches!E:E,$F25,Matches!$K:$K)</f>
        <v>2</v>
      </c>
      <c r="R25" s="39">
        <f>SUMIF(Matches!F:F,$F25,Matches!$L:$L)</f>
        <v>2</v>
      </c>
      <c r="S25" s="39">
        <f>SUMIF(Matches!G:G,$F25,Matches!$L:$L)</f>
        <v>0</v>
      </c>
      <c r="T25" s="39">
        <f>SUMIF(Matches!H:H,$F25,Matches!$L:$L)</f>
        <v>2</v>
      </c>
      <c r="U25" s="37">
        <f t="shared" si="2"/>
        <v>213.595416</v>
      </c>
      <c r="V25" s="37">
        <f t="shared" si="3"/>
        <v>10</v>
      </c>
      <c r="W25" s="37">
        <f t="shared" si="4"/>
        <v>14</v>
      </c>
    </row>
    <row r="26" spans="1:23">
      <c r="A26" s="15">
        <v>244</v>
      </c>
      <c r="B26" s="16">
        <v>3.27345</v>
      </c>
      <c r="C26" s="17">
        <f t="shared" si="0"/>
        <v>2.1617250000000001</v>
      </c>
      <c r="D26" s="17">
        <f t="shared" si="5"/>
        <v>5.8605300000000007</v>
      </c>
      <c r="F26" s="32">
        <f>'Online Results'!B28</f>
        <v>4203</v>
      </c>
      <c r="G26" s="17">
        <f t="shared" si="1"/>
        <v>1.99718</v>
      </c>
      <c r="H26" s="17">
        <f>VLOOKUP(F26, 'Online Results'!$B$3:$G$103, 6, FALSE)</f>
        <v>4</v>
      </c>
      <c r="I26" s="38">
        <f>SUMIF(Matches!C:C, $F26, Matches!$M:$M)</f>
        <v>61.73621</v>
      </c>
      <c r="J26" s="38">
        <f>SUMIF(Matches!D:D, $F26, Matches!$M:$M)</f>
        <v>28.762838333333335</v>
      </c>
      <c r="K26" s="38">
        <f>SUMIF(Matches!E:E, $F26, Matches!$M:$M)</f>
        <v>16</v>
      </c>
      <c r="L26" s="39">
        <f>SUMIF(Matches!F:F, $F26, Matches!$M:$M)</f>
        <v>13.434970000000002</v>
      </c>
      <c r="M26" s="39">
        <f>SUMIF(Matches!G:G, $F26, Matches!$M:$M)</f>
        <v>68.993356000000006</v>
      </c>
      <c r="N26" s="39">
        <f>SUMIF(Matches!H:H, $F26, Matches!$M:$M)</f>
        <v>0</v>
      </c>
      <c r="O26" s="38">
        <f>SUMIF(Matches!C:C,$F26,Matches!$K:$K)</f>
        <v>2</v>
      </c>
      <c r="P26" s="38">
        <f>SUMIF(Matches!D:D,$F26,Matches!$K:$K)</f>
        <v>2</v>
      </c>
      <c r="Q26" s="38">
        <f>SUMIF(Matches!E:E,$F26,Matches!$K:$K)</f>
        <v>2</v>
      </c>
      <c r="R26" s="39">
        <f>SUMIF(Matches!F:F,$F26,Matches!$L:$L)</f>
        <v>2</v>
      </c>
      <c r="S26" s="39">
        <f>SUMIF(Matches!G:G,$F26,Matches!$L:$L)</f>
        <v>0</v>
      </c>
      <c r="T26" s="39">
        <f>SUMIF(Matches!H:H,$F26,Matches!$L:$L)</f>
        <v>0</v>
      </c>
      <c r="U26" s="37">
        <f t="shared" si="2"/>
        <v>188.92737433333335</v>
      </c>
      <c r="V26" s="37">
        <f t="shared" si="3"/>
        <v>8</v>
      </c>
      <c r="W26" s="37">
        <f t="shared" si="4"/>
        <v>12</v>
      </c>
    </row>
    <row r="27" spans="1:23">
      <c r="A27" s="15">
        <v>244</v>
      </c>
      <c r="B27" s="16">
        <v>1.05</v>
      </c>
      <c r="C27" s="17">
        <f t="shared" si="0"/>
        <v>1.05</v>
      </c>
      <c r="D27" s="17">
        <f t="shared" si="5"/>
        <v>5.8605300000000007</v>
      </c>
      <c r="F27" s="32">
        <f>'Online Results'!B29</f>
        <v>2500</v>
      </c>
      <c r="G27" s="17">
        <f t="shared" si="1"/>
        <v>1.3499849999999998</v>
      </c>
      <c r="H27" s="17">
        <f>VLOOKUP(F27, 'Online Results'!$B$3:$G$103, 6, FALSE)</f>
        <v>6</v>
      </c>
      <c r="I27" s="38">
        <f>SUMIF(Matches!C:C, $F27, Matches!$M:$M)</f>
        <v>65.686199999999999</v>
      </c>
      <c r="J27" s="38">
        <f>SUMIF(Matches!D:D, $F27, Matches!$M:$M)</f>
        <v>19.106655</v>
      </c>
      <c r="K27" s="38">
        <f>SUMIF(Matches!E:E, $F27, Matches!$M:$M)</f>
        <v>0</v>
      </c>
      <c r="L27" s="39">
        <f>SUMIF(Matches!F:F, $F27, Matches!$M:$M)</f>
        <v>44.419354999999996</v>
      </c>
      <c r="M27" s="39">
        <f>SUMIF(Matches!G:G, $F27, Matches!$M:$M)</f>
        <v>61.506480000000003</v>
      </c>
      <c r="N27" s="39">
        <f>SUMIF(Matches!H:H, $F27, Matches!$M:$M)</f>
        <v>13.755690000000001</v>
      </c>
      <c r="O27" s="38">
        <f>SUMIF(Matches!C:C,$F27,Matches!$K:$K)</f>
        <v>2</v>
      </c>
      <c r="P27" s="38">
        <f>SUMIF(Matches!D:D,$F27,Matches!$K:$K)</f>
        <v>0</v>
      </c>
      <c r="Q27" s="38">
        <f>SUMIF(Matches!E:E,$F27,Matches!$K:$K)</f>
        <v>0</v>
      </c>
      <c r="R27" s="39">
        <f>SUMIF(Matches!F:F,$F27,Matches!$L:$L)</f>
        <v>0</v>
      </c>
      <c r="S27" s="39">
        <f>SUMIF(Matches!G:G,$F27,Matches!$L:$L)</f>
        <v>2</v>
      </c>
      <c r="T27" s="39">
        <f>SUMIF(Matches!H:H,$F27,Matches!$L:$L)</f>
        <v>2</v>
      </c>
      <c r="U27" s="37">
        <f t="shared" si="2"/>
        <v>204.47438</v>
      </c>
      <c r="V27" s="37">
        <f t="shared" si="3"/>
        <v>6</v>
      </c>
      <c r="W27" s="37">
        <f t="shared" si="4"/>
        <v>12</v>
      </c>
    </row>
    <row r="28" spans="1:23">
      <c r="A28" s="15">
        <v>254</v>
      </c>
      <c r="B28" s="16">
        <v>34.638599999999997</v>
      </c>
      <c r="C28" s="17">
        <f t="shared" si="0"/>
        <v>29.399549999999998</v>
      </c>
      <c r="D28" s="17">
        <f t="shared" si="5"/>
        <v>29.399549999999998</v>
      </c>
      <c r="F28" s="32">
        <f>'Online Results'!B30</f>
        <v>58</v>
      </c>
      <c r="G28" s="17">
        <f t="shared" si="1"/>
        <v>18.612400000000001</v>
      </c>
      <c r="H28" s="17">
        <f>VLOOKUP(F28, 'Online Results'!$B$3:$G$103, 6, FALSE)</f>
        <v>2</v>
      </c>
      <c r="I28" s="38">
        <f>SUMIF(Matches!C:C, $F28, Matches!$M:$M)</f>
        <v>57.514695000000003</v>
      </c>
      <c r="J28" s="38">
        <f>SUMIF(Matches!D:D, $F28, Matches!$M:$M)</f>
        <v>45.848664999999997</v>
      </c>
      <c r="K28" s="38">
        <f>SUMIF(Matches!E:E, $F28, Matches!$M:$M)</f>
        <v>57.905340000000002</v>
      </c>
      <c r="L28" s="39">
        <f>SUMIF(Matches!F:F, $F28, Matches!$M:$M)</f>
        <v>0</v>
      </c>
      <c r="M28" s="39">
        <f>SUMIF(Matches!G:G, $F28, Matches!$M:$M)</f>
        <v>22.434729999999998</v>
      </c>
      <c r="N28" s="39">
        <f>SUMIF(Matches!H:H, $F28, Matches!$M:$M)</f>
        <v>89.976934999999997</v>
      </c>
      <c r="O28" s="38">
        <f>SUMIF(Matches!C:C,$F28,Matches!$K:$K)</f>
        <v>4</v>
      </c>
      <c r="P28" s="38">
        <f>SUMIF(Matches!D:D,$F28,Matches!$K:$K)</f>
        <v>2</v>
      </c>
      <c r="Q28" s="38">
        <f>SUMIF(Matches!E:E,$F28,Matches!$K:$K)</f>
        <v>4</v>
      </c>
      <c r="R28" s="39">
        <f>SUMIF(Matches!F:F,$F28,Matches!$L:$L)</f>
        <v>0</v>
      </c>
      <c r="S28" s="39">
        <f>SUMIF(Matches!G:G,$F28,Matches!$L:$L)</f>
        <v>0</v>
      </c>
      <c r="T28" s="39">
        <f>SUMIF(Matches!H:H,$F28,Matches!$L:$L)</f>
        <v>6</v>
      </c>
      <c r="U28" s="37">
        <f t="shared" si="2"/>
        <v>273.68036499999999</v>
      </c>
      <c r="V28" s="37">
        <f t="shared" si="3"/>
        <v>16</v>
      </c>
      <c r="W28" s="37">
        <f t="shared" si="4"/>
        <v>18</v>
      </c>
    </row>
    <row r="29" spans="1:23">
      <c r="A29" s="15">
        <v>254</v>
      </c>
      <c r="B29" s="16">
        <v>24.160499999999999</v>
      </c>
      <c r="C29" s="17">
        <f t="shared" si="0"/>
        <v>24.160499999999999</v>
      </c>
      <c r="D29" s="17">
        <f t="shared" si="5"/>
        <v>29.399549999999998</v>
      </c>
      <c r="F29" s="32">
        <f>'Online Results'!B31</f>
        <v>1678</v>
      </c>
      <c r="G29" s="17">
        <f t="shared" si="1"/>
        <v>23.245249999999999</v>
      </c>
      <c r="H29" s="17">
        <f>VLOOKUP(F29, 'Online Results'!$B$3:$G$103, 6, FALSE)</f>
        <v>2</v>
      </c>
      <c r="I29" s="38">
        <f>SUMIF(Matches!C:C, $F29, Matches!$M:$M)</f>
        <v>24</v>
      </c>
      <c r="J29" s="38">
        <f>SUMIF(Matches!D:D, $F29, Matches!$M:$M)</f>
        <v>0</v>
      </c>
      <c r="K29" s="38">
        <f>SUMIF(Matches!E:E, $F29, Matches!$M:$M)</f>
        <v>101.12641599999999</v>
      </c>
      <c r="L29" s="39">
        <f>SUMIF(Matches!F:F, $F29, Matches!$M:$M)</f>
        <v>32.672685000000001</v>
      </c>
      <c r="M29" s="39">
        <f>SUMIF(Matches!G:G, $F29, Matches!$M:$M)</f>
        <v>120.559606</v>
      </c>
      <c r="N29" s="39">
        <f>SUMIF(Matches!H:H, $F29, Matches!$M:$M)</f>
        <v>0</v>
      </c>
      <c r="O29" s="38">
        <f>SUMIF(Matches!C:C,$F29,Matches!$K:$K)</f>
        <v>2</v>
      </c>
      <c r="P29" s="38">
        <f>SUMIF(Matches!D:D,$F29,Matches!$K:$K)</f>
        <v>0</v>
      </c>
      <c r="Q29" s="38">
        <f>SUMIF(Matches!E:E,$F29,Matches!$K:$K)</f>
        <v>2</v>
      </c>
      <c r="R29" s="39">
        <f>SUMIF(Matches!F:F,$F29,Matches!$L:$L)</f>
        <v>0</v>
      </c>
      <c r="S29" s="39">
        <f>SUMIF(Matches!G:G,$F29,Matches!$L:$L)</f>
        <v>6</v>
      </c>
      <c r="T29" s="39">
        <f>SUMIF(Matches!H:H,$F29,Matches!$L:$L)</f>
        <v>0</v>
      </c>
      <c r="U29" s="37">
        <f t="shared" si="2"/>
        <v>278.35870699999998</v>
      </c>
      <c r="V29" s="37">
        <f t="shared" si="3"/>
        <v>10</v>
      </c>
      <c r="W29" s="37">
        <f t="shared" si="4"/>
        <v>12</v>
      </c>
    </row>
    <row r="30" spans="1:23">
      <c r="A30" s="15">
        <v>279</v>
      </c>
      <c r="B30" s="16">
        <v>9.4822000000000006</v>
      </c>
      <c r="C30" s="17">
        <f t="shared" si="0"/>
        <v>9.4822000000000006</v>
      </c>
      <c r="D30" s="17">
        <f t="shared" si="5"/>
        <v>9.4822000000000006</v>
      </c>
      <c r="F30" s="32">
        <f>'Online Results'!B32</f>
        <v>4069</v>
      </c>
      <c r="G30" s="17">
        <f t="shared" si="1"/>
        <v>13.735700000000001</v>
      </c>
      <c r="H30" s="17">
        <f>VLOOKUP(F30, 'Online Results'!$B$3:$G$103, 6, FALSE)</f>
        <v>2</v>
      </c>
      <c r="I30" s="38">
        <f>SUMIF(Matches!C:C, $F30, Matches!$M:$M)</f>
        <v>28.237935</v>
      </c>
      <c r="J30" s="38">
        <f>SUMIF(Matches!D:D, $F30, Matches!$M:$M)</f>
        <v>45.743169999999999</v>
      </c>
      <c r="K30" s="38">
        <f>SUMIF(Matches!E:E, $F30, Matches!$M:$M)</f>
        <v>36.6691</v>
      </c>
      <c r="L30" s="39">
        <f>SUMIF(Matches!F:F, $F30, Matches!$M:$M)</f>
        <v>25.796270000000003</v>
      </c>
      <c r="M30" s="39">
        <f>SUMIF(Matches!G:G, $F30, Matches!$M:$M)</f>
        <v>116.28338000000001</v>
      </c>
      <c r="N30" s="39">
        <f>SUMIF(Matches!H:H, $F30, Matches!$M:$M)</f>
        <v>0</v>
      </c>
      <c r="O30" s="38">
        <f>SUMIF(Matches!C:C,$F30,Matches!$K:$K)</f>
        <v>0</v>
      </c>
      <c r="P30" s="38">
        <f>SUMIF(Matches!D:D,$F30,Matches!$K:$K)</f>
        <v>2</v>
      </c>
      <c r="Q30" s="38">
        <f>SUMIF(Matches!E:E,$F30,Matches!$K:$K)</f>
        <v>0</v>
      </c>
      <c r="R30" s="39">
        <f>SUMIF(Matches!F:F,$F30,Matches!$L:$L)</f>
        <v>0</v>
      </c>
      <c r="S30" s="39">
        <f>SUMIF(Matches!G:G,$F30,Matches!$L:$L)</f>
        <v>8</v>
      </c>
      <c r="T30" s="39">
        <f>SUMIF(Matches!H:H,$F30,Matches!$L:$L)</f>
        <v>0</v>
      </c>
      <c r="U30" s="37">
        <f t="shared" si="2"/>
        <v>252.72985499999999</v>
      </c>
      <c r="V30" s="37">
        <f t="shared" si="3"/>
        <v>10</v>
      </c>
      <c r="W30" s="37">
        <f t="shared" si="4"/>
        <v>12</v>
      </c>
    </row>
    <row r="31" spans="1:23">
      <c r="A31" s="15">
        <v>288</v>
      </c>
      <c r="B31" s="16">
        <v>10.319699999999999</v>
      </c>
      <c r="C31" s="17">
        <f t="shared" si="0"/>
        <v>7.0640999999999998</v>
      </c>
      <c r="D31" s="17">
        <f t="shared" si="5"/>
        <v>7.0640999999999998</v>
      </c>
      <c r="F31" s="32">
        <f>'Online Results'!B33</f>
        <v>27</v>
      </c>
      <c r="G31" s="17">
        <f t="shared" si="1"/>
        <v>19.507574999999999</v>
      </c>
      <c r="H31" s="17">
        <f>VLOOKUP(F31, 'Online Results'!$B$3:$G$103, 6, FALSE)</f>
        <v>4</v>
      </c>
      <c r="I31" s="38">
        <f>SUMIF(Matches!C:C, $F31, Matches!$M:$M)</f>
        <v>76.462378333333334</v>
      </c>
      <c r="J31" s="38">
        <f>SUMIF(Matches!D:D, $F31, Matches!$M:$M)</f>
        <v>0</v>
      </c>
      <c r="K31" s="38">
        <f>SUMIF(Matches!E:E, $F31, Matches!$M:$M)</f>
        <v>48.338794999999998</v>
      </c>
      <c r="L31" s="39">
        <f>SUMIF(Matches!F:F, $F31, Matches!$M:$M)</f>
        <v>84.940010000000001</v>
      </c>
      <c r="M31" s="39">
        <f>SUMIF(Matches!G:G, $F31, Matches!$M:$M)</f>
        <v>0</v>
      </c>
      <c r="N31" s="39">
        <f>SUMIF(Matches!H:H, $F31, Matches!$M:$M)</f>
        <v>65.208884999999995</v>
      </c>
      <c r="O31" s="38">
        <f>SUMIF(Matches!C:C,$F31,Matches!$K:$K)</f>
        <v>2</v>
      </c>
      <c r="P31" s="38">
        <f>SUMIF(Matches!D:D,$F31,Matches!$K:$K)</f>
        <v>0</v>
      </c>
      <c r="Q31" s="38">
        <f>SUMIF(Matches!E:E,$F31,Matches!$K:$K)</f>
        <v>0</v>
      </c>
      <c r="R31" s="39">
        <f>SUMIF(Matches!F:F,$F31,Matches!$L:$L)</f>
        <v>6</v>
      </c>
      <c r="S31" s="39">
        <f>SUMIF(Matches!G:G,$F31,Matches!$L:$L)</f>
        <v>0</v>
      </c>
      <c r="T31" s="39">
        <f>SUMIF(Matches!H:H,$F31,Matches!$L:$L)</f>
        <v>2</v>
      </c>
      <c r="U31" s="37">
        <f t="shared" si="2"/>
        <v>274.95006833333332</v>
      </c>
      <c r="V31" s="37">
        <f t="shared" si="3"/>
        <v>10</v>
      </c>
      <c r="W31" s="37">
        <f t="shared" si="4"/>
        <v>14</v>
      </c>
    </row>
    <row r="32" spans="1:23">
      <c r="A32" s="15">
        <v>288</v>
      </c>
      <c r="B32" s="16">
        <v>8.6628100000000003</v>
      </c>
      <c r="C32" s="17">
        <f t="shared" si="0"/>
        <v>5.9789000000000003</v>
      </c>
      <c r="D32" s="17">
        <f t="shared" si="5"/>
        <v>7.0640999999999998</v>
      </c>
      <c r="F32" s="32">
        <f>'Online Results'!B34</f>
        <v>2844</v>
      </c>
      <c r="G32" s="17">
        <f t="shared" si="1"/>
        <v>2.9833050000000001</v>
      </c>
      <c r="H32" s="17">
        <f>VLOOKUP(F32, 'Online Results'!$B$3:$G$103, 6, FALSE)</f>
        <v>2</v>
      </c>
      <c r="I32" s="38">
        <f>SUMIF(Matches!C:C, $F32, Matches!$M:$M)</f>
        <v>15.368385000000002</v>
      </c>
      <c r="J32" s="38">
        <f>SUMIF(Matches!D:D, $F32, Matches!$M:$M)</f>
        <v>50.840239999999994</v>
      </c>
      <c r="K32" s="38">
        <f>SUMIF(Matches!E:E, $F32, Matches!$M:$M)</f>
        <v>15.70928</v>
      </c>
      <c r="L32" s="39">
        <f>SUMIF(Matches!F:F, $F32, Matches!$M:$M)</f>
        <v>49.786020000000001</v>
      </c>
      <c r="M32" s="39">
        <f>SUMIF(Matches!G:G, $F32, Matches!$M:$M)</f>
        <v>22.969304999999999</v>
      </c>
      <c r="N32" s="39">
        <f>SUMIF(Matches!H:H, $F32, Matches!$M:$M)</f>
        <v>0</v>
      </c>
      <c r="O32" s="38">
        <f>SUMIF(Matches!C:C,$F32,Matches!$K:$K)</f>
        <v>2</v>
      </c>
      <c r="P32" s="38">
        <f>SUMIF(Matches!D:D,$F32,Matches!$K:$K)</f>
        <v>2</v>
      </c>
      <c r="Q32" s="38">
        <f>SUMIF(Matches!E:E,$F32,Matches!$K:$K)</f>
        <v>0</v>
      </c>
      <c r="R32" s="39">
        <f>SUMIF(Matches!F:F,$F32,Matches!$L:$L)</f>
        <v>2</v>
      </c>
      <c r="S32" s="39">
        <f>SUMIF(Matches!G:G,$F32,Matches!$L:$L)</f>
        <v>0</v>
      </c>
      <c r="T32" s="39">
        <f>SUMIF(Matches!H:H,$F32,Matches!$L:$L)</f>
        <v>0</v>
      </c>
      <c r="U32" s="37">
        <f t="shared" si="2"/>
        <v>154.67322999999999</v>
      </c>
      <c r="V32" s="37">
        <f t="shared" si="3"/>
        <v>6</v>
      </c>
      <c r="W32" s="37">
        <f t="shared" si="4"/>
        <v>8</v>
      </c>
    </row>
    <row r="33" spans="1:23">
      <c r="A33" s="15">
        <v>288</v>
      </c>
      <c r="B33" s="16">
        <v>7.8555400000000004</v>
      </c>
      <c r="C33" s="17">
        <f t="shared" si="0"/>
        <v>4.6369449999999999</v>
      </c>
      <c r="D33" s="17">
        <f t="shared" si="5"/>
        <v>7.0640999999999998</v>
      </c>
      <c r="F33" s="32">
        <f>'Online Results'!B35</f>
        <v>1764</v>
      </c>
      <c r="G33" s="17">
        <f t="shared" si="1"/>
        <v>7.4302550000000007</v>
      </c>
      <c r="H33" s="17">
        <f>VLOOKUP(F33, 'Online Results'!$B$3:$G$103, 6, FALSE)</f>
        <v>4</v>
      </c>
      <c r="I33" s="38">
        <f>SUMIF(Matches!C:C, $F33, Matches!$M:$M)</f>
        <v>67.883255000000005</v>
      </c>
      <c r="J33" s="38">
        <f>SUMIF(Matches!D:D, $F33, Matches!$M:$M)</f>
        <v>0</v>
      </c>
      <c r="K33" s="38">
        <f>SUMIF(Matches!E:E, $F33, Matches!$M:$M)</f>
        <v>17</v>
      </c>
      <c r="L33" s="39">
        <f>SUMIF(Matches!F:F, $F33, Matches!$M:$M)</f>
        <v>30</v>
      </c>
      <c r="M33" s="39">
        <f>SUMIF(Matches!G:G, $F33, Matches!$M:$M)</f>
        <v>47.747892</v>
      </c>
      <c r="N33" s="39">
        <f>SUMIF(Matches!H:H, $F33, Matches!$M:$M)</f>
        <v>32.672685000000001</v>
      </c>
      <c r="O33" s="38">
        <f>SUMIF(Matches!C:C,$F33,Matches!$K:$K)</f>
        <v>0</v>
      </c>
      <c r="P33" s="38">
        <f>SUMIF(Matches!D:D,$F33,Matches!$K:$K)</f>
        <v>0</v>
      </c>
      <c r="Q33" s="38">
        <f>SUMIF(Matches!E:E,$F33,Matches!$K:$K)</f>
        <v>0</v>
      </c>
      <c r="R33" s="39">
        <f>SUMIF(Matches!F:F,$F33,Matches!$L:$L)</f>
        <v>2</v>
      </c>
      <c r="S33" s="39">
        <f>SUMIF(Matches!G:G,$F33,Matches!$L:$L)</f>
        <v>2</v>
      </c>
      <c r="T33" s="39">
        <f>SUMIF(Matches!H:H,$F33,Matches!$L:$L)</f>
        <v>0</v>
      </c>
      <c r="U33" s="37">
        <f t="shared" si="2"/>
        <v>195.303832</v>
      </c>
      <c r="V33" s="37">
        <f t="shared" si="3"/>
        <v>4</v>
      </c>
      <c r="W33" s="37">
        <f t="shared" si="4"/>
        <v>8</v>
      </c>
    </row>
    <row r="34" spans="1:23">
      <c r="A34" s="15">
        <v>288</v>
      </c>
      <c r="B34" s="16">
        <v>1.41835</v>
      </c>
      <c r="C34" s="17">
        <f t="shared" si="0"/>
        <v>1.41835</v>
      </c>
      <c r="D34" s="17">
        <f t="shared" si="5"/>
        <v>7.0640999999999998</v>
      </c>
      <c r="F34" s="32">
        <f>'Online Results'!B36</f>
        <v>4265</v>
      </c>
      <c r="G34" s="17">
        <f t="shared" si="1"/>
        <v>7.44503</v>
      </c>
      <c r="H34" s="17">
        <f>VLOOKUP(F34, 'Online Results'!$B$3:$G$103, 6, FALSE)</f>
        <v>4</v>
      </c>
      <c r="I34" s="38">
        <f>SUMIF(Matches!C:C, $F34, Matches!$M:$M)</f>
        <v>32.672685000000001</v>
      </c>
      <c r="J34" s="38">
        <f>SUMIF(Matches!D:D, $F34, Matches!$M:$M)</f>
        <v>56.849899999999998</v>
      </c>
      <c r="K34" s="38">
        <f>SUMIF(Matches!E:E, $F34, Matches!$M:$M)</f>
        <v>47.624935000000001</v>
      </c>
      <c r="L34" s="39">
        <f>SUMIF(Matches!F:F, $F34, Matches!$M:$M)</f>
        <v>65.623230000000007</v>
      </c>
      <c r="M34" s="39">
        <f>SUMIF(Matches!G:G, $F34, Matches!$M:$M)</f>
        <v>0</v>
      </c>
      <c r="N34" s="39">
        <f>SUMIF(Matches!H:H, $F34, Matches!$M:$M)</f>
        <v>35</v>
      </c>
      <c r="O34" s="38">
        <f>SUMIF(Matches!C:C,$F34,Matches!$K:$K)</f>
        <v>2</v>
      </c>
      <c r="P34" s="38">
        <f>SUMIF(Matches!D:D,$F34,Matches!$K:$K)</f>
        <v>2</v>
      </c>
      <c r="Q34" s="38">
        <f>SUMIF(Matches!E:E,$F34,Matches!$K:$K)</f>
        <v>2</v>
      </c>
      <c r="R34" s="39">
        <f>SUMIF(Matches!F:F,$F34,Matches!$L:$L)</f>
        <v>4</v>
      </c>
      <c r="S34" s="39">
        <f>SUMIF(Matches!G:G,$F34,Matches!$L:$L)</f>
        <v>0</v>
      </c>
      <c r="T34" s="39">
        <f>SUMIF(Matches!H:H,$F34,Matches!$L:$L)</f>
        <v>2</v>
      </c>
      <c r="U34" s="37">
        <f t="shared" si="2"/>
        <v>237.77074999999999</v>
      </c>
      <c r="V34" s="37">
        <f t="shared" si="3"/>
        <v>12</v>
      </c>
      <c r="W34" s="37">
        <f t="shared" si="4"/>
        <v>16</v>
      </c>
    </row>
    <row r="35" spans="1:23">
      <c r="A35" s="15">
        <v>293</v>
      </c>
      <c r="B35" s="16">
        <v>4.6064600000000002</v>
      </c>
      <c r="C35" s="17">
        <f t="shared" si="0"/>
        <v>4.3239400000000003</v>
      </c>
      <c r="D35" s="17">
        <f t="shared" si="5"/>
        <v>4.3239400000000003</v>
      </c>
      <c r="F35" s="32">
        <f>'Online Results'!B37</f>
        <v>4226</v>
      </c>
      <c r="G35" s="17">
        <f t="shared" si="1"/>
        <v>6.7998200000000004</v>
      </c>
      <c r="H35" s="17">
        <f>VLOOKUP(F35, 'Online Results'!$B$3:$G$103, 6, FALSE)</f>
        <v>6</v>
      </c>
      <c r="I35" s="38">
        <f>SUMIF(Matches!C:C, $F35, Matches!$M:$M)</f>
        <v>56.92022</v>
      </c>
      <c r="J35" s="38">
        <f>SUMIF(Matches!D:D, $F35, Matches!$M:$M)</f>
        <v>0</v>
      </c>
      <c r="K35" s="38">
        <f>SUMIF(Matches!E:E, $F35, Matches!$M:$M)</f>
        <v>62.417855000000003</v>
      </c>
      <c r="L35" s="39">
        <f>SUMIF(Matches!F:F, $F35, Matches!$M:$M)</f>
        <v>25.295950000000001</v>
      </c>
      <c r="M35" s="39">
        <f>SUMIF(Matches!G:G, $F35, Matches!$M:$M)</f>
        <v>36.046635999999999</v>
      </c>
      <c r="N35" s="39">
        <f>SUMIF(Matches!H:H, $F35, Matches!$M:$M)</f>
        <v>25</v>
      </c>
      <c r="O35" s="38">
        <f>SUMIF(Matches!C:C,$F35,Matches!$K:$K)</f>
        <v>0</v>
      </c>
      <c r="P35" s="38">
        <f>SUMIF(Matches!D:D,$F35,Matches!$K:$K)</f>
        <v>0</v>
      </c>
      <c r="Q35" s="38">
        <f>SUMIF(Matches!E:E,$F35,Matches!$K:$K)</f>
        <v>2</v>
      </c>
      <c r="R35" s="39">
        <f>SUMIF(Matches!F:F,$F35,Matches!$L:$L)</f>
        <v>2</v>
      </c>
      <c r="S35" s="39">
        <f>SUMIF(Matches!G:G,$F35,Matches!$L:$L)</f>
        <v>4</v>
      </c>
      <c r="T35" s="39">
        <f>SUMIF(Matches!H:H,$F35,Matches!$L:$L)</f>
        <v>0</v>
      </c>
      <c r="U35" s="37">
        <f t="shared" si="2"/>
        <v>205.68066100000001</v>
      </c>
      <c r="V35" s="37">
        <f t="shared" si="3"/>
        <v>8</v>
      </c>
      <c r="W35" s="37">
        <f t="shared" si="4"/>
        <v>14</v>
      </c>
    </row>
    <row r="36" spans="1:23">
      <c r="A36" s="15">
        <v>293</v>
      </c>
      <c r="B36" s="16">
        <v>4.0414199999999996</v>
      </c>
      <c r="C36" s="17">
        <f t="shared" si="0"/>
        <v>4.0414199999999996</v>
      </c>
      <c r="D36" s="17">
        <f t="shared" si="5"/>
        <v>4.3239400000000003</v>
      </c>
      <c r="F36" s="32">
        <f>'Online Results'!B38</f>
        <v>2626</v>
      </c>
      <c r="G36" s="17">
        <f t="shared" si="1"/>
        <v>12.815950000000001</v>
      </c>
      <c r="H36" s="17">
        <f>VLOOKUP(F36, 'Online Results'!$B$3:$G$103, 6, FALSE)</f>
        <v>2</v>
      </c>
      <c r="I36" s="38">
        <f>SUMIF(Matches!C:C, $F36, Matches!$M:$M)</f>
        <v>41.975691000000005</v>
      </c>
      <c r="J36" s="38">
        <f>SUMIF(Matches!D:D, $F36, Matches!$M:$M)</f>
        <v>0</v>
      </c>
      <c r="K36" s="38">
        <f>SUMIF(Matches!E:E, $F36, Matches!$M:$M)</f>
        <v>66.952925000000008</v>
      </c>
      <c r="L36" s="39">
        <f>SUMIF(Matches!F:F, $F36, Matches!$M:$M)</f>
        <v>25</v>
      </c>
      <c r="M36" s="39">
        <f>SUMIF(Matches!G:G, $F36, Matches!$M:$M)</f>
        <v>51.719909999999999</v>
      </c>
      <c r="N36" s="39">
        <f>SUMIF(Matches!H:H, $F36, Matches!$M:$M)</f>
        <v>15.03003</v>
      </c>
      <c r="O36" s="38">
        <f>SUMIF(Matches!C:C,$F36,Matches!$K:$K)</f>
        <v>2</v>
      </c>
      <c r="P36" s="38">
        <f>SUMIF(Matches!D:D,$F36,Matches!$K:$K)</f>
        <v>0</v>
      </c>
      <c r="Q36" s="38">
        <f>SUMIF(Matches!E:E,$F36,Matches!$K:$K)</f>
        <v>2</v>
      </c>
      <c r="R36" s="39">
        <f>SUMIF(Matches!F:F,$F36,Matches!$L:$L)</f>
        <v>2</v>
      </c>
      <c r="S36" s="39">
        <f>SUMIF(Matches!G:G,$F36,Matches!$L:$L)</f>
        <v>4</v>
      </c>
      <c r="T36" s="39">
        <f>SUMIF(Matches!H:H,$F36,Matches!$L:$L)</f>
        <v>2</v>
      </c>
      <c r="U36" s="37">
        <f t="shared" si="2"/>
        <v>200.67855600000001</v>
      </c>
      <c r="V36" s="37">
        <f t="shared" si="3"/>
        <v>12</v>
      </c>
      <c r="W36" s="37">
        <f t="shared" si="4"/>
        <v>14</v>
      </c>
    </row>
    <row r="37" spans="1:23">
      <c r="A37" s="15">
        <v>341</v>
      </c>
      <c r="B37" s="16">
        <v>38.6389</v>
      </c>
      <c r="C37" s="17">
        <f t="shared" si="0"/>
        <v>34.869675000000001</v>
      </c>
      <c r="D37" s="17">
        <f t="shared" si="5"/>
        <v>34.869675000000001</v>
      </c>
      <c r="F37" s="32">
        <f>'Online Results'!B39</f>
        <v>415</v>
      </c>
      <c r="G37" s="17">
        <f t="shared" si="1"/>
        <v>3.8479150000000004</v>
      </c>
      <c r="H37" s="17">
        <f>VLOOKUP(F37, 'Online Results'!$B$3:$G$103, 6, FALSE)</f>
        <v>2</v>
      </c>
      <c r="I37" s="38">
        <f>SUMIF(Matches!C:C, $F37, Matches!$M:$M)</f>
        <v>64.995769999999993</v>
      </c>
      <c r="J37" s="38">
        <f>SUMIF(Matches!D:D, $F37, Matches!$M:$M)</f>
        <v>0</v>
      </c>
      <c r="K37" s="38">
        <f>SUMIF(Matches!E:E, $F37, Matches!$M:$M)</f>
        <v>62.383850000000002</v>
      </c>
      <c r="L37" s="39">
        <f>SUMIF(Matches!F:F, $F37, Matches!$M:$M)</f>
        <v>0</v>
      </c>
      <c r="M37" s="39">
        <f>SUMIF(Matches!G:G, $F37, Matches!$M:$M)</f>
        <v>63.885504999999995</v>
      </c>
      <c r="N37" s="39">
        <f>SUMIF(Matches!H:H, $F37, Matches!$M:$M)</f>
        <v>33.59487</v>
      </c>
      <c r="O37" s="38">
        <f>SUMIF(Matches!C:C,$F37,Matches!$K:$K)</f>
        <v>0</v>
      </c>
      <c r="P37" s="38">
        <f>SUMIF(Matches!D:D,$F37,Matches!$K:$K)</f>
        <v>0</v>
      </c>
      <c r="Q37" s="38">
        <f>SUMIF(Matches!E:E,$F37,Matches!$K:$K)</f>
        <v>4</v>
      </c>
      <c r="R37" s="39">
        <f>SUMIF(Matches!F:F,$F37,Matches!$L:$L)</f>
        <v>0</v>
      </c>
      <c r="S37" s="39">
        <f>SUMIF(Matches!G:G,$F37,Matches!$L:$L)</f>
        <v>0</v>
      </c>
      <c r="T37" s="39">
        <f>SUMIF(Matches!H:H,$F37,Matches!$L:$L)</f>
        <v>2</v>
      </c>
      <c r="U37" s="37">
        <f t="shared" si="2"/>
        <v>224.85999499999997</v>
      </c>
      <c r="V37" s="37">
        <f t="shared" si="3"/>
        <v>6</v>
      </c>
      <c r="W37" s="37">
        <f t="shared" si="4"/>
        <v>8</v>
      </c>
    </row>
    <row r="38" spans="1:23">
      <c r="A38" s="15">
        <v>341</v>
      </c>
      <c r="B38" s="16">
        <v>35.380099999999999</v>
      </c>
      <c r="C38" s="17">
        <f t="shared" si="0"/>
        <v>33.613266666666668</v>
      </c>
      <c r="D38" s="17">
        <f t="shared" si="5"/>
        <v>34.869675000000001</v>
      </c>
      <c r="F38" s="32">
        <f>'Online Results'!B40</f>
        <v>1986</v>
      </c>
      <c r="G38" s="17">
        <f t="shared" si="1"/>
        <v>28.112450000000003</v>
      </c>
      <c r="H38" s="17">
        <f>VLOOKUP(F38, 'Online Results'!$B$3:$G$103, 6, FALSE)</f>
        <v>2</v>
      </c>
      <c r="I38" s="38">
        <f>SUMIF(Matches!C:C, $F38, Matches!$M:$M)</f>
        <v>50.778985000000006</v>
      </c>
      <c r="J38" s="38">
        <f>SUMIF(Matches!D:D, $F38, Matches!$M:$M)</f>
        <v>38.226289999999999</v>
      </c>
      <c r="K38" s="38">
        <f>SUMIF(Matches!E:E, $F38, Matches!$M:$M)</f>
        <v>59.498570000000001</v>
      </c>
      <c r="L38" s="39">
        <f>SUMIF(Matches!F:F, $F38, Matches!$M:$M)</f>
        <v>41.49926</v>
      </c>
      <c r="M38" s="39">
        <f>SUMIF(Matches!G:G, $F38, Matches!$M:$M)</f>
        <v>0</v>
      </c>
      <c r="N38" s="39">
        <f>SUMIF(Matches!H:H, $F38, Matches!$M:$M)</f>
        <v>121.51508</v>
      </c>
      <c r="O38" s="38">
        <f>SUMIF(Matches!C:C,$F38,Matches!$K:$K)</f>
        <v>4</v>
      </c>
      <c r="P38" s="38">
        <f>SUMIF(Matches!D:D,$F38,Matches!$K:$K)</f>
        <v>2</v>
      </c>
      <c r="Q38" s="38">
        <f>SUMIF(Matches!E:E,$F38,Matches!$K:$K)</f>
        <v>4</v>
      </c>
      <c r="R38" s="39">
        <f>SUMIF(Matches!F:F,$F38,Matches!$L:$L)</f>
        <v>0</v>
      </c>
      <c r="S38" s="39">
        <f>SUMIF(Matches!G:G,$F38,Matches!$L:$L)</f>
        <v>0</v>
      </c>
      <c r="T38" s="39">
        <f>SUMIF(Matches!H:H,$F38,Matches!$L:$L)</f>
        <v>4</v>
      </c>
      <c r="U38" s="37">
        <f t="shared" si="2"/>
        <v>311.51818500000002</v>
      </c>
      <c r="V38" s="37">
        <f t="shared" si="3"/>
        <v>14</v>
      </c>
      <c r="W38" s="37">
        <f t="shared" si="4"/>
        <v>16</v>
      </c>
    </row>
    <row r="39" spans="1:23">
      <c r="A39" s="15">
        <v>341</v>
      </c>
      <c r="B39" s="16">
        <v>33.089599999999997</v>
      </c>
      <c r="C39" s="17">
        <f t="shared" si="0"/>
        <v>32.729849999999999</v>
      </c>
      <c r="D39" s="17">
        <f t="shared" si="5"/>
        <v>34.869675000000001</v>
      </c>
      <c r="F39" s="32">
        <f>'Online Results'!B41</f>
        <v>564</v>
      </c>
      <c r="G39" s="17">
        <f t="shared" si="1"/>
        <v>4.0892799999999996</v>
      </c>
      <c r="H39" s="17">
        <f>VLOOKUP(F39, 'Online Results'!$B$3:$G$103, 6, FALSE)</f>
        <v>2</v>
      </c>
      <c r="I39" s="38">
        <f>SUMIF(Matches!C:C, $F39, Matches!$M:$M)</f>
        <v>38</v>
      </c>
      <c r="J39" s="38">
        <f>SUMIF(Matches!D:D, $F39, Matches!$M:$M)</f>
        <v>26.76473</v>
      </c>
      <c r="K39" s="38">
        <f>SUMIF(Matches!E:E, $F39, Matches!$M:$M)</f>
        <v>17.861559999999997</v>
      </c>
      <c r="L39" s="39">
        <f>SUMIF(Matches!F:F, $F39, Matches!$M:$M)</f>
        <v>23.788309999999996</v>
      </c>
      <c r="M39" s="39">
        <f>SUMIF(Matches!G:G, $F39, Matches!$M:$M)</f>
        <v>73.397165000000001</v>
      </c>
      <c r="N39" s="39">
        <f>SUMIF(Matches!H:H, $F39, Matches!$M:$M)</f>
        <v>27.982514999999999</v>
      </c>
      <c r="O39" s="38">
        <f>SUMIF(Matches!C:C,$F39,Matches!$K:$K)</f>
        <v>2</v>
      </c>
      <c r="P39" s="38">
        <f>SUMIF(Matches!D:D,$F39,Matches!$K:$K)</f>
        <v>0</v>
      </c>
      <c r="Q39" s="38">
        <f>SUMIF(Matches!E:E,$F39,Matches!$K:$K)</f>
        <v>2</v>
      </c>
      <c r="R39" s="39">
        <f>SUMIF(Matches!F:F,$F39,Matches!$L:$L)</f>
        <v>0</v>
      </c>
      <c r="S39" s="39">
        <f>SUMIF(Matches!G:G,$F39,Matches!$L:$L)</f>
        <v>4</v>
      </c>
      <c r="T39" s="39">
        <f>SUMIF(Matches!H:H,$F39,Matches!$L:$L)</f>
        <v>0</v>
      </c>
      <c r="U39" s="37">
        <f t="shared" si="2"/>
        <v>207.79427999999999</v>
      </c>
      <c r="V39" s="37">
        <f t="shared" si="3"/>
        <v>8</v>
      </c>
      <c r="W39" s="37">
        <f t="shared" si="4"/>
        <v>10</v>
      </c>
    </row>
    <row r="40" spans="1:23">
      <c r="A40" s="15">
        <v>341</v>
      </c>
      <c r="B40" s="16">
        <v>32.370100000000001</v>
      </c>
      <c r="C40" s="17">
        <f t="shared" si="0"/>
        <v>32.370100000000001</v>
      </c>
      <c r="D40" s="17">
        <f t="shared" si="5"/>
        <v>34.869675000000001</v>
      </c>
      <c r="F40" s="32">
        <f>'Online Results'!B42</f>
        <v>3419</v>
      </c>
      <c r="G40" s="17">
        <f t="shared" si="1"/>
        <v>13.216699999999999</v>
      </c>
      <c r="H40" s="17">
        <f>VLOOKUP(F40, 'Online Results'!$B$3:$G$103, 6, FALSE)</f>
        <v>0</v>
      </c>
      <c r="I40" s="38">
        <f>SUMIF(Matches!C:C, $F40, Matches!$M:$M)</f>
        <v>44.844750000000005</v>
      </c>
      <c r="J40" s="38">
        <f>SUMIF(Matches!D:D, $F40, Matches!$M:$M)</f>
        <v>40.739668333333327</v>
      </c>
      <c r="K40" s="38">
        <f>SUMIF(Matches!E:E, $F40, Matches!$M:$M)</f>
        <v>73.00175999999999</v>
      </c>
      <c r="L40" s="39">
        <f>SUMIF(Matches!F:F, $F40, Matches!$M:$M)</f>
        <v>52.334118000000004</v>
      </c>
      <c r="M40" s="39">
        <f>SUMIF(Matches!G:G, $F40, Matches!$M:$M)</f>
        <v>0</v>
      </c>
      <c r="N40" s="39">
        <f>SUMIF(Matches!H:H, $F40, Matches!$M:$M)</f>
        <v>65.472610000000003</v>
      </c>
      <c r="O40" s="38">
        <f>SUMIF(Matches!C:C,$F40,Matches!$K:$K)</f>
        <v>4</v>
      </c>
      <c r="P40" s="38">
        <f>SUMIF(Matches!D:D,$F40,Matches!$K:$K)</f>
        <v>2</v>
      </c>
      <c r="Q40" s="38">
        <f>SUMIF(Matches!E:E,$F40,Matches!$K:$K)</f>
        <v>4</v>
      </c>
      <c r="R40" s="39">
        <f>SUMIF(Matches!F:F,$F40,Matches!$L:$L)</f>
        <v>0</v>
      </c>
      <c r="S40" s="39">
        <f>SUMIF(Matches!G:G,$F40,Matches!$L:$L)</f>
        <v>0</v>
      </c>
      <c r="T40" s="39">
        <f>SUMIF(Matches!H:H,$F40,Matches!$L:$L)</f>
        <v>4</v>
      </c>
      <c r="U40" s="37">
        <f t="shared" si="2"/>
        <v>276.39290633333337</v>
      </c>
      <c r="V40" s="37">
        <f t="shared" si="3"/>
        <v>14</v>
      </c>
      <c r="W40" s="37">
        <f t="shared" si="4"/>
        <v>14</v>
      </c>
    </row>
    <row r="41" spans="1:23">
      <c r="A41" s="15">
        <v>415</v>
      </c>
      <c r="B41" s="16">
        <v>5.1358300000000003</v>
      </c>
      <c r="C41" s="17">
        <f t="shared" si="0"/>
        <v>3.8479150000000004</v>
      </c>
      <c r="D41" s="17">
        <f t="shared" si="5"/>
        <v>3.8479150000000004</v>
      </c>
      <c r="F41" s="32">
        <f>'Online Results'!B43</f>
        <v>3929</v>
      </c>
      <c r="G41" s="17">
        <f t="shared" si="1"/>
        <v>12.6012</v>
      </c>
      <c r="H41" s="17">
        <f>VLOOKUP(F41, 'Online Results'!$B$3:$G$103, 6, FALSE)</f>
        <v>2</v>
      </c>
      <c r="I41" s="38">
        <f>SUMIF(Matches!C:C, $F41, Matches!$M:$M)</f>
        <v>14</v>
      </c>
      <c r="J41" s="38">
        <f>SUMIF(Matches!D:D, $F41, Matches!$M:$M)</f>
        <v>29.12903</v>
      </c>
      <c r="K41" s="38">
        <f>SUMIF(Matches!E:E, $F41, Matches!$M:$M)</f>
        <v>82.318529999999996</v>
      </c>
      <c r="L41" s="39">
        <f>SUMIF(Matches!F:F, $F41, Matches!$M:$M)</f>
        <v>73.294836000000004</v>
      </c>
      <c r="M41" s="39">
        <f>SUMIF(Matches!G:G, $F41, Matches!$M:$M)</f>
        <v>0</v>
      </c>
      <c r="N41" s="39">
        <f>SUMIF(Matches!H:H, $F41, Matches!$M:$M)</f>
        <v>45.848664999999997</v>
      </c>
      <c r="O41" s="38">
        <f>SUMIF(Matches!C:C,$F41,Matches!$K:$K)</f>
        <v>2</v>
      </c>
      <c r="P41" s="38">
        <f>SUMIF(Matches!D:D,$F41,Matches!$K:$K)</f>
        <v>2</v>
      </c>
      <c r="Q41" s="38">
        <f>SUMIF(Matches!E:E,$F41,Matches!$K:$K)</f>
        <v>0</v>
      </c>
      <c r="R41" s="39">
        <f>SUMIF(Matches!F:F,$F41,Matches!$L:$L)</f>
        <v>4</v>
      </c>
      <c r="S41" s="39">
        <f>SUMIF(Matches!G:G,$F41,Matches!$L:$L)</f>
        <v>0</v>
      </c>
      <c r="T41" s="39">
        <f>SUMIF(Matches!H:H,$F41,Matches!$L:$L)</f>
        <v>0</v>
      </c>
      <c r="U41" s="37">
        <f t="shared" si="2"/>
        <v>244.59106099999997</v>
      </c>
      <c r="V41" s="37">
        <f t="shared" si="3"/>
        <v>8</v>
      </c>
      <c r="W41" s="37">
        <f t="shared" si="4"/>
        <v>10</v>
      </c>
    </row>
    <row r="42" spans="1:23">
      <c r="A42" s="15">
        <v>415</v>
      </c>
      <c r="B42" s="16">
        <v>2.56</v>
      </c>
      <c r="C42" s="17">
        <f t="shared" si="0"/>
        <v>2.56</v>
      </c>
      <c r="D42" s="17">
        <f t="shared" si="5"/>
        <v>3.8479150000000004</v>
      </c>
      <c r="F42" s="32">
        <f>'Online Results'!B44</f>
        <v>178</v>
      </c>
      <c r="G42" s="17">
        <f t="shared" si="1"/>
        <v>0.50937600000000005</v>
      </c>
      <c r="H42" s="17">
        <f>VLOOKUP(F42, 'Online Results'!$B$3:$G$103, 6, FALSE)</f>
        <v>2</v>
      </c>
      <c r="I42" s="38">
        <f>SUMIF(Matches!C:C, $F42, Matches!$M:$M)</f>
        <v>22.611666</v>
      </c>
      <c r="J42" s="38">
        <f>SUMIF(Matches!D:D, $F42, Matches!$M:$M)</f>
        <v>11</v>
      </c>
      <c r="K42" s="38">
        <f>SUMIF(Matches!E:E, $F42, Matches!$M:$M)</f>
        <v>64.339052000000009</v>
      </c>
      <c r="L42" s="39">
        <f>SUMIF(Matches!F:F, $F42, Matches!$M:$M)</f>
        <v>60.138329666666664</v>
      </c>
      <c r="M42" s="39">
        <f>SUMIF(Matches!G:G, $F42, Matches!$M:$M)</f>
        <v>0</v>
      </c>
      <c r="N42" s="39">
        <f>SUMIF(Matches!H:H, $F42, Matches!$M:$M)</f>
        <v>16.480106000000003</v>
      </c>
      <c r="O42" s="38">
        <f>SUMIF(Matches!C:C,$F42,Matches!$K:$K)</f>
        <v>0</v>
      </c>
      <c r="P42" s="38">
        <f>SUMIF(Matches!D:D,$F42,Matches!$K:$K)</f>
        <v>2</v>
      </c>
      <c r="Q42" s="38">
        <f>SUMIF(Matches!E:E,$F42,Matches!$K:$K)</f>
        <v>0</v>
      </c>
      <c r="R42" s="39">
        <f>SUMIF(Matches!F:F,$F42,Matches!$L:$L)</f>
        <v>0</v>
      </c>
      <c r="S42" s="39">
        <f>SUMIF(Matches!G:G,$F42,Matches!$L:$L)</f>
        <v>0</v>
      </c>
      <c r="T42" s="39">
        <f>SUMIF(Matches!H:H,$F42,Matches!$L:$L)</f>
        <v>0</v>
      </c>
      <c r="U42" s="37">
        <f t="shared" si="2"/>
        <v>174.56915366666667</v>
      </c>
      <c r="V42" s="37">
        <f t="shared" si="3"/>
        <v>2</v>
      </c>
      <c r="W42" s="37">
        <f t="shared" si="4"/>
        <v>4</v>
      </c>
    </row>
    <row r="43" spans="1:23">
      <c r="A43" s="15">
        <v>433</v>
      </c>
      <c r="B43" s="16">
        <v>7.9425699999999999</v>
      </c>
      <c r="C43" s="17">
        <f t="shared" si="0"/>
        <v>5.9145399999999997</v>
      </c>
      <c r="D43" s="17">
        <f t="shared" si="5"/>
        <v>5.9145399999999997</v>
      </c>
      <c r="F43" s="32">
        <f>'Online Results'!B45</f>
        <v>3965</v>
      </c>
      <c r="G43" s="17">
        <f t="shared" si="1"/>
        <v>10.811299999999999</v>
      </c>
      <c r="H43" s="17">
        <f>VLOOKUP(F43, 'Online Results'!$B$3:$G$103, 6, FALSE)</f>
        <v>2</v>
      </c>
      <c r="I43" s="38">
        <f>SUMIF(Matches!C:C, $F43, Matches!$M:$M)</f>
        <v>56.800155000000004</v>
      </c>
      <c r="J43" s="38">
        <f>SUMIF(Matches!D:D, $F43, Matches!$M:$M)</f>
        <v>0</v>
      </c>
      <c r="K43" s="38">
        <f>SUMIF(Matches!E:E, $F43, Matches!$M:$M)</f>
        <v>66.38348933333333</v>
      </c>
      <c r="L43" s="39">
        <f>SUMIF(Matches!F:F, $F43, Matches!$M:$M)</f>
        <v>0</v>
      </c>
      <c r="M43" s="39">
        <f>SUMIF(Matches!G:G, $F43, Matches!$M:$M)</f>
        <v>23.915900000000001</v>
      </c>
      <c r="N43" s="39">
        <f>SUMIF(Matches!H:H, $F43, Matches!$M:$M)</f>
        <v>81.378379999999993</v>
      </c>
      <c r="O43" s="38">
        <f>SUMIF(Matches!C:C,$F43,Matches!$K:$K)</f>
        <v>0</v>
      </c>
      <c r="P43" s="38">
        <f>SUMIF(Matches!D:D,$F43,Matches!$K:$K)</f>
        <v>0</v>
      </c>
      <c r="Q43" s="38">
        <f>SUMIF(Matches!E:E,$F43,Matches!$K:$K)</f>
        <v>4</v>
      </c>
      <c r="R43" s="39">
        <f>SUMIF(Matches!F:F,$F43,Matches!$L:$L)</f>
        <v>0</v>
      </c>
      <c r="S43" s="39">
        <f>SUMIF(Matches!G:G,$F43,Matches!$L:$L)</f>
        <v>2</v>
      </c>
      <c r="T43" s="39">
        <f>SUMIF(Matches!H:H,$F43,Matches!$L:$L)</f>
        <v>6</v>
      </c>
      <c r="U43" s="37">
        <f t="shared" si="2"/>
        <v>228.47792433333333</v>
      </c>
      <c r="V43" s="37">
        <f t="shared" si="3"/>
        <v>12</v>
      </c>
      <c r="W43" s="37">
        <f t="shared" si="4"/>
        <v>14</v>
      </c>
    </row>
    <row r="44" spans="1:23">
      <c r="A44" s="15">
        <v>433</v>
      </c>
      <c r="B44" s="16">
        <v>6.2357800000000001</v>
      </c>
      <c r="C44" s="17">
        <f t="shared" si="0"/>
        <v>4.900525</v>
      </c>
      <c r="D44" s="17">
        <f t="shared" si="5"/>
        <v>5.9145399999999997</v>
      </c>
      <c r="F44" s="32">
        <f>'Online Results'!B46</f>
        <v>2180</v>
      </c>
      <c r="G44" s="17">
        <f t="shared" si="1"/>
        <v>16.374300000000002</v>
      </c>
      <c r="H44" s="17">
        <f>VLOOKUP(F44, 'Online Results'!$B$3:$G$103, 6, FALSE)</f>
        <v>0</v>
      </c>
      <c r="I44" s="38">
        <f>SUMIF(Matches!C:C, $F44, Matches!$M:$M)</f>
        <v>72.050330000000002</v>
      </c>
      <c r="J44" s="38">
        <f>SUMIF(Matches!D:D, $F44, Matches!$M:$M)</f>
        <v>0</v>
      </c>
      <c r="K44" s="38">
        <f>SUMIF(Matches!E:E, $F44, Matches!$M:$M)</f>
        <v>67.6678</v>
      </c>
      <c r="L44" s="39">
        <f>SUMIF(Matches!F:F, $F44, Matches!$M:$M)</f>
        <v>56.289760000000001</v>
      </c>
      <c r="M44" s="39">
        <f>SUMIF(Matches!G:G, $F44, Matches!$M:$M)</f>
        <v>31</v>
      </c>
      <c r="N44" s="39">
        <f>SUMIF(Matches!H:H, $F44, Matches!$M:$M)</f>
        <v>54.965805000000003</v>
      </c>
      <c r="O44" s="38">
        <f>SUMIF(Matches!C:C,$F44,Matches!$K:$K)</f>
        <v>2</v>
      </c>
      <c r="P44" s="38">
        <f>SUMIF(Matches!D:D,$F44,Matches!$K:$K)</f>
        <v>0</v>
      </c>
      <c r="Q44" s="38">
        <f>SUMIF(Matches!E:E,$F44,Matches!$K:$K)</f>
        <v>0</v>
      </c>
      <c r="R44" s="39">
        <f>SUMIF(Matches!F:F,$F44,Matches!$L:$L)</f>
        <v>4</v>
      </c>
      <c r="S44" s="39">
        <f>SUMIF(Matches!G:G,$F44,Matches!$L:$L)</f>
        <v>2</v>
      </c>
      <c r="T44" s="39">
        <f>SUMIF(Matches!H:H,$F44,Matches!$L:$L)</f>
        <v>2</v>
      </c>
      <c r="U44" s="37">
        <f t="shared" si="2"/>
        <v>281.97369500000002</v>
      </c>
      <c r="V44" s="37">
        <f t="shared" si="3"/>
        <v>10</v>
      </c>
      <c r="W44" s="37">
        <f t="shared" si="4"/>
        <v>10</v>
      </c>
    </row>
    <row r="45" spans="1:23">
      <c r="A45" s="15">
        <v>433</v>
      </c>
      <c r="B45" s="16">
        <v>3.5652699999999999</v>
      </c>
      <c r="C45" s="17">
        <f t="shared" si="0"/>
        <v>3.5652699999999999</v>
      </c>
      <c r="D45" s="17">
        <f t="shared" si="5"/>
        <v>5.9145399999999997</v>
      </c>
      <c r="F45" s="32">
        <f>'Online Results'!B47</f>
        <v>3205</v>
      </c>
      <c r="G45" s="17">
        <f t="shared" si="1"/>
        <v>23.913699999999999</v>
      </c>
      <c r="H45" s="17">
        <f>VLOOKUP(F45, 'Online Results'!$B$3:$G$103, 6, FALSE)</f>
        <v>0</v>
      </c>
      <c r="I45" s="38">
        <f>SUMIF(Matches!C:C, $F45, Matches!$M:$M)</f>
        <v>62.713082666666665</v>
      </c>
      <c r="J45" s="38">
        <f>SUMIF(Matches!D:D, $F45, Matches!$M:$M)</f>
        <v>28.965805000000003</v>
      </c>
      <c r="K45" s="38">
        <f>SUMIF(Matches!E:E, $F45, Matches!$M:$M)</f>
        <v>0</v>
      </c>
      <c r="L45" s="39">
        <f>SUMIF(Matches!F:F, $F45, Matches!$M:$M)</f>
        <v>92.536914999999993</v>
      </c>
      <c r="M45" s="39">
        <f>SUMIF(Matches!G:G, $F45, Matches!$M:$M)</f>
        <v>56.833354999999997</v>
      </c>
      <c r="N45" s="39">
        <f>SUMIF(Matches!H:H, $F45, Matches!$M:$M)</f>
        <v>19.884229999999999</v>
      </c>
      <c r="O45" s="38">
        <f>SUMIF(Matches!C:C,$F45,Matches!$K:$K)</f>
        <v>4</v>
      </c>
      <c r="P45" s="38">
        <f>SUMIF(Matches!D:D,$F45,Matches!$K:$K)</f>
        <v>2</v>
      </c>
      <c r="Q45" s="38">
        <f>SUMIF(Matches!E:E,$F45,Matches!$K:$K)</f>
        <v>0</v>
      </c>
      <c r="R45" s="39">
        <f>SUMIF(Matches!F:F,$F45,Matches!$L:$L)</f>
        <v>6</v>
      </c>
      <c r="S45" s="39">
        <f>SUMIF(Matches!G:G,$F45,Matches!$L:$L)</f>
        <v>4</v>
      </c>
      <c r="T45" s="39">
        <f>SUMIF(Matches!H:H,$F45,Matches!$L:$L)</f>
        <v>2</v>
      </c>
      <c r="U45" s="37">
        <f t="shared" si="2"/>
        <v>260.93338766666665</v>
      </c>
      <c r="V45" s="37">
        <f t="shared" si="3"/>
        <v>18</v>
      </c>
      <c r="W45" s="37">
        <f t="shared" si="4"/>
        <v>18</v>
      </c>
    </row>
    <row r="46" spans="1:23">
      <c r="A46" s="15">
        <v>461</v>
      </c>
      <c r="B46" s="16">
        <v>12.398099999999999</v>
      </c>
      <c r="C46" s="17">
        <f t="shared" si="0"/>
        <v>11.701799999999999</v>
      </c>
      <c r="D46" s="17">
        <f t="shared" si="5"/>
        <v>11.701799999999999</v>
      </c>
      <c r="F46" s="32">
        <f>'Online Results'!B48</f>
        <v>78</v>
      </c>
      <c r="G46" s="17">
        <f t="shared" si="1"/>
        <v>13.827199999999999</v>
      </c>
      <c r="H46" s="17">
        <f>VLOOKUP(F46, 'Online Results'!$B$3:$G$103, 6, FALSE)</f>
        <v>2</v>
      </c>
      <c r="I46" s="38">
        <f>SUMIF(Matches!C:C, $F46, Matches!$M:$M)</f>
        <v>67.004270000000005</v>
      </c>
      <c r="J46" s="38">
        <f>SUMIF(Matches!D:D, $F46, Matches!$M:$M)</f>
        <v>31.80283</v>
      </c>
      <c r="K46" s="38">
        <f>SUMIF(Matches!E:E, $F46, Matches!$M:$M)</f>
        <v>58.700305</v>
      </c>
      <c r="L46" s="39">
        <f>SUMIF(Matches!F:F, $F46, Matches!$M:$M)</f>
        <v>30</v>
      </c>
      <c r="M46" s="39">
        <f>SUMIF(Matches!G:G, $F46, Matches!$M:$M)</f>
        <v>43.70928</v>
      </c>
      <c r="N46" s="39">
        <f>SUMIF(Matches!H:H, $F46, Matches!$M:$M)</f>
        <v>26.585974999999998</v>
      </c>
      <c r="O46" s="38">
        <f>SUMIF(Matches!C:C,$F46,Matches!$K:$K)</f>
        <v>2</v>
      </c>
      <c r="P46" s="38">
        <f>SUMIF(Matches!D:D,$F46,Matches!$K:$K)</f>
        <v>2</v>
      </c>
      <c r="Q46" s="38">
        <f>SUMIF(Matches!E:E,$F46,Matches!$K:$K)</f>
        <v>4</v>
      </c>
      <c r="R46" s="39">
        <f>SUMIF(Matches!F:F,$F46,Matches!$L:$L)</f>
        <v>0</v>
      </c>
      <c r="S46" s="39">
        <f>SUMIF(Matches!G:G,$F46,Matches!$L:$L)</f>
        <v>4</v>
      </c>
      <c r="T46" s="39">
        <f>SUMIF(Matches!H:H,$F46,Matches!$L:$L)</f>
        <v>2</v>
      </c>
      <c r="U46" s="37">
        <f t="shared" si="2"/>
        <v>257.80266</v>
      </c>
      <c r="V46" s="37">
        <f t="shared" si="3"/>
        <v>14</v>
      </c>
      <c r="W46" s="37">
        <f t="shared" si="4"/>
        <v>16</v>
      </c>
    </row>
    <row r="47" spans="1:23">
      <c r="A47" s="15">
        <v>461</v>
      </c>
      <c r="B47" s="16">
        <v>11.0055</v>
      </c>
      <c r="C47" s="17">
        <f t="shared" si="0"/>
        <v>11.0055</v>
      </c>
      <c r="D47" s="17">
        <f t="shared" si="5"/>
        <v>11.701799999999999</v>
      </c>
      <c r="F47" s="32">
        <f>'Online Results'!B49</f>
        <v>1817</v>
      </c>
      <c r="G47" s="17">
        <f t="shared" si="1"/>
        <v>5.1870000000000003</v>
      </c>
      <c r="H47" s="17">
        <f>VLOOKUP(F47, 'Online Results'!$B$3:$G$103, 6, FALSE)</f>
        <v>4</v>
      </c>
      <c r="I47" s="38">
        <f>SUMIF(Matches!C:C, $F47, Matches!$M:$M)</f>
        <v>45.941175000000001</v>
      </c>
      <c r="J47" s="38">
        <f>SUMIF(Matches!D:D, $F47, Matches!$M:$M)</f>
        <v>39.5381</v>
      </c>
      <c r="K47" s="38">
        <f>SUMIF(Matches!E:E, $F47, Matches!$M:$M)</f>
        <v>13.755690000000001</v>
      </c>
      <c r="L47" s="39">
        <f>SUMIF(Matches!F:F, $F47, Matches!$M:$M)</f>
        <v>24</v>
      </c>
      <c r="M47" s="39">
        <f>SUMIF(Matches!G:G, $F47, Matches!$M:$M)</f>
        <v>34.295950000000005</v>
      </c>
      <c r="N47" s="39">
        <f>SUMIF(Matches!H:H, $F47, Matches!$M:$M)</f>
        <v>52.113579999999999</v>
      </c>
      <c r="O47" s="38">
        <f>SUMIF(Matches!C:C,$F47,Matches!$K:$K)</f>
        <v>2</v>
      </c>
      <c r="P47" s="38">
        <f>SUMIF(Matches!D:D,$F47,Matches!$K:$K)</f>
        <v>0</v>
      </c>
      <c r="Q47" s="38">
        <f>SUMIF(Matches!E:E,$F47,Matches!$K:$K)</f>
        <v>0</v>
      </c>
      <c r="R47" s="39">
        <f>SUMIF(Matches!F:F,$F47,Matches!$L:$L)</f>
        <v>0</v>
      </c>
      <c r="S47" s="39">
        <f>SUMIF(Matches!G:G,$F47,Matches!$L:$L)</f>
        <v>2</v>
      </c>
      <c r="T47" s="39">
        <f>SUMIF(Matches!H:H,$F47,Matches!$L:$L)</f>
        <v>2</v>
      </c>
      <c r="U47" s="37">
        <f t="shared" si="2"/>
        <v>209.64449500000001</v>
      </c>
      <c r="V47" s="37">
        <f t="shared" si="3"/>
        <v>6</v>
      </c>
      <c r="W47" s="37">
        <f t="shared" si="4"/>
        <v>10</v>
      </c>
    </row>
    <row r="48" spans="1:23">
      <c r="A48" s="15">
        <v>503</v>
      </c>
      <c r="B48" s="16">
        <v>12.3483</v>
      </c>
      <c r="C48" s="17">
        <f t="shared" si="0"/>
        <v>9.9075300000000013</v>
      </c>
      <c r="D48" s="17">
        <f t="shared" si="5"/>
        <v>9.9075300000000013</v>
      </c>
      <c r="F48" s="32">
        <f>'Online Results'!B50</f>
        <v>2130</v>
      </c>
      <c r="G48" s="17">
        <f t="shared" si="1"/>
        <v>7.1320699999999997</v>
      </c>
      <c r="H48" s="17">
        <f>VLOOKUP(F48, 'Online Results'!$B$3:$G$103, 6, FALSE)</f>
        <v>2</v>
      </c>
      <c r="I48" s="38">
        <f>SUMIF(Matches!C:C, $F48, Matches!$M:$M)</f>
        <v>0</v>
      </c>
      <c r="J48" s="38">
        <f>SUMIF(Matches!D:D, $F48, Matches!$M:$M)</f>
        <v>77.357050000000001</v>
      </c>
      <c r="K48" s="38">
        <f>SUMIF(Matches!E:E, $F48, Matches!$M:$M)</f>
        <v>49.390884999999997</v>
      </c>
      <c r="L48" s="39">
        <f>SUMIF(Matches!F:F, $F48, Matches!$M:$M)</f>
        <v>0</v>
      </c>
      <c r="M48" s="39">
        <f>SUMIF(Matches!G:G, $F48, Matches!$M:$M)</f>
        <v>50.707665000000006</v>
      </c>
      <c r="N48" s="39">
        <f>SUMIF(Matches!H:H, $F48, Matches!$M:$M)</f>
        <v>14.571075999999998</v>
      </c>
      <c r="O48" s="38">
        <f>SUMIF(Matches!C:C,$F48,Matches!$K:$K)</f>
        <v>0</v>
      </c>
      <c r="P48" s="38">
        <f>SUMIF(Matches!D:D,$F48,Matches!$K:$K)</f>
        <v>4</v>
      </c>
      <c r="Q48" s="38">
        <f>SUMIF(Matches!E:E,$F48,Matches!$K:$K)</f>
        <v>4</v>
      </c>
      <c r="R48" s="39">
        <f>SUMIF(Matches!F:F,$F48,Matches!$L:$L)</f>
        <v>0</v>
      </c>
      <c r="S48" s="39">
        <f>SUMIF(Matches!G:G,$F48,Matches!$L:$L)</f>
        <v>2</v>
      </c>
      <c r="T48" s="39">
        <f>SUMIF(Matches!H:H,$F48,Matches!$L:$L)</f>
        <v>0</v>
      </c>
      <c r="U48" s="37">
        <f t="shared" si="2"/>
        <v>192.02667600000001</v>
      </c>
      <c r="V48" s="37">
        <f t="shared" si="3"/>
        <v>10</v>
      </c>
      <c r="W48" s="37">
        <f t="shared" si="4"/>
        <v>12</v>
      </c>
    </row>
    <row r="49" spans="1:23">
      <c r="A49" s="15">
        <v>503</v>
      </c>
      <c r="B49" s="16">
        <v>11.1098</v>
      </c>
      <c r="C49" s="17">
        <f t="shared" si="0"/>
        <v>8.687145000000001</v>
      </c>
      <c r="D49" s="17">
        <f t="shared" si="5"/>
        <v>9.9075300000000013</v>
      </c>
      <c r="F49" s="32">
        <f>'Online Results'!B51</f>
        <v>85</v>
      </c>
      <c r="G49" s="17">
        <f t="shared" si="1"/>
        <v>13.472659999999999</v>
      </c>
      <c r="H49" s="17">
        <f>VLOOKUP(F49, 'Online Results'!$B$3:$G$103, 6, FALSE)</f>
        <v>2</v>
      </c>
      <c r="I49" s="38">
        <f>SUMIF(Matches!C:C, $F49, Matches!$M:$M)</f>
        <v>0</v>
      </c>
      <c r="J49" s="38">
        <f>SUMIF(Matches!D:D, $F49, Matches!$M:$M)</f>
        <v>59.686199999999999</v>
      </c>
      <c r="K49" s="38">
        <f>SUMIF(Matches!E:E, $F49, Matches!$M:$M)</f>
        <v>50.848900999999998</v>
      </c>
      <c r="L49" s="39">
        <f>SUMIF(Matches!F:F, $F49, Matches!$M:$M)</f>
        <v>0</v>
      </c>
      <c r="M49" s="39">
        <f>SUMIF(Matches!G:G, $F49, Matches!$M:$M)</f>
        <v>51.767499999999998</v>
      </c>
      <c r="N49" s="39">
        <f>SUMIF(Matches!H:H, $F49, Matches!$M:$M)</f>
        <v>61.858058333333325</v>
      </c>
      <c r="O49" s="38">
        <f>SUMIF(Matches!C:C,$F49,Matches!$K:$K)</f>
        <v>0</v>
      </c>
      <c r="P49" s="38">
        <f>SUMIF(Matches!D:D,$F49,Matches!$K:$K)</f>
        <v>2</v>
      </c>
      <c r="Q49" s="38">
        <f>SUMIF(Matches!E:E,$F49,Matches!$K:$K)</f>
        <v>2</v>
      </c>
      <c r="R49" s="39">
        <f>SUMIF(Matches!F:F,$F49,Matches!$L:$L)</f>
        <v>0</v>
      </c>
      <c r="S49" s="39">
        <f>SUMIF(Matches!G:G,$F49,Matches!$L:$L)</f>
        <v>4</v>
      </c>
      <c r="T49" s="39">
        <f>SUMIF(Matches!H:H,$F49,Matches!$L:$L)</f>
        <v>0</v>
      </c>
      <c r="U49" s="37">
        <f t="shared" si="2"/>
        <v>224.16065933333331</v>
      </c>
      <c r="V49" s="37">
        <f t="shared" si="3"/>
        <v>8</v>
      </c>
      <c r="W49" s="37">
        <f t="shared" si="4"/>
        <v>10</v>
      </c>
    </row>
    <row r="50" spans="1:23">
      <c r="A50" s="15">
        <v>503</v>
      </c>
      <c r="B50" s="16">
        <v>6.2644900000000003</v>
      </c>
      <c r="C50" s="17">
        <f t="shared" si="0"/>
        <v>6.2644900000000003</v>
      </c>
      <c r="D50" s="17">
        <f t="shared" si="5"/>
        <v>9.9075300000000013</v>
      </c>
      <c r="F50" s="32">
        <f>'Online Results'!B52</f>
        <v>3115</v>
      </c>
      <c r="G50" s="17">
        <f t="shared" si="1"/>
        <v>1.3108610000000001</v>
      </c>
      <c r="H50" s="17">
        <f>VLOOKUP(F50, 'Online Results'!$B$3:$G$103, 6, FALSE)</f>
        <v>2</v>
      </c>
      <c r="I50" s="38">
        <f>SUMIF(Matches!C:C, $F50, Matches!$M:$M)</f>
        <v>62.891071999999994</v>
      </c>
      <c r="J50" s="38">
        <f>SUMIF(Matches!D:D, $F50, Matches!$M:$M)</f>
        <v>44.571075999999998</v>
      </c>
      <c r="K50" s="38">
        <f>SUMIF(Matches!E:E, $F50, Matches!$M:$M)</f>
        <v>22</v>
      </c>
      <c r="L50" s="39">
        <f>SUMIF(Matches!F:F, $F50, Matches!$M:$M)</f>
        <v>0</v>
      </c>
      <c r="M50" s="39">
        <f>SUMIF(Matches!G:G, $F50, Matches!$M:$M)</f>
        <v>28.121520000000004</v>
      </c>
      <c r="N50" s="39">
        <f>SUMIF(Matches!H:H, $F50, Matches!$M:$M)</f>
        <v>56.057310000000001</v>
      </c>
      <c r="O50" s="38">
        <f>SUMIF(Matches!C:C,$F50,Matches!$K:$K)</f>
        <v>0</v>
      </c>
      <c r="P50" s="38">
        <f>SUMIF(Matches!D:D,$F50,Matches!$K:$K)</f>
        <v>4</v>
      </c>
      <c r="Q50" s="38">
        <f>SUMIF(Matches!E:E,$F50,Matches!$K:$K)</f>
        <v>0</v>
      </c>
      <c r="R50" s="39">
        <f>SUMIF(Matches!F:F,$F50,Matches!$L:$L)</f>
        <v>0</v>
      </c>
      <c r="S50" s="39">
        <f>SUMIF(Matches!G:G,$F50,Matches!$L:$L)</f>
        <v>2</v>
      </c>
      <c r="T50" s="39">
        <f>SUMIF(Matches!H:H,$F50,Matches!$L:$L)</f>
        <v>2</v>
      </c>
      <c r="U50" s="37">
        <f t="shared" si="2"/>
        <v>213.64097799999999</v>
      </c>
      <c r="V50" s="37">
        <f t="shared" si="3"/>
        <v>8</v>
      </c>
      <c r="W50" s="37">
        <f t="shared" si="4"/>
        <v>10</v>
      </c>
    </row>
    <row r="51" spans="1:23">
      <c r="A51" s="15">
        <v>525</v>
      </c>
      <c r="B51" s="16">
        <v>22.618500000000001</v>
      </c>
      <c r="C51" s="17">
        <f t="shared" si="0"/>
        <v>19.006</v>
      </c>
      <c r="D51" s="17">
        <f t="shared" si="5"/>
        <v>19.006</v>
      </c>
      <c r="F51" s="32">
        <f>'Online Results'!B53</f>
        <v>51</v>
      </c>
      <c r="G51" s="17">
        <f t="shared" si="1"/>
        <v>21.605133333333331</v>
      </c>
      <c r="H51" s="17">
        <f>VLOOKUP(F51, 'Online Results'!$B$3:$G$103, 6, FALSE)</f>
        <v>0</v>
      </c>
      <c r="I51" s="38">
        <f>SUMIF(Matches!C:C, $F51, Matches!$M:$M)</f>
        <v>57.982514999999999</v>
      </c>
      <c r="J51" s="38">
        <f>SUMIF(Matches!D:D, $F51, Matches!$M:$M)</f>
        <v>0</v>
      </c>
      <c r="K51" s="38">
        <f>SUMIF(Matches!E:E, $F51, Matches!$M:$M)</f>
        <v>39.183725000000003</v>
      </c>
      <c r="L51" s="39">
        <f>SUMIF(Matches!F:F, $F51, Matches!$M:$M)</f>
        <v>95.631114333333329</v>
      </c>
      <c r="M51" s="39">
        <f>SUMIF(Matches!G:G, $F51, Matches!$M:$M)</f>
        <v>22.58398</v>
      </c>
      <c r="N51" s="39">
        <f>SUMIF(Matches!H:H, $F51, Matches!$M:$M)</f>
        <v>25</v>
      </c>
      <c r="O51" s="38">
        <f>SUMIF(Matches!C:C,$F51,Matches!$K:$K)</f>
        <v>4</v>
      </c>
      <c r="P51" s="38">
        <f>SUMIF(Matches!D:D,$F51,Matches!$K:$K)</f>
        <v>0</v>
      </c>
      <c r="Q51" s="38">
        <f>SUMIF(Matches!E:E,$F51,Matches!$K:$K)</f>
        <v>4</v>
      </c>
      <c r="R51" s="39">
        <f>SUMIF(Matches!F:F,$F51,Matches!$L:$L)</f>
        <v>4</v>
      </c>
      <c r="S51" s="39">
        <f>SUMIF(Matches!G:G,$F51,Matches!$L:$L)</f>
        <v>2</v>
      </c>
      <c r="T51" s="39">
        <f>SUMIF(Matches!H:H,$F51,Matches!$L:$L)</f>
        <v>2</v>
      </c>
      <c r="U51" s="37">
        <f t="shared" si="2"/>
        <v>240.38133433333331</v>
      </c>
      <c r="V51" s="37">
        <f t="shared" si="3"/>
        <v>16</v>
      </c>
      <c r="W51" s="37">
        <f t="shared" si="4"/>
        <v>16</v>
      </c>
    </row>
    <row r="52" spans="1:23">
      <c r="A52" s="15">
        <v>525</v>
      </c>
      <c r="B52" s="16">
        <v>15.3935</v>
      </c>
      <c r="C52" s="17">
        <f t="shared" si="0"/>
        <v>15.3935</v>
      </c>
      <c r="D52" s="17">
        <f t="shared" si="5"/>
        <v>19.006</v>
      </c>
      <c r="F52" s="32">
        <f>'Online Results'!B54</f>
        <v>503</v>
      </c>
      <c r="G52" s="17">
        <f t="shared" si="1"/>
        <v>9.9075300000000013</v>
      </c>
      <c r="H52" s="17">
        <f>VLOOKUP(F52, 'Online Results'!$B$3:$G$103, 6, FALSE)</f>
        <v>2</v>
      </c>
      <c r="I52" s="38">
        <f>SUMIF(Matches!C:C, $F52, Matches!$M:$M)</f>
        <v>0</v>
      </c>
      <c r="J52" s="38">
        <f>SUMIF(Matches!D:D, $F52, Matches!$M:$M)</f>
        <v>116.37453500000001</v>
      </c>
      <c r="K52" s="38">
        <f>SUMIF(Matches!E:E, $F52, Matches!$M:$M)</f>
        <v>14.571075999999998</v>
      </c>
      <c r="L52" s="39">
        <f>SUMIF(Matches!F:F, $F52, Matches!$M:$M)</f>
        <v>85.847575000000006</v>
      </c>
      <c r="M52" s="39">
        <f>SUMIF(Matches!G:G, $F52, Matches!$M:$M)</f>
        <v>0</v>
      </c>
      <c r="N52" s="39">
        <f>SUMIF(Matches!H:H, $F52, Matches!$M:$M)</f>
        <v>0</v>
      </c>
      <c r="O52" s="38">
        <f>SUMIF(Matches!C:C,$F52,Matches!$K:$K)</f>
        <v>0</v>
      </c>
      <c r="P52" s="38">
        <f>SUMIF(Matches!D:D,$F52,Matches!$K:$K)</f>
        <v>4</v>
      </c>
      <c r="Q52" s="38">
        <f>SUMIF(Matches!E:E,$F52,Matches!$K:$K)</f>
        <v>2</v>
      </c>
      <c r="R52" s="39">
        <f>SUMIF(Matches!F:F,$F52,Matches!$L:$L)</f>
        <v>2</v>
      </c>
      <c r="S52" s="39">
        <f>SUMIF(Matches!G:G,$F52,Matches!$L:$L)</f>
        <v>0</v>
      </c>
      <c r="T52" s="39">
        <f>SUMIF(Matches!H:H,$F52,Matches!$L:$L)</f>
        <v>0</v>
      </c>
      <c r="U52" s="37">
        <f t="shared" si="2"/>
        <v>216.79318600000002</v>
      </c>
      <c r="V52" s="37">
        <f t="shared" si="3"/>
        <v>8</v>
      </c>
      <c r="W52" s="37">
        <f t="shared" si="4"/>
        <v>10</v>
      </c>
    </row>
    <row r="53" spans="1:23">
      <c r="A53" s="15">
        <v>537</v>
      </c>
      <c r="B53" s="16">
        <v>11.8866</v>
      </c>
      <c r="C53" s="17">
        <f t="shared" si="0"/>
        <v>11.5657</v>
      </c>
      <c r="D53" s="17">
        <f t="shared" si="5"/>
        <v>11.5657</v>
      </c>
      <c r="F53" s="32">
        <f>'Online Results'!B55</f>
        <v>525</v>
      </c>
      <c r="G53" s="17">
        <f t="shared" si="1"/>
        <v>19.006</v>
      </c>
      <c r="H53" s="17">
        <f>VLOOKUP(F53, 'Online Results'!$B$3:$G$103, 6, FALSE)</f>
        <v>2</v>
      </c>
      <c r="I53" s="38">
        <f>SUMIF(Matches!C:C, $F53, Matches!$M:$M)</f>
        <v>67.47381</v>
      </c>
      <c r="J53" s="38">
        <f>SUMIF(Matches!D:D, $F53, Matches!$M:$M)</f>
        <v>0</v>
      </c>
      <c r="K53" s="38">
        <f>SUMIF(Matches!E:E, $F53, Matches!$M:$M)</f>
        <v>30</v>
      </c>
      <c r="L53" s="39">
        <f>SUMIF(Matches!F:F, $F53, Matches!$M:$M)</f>
        <v>0</v>
      </c>
      <c r="M53" s="39">
        <f>SUMIF(Matches!G:G, $F53, Matches!$M:$M)</f>
        <v>40.818669999999997</v>
      </c>
      <c r="N53" s="39">
        <f>SUMIF(Matches!H:H, $F53, Matches!$M:$M)</f>
        <v>100.31635266666666</v>
      </c>
      <c r="O53" s="38">
        <f>SUMIF(Matches!C:C,$F53,Matches!$K:$K)</f>
        <v>6</v>
      </c>
      <c r="P53" s="38">
        <f>SUMIF(Matches!D:D,$F53,Matches!$K:$K)</f>
        <v>0</v>
      </c>
      <c r="Q53" s="38">
        <f>SUMIF(Matches!E:E,$F53,Matches!$K:$K)</f>
        <v>0</v>
      </c>
      <c r="R53" s="39">
        <f>SUMIF(Matches!F:F,$F53,Matches!$L:$L)</f>
        <v>0</v>
      </c>
      <c r="S53" s="39">
        <f>SUMIF(Matches!G:G,$F53,Matches!$L:$L)</f>
        <v>2</v>
      </c>
      <c r="T53" s="39">
        <f>SUMIF(Matches!H:H,$F53,Matches!$L:$L)</f>
        <v>4</v>
      </c>
      <c r="U53" s="37">
        <f t="shared" si="2"/>
        <v>238.60883266666667</v>
      </c>
      <c r="V53" s="37">
        <f t="shared" si="3"/>
        <v>12</v>
      </c>
      <c r="W53" s="37">
        <f t="shared" si="4"/>
        <v>14</v>
      </c>
    </row>
    <row r="54" spans="1:23">
      <c r="A54" s="15">
        <v>537</v>
      </c>
      <c r="B54" s="16">
        <v>11.2448</v>
      </c>
      <c r="C54" s="17">
        <f t="shared" si="0"/>
        <v>11.2448</v>
      </c>
      <c r="D54" s="17">
        <f t="shared" si="5"/>
        <v>11.5657</v>
      </c>
      <c r="F54" s="32">
        <f>'Online Results'!B56</f>
        <v>1391</v>
      </c>
      <c r="G54" s="17">
        <f t="shared" si="1"/>
        <v>9.5470500000000005</v>
      </c>
      <c r="H54" s="17">
        <f>VLOOKUP(F54, 'Online Results'!$B$3:$G$103, 6, FALSE)</f>
        <v>2</v>
      </c>
      <c r="I54" s="38">
        <f>SUMIF(Matches!C:C, $F54, Matches!$M:$M)</f>
        <v>24.857850000000003</v>
      </c>
      <c r="J54" s="38">
        <f>SUMIF(Matches!D:D, $F54, Matches!$M:$M)</f>
        <v>79.087606000000022</v>
      </c>
      <c r="K54" s="38">
        <f>SUMIF(Matches!E:E, $F54, Matches!$M:$M)</f>
        <v>0</v>
      </c>
      <c r="L54" s="39">
        <f>SUMIF(Matches!F:F, $F54, Matches!$M:$M)</f>
        <v>0</v>
      </c>
      <c r="M54" s="39">
        <f>SUMIF(Matches!G:G, $F54, Matches!$M:$M)</f>
        <v>0</v>
      </c>
      <c r="N54" s="39">
        <f>SUMIF(Matches!H:H, $F54, Matches!$M:$M)</f>
        <v>136.44718333333333</v>
      </c>
      <c r="O54" s="38">
        <f>SUMIF(Matches!C:C,$F54,Matches!$K:$K)</f>
        <v>0</v>
      </c>
      <c r="P54" s="38">
        <f>SUMIF(Matches!D:D,$F54,Matches!$K:$K)</f>
        <v>4</v>
      </c>
      <c r="Q54" s="38">
        <f>SUMIF(Matches!E:E,$F54,Matches!$K:$K)</f>
        <v>0</v>
      </c>
      <c r="R54" s="39">
        <f>SUMIF(Matches!F:F,$F54,Matches!$L:$L)</f>
        <v>0</v>
      </c>
      <c r="S54" s="39">
        <f>SUMIF(Matches!G:G,$F54,Matches!$L:$L)</f>
        <v>0</v>
      </c>
      <c r="T54" s="39">
        <f>SUMIF(Matches!H:H,$F54,Matches!$L:$L)</f>
        <v>4</v>
      </c>
      <c r="U54" s="37">
        <f t="shared" si="2"/>
        <v>240.39263933333336</v>
      </c>
      <c r="V54" s="37">
        <f t="shared" si="3"/>
        <v>8</v>
      </c>
      <c r="W54" s="37">
        <f t="shared" si="4"/>
        <v>10</v>
      </c>
    </row>
    <row r="55" spans="1:23">
      <c r="A55" s="15">
        <v>564</v>
      </c>
      <c r="B55" s="16">
        <v>4.0892799999999996</v>
      </c>
      <c r="C55" s="17">
        <f t="shared" si="0"/>
        <v>4.0892799999999996</v>
      </c>
      <c r="D55" s="17">
        <f t="shared" si="5"/>
        <v>4.0892799999999996</v>
      </c>
      <c r="F55" s="32">
        <f>'Online Results'!B57</f>
        <v>3941</v>
      </c>
      <c r="G55" s="17">
        <f t="shared" si="1"/>
        <v>3.31</v>
      </c>
      <c r="H55" s="17">
        <f>VLOOKUP(F55, 'Online Results'!$B$3:$G$103, 6, FALSE)</f>
        <v>4</v>
      </c>
      <c r="I55" s="38">
        <f>SUMIF(Matches!C:C, $F55, Matches!$M:$M)</f>
        <v>22</v>
      </c>
      <c r="J55" s="38">
        <f>SUMIF(Matches!D:D, $F55, Matches!$M:$M)</f>
        <v>41.254198000000002</v>
      </c>
      <c r="K55" s="38">
        <f>SUMIF(Matches!E:E, $F55, Matches!$M:$M)</f>
        <v>23.915900000000001</v>
      </c>
      <c r="L55" s="39">
        <f>SUMIF(Matches!F:F, $F55, Matches!$M:$M)</f>
        <v>0</v>
      </c>
      <c r="M55" s="39">
        <f>SUMIF(Matches!G:G, $F55, Matches!$M:$M)</f>
        <v>88.465833333333336</v>
      </c>
      <c r="N55" s="39">
        <f>SUMIF(Matches!H:H, $F55, Matches!$M:$M)</f>
        <v>14</v>
      </c>
      <c r="O55" s="38">
        <f>SUMIF(Matches!C:C,$F55,Matches!$K:$K)</f>
        <v>0</v>
      </c>
      <c r="P55" s="38">
        <f>SUMIF(Matches!D:D,$F55,Matches!$K:$K)</f>
        <v>2</v>
      </c>
      <c r="Q55" s="38">
        <f>SUMIF(Matches!E:E,$F55,Matches!$K:$K)</f>
        <v>0</v>
      </c>
      <c r="R55" s="39">
        <f>SUMIF(Matches!F:F,$F55,Matches!$L:$L)</f>
        <v>0</v>
      </c>
      <c r="S55" s="39">
        <f>SUMIF(Matches!G:G,$F55,Matches!$L:$L)</f>
        <v>4</v>
      </c>
      <c r="T55" s="39">
        <f>SUMIF(Matches!H:H,$F55,Matches!$L:$L)</f>
        <v>0</v>
      </c>
      <c r="U55" s="37">
        <f t="shared" si="2"/>
        <v>189.63593133333333</v>
      </c>
      <c r="V55" s="37">
        <f t="shared" si="3"/>
        <v>6</v>
      </c>
      <c r="W55" s="37">
        <f t="shared" si="4"/>
        <v>10</v>
      </c>
    </row>
    <row r="56" spans="1:23">
      <c r="A56" s="15">
        <v>571</v>
      </c>
      <c r="B56" s="16">
        <v>4.3504500000000004</v>
      </c>
      <c r="C56" s="17">
        <f t="shared" si="0"/>
        <v>4.3504500000000004</v>
      </c>
      <c r="D56" s="17">
        <f t="shared" si="5"/>
        <v>4.3504500000000004</v>
      </c>
      <c r="F56" s="32">
        <f>'Online Results'!B58</f>
        <v>571</v>
      </c>
      <c r="G56" s="17">
        <f t="shared" si="1"/>
        <v>4.3504500000000004</v>
      </c>
      <c r="H56" s="17">
        <f>VLOOKUP(F56, 'Online Results'!$B$3:$G$103, 6, FALSE)</f>
        <v>2</v>
      </c>
      <c r="I56" s="38">
        <f>SUMIF(Matches!C:C, $F56, Matches!$M:$M)</f>
        <v>38.34963333333333</v>
      </c>
      <c r="J56" s="38">
        <f>SUMIF(Matches!D:D, $F56, Matches!$M:$M)</f>
        <v>0</v>
      </c>
      <c r="K56" s="38">
        <f>SUMIF(Matches!E:E, $F56, Matches!$M:$M)</f>
        <v>83.548685000000006</v>
      </c>
      <c r="L56" s="39">
        <f>SUMIF(Matches!F:F, $F56, Matches!$M:$M)</f>
        <v>26.70119</v>
      </c>
      <c r="M56" s="39">
        <f>SUMIF(Matches!G:G, $F56, Matches!$M:$M)</f>
        <v>42.712156666666665</v>
      </c>
      <c r="N56" s="39">
        <f>SUMIF(Matches!H:H, $F56, Matches!$M:$M)</f>
        <v>0</v>
      </c>
      <c r="O56" s="38">
        <f>SUMIF(Matches!C:C,$F56,Matches!$K:$K)</f>
        <v>0</v>
      </c>
      <c r="P56" s="38">
        <f>SUMIF(Matches!D:D,$F56,Matches!$K:$K)</f>
        <v>0</v>
      </c>
      <c r="Q56" s="38">
        <f>SUMIF(Matches!E:E,$F56,Matches!$K:$K)</f>
        <v>0</v>
      </c>
      <c r="R56" s="39">
        <f>SUMIF(Matches!F:F,$F56,Matches!$L:$L)</f>
        <v>2</v>
      </c>
      <c r="S56" s="39">
        <f>SUMIF(Matches!G:G,$F56,Matches!$L:$L)</f>
        <v>0</v>
      </c>
      <c r="T56" s="39">
        <f>SUMIF(Matches!H:H,$F56,Matches!$L:$L)</f>
        <v>0</v>
      </c>
      <c r="U56" s="37">
        <f t="shared" si="2"/>
        <v>191.311665</v>
      </c>
      <c r="V56" s="37">
        <f t="shared" si="3"/>
        <v>2</v>
      </c>
      <c r="W56" s="37">
        <f t="shared" si="4"/>
        <v>4</v>
      </c>
    </row>
    <row r="57" spans="1:23">
      <c r="A57" s="15">
        <v>597</v>
      </c>
      <c r="B57" s="16">
        <v>5.1792600000000002</v>
      </c>
      <c r="C57" s="17">
        <f t="shared" si="0"/>
        <v>6.9296299999999995</v>
      </c>
      <c r="D57" s="17">
        <f t="shared" si="5"/>
        <v>6.9296299999999995</v>
      </c>
      <c r="F57" s="32">
        <f>'Online Results'!B59</f>
        <v>2881</v>
      </c>
      <c r="G57" s="17">
        <f t="shared" si="1"/>
        <v>11.954800000000001</v>
      </c>
      <c r="H57" s="17">
        <f>VLOOKUP(F57, 'Online Results'!$B$3:$G$103, 6, FALSE)</f>
        <v>2</v>
      </c>
      <c r="I57" s="38">
        <f>SUMIF(Matches!C:C, $F57, Matches!$M:$M)</f>
        <v>34.74539333333334</v>
      </c>
      <c r="J57" s="38">
        <f>SUMIF(Matches!D:D, $F57, Matches!$M:$M)</f>
        <v>14</v>
      </c>
      <c r="K57" s="38">
        <f>SUMIF(Matches!E:E, $F57, Matches!$M:$M)</f>
        <v>51.386435000000006</v>
      </c>
      <c r="L57" s="39">
        <f>SUMIF(Matches!F:F, $F57, Matches!$M:$M)</f>
        <v>65.134945000000002</v>
      </c>
      <c r="M57" s="39">
        <f>SUMIF(Matches!G:G, $F57, Matches!$M:$M)</f>
        <v>0</v>
      </c>
      <c r="N57" s="39">
        <f>SUMIF(Matches!H:H, $F57, Matches!$M:$M)</f>
        <v>80.270380999999986</v>
      </c>
      <c r="O57" s="38">
        <f>SUMIF(Matches!C:C,$F57,Matches!$K:$K)</f>
        <v>2</v>
      </c>
      <c r="P57" s="38">
        <f>SUMIF(Matches!D:D,$F57,Matches!$K:$K)</f>
        <v>0</v>
      </c>
      <c r="Q57" s="38">
        <f>SUMIF(Matches!E:E,$F57,Matches!$K:$K)</f>
        <v>0</v>
      </c>
      <c r="R57" s="39">
        <f>SUMIF(Matches!F:F,$F57,Matches!$L:$L)</f>
        <v>2</v>
      </c>
      <c r="S57" s="39">
        <f>SUMIF(Matches!G:G,$F57,Matches!$L:$L)</f>
        <v>0</v>
      </c>
      <c r="T57" s="39">
        <f>SUMIF(Matches!H:H,$F57,Matches!$L:$L)</f>
        <v>4</v>
      </c>
      <c r="U57" s="37">
        <f t="shared" si="2"/>
        <v>245.53715433333332</v>
      </c>
      <c r="V57" s="37">
        <f t="shared" si="3"/>
        <v>8</v>
      </c>
      <c r="W57" s="37">
        <f t="shared" si="4"/>
        <v>10</v>
      </c>
    </row>
    <row r="58" spans="1:23">
      <c r="A58" s="15">
        <v>597</v>
      </c>
      <c r="B58" s="16">
        <v>8.68</v>
      </c>
      <c r="C58" s="17">
        <f t="shared" si="0"/>
        <v>8.68</v>
      </c>
      <c r="D58" s="17">
        <f t="shared" si="5"/>
        <v>6.9296299999999995</v>
      </c>
      <c r="F58" s="32">
        <f>'Online Results'!B60</f>
        <v>702</v>
      </c>
      <c r="G58" s="17">
        <f t="shared" si="1"/>
        <v>11.99311</v>
      </c>
      <c r="H58" s="17">
        <f>VLOOKUP(F58, 'Online Results'!$B$3:$G$103, 6, FALSE)</f>
        <v>2</v>
      </c>
      <c r="I58" s="38">
        <f>SUMIF(Matches!C:C, $F58, Matches!$M:$M)</f>
        <v>34.472610000000003</v>
      </c>
      <c r="J58" s="38">
        <f>SUMIF(Matches!D:D, $F58, Matches!$M:$M)</f>
        <v>49.059455</v>
      </c>
      <c r="K58" s="38">
        <f>SUMIF(Matches!E:E, $F58, Matches!$M:$M)</f>
        <v>11</v>
      </c>
      <c r="L58" s="39">
        <f>SUMIF(Matches!F:F, $F58, Matches!$M:$M)</f>
        <v>0</v>
      </c>
      <c r="M58" s="39">
        <f>SUMIF(Matches!G:G, $F58, Matches!$M:$M)</f>
        <v>121.30130000000001</v>
      </c>
      <c r="N58" s="39">
        <f>SUMIF(Matches!H:H, $F58, Matches!$M:$M)</f>
        <v>0</v>
      </c>
      <c r="O58" s="38">
        <f>SUMIF(Matches!C:C,$F58,Matches!$K:$K)</f>
        <v>0</v>
      </c>
      <c r="P58" s="38">
        <f>SUMIF(Matches!D:D,$F58,Matches!$K:$K)</f>
        <v>2</v>
      </c>
      <c r="Q58" s="38">
        <f>SUMIF(Matches!E:E,$F58,Matches!$K:$K)</f>
        <v>2</v>
      </c>
      <c r="R58" s="39">
        <f>SUMIF(Matches!F:F,$F58,Matches!$L:$L)</f>
        <v>0</v>
      </c>
      <c r="S58" s="39">
        <f>SUMIF(Matches!G:G,$F58,Matches!$L:$L)</f>
        <v>2</v>
      </c>
      <c r="T58" s="39">
        <f>SUMIF(Matches!H:H,$F58,Matches!$L:$L)</f>
        <v>0</v>
      </c>
      <c r="U58" s="37">
        <f t="shared" si="2"/>
        <v>215.83336500000001</v>
      </c>
      <c r="V58" s="37">
        <f t="shared" si="3"/>
        <v>6</v>
      </c>
      <c r="W58" s="37">
        <f t="shared" si="4"/>
        <v>8</v>
      </c>
    </row>
    <row r="59" spans="1:23">
      <c r="A59" s="15">
        <v>604</v>
      </c>
      <c r="B59" s="16">
        <v>10.375</v>
      </c>
      <c r="C59" s="17">
        <f t="shared" si="0"/>
        <v>10.151785</v>
      </c>
      <c r="D59" s="17">
        <f t="shared" si="5"/>
        <v>10.151785</v>
      </c>
      <c r="F59" s="32">
        <f>'Online Results'!B61</f>
        <v>288</v>
      </c>
      <c r="G59" s="17">
        <f t="shared" si="1"/>
        <v>7.0640999999999998</v>
      </c>
      <c r="H59" s="17">
        <f>VLOOKUP(F59, 'Online Results'!$B$3:$G$103, 6, FALSE)</f>
        <v>4</v>
      </c>
      <c r="I59" s="38">
        <f>SUMIF(Matches!C:C, $F59, Matches!$M:$M)</f>
        <v>29.817084999999999</v>
      </c>
      <c r="J59" s="38">
        <f>SUMIF(Matches!D:D, $F59, Matches!$M:$M)</f>
        <v>36.020029999999998</v>
      </c>
      <c r="K59" s="38">
        <f>SUMIF(Matches!E:E, $F59, Matches!$M:$M)</f>
        <v>52.509450000000001</v>
      </c>
      <c r="L59" s="39">
        <f>SUMIF(Matches!F:F, $F59, Matches!$M:$M)</f>
        <v>62.041629999999998</v>
      </c>
      <c r="M59" s="39">
        <f>SUMIF(Matches!G:G, $F59, Matches!$M:$M)</f>
        <v>0</v>
      </c>
      <c r="N59" s="39">
        <f>SUMIF(Matches!H:H, $F59, Matches!$M:$M)</f>
        <v>27</v>
      </c>
      <c r="O59" s="38">
        <f>SUMIF(Matches!C:C,$F59,Matches!$K:$K)</f>
        <v>0</v>
      </c>
      <c r="P59" s="38">
        <f>SUMIF(Matches!D:D,$F59,Matches!$K:$K)</f>
        <v>0</v>
      </c>
      <c r="Q59" s="38">
        <f>SUMIF(Matches!E:E,$F59,Matches!$K:$K)</f>
        <v>2</v>
      </c>
      <c r="R59" s="39">
        <f>SUMIF(Matches!F:F,$F59,Matches!$L:$L)</f>
        <v>0</v>
      </c>
      <c r="S59" s="39">
        <f>SUMIF(Matches!G:G,$F59,Matches!$L:$L)</f>
        <v>0</v>
      </c>
      <c r="T59" s="39">
        <f>SUMIF(Matches!H:H,$F59,Matches!$L:$L)</f>
        <v>0</v>
      </c>
      <c r="U59" s="37">
        <f t="shared" si="2"/>
        <v>207.388195</v>
      </c>
      <c r="V59" s="37">
        <f t="shared" si="3"/>
        <v>2</v>
      </c>
      <c r="W59" s="37">
        <f t="shared" si="4"/>
        <v>6</v>
      </c>
    </row>
    <row r="60" spans="1:23">
      <c r="A60" s="15">
        <v>604</v>
      </c>
      <c r="B60" s="16">
        <v>9.9285700000000006</v>
      </c>
      <c r="C60" s="17">
        <f t="shared" si="0"/>
        <v>9.9285700000000006</v>
      </c>
      <c r="D60" s="17">
        <f t="shared" si="5"/>
        <v>10.151785</v>
      </c>
      <c r="F60" s="32">
        <f>'Online Results'!B62</f>
        <v>4269</v>
      </c>
      <c r="G60" s="17">
        <f t="shared" si="1"/>
        <v>5.9754699999999996</v>
      </c>
      <c r="H60" s="17">
        <f>VLOOKUP(F60, 'Online Results'!$B$3:$G$103, 6, FALSE)</f>
        <v>2</v>
      </c>
      <c r="I60" s="38">
        <f>SUMIF(Matches!C:C, $F60, Matches!$M:$M)</f>
        <v>14.571075999999998</v>
      </c>
      <c r="J60" s="38">
        <f>SUMIF(Matches!D:D, $F60, Matches!$M:$M)</f>
        <v>54.355769999999993</v>
      </c>
      <c r="K60" s="38">
        <f>SUMIF(Matches!E:E, $F60, Matches!$M:$M)</f>
        <v>24</v>
      </c>
      <c r="L60" s="39">
        <f>SUMIF(Matches!F:F, $F60, Matches!$M:$M)</f>
        <v>23.501445</v>
      </c>
      <c r="M60" s="39">
        <f>SUMIF(Matches!G:G, $F60, Matches!$M:$M)</f>
        <v>35.35333</v>
      </c>
      <c r="N60" s="39">
        <f>SUMIF(Matches!H:H, $F60, Matches!$M:$M)</f>
        <v>105.94659</v>
      </c>
      <c r="O60" s="38">
        <f>SUMIF(Matches!C:C,$F60,Matches!$K:$K)</f>
        <v>2</v>
      </c>
      <c r="P60" s="38">
        <f>SUMIF(Matches!D:D,$F60,Matches!$K:$K)</f>
        <v>0</v>
      </c>
      <c r="Q60" s="38">
        <f>SUMIF(Matches!E:E,$F60,Matches!$K:$K)</f>
        <v>2</v>
      </c>
      <c r="R60" s="39">
        <f>SUMIF(Matches!F:F,$F60,Matches!$L:$L)</f>
        <v>2</v>
      </c>
      <c r="S60" s="39">
        <f>SUMIF(Matches!G:G,$F60,Matches!$L:$L)</f>
        <v>2</v>
      </c>
      <c r="T60" s="39">
        <f>SUMIF(Matches!H:H,$F60,Matches!$L:$L)</f>
        <v>4</v>
      </c>
      <c r="U60" s="37">
        <f t="shared" si="2"/>
        <v>257.72821099999999</v>
      </c>
      <c r="V60" s="37">
        <f t="shared" si="3"/>
        <v>12</v>
      </c>
      <c r="W60" s="37">
        <f t="shared" si="4"/>
        <v>14</v>
      </c>
    </row>
    <row r="61" spans="1:23">
      <c r="A61" s="15">
        <v>624</v>
      </c>
      <c r="B61" s="16">
        <v>35.111199999999997</v>
      </c>
      <c r="C61" s="17">
        <f t="shared" si="0"/>
        <v>28.889399999999998</v>
      </c>
      <c r="D61" s="17">
        <f t="shared" si="5"/>
        <v>28.889399999999998</v>
      </c>
      <c r="F61" s="32">
        <f>'Online Results'!B63</f>
        <v>1511</v>
      </c>
      <c r="G61" s="17">
        <f t="shared" si="1"/>
        <v>15.4154</v>
      </c>
      <c r="H61" s="17">
        <f>VLOOKUP(F61, 'Online Results'!$B$3:$G$103, 6, FALSE)</f>
        <v>2</v>
      </c>
      <c r="I61" s="38">
        <f>SUMIF(Matches!C:C, $F61, Matches!$M:$M)</f>
        <v>0</v>
      </c>
      <c r="J61" s="38">
        <f>SUMIF(Matches!D:D, $F61, Matches!$M:$M)</f>
        <v>88.52915333333334</v>
      </c>
      <c r="K61" s="38">
        <f>SUMIF(Matches!E:E, $F61, Matches!$M:$M)</f>
        <v>20.411430000000003</v>
      </c>
      <c r="L61" s="39">
        <f>SUMIF(Matches!F:F, $F61, Matches!$M:$M)</f>
        <v>22.969304999999999</v>
      </c>
      <c r="M61" s="39">
        <f>SUMIF(Matches!G:G, $F61, Matches!$M:$M)</f>
        <v>28.168240000000001</v>
      </c>
      <c r="N61" s="39">
        <f>SUMIF(Matches!H:H, $F61, Matches!$M:$M)</f>
        <v>125.290195</v>
      </c>
      <c r="O61" s="38">
        <f>SUMIF(Matches!C:C,$F61,Matches!$K:$K)</f>
        <v>0</v>
      </c>
      <c r="P61" s="38">
        <f>SUMIF(Matches!D:D,$F61,Matches!$K:$K)</f>
        <v>4</v>
      </c>
      <c r="Q61" s="38">
        <f>SUMIF(Matches!E:E,$F61,Matches!$K:$K)</f>
        <v>2</v>
      </c>
      <c r="R61" s="39">
        <f>SUMIF(Matches!F:F,$F61,Matches!$L:$L)</f>
        <v>0</v>
      </c>
      <c r="S61" s="39">
        <f>SUMIF(Matches!G:G,$F61,Matches!$L:$L)</f>
        <v>2</v>
      </c>
      <c r="T61" s="39">
        <f>SUMIF(Matches!H:H,$F61,Matches!$L:$L)</f>
        <v>4</v>
      </c>
      <c r="U61" s="37">
        <f t="shared" si="2"/>
        <v>285.36832333333331</v>
      </c>
      <c r="V61" s="37">
        <f t="shared" si="3"/>
        <v>12</v>
      </c>
      <c r="W61" s="37">
        <f t="shared" si="4"/>
        <v>14</v>
      </c>
    </row>
    <row r="62" spans="1:23">
      <c r="A62" s="15">
        <v>624</v>
      </c>
      <c r="B62" s="16">
        <v>22.6676</v>
      </c>
      <c r="C62" s="17">
        <f t="shared" si="0"/>
        <v>22.6676</v>
      </c>
      <c r="D62" s="17">
        <f t="shared" si="5"/>
        <v>28.889399999999998</v>
      </c>
      <c r="F62" s="32">
        <f>'Online Results'!B64</f>
        <v>971</v>
      </c>
      <c r="G62" s="17">
        <f t="shared" si="1"/>
        <v>25.454499999999999</v>
      </c>
      <c r="H62" s="17">
        <f>VLOOKUP(F62, 'Online Results'!$B$3:$G$103, 6, FALSE)</f>
        <v>2</v>
      </c>
      <c r="I62" s="38">
        <f>SUMIF(Matches!C:C, $F62, Matches!$M:$M)</f>
        <v>39.5381</v>
      </c>
      <c r="J62" s="38">
        <f>SUMIF(Matches!D:D, $F62, Matches!$M:$M)</f>
        <v>40.036839999999998</v>
      </c>
      <c r="K62" s="38">
        <f>SUMIF(Matches!E:E, $F62, Matches!$M:$M)</f>
        <v>31.713082666666665</v>
      </c>
      <c r="L62" s="39">
        <f>SUMIF(Matches!F:F, $F62, Matches!$M:$M)</f>
        <v>74.071299999999994</v>
      </c>
      <c r="M62" s="39">
        <f>SUMIF(Matches!G:G, $F62, Matches!$M:$M)</f>
        <v>36.290194999999997</v>
      </c>
      <c r="N62" s="39">
        <f>SUMIF(Matches!H:H, $F62, Matches!$M:$M)</f>
        <v>68.709710000000001</v>
      </c>
      <c r="O62" s="38">
        <f>SUMIF(Matches!C:C,$F62,Matches!$K:$K)</f>
        <v>0</v>
      </c>
      <c r="P62" s="38">
        <f>SUMIF(Matches!D:D,$F62,Matches!$K:$K)</f>
        <v>2</v>
      </c>
      <c r="Q62" s="38">
        <f>SUMIF(Matches!E:E,$F62,Matches!$K:$K)</f>
        <v>2</v>
      </c>
      <c r="R62" s="39">
        <f>SUMIF(Matches!F:F,$F62,Matches!$L:$L)</f>
        <v>2</v>
      </c>
      <c r="S62" s="39">
        <f>SUMIF(Matches!G:G,$F62,Matches!$L:$L)</f>
        <v>2</v>
      </c>
      <c r="T62" s="39">
        <f>SUMIF(Matches!H:H,$F62,Matches!$L:$L)</f>
        <v>4</v>
      </c>
      <c r="U62" s="37">
        <f t="shared" si="2"/>
        <v>290.3592276666667</v>
      </c>
      <c r="V62" s="37">
        <f t="shared" si="3"/>
        <v>12</v>
      </c>
      <c r="W62" s="37">
        <f t="shared" si="4"/>
        <v>14</v>
      </c>
    </row>
    <row r="63" spans="1:23">
      <c r="A63" s="15">
        <v>694</v>
      </c>
      <c r="B63" s="16">
        <v>19.119900000000001</v>
      </c>
      <c r="C63" s="17">
        <f t="shared" si="0"/>
        <v>17.172499999999999</v>
      </c>
      <c r="D63" s="17">
        <f t="shared" si="5"/>
        <v>17.172499999999999</v>
      </c>
      <c r="F63" s="32">
        <f>'Online Results'!B65</f>
        <v>604</v>
      </c>
      <c r="G63" s="17">
        <f t="shared" si="1"/>
        <v>10.151785</v>
      </c>
      <c r="H63" s="17">
        <f>VLOOKUP(F63, 'Online Results'!$B$3:$G$103, 6, FALSE)</f>
        <v>2</v>
      </c>
      <c r="I63" s="38">
        <f>SUMIF(Matches!C:C, $F63, Matches!$M:$M)</f>
        <v>33.334118000000004</v>
      </c>
      <c r="J63" s="38">
        <f>SUMIF(Matches!D:D, $F63, Matches!$M:$M)</f>
        <v>58.055019999999999</v>
      </c>
      <c r="K63" s="38">
        <f>SUMIF(Matches!E:E, $F63, Matches!$M:$M)</f>
        <v>22.58398</v>
      </c>
      <c r="L63" s="39">
        <f>SUMIF(Matches!F:F, $F63, Matches!$M:$M)</f>
        <v>57.345005999999998</v>
      </c>
      <c r="M63" s="39">
        <f>SUMIF(Matches!G:G, $F63, Matches!$M:$M)</f>
        <v>0</v>
      </c>
      <c r="N63" s="39">
        <f>SUMIF(Matches!H:H, $F63, Matches!$M:$M)</f>
        <v>28.106655</v>
      </c>
      <c r="O63" s="38">
        <f>SUMIF(Matches!C:C,$F63,Matches!$K:$K)</f>
        <v>2</v>
      </c>
      <c r="P63" s="38">
        <f>SUMIF(Matches!D:D,$F63,Matches!$K:$K)</f>
        <v>0</v>
      </c>
      <c r="Q63" s="38">
        <f>SUMIF(Matches!E:E,$F63,Matches!$K:$K)</f>
        <v>0</v>
      </c>
      <c r="R63" s="39">
        <f>SUMIF(Matches!F:F,$F63,Matches!$L:$L)</f>
        <v>4</v>
      </c>
      <c r="S63" s="39">
        <f>SUMIF(Matches!G:G,$F63,Matches!$L:$L)</f>
        <v>0</v>
      </c>
      <c r="T63" s="39">
        <f>SUMIF(Matches!H:H,$F63,Matches!$L:$L)</f>
        <v>2</v>
      </c>
      <c r="U63" s="37">
        <f t="shared" si="2"/>
        <v>199.424779</v>
      </c>
      <c r="V63" s="37">
        <f t="shared" si="3"/>
        <v>8</v>
      </c>
      <c r="W63" s="37">
        <f t="shared" si="4"/>
        <v>10</v>
      </c>
    </row>
    <row r="64" spans="1:23">
      <c r="A64" s="15">
        <v>694</v>
      </c>
      <c r="B64" s="16">
        <v>15.225099999999999</v>
      </c>
      <c r="C64" s="17">
        <f t="shared" si="0"/>
        <v>15.225099999999999</v>
      </c>
      <c r="D64" s="17">
        <f t="shared" si="5"/>
        <v>17.172499999999999</v>
      </c>
      <c r="F64" s="32">
        <f>'Online Results'!B66</f>
        <v>2474</v>
      </c>
      <c r="G64" s="17">
        <f t="shared" si="1"/>
        <v>25.520924999999998</v>
      </c>
      <c r="H64" s="17">
        <f>VLOOKUP(F64, 'Online Results'!$B$3:$G$103, 6, FALSE)</f>
        <v>4</v>
      </c>
      <c r="I64" s="38">
        <f>SUMIF(Matches!C:C, $F64, Matches!$M:$M)</f>
        <v>66.145749999999992</v>
      </c>
      <c r="J64" s="38">
        <f>SUMIF(Matches!D:D, $F64, Matches!$M:$M)</f>
        <v>54.045589999999997</v>
      </c>
      <c r="K64" s="38">
        <f>SUMIF(Matches!E:E, $F64, Matches!$M:$M)</f>
        <v>0</v>
      </c>
      <c r="L64" s="39">
        <f>SUMIF(Matches!F:F, $F64, Matches!$M:$M)</f>
        <v>24</v>
      </c>
      <c r="M64" s="39">
        <f>SUMIF(Matches!G:G, $F64, Matches!$M:$M)</f>
        <v>0</v>
      </c>
      <c r="N64" s="39">
        <f>SUMIF(Matches!H:H, $F64, Matches!$M:$M)</f>
        <v>98.932840999999996</v>
      </c>
      <c r="O64" s="38">
        <f>SUMIF(Matches!C:C,$F64,Matches!$K:$K)</f>
        <v>2</v>
      </c>
      <c r="P64" s="38">
        <f>SUMIF(Matches!D:D,$F64,Matches!$K:$K)</f>
        <v>4</v>
      </c>
      <c r="Q64" s="38">
        <f>SUMIF(Matches!E:E,$F64,Matches!$K:$K)</f>
        <v>0</v>
      </c>
      <c r="R64" s="39">
        <f>SUMIF(Matches!F:F,$F64,Matches!$L:$L)</f>
        <v>0</v>
      </c>
      <c r="S64" s="39">
        <f>SUMIF(Matches!G:G,$F64,Matches!$L:$L)</f>
        <v>0</v>
      </c>
      <c r="T64" s="39">
        <f>SUMIF(Matches!H:H,$F64,Matches!$L:$L)</f>
        <v>6</v>
      </c>
      <c r="U64" s="37">
        <f t="shared" si="2"/>
        <v>243.12418099999999</v>
      </c>
      <c r="V64" s="37">
        <f t="shared" si="3"/>
        <v>12</v>
      </c>
      <c r="W64" s="37">
        <f t="shared" si="4"/>
        <v>16</v>
      </c>
    </row>
    <row r="65" spans="1:23">
      <c r="A65" s="15">
        <v>702</v>
      </c>
      <c r="B65" s="16">
        <v>16.6572</v>
      </c>
      <c r="C65" s="17">
        <f t="shared" si="0"/>
        <v>11.99311</v>
      </c>
      <c r="D65" s="17">
        <f t="shared" si="5"/>
        <v>11.99311</v>
      </c>
      <c r="F65" s="32">
        <f>'Online Results'!B67</f>
        <v>116</v>
      </c>
      <c r="G65" s="17">
        <f t="shared" si="1"/>
        <v>10.633699999999999</v>
      </c>
      <c r="H65" s="17">
        <f>VLOOKUP(F65, 'Online Results'!$B$3:$G$103, 6, FALSE)</f>
        <v>2</v>
      </c>
      <c r="I65" s="38">
        <f>SUMIF(Matches!C:C, $F65, Matches!$M:$M)</f>
        <v>18.036839999999998</v>
      </c>
      <c r="J65" s="38">
        <f>SUMIF(Matches!D:D, $F65, Matches!$M:$M)</f>
        <v>42.833354999999997</v>
      </c>
      <c r="K65" s="38">
        <f>SUMIF(Matches!E:E, $F65, Matches!$M:$M)</f>
        <v>40.528844999999997</v>
      </c>
      <c r="L65" s="39">
        <f>SUMIF(Matches!F:F, $F65, Matches!$M:$M)</f>
        <v>33</v>
      </c>
      <c r="M65" s="39">
        <f>SUMIF(Matches!G:G, $F65, Matches!$M:$M)</f>
        <v>67.348469999999992</v>
      </c>
      <c r="N65" s="39">
        <f>SUMIF(Matches!H:H, $F65, Matches!$M:$M)</f>
        <v>29.12903</v>
      </c>
      <c r="O65" s="38">
        <f>SUMIF(Matches!C:C,$F65,Matches!$K:$K)</f>
        <v>2</v>
      </c>
      <c r="P65" s="38">
        <f>SUMIF(Matches!D:D,$F65,Matches!$K:$K)</f>
        <v>0</v>
      </c>
      <c r="Q65" s="38">
        <f>SUMIF(Matches!E:E,$F65,Matches!$K:$K)</f>
        <v>4</v>
      </c>
      <c r="R65" s="39">
        <f>SUMIF(Matches!F:F,$F65,Matches!$L:$L)</f>
        <v>2</v>
      </c>
      <c r="S65" s="39">
        <f>SUMIF(Matches!G:G,$F65,Matches!$L:$L)</f>
        <v>0</v>
      </c>
      <c r="T65" s="39">
        <f>SUMIF(Matches!H:H,$F65,Matches!$L:$L)</f>
        <v>0</v>
      </c>
      <c r="U65" s="37">
        <f t="shared" si="2"/>
        <v>230.87653999999998</v>
      </c>
      <c r="V65" s="37">
        <f t="shared" si="3"/>
        <v>8</v>
      </c>
      <c r="W65" s="37">
        <f t="shared" si="4"/>
        <v>10</v>
      </c>
    </row>
    <row r="66" spans="1:23">
      <c r="A66" s="15">
        <v>702</v>
      </c>
      <c r="B66" s="16">
        <v>7.3290199999999999</v>
      </c>
      <c r="C66" s="17">
        <f t="shared" si="0"/>
        <v>7.3290199999999999</v>
      </c>
      <c r="D66" s="17">
        <f t="shared" si="5"/>
        <v>11.99311</v>
      </c>
      <c r="F66" s="32">
        <f>'Online Results'!B68</f>
        <v>4253</v>
      </c>
      <c r="G66" s="17">
        <f t="shared" si="1"/>
        <v>4.1108700000000002</v>
      </c>
      <c r="H66" s="17">
        <f>VLOOKUP(F66, 'Online Results'!$B$3:$G$103, 6, FALSE)</f>
        <v>2</v>
      </c>
      <c r="I66" s="38">
        <f>SUMIF(Matches!C:C, $F66, Matches!$M:$M)</f>
        <v>11.598525</v>
      </c>
      <c r="J66" s="38">
        <f>SUMIF(Matches!D:D, $F66, Matches!$M:$M)</f>
        <v>14</v>
      </c>
      <c r="K66" s="38">
        <f>SUMIF(Matches!E:E, $F66, Matches!$M:$M)</f>
        <v>69.727605000000011</v>
      </c>
      <c r="L66" s="39">
        <f>SUMIF(Matches!F:F, $F66, Matches!$M:$M)</f>
        <v>61.404644999999995</v>
      </c>
      <c r="M66" s="39">
        <f>SUMIF(Matches!G:G, $F66, Matches!$M:$M)</f>
        <v>0</v>
      </c>
      <c r="N66" s="39">
        <f>SUMIF(Matches!H:H, $F66, Matches!$M:$M)</f>
        <v>15.368385000000002</v>
      </c>
      <c r="O66" s="38">
        <f>SUMIF(Matches!C:C,$F66,Matches!$K:$K)</f>
        <v>0</v>
      </c>
      <c r="P66" s="38">
        <f>SUMIF(Matches!D:D,$F66,Matches!$K:$K)</f>
        <v>2</v>
      </c>
      <c r="Q66" s="38">
        <f>SUMIF(Matches!E:E,$F66,Matches!$K:$K)</f>
        <v>0</v>
      </c>
      <c r="R66" s="39">
        <f>SUMIF(Matches!F:F,$F66,Matches!$L:$L)</f>
        <v>2</v>
      </c>
      <c r="S66" s="39">
        <f>SUMIF(Matches!G:G,$F66,Matches!$L:$L)</f>
        <v>0</v>
      </c>
      <c r="T66" s="39">
        <f>SUMIF(Matches!H:H,$F66,Matches!$L:$L)</f>
        <v>0</v>
      </c>
      <c r="U66" s="37">
        <f t="shared" si="2"/>
        <v>172.09915999999998</v>
      </c>
      <c r="V66" s="37">
        <f t="shared" si="3"/>
        <v>4</v>
      </c>
      <c r="W66" s="37">
        <f t="shared" si="4"/>
        <v>6</v>
      </c>
    </row>
    <row r="67" spans="1:23">
      <c r="A67" s="15">
        <v>706</v>
      </c>
      <c r="B67" s="16">
        <v>9.4220299999999995</v>
      </c>
      <c r="C67" s="17">
        <f t="shared" ref="C67:C130" si="6">IF(A67=A68, IF(A68=A69, IF(A69=A70, AVERAGE(B67:B70), AVERAGE(B67:B69)), AVERAGE(B67:B68)), B67)</f>
        <v>9.4220299999999995</v>
      </c>
      <c r="D67" s="17">
        <f t="shared" si="5"/>
        <v>9.4220299999999995</v>
      </c>
      <c r="F67" s="32">
        <f>'Online Results'!B69</f>
        <v>207</v>
      </c>
      <c r="G67" s="17">
        <f t="shared" ref="G67:G101" si="7">VLOOKUP(F67,A:D,3, FALSE )</f>
        <v>8.8962000000000003</v>
      </c>
      <c r="H67" s="17">
        <f>VLOOKUP(F67, 'Online Results'!$B$3:$G$103, 6, FALSE)</f>
        <v>4</v>
      </c>
      <c r="I67" s="38">
        <f>SUMIF(Matches!C:C, $F67, Matches!$M:$M)</f>
        <v>20.310749999999999</v>
      </c>
      <c r="J67" s="38">
        <f>SUMIF(Matches!D:D, $F67, Matches!$M:$M)</f>
        <v>93.400435000000002</v>
      </c>
      <c r="K67" s="38">
        <f>SUMIF(Matches!E:E, $F67, Matches!$M:$M)</f>
        <v>0</v>
      </c>
      <c r="L67" s="39">
        <f>SUMIF(Matches!F:F, $F67, Matches!$M:$M)</f>
        <v>30.273029999999999</v>
      </c>
      <c r="M67" s="39">
        <f>SUMIF(Matches!G:G, $F67, Matches!$M:$M)</f>
        <v>26</v>
      </c>
      <c r="N67" s="39">
        <f>SUMIF(Matches!H:H, $F67, Matches!$M:$M)</f>
        <v>42.261330000000001</v>
      </c>
      <c r="O67" s="38">
        <f>SUMIF(Matches!C:C,$F67,Matches!$K:$K)</f>
        <v>0</v>
      </c>
      <c r="P67" s="38">
        <f>SUMIF(Matches!D:D,$F67,Matches!$K:$K)</f>
        <v>2</v>
      </c>
      <c r="Q67" s="38">
        <f>SUMIF(Matches!E:E,$F67,Matches!$K:$K)</f>
        <v>0</v>
      </c>
      <c r="R67" s="39">
        <f>SUMIF(Matches!F:F,$F67,Matches!$L:$L)</f>
        <v>0</v>
      </c>
      <c r="S67" s="39">
        <f>SUMIF(Matches!G:G,$F67,Matches!$L:$L)</f>
        <v>0</v>
      </c>
      <c r="T67" s="39">
        <f>SUMIF(Matches!H:H,$F67,Matches!$L:$L)</f>
        <v>0</v>
      </c>
      <c r="U67" s="37">
        <f t="shared" ref="U67:U101" si="8">SUM(I67:N67)</f>
        <v>212.24554499999999</v>
      </c>
      <c r="V67" s="37">
        <f t="shared" ref="V67:V101" si="9">SUM(O67:T67)</f>
        <v>2</v>
      </c>
      <c r="W67" s="37">
        <f t="shared" ref="W67:W101" si="10">H67+V67</f>
        <v>6</v>
      </c>
    </row>
    <row r="68" spans="1:23">
      <c r="A68" s="15">
        <v>830</v>
      </c>
      <c r="B68" s="16">
        <v>17.323699999999999</v>
      </c>
      <c r="C68" s="17">
        <f t="shared" si="6"/>
        <v>12.197706666666667</v>
      </c>
      <c r="D68" s="17">
        <f t="shared" si="5"/>
        <v>12.197706666666667</v>
      </c>
      <c r="F68" s="32">
        <f>'Online Results'!B70</f>
        <v>1985</v>
      </c>
      <c r="G68" s="17">
        <f t="shared" si="7"/>
        <v>18.133500000000002</v>
      </c>
      <c r="H68" s="17">
        <f>VLOOKUP(F68, 'Online Results'!$B$3:$G$103, 6, FALSE)</f>
        <v>2</v>
      </c>
      <c r="I68" s="38">
        <f>SUMIF(Matches!C:C, $F68, Matches!$M:$M)</f>
        <v>37.560005000000004</v>
      </c>
      <c r="J68" s="38">
        <f>SUMIF(Matches!D:D, $F68, Matches!$M:$M)</f>
        <v>37.6678</v>
      </c>
      <c r="K68" s="38">
        <f>SUMIF(Matches!E:E, $F68, Matches!$M:$M)</f>
        <v>37.875240000000005</v>
      </c>
      <c r="L68" s="39">
        <f>SUMIF(Matches!F:F, $F68, Matches!$M:$M)</f>
        <v>98.318644999999989</v>
      </c>
      <c r="M68" s="39">
        <f>SUMIF(Matches!G:G, $F68, Matches!$M:$M)</f>
        <v>38.982514999999999</v>
      </c>
      <c r="N68" s="39">
        <f>SUMIF(Matches!H:H, $F68, Matches!$M:$M)</f>
        <v>0</v>
      </c>
      <c r="O68" s="38">
        <f>SUMIF(Matches!C:C,$F68,Matches!$K:$K)</f>
        <v>2</v>
      </c>
      <c r="P68" s="38">
        <f>SUMIF(Matches!D:D,$F68,Matches!$K:$K)</f>
        <v>0</v>
      </c>
      <c r="Q68" s="38">
        <f>SUMIF(Matches!E:E,$F68,Matches!$K:$K)</f>
        <v>0</v>
      </c>
      <c r="R68" s="39">
        <f>SUMIF(Matches!F:F,$F68,Matches!$L:$L)</f>
        <v>8</v>
      </c>
      <c r="S68" s="39">
        <f>SUMIF(Matches!G:G,$F68,Matches!$L:$L)</f>
        <v>0</v>
      </c>
      <c r="T68" s="39">
        <f>SUMIF(Matches!H:H,$F68,Matches!$L:$L)</f>
        <v>0</v>
      </c>
      <c r="U68" s="37">
        <f t="shared" si="8"/>
        <v>250.40420500000002</v>
      </c>
      <c r="V68" s="37">
        <f t="shared" si="9"/>
        <v>10</v>
      </c>
      <c r="W68" s="37">
        <f t="shared" si="10"/>
        <v>12</v>
      </c>
    </row>
    <row r="69" spans="1:23">
      <c r="A69" s="15">
        <v>830</v>
      </c>
      <c r="B69" s="16">
        <v>15.0587</v>
      </c>
      <c r="C69" s="17">
        <f t="shared" si="6"/>
        <v>9.6347100000000001</v>
      </c>
      <c r="D69" s="17">
        <f t="shared" ref="D69:D132" si="11">IF(A69=A68, D68, C69)</f>
        <v>12.197706666666667</v>
      </c>
      <c r="F69" s="32">
        <f>'Online Results'!B71</f>
        <v>1266</v>
      </c>
      <c r="G69" s="17">
        <f t="shared" si="7"/>
        <v>10.698370000000001</v>
      </c>
      <c r="H69" s="17">
        <f>VLOOKUP(F69, 'Online Results'!$B$3:$G$103, 6, FALSE)</f>
        <v>4</v>
      </c>
      <c r="I69" s="38">
        <f>SUMIF(Matches!C:C, $F69, Matches!$M:$M)</f>
        <v>23.915900000000001</v>
      </c>
      <c r="J69" s="38">
        <f>SUMIF(Matches!D:D, $F69, Matches!$M:$M)</f>
        <v>60.515090000000001</v>
      </c>
      <c r="K69" s="38">
        <f>SUMIF(Matches!E:E, $F69, Matches!$M:$M)</f>
        <v>25.379170000000002</v>
      </c>
      <c r="L69" s="39">
        <f>SUMIF(Matches!F:F, $F69, Matches!$M:$M)</f>
        <v>49.186985000000007</v>
      </c>
      <c r="M69" s="39">
        <f>SUMIF(Matches!G:G, $F69, Matches!$M:$M)</f>
        <v>26.585974999999998</v>
      </c>
      <c r="N69" s="39">
        <f>SUMIF(Matches!H:H, $F69, Matches!$M:$M)</f>
        <v>24.419354999999999</v>
      </c>
      <c r="O69" s="38">
        <f>SUMIF(Matches!C:C,$F69,Matches!$K:$K)</f>
        <v>0</v>
      </c>
      <c r="P69" s="38">
        <f>SUMIF(Matches!D:D,$F69,Matches!$K:$K)</f>
        <v>0</v>
      </c>
      <c r="Q69" s="38">
        <f>SUMIF(Matches!E:E,$F69,Matches!$K:$K)</f>
        <v>0</v>
      </c>
      <c r="R69" s="39">
        <f>SUMIF(Matches!F:F,$F69,Matches!$L:$L)</f>
        <v>2</v>
      </c>
      <c r="S69" s="39">
        <f>SUMIF(Matches!G:G,$F69,Matches!$L:$L)</f>
        <v>2</v>
      </c>
      <c r="T69" s="39">
        <f>SUMIF(Matches!H:H,$F69,Matches!$L:$L)</f>
        <v>0</v>
      </c>
      <c r="U69" s="37">
        <f t="shared" si="8"/>
        <v>210.002475</v>
      </c>
      <c r="V69" s="37">
        <f t="shared" si="9"/>
        <v>4</v>
      </c>
      <c r="W69" s="37">
        <f t="shared" si="10"/>
        <v>8</v>
      </c>
    </row>
    <row r="70" spans="1:23">
      <c r="A70" s="15">
        <v>830</v>
      </c>
      <c r="B70" s="16">
        <v>4.2107200000000002</v>
      </c>
      <c r="C70" s="17">
        <f t="shared" si="6"/>
        <v>4.2107200000000002</v>
      </c>
      <c r="D70" s="17">
        <f t="shared" si="11"/>
        <v>12.197706666666667</v>
      </c>
      <c r="F70" s="32">
        <f>'Online Results'!B72</f>
        <v>3807</v>
      </c>
      <c r="G70" s="17">
        <f t="shared" si="7"/>
        <v>3.8397600000000001</v>
      </c>
      <c r="H70" s="17">
        <f>VLOOKUP(F70, 'Online Results'!$B$3:$G$103, 6, FALSE)</f>
        <v>0</v>
      </c>
      <c r="I70" s="38">
        <f>SUMIF(Matches!C:C, $F70, Matches!$M:$M)</f>
        <v>12.446009999999999</v>
      </c>
      <c r="J70" s="38">
        <f>SUMIF(Matches!D:D, $F70, Matches!$M:$M)</f>
        <v>13.755690000000001</v>
      </c>
      <c r="K70" s="38">
        <f>SUMIF(Matches!E:E, $F70, Matches!$M:$M)</f>
        <v>50.488055000000003</v>
      </c>
      <c r="L70" s="39">
        <f>SUMIF(Matches!F:F, $F70, Matches!$M:$M)</f>
        <v>47.861559999999997</v>
      </c>
      <c r="M70" s="39">
        <f>SUMIF(Matches!G:G, $F70, Matches!$M:$M)</f>
        <v>66.499259999999992</v>
      </c>
      <c r="N70" s="39">
        <f>SUMIF(Matches!H:H, $F70, Matches!$M:$M)</f>
        <v>16.70119</v>
      </c>
      <c r="O70" s="38">
        <f>SUMIF(Matches!C:C,$F70,Matches!$K:$K)</f>
        <v>2</v>
      </c>
      <c r="P70" s="38">
        <f>SUMIF(Matches!D:D,$F70,Matches!$K:$K)</f>
        <v>0</v>
      </c>
      <c r="Q70" s="38">
        <f>SUMIF(Matches!E:E,$F70,Matches!$K:$K)</f>
        <v>2</v>
      </c>
      <c r="R70" s="39">
        <f>SUMIF(Matches!F:F,$F70,Matches!$L:$L)</f>
        <v>2</v>
      </c>
      <c r="S70" s="39">
        <f>SUMIF(Matches!G:G,$F70,Matches!$L:$L)</f>
        <v>2</v>
      </c>
      <c r="T70" s="39">
        <f>SUMIF(Matches!H:H,$F70,Matches!$L:$L)</f>
        <v>0</v>
      </c>
      <c r="U70" s="37">
        <f t="shared" si="8"/>
        <v>207.75176499999998</v>
      </c>
      <c r="V70" s="37">
        <f t="shared" si="9"/>
        <v>8</v>
      </c>
      <c r="W70" s="37">
        <f t="shared" si="10"/>
        <v>8</v>
      </c>
    </row>
    <row r="71" spans="1:23">
      <c r="A71" s="15">
        <v>836</v>
      </c>
      <c r="B71" s="16">
        <v>24.165400000000002</v>
      </c>
      <c r="C71" s="17">
        <f t="shared" si="6"/>
        <v>19.302600000000002</v>
      </c>
      <c r="D71" s="17">
        <f t="shared" si="11"/>
        <v>19.302600000000002</v>
      </c>
      <c r="F71" s="32">
        <f>'Online Results'!B73</f>
        <v>254</v>
      </c>
      <c r="G71" s="17">
        <f t="shared" si="7"/>
        <v>29.399549999999998</v>
      </c>
      <c r="H71" s="17">
        <f>VLOOKUP(F71, 'Online Results'!$B$3:$G$103, 6, FALSE)</f>
        <v>2</v>
      </c>
      <c r="I71" s="38">
        <f>SUMIF(Matches!C:C, $F71, Matches!$M:$M)</f>
        <v>26</v>
      </c>
      <c r="J71" s="38">
        <f>SUMIF(Matches!D:D, $F71, Matches!$M:$M)</f>
        <v>70.232690000000005</v>
      </c>
      <c r="K71" s="38">
        <f>SUMIF(Matches!E:E, $F71, Matches!$M:$M)</f>
        <v>39.597075000000004</v>
      </c>
      <c r="L71" s="39">
        <f>SUMIF(Matches!F:F, $F71, Matches!$M:$M)</f>
        <v>73.258459999999999</v>
      </c>
      <c r="M71" s="39">
        <f>SUMIF(Matches!G:G, $F71, Matches!$M:$M)</f>
        <v>60.557038333333338</v>
      </c>
      <c r="N71" s="39">
        <f>SUMIF(Matches!H:H, $F71, Matches!$M:$M)</f>
        <v>29.124960000000002</v>
      </c>
      <c r="O71" s="38">
        <f>SUMIF(Matches!C:C,$F71,Matches!$K:$K)</f>
        <v>0</v>
      </c>
      <c r="P71" s="38">
        <f>SUMIF(Matches!D:D,$F71,Matches!$K:$K)</f>
        <v>4</v>
      </c>
      <c r="Q71" s="38">
        <f>SUMIF(Matches!E:E,$F71,Matches!$K:$K)</f>
        <v>2</v>
      </c>
      <c r="R71" s="39">
        <f>SUMIF(Matches!F:F,$F71,Matches!$L:$L)</f>
        <v>2</v>
      </c>
      <c r="S71" s="39">
        <f>SUMIF(Matches!G:G,$F71,Matches!$L:$L)</f>
        <v>4</v>
      </c>
      <c r="T71" s="39">
        <f>SUMIF(Matches!H:H,$F71,Matches!$L:$L)</f>
        <v>2</v>
      </c>
      <c r="U71" s="37">
        <f t="shared" si="8"/>
        <v>298.77022333333332</v>
      </c>
      <c r="V71" s="37">
        <f t="shared" si="9"/>
        <v>14</v>
      </c>
      <c r="W71" s="37">
        <f t="shared" si="10"/>
        <v>16</v>
      </c>
    </row>
    <row r="72" spans="1:23">
      <c r="A72" s="15">
        <v>836</v>
      </c>
      <c r="B72" s="16">
        <v>14.4398</v>
      </c>
      <c r="C72" s="17">
        <f t="shared" si="6"/>
        <v>14.4398</v>
      </c>
      <c r="D72" s="17">
        <f t="shared" si="11"/>
        <v>19.302600000000002</v>
      </c>
      <c r="F72" s="32">
        <f>'Online Results'!B74</f>
        <v>3880</v>
      </c>
      <c r="G72" s="17">
        <f t="shared" si="7"/>
        <v>10.0093</v>
      </c>
      <c r="H72" s="17">
        <f>VLOOKUP(F72, 'Online Results'!$B$3:$G$103, 6, FALSE)</f>
        <v>2</v>
      </c>
      <c r="I72" s="38">
        <f>SUMIF(Matches!C:C, $F72, Matches!$M:$M)</f>
        <v>31.738999999999997</v>
      </c>
      <c r="J72" s="38">
        <f>SUMIF(Matches!D:D, $F72, Matches!$M:$M)</f>
        <v>38.520907000000001</v>
      </c>
      <c r="K72" s="38">
        <f>SUMIF(Matches!E:E, $F72, Matches!$M:$M)</f>
        <v>51.325074999999998</v>
      </c>
      <c r="L72" s="39">
        <f>SUMIF(Matches!F:F, $F72, Matches!$M:$M)</f>
        <v>0</v>
      </c>
      <c r="M72" s="39">
        <f>SUMIF(Matches!G:G, $F72, Matches!$M:$M)</f>
        <v>30.686200000000003</v>
      </c>
      <c r="N72" s="39">
        <f>SUMIF(Matches!H:H, $F72, Matches!$M:$M)</f>
        <v>54.5381</v>
      </c>
      <c r="O72" s="38">
        <f>SUMIF(Matches!C:C,$F72,Matches!$K:$K)</f>
        <v>0</v>
      </c>
      <c r="P72" s="38">
        <f>SUMIF(Matches!D:D,$F72,Matches!$K:$K)</f>
        <v>2</v>
      </c>
      <c r="Q72" s="38">
        <f>SUMIF(Matches!E:E,$F72,Matches!$K:$K)</f>
        <v>2</v>
      </c>
      <c r="R72" s="39">
        <f>SUMIF(Matches!F:F,$F72,Matches!$L:$L)</f>
        <v>0</v>
      </c>
      <c r="S72" s="39">
        <f>SUMIF(Matches!G:G,$F72,Matches!$L:$L)</f>
        <v>0</v>
      </c>
      <c r="T72" s="39">
        <f>SUMIF(Matches!H:H,$F72,Matches!$L:$L)</f>
        <v>4</v>
      </c>
      <c r="U72" s="37">
        <f t="shared" si="8"/>
        <v>206.809282</v>
      </c>
      <c r="V72" s="37">
        <f t="shared" si="9"/>
        <v>8</v>
      </c>
      <c r="W72" s="37">
        <f t="shared" si="10"/>
        <v>10</v>
      </c>
    </row>
    <row r="73" spans="1:23">
      <c r="A73" s="15">
        <v>932</v>
      </c>
      <c r="B73" s="16">
        <v>4.4872699999999996</v>
      </c>
      <c r="C73" s="17">
        <f t="shared" si="6"/>
        <v>4.4310449999999992</v>
      </c>
      <c r="D73" s="17">
        <f t="shared" si="11"/>
        <v>4.4310449999999992</v>
      </c>
      <c r="F73" s="32">
        <f>'Online Results'!B75</f>
        <v>1143</v>
      </c>
      <c r="G73" s="17">
        <f t="shared" si="7"/>
        <v>8.51098</v>
      </c>
      <c r="H73" s="17">
        <f>VLOOKUP(F73, 'Online Results'!$B$3:$G$103, 6, FALSE)</f>
        <v>4</v>
      </c>
      <c r="I73" s="38">
        <f>SUMIF(Matches!C:C, $F73, Matches!$M:$M)</f>
        <v>35</v>
      </c>
      <c r="J73" s="38">
        <f>SUMIF(Matches!D:D, $F73, Matches!$M:$M)</f>
        <v>57.137630000000001</v>
      </c>
      <c r="K73" s="38">
        <f>SUMIF(Matches!E:E, $F73, Matches!$M:$M)</f>
        <v>40.661971000000001</v>
      </c>
      <c r="L73" s="39">
        <f>SUMIF(Matches!F:F, $F73, Matches!$M:$M)</f>
        <v>60.80283</v>
      </c>
      <c r="M73" s="39">
        <f>SUMIF(Matches!G:G, $F73, Matches!$M:$M)</f>
        <v>50.296059999999997</v>
      </c>
      <c r="N73" s="39">
        <f>SUMIF(Matches!H:H, $F73, Matches!$M:$M)</f>
        <v>0</v>
      </c>
      <c r="O73" s="38">
        <f>SUMIF(Matches!C:C,$F73,Matches!$K:$K)</f>
        <v>0</v>
      </c>
      <c r="P73" s="38">
        <f>SUMIF(Matches!D:D,$F73,Matches!$K:$K)</f>
        <v>0</v>
      </c>
      <c r="Q73" s="38">
        <f>SUMIF(Matches!E:E,$F73,Matches!$K:$K)</f>
        <v>4</v>
      </c>
      <c r="R73" s="39">
        <f>SUMIF(Matches!F:F,$F73,Matches!$L:$L)</f>
        <v>0</v>
      </c>
      <c r="S73" s="39">
        <f>SUMIF(Matches!G:G,$F73,Matches!$L:$L)</f>
        <v>2</v>
      </c>
      <c r="T73" s="39">
        <f>SUMIF(Matches!H:H,$F73,Matches!$L:$L)</f>
        <v>0</v>
      </c>
      <c r="U73" s="37">
        <f t="shared" si="8"/>
        <v>243.89849099999998</v>
      </c>
      <c r="V73" s="37">
        <f t="shared" si="9"/>
        <v>6</v>
      </c>
      <c r="W73" s="37">
        <f t="shared" si="10"/>
        <v>10</v>
      </c>
    </row>
    <row r="74" spans="1:23">
      <c r="A74" s="15">
        <v>932</v>
      </c>
      <c r="B74" s="16">
        <v>4.3748199999999997</v>
      </c>
      <c r="C74" s="17">
        <f t="shared" si="6"/>
        <v>4.3748199999999997</v>
      </c>
      <c r="D74" s="17">
        <f t="shared" si="11"/>
        <v>4.4310449999999992</v>
      </c>
      <c r="F74" s="32">
        <f>'Online Results'!B76</f>
        <v>3132</v>
      </c>
      <c r="G74" s="17">
        <f t="shared" si="7"/>
        <v>3.37147</v>
      </c>
      <c r="H74" s="17">
        <f>VLOOKUP(F74, 'Online Results'!$B$3:$G$103, 6, FALSE)</f>
        <v>2</v>
      </c>
      <c r="I74" s="38">
        <f>SUMIF(Matches!C:C, $F74, Matches!$M:$M)</f>
        <v>26.712156666666665</v>
      </c>
      <c r="J74" s="38">
        <f>SUMIF(Matches!D:D, $F74, Matches!$M:$M)</f>
        <v>70.219846000000004</v>
      </c>
      <c r="K74" s="38">
        <f>SUMIF(Matches!E:E, $F74, Matches!$M:$M)</f>
        <v>12</v>
      </c>
      <c r="L74" s="39">
        <f>SUMIF(Matches!F:F, $F74, Matches!$M:$M)</f>
        <v>0</v>
      </c>
      <c r="M74" s="39">
        <f>SUMIF(Matches!G:G, $F74, Matches!$M:$M)</f>
        <v>65.856459999999998</v>
      </c>
      <c r="N74" s="39">
        <f>SUMIF(Matches!H:H, $F74, Matches!$M:$M)</f>
        <v>38.446010000000001</v>
      </c>
      <c r="O74" s="38">
        <f>SUMIF(Matches!C:C,$F74,Matches!$K:$K)</f>
        <v>2</v>
      </c>
      <c r="P74" s="38">
        <f>SUMIF(Matches!D:D,$F74,Matches!$K:$K)</f>
        <v>2</v>
      </c>
      <c r="Q74" s="38">
        <f>SUMIF(Matches!E:E,$F74,Matches!$K:$K)</f>
        <v>0</v>
      </c>
      <c r="R74" s="39">
        <f>SUMIF(Matches!F:F,$F74,Matches!$L:$L)</f>
        <v>0</v>
      </c>
      <c r="S74" s="39">
        <f>SUMIF(Matches!G:G,$F74,Matches!$L:$L)</f>
        <v>2</v>
      </c>
      <c r="T74" s="39">
        <f>SUMIF(Matches!H:H,$F74,Matches!$L:$L)</f>
        <v>2</v>
      </c>
      <c r="U74" s="37">
        <f t="shared" si="8"/>
        <v>213.23447266666668</v>
      </c>
      <c r="V74" s="37">
        <f t="shared" si="9"/>
        <v>8</v>
      </c>
      <c r="W74" s="37">
        <f t="shared" si="10"/>
        <v>10</v>
      </c>
    </row>
    <row r="75" spans="1:23">
      <c r="A75" s="15">
        <v>971</v>
      </c>
      <c r="B75" s="16">
        <v>29.8324</v>
      </c>
      <c r="C75" s="17">
        <f t="shared" si="6"/>
        <v>25.454499999999999</v>
      </c>
      <c r="D75" s="17">
        <f t="shared" si="11"/>
        <v>25.454499999999999</v>
      </c>
      <c r="F75" s="32">
        <f>'Online Results'!B77</f>
        <v>192</v>
      </c>
      <c r="G75" s="17">
        <f t="shared" si="7"/>
        <v>12.69613</v>
      </c>
      <c r="H75" s="17">
        <f>VLOOKUP(F75, 'Online Results'!$B$3:$G$103, 6, FALSE)</f>
        <v>4</v>
      </c>
      <c r="I75" s="38">
        <f>SUMIF(Matches!C:C, $F75, Matches!$M:$M)</f>
        <v>64.99386633333333</v>
      </c>
      <c r="J75" s="38">
        <f>SUMIF(Matches!D:D, $F75, Matches!$M:$M)</f>
        <v>49.363095000000001</v>
      </c>
      <c r="K75" s="38">
        <f>SUMIF(Matches!E:E, $F75, Matches!$M:$M)</f>
        <v>6</v>
      </c>
      <c r="L75" s="39">
        <f>SUMIF(Matches!F:F, $F75, Matches!$M:$M)</f>
        <v>25</v>
      </c>
      <c r="M75" s="39">
        <f>SUMIF(Matches!G:G, $F75, Matches!$M:$M)</f>
        <v>53.693905000000001</v>
      </c>
      <c r="N75" s="39">
        <f>SUMIF(Matches!H:H, $F75, Matches!$M:$M)</f>
        <v>28.121520000000004</v>
      </c>
      <c r="O75" s="38">
        <f>SUMIF(Matches!C:C,$F75,Matches!$K:$K)</f>
        <v>4</v>
      </c>
      <c r="P75" s="38">
        <f>SUMIF(Matches!D:D,$F75,Matches!$K:$K)</f>
        <v>2</v>
      </c>
      <c r="Q75" s="38">
        <f>SUMIF(Matches!E:E,$F75,Matches!$K:$K)</f>
        <v>0</v>
      </c>
      <c r="R75" s="39">
        <f>SUMIF(Matches!F:F,$F75,Matches!$L:$L)</f>
        <v>0</v>
      </c>
      <c r="S75" s="39">
        <f>SUMIF(Matches!G:G,$F75,Matches!$L:$L)</f>
        <v>0</v>
      </c>
      <c r="T75" s="39">
        <f>SUMIF(Matches!H:H,$F75,Matches!$L:$L)</f>
        <v>2</v>
      </c>
      <c r="U75" s="37">
        <f t="shared" si="8"/>
        <v>227.17238633333335</v>
      </c>
      <c r="V75" s="37">
        <f t="shared" si="9"/>
        <v>8</v>
      </c>
      <c r="W75" s="37">
        <f t="shared" si="10"/>
        <v>12</v>
      </c>
    </row>
    <row r="76" spans="1:23">
      <c r="A76" s="15">
        <v>971</v>
      </c>
      <c r="B76" s="16">
        <v>21.076599999999999</v>
      </c>
      <c r="C76" s="17">
        <f t="shared" si="6"/>
        <v>21.076599999999999</v>
      </c>
      <c r="D76" s="17">
        <f t="shared" si="11"/>
        <v>25.454499999999999</v>
      </c>
      <c r="F76" s="32">
        <f>'Online Results'!B78</f>
        <v>3940</v>
      </c>
      <c r="G76" s="17">
        <f t="shared" si="7"/>
        <v>12.370999999999999</v>
      </c>
      <c r="H76" s="17">
        <f>VLOOKUP(F76, 'Online Results'!$B$3:$G$103, 6, FALSE)</f>
        <v>2</v>
      </c>
      <c r="I76" s="38">
        <f>SUMIF(Matches!C:C, $F76, Matches!$M:$M)</f>
        <v>53.475293333333326</v>
      </c>
      <c r="J76" s="38">
        <f>SUMIF(Matches!D:D, $F76, Matches!$M:$M)</f>
        <v>0</v>
      </c>
      <c r="K76" s="38">
        <f>SUMIF(Matches!E:E, $F76, Matches!$M:$M)</f>
        <v>75.734304000000009</v>
      </c>
      <c r="L76" s="39">
        <f>SUMIF(Matches!F:F, $F76, Matches!$M:$M)</f>
        <v>50.847279999999998</v>
      </c>
      <c r="M76" s="39">
        <f>SUMIF(Matches!G:G, $F76, Matches!$M:$M)</f>
        <v>73.632804999999991</v>
      </c>
      <c r="N76" s="39">
        <f>SUMIF(Matches!H:H, $F76, Matches!$M:$M)</f>
        <v>0</v>
      </c>
      <c r="O76" s="38">
        <f>SUMIF(Matches!C:C,$F76,Matches!$K:$K)</f>
        <v>2</v>
      </c>
      <c r="P76" s="38">
        <f>SUMIF(Matches!D:D,$F76,Matches!$K:$K)</f>
        <v>0</v>
      </c>
      <c r="Q76" s="38">
        <f>SUMIF(Matches!E:E,$F76,Matches!$K:$K)</f>
        <v>4</v>
      </c>
      <c r="R76" s="39">
        <f>SUMIF(Matches!F:F,$F76,Matches!$L:$L)</f>
        <v>4</v>
      </c>
      <c r="S76" s="39">
        <f>SUMIF(Matches!G:G,$F76,Matches!$L:$L)</f>
        <v>0</v>
      </c>
      <c r="T76" s="39">
        <f>SUMIF(Matches!H:H,$F76,Matches!$L:$L)</f>
        <v>0</v>
      </c>
      <c r="U76" s="37">
        <f t="shared" si="8"/>
        <v>253.68968233333331</v>
      </c>
      <c r="V76" s="37">
        <f t="shared" si="9"/>
        <v>10</v>
      </c>
      <c r="W76" s="37">
        <f t="shared" si="10"/>
        <v>12</v>
      </c>
    </row>
    <row r="77" spans="1:23">
      <c r="A77" s="15">
        <v>987</v>
      </c>
      <c r="B77" s="16">
        <v>39.683100000000003</v>
      </c>
      <c r="C77" s="17">
        <f t="shared" si="6"/>
        <v>33.007300000000001</v>
      </c>
      <c r="D77" s="17">
        <f t="shared" si="11"/>
        <v>33.007300000000001</v>
      </c>
      <c r="F77" s="32">
        <f>'Online Results'!B79</f>
        <v>1690</v>
      </c>
      <c r="G77" s="17">
        <f t="shared" si="7"/>
        <v>13.4712</v>
      </c>
      <c r="H77" s="17">
        <f>VLOOKUP(F77, 'Online Results'!$B$3:$G$103, 6, FALSE)</f>
        <v>2</v>
      </c>
      <c r="I77" s="38">
        <f>SUMIF(Matches!C:C, $F77, Matches!$M:$M)</f>
        <v>15</v>
      </c>
      <c r="J77" s="38">
        <f>SUMIF(Matches!D:D, $F77, Matches!$M:$M)</f>
        <v>80.508810000000011</v>
      </c>
      <c r="K77" s="38">
        <f>SUMIF(Matches!E:E, $F77, Matches!$M:$M)</f>
        <v>30.800155</v>
      </c>
      <c r="L77" s="39">
        <f>SUMIF(Matches!F:F, $F77, Matches!$M:$M)</f>
        <v>51.391804333333326</v>
      </c>
      <c r="M77" s="39">
        <f>SUMIF(Matches!G:G, $F77, Matches!$M:$M)</f>
        <v>40.247500000000002</v>
      </c>
      <c r="N77" s="39">
        <f>SUMIF(Matches!H:H, $F77, Matches!$M:$M)</f>
        <v>27.905340000000002</v>
      </c>
      <c r="O77" s="38">
        <f>SUMIF(Matches!C:C,$F77,Matches!$K:$K)</f>
        <v>0</v>
      </c>
      <c r="P77" s="38">
        <f>SUMIF(Matches!D:D,$F77,Matches!$K:$K)</f>
        <v>4</v>
      </c>
      <c r="Q77" s="38">
        <f>SUMIF(Matches!E:E,$F77,Matches!$K:$K)</f>
        <v>0</v>
      </c>
      <c r="R77" s="39">
        <f>SUMIF(Matches!F:F,$F77,Matches!$L:$L)</f>
        <v>4</v>
      </c>
      <c r="S77" s="39">
        <f>SUMIF(Matches!G:G,$F77,Matches!$L:$L)</f>
        <v>2</v>
      </c>
      <c r="T77" s="39">
        <f>SUMIF(Matches!H:H,$F77,Matches!$L:$L)</f>
        <v>0</v>
      </c>
      <c r="U77" s="37">
        <f t="shared" si="8"/>
        <v>245.85360933333334</v>
      </c>
      <c r="V77" s="37">
        <f t="shared" si="9"/>
        <v>10</v>
      </c>
      <c r="W77" s="37">
        <f t="shared" si="10"/>
        <v>12</v>
      </c>
    </row>
    <row r="78" spans="1:23">
      <c r="A78" s="15">
        <v>987</v>
      </c>
      <c r="B78" s="16">
        <v>26.331499999999998</v>
      </c>
      <c r="C78" s="17">
        <f t="shared" si="6"/>
        <v>26.331499999999998</v>
      </c>
      <c r="D78" s="17">
        <f t="shared" si="11"/>
        <v>33.007300000000001</v>
      </c>
      <c r="F78" s="32">
        <f>'Online Results'!B80</f>
        <v>694</v>
      </c>
      <c r="G78" s="17">
        <f t="shared" si="7"/>
        <v>17.172499999999999</v>
      </c>
      <c r="H78" s="17">
        <f>VLOOKUP(F78, 'Online Results'!$B$3:$G$103, 6, FALSE)</f>
        <v>0</v>
      </c>
      <c r="I78" s="38">
        <f>SUMIF(Matches!C:C, $F78, Matches!$M:$M)</f>
        <v>0</v>
      </c>
      <c r="J78" s="38">
        <f>SUMIF(Matches!D:D, $F78, Matches!$M:$M)</f>
        <v>134.53416766666666</v>
      </c>
      <c r="K78" s="38">
        <f>SUMIF(Matches!E:E, $F78, Matches!$M:$M)</f>
        <v>0</v>
      </c>
      <c r="L78" s="39">
        <f>SUMIF(Matches!F:F, $F78, Matches!$M:$M)</f>
        <v>93.891773333333333</v>
      </c>
      <c r="M78" s="39">
        <f>SUMIF(Matches!G:G, $F78, Matches!$M:$M)</f>
        <v>0</v>
      </c>
      <c r="N78" s="39">
        <f>SUMIF(Matches!H:H, $F78, Matches!$M:$M)</f>
        <v>27</v>
      </c>
      <c r="O78" s="38">
        <f>SUMIF(Matches!C:C,$F78,Matches!$K:$K)</f>
        <v>0</v>
      </c>
      <c r="P78" s="38">
        <f>SUMIF(Matches!D:D,$F78,Matches!$K:$K)</f>
        <v>8</v>
      </c>
      <c r="Q78" s="38">
        <f>SUMIF(Matches!E:E,$F78,Matches!$K:$K)</f>
        <v>0</v>
      </c>
      <c r="R78" s="39">
        <f>SUMIF(Matches!F:F,$F78,Matches!$L:$L)</f>
        <v>4</v>
      </c>
      <c r="S78" s="39">
        <f>SUMIF(Matches!G:G,$F78,Matches!$L:$L)</f>
        <v>0</v>
      </c>
      <c r="T78" s="39">
        <f>SUMIF(Matches!H:H,$F78,Matches!$L:$L)</f>
        <v>0</v>
      </c>
      <c r="U78" s="37">
        <f t="shared" si="8"/>
        <v>255.42594099999999</v>
      </c>
      <c r="V78" s="37">
        <f t="shared" si="9"/>
        <v>12</v>
      </c>
      <c r="W78" s="37">
        <f t="shared" si="10"/>
        <v>12</v>
      </c>
    </row>
    <row r="79" spans="1:23">
      <c r="A79" s="15">
        <v>1033</v>
      </c>
      <c r="B79" s="16">
        <v>2.3199999999999998</v>
      </c>
      <c r="C79" s="17">
        <f t="shared" si="6"/>
        <v>2.3199999999999998</v>
      </c>
      <c r="D79" s="17">
        <f t="shared" si="11"/>
        <v>2.3199999999999998</v>
      </c>
      <c r="F79" s="32">
        <f>'Online Results'!B81</f>
        <v>1477</v>
      </c>
      <c r="G79" s="17">
        <f t="shared" si="7"/>
        <v>24.155933333333337</v>
      </c>
      <c r="H79" s="17">
        <f>VLOOKUP(F79, 'Online Results'!$B$3:$G$103, 6, FALSE)</f>
        <v>2</v>
      </c>
      <c r="I79" s="38">
        <f>SUMIF(Matches!C:C, $F79, Matches!$M:$M)</f>
        <v>0</v>
      </c>
      <c r="J79" s="38">
        <f>SUMIF(Matches!D:D, $F79, Matches!$M:$M)</f>
        <v>28.941175000000001</v>
      </c>
      <c r="K79" s="38">
        <f>SUMIF(Matches!E:E, $F79, Matches!$M:$M)</f>
        <v>112.819846</v>
      </c>
      <c r="L79" s="39">
        <f>SUMIF(Matches!F:F, $F79, Matches!$M:$M)</f>
        <v>0</v>
      </c>
      <c r="M79" s="39">
        <f>SUMIF(Matches!G:G, $F79, Matches!$M:$M)</f>
        <v>121.15518833333334</v>
      </c>
      <c r="N79" s="39">
        <f>SUMIF(Matches!H:H, $F79, Matches!$M:$M)</f>
        <v>24.857850000000003</v>
      </c>
      <c r="O79" s="38">
        <f>SUMIF(Matches!C:C,$F79,Matches!$K:$K)</f>
        <v>0</v>
      </c>
      <c r="P79" s="38">
        <f>SUMIF(Matches!D:D,$F79,Matches!$K:$K)</f>
        <v>2</v>
      </c>
      <c r="Q79" s="38">
        <f>SUMIF(Matches!E:E,$F79,Matches!$K:$K)</f>
        <v>6</v>
      </c>
      <c r="R79" s="39">
        <f>SUMIF(Matches!F:F,$F79,Matches!$L:$L)</f>
        <v>0</v>
      </c>
      <c r="S79" s="39">
        <f>SUMIF(Matches!G:G,$F79,Matches!$L:$L)</f>
        <v>2</v>
      </c>
      <c r="T79" s="39">
        <f>SUMIF(Matches!H:H,$F79,Matches!$L:$L)</f>
        <v>2</v>
      </c>
      <c r="U79" s="37">
        <f t="shared" si="8"/>
        <v>287.7740593333333</v>
      </c>
      <c r="V79" s="37">
        <f t="shared" si="9"/>
        <v>12</v>
      </c>
      <c r="W79" s="37">
        <f t="shared" si="10"/>
        <v>14</v>
      </c>
    </row>
    <row r="80" spans="1:23">
      <c r="A80" s="15">
        <v>1143</v>
      </c>
      <c r="B80" s="16">
        <v>9.7251799999999999</v>
      </c>
      <c r="C80" s="17">
        <f t="shared" si="6"/>
        <v>8.51098</v>
      </c>
      <c r="D80" s="17">
        <f t="shared" si="11"/>
        <v>8.51098</v>
      </c>
      <c r="F80" s="32">
        <f>'Online Results'!B82</f>
        <v>1501</v>
      </c>
      <c r="G80" s="17">
        <f t="shared" si="7"/>
        <v>11.814</v>
      </c>
      <c r="H80" s="17">
        <f>VLOOKUP(F80, 'Online Results'!$B$3:$G$103, 6, FALSE)</f>
        <v>0</v>
      </c>
      <c r="I80" s="38">
        <f>SUMIF(Matches!C:C, $F80, Matches!$M:$M)</f>
        <v>61.404740000000004</v>
      </c>
      <c r="J80" s="38">
        <f>SUMIF(Matches!D:D, $F80, Matches!$M:$M)</f>
        <v>33.73621</v>
      </c>
      <c r="K80" s="38">
        <f>SUMIF(Matches!E:E, $F80, Matches!$M:$M)</f>
        <v>9</v>
      </c>
      <c r="L80" s="39">
        <f>SUMIF(Matches!F:F, $F80, Matches!$M:$M)</f>
        <v>96.980918333333335</v>
      </c>
      <c r="M80" s="39">
        <f>SUMIF(Matches!G:G, $F80, Matches!$M:$M)</f>
        <v>0</v>
      </c>
      <c r="N80" s="39">
        <f>SUMIF(Matches!H:H, $F80, Matches!$M:$M)</f>
        <v>26.338794999999998</v>
      </c>
      <c r="O80" s="38">
        <f>SUMIF(Matches!C:C,$F80,Matches!$K:$K)</f>
        <v>0</v>
      </c>
      <c r="P80" s="38">
        <f>SUMIF(Matches!D:D,$F80,Matches!$K:$K)</f>
        <v>2</v>
      </c>
      <c r="Q80" s="38">
        <f>SUMIF(Matches!E:E,$F80,Matches!$K:$K)</f>
        <v>2</v>
      </c>
      <c r="R80" s="39">
        <f>SUMIF(Matches!F:F,$F80,Matches!$L:$L)</f>
        <v>2</v>
      </c>
      <c r="S80" s="39">
        <f>SUMIF(Matches!G:G,$F80,Matches!$L:$L)</f>
        <v>0</v>
      </c>
      <c r="T80" s="39">
        <f>SUMIF(Matches!H:H,$F80,Matches!$L:$L)</f>
        <v>2</v>
      </c>
      <c r="U80" s="37">
        <f t="shared" si="8"/>
        <v>227.46066333333334</v>
      </c>
      <c r="V80" s="37">
        <f t="shared" si="9"/>
        <v>8</v>
      </c>
      <c r="W80" s="37">
        <f t="shared" si="10"/>
        <v>8</v>
      </c>
    </row>
    <row r="81" spans="1:23">
      <c r="A81" s="15">
        <v>1143</v>
      </c>
      <c r="B81" s="16">
        <v>7.29678</v>
      </c>
      <c r="C81" s="17">
        <f t="shared" si="6"/>
        <v>7.29678</v>
      </c>
      <c r="D81" s="17">
        <f t="shared" si="11"/>
        <v>8.51098</v>
      </c>
      <c r="F81" s="32">
        <f>'Online Results'!B83</f>
        <v>537</v>
      </c>
      <c r="G81" s="17">
        <f t="shared" si="7"/>
        <v>11.5657</v>
      </c>
      <c r="H81" s="17">
        <f>VLOOKUP(F81, 'Online Results'!$B$3:$G$103, 6, FALSE)</f>
        <v>0</v>
      </c>
      <c r="I81" s="38">
        <f>SUMIF(Matches!C:C, $F81, Matches!$M:$M)</f>
        <v>16.976334999999999</v>
      </c>
      <c r="J81" s="38">
        <f>SUMIF(Matches!D:D, $F81, Matches!$M:$M)</f>
        <v>83.857389999999995</v>
      </c>
      <c r="K81" s="38">
        <f>SUMIF(Matches!E:E, $F81, Matches!$M:$M)</f>
        <v>0</v>
      </c>
      <c r="L81" s="39">
        <f>SUMIF(Matches!F:F, $F81, Matches!$M:$M)</f>
        <v>0</v>
      </c>
      <c r="M81" s="39">
        <f>SUMIF(Matches!G:G, $F81, Matches!$M:$M)</f>
        <v>61.408810000000003</v>
      </c>
      <c r="N81" s="39">
        <f>SUMIF(Matches!H:H, $F81, Matches!$M:$M)</f>
        <v>83.260146000000006</v>
      </c>
      <c r="O81" s="38">
        <f>SUMIF(Matches!C:C,$F81,Matches!$K:$K)</f>
        <v>2</v>
      </c>
      <c r="P81" s="38">
        <f>SUMIF(Matches!D:D,$F81,Matches!$K:$K)</f>
        <v>4</v>
      </c>
      <c r="Q81" s="38">
        <f>SUMIF(Matches!E:E,$F81,Matches!$K:$K)</f>
        <v>0</v>
      </c>
      <c r="R81" s="39">
        <f>SUMIF(Matches!F:F,$F81,Matches!$L:$L)</f>
        <v>0</v>
      </c>
      <c r="S81" s="39">
        <f>SUMIF(Matches!G:G,$F81,Matches!$L:$L)</f>
        <v>2</v>
      </c>
      <c r="T81" s="39">
        <f>SUMIF(Matches!H:H,$F81,Matches!$L:$L)</f>
        <v>4</v>
      </c>
      <c r="U81" s="37">
        <f t="shared" si="8"/>
        <v>245.502681</v>
      </c>
      <c r="V81" s="37">
        <f t="shared" si="9"/>
        <v>12</v>
      </c>
      <c r="W81" s="37">
        <f t="shared" si="10"/>
        <v>12</v>
      </c>
    </row>
    <row r="82" spans="1:23">
      <c r="A82" s="15">
        <v>1266</v>
      </c>
      <c r="B82" s="16">
        <v>11.6777</v>
      </c>
      <c r="C82" s="17">
        <f t="shared" si="6"/>
        <v>10.698370000000001</v>
      </c>
      <c r="D82" s="17">
        <f t="shared" si="11"/>
        <v>10.698370000000001</v>
      </c>
      <c r="F82" s="32">
        <f>'Online Results'!B84</f>
        <v>2960</v>
      </c>
      <c r="G82" s="17">
        <f t="shared" si="7"/>
        <v>14.534739999999999</v>
      </c>
      <c r="H82" s="17">
        <f>VLOOKUP(F82, 'Online Results'!$B$3:$G$103, 6, FALSE)</f>
        <v>0</v>
      </c>
      <c r="I82" s="38">
        <f>SUMIF(Matches!C:C, $F82, Matches!$M:$M)</f>
        <v>69.638209999999987</v>
      </c>
      <c r="J82" s="38">
        <f>SUMIF(Matches!D:D, $F82, Matches!$M:$M)</f>
        <v>0</v>
      </c>
      <c r="K82" s="38">
        <f>SUMIF(Matches!E:E, $F82, Matches!$M:$M)</f>
        <v>0</v>
      </c>
      <c r="L82" s="39">
        <f>SUMIF(Matches!F:F, $F82, Matches!$M:$M)</f>
        <v>90.978749999999991</v>
      </c>
      <c r="M82" s="39">
        <f>SUMIF(Matches!G:G, $F82, Matches!$M:$M)</f>
        <v>69.597075000000004</v>
      </c>
      <c r="N82" s="39">
        <f>SUMIF(Matches!H:H, $F82, Matches!$M:$M)</f>
        <v>11.458075999999998</v>
      </c>
      <c r="O82" s="38">
        <f>SUMIF(Matches!C:C,$F82,Matches!$K:$K)</f>
        <v>6</v>
      </c>
      <c r="P82" s="38">
        <f>SUMIF(Matches!D:D,$F82,Matches!$K:$K)</f>
        <v>0</v>
      </c>
      <c r="Q82" s="38">
        <f>SUMIF(Matches!E:E,$F82,Matches!$K:$K)</f>
        <v>0</v>
      </c>
      <c r="R82" s="39">
        <f>SUMIF(Matches!F:F,$F82,Matches!$L:$L)</f>
        <v>6</v>
      </c>
      <c r="S82" s="39">
        <f>SUMIF(Matches!G:G,$F82,Matches!$L:$L)</f>
        <v>0</v>
      </c>
      <c r="T82" s="39">
        <f>SUMIF(Matches!H:H,$F82,Matches!$L:$L)</f>
        <v>2</v>
      </c>
      <c r="U82" s="37">
        <f t="shared" si="8"/>
        <v>241.67211099999997</v>
      </c>
      <c r="V82" s="37">
        <f t="shared" si="9"/>
        <v>14</v>
      </c>
      <c r="W82" s="37">
        <f t="shared" si="10"/>
        <v>14</v>
      </c>
    </row>
    <row r="83" spans="1:23">
      <c r="A83" s="15">
        <v>1266</v>
      </c>
      <c r="B83" s="16">
        <v>9.7190399999999997</v>
      </c>
      <c r="C83" s="17">
        <f t="shared" si="6"/>
        <v>9.7190399999999997</v>
      </c>
      <c r="D83" s="17">
        <f t="shared" si="11"/>
        <v>10.698370000000001</v>
      </c>
      <c r="F83" s="32">
        <f>'Online Results'!B85</f>
        <v>244</v>
      </c>
      <c r="G83" s="17">
        <f t="shared" si="7"/>
        <v>5.8605300000000007</v>
      </c>
      <c r="H83" s="17">
        <f>VLOOKUP(F83, 'Online Results'!$B$3:$G$103, 6, FALSE)</f>
        <v>0</v>
      </c>
      <c r="I83" s="38">
        <f>SUMIF(Matches!C:C, $F83, Matches!$M:$M)</f>
        <v>54.35333</v>
      </c>
      <c r="J83" s="38">
        <f>SUMIF(Matches!D:D, $F83, Matches!$M:$M)</f>
        <v>0</v>
      </c>
      <c r="K83" s="38">
        <f>SUMIF(Matches!E:E, $F83, Matches!$M:$M)</f>
        <v>47.186985000000007</v>
      </c>
      <c r="L83" s="39">
        <f>SUMIF(Matches!F:F, $F83, Matches!$M:$M)</f>
        <v>34.74539333333334</v>
      </c>
      <c r="M83" s="39">
        <f>SUMIF(Matches!G:G, $F83, Matches!$M:$M)</f>
        <v>103.33894600000001</v>
      </c>
      <c r="N83" s="39">
        <f>SUMIF(Matches!H:H, $F83, Matches!$M:$M)</f>
        <v>0</v>
      </c>
      <c r="O83" s="38">
        <f>SUMIF(Matches!C:C,$F83,Matches!$K:$K)</f>
        <v>2</v>
      </c>
      <c r="P83" s="38">
        <f>SUMIF(Matches!D:D,$F83,Matches!$K:$K)</f>
        <v>0</v>
      </c>
      <c r="Q83" s="38">
        <f>SUMIF(Matches!E:E,$F83,Matches!$K:$K)</f>
        <v>0</v>
      </c>
      <c r="R83" s="39">
        <f>SUMIF(Matches!F:F,$F83,Matches!$L:$L)</f>
        <v>0</v>
      </c>
      <c r="S83" s="39">
        <f>SUMIF(Matches!G:G,$F83,Matches!$L:$L)</f>
        <v>4</v>
      </c>
      <c r="T83" s="39">
        <f>SUMIF(Matches!H:H,$F83,Matches!$L:$L)</f>
        <v>0</v>
      </c>
      <c r="U83" s="37">
        <f t="shared" si="8"/>
        <v>239.62465433333335</v>
      </c>
      <c r="V83" s="37">
        <f t="shared" si="9"/>
        <v>6</v>
      </c>
      <c r="W83" s="37">
        <f t="shared" si="10"/>
        <v>6</v>
      </c>
    </row>
    <row r="84" spans="1:23">
      <c r="A84" s="15">
        <v>1319</v>
      </c>
      <c r="B84" s="16">
        <v>17.170999999999999</v>
      </c>
      <c r="C84" s="17">
        <f t="shared" si="6"/>
        <v>7.0468233333333323</v>
      </c>
      <c r="D84" s="17">
        <f t="shared" si="11"/>
        <v>7.0468233333333323</v>
      </c>
      <c r="F84" s="32">
        <f>'Online Results'!B86</f>
        <v>2757</v>
      </c>
      <c r="G84" s="17">
        <f t="shared" si="7"/>
        <v>3.16</v>
      </c>
      <c r="H84" s="17">
        <f>VLOOKUP(F84, 'Online Results'!$B$3:$G$103, 6, FALSE)</f>
        <v>0</v>
      </c>
      <c r="I84" s="38">
        <f>SUMIF(Matches!C:C, $F84, Matches!$M:$M)</f>
        <v>73.101844999999997</v>
      </c>
      <c r="J84" s="38">
        <f>SUMIF(Matches!D:D, $F84, Matches!$M:$M)</f>
        <v>0</v>
      </c>
      <c r="K84" s="38">
        <f>SUMIF(Matches!E:E, $F84, Matches!$M:$M)</f>
        <v>33.334118000000004</v>
      </c>
      <c r="L84" s="39">
        <f>SUMIF(Matches!F:F, $F84, Matches!$M:$M)</f>
        <v>24.75273</v>
      </c>
      <c r="M84" s="39">
        <f>SUMIF(Matches!G:G, $F84, Matches!$M:$M)</f>
        <v>61.446010000000001</v>
      </c>
      <c r="N84" s="39">
        <f>SUMIF(Matches!H:H, $F84, Matches!$M:$M)</f>
        <v>14</v>
      </c>
      <c r="O84" s="38">
        <f>SUMIF(Matches!C:C,$F84,Matches!$K:$K)</f>
        <v>0</v>
      </c>
      <c r="P84" s="38">
        <f>SUMIF(Matches!D:D,$F84,Matches!$K:$K)</f>
        <v>0</v>
      </c>
      <c r="Q84" s="38">
        <f>SUMIF(Matches!E:E,$F84,Matches!$K:$K)</f>
        <v>2</v>
      </c>
      <c r="R84" s="39">
        <f>SUMIF(Matches!F:F,$F84,Matches!$L:$L)</f>
        <v>0</v>
      </c>
      <c r="S84" s="39">
        <f>SUMIF(Matches!G:G,$F84,Matches!$L:$L)</f>
        <v>2</v>
      </c>
      <c r="T84" s="39">
        <f>SUMIF(Matches!H:H,$F84,Matches!$L:$L)</f>
        <v>2</v>
      </c>
      <c r="U84" s="37">
        <f t="shared" si="8"/>
        <v>206.634703</v>
      </c>
      <c r="V84" s="37">
        <f t="shared" si="9"/>
        <v>6</v>
      </c>
      <c r="W84" s="37">
        <f t="shared" si="10"/>
        <v>6</v>
      </c>
    </row>
    <row r="85" spans="1:23">
      <c r="A85" s="15">
        <v>1319</v>
      </c>
      <c r="B85" s="16">
        <v>2.2246000000000001</v>
      </c>
      <c r="C85" s="17">
        <f t="shared" si="6"/>
        <v>1.9847350000000001</v>
      </c>
      <c r="D85" s="17">
        <f t="shared" si="11"/>
        <v>7.0468233333333323</v>
      </c>
      <c r="F85" s="32">
        <f>'Online Results'!B87</f>
        <v>3951</v>
      </c>
      <c r="G85" s="17">
        <f t="shared" si="7"/>
        <v>9.5180500000000006</v>
      </c>
      <c r="H85" s="17">
        <f>VLOOKUP(F85, 'Online Results'!$B$3:$G$103, 6, FALSE)</f>
        <v>0</v>
      </c>
      <c r="I85" s="38">
        <f>SUMIF(Matches!C:C, $F85, Matches!$M:$M)</f>
        <v>25</v>
      </c>
      <c r="J85" s="38">
        <f>SUMIF(Matches!D:D, $F85, Matches!$M:$M)</f>
        <v>25.796270000000003</v>
      </c>
      <c r="K85" s="38">
        <f>SUMIF(Matches!E:E, $F85, Matches!$M:$M)</f>
        <v>49.095340000000007</v>
      </c>
      <c r="L85" s="39">
        <f>SUMIF(Matches!F:F, $F85, Matches!$M:$M)</f>
        <v>69.559348999999997</v>
      </c>
      <c r="M85" s="39">
        <f>SUMIF(Matches!G:G, $F85, Matches!$M:$M)</f>
        <v>37.560005000000004</v>
      </c>
      <c r="N85" s="39">
        <f>SUMIF(Matches!H:H, $F85, Matches!$M:$M)</f>
        <v>29.817084999999999</v>
      </c>
      <c r="O85" s="38">
        <f>SUMIF(Matches!C:C,$F85,Matches!$K:$K)</f>
        <v>0</v>
      </c>
      <c r="P85" s="38">
        <f>SUMIF(Matches!D:D,$F85,Matches!$K:$K)</f>
        <v>2</v>
      </c>
      <c r="Q85" s="38">
        <f>SUMIF(Matches!E:E,$F85,Matches!$K:$K)</f>
        <v>4</v>
      </c>
      <c r="R85" s="39">
        <f>SUMIF(Matches!F:F,$F85,Matches!$L:$L)</f>
        <v>2</v>
      </c>
      <c r="S85" s="39">
        <f>SUMIF(Matches!G:G,$F85,Matches!$L:$L)</f>
        <v>0</v>
      </c>
      <c r="T85" s="39">
        <f>SUMIF(Matches!H:H,$F85,Matches!$L:$L)</f>
        <v>2</v>
      </c>
      <c r="U85" s="37">
        <f t="shared" si="8"/>
        <v>236.82804899999999</v>
      </c>
      <c r="V85" s="37">
        <f t="shared" si="9"/>
        <v>10</v>
      </c>
      <c r="W85" s="37">
        <f t="shared" si="10"/>
        <v>10</v>
      </c>
    </row>
    <row r="86" spans="1:23">
      <c r="A86" s="15">
        <v>1319</v>
      </c>
      <c r="B86" s="16">
        <v>1.7448699999999999</v>
      </c>
      <c r="C86" s="17">
        <f t="shared" si="6"/>
        <v>1.7448699999999999</v>
      </c>
      <c r="D86" s="17">
        <f t="shared" si="11"/>
        <v>7.0468233333333323</v>
      </c>
      <c r="F86" s="32">
        <f>'Online Results'!B88</f>
        <v>1912</v>
      </c>
      <c r="G86" s="17">
        <f t="shared" si="7"/>
        <v>12.769399999999999</v>
      </c>
      <c r="H86" s="17">
        <f>VLOOKUP(F86, 'Online Results'!$B$3:$G$103, 6, FALSE)</f>
        <v>2</v>
      </c>
      <c r="I86" s="38">
        <f>SUMIF(Matches!C:C, $F86, Matches!$M:$M)</f>
        <v>36.6691</v>
      </c>
      <c r="J86" s="38">
        <f>SUMIF(Matches!D:D, $F86, Matches!$M:$M)</f>
        <v>80.120309999999989</v>
      </c>
      <c r="K86" s="38">
        <f>SUMIF(Matches!E:E, $F86, Matches!$M:$M)</f>
        <v>30.833354999999997</v>
      </c>
      <c r="L86" s="39">
        <f>SUMIF(Matches!F:F, $F86, Matches!$M:$M)</f>
        <v>39.5381</v>
      </c>
      <c r="M86" s="39">
        <f>SUMIF(Matches!G:G, $F86, Matches!$M:$M)</f>
        <v>0</v>
      </c>
      <c r="N86" s="39">
        <f>SUMIF(Matches!H:H, $F86, Matches!$M:$M)</f>
        <v>61.223279999999995</v>
      </c>
      <c r="O86" s="38">
        <f>SUMIF(Matches!C:C,$F86,Matches!$K:$K)</f>
        <v>0</v>
      </c>
      <c r="P86" s="38">
        <f>SUMIF(Matches!D:D,$F86,Matches!$K:$K)</f>
        <v>2</v>
      </c>
      <c r="Q86" s="38">
        <f>SUMIF(Matches!E:E,$F86,Matches!$K:$K)</f>
        <v>0</v>
      </c>
      <c r="R86" s="39">
        <f>SUMIF(Matches!F:F,$F86,Matches!$L:$L)</f>
        <v>2</v>
      </c>
      <c r="S86" s="39">
        <f>SUMIF(Matches!G:G,$F86,Matches!$L:$L)</f>
        <v>0</v>
      </c>
      <c r="T86" s="39">
        <f>SUMIF(Matches!H:H,$F86,Matches!$L:$L)</f>
        <v>2</v>
      </c>
      <c r="U86" s="37">
        <f t="shared" si="8"/>
        <v>248.38414499999999</v>
      </c>
      <c r="V86" s="37">
        <f t="shared" si="9"/>
        <v>6</v>
      </c>
      <c r="W86" s="37">
        <f t="shared" si="10"/>
        <v>8</v>
      </c>
    </row>
    <row r="87" spans="1:23">
      <c r="A87" s="15">
        <v>1391</v>
      </c>
      <c r="B87" s="16">
        <v>13.040900000000001</v>
      </c>
      <c r="C87" s="17">
        <f t="shared" si="6"/>
        <v>9.5470500000000005</v>
      </c>
      <c r="D87" s="17">
        <f t="shared" si="11"/>
        <v>9.5470500000000005</v>
      </c>
      <c r="F87" s="32">
        <f>'Online Results'!B89</f>
        <v>120</v>
      </c>
      <c r="G87" s="17">
        <f t="shared" si="7"/>
        <v>4.7289300000000001</v>
      </c>
      <c r="H87" s="17">
        <f>VLOOKUP(F87, 'Online Results'!$B$3:$G$103, 6, FALSE)</f>
        <v>2</v>
      </c>
      <c r="I87" s="38">
        <f>SUMIF(Matches!C:C, $F87, Matches!$M:$M)</f>
        <v>48.66995</v>
      </c>
      <c r="J87" s="38">
        <f>SUMIF(Matches!D:D, $F87, Matches!$M:$M)</f>
        <v>0</v>
      </c>
      <c r="K87" s="38">
        <f>SUMIF(Matches!E:E, $F87, Matches!$M:$M)</f>
        <v>30.402480000000001</v>
      </c>
      <c r="L87" s="39">
        <f>SUMIF(Matches!F:F, $F87, Matches!$M:$M)</f>
        <v>0</v>
      </c>
      <c r="M87" s="39">
        <f>SUMIF(Matches!G:G, $F87, Matches!$M:$M)</f>
        <v>24</v>
      </c>
      <c r="N87" s="39">
        <f>SUMIF(Matches!H:H, $F87, Matches!$M:$M)</f>
        <v>81.611257333333342</v>
      </c>
      <c r="O87" s="38">
        <f>SUMIF(Matches!C:C,$F87,Matches!$K:$K)</f>
        <v>0</v>
      </c>
      <c r="P87" s="38">
        <f>SUMIF(Matches!D:D,$F87,Matches!$K:$K)</f>
        <v>0</v>
      </c>
      <c r="Q87" s="38">
        <f>SUMIF(Matches!E:E,$F87,Matches!$K:$K)</f>
        <v>2</v>
      </c>
      <c r="R87" s="39">
        <f>SUMIF(Matches!F:F,$F87,Matches!$L:$L)</f>
        <v>0</v>
      </c>
      <c r="S87" s="39">
        <f>SUMIF(Matches!G:G,$F87,Matches!$L:$L)</f>
        <v>0</v>
      </c>
      <c r="T87" s="39">
        <f>SUMIF(Matches!H:H,$F87,Matches!$L:$L)</f>
        <v>2</v>
      </c>
      <c r="U87" s="37">
        <f t="shared" si="8"/>
        <v>184.68368733333335</v>
      </c>
      <c r="V87" s="37">
        <f t="shared" si="9"/>
        <v>4</v>
      </c>
      <c r="W87" s="37">
        <f t="shared" si="10"/>
        <v>6</v>
      </c>
    </row>
    <row r="88" spans="1:23">
      <c r="A88" s="15">
        <v>1391</v>
      </c>
      <c r="B88" s="16">
        <v>10.505599999999999</v>
      </c>
      <c r="C88" s="17">
        <f t="shared" si="6"/>
        <v>7.8001249999999995</v>
      </c>
      <c r="D88" s="17">
        <f t="shared" si="11"/>
        <v>9.5470500000000005</v>
      </c>
      <c r="F88" s="32">
        <f>'Online Results'!B90</f>
        <v>2914</v>
      </c>
      <c r="G88" s="17">
        <f t="shared" si="7"/>
        <v>5.759735</v>
      </c>
      <c r="H88" s="17">
        <f>VLOOKUP(F88, 'Online Results'!$B$3:$G$103, 6, FALSE)</f>
        <v>2</v>
      </c>
      <c r="I88" s="38">
        <f>SUMIF(Matches!C:C, $F88, Matches!$M:$M)</f>
        <v>0</v>
      </c>
      <c r="J88" s="38">
        <f>SUMIF(Matches!D:D, $F88, Matches!$M:$M)</f>
        <v>77.545310000000001</v>
      </c>
      <c r="K88" s="38">
        <f>SUMIF(Matches!E:E, $F88, Matches!$M:$M)</f>
        <v>45.395134999999996</v>
      </c>
      <c r="L88" s="39">
        <f>SUMIF(Matches!F:F, $F88, Matches!$M:$M)</f>
        <v>67.579589999999996</v>
      </c>
      <c r="M88" s="39">
        <f>SUMIF(Matches!G:G, $F88, Matches!$M:$M)</f>
        <v>36.976334999999999</v>
      </c>
      <c r="N88" s="39">
        <f>SUMIF(Matches!H:H, $F88, Matches!$M:$M)</f>
        <v>0</v>
      </c>
      <c r="O88" s="38">
        <f>SUMIF(Matches!C:C,$F88,Matches!$K:$K)</f>
        <v>0</v>
      </c>
      <c r="P88" s="38">
        <f>SUMIF(Matches!D:D,$F88,Matches!$K:$K)</f>
        <v>4</v>
      </c>
      <c r="Q88" s="38">
        <f>SUMIF(Matches!E:E,$F88,Matches!$K:$K)</f>
        <v>2</v>
      </c>
      <c r="R88" s="39">
        <f>SUMIF(Matches!F:F,$F88,Matches!$L:$L)</f>
        <v>0</v>
      </c>
      <c r="S88" s="39">
        <f>SUMIF(Matches!G:G,$F88,Matches!$L:$L)</f>
        <v>0</v>
      </c>
      <c r="T88" s="39">
        <f>SUMIF(Matches!H:H,$F88,Matches!$L:$L)</f>
        <v>0</v>
      </c>
      <c r="U88" s="37">
        <f t="shared" si="8"/>
        <v>227.49637000000001</v>
      </c>
      <c r="V88" s="37">
        <f t="shared" si="9"/>
        <v>6</v>
      </c>
      <c r="W88" s="37">
        <f t="shared" si="10"/>
        <v>8</v>
      </c>
    </row>
    <row r="89" spans="1:23">
      <c r="A89" s="15">
        <v>1391</v>
      </c>
      <c r="B89" s="16">
        <v>5.0946499999999997</v>
      </c>
      <c r="C89" s="17">
        <f t="shared" si="6"/>
        <v>5.0946499999999997</v>
      </c>
      <c r="D89" s="17">
        <f t="shared" si="11"/>
        <v>9.5470500000000005</v>
      </c>
      <c r="F89" s="32">
        <f>'Online Results'!B91</f>
        <v>1649</v>
      </c>
      <c r="G89" s="17">
        <f t="shared" si="7"/>
        <v>3.32179</v>
      </c>
      <c r="H89" s="17">
        <f>VLOOKUP(F89, 'Online Results'!$B$3:$G$103, 6, FALSE)</f>
        <v>0</v>
      </c>
      <c r="I89" s="38">
        <f>SUMIF(Matches!C:C, $F89, Matches!$M:$M)</f>
        <v>69.597075000000004</v>
      </c>
      <c r="J89" s="38">
        <f>SUMIF(Matches!D:D, $F89, Matches!$M:$M)</f>
        <v>33.546675</v>
      </c>
      <c r="K89" s="38">
        <f>SUMIF(Matches!E:E, $F89, Matches!$M:$M)</f>
        <v>0</v>
      </c>
      <c r="L89" s="39">
        <f>SUMIF(Matches!F:F, $F89, Matches!$M:$M)</f>
        <v>36.827669999999998</v>
      </c>
      <c r="M89" s="39">
        <f>SUMIF(Matches!G:G, $F89, Matches!$M:$M)</f>
        <v>0</v>
      </c>
      <c r="N89" s="39">
        <f>SUMIF(Matches!H:H, $F89, Matches!$M:$M)</f>
        <v>39.684424999999997</v>
      </c>
      <c r="O89" s="38">
        <f>SUMIF(Matches!C:C,$F89,Matches!$K:$K)</f>
        <v>2</v>
      </c>
      <c r="P89" s="38">
        <f>SUMIF(Matches!D:D,$F89,Matches!$K:$K)</f>
        <v>0</v>
      </c>
      <c r="Q89" s="38">
        <f>SUMIF(Matches!E:E,$F89,Matches!$K:$K)</f>
        <v>0</v>
      </c>
      <c r="R89" s="39">
        <f>SUMIF(Matches!F:F,$F89,Matches!$L:$L)</f>
        <v>2</v>
      </c>
      <c r="S89" s="39">
        <f>SUMIF(Matches!G:G,$F89,Matches!$L:$L)</f>
        <v>0</v>
      </c>
      <c r="T89" s="39">
        <f>SUMIF(Matches!H:H,$F89,Matches!$L:$L)</f>
        <v>4</v>
      </c>
      <c r="U89" s="37">
        <f t="shared" si="8"/>
        <v>179.65584500000003</v>
      </c>
      <c r="V89" s="37">
        <f t="shared" si="9"/>
        <v>8</v>
      </c>
      <c r="W89" s="37">
        <f t="shared" si="10"/>
        <v>8</v>
      </c>
    </row>
    <row r="90" spans="1:23">
      <c r="A90" s="15">
        <v>1477</v>
      </c>
      <c r="B90" s="16">
        <v>26.5212</v>
      </c>
      <c r="C90" s="17">
        <f t="shared" si="6"/>
        <v>24.155933333333337</v>
      </c>
      <c r="D90" s="17">
        <f t="shared" si="11"/>
        <v>24.155933333333337</v>
      </c>
      <c r="F90" s="32">
        <f>'Online Results'!B92</f>
        <v>461</v>
      </c>
      <c r="G90" s="17">
        <f t="shared" si="7"/>
        <v>11.701799999999999</v>
      </c>
      <c r="H90" s="17">
        <f>VLOOKUP(F90, 'Online Results'!$B$3:$G$103, 6, FALSE)</f>
        <v>0</v>
      </c>
      <c r="I90" s="38">
        <f>SUMIF(Matches!C:C, $F90, Matches!$M:$M)</f>
        <v>16.480106000000003</v>
      </c>
      <c r="J90" s="38">
        <f>SUMIF(Matches!D:D, $F90, Matches!$M:$M)</f>
        <v>16</v>
      </c>
      <c r="K90" s="38">
        <f>SUMIF(Matches!E:E, $F90, Matches!$M:$M)</f>
        <v>81.267555000000002</v>
      </c>
      <c r="L90" s="39">
        <f>SUMIF(Matches!F:F, $F90, Matches!$M:$M)</f>
        <v>22.388486666666665</v>
      </c>
      <c r="M90" s="39">
        <f>SUMIF(Matches!G:G, $F90, Matches!$M:$M)</f>
        <v>0</v>
      </c>
      <c r="N90" s="39">
        <f>SUMIF(Matches!H:H, $F90, Matches!$M:$M)</f>
        <v>76.181674999999998</v>
      </c>
      <c r="O90" s="38">
        <f>SUMIF(Matches!C:C,$F90,Matches!$K:$K)</f>
        <v>2</v>
      </c>
      <c r="P90" s="38">
        <f>SUMIF(Matches!D:D,$F90,Matches!$K:$K)</f>
        <v>2</v>
      </c>
      <c r="Q90" s="38">
        <f>SUMIF(Matches!E:E,$F90,Matches!$K:$K)</f>
        <v>2</v>
      </c>
      <c r="R90" s="39">
        <f>SUMIF(Matches!F:F,$F90,Matches!$L:$L)</f>
        <v>2</v>
      </c>
      <c r="S90" s="39">
        <f>SUMIF(Matches!G:G,$F90,Matches!$L:$L)</f>
        <v>0</v>
      </c>
      <c r="T90" s="39">
        <f>SUMIF(Matches!H:H,$F90,Matches!$L:$L)</f>
        <v>2</v>
      </c>
      <c r="U90" s="37">
        <f t="shared" si="8"/>
        <v>212.31782266666664</v>
      </c>
      <c r="V90" s="37">
        <f t="shared" si="9"/>
        <v>10</v>
      </c>
      <c r="W90" s="37">
        <f t="shared" si="10"/>
        <v>10</v>
      </c>
    </row>
    <row r="91" spans="1:23">
      <c r="A91" s="15">
        <v>1477</v>
      </c>
      <c r="B91" s="16">
        <v>23.128299999999999</v>
      </c>
      <c r="C91" s="17">
        <f t="shared" si="6"/>
        <v>22.973300000000002</v>
      </c>
      <c r="D91" s="17">
        <f t="shared" si="11"/>
        <v>24.155933333333337</v>
      </c>
      <c r="F91" s="32">
        <f>'Online Results'!B93</f>
        <v>3936</v>
      </c>
      <c r="G91" s="17">
        <f t="shared" si="7"/>
        <v>7.9169400000000003</v>
      </c>
      <c r="H91" s="17">
        <f>VLOOKUP(F91, 'Online Results'!$B$3:$G$103, 6, FALSE)</f>
        <v>0</v>
      </c>
      <c r="I91" s="38">
        <f>SUMIF(Matches!C:C, $F91, Matches!$M:$M)</f>
        <v>69.185204999999996</v>
      </c>
      <c r="J91" s="38">
        <f>SUMIF(Matches!D:D, $F91, Matches!$M:$M)</f>
        <v>0</v>
      </c>
      <c r="K91" s="38">
        <f>SUMIF(Matches!E:E, $F91, Matches!$M:$M)</f>
        <v>62.290194999999997</v>
      </c>
      <c r="L91" s="39">
        <f>SUMIF(Matches!F:F, $F91, Matches!$M:$M)</f>
        <v>39.588782999999999</v>
      </c>
      <c r="M91" s="39">
        <f>SUMIF(Matches!G:G, $F91, Matches!$M:$M)</f>
        <v>0</v>
      </c>
      <c r="N91" s="39">
        <f>SUMIF(Matches!H:H, $F91, Matches!$M:$M)</f>
        <v>60.413274999999999</v>
      </c>
      <c r="O91" s="38">
        <f>SUMIF(Matches!C:C,$F91,Matches!$K:$K)</f>
        <v>2</v>
      </c>
      <c r="P91" s="38">
        <f>SUMIF(Matches!D:D,$F91,Matches!$K:$K)</f>
        <v>0</v>
      </c>
      <c r="Q91" s="38">
        <f>SUMIF(Matches!E:E,$F91,Matches!$K:$K)</f>
        <v>0</v>
      </c>
      <c r="R91" s="39">
        <f>SUMIF(Matches!F:F,$F91,Matches!$L:$L)</f>
        <v>4</v>
      </c>
      <c r="S91" s="39">
        <f>SUMIF(Matches!G:G,$F91,Matches!$L:$L)</f>
        <v>0</v>
      </c>
      <c r="T91" s="39">
        <f>SUMIF(Matches!H:H,$F91,Matches!$L:$L)</f>
        <v>2</v>
      </c>
      <c r="U91" s="37">
        <f t="shared" si="8"/>
        <v>231.47745799999998</v>
      </c>
      <c r="V91" s="37">
        <f t="shared" si="9"/>
        <v>8</v>
      </c>
      <c r="W91" s="37">
        <f t="shared" si="10"/>
        <v>8</v>
      </c>
    </row>
    <row r="92" spans="1:23">
      <c r="A92" s="15">
        <v>1477</v>
      </c>
      <c r="B92" s="16">
        <v>22.818300000000001</v>
      </c>
      <c r="C92" s="17">
        <f t="shared" si="6"/>
        <v>22.818300000000001</v>
      </c>
      <c r="D92" s="17">
        <f t="shared" si="11"/>
        <v>24.155933333333337</v>
      </c>
      <c r="F92" s="32">
        <f>'Online Results'!B94</f>
        <v>1778</v>
      </c>
      <c r="G92" s="17">
        <f t="shared" si="7"/>
        <v>2.8523299999999998</v>
      </c>
      <c r="H92" s="17">
        <f>VLOOKUP(F92, 'Online Results'!$B$3:$G$103, 6, FALSE)</f>
        <v>0</v>
      </c>
      <c r="I92" s="38">
        <f>SUMIF(Matches!C:C, $F92, Matches!$M:$M)</f>
        <v>26.585974999999998</v>
      </c>
      <c r="J92" s="38">
        <f>SUMIF(Matches!D:D, $F92, Matches!$M:$M)</f>
        <v>60.105534999999996</v>
      </c>
      <c r="K92" s="38">
        <f>SUMIF(Matches!E:E, $F92, Matches!$M:$M)</f>
        <v>13.434970000000002</v>
      </c>
      <c r="L92" s="39">
        <f>SUMIF(Matches!F:F, $F92, Matches!$M:$M)</f>
        <v>48.434730000000002</v>
      </c>
      <c r="M92" s="39">
        <f>SUMIF(Matches!G:G, $F92, Matches!$M:$M)</f>
        <v>14.314976000000001</v>
      </c>
      <c r="N92" s="39">
        <f>SUMIF(Matches!H:H, $F92, Matches!$M:$M)</f>
        <v>37.363095000000001</v>
      </c>
      <c r="O92" s="38">
        <f>SUMIF(Matches!C:C,$F92,Matches!$K:$K)</f>
        <v>0</v>
      </c>
      <c r="P92" s="38">
        <f>SUMIF(Matches!D:D,$F92,Matches!$K:$K)</f>
        <v>2</v>
      </c>
      <c r="Q92" s="38">
        <f>SUMIF(Matches!E:E,$F92,Matches!$K:$K)</f>
        <v>0</v>
      </c>
      <c r="R92" s="39">
        <f>SUMIF(Matches!F:F,$F92,Matches!$L:$L)</f>
        <v>2</v>
      </c>
      <c r="S92" s="39">
        <f>SUMIF(Matches!G:G,$F92,Matches!$L:$L)</f>
        <v>0</v>
      </c>
      <c r="T92" s="39">
        <f>SUMIF(Matches!H:H,$F92,Matches!$L:$L)</f>
        <v>0</v>
      </c>
      <c r="U92" s="37">
        <f t="shared" si="8"/>
        <v>200.23928100000001</v>
      </c>
      <c r="V92" s="37">
        <f t="shared" si="9"/>
        <v>4</v>
      </c>
      <c r="W92" s="37">
        <f t="shared" si="10"/>
        <v>4</v>
      </c>
    </row>
    <row r="93" spans="1:23">
      <c r="A93" s="15">
        <v>1501</v>
      </c>
      <c r="B93" s="16">
        <v>12.4556</v>
      </c>
      <c r="C93" s="17">
        <f t="shared" si="6"/>
        <v>11.814</v>
      </c>
      <c r="D93" s="17">
        <f t="shared" si="11"/>
        <v>11.814</v>
      </c>
      <c r="F93" s="32">
        <f>'Online Results'!B95</f>
        <v>1033</v>
      </c>
      <c r="G93" s="17">
        <f t="shared" si="7"/>
        <v>2.3199999999999998</v>
      </c>
      <c r="H93" s="17">
        <f>VLOOKUP(F93, 'Online Results'!$B$3:$G$103, 6, FALSE)</f>
        <v>2</v>
      </c>
      <c r="I93" s="38">
        <f>SUMIF(Matches!C:C, $F93, Matches!$M:$M)</f>
        <v>53.015519999999995</v>
      </c>
      <c r="J93" s="38">
        <f>SUMIF(Matches!D:D, $F93, Matches!$M:$M)</f>
        <v>42.610926000000006</v>
      </c>
      <c r="K93" s="38">
        <f>SUMIF(Matches!E:E, $F93, Matches!$M:$M)</f>
        <v>0</v>
      </c>
      <c r="L93" s="39">
        <f>SUMIF(Matches!F:F, $F93, Matches!$M:$M)</f>
        <v>21.849899999999998</v>
      </c>
      <c r="M93" s="39">
        <f>SUMIF(Matches!G:G, $F93, Matches!$M:$M)</f>
        <v>17.861559999999997</v>
      </c>
      <c r="N93" s="39">
        <f>SUMIF(Matches!H:H, $F93, Matches!$M:$M)</f>
        <v>27.976334999999999</v>
      </c>
      <c r="O93" s="38">
        <f>SUMIF(Matches!C:C,$F93,Matches!$K:$K)</f>
        <v>0</v>
      </c>
      <c r="P93" s="38">
        <f>SUMIF(Matches!D:D,$F93,Matches!$K:$K)</f>
        <v>2</v>
      </c>
      <c r="Q93" s="38">
        <f>SUMIF(Matches!E:E,$F93,Matches!$K:$K)</f>
        <v>0</v>
      </c>
      <c r="R93" s="39">
        <f>SUMIF(Matches!F:F,$F93,Matches!$L:$L)</f>
        <v>0</v>
      </c>
      <c r="S93" s="39">
        <f>SUMIF(Matches!G:G,$F93,Matches!$L:$L)</f>
        <v>0</v>
      </c>
      <c r="T93" s="39">
        <f>SUMIF(Matches!H:H,$F93,Matches!$L:$L)</f>
        <v>0</v>
      </c>
      <c r="U93" s="37">
        <f t="shared" si="8"/>
        <v>163.31424100000001</v>
      </c>
      <c r="V93" s="37">
        <f t="shared" si="9"/>
        <v>2</v>
      </c>
      <c r="W93" s="37">
        <f t="shared" si="10"/>
        <v>4</v>
      </c>
    </row>
    <row r="94" spans="1:23">
      <c r="A94" s="15">
        <v>1501</v>
      </c>
      <c r="B94" s="16">
        <v>11.1724</v>
      </c>
      <c r="C94" s="17">
        <f t="shared" si="6"/>
        <v>11.1724</v>
      </c>
      <c r="D94" s="17">
        <f t="shared" si="11"/>
        <v>11.814</v>
      </c>
      <c r="F94" s="32">
        <f>'Online Results'!B96</f>
        <v>1319</v>
      </c>
      <c r="G94" s="17">
        <f t="shared" si="7"/>
        <v>7.0468233333333323</v>
      </c>
      <c r="H94" s="17">
        <f>VLOOKUP(F94, 'Online Results'!$B$3:$G$103, 6, FALSE)</f>
        <v>2</v>
      </c>
      <c r="I94" s="38">
        <f>SUMIF(Matches!C:C, $F94, Matches!$M:$M)</f>
        <v>102.66733499999999</v>
      </c>
      <c r="J94" s="38">
        <f>SUMIF(Matches!D:D, $F94, Matches!$M:$M)</f>
        <v>23.788309999999996</v>
      </c>
      <c r="K94" s="38">
        <f>SUMIF(Matches!E:E, $F94, Matches!$M:$M)</f>
        <v>13.394453333333333</v>
      </c>
      <c r="L94" s="39">
        <f>SUMIF(Matches!F:F, $F94, Matches!$M:$M)</f>
        <v>0</v>
      </c>
      <c r="M94" s="39">
        <f>SUMIF(Matches!G:G, $F94, Matches!$M:$M)</f>
        <v>22.186985000000004</v>
      </c>
      <c r="N94" s="39">
        <f>SUMIF(Matches!H:H, $F94, Matches!$M:$M)</f>
        <v>85.423336666666671</v>
      </c>
      <c r="O94" s="38">
        <f>SUMIF(Matches!C:C,$F94,Matches!$K:$K)</f>
        <v>4</v>
      </c>
      <c r="P94" s="38">
        <f>SUMIF(Matches!D:D,$F94,Matches!$K:$K)</f>
        <v>2</v>
      </c>
      <c r="Q94" s="38">
        <f>SUMIF(Matches!E:E,$F94,Matches!$K:$K)</f>
        <v>0</v>
      </c>
      <c r="R94" s="39">
        <f>SUMIF(Matches!F:F,$F94,Matches!$L:$L)</f>
        <v>0</v>
      </c>
      <c r="S94" s="39">
        <f>SUMIF(Matches!G:G,$F94,Matches!$L:$L)</f>
        <v>2</v>
      </c>
      <c r="T94" s="39">
        <f>SUMIF(Matches!H:H,$F94,Matches!$L:$L)</f>
        <v>0</v>
      </c>
      <c r="U94" s="37">
        <f t="shared" si="8"/>
        <v>247.46042</v>
      </c>
      <c r="V94" s="37">
        <f t="shared" si="9"/>
        <v>8</v>
      </c>
      <c r="W94" s="37">
        <f t="shared" si="10"/>
        <v>10</v>
      </c>
    </row>
    <row r="95" spans="1:23">
      <c r="A95" s="15">
        <v>1507</v>
      </c>
      <c r="B95" s="16">
        <v>30.5656</v>
      </c>
      <c r="C95" s="17">
        <f t="shared" si="6"/>
        <v>30.17285</v>
      </c>
      <c r="D95" s="17">
        <f t="shared" si="11"/>
        <v>30.17285</v>
      </c>
      <c r="F95" s="32">
        <f>'Online Results'!B97</f>
        <v>2591</v>
      </c>
      <c r="G95" s="17">
        <f t="shared" si="7"/>
        <v>8.8965999999999994</v>
      </c>
      <c r="H95" s="17">
        <f>VLOOKUP(F95, 'Online Results'!$B$3:$G$103, 6, FALSE)</f>
        <v>2</v>
      </c>
      <c r="I95" s="38">
        <f>SUMIF(Matches!C:C, $F95, Matches!$M:$M)</f>
        <v>26.743169999999999</v>
      </c>
      <c r="J95" s="38">
        <f>SUMIF(Matches!D:D, $F95, Matches!$M:$M)</f>
        <v>56</v>
      </c>
      <c r="K95" s="38">
        <f>SUMIF(Matches!E:E, $F95, Matches!$M:$M)</f>
        <v>59.422330000000002</v>
      </c>
      <c r="L95" s="39">
        <f>SUMIF(Matches!F:F, $F95, Matches!$M:$M)</f>
        <v>28.434410999999997</v>
      </c>
      <c r="M95" s="39">
        <f>SUMIF(Matches!G:G, $F95, Matches!$M:$M)</f>
        <v>0</v>
      </c>
      <c r="N95" s="39">
        <f>SUMIF(Matches!H:H, $F95, Matches!$M:$M)</f>
        <v>38.147183333333331</v>
      </c>
      <c r="O95" s="38">
        <f>SUMIF(Matches!C:C,$F95,Matches!$K:$K)</f>
        <v>0</v>
      </c>
      <c r="P95" s="38">
        <f>SUMIF(Matches!D:D,$F95,Matches!$K:$K)</f>
        <v>0</v>
      </c>
      <c r="Q95" s="38">
        <f>SUMIF(Matches!E:E,$F95,Matches!$K:$K)</f>
        <v>0</v>
      </c>
      <c r="R95" s="39">
        <f>SUMIF(Matches!F:F,$F95,Matches!$L:$L)</f>
        <v>2</v>
      </c>
      <c r="S95" s="39">
        <f>SUMIF(Matches!G:G,$F95,Matches!$L:$L)</f>
        <v>0</v>
      </c>
      <c r="T95" s="39">
        <f>SUMIF(Matches!H:H,$F95,Matches!$L:$L)</f>
        <v>2</v>
      </c>
      <c r="U95" s="37">
        <f t="shared" si="8"/>
        <v>208.74709433333334</v>
      </c>
      <c r="V95" s="37">
        <f t="shared" si="9"/>
        <v>4</v>
      </c>
      <c r="W95" s="37">
        <f t="shared" si="10"/>
        <v>6</v>
      </c>
    </row>
    <row r="96" spans="1:23">
      <c r="A96" s="15">
        <v>1507</v>
      </c>
      <c r="B96" s="16">
        <v>29.780100000000001</v>
      </c>
      <c r="C96" s="17">
        <f t="shared" si="6"/>
        <v>29.780100000000001</v>
      </c>
      <c r="D96" s="17">
        <f t="shared" si="11"/>
        <v>30.17285</v>
      </c>
      <c r="F96" s="32">
        <f>'Online Results'!B98</f>
        <v>932</v>
      </c>
      <c r="G96" s="17">
        <f t="shared" si="7"/>
        <v>4.4310449999999992</v>
      </c>
      <c r="H96" s="17">
        <f>VLOOKUP(F96, 'Online Results'!$B$3:$G$103, 6, FALSE)</f>
        <v>2</v>
      </c>
      <c r="I96" s="38">
        <f>SUMIF(Matches!C:C, $F96, Matches!$M:$M)</f>
        <v>11.458075999999998</v>
      </c>
      <c r="J96" s="38">
        <f>SUMIF(Matches!D:D, $F96, Matches!$M:$M)</f>
        <v>0</v>
      </c>
      <c r="K96" s="38">
        <f>SUMIF(Matches!E:E, $F96, Matches!$M:$M)</f>
        <v>82.81374666666666</v>
      </c>
      <c r="L96" s="39">
        <f>SUMIF(Matches!F:F, $F96, Matches!$M:$M)</f>
        <v>19.036839999999998</v>
      </c>
      <c r="M96" s="39">
        <f>SUMIF(Matches!G:G, $F96, Matches!$M:$M)</f>
        <v>56</v>
      </c>
      <c r="N96" s="39">
        <f>SUMIF(Matches!H:H, $F96, Matches!$M:$M)</f>
        <v>28.941175000000001</v>
      </c>
      <c r="O96" s="38">
        <f>SUMIF(Matches!C:C,$F96,Matches!$K:$K)</f>
        <v>0</v>
      </c>
      <c r="P96" s="38">
        <f>SUMIF(Matches!D:D,$F96,Matches!$K:$K)</f>
        <v>0</v>
      </c>
      <c r="Q96" s="38">
        <f>SUMIF(Matches!E:E,$F96,Matches!$K:$K)</f>
        <v>2</v>
      </c>
      <c r="R96" s="39">
        <f>SUMIF(Matches!F:F,$F96,Matches!$L:$L)</f>
        <v>0</v>
      </c>
      <c r="S96" s="39">
        <f>SUMIF(Matches!G:G,$F96,Matches!$L:$L)</f>
        <v>0</v>
      </c>
      <c r="T96" s="39">
        <f>SUMIF(Matches!H:H,$F96,Matches!$L:$L)</f>
        <v>0</v>
      </c>
      <c r="U96" s="37">
        <f t="shared" si="8"/>
        <v>198.24983766666662</v>
      </c>
      <c r="V96" s="37">
        <f t="shared" si="9"/>
        <v>2</v>
      </c>
      <c r="W96" s="37">
        <f t="shared" si="10"/>
        <v>4</v>
      </c>
    </row>
    <row r="97" spans="1:23">
      <c r="A97" s="15">
        <v>1511</v>
      </c>
      <c r="B97" s="16">
        <v>18.4498</v>
      </c>
      <c r="C97" s="17">
        <f t="shared" si="6"/>
        <v>15.4154</v>
      </c>
      <c r="D97" s="17">
        <f t="shared" si="11"/>
        <v>15.4154</v>
      </c>
      <c r="F97" s="32">
        <f>'Online Results'!B99</f>
        <v>1741</v>
      </c>
      <c r="G97" s="17">
        <f t="shared" si="7"/>
        <v>12.09299</v>
      </c>
      <c r="H97" s="17">
        <f>VLOOKUP(F97, 'Online Results'!$B$3:$G$103, 6, FALSE)</f>
        <v>0</v>
      </c>
      <c r="I97" s="38">
        <f>SUMIF(Matches!C:C, $F97, Matches!$M:$M)</f>
        <v>86.844300000000004</v>
      </c>
      <c r="J97" s="38">
        <f>SUMIF(Matches!D:D, $F97, Matches!$M:$M)</f>
        <v>0</v>
      </c>
      <c r="K97" s="38">
        <f>SUMIF(Matches!E:E, $F97, Matches!$M:$M)</f>
        <v>45.046396000000001</v>
      </c>
      <c r="L97" s="39">
        <f>SUMIF(Matches!F:F, $F97, Matches!$M:$M)</f>
        <v>25.379170000000002</v>
      </c>
      <c r="M97" s="39">
        <f>SUMIF(Matches!G:G, $F97, Matches!$M:$M)</f>
        <v>55.303813333333338</v>
      </c>
      <c r="N97" s="39">
        <f>SUMIF(Matches!H:H, $F97, Matches!$M:$M)</f>
        <v>24</v>
      </c>
      <c r="O97" s="38">
        <f>SUMIF(Matches!C:C,$F97,Matches!$K:$K)</f>
        <v>4</v>
      </c>
      <c r="P97" s="38">
        <f>SUMIF(Matches!D:D,$F97,Matches!$K:$K)</f>
        <v>0</v>
      </c>
      <c r="Q97" s="38">
        <f>SUMIF(Matches!E:E,$F97,Matches!$K:$K)</f>
        <v>2</v>
      </c>
      <c r="R97" s="39">
        <f>SUMIF(Matches!F:F,$F97,Matches!$L:$L)</f>
        <v>2</v>
      </c>
      <c r="S97" s="39">
        <f>SUMIF(Matches!G:G,$F97,Matches!$L:$L)</f>
        <v>2</v>
      </c>
      <c r="T97" s="39">
        <f>SUMIF(Matches!H:H,$F97,Matches!$L:$L)</f>
        <v>0</v>
      </c>
      <c r="U97" s="37">
        <f t="shared" si="8"/>
        <v>236.5736793333333</v>
      </c>
      <c r="V97" s="37">
        <f t="shared" si="9"/>
        <v>10</v>
      </c>
      <c r="W97" s="37">
        <f t="shared" si="10"/>
        <v>10</v>
      </c>
    </row>
    <row r="98" spans="1:23">
      <c r="A98" s="15">
        <v>1511</v>
      </c>
      <c r="B98" s="16">
        <v>12.381</v>
      </c>
      <c r="C98" s="17">
        <f t="shared" si="6"/>
        <v>12.381</v>
      </c>
      <c r="D98" s="17">
        <f t="shared" si="11"/>
        <v>15.4154</v>
      </c>
      <c r="F98" s="32">
        <f>'Online Results'!B100</f>
        <v>3847</v>
      </c>
      <c r="G98" s="17">
        <f t="shared" si="7"/>
        <v>6.5176549999999995</v>
      </c>
      <c r="H98" s="17">
        <f>VLOOKUP(F98, 'Online Results'!$B$3:$G$103, 6, FALSE)</f>
        <v>0</v>
      </c>
      <c r="I98" s="38">
        <f>SUMIF(Matches!C:C, $F98, Matches!$M:$M)</f>
        <v>22.58398</v>
      </c>
      <c r="J98" s="38">
        <f>SUMIF(Matches!D:D, $F98, Matches!$M:$M)</f>
        <v>76.826060999999996</v>
      </c>
      <c r="K98" s="38">
        <f>SUMIF(Matches!E:E, $F98, Matches!$M:$M)</f>
        <v>0</v>
      </c>
      <c r="L98" s="39">
        <f>SUMIF(Matches!F:F, $F98, Matches!$M:$M)</f>
        <v>89.923100000000005</v>
      </c>
      <c r="M98" s="39">
        <f>SUMIF(Matches!G:G, $F98, Matches!$M:$M)</f>
        <v>10</v>
      </c>
      <c r="N98" s="39">
        <f>SUMIF(Matches!H:H, $F98, Matches!$M:$M)</f>
        <v>0</v>
      </c>
      <c r="O98" s="38">
        <f>SUMIF(Matches!C:C,$F98,Matches!$K:$K)</f>
        <v>0</v>
      </c>
      <c r="P98" s="38">
        <f>SUMIF(Matches!D:D,$F98,Matches!$K:$K)</f>
        <v>2</v>
      </c>
      <c r="Q98" s="38">
        <f>SUMIF(Matches!E:E,$F98,Matches!$K:$K)</f>
        <v>0</v>
      </c>
      <c r="R98" s="39">
        <f>SUMIF(Matches!F:F,$F98,Matches!$L:$L)</f>
        <v>0</v>
      </c>
      <c r="S98" s="39">
        <f>SUMIF(Matches!G:G,$F98,Matches!$L:$L)</f>
        <v>2</v>
      </c>
      <c r="T98" s="39">
        <f>SUMIF(Matches!H:H,$F98,Matches!$L:$L)</f>
        <v>0</v>
      </c>
      <c r="U98" s="37">
        <f t="shared" si="8"/>
        <v>199.33314100000001</v>
      </c>
      <c r="V98" s="37">
        <f t="shared" si="9"/>
        <v>4</v>
      </c>
      <c r="W98" s="37">
        <f t="shared" si="10"/>
        <v>4</v>
      </c>
    </row>
    <row r="99" spans="1:23">
      <c r="A99" s="15">
        <v>1649</v>
      </c>
      <c r="B99" s="16">
        <v>3.32179</v>
      </c>
      <c r="C99" s="17">
        <f t="shared" si="6"/>
        <v>3.32179</v>
      </c>
      <c r="D99" s="17">
        <f t="shared" si="11"/>
        <v>3.32179</v>
      </c>
      <c r="F99" s="32">
        <f>'Online Results'!B101</f>
        <v>2102</v>
      </c>
      <c r="G99" s="17">
        <f t="shared" si="7"/>
        <v>6.2587000000000002</v>
      </c>
      <c r="H99" s="17">
        <f>VLOOKUP(F99, 'Online Results'!$B$3:$G$103, 6, FALSE)</f>
        <v>0</v>
      </c>
      <c r="I99" s="38">
        <f>SUMIF(Matches!C:C, $F99, Matches!$M:$M)</f>
        <v>33</v>
      </c>
      <c r="J99" s="38">
        <f>SUMIF(Matches!D:D, $F99, Matches!$M:$M)</f>
        <v>81.710085000000007</v>
      </c>
      <c r="K99" s="38">
        <f>SUMIF(Matches!E:E, $F99, Matches!$M:$M)</f>
        <v>0</v>
      </c>
      <c r="L99" s="39">
        <f>SUMIF(Matches!F:F, $F99, Matches!$M:$M)</f>
        <v>29.855554999999999</v>
      </c>
      <c r="M99" s="39">
        <f>SUMIF(Matches!G:G, $F99, Matches!$M:$M)</f>
        <v>76.294963333333342</v>
      </c>
      <c r="N99" s="39">
        <f>SUMIF(Matches!H:H, $F99, Matches!$M:$M)</f>
        <v>0</v>
      </c>
      <c r="O99" s="38">
        <f>SUMIF(Matches!C:C,$F99,Matches!$K:$K)</f>
        <v>0</v>
      </c>
      <c r="P99" s="38">
        <f>SUMIF(Matches!D:D,$F99,Matches!$K:$K)</f>
        <v>2</v>
      </c>
      <c r="Q99" s="38">
        <f>SUMIF(Matches!E:E,$F99,Matches!$K:$K)</f>
        <v>0</v>
      </c>
      <c r="R99" s="39">
        <f>SUMIF(Matches!F:F,$F99,Matches!$L:$L)</f>
        <v>0</v>
      </c>
      <c r="S99" s="39">
        <f>SUMIF(Matches!G:G,$F99,Matches!$L:$L)</f>
        <v>2</v>
      </c>
      <c r="T99" s="39">
        <f>SUMIF(Matches!H:H,$F99,Matches!$L:$L)</f>
        <v>0</v>
      </c>
      <c r="U99" s="37">
        <f t="shared" si="8"/>
        <v>220.86060333333336</v>
      </c>
      <c r="V99" s="37">
        <f t="shared" si="9"/>
        <v>4</v>
      </c>
      <c r="W99" s="37">
        <f t="shared" si="10"/>
        <v>4</v>
      </c>
    </row>
    <row r="100" spans="1:23">
      <c r="A100" s="15">
        <v>1678</v>
      </c>
      <c r="B100" s="16">
        <v>26.079899999999999</v>
      </c>
      <c r="C100" s="17">
        <f t="shared" si="6"/>
        <v>23.245249999999999</v>
      </c>
      <c r="D100" s="17">
        <f t="shared" si="11"/>
        <v>23.245249999999999</v>
      </c>
      <c r="F100" s="32">
        <f>'Online Results'!B102</f>
        <v>2522</v>
      </c>
      <c r="G100" s="17">
        <f t="shared" si="7"/>
        <v>11.38795</v>
      </c>
      <c r="H100" s="17">
        <f>VLOOKUP(F100, 'Online Results'!$B$3:$G$103, 6, FALSE)</f>
        <v>0</v>
      </c>
      <c r="I100" s="38">
        <f>SUMIF(Matches!C:C, $F100, Matches!$M:$M)</f>
        <v>20.314976000000001</v>
      </c>
      <c r="J100" s="38">
        <f>SUMIF(Matches!D:D, $F100, Matches!$M:$M)</f>
        <v>19.395135</v>
      </c>
      <c r="K100" s="38">
        <f>SUMIF(Matches!E:E, $F100, Matches!$M:$M)</f>
        <v>64.657143333333337</v>
      </c>
      <c r="L100" s="39">
        <f>SUMIF(Matches!F:F, $F100, Matches!$M:$M)</f>
        <v>55.656975000000003</v>
      </c>
      <c r="M100" s="39">
        <f>SUMIF(Matches!G:G, $F100, Matches!$M:$M)</f>
        <v>19.884229999999999</v>
      </c>
      <c r="N100" s="39">
        <f>SUMIF(Matches!H:H, $F100, Matches!$M:$M)</f>
        <v>49.213449999999995</v>
      </c>
      <c r="O100" s="38">
        <f>SUMIF(Matches!C:C,$F100,Matches!$K:$K)</f>
        <v>2</v>
      </c>
      <c r="P100" s="38">
        <f>SUMIF(Matches!D:D,$F100,Matches!$K:$K)</f>
        <v>2</v>
      </c>
      <c r="Q100" s="38">
        <f>SUMIF(Matches!E:E,$F100,Matches!$K:$K)</f>
        <v>2</v>
      </c>
      <c r="R100" s="39">
        <f>SUMIF(Matches!F:F,$F100,Matches!$L:$L)</f>
        <v>2</v>
      </c>
      <c r="S100" s="39">
        <f>SUMIF(Matches!G:G,$F100,Matches!$L:$L)</f>
        <v>2</v>
      </c>
      <c r="T100" s="39">
        <f>SUMIF(Matches!H:H,$F100,Matches!$L:$L)</f>
        <v>0</v>
      </c>
      <c r="U100" s="37">
        <f t="shared" si="8"/>
        <v>229.12190933333332</v>
      </c>
      <c r="V100" s="37">
        <f t="shared" si="9"/>
        <v>10</v>
      </c>
      <c r="W100" s="37">
        <f t="shared" si="10"/>
        <v>10</v>
      </c>
    </row>
    <row r="101" spans="1:23">
      <c r="A101" s="15">
        <v>1678</v>
      </c>
      <c r="B101" s="16">
        <v>20.410599999999999</v>
      </c>
      <c r="C101" s="17">
        <f t="shared" si="6"/>
        <v>20.410599999999999</v>
      </c>
      <c r="D101" s="17">
        <f t="shared" si="11"/>
        <v>23.245249999999999</v>
      </c>
      <c r="F101" s="32">
        <f>'Online Results'!B103</f>
        <v>706</v>
      </c>
      <c r="G101" s="17">
        <f t="shared" si="7"/>
        <v>9.4220299999999995</v>
      </c>
      <c r="H101" s="17">
        <f>VLOOKUP(F101, 'Online Results'!$B$3:$G$103, 6, FALSE)</f>
        <v>0</v>
      </c>
      <c r="I101" s="38">
        <f>SUMIF(Matches!C:C, $F101, Matches!$M:$M)</f>
        <v>39.724581000000001</v>
      </c>
      <c r="J101" s="38">
        <f>SUMIF(Matches!D:D, $F101, Matches!$M:$M)</f>
        <v>54.557038333333338</v>
      </c>
      <c r="K101" s="38">
        <f>SUMIF(Matches!E:E, $F101, Matches!$M:$M)</f>
        <v>26.92022</v>
      </c>
      <c r="L101" s="39">
        <f>SUMIF(Matches!F:F, $F101, Matches!$M:$M)</f>
        <v>0</v>
      </c>
      <c r="M101" s="39">
        <f>SUMIF(Matches!G:G, $F101, Matches!$M:$M)</f>
        <v>88.016199999999998</v>
      </c>
      <c r="N101" s="39">
        <f>SUMIF(Matches!H:H, $F101, Matches!$M:$M)</f>
        <v>26.76473</v>
      </c>
      <c r="O101" s="38">
        <f>SUMIF(Matches!C:C,$F101,Matches!$K:$K)</f>
        <v>4</v>
      </c>
      <c r="P101" s="38">
        <f>SUMIF(Matches!D:D,$F101,Matches!$K:$K)</f>
        <v>0</v>
      </c>
      <c r="Q101" s="38">
        <f>SUMIF(Matches!E:E,$F101,Matches!$K:$K)</f>
        <v>0</v>
      </c>
      <c r="R101" s="39">
        <f>SUMIF(Matches!F:F,$F101,Matches!$L:$L)</f>
        <v>0</v>
      </c>
      <c r="S101" s="39">
        <f>SUMIF(Matches!G:G,$F101,Matches!$L:$L)</f>
        <v>2</v>
      </c>
      <c r="T101" s="39">
        <f>SUMIF(Matches!H:H,$F101,Matches!$L:$L)</f>
        <v>2</v>
      </c>
      <c r="U101" s="37">
        <f t="shared" si="8"/>
        <v>235.98276933333335</v>
      </c>
      <c r="V101" s="37">
        <f t="shared" si="9"/>
        <v>8</v>
      </c>
      <c r="W101" s="37">
        <f t="shared" si="10"/>
        <v>8</v>
      </c>
    </row>
    <row r="102" spans="1:23">
      <c r="A102" s="15">
        <v>1683</v>
      </c>
      <c r="B102" s="16">
        <v>10.164</v>
      </c>
      <c r="C102" s="17">
        <f t="shared" si="6"/>
        <v>10.164</v>
      </c>
      <c r="D102" s="17">
        <f t="shared" si="11"/>
        <v>10.164</v>
      </c>
    </row>
    <row r="103" spans="1:23">
      <c r="A103" s="15">
        <v>1690</v>
      </c>
      <c r="B103" s="16">
        <v>13.4712</v>
      </c>
      <c r="C103" s="17">
        <f t="shared" si="6"/>
        <v>13.4712</v>
      </c>
      <c r="D103" s="17">
        <f t="shared" si="11"/>
        <v>13.4712</v>
      </c>
    </row>
    <row r="104" spans="1:23">
      <c r="A104" s="15">
        <v>1741</v>
      </c>
      <c r="B104" s="16">
        <v>20.393000000000001</v>
      </c>
      <c r="C104" s="17">
        <f t="shared" si="6"/>
        <v>12.09299</v>
      </c>
      <c r="D104" s="17">
        <f t="shared" si="11"/>
        <v>12.09299</v>
      </c>
    </row>
    <row r="105" spans="1:23">
      <c r="A105" s="15">
        <v>1741</v>
      </c>
      <c r="B105" s="16">
        <v>3.79298</v>
      </c>
      <c r="C105" s="17">
        <f t="shared" si="6"/>
        <v>3.79298</v>
      </c>
      <c r="D105" s="17">
        <f t="shared" si="11"/>
        <v>12.09299</v>
      </c>
    </row>
    <row r="106" spans="1:23">
      <c r="A106" s="15">
        <v>1764</v>
      </c>
      <c r="B106" s="16">
        <v>12.827500000000001</v>
      </c>
      <c r="C106" s="17">
        <f t="shared" si="6"/>
        <v>7.4302550000000007</v>
      </c>
      <c r="D106" s="17">
        <f t="shared" si="11"/>
        <v>7.4302550000000007</v>
      </c>
    </row>
    <row r="107" spans="1:23">
      <c r="A107" s="15">
        <v>1764</v>
      </c>
      <c r="B107" s="16">
        <v>2.03301</v>
      </c>
      <c r="C107" s="17">
        <f t="shared" si="6"/>
        <v>2.03301</v>
      </c>
      <c r="D107" s="17">
        <f t="shared" si="11"/>
        <v>7.4302550000000007</v>
      </c>
    </row>
    <row r="108" spans="1:23">
      <c r="A108" s="15">
        <v>1778</v>
      </c>
      <c r="B108" s="16">
        <v>2.8523299999999998</v>
      </c>
      <c r="C108" s="17">
        <f t="shared" si="6"/>
        <v>2.8523299999999998</v>
      </c>
      <c r="D108" s="17">
        <f t="shared" si="11"/>
        <v>2.8523299999999998</v>
      </c>
    </row>
    <row r="109" spans="1:23">
      <c r="A109" s="15">
        <v>1817</v>
      </c>
      <c r="B109" s="16">
        <v>6.7350099999999999</v>
      </c>
      <c r="C109" s="17">
        <f t="shared" si="6"/>
        <v>5.1870000000000003</v>
      </c>
      <c r="D109" s="17">
        <f t="shared" si="11"/>
        <v>5.1870000000000003</v>
      </c>
    </row>
    <row r="110" spans="1:23">
      <c r="A110" s="15">
        <v>1817</v>
      </c>
      <c r="B110" s="16">
        <v>3.6389900000000002</v>
      </c>
      <c r="C110" s="17">
        <f t="shared" si="6"/>
        <v>3.6389900000000002</v>
      </c>
      <c r="D110" s="17">
        <f t="shared" si="11"/>
        <v>5.1870000000000003</v>
      </c>
    </row>
    <row r="111" spans="1:23">
      <c r="A111" s="15">
        <v>1828</v>
      </c>
      <c r="B111" s="16">
        <v>17.183399999999999</v>
      </c>
      <c r="C111" s="17">
        <f t="shared" si="6"/>
        <v>9.7578800000000001</v>
      </c>
      <c r="D111" s="17">
        <f t="shared" si="11"/>
        <v>9.7578800000000001</v>
      </c>
    </row>
    <row r="112" spans="1:23">
      <c r="A112" s="15">
        <v>1828</v>
      </c>
      <c r="B112" s="16">
        <v>2.33236</v>
      </c>
      <c r="C112" s="17">
        <f t="shared" si="6"/>
        <v>2.33236</v>
      </c>
      <c r="D112" s="17">
        <f t="shared" si="11"/>
        <v>9.7578800000000001</v>
      </c>
    </row>
    <row r="113" spans="1:4">
      <c r="A113" s="15">
        <v>1885</v>
      </c>
      <c r="B113" s="16">
        <v>12.181800000000001</v>
      </c>
      <c r="C113" s="17">
        <f t="shared" si="6"/>
        <v>11.194700000000001</v>
      </c>
      <c r="D113" s="17">
        <f t="shared" si="11"/>
        <v>11.194700000000001</v>
      </c>
    </row>
    <row r="114" spans="1:4">
      <c r="A114" s="15">
        <v>1885</v>
      </c>
      <c r="B114" s="16">
        <v>10.207599999999999</v>
      </c>
      <c r="C114" s="17">
        <f t="shared" si="6"/>
        <v>10.207599999999999</v>
      </c>
      <c r="D114" s="17">
        <f t="shared" si="11"/>
        <v>11.194700000000001</v>
      </c>
    </row>
    <row r="115" spans="1:4">
      <c r="A115" s="15">
        <v>1912</v>
      </c>
      <c r="B115" s="16">
        <v>12.769399999999999</v>
      </c>
      <c r="C115" s="17">
        <f t="shared" si="6"/>
        <v>12.769399999999999</v>
      </c>
      <c r="D115" s="17">
        <f t="shared" si="11"/>
        <v>12.769399999999999</v>
      </c>
    </row>
    <row r="116" spans="1:4">
      <c r="A116" s="15">
        <v>1985</v>
      </c>
      <c r="B116" s="16">
        <v>22.723400000000002</v>
      </c>
      <c r="C116" s="17">
        <f t="shared" si="6"/>
        <v>18.133500000000002</v>
      </c>
      <c r="D116" s="17">
        <f t="shared" si="11"/>
        <v>18.133500000000002</v>
      </c>
    </row>
    <row r="117" spans="1:4">
      <c r="A117" s="15">
        <v>1985</v>
      </c>
      <c r="B117" s="16">
        <v>13.5436</v>
      </c>
      <c r="C117" s="17">
        <f t="shared" si="6"/>
        <v>13.5436</v>
      </c>
      <c r="D117" s="17">
        <f t="shared" si="11"/>
        <v>18.133500000000002</v>
      </c>
    </row>
    <row r="118" spans="1:4">
      <c r="A118" s="15">
        <v>1986</v>
      </c>
      <c r="B118" s="16">
        <v>30.436800000000002</v>
      </c>
      <c r="C118" s="17">
        <f t="shared" si="6"/>
        <v>28.112450000000003</v>
      </c>
      <c r="D118" s="17">
        <f t="shared" si="11"/>
        <v>28.112450000000003</v>
      </c>
    </row>
    <row r="119" spans="1:4">
      <c r="A119" s="15">
        <v>1986</v>
      </c>
      <c r="B119" s="16">
        <v>25.7881</v>
      </c>
      <c r="C119" s="17">
        <f t="shared" si="6"/>
        <v>25.7881</v>
      </c>
      <c r="D119" s="17">
        <f t="shared" si="11"/>
        <v>28.112450000000003</v>
      </c>
    </row>
    <row r="120" spans="1:4">
      <c r="A120" s="15">
        <v>2102</v>
      </c>
      <c r="B120" s="16">
        <v>6.9677800000000003</v>
      </c>
      <c r="C120" s="17">
        <f t="shared" si="6"/>
        <v>6.2587000000000002</v>
      </c>
      <c r="D120" s="17">
        <f t="shared" si="11"/>
        <v>6.2587000000000002</v>
      </c>
    </row>
    <row r="121" spans="1:4">
      <c r="A121" s="15">
        <v>2102</v>
      </c>
      <c r="B121" s="16">
        <v>5.54962</v>
      </c>
      <c r="C121" s="17">
        <f t="shared" si="6"/>
        <v>5.54962</v>
      </c>
      <c r="D121" s="17">
        <f t="shared" si="11"/>
        <v>6.2587000000000002</v>
      </c>
    </row>
    <row r="122" spans="1:4">
      <c r="A122" s="15">
        <v>2130</v>
      </c>
      <c r="B122" s="16">
        <v>7.1320699999999997</v>
      </c>
      <c r="C122" s="17">
        <f t="shared" si="6"/>
        <v>7.1320699999999997</v>
      </c>
      <c r="D122" s="17">
        <f t="shared" si="11"/>
        <v>7.1320699999999997</v>
      </c>
    </row>
    <row r="123" spans="1:4">
      <c r="A123" s="15">
        <v>2164</v>
      </c>
      <c r="B123" s="16">
        <v>8.8137500000000006</v>
      </c>
      <c r="C123" s="17">
        <f t="shared" si="6"/>
        <v>5.6618750000000002</v>
      </c>
      <c r="D123" s="17">
        <f t="shared" si="11"/>
        <v>5.6618750000000002</v>
      </c>
    </row>
    <row r="124" spans="1:4">
      <c r="A124" s="15">
        <v>2164</v>
      </c>
      <c r="B124" s="16">
        <v>2.5099999999999998</v>
      </c>
      <c r="C124" s="17">
        <f t="shared" si="6"/>
        <v>2.5099999999999998</v>
      </c>
      <c r="D124" s="17">
        <f t="shared" si="11"/>
        <v>5.6618750000000002</v>
      </c>
    </row>
    <row r="125" spans="1:4">
      <c r="A125" s="15">
        <v>2180</v>
      </c>
      <c r="B125" s="16">
        <v>19.6235</v>
      </c>
      <c r="C125" s="17">
        <f t="shared" si="6"/>
        <v>16.374300000000002</v>
      </c>
      <c r="D125" s="17">
        <f t="shared" si="11"/>
        <v>16.374300000000002</v>
      </c>
    </row>
    <row r="126" spans="1:4">
      <c r="A126" s="15">
        <v>2180</v>
      </c>
      <c r="B126" s="16">
        <v>15.788500000000001</v>
      </c>
      <c r="C126" s="17">
        <f t="shared" si="6"/>
        <v>14.749700000000001</v>
      </c>
      <c r="D126" s="17">
        <f t="shared" si="11"/>
        <v>16.374300000000002</v>
      </c>
    </row>
    <row r="127" spans="1:4">
      <c r="A127" s="15">
        <v>2180</v>
      </c>
      <c r="B127" s="16">
        <v>13.710900000000001</v>
      </c>
      <c r="C127" s="17">
        <f t="shared" si="6"/>
        <v>13.710900000000001</v>
      </c>
      <c r="D127" s="17">
        <f t="shared" si="11"/>
        <v>16.374300000000002</v>
      </c>
    </row>
    <row r="128" spans="1:4">
      <c r="A128" s="15">
        <v>2474</v>
      </c>
      <c r="B128" s="16">
        <v>34.733699999999999</v>
      </c>
      <c r="C128" s="17">
        <f t="shared" si="6"/>
        <v>25.520924999999998</v>
      </c>
      <c r="D128" s="17">
        <f t="shared" si="11"/>
        <v>25.520924999999998</v>
      </c>
    </row>
    <row r="129" spans="1:4">
      <c r="A129" s="15">
        <v>2474</v>
      </c>
      <c r="B129" s="16">
        <v>25.8932</v>
      </c>
      <c r="C129" s="17">
        <f t="shared" si="6"/>
        <v>22.45</v>
      </c>
      <c r="D129" s="17">
        <f t="shared" si="11"/>
        <v>25.520924999999998</v>
      </c>
    </row>
    <row r="130" spans="1:4">
      <c r="A130" s="15">
        <v>2474</v>
      </c>
      <c r="B130" s="16">
        <v>24.359400000000001</v>
      </c>
      <c r="C130" s="17">
        <f t="shared" si="6"/>
        <v>20.728400000000001</v>
      </c>
      <c r="D130" s="17">
        <f t="shared" si="11"/>
        <v>25.520924999999998</v>
      </c>
    </row>
    <row r="131" spans="1:4">
      <c r="A131" s="15">
        <v>2474</v>
      </c>
      <c r="B131" s="16">
        <v>17.0974</v>
      </c>
      <c r="C131" s="17">
        <f t="shared" ref="C131:C194" si="12">IF(A131=A132, IF(A132=A133, IF(A133=A134, AVERAGE(B131:B134), AVERAGE(B131:B133)), AVERAGE(B131:B132)), B131)</f>
        <v>17.0974</v>
      </c>
      <c r="D131" s="17">
        <f t="shared" si="11"/>
        <v>25.520924999999998</v>
      </c>
    </row>
    <row r="132" spans="1:4">
      <c r="A132" s="15">
        <v>2500</v>
      </c>
      <c r="B132" s="16">
        <v>2.2299699999999998</v>
      </c>
      <c r="C132" s="17">
        <f t="shared" si="12"/>
        <v>1.3499849999999998</v>
      </c>
      <c r="D132" s="17">
        <f t="shared" si="11"/>
        <v>1.3499849999999998</v>
      </c>
    </row>
    <row r="133" spans="1:4">
      <c r="A133" s="15">
        <v>2500</v>
      </c>
      <c r="B133" s="16">
        <v>0.47</v>
      </c>
      <c r="C133" s="17">
        <f t="shared" si="12"/>
        <v>0.47</v>
      </c>
      <c r="D133" s="17">
        <f t="shared" ref="D133:D196" si="13">IF(A133=A132, D132, C133)</f>
        <v>1.3499849999999998</v>
      </c>
    </row>
    <row r="134" spans="1:4">
      <c r="A134" s="15">
        <v>2522</v>
      </c>
      <c r="B134" s="16">
        <v>12.4255</v>
      </c>
      <c r="C134" s="17">
        <f t="shared" si="12"/>
        <v>11.38795</v>
      </c>
      <c r="D134" s="17">
        <f t="shared" si="13"/>
        <v>11.38795</v>
      </c>
    </row>
    <row r="135" spans="1:4">
      <c r="A135" s="15">
        <v>2522</v>
      </c>
      <c r="B135" s="16">
        <v>10.3504</v>
      </c>
      <c r="C135" s="17">
        <f t="shared" si="12"/>
        <v>10.3504</v>
      </c>
      <c r="D135" s="17">
        <f t="shared" si="13"/>
        <v>11.38795</v>
      </c>
    </row>
    <row r="136" spans="1:4">
      <c r="A136" s="15">
        <v>2591</v>
      </c>
      <c r="B136" s="16">
        <v>12.9435</v>
      </c>
      <c r="C136" s="17">
        <f t="shared" si="12"/>
        <v>8.8965999999999994</v>
      </c>
      <c r="D136" s="17">
        <f t="shared" si="13"/>
        <v>8.8965999999999994</v>
      </c>
    </row>
    <row r="137" spans="1:4">
      <c r="A137" s="15">
        <v>2591</v>
      </c>
      <c r="B137" s="16">
        <v>8.6823599999999992</v>
      </c>
      <c r="C137" s="17">
        <f t="shared" si="12"/>
        <v>6.873149999999999</v>
      </c>
      <c r="D137" s="17">
        <f t="shared" si="13"/>
        <v>8.8965999999999994</v>
      </c>
    </row>
    <row r="138" spans="1:4">
      <c r="A138" s="15">
        <v>2591</v>
      </c>
      <c r="B138" s="16">
        <v>5.0639399999999997</v>
      </c>
      <c r="C138" s="17">
        <f t="shared" si="12"/>
        <v>5.0639399999999997</v>
      </c>
      <c r="D138" s="17">
        <f t="shared" si="13"/>
        <v>8.8965999999999994</v>
      </c>
    </row>
    <row r="139" spans="1:4">
      <c r="A139" s="15">
        <v>2626</v>
      </c>
      <c r="B139" s="16">
        <v>13.754799999999999</v>
      </c>
      <c r="C139" s="17">
        <f t="shared" si="12"/>
        <v>12.815950000000001</v>
      </c>
      <c r="D139" s="17">
        <f t="shared" si="13"/>
        <v>12.815950000000001</v>
      </c>
    </row>
    <row r="140" spans="1:4">
      <c r="A140" s="15">
        <v>2626</v>
      </c>
      <c r="B140" s="16">
        <v>11.8771</v>
      </c>
      <c r="C140" s="17">
        <f t="shared" si="12"/>
        <v>11.8771</v>
      </c>
      <c r="D140" s="17">
        <f t="shared" si="13"/>
        <v>12.815950000000001</v>
      </c>
    </row>
    <row r="141" spans="1:4">
      <c r="A141" s="15">
        <v>2757</v>
      </c>
      <c r="B141" s="16">
        <v>3.16</v>
      </c>
      <c r="C141" s="17">
        <f t="shared" si="12"/>
        <v>3.16</v>
      </c>
      <c r="D141" s="17">
        <f t="shared" si="13"/>
        <v>3.16</v>
      </c>
    </row>
    <row r="142" spans="1:4">
      <c r="A142" s="15">
        <v>2844</v>
      </c>
      <c r="B142" s="16">
        <v>4.2955500000000004</v>
      </c>
      <c r="C142" s="17">
        <f t="shared" si="12"/>
        <v>2.9833050000000001</v>
      </c>
      <c r="D142" s="17">
        <f t="shared" si="13"/>
        <v>2.9833050000000001</v>
      </c>
    </row>
    <row r="143" spans="1:4">
      <c r="A143" s="15">
        <v>2844</v>
      </c>
      <c r="B143" s="16">
        <v>1.67106</v>
      </c>
      <c r="C143" s="17">
        <f t="shared" si="12"/>
        <v>1.67106</v>
      </c>
      <c r="D143" s="17">
        <f t="shared" si="13"/>
        <v>2.9833050000000001</v>
      </c>
    </row>
    <row r="144" spans="1:4">
      <c r="A144" s="15">
        <v>2881</v>
      </c>
      <c r="B144" s="16">
        <v>11.954800000000001</v>
      </c>
      <c r="C144" s="17">
        <f t="shared" si="12"/>
        <v>11.954800000000001</v>
      </c>
      <c r="D144" s="17">
        <f t="shared" si="13"/>
        <v>11.954800000000001</v>
      </c>
    </row>
    <row r="145" spans="1:4">
      <c r="A145" s="15">
        <v>2914</v>
      </c>
      <c r="B145" s="16">
        <v>8.0794700000000006</v>
      </c>
      <c r="C145" s="17">
        <f t="shared" si="12"/>
        <v>5.759735</v>
      </c>
      <c r="D145" s="17">
        <f t="shared" si="13"/>
        <v>5.759735</v>
      </c>
    </row>
    <row r="146" spans="1:4">
      <c r="A146" s="15">
        <v>2914</v>
      </c>
      <c r="B146" s="16">
        <v>3.44</v>
      </c>
      <c r="C146" s="17">
        <f t="shared" si="12"/>
        <v>3.44</v>
      </c>
      <c r="D146" s="17">
        <f t="shared" si="13"/>
        <v>5.759735</v>
      </c>
    </row>
    <row r="147" spans="1:4">
      <c r="A147" s="15">
        <v>2960</v>
      </c>
      <c r="B147" s="16">
        <v>19.6602</v>
      </c>
      <c r="C147" s="17">
        <f t="shared" si="12"/>
        <v>14.534739999999999</v>
      </c>
      <c r="D147" s="17">
        <f t="shared" si="13"/>
        <v>14.534739999999999</v>
      </c>
    </row>
    <row r="148" spans="1:4">
      <c r="A148" s="15">
        <v>2960</v>
      </c>
      <c r="B148" s="16">
        <v>9.4092800000000008</v>
      </c>
      <c r="C148" s="17">
        <f t="shared" si="12"/>
        <v>9.4092800000000008</v>
      </c>
      <c r="D148" s="17">
        <f t="shared" si="13"/>
        <v>14.534739999999999</v>
      </c>
    </row>
    <row r="149" spans="1:4">
      <c r="A149" s="15">
        <v>3098</v>
      </c>
      <c r="B149" s="16">
        <v>32.291200000000003</v>
      </c>
      <c r="C149" s="17">
        <f t="shared" si="12"/>
        <v>19.627433333333336</v>
      </c>
      <c r="D149" s="17">
        <f t="shared" si="13"/>
        <v>19.627433333333336</v>
      </c>
    </row>
    <row r="150" spans="1:4">
      <c r="A150" s="15">
        <v>3098</v>
      </c>
      <c r="B150" s="16">
        <v>13.811299999999999</v>
      </c>
      <c r="C150" s="17">
        <f t="shared" si="12"/>
        <v>13.295549999999999</v>
      </c>
      <c r="D150" s="17">
        <f t="shared" si="13"/>
        <v>19.627433333333336</v>
      </c>
    </row>
    <row r="151" spans="1:4">
      <c r="A151" s="15">
        <v>3098</v>
      </c>
      <c r="B151" s="16">
        <v>12.7798</v>
      </c>
      <c r="C151" s="17">
        <f t="shared" si="12"/>
        <v>12.7798</v>
      </c>
      <c r="D151" s="17">
        <f t="shared" si="13"/>
        <v>19.627433333333336</v>
      </c>
    </row>
    <row r="152" spans="1:4">
      <c r="A152" s="15">
        <v>3115</v>
      </c>
      <c r="B152" s="16">
        <v>1.88893</v>
      </c>
      <c r="C152" s="17">
        <f t="shared" si="12"/>
        <v>1.3108610000000001</v>
      </c>
      <c r="D152" s="17">
        <f t="shared" si="13"/>
        <v>1.3108610000000001</v>
      </c>
    </row>
    <row r="153" spans="1:4">
      <c r="A153" s="15">
        <v>3115</v>
      </c>
      <c r="B153" s="16">
        <v>0.732792</v>
      </c>
      <c r="C153" s="17">
        <f t="shared" si="12"/>
        <v>0.732792</v>
      </c>
      <c r="D153" s="17">
        <f t="shared" si="13"/>
        <v>1.3108610000000001</v>
      </c>
    </row>
    <row r="154" spans="1:4">
      <c r="A154" s="15">
        <v>3132</v>
      </c>
      <c r="B154" s="16">
        <v>3.37147</v>
      </c>
      <c r="C154" s="17">
        <f t="shared" si="12"/>
        <v>3.37147</v>
      </c>
      <c r="D154" s="17">
        <f t="shared" si="13"/>
        <v>3.37147</v>
      </c>
    </row>
    <row r="155" spans="1:4">
      <c r="A155" s="15">
        <v>3205</v>
      </c>
      <c r="B155" s="16">
        <v>23.913699999999999</v>
      </c>
      <c r="C155" s="17">
        <f t="shared" si="12"/>
        <v>23.913699999999999</v>
      </c>
      <c r="D155" s="17">
        <f t="shared" si="13"/>
        <v>23.913699999999999</v>
      </c>
    </row>
    <row r="156" spans="1:4">
      <c r="A156" s="15">
        <v>3288</v>
      </c>
      <c r="B156" s="16">
        <v>19.9129</v>
      </c>
      <c r="C156" s="17">
        <f t="shared" si="12"/>
        <v>10.007218</v>
      </c>
      <c r="D156" s="17">
        <f t="shared" si="13"/>
        <v>10.007218</v>
      </c>
    </row>
    <row r="157" spans="1:4">
      <c r="A157" s="15">
        <v>3288</v>
      </c>
      <c r="B157" s="16">
        <v>0.101536</v>
      </c>
      <c r="C157" s="17">
        <f t="shared" si="12"/>
        <v>0.101536</v>
      </c>
      <c r="D157" s="17">
        <f t="shared" si="13"/>
        <v>10.007218</v>
      </c>
    </row>
    <row r="158" spans="1:4">
      <c r="A158" s="15">
        <v>3419</v>
      </c>
      <c r="B158" s="16">
        <v>15.3802</v>
      </c>
      <c r="C158" s="17">
        <f t="shared" si="12"/>
        <v>13.216699999999999</v>
      </c>
      <c r="D158" s="17">
        <f t="shared" si="13"/>
        <v>13.216699999999999</v>
      </c>
    </row>
    <row r="159" spans="1:4">
      <c r="A159" s="15">
        <v>3419</v>
      </c>
      <c r="B159" s="16">
        <v>11.0532</v>
      </c>
      <c r="C159" s="17">
        <f t="shared" si="12"/>
        <v>11.0532</v>
      </c>
      <c r="D159" s="17">
        <f t="shared" si="13"/>
        <v>13.216699999999999</v>
      </c>
    </row>
    <row r="160" spans="1:4">
      <c r="A160" s="15">
        <v>3528</v>
      </c>
      <c r="B160" s="16">
        <v>23.708100000000002</v>
      </c>
      <c r="C160" s="17">
        <f t="shared" si="12"/>
        <v>21.5243</v>
      </c>
      <c r="D160" s="17">
        <f t="shared" si="13"/>
        <v>21.5243</v>
      </c>
    </row>
    <row r="161" spans="1:4">
      <c r="A161" s="15">
        <v>3528</v>
      </c>
      <c r="B161" s="16">
        <v>19.340499999999999</v>
      </c>
      <c r="C161" s="17">
        <f t="shared" si="12"/>
        <v>19.340499999999999</v>
      </c>
      <c r="D161" s="17">
        <f t="shared" si="13"/>
        <v>21.5243</v>
      </c>
    </row>
    <row r="162" spans="1:4">
      <c r="A162" s="15">
        <v>3711</v>
      </c>
      <c r="B162" s="16">
        <v>7.0554300000000003</v>
      </c>
      <c r="C162" s="17">
        <f t="shared" si="12"/>
        <v>6.8406149999999997</v>
      </c>
      <c r="D162" s="17">
        <f t="shared" si="13"/>
        <v>6.8406149999999997</v>
      </c>
    </row>
    <row r="163" spans="1:4">
      <c r="A163" s="15">
        <v>3711</v>
      </c>
      <c r="B163" s="16">
        <v>6.6257999999999999</v>
      </c>
      <c r="C163" s="17">
        <f t="shared" si="12"/>
        <v>6.6257999999999999</v>
      </c>
      <c r="D163" s="17">
        <f t="shared" si="13"/>
        <v>6.8406149999999997</v>
      </c>
    </row>
    <row r="164" spans="1:4">
      <c r="A164" s="15">
        <v>3807</v>
      </c>
      <c r="B164" s="16">
        <v>3.8397600000000001</v>
      </c>
      <c r="C164" s="17">
        <f t="shared" si="12"/>
        <v>3.8397600000000001</v>
      </c>
      <c r="D164" s="17">
        <f t="shared" si="13"/>
        <v>3.8397600000000001</v>
      </c>
    </row>
    <row r="165" spans="1:4">
      <c r="A165" s="15">
        <v>3847</v>
      </c>
      <c r="B165" s="16">
        <v>7.8289400000000002</v>
      </c>
      <c r="C165" s="17">
        <f t="shared" si="12"/>
        <v>6.5176549999999995</v>
      </c>
      <c r="D165" s="17">
        <f t="shared" si="13"/>
        <v>6.5176549999999995</v>
      </c>
    </row>
    <row r="166" spans="1:4">
      <c r="A166" s="15">
        <v>3847</v>
      </c>
      <c r="B166" s="16">
        <v>5.2063699999999997</v>
      </c>
      <c r="C166" s="17">
        <f t="shared" si="12"/>
        <v>5.2063699999999997</v>
      </c>
      <c r="D166" s="17">
        <f t="shared" si="13"/>
        <v>6.5176549999999995</v>
      </c>
    </row>
    <row r="167" spans="1:4">
      <c r="A167" s="15">
        <v>3860</v>
      </c>
      <c r="B167" s="16">
        <v>0.97</v>
      </c>
      <c r="C167" s="17">
        <f t="shared" si="12"/>
        <v>0.97</v>
      </c>
      <c r="D167" s="17">
        <f t="shared" si="13"/>
        <v>0.97</v>
      </c>
    </row>
    <row r="168" spans="1:4">
      <c r="A168" s="15">
        <v>3880</v>
      </c>
      <c r="B168" s="16">
        <v>10.0093</v>
      </c>
      <c r="C168" s="17">
        <f t="shared" si="12"/>
        <v>10.0093</v>
      </c>
      <c r="D168" s="17">
        <f t="shared" si="13"/>
        <v>10.0093</v>
      </c>
    </row>
    <row r="169" spans="1:4">
      <c r="A169" s="15">
        <v>3929</v>
      </c>
      <c r="B169" s="16">
        <v>17.459700000000002</v>
      </c>
      <c r="C169" s="17">
        <f t="shared" si="12"/>
        <v>12.6012</v>
      </c>
      <c r="D169" s="17">
        <f t="shared" si="13"/>
        <v>12.6012</v>
      </c>
    </row>
    <row r="170" spans="1:4">
      <c r="A170" s="15">
        <v>3929</v>
      </c>
      <c r="B170" s="16">
        <v>10.1867</v>
      </c>
      <c r="C170" s="17">
        <f t="shared" si="12"/>
        <v>10.171949999999999</v>
      </c>
      <c r="D170" s="17">
        <f t="shared" si="13"/>
        <v>12.6012</v>
      </c>
    </row>
    <row r="171" spans="1:4">
      <c r="A171" s="15">
        <v>3929</v>
      </c>
      <c r="B171" s="16">
        <v>10.1572</v>
      </c>
      <c r="C171" s="17">
        <f t="shared" si="12"/>
        <v>10.1572</v>
      </c>
      <c r="D171" s="17">
        <f t="shared" si="13"/>
        <v>12.6012</v>
      </c>
    </row>
    <row r="172" spans="1:4">
      <c r="A172" s="15">
        <v>3936</v>
      </c>
      <c r="B172" s="16">
        <v>7.9169400000000003</v>
      </c>
      <c r="C172" s="17">
        <f t="shared" si="12"/>
        <v>7.9169400000000003</v>
      </c>
      <c r="D172" s="17">
        <f t="shared" si="13"/>
        <v>7.9169400000000003</v>
      </c>
    </row>
    <row r="173" spans="1:4">
      <c r="A173" s="15">
        <v>3940</v>
      </c>
      <c r="B173" s="16">
        <v>14.551399999999999</v>
      </c>
      <c r="C173" s="17">
        <f t="shared" si="12"/>
        <v>12.370999999999999</v>
      </c>
      <c r="D173" s="17">
        <f t="shared" si="13"/>
        <v>12.370999999999999</v>
      </c>
    </row>
    <row r="174" spans="1:4">
      <c r="A174" s="15">
        <v>3940</v>
      </c>
      <c r="B174" s="16">
        <v>10.1906</v>
      </c>
      <c r="C174" s="17">
        <f t="shared" si="12"/>
        <v>10.1906</v>
      </c>
      <c r="D174" s="17">
        <f t="shared" si="13"/>
        <v>12.370999999999999</v>
      </c>
    </row>
    <row r="175" spans="1:4">
      <c r="A175" s="15">
        <v>3941</v>
      </c>
      <c r="B175" s="16">
        <v>3.31</v>
      </c>
      <c r="C175" s="17">
        <f t="shared" si="12"/>
        <v>3.31</v>
      </c>
      <c r="D175" s="17">
        <f t="shared" si="13"/>
        <v>3.31</v>
      </c>
    </row>
    <row r="176" spans="1:4">
      <c r="A176" s="15">
        <v>3950</v>
      </c>
      <c r="B176" s="16">
        <v>5.8018700000000001</v>
      </c>
      <c r="C176" s="17">
        <f t="shared" si="12"/>
        <v>5.8018700000000001</v>
      </c>
      <c r="D176" s="17">
        <f t="shared" si="13"/>
        <v>5.8018700000000001</v>
      </c>
    </row>
    <row r="177" spans="1:4">
      <c r="A177" s="15">
        <v>3951</v>
      </c>
      <c r="B177" s="16">
        <v>9.5180500000000006</v>
      </c>
      <c r="C177" s="17">
        <f t="shared" si="12"/>
        <v>9.5180500000000006</v>
      </c>
      <c r="D177" s="17">
        <f t="shared" si="13"/>
        <v>9.5180500000000006</v>
      </c>
    </row>
    <row r="178" spans="1:4">
      <c r="A178" s="15">
        <v>3965</v>
      </c>
      <c r="B178" s="16">
        <v>10.811299999999999</v>
      </c>
      <c r="C178" s="17">
        <f t="shared" si="12"/>
        <v>10.811299999999999</v>
      </c>
      <c r="D178" s="17">
        <f t="shared" si="13"/>
        <v>10.811299999999999</v>
      </c>
    </row>
    <row r="179" spans="1:4">
      <c r="A179" s="15">
        <v>3970</v>
      </c>
      <c r="B179" s="16">
        <v>18.4285</v>
      </c>
      <c r="C179" s="17">
        <f t="shared" si="12"/>
        <v>13.441240000000001</v>
      </c>
      <c r="D179" s="17">
        <f t="shared" si="13"/>
        <v>13.441240000000001</v>
      </c>
    </row>
    <row r="180" spans="1:4">
      <c r="A180" s="15">
        <v>3970</v>
      </c>
      <c r="B180" s="16">
        <v>8.4539799999999996</v>
      </c>
      <c r="C180" s="17">
        <f t="shared" si="12"/>
        <v>8.4539799999999996</v>
      </c>
      <c r="D180" s="17">
        <f t="shared" si="13"/>
        <v>13.441240000000001</v>
      </c>
    </row>
    <row r="181" spans="1:4">
      <c r="A181" s="15">
        <v>4069</v>
      </c>
      <c r="B181" s="16">
        <v>15.809200000000001</v>
      </c>
      <c r="C181" s="17">
        <f t="shared" si="12"/>
        <v>13.735700000000001</v>
      </c>
      <c r="D181" s="17">
        <f t="shared" si="13"/>
        <v>13.735700000000001</v>
      </c>
    </row>
    <row r="182" spans="1:4">
      <c r="A182" s="15">
        <v>4069</v>
      </c>
      <c r="B182" s="16">
        <v>11.6622</v>
      </c>
      <c r="C182" s="17">
        <f t="shared" si="12"/>
        <v>11.6622</v>
      </c>
      <c r="D182" s="17">
        <f t="shared" si="13"/>
        <v>13.735700000000001</v>
      </c>
    </row>
    <row r="183" spans="1:4">
      <c r="A183" s="15">
        <v>4130</v>
      </c>
      <c r="B183" s="16">
        <v>6.0938299999999996</v>
      </c>
      <c r="C183" s="17">
        <f t="shared" si="12"/>
        <v>4.5705999999999998</v>
      </c>
      <c r="D183" s="17">
        <f t="shared" si="13"/>
        <v>4.5705999999999998</v>
      </c>
    </row>
    <row r="184" spans="1:4">
      <c r="A184" s="15">
        <v>4130</v>
      </c>
      <c r="B184" s="16">
        <v>3.0473699999999999</v>
      </c>
      <c r="C184" s="17">
        <f t="shared" si="12"/>
        <v>3.0473699999999999</v>
      </c>
      <c r="D184" s="17">
        <f t="shared" si="13"/>
        <v>4.5705999999999998</v>
      </c>
    </row>
    <row r="185" spans="1:4">
      <c r="A185" s="15">
        <v>4161</v>
      </c>
      <c r="B185" s="16">
        <v>10.110200000000001</v>
      </c>
      <c r="C185" s="17">
        <f t="shared" si="12"/>
        <v>10.110200000000001</v>
      </c>
      <c r="D185" s="17">
        <f t="shared" si="13"/>
        <v>10.110200000000001</v>
      </c>
    </row>
    <row r="186" spans="1:4">
      <c r="A186" s="15">
        <v>4203</v>
      </c>
      <c r="B186" s="16">
        <v>1.99718</v>
      </c>
      <c r="C186" s="17">
        <f t="shared" si="12"/>
        <v>1.99718</v>
      </c>
      <c r="D186" s="17">
        <f t="shared" si="13"/>
        <v>1.99718</v>
      </c>
    </row>
    <row r="187" spans="1:4">
      <c r="A187" s="15">
        <v>4226</v>
      </c>
      <c r="B187" s="16">
        <v>6.7998200000000004</v>
      </c>
      <c r="C187" s="17">
        <f t="shared" si="12"/>
        <v>6.7998200000000004</v>
      </c>
      <c r="D187" s="17">
        <f t="shared" si="13"/>
        <v>6.7998200000000004</v>
      </c>
    </row>
    <row r="188" spans="1:4">
      <c r="A188" s="15">
        <v>4253</v>
      </c>
      <c r="B188" s="16">
        <v>4.1108700000000002</v>
      </c>
      <c r="C188" s="17">
        <f t="shared" si="12"/>
        <v>4.1108700000000002</v>
      </c>
      <c r="D188" s="17">
        <f>IF(A188=A187, D187, C188)</f>
        <v>4.1108700000000002</v>
      </c>
    </row>
    <row r="189" spans="1:4">
      <c r="A189" s="15">
        <v>4265</v>
      </c>
      <c r="B189" s="16">
        <v>7.44503</v>
      </c>
      <c r="C189" s="17">
        <f t="shared" si="12"/>
        <v>7.44503</v>
      </c>
      <c r="D189" s="17">
        <f>IF(A189=A188, D188, C189)</f>
        <v>7.44503</v>
      </c>
    </row>
    <row r="190" spans="1:4">
      <c r="A190" s="15">
        <v>4269</v>
      </c>
      <c r="B190" s="16">
        <v>5.9754699999999996</v>
      </c>
      <c r="C190" s="17">
        <f t="shared" si="12"/>
        <v>5.9754699999999996</v>
      </c>
      <c r="D190" s="17">
        <f t="shared" si="13"/>
        <v>5.9754699999999996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Notes</vt:lpstr>
      <vt:lpstr>Teams</vt:lpstr>
      <vt:lpstr>Matches</vt:lpstr>
      <vt:lpstr>Online Results</vt:lpstr>
      <vt:lpstr>Enter Team Data Here</vt:lpstr>
      <vt:lpstr>'Online Results'!matchresults_1</vt:lpstr>
      <vt:lpstr>'Online Results'!rankings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Kendall Searing</dc:creator>
  <cp:lastModifiedBy>Kendall</cp:lastModifiedBy>
  <dcterms:created xsi:type="dcterms:W3CDTF">2011-04-28T07:18:11Z</dcterms:created>
  <dcterms:modified xsi:type="dcterms:W3CDTF">2012-04-26T22:27:48Z</dcterms:modified>
</cp:coreProperties>
</file>